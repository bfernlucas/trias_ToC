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66925"/>
  <mc:AlternateContent xmlns:mc="http://schemas.openxmlformats.org/markup-compatibility/2006">
    <mc:Choice Requires="x15">
      <x15ac:absPath xmlns:x15ac="http://schemas.microsoft.com/office/spreadsheetml/2010/11/ac" url="/Users/giseleobara/Downloads/"/>
    </mc:Choice>
  </mc:AlternateContent>
  <xr:revisionPtr revIDLastSave="0" documentId="13_ncr:1_{267AF45F-AC4F-044F-A61D-3CB85DCDC5DD}" xr6:coauthVersionLast="47" xr6:coauthVersionMax="47" xr10:uidLastSave="{00000000-0000-0000-0000-000000000000}"/>
  <bookViews>
    <workbookView xWindow="2140" yWindow="940" windowWidth="19040" windowHeight="15340" xr2:uid="{00000000-000D-0000-FFFF-FFFF00000000}"/>
  </bookViews>
  <sheets>
    <sheet name="Luisa Outputs" sheetId="8" r:id="rId1"/>
    <sheet name="Brasil ToC" sheetId="6" r:id="rId2"/>
    <sheet name="INFO MB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2" l="1"/>
  <c r="N16" i="2" s="1"/>
  <c r="M16" i="2"/>
  <c r="M5" i="2"/>
  <c r="M12" i="2"/>
  <c r="N14" i="2"/>
  <c r="M13" i="2"/>
  <c r="L16" i="2"/>
  <c r="C16" i="2"/>
  <c r="Q13" i="2"/>
  <c r="Q14" i="2"/>
  <c r="Q16" i="2" l="1"/>
</calcChain>
</file>

<file path=xl/sharedStrings.xml><?xml version="1.0" encoding="utf-8"?>
<sst xmlns="http://schemas.openxmlformats.org/spreadsheetml/2006/main" count="234" uniqueCount="204">
  <si>
    <t>THEORY OF CHANGE - ESTRATÉGICO</t>
  </si>
  <si>
    <t>PRORGRAMA - TATICO &amp; OPERACIONAL</t>
  </si>
  <si>
    <t>IMPACTOS E RESULTADOS a médio e longo prazo</t>
  </si>
  <si>
    <t xml:space="preserve"> BRAZIL Theory of Change 2027-2031</t>
  </si>
  <si>
    <t>Details of Outputs Indicators</t>
  </si>
  <si>
    <t>Programatic Programme 2027-2031</t>
  </si>
  <si>
    <t>impactos dos resultados/atividades</t>
  </si>
  <si>
    <t>Programme Outcome:</t>
  </si>
  <si>
    <t>Outcome indicators</t>
  </si>
  <si>
    <t>Outputs</t>
  </si>
  <si>
    <t>Outputs indicators</t>
  </si>
  <si>
    <t>Indicator code</t>
  </si>
  <si>
    <t>Description</t>
  </si>
  <si>
    <t>Unit of measurement</t>
  </si>
  <si>
    <t>MBO-partners contributing to this indicator</t>
  </si>
  <si>
    <t>Specific objectives</t>
  </si>
  <si>
    <t>OS/ID capacities</t>
  </si>
  <si>
    <t>Main type of activities</t>
  </si>
  <si>
    <t>At MBO level</t>
  </si>
  <si>
    <t>At individual level</t>
  </si>
  <si>
    <t xml:space="preserve">Trias and MBOs partners are better equipped to fulfil their role as agents of change and contribute to a more inclusive, sustainable, and resilient entrepreneurial ecosystem in Brazil.
</t>
  </si>
  <si>
    <t>1. % of total MBO annual revenue derived from sales of certified or verified sustainable products (organic, EUDR-compliant, fair trade, or equivalent standards)</t>
  </si>
  <si>
    <r>
      <t>(</t>
    </r>
    <r>
      <rPr>
        <b/>
        <sz val="9"/>
        <color rgb="FF0070C0"/>
        <rFont val="Roboto"/>
      </rPr>
      <t>economic</t>
    </r>
    <r>
      <rPr>
        <sz val="9"/>
        <color rgb="FF0070C0"/>
        <rFont val="Roboto"/>
      </rPr>
      <t>) 
O1. MBOs enhance members’ market access by promoting higher-quality, differentiated, and value‑added products, contributing to sustainable and competitive businesses</t>
    </r>
  </si>
  <si>
    <t xml:space="preserve">OI 1.1 Number of MBO members who have completed at least one training session in business development, innovation and access to new economies </t>
  </si>
  <si>
    <t>OI 1.1</t>
  </si>
  <si>
    <t>Measures the number of MBO members who have completed at least one training session, workshop or seminar in business development innovation or access to new economies (bioeconomy, circular economy)</t>
  </si>
  <si>
    <t>Number of MBO members (individuals)</t>
  </si>
  <si>
    <t>UNICAFES PA, UNICAFES RO</t>
  </si>
  <si>
    <r>
      <rPr>
        <u/>
        <sz val="9"/>
        <color rgb="FF0070C0"/>
        <rFont val="Roboto"/>
      </rPr>
      <t xml:space="preserve">Market Access, Quality Enhancement, and Value Addition
</t>
    </r>
    <r>
      <rPr>
        <sz val="9"/>
        <color rgb="FF0070C0"/>
        <rFont val="Roboto"/>
      </rPr>
      <t xml:space="preserve">MBOs enhance members’ market access by promoting higher-quality, differentiated, and value‑added products, contributing to sustainable and competitive businesses
</t>
    </r>
  </si>
  <si>
    <r>
      <t>1.</t>
    </r>
    <r>
      <rPr>
        <sz val="7"/>
        <color theme="1"/>
        <rFont val="Times New Roman"/>
        <family val="1"/>
      </rPr>
      <t xml:space="preserve">   </t>
    </r>
    <r>
      <rPr>
        <sz val="9"/>
        <color theme="1"/>
        <rFont val="Roboto"/>
      </rPr>
      <t>Business development &amp; access to market
2.   Services delivered
4.   L&amp;A and network</t>
    </r>
  </si>
  <si>
    <t>1.1 Advancing in public markets (PNAE, PAA) - UNICAFES Pará
1.2 PES or/and carbon services/technical assistance - UNICAFES RO
1.3 New courses on CSA - CSA Brasil</t>
  </si>
  <si>
    <t>MBOs become sustainable commercial platforms with greater financial autonomy and negotiation capacity in differentiated markets, increasing own revenues from commercialisation, certification and consultancy services</t>
  </si>
  <si>
    <t>Members (FFEs and NFEs) achieve increased and more stable annual household income, with access to fair markets and long‑term contracts, reduced dependence on intermediaries, and greater bargaining power. Women, young farmers and waste pickers access niche markets with higher added value (certified, organic, EUDR‑compliant products)</t>
  </si>
  <si>
    <t>2. % and number of MBO members adopting sustainable and climate-resilient practices in their production systems or work environments</t>
  </si>
  <si>
    <t>OI 1.2 Number of structured engagements initiated between MBOs and private sector actors (buyers, processors, traders, or industry partners)</t>
  </si>
  <si>
    <t>OI 1.2</t>
  </si>
  <si>
    <t>Counts formalised interactions between MBOs and private sector actors that lead to or aim at commercial relationships (business meetings with defined agendas, negotiations on price/volume/quality, product sampling or testing, trial supply arrangements, formal partnership agreements, or MoU)</t>
  </si>
  <si>
    <t>Number of structured engagements</t>
  </si>
  <si>
    <t>UNICAFES PA, UNICAFES RO, CSA Brasil, UNICATADORES</t>
  </si>
  <si>
    <r>
      <rPr>
        <u/>
        <sz val="9"/>
        <color rgb="FF00B050"/>
        <rFont val="Roboto"/>
      </rPr>
      <t>Enhanced Climate Resilience and Adaptive Capacity</t>
    </r>
    <r>
      <rPr>
        <sz val="9"/>
        <color rgb="FF00B050"/>
        <rFont val="Roboto"/>
      </rPr>
      <t xml:space="preserve">
MBOs strengthen their members’ climate resilience by promoting the adoption of sustainable practices, climate adaptation measures, and effective risk management strategies.
</t>
    </r>
  </si>
  <si>
    <r>
      <t>2.</t>
    </r>
    <r>
      <rPr>
        <sz val="7"/>
        <color theme="1"/>
        <rFont val="Times New Roman"/>
        <family val="1"/>
      </rPr>
      <t xml:space="preserve">   </t>
    </r>
    <r>
      <rPr>
        <sz val="9"/>
        <color theme="1"/>
        <rFont val="Roboto"/>
      </rPr>
      <t>Services delivered
5.   Climate
4.   L&amp;A and network</t>
    </r>
  </si>
  <si>
    <t>2.1 Training and development on climate tool (BR I+II) - All MBOs
2.2 Climate awareness &amp; pilot on PES, carbon market, etc - UNICAFES Pará
2.3 Institutional Climate agenda, AI mapping - UNICATADORES
2.4 Complementary projects &amp; sinergies &amp; fundraising - All MBOs</t>
  </si>
  <si>
    <t>MBOs institutionalise climate risk management, develop environmental monitoring systems, access climate finance (PES, carbon markets), and become local references for climate adaptation and sustainable bioeconomy</t>
  </si>
  <si>
    <t xml:space="preserve">Members adopt climate‑resilient practices (agroforestry, agroecological systems, low‑carbon recycling), reducing productive losses caused by extreme events (droughts, floods). They gain access to alternative income sources through PES and carbon credits, contributing to improved food security and environmental quality. </t>
  </si>
  <si>
    <t>3.  % of women and young people occupying decision-making positions (boards, councils, committees) and actively participating in decision-making processes within MBOs</t>
  </si>
  <si>
    <r>
      <t>(</t>
    </r>
    <r>
      <rPr>
        <b/>
        <sz val="9"/>
        <color rgb="FF00B050"/>
        <rFont val="Roboto"/>
      </rPr>
      <t>climate</t>
    </r>
    <r>
      <rPr>
        <sz val="9"/>
        <color rgb="FF00B050"/>
        <rFont val="Roboto"/>
      </rPr>
      <t>) 
O2. MBOs strengthen their members’ climate resilience by promoting the adoption of sustainable practices, climate adaptation measures, and effective risk management strategies.</t>
    </r>
  </si>
  <si>
    <t>OI 2.1 Number of leaders, management and key members that are actively engaged in implementing sustainable practices, nature-positive initiatives and climate risk strategies</t>
  </si>
  <si>
    <t>OI 2.1</t>
  </si>
  <si>
    <t>Measures the number of women, youth leaders, management and key members are actively engaged in implementing sustainable practices, nature-positive initiatives and climate risk strategies, and applied lessons learned to their organization</t>
  </si>
  <si>
    <t xml:space="preserve">Number of women, youth, leaders, management and key members </t>
  </si>
  <si>
    <r>
      <rPr>
        <u/>
        <sz val="9"/>
        <color rgb="FF7030A0"/>
        <rFont val="Roboto"/>
      </rPr>
      <t xml:space="preserve">Shifted power relations, shared ownership, and reduced dependency </t>
    </r>
    <r>
      <rPr>
        <sz val="9"/>
        <color rgb="FF7030A0"/>
        <rFont val="Roboto"/>
      </rPr>
      <t xml:space="preserve">
MBOs strengthen economic inclusion and the leadership of women and young people as catalysts within the organization and the wider ecosystem through capacity building, effective participation, and expanded access to sustainable economic opportunities.</t>
    </r>
  </si>
  <si>
    <r>
      <t>3.</t>
    </r>
    <r>
      <rPr>
        <sz val="7"/>
        <color theme="1"/>
        <rFont val="Times New Roman"/>
        <family val="1"/>
      </rPr>
      <t xml:space="preserve">   </t>
    </r>
    <r>
      <rPr>
        <sz val="9"/>
        <color theme="1"/>
        <rFont val="Roboto"/>
      </rPr>
      <t>Inclusion
4.   L&amp;A and network</t>
    </r>
  </si>
  <si>
    <t>3.1 Youth &amp; women new leadership programme &amp; inclusion strategies - UNICATADORES
3.2 Inclusion strategies &amp; training &amp; innovation Bioeconomy ecosystem - UNICAFES Pará
3.3 L&amp;A strategies toward government - UNICATADORES
3.4 Complementary projects &amp; sinergies &amp; fundraising - All MBOs</t>
  </si>
  <si>
    <t>MBOs consolidate inclusive governance with quotas and effective participation of women and youth at all decision‑making levels, and are recognised as defenders of marginalised groups (waste pickers, women farmers, urban and rural producers), actively influencing public policies (PNAE, PAA, PNRS)</t>
  </si>
  <si>
    <t xml:space="preserve">Women and young people hold leadership positions in MBOs and the entrepreneurial ecosystem, with effective decision‑making power. Increased self‑esteem, economic autonomy and civic participation of historically excluded groups are achieved, alongside reduced gender and age discrimination in cooperatives and value chains, and improved decent working conditions for waste pickers, urban and rural producers. </t>
  </si>
  <si>
    <t>4. Number of advocacy initiatives led by MBOs that result in concrete and verifiable results (inclusion in public calls, formal agreements, access to funding or policy spaces)</t>
  </si>
  <si>
    <t>OI 2.2 Number of MBO members that have applied for and received financial compensation through PES, carbon market, or other climate incentive schemes</t>
  </si>
  <si>
    <t>OI 2.2</t>
  </si>
  <si>
    <t>Measures the number of MBO members who have successfully applied for and received financial compensation through climate incentive schemes, including Payment for Environmental Services (PES), carbon market pilots, biodiversity offsets, or stewardship programmes</t>
  </si>
  <si>
    <t>Number of MBO members</t>
  </si>
  <si>
    <r>
      <t>(</t>
    </r>
    <r>
      <rPr>
        <b/>
        <sz val="9"/>
        <color rgb="FF7030A0"/>
        <rFont val="Roboto"/>
      </rPr>
      <t>inclusion</t>
    </r>
    <r>
      <rPr>
        <sz val="9"/>
        <color rgb="FF7030A0"/>
        <rFont val="Roboto"/>
      </rPr>
      <t>)
O3. MBOs strengthen economic inclusion and the leadership of women and young people as catalysts within the organization and the wider ecosystem through capacity building, effective participation, and expanded access to sustainable economic opportunities.</t>
    </r>
  </si>
  <si>
    <t>OI 3.1Number of women, young people and EUE who complete capacity-building programmes in leadership, inclusive governance and business succession</t>
  </si>
  <si>
    <t>OI 3.1</t>
  </si>
  <si>
    <t>Counts the number of women, young people, EUE who have successfully completed structured capacity building programmes delivered by MBOs focus on leadership and negotiation skills, inclusive governance, business succession planning</t>
  </si>
  <si>
    <t xml:space="preserve">Number of women, young people and EUE </t>
  </si>
  <si>
    <t>UNICAFES PA, UNICAFES RO, UNICATADORES</t>
  </si>
  <si>
    <t>OI 3.2 Number of multi-stakeholder policy platforms where MBOs have formal representation</t>
  </si>
  <si>
    <t>OI 3.2</t>
  </si>
  <si>
    <t>Counts multi-stakeholder policy platforms (committees, councils, working groups, forums) where an MBO holds formal representation (elected seat, official nomination, or standing invitation)</t>
  </si>
  <si>
    <t>Number of policy platforms with MBO representation</t>
  </si>
  <si>
    <t>Rationale behind the Theory of change</t>
  </si>
  <si>
    <t>Output objective 1: Increased awareness of key individuals</t>
  </si>
  <si>
    <t>Target area</t>
  </si>
  <si>
    <t>Specific objective</t>
  </si>
  <si>
    <t>Related MBOs</t>
  </si>
  <si>
    <t>Link to key individuals</t>
  </si>
  <si>
    <t>Gender and social inclusion</t>
  </si>
  <si>
    <t>Key individuals understand structural barriers faced by women, youth, waste pickers, and peri-urban producers, and recognise the need for inclusive policies and practices</t>
  </si>
  <si>
    <t>All 4 MBOs</t>
  </si>
  <si>
    <t>Board members, committee chairs, staff responsible for membership services</t>
  </si>
  <si>
    <t>Climate justice</t>
  </si>
  <si>
    <t>Key individuals understand the disproportionate impacts of climate change on vulnerable groups (Amazonian farmers, waste pickers, peri-urban CSA producers) and the importance of just transition strategies</t>
  </si>
  <si>
    <t>UNICAFES (PA, RO), UNICATADORES, CSA Brasil</t>
  </si>
  <si>
    <t>Technical staff, facilitators, environmental committee members</t>
  </si>
  <si>
    <t>MBO role as change agent</t>
  </si>
  <si>
    <t>Key individuals recognise the potential of their MBO to influence public policies (PNAE, PAA, PNRS), negotiate with private sector, and advocate for systemic change</t>
  </si>
  <si>
    <t>Board members, advocacy committee, executive secretaries</t>
  </si>
  <si>
    <t>Market and regulatory environment</t>
  </si>
  <si>
    <t>Key individuals understand EUDR requirements, certification processes (organic, fair trade), and market differentiation opportunities for Amazonian products</t>
  </si>
  <si>
    <t>UNICAFES (PA, RO), CSA Brasil</t>
  </si>
  <si>
    <t>Commercial staff, quality control officers, traceability technicians</t>
  </si>
  <si>
    <t>Output objective 2: Improved ability (skills, knowledge, confidence) of key individuals</t>
  </si>
  <si>
    <t>Illustrative indicator (for D.1)</t>
  </si>
  <si>
    <t>Business and market access</t>
  </si>
  <si>
    <t>Key individuals acquire skills in collective negotiation, quality control, traceability systems (EUDR), and market intelligence</t>
  </si>
  <si>
    <t>Commercial staff, cooperative managers, quality officers</t>
  </si>
  <si>
    <t>Number of key individuals completing training in traceability/quality management</t>
  </si>
  <si>
    <t>Climate resilience</t>
  </si>
  <si>
    <t>Key individuals acquire skills in climate risk assessment (Building Resilience I/II), adaptation planning, and access to climate finance (PES, carbon markets)</t>
  </si>
  <si>
    <t>Technical staff, environmental committee, facilitators</t>
  </si>
  <si>
    <t>Number of key individuals certified in Building Resilience methodology</t>
  </si>
  <si>
    <t>Inclusive governance and leadership</t>
  </si>
  <si>
    <t>Key individuals acquire skills in inclusive governance (quotas, committees, statutes), leadership for women and youth, and conflict resolution</t>
  </si>
  <si>
    <t>Board members, committee chairs, youth/women representatives</t>
  </si>
  <si>
    <t>% of key individuals reporting increased confidence to influence decisions (SPIDER survey)</t>
  </si>
  <si>
    <t>Advocacy and networking</t>
  </si>
  <si>
    <t>Key individuals acquire skills in policy dialogue, multi-stakeholder platforms (PNAE, PAA, PNRS), and strategic alliance building</t>
  </si>
  <si>
    <t>Advocacy committee, executive secretaries, board members</t>
  </si>
  <si>
    <t>Number of key individuals participating in advocacy forums/platforms</t>
  </si>
  <si>
    <t>Digital and AI literacy</t>
  </si>
  <si>
    <t>Key individuals acquire skills in digital tools (traceability, AI mapping, data management) relevant to their MBO's activities</t>
  </si>
  <si>
    <t>UNICATADORES, UNICAFES (PA, RO), CSA Brasil</t>
  </si>
  <si>
    <t>Technical staff, traceability officers, youth leaders</t>
  </si>
  <si>
    <t>Number of key individuals completing digital/AI literacy training</t>
  </si>
  <si>
    <t>Output indicator</t>
  </si>
  <si>
    <t>Type</t>
  </si>
  <si>
    <t>Data source</t>
  </si>
  <si>
    <t>Related to</t>
  </si>
  <si>
    <t>Responsible</t>
  </si>
  <si>
    <t>Number of key individuals (disaggregated by gender, age, MBO) who complete training modules on HRBA/gender/climate justice/digital literacy</t>
  </si>
  <si>
    <t>Quantitative</t>
  </si>
  <si>
    <t>Training records, pre/post tests</t>
  </si>
  <si>
    <t>Output 1 (awareness)</t>
  </si>
  <si>
    <t>Trias + MBOs</t>
  </si>
  <si>
    <t>% of key individuals who demonstrate at least 30% knowledge gain in pre/post tests on relevant topics (e.g., EUDR, climate resilience, inclusive governance)</t>
  </si>
  <si>
    <t>Pre/post test scores</t>
  </si>
  <si>
    <t>Number of key individuals (disaggregated by gender, age, MBO) who complete certification or competency-based training in specific skills (e.g., Building Resilience, traceability, AI mapping)</t>
  </si>
  <si>
    <t>Certification records, competency assessments</t>
  </si>
  <si>
    <t>Output 2 (ability)</t>
  </si>
  <si>
    <t>Trias + training partners (CERTI, FFD, Salchamber)</t>
  </si>
  <si>
    <t>% of key individuals who report increased confidence to influence organisational decisions (annual SPIDER self-assessment)</t>
  </si>
  <si>
    <t>SPIDER survey</t>
  </si>
  <si>
    <t>Output 2 (confidence)</t>
  </si>
  <si>
    <t>MBOs + Trias</t>
  </si>
  <si>
    <t>Number of action plans, proposals, or pilot initiatives developed by key individuals and adopted by MBO governance bodies</t>
  </si>
  <si>
    <t>Quantitative/ Qualitative</t>
  </si>
  <si>
    <t>MBO board minutes, Trias facilitation reports</t>
  </si>
  <si>
    <t>Output 2 (agency)</t>
  </si>
  <si>
    <t>Number of key individuals who take on new leadership or mentoring roles (e.g., board member, committee chair, youth mentor, trainer) during the programme period</t>
  </si>
  <si>
    <t>MBO governance records, annual reports</t>
  </si>
  <si>
    <t>MBOs</t>
  </si>
  <si>
    <t>Information from MBOs - DGD/Trias Programme 2027-2031</t>
  </si>
  <si>
    <t>#</t>
  </si>
  <si>
    <t>Name</t>
  </si>
  <si>
    <t># members &amp; intervention</t>
  </si>
  <si>
    <t>MBOs staff</t>
  </si>
  <si>
    <t># Final beneficiaries
(# people member)</t>
  </si>
  <si>
    <r>
      <t xml:space="preserve">Indirect beneficiaries
</t>
    </r>
    <r>
      <rPr>
        <b/>
        <sz val="8"/>
        <color theme="1"/>
        <rFont val="Calibri (Corpo)"/>
      </rPr>
      <t>(# people per  family)</t>
    </r>
  </si>
  <si>
    <t>Complementary projects</t>
  </si>
  <si>
    <t>Total MBO members</t>
  </si>
  <si>
    <t>Level</t>
  </si>
  <si>
    <t>States</t>
  </si>
  <si>
    <t># cities</t>
  </si>
  <si>
    <t>HQ Address</t>
  </si>
  <si>
    <t>Latitude &amp; Longitude</t>
  </si>
  <si>
    <t>Total</t>
  </si>
  <si>
    <t>FFEs</t>
  </si>
  <si>
    <t>NFEs</t>
  </si>
  <si>
    <t>% women</t>
  </si>
  <si>
    <t>% youth</t>
  </si>
  <si>
    <t># complementary projects</t>
  </si>
  <si>
    <t>Donor name</t>
  </si>
  <si>
    <t>R$ Amount</t>
  </si>
  <si>
    <t>Period</t>
  </si>
  <si>
    <t>Coop member beneficiated</t>
  </si>
  <si>
    <t>Core business</t>
  </si>
  <si>
    <t>Main chains/services</t>
  </si>
  <si>
    <t>Unicafes Pará</t>
  </si>
  <si>
    <t>cooperatives</t>
  </si>
  <si>
    <t>2nd level</t>
  </si>
  <si>
    <t>Pará</t>
  </si>
  <si>
    <t>Gurupá, Medicilândia, Altamira, Mojuí dos Campos, Parauapebas, Novo Repartimento, Santarém, Pacajá, Brasil Novo</t>
  </si>
  <si>
    <t>Altamira</t>
  </si>
  <si>
    <t>Terra mesa II</t>
  </si>
  <si>
    <t>CAA e Unicafes MG</t>
  </si>
  <si>
    <t>3 cooperatives (transição agroecológica) </t>
  </si>
  <si>
    <t>Family farming</t>
  </si>
  <si>
    <t>Coffee, cocoa, xxx</t>
  </si>
  <si>
    <t>Sescoop </t>
  </si>
  <si>
    <t>Forte Mais Gestão </t>
  </si>
  <si>
    <t>Coopera Mais</t>
  </si>
  <si>
    <t>20 cooperatives (10 Unicafes+10 Unicopas)</t>
  </si>
  <si>
    <t>Ementa Airton </t>
  </si>
  <si>
    <t>Conexsus +Caixa - programa Eu acredito</t>
  </si>
  <si>
    <t>TNC</t>
  </si>
  <si>
    <t>Unicafes Rondônia</t>
  </si>
  <si>
    <t>cooperatives
(plus 1 credit coop)</t>
  </si>
  <si>
    <t>Rondônia</t>
  </si>
  <si>
    <t>20 cities + Concentration on: Cacoal, Ariquemes, Mirante da Serra, Ji-Paraná, Urupá, Ministro Andreazza, Rolim de Moura, and Corumbiara.</t>
  </si>
  <si>
    <t>Ji-Paraná</t>
  </si>
  <si>
    <t>CSA Brasil</t>
  </si>
  <si>
    <t xml:space="preserve">CSA units
</t>
  </si>
  <si>
    <t>Third level</t>
  </si>
  <si>
    <t>19 states</t>
  </si>
  <si>
    <t>?</t>
  </si>
  <si>
    <t>Bauru</t>
  </si>
  <si>
    <t>Instituto Mahle</t>
  </si>
  <si>
    <t>Peri-urban</t>
  </si>
  <si>
    <t>VP</t>
  </si>
  <si>
    <t>Unicatadores</t>
  </si>
  <si>
    <t xml:space="preserve">cooperatives
</t>
  </si>
  <si>
    <t>26 states</t>
  </si>
  <si>
    <t>São Paulo</t>
  </si>
  <si>
    <t>Recycling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</si>
</sst>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 #,##0_-;\-* #,##0_-;_-* &quot;-&quot;??_-;_-@_-"/>
  </numFmts>
  <fonts count="26" x14ac:knownFonts="1">
    <font>
      <sz val="11"/>
      <color theme="1"/>
      <name val="Calibri"/>
      <family val="2"/>
      <scheme val="minor"/>
    </font>
    <font>
      <sz val="12"/>
      <color theme="1"/>
      <name val="Calibri"/>
      <family val="2"/>
      <scheme val="minor"/>
    </font>
    <font>
      <b/>
      <sz val="11"/>
      <color theme="1"/>
      <name val="Calibri"/>
      <family val="2"/>
      <scheme val="minor"/>
    </font>
    <font>
      <sz val="9.5"/>
      <name val="Helvetica Neue"/>
      <family val="2"/>
    </font>
    <font>
      <sz val="11"/>
      <color theme="1"/>
      <name val="Calibri"/>
      <family val="2"/>
      <scheme val="minor"/>
    </font>
    <font>
      <b/>
      <sz val="8"/>
      <color theme="1"/>
      <name val="Calibri (Corpo)"/>
    </font>
    <font>
      <sz val="9"/>
      <color theme="1"/>
      <name val="Roboto"/>
    </font>
    <font>
      <sz val="9"/>
      <color theme="8"/>
      <name val="Roboto"/>
    </font>
    <font>
      <sz val="9"/>
      <color theme="9"/>
      <name val="Roboto"/>
    </font>
    <font>
      <sz val="9"/>
      <color rgb="FF0070C0"/>
      <name val="Roboto"/>
    </font>
    <font>
      <b/>
      <sz val="9"/>
      <color rgb="FF0070C0"/>
      <name val="Roboto"/>
    </font>
    <font>
      <b/>
      <sz val="9"/>
      <color theme="1"/>
      <name val="Roboto"/>
    </font>
    <font>
      <sz val="10"/>
      <color rgb="FF77206D"/>
      <name val="Roboto"/>
    </font>
    <font>
      <b/>
      <sz val="10"/>
      <color rgb="FF77206D"/>
      <name val="Roboto"/>
    </font>
    <font>
      <sz val="9"/>
      <color rgb="FFC00000"/>
      <name val="Roboto"/>
    </font>
    <font>
      <sz val="9"/>
      <color rgb="FF7030A0"/>
      <name val="Roboto"/>
    </font>
    <font>
      <b/>
      <sz val="9"/>
      <color rgb="FF7030A0"/>
      <name val="Roboto"/>
    </font>
    <font>
      <sz val="9"/>
      <color rgb="FF00B050"/>
      <name val="Roboto"/>
    </font>
    <font>
      <b/>
      <sz val="9"/>
      <color rgb="FF00B050"/>
      <name val="Roboto"/>
    </font>
    <font>
      <b/>
      <sz val="8"/>
      <color theme="1"/>
      <name val="Roboto"/>
    </font>
    <font>
      <sz val="9"/>
      <color rgb="FF196B24"/>
      <name val="Roboto"/>
    </font>
    <font>
      <u/>
      <sz val="9"/>
      <color rgb="FF0070C0"/>
      <name val="Roboto"/>
    </font>
    <font>
      <u/>
      <sz val="9"/>
      <color rgb="FF00B050"/>
      <name val="Roboto"/>
    </font>
    <font>
      <sz val="7"/>
      <color theme="1"/>
      <name val="Times New Roman"/>
      <family val="1"/>
    </font>
    <font>
      <u/>
      <sz val="9"/>
      <color rgb="FF7030A0"/>
      <name val="Roboto"/>
    </font>
    <font>
      <b/>
      <sz val="9"/>
      <color rgb="FF000000"/>
      <name val="Roboto"/>
    </font>
  </fonts>
  <fills count="7">
    <fill>
      <patternFill patternType="none"/>
    </fill>
    <fill>
      <patternFill patternType="gray125"/>
    </fill>
    <fill>
      <patternFill patternType="solid">
        <fgColor theme="7"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rgb="FFFFFFFF"/>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right/>
      <top style="medium">
        <color indexed="64"/>
      </top>
      <bottom style="medium">
        <color indexed="64"/>
      </bottom>
      <diagonal/>
    </border>
  </borders>
  <cellStyleXfs count="4">
    <xf numFmtId="0" fontId="0" fillId="0" borderId="0"/>
    <xf numFmtId="43" fontId="4" fillId="0" borderId="0" applyFont="0" applyFill="0" applyBorder="0" applyAlignment="0" applyProtection="0"/>
    <xf numFmtId="44" fontId="4" fillId="0" borderId="0" applyFont="0" applyFill="0" applyBorder="0" applyAlignment="0" applyProtection="0"/>
    <xf numFmtId="0" fontId="1" fillId="0" borderId="0"/>
  </cellStyleXfs>
  <cellXfs count="119">
    <xf numFmtId="0" fontId="0" fillId="0" borderId="0" xfId="0"/>
    <xf numFmtId="0" fontId="2" fillId="0" borderId="1" xfId="0" applyFont="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2" borderId="3" xfId="0" applyFill="1" applyBorder="1" applyAlignment="1">
      <alignment vertical="center" wrapText="1"/>
    </xf>
    <xf numFmtId="0" fontId="3" fillId="2" borderId="1" xfId="0" applyFont="1" applyFill="1" applyBorder="1" applyAlignment="1">
      <alignment vertical="center" wrapText="1"/>
    </xf>
    <xf numFmtId="0" fontId="2" fillId="0" borderId="3" xfId="0" applyFont="1" applyBorder="1" applyAlignment="1">
      <alignment horizontal="center" vertical="center" wrapText="1"/>
    </xf>
    <xf numFmtId="0" fontId="2" fillId="0" borderId="0" xfId="0" applyFont="1" applyAlignment="1">
      <alignment vertical="center"/>
    </xf>
    <xf numFmtId="0" fontId="0" fillId="0" borderId="1" xfId="0" applyBorder="1" applyAlignment="1">
      <alignment vertical="center" wrapText="1"/>
    </xf>
    <xf numFmtId="0" fontId="0" fillId="3" borderId="10" xfId="0" applyFill="1" applyBorder="1" applyAlignment="1">
      <alignment vertical="center" wrapText="1"/>
    </xf>
    <xf numFmtId="0" fontId="2" fillId="0" borderId="6" xfId="0" applyFont="1" applyBorder="1" applyAlignment="1">
      <alignment vertical="center" wrapText="1"/>
    </xf>
    <xf numFmtId="0" fontId="2" fillId="0" borderId="3" xfId="0" applyFont="1" applyBorder="1" applyAlignment="1">
      <alignment vertical="center" wrapText="1"/>
    </xf>
    <xf numFmtId="0" fontId="2" fillId="3" borderId="16"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64" fontId="0" fillId="3" borderId="10" xfId="1" applyNumberFormat="1" applyFont="1" applyFill="1" applyBorder="1" applyAlignment="1">
      <alignment vertical="center" wrapText="1"/>
    </xf>
    <xf numFmtId="0" fontId="0" fillId="0" borderId="4" xfId="0"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center" vertical="center" wrapText="1"/>
    </xf>
    <xf numFmtId="44" fontId="0" fillId="2" borderId="1" xfId="2" applyFont="1" applyFill="1" applyBorder="1" applyAlignment="1">
      <alignment vertical="center" wrapText="1"/>
    </xf>
    <xf numFmtId="9" fontId="0" fillId="0" borderId="4" xfId="0" applyNumberFormat="1" applyBorder="1" applyAlignment="1">
      <alignment horizontal="center" vertical="center" wrapText="1"/>
    </xf>
    <xf numFmtId="0" fontId="0" fillId="0" borderId="4" xfId="0" applyBorder="1" applyAlignment="1">
      <alignment vertical="center" wrapText="1"/>
    </xf>
    <xf numFmtId="0" fontId="2" fillId="0" borderId="4" xfId="0" applyFont="1" applyBorder="1" applyAlignment="1">
      <alignment vertical="center" wrapText="1"/>
    </xf>
    <xf numFmtId="164" fontId="0" fillId="0" borderId="1" xfId="1" applyNumberFormat="1" applyFont="1" applyBorder="1" applyAlignment="1">
      <alignment vertical="center" wrapText="1"/>
    </xf>
    <xf numFmtId="164" fontId="0" fillId="2" borderId="1" xfId="1" applyNumberFormat="1" applyFont="1" applyFill="1" applyBorder="1" applyAlignment="1">
      <alignment vertical="center" wrapText="1"/>
    </xf>
    <xf numFmtId="9" fontId="0" fillId="0" borderId="1" xfId="0" applyNumberFormat="1" applyBorder="1" applyAlignment="1">
      <alignment horizontal="center" vertical="center" wrapText="1"/>
    </xf>
    <xf numFmtId="164" fontId="0" fillId="0" borderId="4" xfId="1" applyNumberFormat="1" applyFont="1" applyBorder="1" applyAlignment="1">
      <alignment vertical="center" wrapText="1"/>
    </xf>
    <xf numFmtId="164" fontId="0" fillId="2" borderId="9" xfId="1" applyNumberFormat="1" applyFont="1" applyFill="1" applyBorder="1" applyAlignment="1">
      <alignment vertical="center" wrapText="1"/>
    </xf>
    <xf numFmtId="164" fontId="0" fillId="2" borderId="8" xfId="1" applyNumberFormat="1" applyFont="1" applyFill="1" applyBorder="1" applyAlignment="1">
      <alignment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164" fontId="0" fillId="2" borderId="4" xfId="1" applyNumberFormat="1" applyFont="1" applyFill="1" applyBorder="1" applyAlignment="1">
      <alignment vertical="center" wrapText="1"/>
    </xf>
    <xf numFmtId="164" fontId="0" fillId="2" borderId="2" xfId="1" applyNumberFormat="1" applyFont="1" applyFill="1" applyBorder="1" applyAlignment="1">
      <alignment vertical="center" wrapText="1"/>
    </xf>
    <xf numFmtId="164" fontId="0" fillId="4" borderId="20" xfId="1" applyNumberFormat="1" applyFont="1" applyFill="1" applyBorder="1" applyAlignment="1">
      <alignment vertical="center" wrapText="1"/>
    </xf>
    <xf numFmtId="0" fontId="2" fillId="4" borderId="20" xfId="0" applyFont="1" applyFill="1" applyBorder="1" applyAlignment="1">
      <alignment vertical="center" wrapText="1"/>
    </xf>
    <xf numFmtId="0" fontId="2" fillId="4" borderId="21" xfId="0" applyFont="1" applyFill="1" applyBorder="1" applyAlignment="1">
      <alignment vertical="center" wrapText="1"/>
    </xf>
    <xf numFmtId="164" fontId="0" fillId="4" borderId="10" xfId="1" applyNumberFormat="1" applyFont="1" applyFill="1" applyBorder="1" applyAlignment="1">
      <alignment vertical="center" wrapText="1"/>
    </xf>
    <xf numFmtId="0" fontId="2" fillId="0" borderId="0" xfId="0" applyFont="1"/>
    <xf numFmtId="0" fontId="6" fillId="0" borderId="0" xfId="3" applyFont="1"/>
    <xf numFmtId="0" fontId="6" fillId="0" borderId="0" xfId="3" applyFont="1" applyAlignment="1">
      <alignment vertical="top"/>
    </xf>
    <xf numFmtId="0" fontId="7" fillId="0" borderId="0" xfId="3" applyFont="1" applyAlignment="1">
      <alignment vertical="center"/>
    </xf>
    <xf numFmtId="0" fontId="6" fillId="0" borderId="1" xfId="3" applyFont="1" applyBorder="1" applyAlignment="1">
      <alignment horizontal="left" vertical="center" wrapText="1"/>
    </xf>
    <xf numFmtId="0" fontId="9" fillId="0" borderId="0" xfId="3" applyFont="1" applyAlignment="1">
      <alignment vertical="center"/>
    </xf>
    <xf numFmtId="0" fontId="9" fillId="0" borderId="1" xfId="3" applyFont="1" applyBorder="1" applyAlignment="1">
      <alignment vertical="top" wrapText="1"/>
    </xf>
    <xf numFmtId="0" fontId="9" fillId="0" borderId="0" xfId="3" applyFont="1" applyAlignment="1">
      <alignment vertical="center" wrapText="1"/>
    </xf>
    <xf numFmtId="0" fontId="11" fillId="0" borderId="0" xfId="3" applyFont="1" applyAlignment="1">
      <alignment vertical="top"/>
    </xf>
    <xf numFmtId="0" fontId="6" fillId="0" borderId="1" xfId="3" applyFont="1" applyBorder="1" applyAlignment="1">
      <alignment vertical="center" wrapText="1"/>
    </xf>
    <xf numFmtId="0" fontId="6" fillId="0" borderId="1" xfId="3" applyFont="1" applyBorder="1" applyAlignment="1">
      <alignment vertical="top" wrapText="1"/>
    </xf>
    <xf numFmtId="0" fontId="11" fillId="0" borderId="0" xfId="3" applyFont="1" applyAlignment="1">
      <alignment vertical="center"/>
    </xf>
    <xf numFmtId="0" fontId="12" fillId="5" borderId="25" xfId="0" applyFont="1" applyFill="1" applyBorder="1" applyAlignment="1">
      <alignment horizontal="justify" vertical="center" wrapText="1"/>
    </xf>
    <xf numFmtId="0" fontId="12" fillId="5" borderId="0" xfId="0" applyFont="1" applyFill="1" applyAlignment="1">
      <alignment horizontal="justify" vertical="center" wrapText="1"/>
    </xf>
    <xf numFmtId="0" fontId="12" fillId="5" borderId="25" xfId="0" applyFont="1" applyFill="1" applyBorder="1" applyAlignment="1">
      <alignment horizontal="left" vertical="center" wrapText="1"/>
    </xf>
    <xf numFmtId="0" fontId="12" fillId="5" borderId="0" xfId="0" applyFont="1" applyFill="1" applyAlignment="1">
      <alignment horizontal="left" vertical="center" wrapText="1"/>
    </xf>
    <xf numFmtId="0" fontId="0" fillId="0" borderId="0" xfId="0" applyAlignment="1">
      <alignment horizontal="left"/>
    </xf>
    <xf numFmtId="0" fontId="12" fillId="5" borderId="26" xfId="0" applyFont="1" applyFill="1" applyBorder="1" applyAlignment="1">
      <alignment horizontal="justify" vertical="center" wrapText="1"/>
    </xf>
    <xf numFmtId="0" fontId="13" fillId="0" borderId="25" xfId="0" applyFont="1" applyBorder="1" applyAlignment="1">
      <alignment horizontal="justify" vertical="center" wrapText="1"/>
    </xf>
    <xf numFmtId="0" fontId="13" fillId="0" borderId="0" xfId="0" applyFont="1" applyAlignment="1">
      <alignment horizontal="justify" vertical="center" wrapText="1"/>
    </xf>
    <xf numFmtId="0" fontId="13" fillId="0" borderId="26" xfId="0" applyFont="1" applyBorder="1" applyAlignment="1">
      <alignment horizontal="justify" vertical="center" wrapText="1"/>
    </xf>
    <xf numFmtId="0" fontId="11" fillId="0" borderId="0" xfId="3" applyFont="1"/>
    <xf numFmtId="0" fontId="14" fillId="0" borderId="0" xfId="3" applyFont="1" applyAlignment="1">
      <alignment vertical="top" wrapText="1"/>
    </xf>
    <xf numFmtId="0" fontId="14" fillId="0" borderId="24" xfId="3" applyFont="1" applyBorder="1" applyAlignment="1">
      <alignment vertical="top" wrapText="1"/>
    </xf>
    <xf numFmtId="0" fontId="8" fillId="0" borderId="0" xfId="3" applyFont="1" applyAlignment="1">
      <alignment vertical="center" wrapText="1"/>
    </xf>
    <xf numFmtId="0" fontId="11" fillId="6" borderId="6" xfId="3" applyFont="1" applyFill="1" applyBorder="1" applyAlignment="1">
      <alignment vertical="top"/>
    </xf>
    <xf numFmtId="0" fontId="11" fillId="6" borderId="7" xfId="3" applyFont="1" applyFill="1" applyBorder="1" applyAlignment="1">
      <alignment vertical="top"/>
    </xf>
    <xf numFmtId="0" fontId="11" fillId="6" borderId="1" xfId="3" applyFont="1" applyFill="1" applyBorder="1" applyAlignment="1">
      <alignment vertical="top" wrapText="1"/>
    </xf>
    <xf numFmtId="0" fontId="19" fillId="6" borderId="1" xfId="3" applyFont="1" applyFill="1" applyBorder="1" applyAlignment="1">
      <alignment vertical="top" wrapText="1"/>
    </xf>
    <xf numFmtId="0" fontId="11" fillId="6" borderId="5" xfId="3" applyFont="1" applyFill="1" applyBorder="1" applyAlignment="1">
      <alignment vertical="top"/>
    </xf>
    <xf numFmtId="0" fontId="17" fillId="0" borderId="1" xfId="3" applyFont="1" applyBorder="1" applyAlignment="1">
      <alignment vertical="top" wrapText="1"/>
    </xf>
    <xf numFmtId="0" fontId="6"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horizontal="left" vertical="center" wrapText="1" indent="1"/>
    </xf>
    <xf numFmtId="0" fontId="11" fillId="0" borderId="1" xfId="3" applyFont="1" applyBorder="1" applyAlignment="1">
      <alignment vertical="center"/>
    </xf>
    <xf numFmtId="0" fontId="6" fillId="0" borderId="1" xfId="0" applyFont="1" applyBorder="1" applyAlignment="1">
      <alignment horizontal="left" vertical="center" wrapText="1" indent="1"/>
    </xf>
    <xf numFmtId="0" fontId="6" fillId="0" borderId="1" xfId="0" applyFont="1" applyBorder="1" applyAlignment="1">
      <alignment vertical="center" wrapText="1"/>
    </xf>
    <xf numFmtId="0" fontId="15" fillId="0" borderId="1" xfId="3" applyFont="1" applyBorder="1" applyAlignment="1">
      <alignment vertical="center" wrapText="1"/>
    </xf>
    <xf numFmtId="0" fontId="11" fillId="0" borderId="2" xfId="3" applyFont="1" applyBorder="1" applyAlignment="1">
      <alignment horizontal="center" vertical="top" wrapText="1"/>
    </xf>
    <xf numFmtId="0" fontId="11" fillId="0" borderId="5" xfId="3" applyFont="1" applyBorder="1" applyAlignment="1">
      <alignment horizontal="center" vertical="top" wrapText="1"/>
    </xf>
    <xf numFmtId="0" fontId="6" fillId="0" borderId="2" xfId="3" applyFont="1" applyBorder="1" applyAlignment="1">
      <alignment horizontal="center" vertical="top" wrapText="1"/>
    </xf>
    <xf numFmtId="0" fontId="25" fillId="6" borderId="1" xfId="3" applyFont="1" applyFill="1" applyBorder="1" applyAlignment="1">
      <alignment vertical="top"/>
    </xf>
    <xf numFmtId="0" fontId="15" fillId="0" borderId="1" xfId="3" applyFont="1" applyBorder="1" applyAlignment="1">
      <alignment vertical="top" wrapText="1"/>
    </xf>
    <xf numFmtId="0" fontId="9" fillId="0" borderId="1" xfId="0" applyFont="1" applyBorder="1" applyAlignment="1">
      <alignment vertical="center" wrapText="1"/>
    </xf>
    <xf numFmtId="0" fontId="17" fillId="0" borderId="1" xfId="0" applyFont="1" applyBorder="1" applyAlignment="1">
      <alignment vertical="center" wrapText="1"/>
    </xf>
    <xf numFmtId="0" fontId="15" fillId="0" borderId="9" xfId="0" applyFont="1" applyBorder="1" applyAlignment="1">
      <alignment vertical="center" wrapText="1"/>
    </xf>
    <xf numFmtId="0" fontId="6" fillId="0" borderId="9" xfId="3" applyFont="1" applyBorder="1" applyAlignment="1">
      <alignment horizontal="center" vertical="top" wrapText="1"/>
    </xf>
    <xf numFmtId="0" fontId="6" fillId="0" borderId="8" xfId="3" applyFont="1" applyBorder="1" applyAlignment="1">
      <alignment horizontal="center" vertical="top" wrapText="1"/>
    </xf>
    <xf numFmtId="0" fontId="15" fillId="0" borderId="1" xfId="3" applyFont="1" applyBorder="1" applyAlignment="1">
      <alignment horizontal="left" vertical="top" wrapText="1"/>
    </xf>
    <xf numFmtId="0" fontId="9" fillId="0" borderId="1" xfId="3" applyFont="1" applyBorder="1" applyAlignment="1">
      <alignment horizontal="left" vertical="top" wrapText="1"/>
    </xf>
    <xf numFmtId="0" fontId="11" fillId="0" borderId="4" xfId="3" applyFont="1" applyBorder="1" applyAlignment="1">
      <alignment horizontal="center" vertical="top" wrapText="1"/>
    </xf>
    <xf numFmtId="0" fontId="11" fillId="0" borderId="2" xfId="3" applyFont="1" applyBorder="1" applyAlignment="1">
      <alignment horizontal="center" vertical="top" wrapText="1"/>
    </xf>
    <xf numFmtId="0" fontId="11" fillId="0" borderId="5" xfId="3" applyFont="1" applyBorder="1" applyAlignment="1">
      <alignment horizontal="center" vertical="top" wrapText="1"/>
    </xf>
    <xf numFmtId="0" fontId="17" fillId="0" borderId="1" xfId="3" applyFont="1" applyBorder="1" applyAlignment="1">
      <alignment horizontal="left" vertical="top"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0" fillId="2" borderId="22" xfId="0" applyFill="1" applyBorder="1" applyAlignment="1">
      <alignment horizontal="center" vertical="center" wrapText="1"/>
    </xf>
    <xf numFmtId="164" fontId="0" fillId="2" borderId="22" xfId="1" applyNumberFormat="1" applyFont="1" applyFill="1" applyBorder="1" applyAlignment="1">
      <alignment horizontal="center" vertical="center" wrapText="1"/>
    </xf>
    <xf numFmtId="164" fontId="0" fillId="2" borderId="2" xfId="1" applyNumberFormat="1" applyFont="1" applyFill="1" applyBorder="1" applyAlignment="1">
      <alignment horizontal="center" vertical="center" wrapText="1"/>
    </xf>
    <xf numFmtId="164" fontId="0" fillId="2" borderId="5" xfId="1" applyNumberFormat="1" applyFont="1" applyFill="1" applyBorder="1" applyAlignment="1">
      <alignment horizontal="center" vertical="center" wrapText="1"/>
    </xf>
    <xf numFmtId="9" fontId="0" fillId="2" borderId="4" xfId="0" applyNumberFormat="1" applyFill="1" applyBorder="1" applyAlignment="1">
      <alignment horizontal="center" vertical="center" wrapText="1"/>
    </xf>
    <xf numFmtId="9" fontId="0" fillId="2" borderId="2" xfId="0" applyNumberForma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3" borderId="11"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7" xfId="0" applyFont="1" applyBorder="1" applyAlignment="1">
      <alignment horizontal="center" vertical="center" wrapText="1"/>
    </xf>
  </cellXfs>
  <cellStyles count="4">
    <cellStyle name="Moeda" xfId="2" builtinId="4"/>
    <cellStyle name="Normal" xfId="0" builtinId="0"/>
    <cellStyle name="Normal 2" xfId="3" xr:uid="{309E3AE7-811A-9747-B8CC-F24CBD13AF40}"/>
    <cellStyle name="Vírgula" xfId="1"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40640</xdr:colOff>
      <xdr:row>16</xdr:row>
      <xdr:rowOff>111761</xdr:rowOff>
    </xdr:from>
    <xdr:to>
      <xdr:col>4</xdr:col>
      <xdr:colOff>1585595</xdr:colOff>
      <xdr:row>31</xdr:row>
      <xdr:rowOff>58966</xdr:rowOff>
    </xdr:to>
    <xdr:pic>
      <xdr:nvPicPr>
        <xdr:cNvPr id="3" name="Imagem 2" descr="Shows a template for a theory of change mapping inputs to activities to outputs. Outputs then lead to step changes outside of the organisation (known as intermediate outcomes) and finally the impact (the long term goal of the intervention).">
          <a:extLst>
            <a:ext uri="{FF2B5EF4-FFF2-40B4-BE49-F238E27FC236}">
              <a16:creationId xmlns:a16="http://schemas.microsoft.com/office/drawing/2014/main" id="{B13BA2A1-5531-1C6C-F1FC-8A74EE0A6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4480" y="9042401"/>
          <a:ext cx="6753860" cy="238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940D-BFDC-2F49-95E6-F33B5ED00E74}">
  <dimension ref="B1:F23"/>
  <sheetViews>
    <sheetView tabSelected="1" topLeftCell="A3" workbookViewId="0">
      <selection activeCell="G3" sqref="G3"/>
    </sheetView>
  </sheetViews>
  <sheetFormatPr baseColWidth="10" defaultColWidth="11.5" defaultRowHeight="15" x14ac:dyDescent="0.2"/>
  <cols>
    <col min="2" max="2" width="32.33203125" customWidth="1"/>
    <col min="3" max="3" width="40.6640625" customWidth="1"/>
    <col min="5" max="5" width="26" customWidth="1"/>
    <col min="6" max="6" width="22.83203125" customWidth="1"/>
  </cols>
  <sheetData>
    <row r="1" spans="2:6" x14ac:dyDescent="0.2">
      <c r="B1" s="38" t="s">
        <v>71</v>
      </c>
    </row>
    <row r="2" spans="2:6" ht="16" thickBot="1" x14ac:dyDescent="0.25">
      <c r="B2" s="50" t="s">
        <v>72</v>
      </c>
      <c r="C2" s="50" t="s">
        <v>73</v>
      </c>
      <c r="D2" s="50" t="s">
        <v>74</v>
      </c>
      <c r="E2" s="50" t="s">
        <v>75</v>
      </c>
    </row>
    <row r="3" spans="2:6" s="54" customFormat="1" ht="53" thickBot="1" x14ac:dyDescent="0.25">
      <c r="B3" s="52" t="s">
        <v>76</v>
      </c>
      <c r="C3" s="52" t="s">
        <v>77</v>
      </c>
      <c r="D3" s="52" t="s">
        <v>78</v>
      </c>
      <c r="E3" s="52" t="s">
        <v>79</v>
      </c>
    </row>
    <row r="4" spans="2:6" s="54" customFormat="1" ht="66" thickBot="1" x14ac:dyDescent="0.25">
      <c r="B4" s="52" t="s">
        <v>80</v>
      </c>
      <c r="C4" s="52" t="s">
        <v>81</v>
      </c>
      <c r="D4" s="52" t="s">
        <v>82</v>
      </c>
      <c r="E4" s="52" t="s">
        <v>83</v>
      </c>
    </row>
    <row r="5" spans="2:6" s="54" customFormat="1" ht="53" thickBot="1" x14ac:dyDescent="0.25">
      <c r="B5" s="52" t="s">
        <v>84</v>
      </c>
      <c r="C5" s="52" t="s">
        <v>85</v>
      </c>
      <c r="D5" s="52" t="s">
        <v>78</v>
      </c>
      <c r="E5" s="52" t="s">
        <v>86</v>
      </c>
    </row>
    <row r="6" spans="2:6" s="54" customFormat="1" ht="39" x14ac:dyDescent="0.2">
      <c r="B6" s="53" t="s">
        <v>87</v>
      </c>
      <c r="C6" s="53" t="s">
        <v>88</v>
      </c>
      <c r="D6" s="53" t="s">
        <v>89</v>
      </c>
      <c r="E6" s="53" t="s">
        <v>90</v>
      </c>
    </row>
    <row r="8" spans="2:6" x14ac:dyDescent="0.2">
      <c r="B8" s="38" t="s">
        <v>91</v>
      </c>
    </row>
    <row r="9" spans="2:6" ht="16" thickBot="1" x14ac:dyDescent="0.25">
      <c r="B9" s="50" t="s">
        <v>72</v>
      </c>
      <c r="C9" s="50" t="s">
        <v>73</v>
      </c>
      <c r="D9" s="50" t="s">
        <v>74</v>
      </c>
      <c r="E9" s="50" t="s">
        <v>75</v>
      </c>
      <c r="F9" s="50" t="s">
        <v>92</v>
      </c>
    </row>
    <row r="10" spans="2:6" ht="53" thickBot="1" x14ac:dyDescent="0.25">
      <c r="B10" s="50" t="s">
        <v>93</v>
      </c>
      <c r="C10" s="50" t="s">
        <v>94</v>
      </c>
      <c r="D10" s="50" t="s">
        <v>89</v>
      </c>
      <c r="E10" s="50" t="s">
        <v>95</v>
      </c>
      <c r="F10" s="50" t="s">
        <v>96</v>
      </c>
    </row>
    <row r="11" spans="2:6" ht="66" thickBot="1" x14ac:dyDescent="0.25">
      <c r="B11" s="50" t="s">
        <v>97</v>
      </c>
      <c r="C11" s="50" t="s">
        <v>98</v>
      </c>
      <c r="D11" s="50" t="s">
        <v>82</v>
      </c>
      <c r="E11" s="50" t="s">
        <v>99</v>
      </c>
      <c r="F11" s="50" t="s">
        <v>100</v>
      </c>
    </row>
    <row r="12" spans="2:6" ht="53" thickBot="1" x14ac:dyDescent="0.25">
      <c r="B12" s="51" t="s">
        <v>101</v>
      </c>
      <c r="C12" s="50" t="s">
        <v>102</v>
      </c>
      <c r="D12" s="51" t="s">
        <v>78</v>
      </c>
      <c r="E12" s="51" t="s">
        <v>103</v>
      </c>
      <c r="F12" s="50" t="s">
        <v>104</v>
      </c>
    </row>
    <row r="13" spans="2:6" ht="40" thickBot="1" x14ac:dyDescent="0.25">
      <c r="B13" s="55" t="s">
        <v>105</v>
      </c>
      <c r="C13" s="50" t="s">
        <v>106</v>
      </c>
      <c r="D13" s="55" t="s">
        <v>78</v>
      </c>
      <c r="E13" s="55" t="s">
        <v>107</v>
      </c>
      <c r="F13" s="50" t="s">
        <v>108</v>
      </c>
    </row>
    <row r="14" spans="2:6" ht="65" x14ac:dyDescent="0.2">
      <c r="B14" s="51" t="s">
        <v>109</v>
      </c>
      <c r="C14" s="51" t="s">
        <v>110</v>
      </c>
      <c r="D14" s="51" t="s">
        <v>111</v>
      </c>
      <c r="E14" s="51" t="s">
        <v>112</v>
      </c>
      <c r="F14" s="51" t="s">
        <v>113</v>
      </c>
    </row>
    <row r="17" spans="2:6" ht="16" thickBot="1" x14ac:dyDescent="0.25">
      <c r="B17" s="56" t="s">
        <v>114</v>
      </c>
      <c r="C17" s="56" t="s">
        <v>115</v>
      </c>
      <c r="D17" s="56" t="s">
        <v>116</v>
      </c>
      <c r="E17" s="56" t="s">
        <v>117</v>
      </c>
      <c r="F17" s="56" t="s">
        <v>118</v>
      </c>
    </row>
    <row r="18" spans="2:6" ht="66" thickBot="1" x14ac:dyDescent="0.25">
      <c r="B18" s="56" t="s">
        <v>119</v>
      </c>
      <c r="C18" s="56" t="s">
        <v>120</v>
      </c>
      <c r="D18" s="56" t="s">
        <v>121</v>
      </c>
      <c r="E18" s="56" t="s">
        <v>122</v>
      </c>
      <c r="F18" s="56" t="s">
        <v>123</v>
      </c>
    </row>
    <row r="19" spans="2:6" ht="53" thickBot="1" x14ac:dyDescent="0.25">
      <c r="B19" s="56" t="s">
        <v>124</v>
      </c>
      <c r="C19" s="56" t="s">
        <v>120</v>
      </c>
      <c r="D19" s="56" t="s">
        <v>125</v>
      </c>
      <c r="E19" s="56" t="s">
        <v>122</v>
      </c>
      <c r="F19" s="56" t="s">
        <v>123</v>
      </c>
    </row>
    <row r="20" spans="2:6" ht="79" thickBot="1" x14ac:dyDescent="0.25">
      <c r="B20" s="56" t="s">
        <v>126</v>
      </c>
      <c r="C20" s="56" t="s">
        <v>120</v>
      </c>
      <c r="D20" s="56" t="s">
        <v>127</v>
      </c>
      <c r="E20" s="56" t="s">
        <v>128</v>
      </c>
      <c r="F20" s="56" t="s">
        <v>129</v>
      </c>
    </row>
    <row r="21" spans="2:6" ht="53" thickBot="1" x14ac:dyDescent="0.25">
      <c r="B21" s="56" t="s">
        <v>130</v>
      </c>
      <c r="C21" s="57" t="s">
        <v>120</v>
      </c>
      <c r="D21" s="57" t="s">
        <v>131</v>
      </c>
      <c r="E21" s="57" t="s">
        <v>132</v>
      </c>
      <c r="F21" s="57" t="s">
        <v>133</v>
      </c>
    </row>
    <row r="22" spans="2:6" ht="66" thickBot="1" x14ac:dyDescent="0.25">
      <c r="B22" s="56" t="s">
        <v>134</v>
      </c>
      <c r="C22" s="58" t="s">
        <v>135</v>
      </c>
      <c r="D22" s="58" t="s">
        <v>136</v>
      </c>
      <c r="E22" s="58" t="s">
        <v>137</v>
      </c>
      <c r="F22" s="58" t="s">
        <v>133</v>
      </c>
    </row>
    <row r="23" spans="2:6" ht="65" x14ac:dyDescent="0.2">
      <c r="B23" s="57" t="s">
        <v>138</v>
      </c>
      <c r="C23" s="57" t="s">
        <v>120</v>
      </c>
      <c r="D23" s="57" t="s">
        <v>139</v>
      </c>
      <c r="E23" s="57" t="s">
        <v>137</v>
      </c>
      <c r="F23" s="57" t="s">
        <v>140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0E85-D8E7-4247-8B6B-2291086E1E40}">
  <sheetPr>
    <tabColor rgb="FF0070C0"/>
  </sheetPr>
  <dimension ref="B1:Q17"/>
  <sheetViews>
    <sheetView showGridLines="0" workbookViewId="0">
      <selection activeCell="M2" sqref="M2"/>
    </sheetView>
  </sheetViews>
  <sheetFormatPr baseColWidth="10" defaultColWidth="10.83203125" defaultRowHeight="12" customHeight="1" x14ac:dyDescent="0.15"/>
  <cols>
    <col min="1" max="1" width="3.1640625" style="39" customWidth="1"/>
    <col min="2" max="2" width="19.33203125" style="40" customWidth="1"/>
    <col min="3" max="3" width="25.33203125" style="40" customWidth="1"/>
    <col min="4" max="4" width="24" style="40" customWidth="1"/>
    <col min="5" max="5" width="28.5" style="40" customWidth="1"/>
    <col min="6" max="6" width="1.1640625" style="40" customWidth="1"/>
    <col min="7" max="7" width="6.83203125" style="40" customWidth="1"/>
    <col min="8" max="8" width="23.83203125" style="40" customWidth="1"/>
    <col min="9" max="9" width="11.6640625" style="40" customWidth="1"/>
    <col min="10" max="10" width="13" style="40" customWidth="1"/>
    <col min="11" max="11" width="1.6640625" style="40" customWidth="1"/>
    <col min="12" max="12" width="30.6640625" style="40" customWidth="1"/>
    <col min="13" max="13" width="19.83203125" style="39" customWidth="1"/>
    <col min="14" max="14" width="44.33203125" style="39" customWidth="1"/>
    <col min="15" max="15" width="2.1640625" style="39" customWidth="1"/>
    <col min="16" max="17" width="21.83203125" style="39" customWidth="1"/>
    <col min="18" max="16384" width="10.83203125" style="39"/>
  </cols>
  <sheetData>
    <row r="1" spans="2:17" ht="14" customHeight="1" x14ac:dyDescent="0.2">
      <c r="B1" t="s">
        <v>0</v>
      </c>
      <c r="C1"/>
      <c r="L1" s="40" t="s">
        <v>1</v>
      </c>
      <c r="P1" s="39" t="s">
        <v>2</v>
      </c>
    </row>
    <row r="2" spans="2:17" ht="11" x14ac:dyDescent="0.15">
      <c r="B2" s="46"/>
      <c r="C2" s="46"/>
    </row>
    <row r="3" spans="2:17" ht="11" x14ac:dyDescent="0.15">
      <c r="B3" s="63" t="s">
        <v>3</v>
      </c>
      <c r="C3" s="64"/>
      <c r="D3" s="64"/>
      <c r="E3" s="64"/>
      <c r="F3" s="46"/>
      <c r="G3" s="63" t="s">
        <v>4</v>
      </c>
      <c r="H3" s="64"/>
      <c r="I3" s="64"/>
      <c r="J3" s="64"/>
      <c r="L3" s="49" t="s">
        <v>5</v>
      </c>
      <c r="P3" s="59" t="s">
        <v>6</v>
      </c>
    </row>
    <row r="4" spans="2:17" ht="51.75" customHeight="1" x14ac:dyDescent="0.15">
      <c r="B4" s="67" t="s">
        <v>7</v>
      </c>
      <c r="C4" s="67" t="s">
        <v>8</v>
      </c>
      <c r="D4" s="79" t="s">
        <v>9</v>
      </c>
      <c r="E4" s="63" t="s">
        <v>10</v>
      </c>
      <c r="F4" s="46"/>
      <c r="G4" s="65" t="s">
        <v>11</v>
      </c>
      <c r="H4" s="66" t="s">
        <v>12</v>
      </c>
      <c r="I4" s="66" t="s">
        <v>13</v>
      </c>
      <c r="J4" s="66" t="s">
        <v>14</v>
      </c>
      <c r="K4" s="46"/>
      <c r="L4" s="72" t="s">
        <v>15</v>
      </c>
      <c r="M4" s="72" t="s">
        <v>16</v>
      </c>
      <c r="N4" s="72" t="s">
        <v>17</v>
      </c>
      <c r="P4" s="72" t="s">
        <v>18</v>
      </c>
      <c r="Q4" s="72" t="s">
        <v>19</v>
      </c>
    </row>
    <row r="5" spans="2:17" ht="153.75" customHeight="1" x14ac:dyDescent="0.15">
      <c r="B5" s="88" t="s">
        <v>20</v>
      </c>
      <c r="C5" s="84" t="s">
        <v>21</v>
      </c>
      <c r="D5" s="87" t="s">
        <v>22</v>
      </c>
      <c r="E5" s="44" t="s">
        <v>23</v>
      </c>
      <c r="F5" s="60"/>
      <c r="G5" s="42" t="s">
        <v>24</v>
      </c>
      <c r="H5" s="42" t="s">
        <v>25</v>
      </c>
      <c r="I5" s="42" t="s">
        <v>26</v>
      </c>
      <c r="J5" s="42" t="s">
        <v>27</v>
      </c>
      <c r="K5" s="45"/>
      <c r="L5" s="44" t="s">
        <v>28</v>
      </c>
      <c r="M5" s="73" t="s">
        <v>29</v>
      </c>
      <c r="N5" s="74" t="s">
        <v>30</v>
      </c>
      <c r="P5" s="81" t="s">
        <v>31</v>
      </c>
      <c r="Q5" s="81" t="s">
        <v>32</v>
      </c>
    </row>
    <row r="6" spans="2:17" ht="166.5" customHeight="1" x14ac:dyDescent="0.15">
      <c r="B6" s="89"/>
      <c r="C6" s="85" t="s">
        <v>33</v>
      </c>
      <c r="D6" s="87"/>
      <c r="E6" s="44" t="s">
        <v>34</v>
      </c>
      <c r="F6" s="60"/>
      <c r="G6" s="42" t="s">
        <v>35</v>
      </c>
      <c r="H6" s="42" t="s">
        <v>36</v>
      </c>
      <c r="I6" s="42" t="s">
        <v>37</v>
      </c>
      <c r="J6" s="42" t="s">
        <v>38</v>
      </c>
      <c r="K6" s="43"/>
      <c r="L6" s="68" t="s">
        <v>39</v>
      </c>
      <c r="M6" s="73" t="s">
        <v>40</v>
      </c>
      <c r="N6" s="74" t="s">
        <v>41</v>
      </c>
      <c r="O6" s="69"/>
      <c r="P6" s="82" t="s">
        <v>42</v>
      </c>
      <c r="Q6" s="82" t="s">
        <v>43</v>
      </c>
    </row>
    <row r="7" spans="2:17" ht="204.75" customHeight="1" x14ac:dyDescent="0.15">
      <c r="B7" s="89"/>
      <c r="C7" s="85" t="s">
        <v>44</v>
      </c>
      <c r="D7" s="91" t="s">
        <v>45</v>
      </c>
      <c r="E7" s="68" t="s">
        <v>46</v>
      </c>
      <c r="F7" s="61"/>
      <c r="G7" s="42" t="s">
        <v>47</v>
      </c>
      <c r="H7" s="42" t="s">
        <v>48</v>
      </c>
      <c r="I7" s="42" t="s">
        <v>49</v>
      </c>
      <c r="J7" s="42" t="s">
        <v>38</v>
      </c>
      <c r="K7" s="62"/>
      <c r="L7" s="75" t="s">
        <v>50</v>
      </c>
      <c r="M7" s="73" t="s">
        <v>51</v>
      </c>
      <c r="N7" s="48" t="s">
        <v>52</v>
      </c>
      <c r="O7" s="70"/>
      <c r="P7" s="83" t="s">
        <v>53</v>
      </c>
      <c r="Q7" s="83" t="s">
        <v>54</v>
      </c>
    </row>
    <row r="8" spans="2:17" ht="125.25" customHeight="1" x14ac:dyDescent="0.15">
      <c r="B8" s="89"/>
      <c r="C8" s="78" t="s">
        <v>55</v>
      </c>
      <c r="D8" s="91"/>
      <c r="E8" s="68" t="s">
        <v>56</v>
      </c>
      <c r="F8" s="61"/>
      <c r="G8" s="42" t="s">
        <v>57</v>
      </c>
      <c r="H8" s="42" t="s">
        <v>58</v>
      </c>
      <c r="I8" s="42" t="s">
        <v>59</v>
      </c>
      <c r="J8" s="42" t="s">
        <v>38</v>
      </c>
      <c r="K8" s="62"/>
      <c r="L8" s="62"/>
      <c r="M8" s="71"/>
      <c r="N8" s="70"/>
      <c r="O8" s="70"/>
      <c r="Q8" s="70"/>
    </row>
    <row r="9" spans="2:17" ht="108" customHeight="1" x14ac:dyDescent="0.15">
      <c r="B9" s="89"/>
      <c r="C9" s="76"/>
      <c r="D9" s="86" t="s">
        <v>60</v>
      </c>
      <c r="E9" s="80" t="s">
        <v>61</v>
      </c>
      <c r="F9" s="60"/>
      <c r="G9" s="42" t="s">
        <v>62</v>
      </c>
      <c r="H9" s="42" t="s">
        <v>63</v>
      </c>
      <c r="I9" s="42" t="s">
        <v>64</v>
      </c>
      <c r="J9" s="42" t="s">
        <v>65</v>
      </c>
      <c r="K9" s="41"/>
      <c r="L9" s="41"/>
      <c r="M9" s="71"/>
      <c r="N9" s="70"/>
      <c r="O9" s="70"/>
    </row>
    <row r="10" spans="2:17" ht="86.25" customHeight="1" x14ac:dyDescent="0.15">
      <c r="B10" s="90"/>
      <c r="C10" s="77"/>
      <c r="D10" s="86"/>
      <c r="E10" s="80" t="s">
        <v>66</v>
      </c>
      <c r="F10" s="60"/>
      <c r="G10" s="42" t="s">
        <v>67</v>
      </c>
      <c r="H10" s="42" t="s">
        <v>68</v>
      </c>
      <c r="I10" s="42" t="s">
        <v>69</v>
      </c>
      <c r="J10" s="42" t="s">
        <v>38</v>
      </c>
      <c r="K10" s="41"/>
      <c r="L10" s="41"/>
    </row>
    <row r="13" spans="2:17" ht="11" x14ac:dyDescent="0.15">
      <c r="E13" s="47"/>
    </row>
    <row r="16" spans="2:17" ht="11" x14ac:dyDescent="0.15">
      <c r="B16" s="59" t="s">
        <v>70</v>
      </c>
      <c r="C16" s="59"/>
    </row>
    <row r="17" spans="2:3" ht="11" x14ac:dyDescent="0.15">
      <c r="B17" s="39"/>
      <c r="C17" s="39"/>
    </row>
  </sheetData>
  <mergeCells count="4">
    <mergeCell ref="D9:D10"/>
    <mergeCell ref="D5:D6"/>
    <mergeCell ref="B5:B10"/>
    <mergeCell ref="D7:D8"/>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CBD-65DC-43EE-9E9C-B9D14DFA578F}">
  <dimension ref="A2:Y16"/>
  <sheetViews>
    <sheetView showGridLines="0" topLeftCell="D1" zoomScale="106" workbookViewId="0">
      <selection activeCell="H13" sqref="H13:H14"/>
    </sheetView>
  </sheetViews>
  <sheetFormatPr baseColWidth="10" defaultColWidth="8.83203125" defaultRowHeight="15" x14ac:dyDescent="0.2"/>
  <cols>
    <col min="1" max="1" width="2.33203125" style="2" bestFit="1" customWidth="1"/>
    <col min="2" max="2" width="16.33203125" style="2" customWidth="1"/>
    <col min="3" max="3" width="4.1640625" style="2" bestFit="1" customWidth="1"/>
    <col min="4" max="4" width="13" style="19" bestFit="1" customWidth="1"/>
    <col min="5" max="5" width="9" style="2" bestFit="1" customWidth="1"/>
    <col min="6" max="6" width="8.5" style="2" bestFit="1" customWidth="1"/>
    <col min="7" max="7" width="6.6640625" style="2" bestFit="1" customWidth="1"/>
    <col min="8" max="8" width="23.33203125" style="2" customWidth="1"/>
    <col min="9" max="9" width="10" style="19" customWidth="1"/>
    <col min="10" max="10" width="9.33203125" style="2" bestFit="1" customWidth="1"/>
    <col min="11" max="11" width="7.1640625" style="2" customWidth="1"/>
    <col min="12" max="12" width="7.33203125" style="2" bestFit="1" customWidth="1"/>
    <col min="13" max="14" width="7.33203125" style="2" customWidth="1"/>
    <col min="15" max="15" width="6.6640625" style="2" customWidth="1"/>
    <col min="16" max="16" width="6" style="2" customWidth="1"/>
    <col min="17" max="17" width="11" style="2" customWidth="1"/>
    <col min="18" max="18" width="5" style="2" bestFit="1" customWidth="1"/>
    <col min="19" max="19" width="23.33203125" style="2" customWidth="1"/>
    <col min="20" max="20" width="15.5" style="2" bestFit="1" customWidth="1"/>
    <col min="21" max="21" width="12.1640625" style="2" bestFit="1" customWidth="1"/>
    <col min="22" max="22" width="8.83203125" style="2"/>
    <col min="23" max="23" width="25.5" style="2" bestFit="1" customWidth="1"/>
    <col min="24" max="24" width="11.6640625" style="2" bestFit="1" customWidth="1"/>
    <col min="25" max="25" width="17.5" style="2" bestFit="1" customWidth="1"/>
    <col min="26" max="16384" width="8.83203125" style="2"/>
  </cols>
  <sheetData>
    <row r="2" spans="1:25" ht="16" thickBot="1" x14ac:dyDescent="0.25">
      <c r="B2" s="8" t="s">
        <v>141</v>
      </c>
    </row>
    <row r="3" spans="1:25" ht="33.75" customHeight="1" thickBot="1" x14ac:dyDescent="0.25">
      <c r="A3" s="110" t="s">
        <v>142</v>
      </c>
      <c r="B3" s="110" t="s">
        <v>143</v>
      </c>
      <c r="C3" s="116" t="s">
        <v>144</v>
      </c>
      <c r="D3" s="117"/>
      <c r="E3" s="118"/>
      <c r="F3" s="118"/>
      <c r="G3" s="118"/>
      <c r="H3" s="118"/>
      <c r="I3" s="118"/>
      <c r="J3" s="118"/>
      <c r="K3" s="99" t="s">
        <v>145</v>
      </c>
      <c r="L3" s="112" t="s">
        <v>146</v>
      </c>
      <c r="M3" s="113"/>
      <c r="N3" s="113"/>
      <c r="O3" s="114"/>
      <c r="P3" s="115"/>
      <c r="Q3" s="99" t="s">
        <v>147</v>
      </c>
      <c r="R3" s="7"/>
      <c r="S3" s="110" t="s">
        <v>148</v>
      </c>
      <c r="T3" s="110"/>
      <c r="U3" s="110"/>
      <c r="V3" s="110"/>
      <c r="W3" s="110"/>
    </row>
    <row r="4" spans="1:25" ht="37" customHeight="1" thickBot="1" x14ac:dyDescent="0.25">
      <c r="A4" s="110"/>
      <c r="B4" s="111"/>
      <c r="C4" s="95" t="s">
        <v>149</v>
      </c>
      <c r="D4" s="96"/>
      <c r="E4" s="12" t="s">
        <v>150</v>
      </c>
      <c r="F4" s="3" t="s">
        <v>151</v>
      </c>
      <c r="G4" s="3" t="s">
        <v>152</v>
      </c>
      <c r="H4" s="3"/>
      <c r="I4" s="1" t="s">
        <v>153</v>
      </c>
      <c r="J4" s="11" t="s">
        <v>154</v>
      </c>
      <c r="K4" s="100"/>
      <c r="L4" s="13" t="s">
        <v>155</v>
      </c>
      <c r="M4" s="35" t="s">
        <v>156</v>
      </c>
      <c r="N4" s="36" t="s">
        <v>157</v>
      </c>
      <c r="O4" s="30" t="s">
        <v>158</v>
      </c>
      <c r="P4" s="31" t="s">
        <v>159</v>
      </c>
      <c r="Q4" s="100"/>
      <c r="R4" s="12" t="s">
        <v>115</v>
      </c>
      <c r="S4" s="3" t="s">
        <v>160</v>
      </c>
      <c r="T4" s="3" t="s">
        <v>161</v>
      </c>
      <c r="U4" s="3" t="s">
        <v>162</v>
      </c>
      <c r="V4" s="3" t="s">
        <v>163</v>
      </c>
      <c r="W4" s="3" t="s">
        <v>164</v>
      </c>
      <c r="X4" s="3" t="s">
        <v>165</v>
      </c>
      <c r="Y4" s="3" t="s">
        <v>166</v>
      </c>
    </row>
    <row r="5" spans="1:25" ht="32" x14ac:dyDescent="0.2">
      <c r="A5" s="92">
        <v>1</v>
      </c>
      <c r="B5" s="107" t="s">
        <v>167</v>
      </c>
      <c r="C5" s="93">
        <v>13</v>
      </c>
      <c r="D5" s="93" t="s">
        <v>168</v>
      </c>
      <c r="E5" s="92" t="s">
        <v>169</v>
      </c>
      <c r="F5" s="92" t="s">
        <v>170</v>
      </c>
      <c r="G5" s="92">
        <v>9</v>
      </c>
      <c r="H5" s="92" t="s">
        <v>171</v>
      </c>
      <c r="I5" s="101" t="s">
        <v>172</v>
      </c>
      <c r="J5" s="101"/>
      <c r="K5" s="101">
        <v>2</v>
      </c>
      <c r="L5" s="103">
        <v>1241</v>
      </c>
      <c r="M5" s="103">
        <f>L5</f>
        <v>1241</v>
      </c>
      <c r="N5" s="103">
        <v>0</v>
      </c>
      <c r="O5" s="105">
        <v>0.28999999999999998</v>
      </c>
      <c r="P5" s="105">
        <v>0.15</v>
      </c>
      <c r="Q5" s="102">
        <v>4500</v>
      </c>
      <c r="R5" s="92" t="s">
        <v>156</v>
      </c>
      <c r="S5" s="6" t="s">
        <v>173</v>
      </c>
      <c r="T5" s="4" t="s">
        <v>174</v>
      </c>
      <c r="U5" s="4"/>
      <c r="V5" s="4"/>
      <c r="W5" s="4" t="s">
        <v>175</v>
      </c>
      <c r="X5" s="92" t="s">
        <v>176</v>
      </c>
      <c r="Y5" s="92" t="s">
        <v>177</v>
      </c>
    </row>
    <row r="6" spans="1:25" x14ac:dyDescent="0.2">
      <c r="A6" s="93"/>
      <c r="B6" s="108"/>
      <c r="C6" s="93"/>
      <c r="D6" s="93"/>
      <c r="E6" s="93"/>
      <c r="F6" s="93"/>
      <c r="G6" s="93"/>
      <c r="H6" s="93"/>
      <c r="I6" s="93"/>
      <c r="J6" s="93"/>
      <c r="K6" s="93"/>
      <c r="L6" s="103"/>
      <c r="M6" s="103"/>
      <c r="N6" s="103"/>
      <c r="O6" s="93"/>
      <c r="P6" s="93"/>
      <c r="Q6" s="103"/>
      <c r="R6" s="93"/>
      <c r="S6" s="6" t="s">
        <v>178</v>
      </c>
      <c r="T6" s="4"/>
      <c r="U6" s="4"/>
      <c r="V6" s="4"/>
      <c r="W6" s="4"/>
      <c r="X6" s="93"/>
      <c r="Y6" s="93"/>
    </row>
    <row r="7" spans="1:25" x14ac:dyDescent="0.2">
      <c r="A7" s="93"/>
      <c r="B7" s="108"/>
      <c r="C7" s="93"/>
      <c r="D7" s="93"/>
      <c r="E7" s="93"/>
      <c r="F7" s="93"/>
      <c r="G7" s="93"/>
      <c r="H7" s="93"/>
      <c r="I7" s="93"/>
      <c r="J7" s="93"/>
      <c r="K7" s="93"/>
      <c r="L7" s="103"/>
      <c r="M7" s="103"/>
      <c r="N7" s="103"/>
      <c r="O7" s="93"/>
      <c r="P7" s="93"/>
      <c r="Q7" s="103"/>
      <c r="R7" s="93"/>
      <c r="S7" s="6" t="s">
        <v>179</v>
      </c>
      <c r="T7" s="4"/>
      <c r="U7" s="4"/>
      <c r="V7" s="4"/>
      <c r="W7" s="4"/>
      <c r="X7" s="93"/>
      <c r="Y7" s="93"/>
    </row>
    <row r="8" spans="1:25" ht="32" x14ac:dyDescent="0.2">
      <c r="A8" s="93"/>
      <c r="B8" s="108"/>
      <c r="C8" s="93"/>
      <c r="D8" s="93"/>
      <c r="E8" s="93"/>
      <c r="F8" s="93"/>
      <c r="G8" s="93"/>
      <c r="H8" s="93"/>
      <c r="I8" s="93"/>
      <c r="J8" s="93"/>
      <c r="K8" s="93"/>
      <c r="L8" s="103"/>
      <c r="M8" s="103"/>
      <c r="N8" s="103"/>
      <c r="O8" s="93"/>
      <c r="P8" s="93"/>
      <c r="Q8" s="103"/>
      <c r="R8" s="93"/>
      <c r="S8" s="6" t="s">
        <v>180</v>
      </c>
      <c r="T8" s="4"/>
      <c r="U8" s="4"/>
      <c r="V8" s="4"/>
      <c r="W8" s="4" t="s">
        <v>181</v>
      </c>
      <c r="X8" s="93"/>
      <c r="Y8" s="93"/>
    </row>
    <row r="9" spans="1:25" x14ac:dyDescent="0.2">
      <c r="A9" s="93"/>
      <c r="B9" s="108"/>
      <c r="C9" s="93"/>
      <c r="D9" s="93"/>
      <c r="E9" s="93"/>
      <c r="F9" s="93"/>
      <c r="G9" s="93"/>
      <c r="H9" s="93"/>
      <c r="I9" s="93"/>
      <c r="J9" s="93"/>
      <c r="K9" s="93"/>
      <c r="L9" s="103"/>
      <c r="M9" s="103"/>
      <c r="N9" s="103"/>
      <c r="O9" s="93"/>
      <c r="P9" s="93"/>
      <c r="Q9" s="103"/>
      <c r="R9" s="93"/>
      <c r="S9" s="6" t="s">
        <v>182</v>
      </c>
      <c r="T9" s="4"/>
      <c r="U9" s="4"/>
      <c r="V9" s="4"/>
      <c r="W9" s="4"/>
      <c r="X9" s="93"/>
      <c r="Y9" s="93"/>
    </row>
    <row r="10" spans="1:25" ht="28" x14ac:dyDescent="0.2">
      <c r="A10" s="93"/>
      <c r="B10" s="108"/>
      <c r="C10" s="93"/>
      <c r="D10" s="93"/>
      <c r="E10" s="93"/>
      <c r="F10" s="93"/>
      <c r="G10" s="93"/>
      <c r="H10" s="93"/>
      <c r="I10" s="93"/>
      <c r="J10" s="93"/>
      <c r="K10" s="93"/>
      <c r="L10" s="103"/>
      <c r="M10" s="103"/>
      <c r="N10" s="103"/>
      <c r="O10" s="93"/>
      <c r="P10" s="93"/>
      <c r="Q10" s="103"/>
      <c r="R10" s="93"/>
      <c r="S10" s="6" t="s">
        <v>183</v>
      </c>
      <c r="T10" s="4"/>
      <c r="U10" s="4"/>
      <c r="V10" s="4"/>
      <c r="W10" s="4"/>
      <c r="X10" s="93"/>
      <c r="Y10" s="93"/>
    </row>
    <row r="11" spans="1:25" ht="16" x14ac:dyDescent="0.2">
      <c r="A11" s="94"/>
      <c r="B11" s="109"/>
      <c r="C11" s="94"/>
      <c r="D11" s="94"/>
      <c r="E11" s="94"/>
      <c r="F11" s="94"/>
      <c r="G11" s="94"/>
      <c r="H11" s="94"/>
      <c r="I11" s="94"/>
      <c r="J11" s="94"/>
      <c r="K11" s="94"/>
      <c r="L11" s="104"/>
      <c r="M11" s="104"/>
      <c r="N11" s="104"/>
      <c r="O11" s="94"/>
      <c r="P11" s="94"/>
      <c r="Q11" s="104"/>
      <c r="R11" s="94"/>
      <c r="S11" s="5" t="s">
        <v>184</v>
      </c>
      <c r="T11" s="4"/>
      <c r="U11" s="20">
        <v>10000</v>
      </c>
      <c r="V11" s="4"/>
      <c r="W11" s="4"/>
      <c r="X11" s="94"/>
      <c r="Y11" s="94"/>
    </row>
    <row r="12" spans="1:25" ht="80" x14ac:dyDescent="0.2">
      <c r="A12" s="22">
        <v>2</v>
      </c>
      <c r="B12" s="23" t="s">
        <v>185</v>
      </c>
      <c r="C12" s="17">
        <v>16</v>
      </c>
      <c r="D12" s="17" t="s">
        <v>186</v>
      </c>
      <c r="E12" s="17" t="s">
        <v>169</v>
      </c>
      <c r="F12" s="17" t="s">
        <v>187</v>
      </c>
      <c r="G12" s="17">
        <v>20</v>
      </c>
      <c r="H12" s="17" t="s">
        <v>188</v>
      </c>
      <c r="I12" s="17" t="s">
        <v>189</v>
      </c>
      <c r="J12" s="17"/>
      <c r="K12" s="17">
        <v>2</v>
      </c>
      <c r="L12" s="27">
        <v>1265</v>
      </c>
      <c r="M12" s="27">
        <f>L12</f>
        <v>1265</v>
      </c>
      <c r="N12" s="27">
        <v>0</v>
      </c>
      <c r="O12" s="21">
        <v>0.56000000000000005</v>
      </c>
      <c r="P12" s="21">
        <v>0.3</v>
      </c>
      <c r="Q12" s="24">
        <v>3765</v>
      </c>
      <c r="R12" s="9" t="s">
        <v>156</v>
      </c>
      <c r="S12" s="9"/>
      <c r="T12" s="9"/>
      <c r="U12" s="9"/>
      <c r="V12" s="9"/>
      <c r="W12" s="9"/>
      <c r="X12" s="9"/>
      <c r="Y12" s="9"/>
    </row>
    <row r="13" spans="1:25" ht="16" x14ac:dyDescent="0.2">
      <c r="A13" s="92">
        <v>3</v>
      </c>
      <c r="B13" s="107" t="s">
        <v>190</v>
      </c>
      <c r="C13" s="92">
        <v>200</v>
      </c>
      <c r="D13" s="97" t="s">
        <v>191</v>
      </c>
      <c r="E13" s="92" t="s">
        <v>192</v>
      </c>
      <c r="F13" s="92" t="s">
        <v>193</v>
      </c>
      <c r="G13" s="92" t="s">
        <v>194</v>
      </c>
      <c r="H13" s="92"/>
      <c r="I13" s="92" t="s">
        <v>195</v>
      </c>
      <c r="J13" s="92"/>
      <c r="K13" s="92">
        <v>3</v>
      </c>
      <c r="L13" s="28">
        <v>540</v>
      </c>
      <c r="M13" s="32">
        <f>L13</f>
        <v>540</v>
      </c>
      <c r="N13" s="32">
        <v>0</v>
      </c>
      <c r="O13" s="105">
        <v>0.7</v>
      </c>
      <c r="P13" s="105">
        <v>0.3</v>
      </c>
      <c r="Q13" s="25">
        <f>L13</f>
        <v>540</v>
      </c>
      <c r="R13" s="4" t="s">
        <v>156</v>
      </c>
      <c r="S13" s="4" t="s">
        <v>196</v>
      </c>
      <c r="T13" s="4"/>
      <c r="U13" s="4"/>
      <c r="V13" s="4"/>
      <c r="W13" s="4"/>
      <c r="X13" s="92" t="s">
        <v>197</v>
      </c>
      <c r="Y13" s="92"/>
    </row>
    <row r="14" spans="1:25" ht="16" x14ac:dyDescent="0.2">
      <c r="A14" s="93"/>
      <c r="B14" s="108"/>
      <c r="C14" s="93"/>
      <c r="D14" s="98"/>
      <c r="E14" s="93"/>
      <c r="F14" s="93"/>
      <c r="G14" s="93"/>
      <c r="H14" s="94"/>
      <c r="I14" s="93"/>
      <c r="J14" s="93"/>
      <c r="K14" s="93"/>
      <c r="L14" s="29">
        <v>3600</v>
      </c>
      <c r="M14" s="33">
        <v>0</v>
      </c>
      <c r="N14" s="33">
        <f>L14</f>
        <v>3600</v>
      </c>
      <c r="O14" s="106"/>
      <c r="P14" s="106"/>
      <c r="Q14" s="25">
        <f>L14*3</f>
        <v>10800</v>
      </c>
      <c r="R14" s="4" t="s">
        <v>157</v>
      </c>
      <c r="S14" s="4" t="s">
        <v>198</v>
      </c>
      <c r="T14" s="4"/>
      <c r="U14" s="4"/>
      <c r="V14" s="4"/>
      <c r="W14" s="4"/>
      <c r="X14" s="93"/>
      <c r="Y14" s="93"/>
    </row>
    <row r="15" spans="1:25" ht="17" thickBot="1" x14ac:dyDescent="0.25">
      <c r="A15" s="9">
        <v>4</v>
      </c>
      <c r="B15" s="18" t="s">
        <v>199</v>
      </c>
      <c r="C15" s="14">
        <v>230</v>
      </c>
      <c r="D15" s="15" t="s">
        <v>200</v>
      </c>
      <c r="E15" s="14" t="s">
        <v>192</v>
      </c>
      <c r="F15" s="14" t="s">
        <v>201</v>
      </c>
      <c r="G15" s="14" t="s">
        <v>194</v>
      </c>
      <c r="H15" s="14" t="s">
        <v>194</v>
      </c>
      <c r="I15" s="14" t="s">
        <v>202</v>
      </c>
      <c r="J15" s="14"/>
      <c r="K15" s="14">
        <v>28</v>
      </c>
      <c r="L15" s="24">
        <v>50000</v>
      </c>
      <c r="M15" s="27">
        <v>0</v>
      </c>
      <c r="N15" s="27">
        <f>L15</f>
        <v>50000</v>
      </c>
      <c r="O15" s="26">
        <v>0.6</v>
      </c>
      <c r="P15" s="26">
        <v>0.2</v>
      </c>
      <c r="Q15" s="24">
        <v>223000</v>
      </c>
      <c r="R15" s="9" t="s">
        <v>157</v>
      </c>
      <c r="S15" s="9"/>
      <c r="T15" s="9"/>
      <c r="U15" s="9"/>
      <c r="V15" s="9"/>
      <c r="W15" s="9"/>
      <c r="X15" s="9" t="s">
        <v>203</v>
      </c>
      <c r="Y15" s="9"/>
    </row>
    <row r="16" spans="1:25" ht="16" thickBot="1" x14ac:dyDescent="0.25">
      <c r="C16" s="10">
        <f>SUM(C5:C15)</f>
        <v>459</v>
      </c>
      <c r="L16" s="16">
        <f>SUM(L5:L15)</f>
        <v>56646</v>
      </c>
      <c r="M16" s="34">
        <f>SUM(M5:M15)</f>
        <v>3046</v>
      </c>
      <c r="N16" s="37">
        <f>SUM(N5:N15)</f>
        <v>53600</v>
      </c>
      <c r="Q16" s="16">
        <f>SUM(Q5:Q15)</f>
        <v>242605</v>
      </c>
    </row>
  </sheetData>
  <mergeCells count="43">
    <mergeCell ref="S3:W3"/>
    <mergeCell ref="B3:B4"/>
    <mergeCell ref="L3:P3"/>
    <mergeCell ref="A3:A4"/>
    <mergeCell ref="C3:J3"/>
    <mergeCell ref="A5:A11"/>
    <mergeCell ref="B5:B11"/>
    <mergeCell ref="C5:C11"/>
    <mergeCell ref="E5:E11"/>
    <mergeCell ref="F5:F11"/>
    <mergeCell ref="X5:X11"/>
    <mergeCell ref="Y5:Y11"/>
    <mergeCell ref="R5:R11"/>
    <mergeCell ref="P5:P11"/>
    <mergeCell ref="O5:O11"/>
    <mergeCell ref="A13:A14"/>
    <mergeCell ref="B13:B14"/>
    <mergeCell ref="C13:C14"/>
    <mergeCell ref="E13:E14"/>
    <mergeCell ref="F13:F14"/>
    <mergeCell ref="P13:P14"/>
    <mergeCell ref="L5:L11"/>
    <mergeCell ref="G5:G11"/>
    <mergeCell ref="H13:H14"/>
    <mergeCell ref="H5:H11"/>
    <mergeCell ref="M5:M11"/>
    <mergeCell ref="N5:N11"/>
    <mergeCell ref="X13:X14"/>
    <mergeCell ref="Y13:Y14"/>
    <mergeCell ref="D5:D11"/>
    <mergeCell ref="C4:D4"/>
    <mergeCell ref="D13:D14"/>
    <mergeCell ref="K3:K4"/>
    <mergeCell ref="K13:K14"/>
    <mergeCell ref="K5:K11"/>
    <mergeCell ref="J5:J11"/>
    <mergeCell ref="G13:G14"/>
    <mergeCell ref="I13:I14"/>
    <mergeCell ref="J13:J14"/>
    <mergeCell ref="Q3:Q4"/>
    <mergeCell ref="I5:I11"/>
    <mergeCell ref="Q5:Q11"/>
    <mergeCell ref="O13:O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0C482523C0AC42997DA45E925E653D" ma:contentTypeVersion="19" ma:contentTypeDescription="Create a new document." ma:contentTypeScope="" ma:versionID="8305a5588c61ae49687804c12e1ab75f">
  <xsd:schema xmlns:xsd="http://www.w3.org/2001/XMLSchema" xmlns:xs="http://www.w3.org/2001/XMLSchema" xmlns:p="http://schemas.microsoft.com/office/2006/metadata/properties" xmlns:ns2="063ce07e-8cbe-4e03-8960-a29caba0ef13" xmlns:ns3="0ea5db53-36b4-4d1e-a6cd-e1a8872bfa3d" targetNamespace="http://schemas.microsoft.com/office/2006/metadata/properties" ma:root="true" ma:fieldsID="f16e29ed5b0c6707d88f332ba64531b3" ns2:_="" ns3:_="">
    <xsd:import namespace="063ce07e-8cbe-4e03-8960-a29caba0ef13"/>
    <xsd:import namespace="0ea5db53-36b4-4d1e-a6cd-e1a8872bfa3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3ce07e-8cbe-4e03-8960-a29caba0ef1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9e6b965-510a-4d8c-b6c4-b221ed0db431}" ma:internalName="TaxCatchAll" ma:showField="CatchAllData" ma:web="063ce07e-8cbe-4e03-8960-a29caba0ef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ea5db53-36b4-4d1e-a6cd-e1a8872bfa3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c6f471b-6093-426d-8cc2-2408cce275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ea5db53-36b4-4d1e-a6cd-e1a8872bfa3d">
      <Terms xmlns="http://schemas.microsoft.com/office/infopath/2007/PartnerControls"/>
    </lcf76f155ced4ddcb4097134ff3c332f>
    <TaxCatchAll xmlns="063ce07e-8cbe-4e03-8960-a29caba0ef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7FA858-9F5D-4016-9E07-52361A8E2C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3ce07e-8cbe-4e03-8960-a29caba0ef13"/>
    <ds:schemaRef ds:uri="0ea5db53-36b4-4d1e-a6cd-e1a8872bfa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51363C-7EA1-46F4-93DE-A3B3550ADF53}">
  <ds:schemaRefs>
    <ds:schemaRef ds:uri="http://schemas.microsoft.com/office/2006/metadata/properties"/>
    <ds:schemaRef ds:uri="http://schemas.microsoft.com/office/infopath/2007/PartnerControls"/>
    <ds:schemaRef ds:uri="0ea5db53-36b4-4d1e-a6cd-e1a8872bfa3d"/>
    <ds:schemaRef ds:uri="063ce07e-8cbe-4e03-8960-a29caba0ef13"/>
  </ds:schemaRefs>
</ds:datastoreItem>
</file>

<file path=customXml/itemProps3.xml><?xml version="1.0" encoding="utf-8"?>
<ds:datastoreItem xmlns:ds="http://schemas.openxmlformats.org/officeDocument/2006/customXml" ds:itemID="{5725E136-DE24-4153-8C72-470FD3DBA4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Luisa Outputs</vt:lpstr>
      <vt:lpstr>Brasil ToC</vt:lpstr>
      <vt:lpstr>INFO MBOs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Gisele Obara</cp:lastModifiedBy>
  <cp:revision/>
  <dcterms:created xsi:type="dcterms:W3CDTF">2026-04-20T12:35:22Z</dcterms:created>
  <dcterms:modified xsi:type="dcterms:W3CDTF">2026-05-19T00:29:07Z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0x0101000A0C482523C0AC42997DA45E925E653D</vt:lpwstr>
  </property>
  <property fmtid="{D5CDD505-2E9C-101B-9397-08002B2CF9AE}" pid="3" name="MediaServiceImageTags">
    <vt:lpwstr/>
  </property>
</Properties>
</file>