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ainel" sheetId="1" state="hidden" r:id="rId1"/>
    <sheet name="Stakeholder list" sheetId="2" state="visible" r:id="rId2"/>
    <sheet name="Data_Looker" sheetId="3" state="hidden" r:id="rId3"/>
    <sheet name="Página11" sheetId="4" state="hidden" r:id="rId4"/>
    <sheet name="Bridge_Primary_Impact_Area" sheetId="5" state="hidden" r:id="rId5"/>
    <sheet name="Data_aluvial_Donnors" sheetId="6" state="hidden" r:id="rId6"/>
    <sheet name="Bridge_Primary_Biome" sheetId="7" state="hidden" r:id="rId7"/>
    <sheet name="Bride_Secondary_Biome" sheetId="8" state="hidden" r:id="rId8"/>
    <sheet name="Bridge_Role_Ecosystem" sheetId="9" state="hidden" r:id="rId9"/>
    <sheet name="Classification" sheetId="10" state="visible" r:id="rId10"/>
  </sheets>
  <definedNames>
    <definedName name="_xlnm._FilterDatabase" localSheetId="1" hidden="1">'Stakeholder list'!$A$6:$AF$366</definedName>
    <definedName name="_xlnm._FilterDatabase" localSheetId="2" hidden="1">'Data_Looker'!$A$1:$Q$340</definedName>
    <definedName name="_xlnm._FilterDatabase" localSheetId="4" hidden="1">'Bridge_Primary_Impact_Area'!$A$1:$B$562</definedName>
    <definedName name="_xlnm._FilterDatabase" localSheetId="7" hidden="1">'Bride_Secondary_Biome'!$A$1:$B$137</definedName>
  </definedNames>
  <calcPr calcId="124519" fullCalcOnLoad="1"/>
  <pivotCaches>
    <pivotCache cacheId="0" r:id="rId11"/>
  </pivotCaches>
</workbook>
</file>

<file path=xl/styles.xml><?xml version="1.0" encoding="utf-8"?>
<styleSheet xmlns="http://schemas.openxmlformats.org/spreadsheetml/2006/main">
  <numFmts count="1">
    <numFmt numFmtId="164" formatCode="[$R$ -416]#,##0.00"/>
  </numFmts>
  <fonts count="30">
    <font>
      <name val="Arial"/>
      <color rgb="FF000000"/>
      <sz val="10"/>
      <scheme val="minor"/>
    </font>
    <font>
      <name val="Arial"/>
      <color theme="1"/>
      <scheme val="minor"/>
    </font>
    <font>
      <name val="Arial"/>
      <b val="1"/>
      <color theme="1"/>
      <scheme val="minor"/>
    </font>
    <font>
      <name val="Calibri"/>
      <color rgb="FF000000"/>
      <sz val="11"/>
    </font>
    <font/>
    <font>
      <name val="&quot;Aptos Narrow&quot;"/>
      <color rgb="FF000000"/>
      <sz val="11"/>
    </font>
    <font>
      <name val="Calibri"/>
      <b val="1"/>
      <color rgb="FFFFFFFF"/>
      <sz val="38"/>
    </font>
    <font>
      <name val="Calibri"/>
      <b val="1"/>
      <color rgb="FFFFFFFF"/>
      <sz val="24"/>
    </font>
    <font>
      <name val="Calibri"/>
      <b val="1"/>
      <color rgb="FF000000"/>
    </font>
    <font>
      <name val="Calibri"/>
      <color rgb="FF000000"/>
      <sz val="8"/>
    </font>
    <font>
      <name val="Calibri"/>
      <b val="1"/>
      <color rgb="FF000000"/>
      <sz val="11"/>
    </font>
    <font>
      <name val="Calibri"/>
      <b val="1"/>
      <i val="1"/>
      <color rgb="FF000000"/>
      <sz val="11"/>
    </font>
    <font>
      <name val="Arial"/>
      <color rgb="FF467886"/>
      <sz val="8"/>
      <u val="single"/>
    </font>
    <font>
      <name val="Arial"/>
      <color rgb="FF467886"/>
      <sz val="8"/>
      <u val="single"/>
    </font>
    <font>
      <name val="Calibri"/>
      <color rgb="FF000000"/>
      <sz val="8"/>
      <u val="single"/>
    </font>
    <font>
      <name val="Calibri"/>
      <color rgb="FF222222"/>
      <sz val="8"/>
    </font>
    <font>
      <name val="Calibri"/>
      <color rgb="FF000000"/>
      <sz val="8"/>
      <u val="single"/>
    </font>
    <font>
      <name val="Calibri"/>
      <color rgb="FF000000"/>
      <sz val="8"/>
      <u val="single"/>
    </font>
    <font>
      <name val="Calibri"/>
      <color theme="1"/>
      <sz val="8"/>
    </font>
    <font>
      <color rgb="FF000000"/>
      <sz val="8"/>
      <u val="single"/>
    </font>
    <font>
      <name val="&quot;Aptos Narrow&quot;"/>
      <color rgb="FF467886"/>
      <sz val="8"/>
      <u val="single"/>
    </font>
    <font>
      <name val="Calibri"/>
      <color rgb="FF0000FF"/>
      <sz val="8"/>
      <u val="single"/>
    </font>
    <font>
      <name val="Calibri"/>
      <color rgb="FF0000FF"/>
      <sz val="8"/>
      <u val="single"/>
    </font>
    <font>
      <name val="&quot;Aptos Narrow&quot;"/>
      <color rgb="FF467886"/>
      <sz val="8"/>
      <u val="single"/>
    </font>
    <font>
      <name val="Arial"/>
      <color rgb="FF467886"/>
      <sz val="8"/>
      <u val="single"/>
    </font>
    <font>
      <name val="Arial"/>
      <color rgb="FF467886"/>
      <sz val="8"/>
      <u val="single"/>
    </font>
    <font>
      <name val="Calibri"/>
      <color rgb="FF000000"/>
      <sz val="10"/>
    </font>
    <font>
      <name val="Calibri"/>
      <color theme="1"/>
      <sz val="10"/>
    </font>
    <font>
      <name val="Calibri"/>
      <color rgb="FF000000"/>
      <sz val="10"/>
      <u val="single"/>
    </font>
    <font>
      <name val="Arial"/>
      <b val="1"/>
      <color rgb="FFFFFFFF"/>
      <scheme val="minor"/>
    </font>
  </fonts>
  <fills count="9">
    <fill>
      <patternFill/>
    </fill>
    <fill>
      <patternFill patternType="lightGray"/>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D9D9D9"/>
        <bgColor rgb="FFD9D9D9"/>
      </patternFill>
    </fill>
    <fill>
      <patternFill patternType="solid">
        <fgColor rgb="FFF3F3F3"/>
        <bgColor rgb="FFF3F3F3"/>
      </patternFill>
    </fill>
    <fill>
      <patternFill patternType="solid">
        <fgColor rgb="FFF2F2F2"/>
        <bgColor rgb="FFF2F2F2"/>
      </patternFill>
    </fill>
    <fill>
      <patternFill patternType="solid">
        <fgColor rgb="FF999999"/>
        <bgColor rgb="FF999999"/>
      </patternFill>
    </fill>
  </fills>
  <borders count="7">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s>
  <cellStyleXfs count="1">
    <xf numFmtId="0" fontId="0" fillId="0" borderId="0"/>
  </cellStyleXfs>
  <cellXfs count="91">
    <xf numFmtId="0" fontId="0" fillId="0" borderId="0" applyAlignment="1" pivotButton="0" quotePrefix="0" xfId="0">
      <alignment vertical="bottom"/>
    </xf>
    <xf numFmtId="0" fontId="1" fillId="0" borderId="0" applyAlignment="1" pivotButton="0" quotePrefix="0" xfId="0">
      <alignment horizontal="center"/>
    </xf>
    <xf numFmtId="0" fontId="1" fillId="0" borderId="0" applyAlignment="1" pivotButton="0" quotePrefix="0" xfId="0">
      <alignment horizontal="center" vertical="center"/>
    </xf>
    <xf numFmtId="0" fontId="1" fillId="0" borderId="0" pivotButton="0" quotePrefix="0" xfId="0"/>
    <xf numFmtId="10" fontId="1" fillId="0" borderId="0" pivotButton="0" quotePrefix="0" xfId="0"/>
    <xf numFmtId="0" fontId="2" fillId="2" borderId="0" pivotButton="0" quotePrefix="0" xfId="0"/>
    <xf numFmtId="10" fontId="2" fillId="2" borderId="0" pivotButton="0" quotePrefix="0" xfId="0"/>
    <xf numFmtId="0" fontId="1" fillId="0" borderId="0" applyAlignment="1" pivotButton="0" quotePrefix="0" xfId="0">
      <alignment vertical="center"/>
    </xf>
    <xf numFmtId="10" fontId="1" fillId="0" borderId="0" applyAlignment="1" pivotButton="0" quotePrefix="0" xfId="0">
      <alignment vertical="center"/>
    </xf>
    <xf numFmtId="0" fontId="2" fillId="2" borderId="0" applyAlignment="1" pivotButton="0" quotePrefix="0" xfId="0">
      <alignment vertical="center"/>
    </xf>
    <xf numFmtId="10" fontId="2" fillId="2"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top" wrapText="1"/>
    </xf>
    <xf numFmtId="164" fontId="3" fillId="3" borderId="1" applyAlignment="1" pivotButton="0" quotePrefix="0" xfId="0">
      <alignment vertical="center"/>
    </xf>
    <xf numFmtId="0" fontId="4" fillId="0" borderId="2" pivotButton="0" quotePrefix="0" xfId="0"/>
    <xf numFmtId="0" fontId="4" fillId="0" borderId="3" pivotButton="0" quotePrefix="0" xfId="0"/>
    <xf numFmtId="164" fontId="3" fillId="3" borderId="4" applyAlignment="1" pivotButton="0" quotePrefix="0" xfId="0">
      <alignment vertical="center" wrapText="1"/>
    </xf>
    <xf numFmtId="0" fontId="3" fillId="3" borderId="4" applyAlignment="1" pivotButton="0" quotePrefix="0" xfId="0">
      <alignment vertical="center" wrapText="1"/>
    </xf>
    <xf numFmtId="0" fontId="3" fillId="3" borderId="4" applyAlignment="1" pivotButton="0" quotePrefix="0" xfId="0">
      <alignment horizontal="left" vertical="center" wrapText="1"/>
    </xf>
    <xf numFmtId="0" fontId="3" fillId="3" borderId="4" applyAlignment="1" pivotButton="0" quotePrefix="0" xfId="0">
      <alignment horizontal="center" vertical="center" wrapText="1"/>
    </xf>
    <xf numFmtId="0" fontId="3" fillId="3" borderId="4" applyAlignment="1" pivotButton="0" quotePrefix="0" xfId="0">
      <alignment vertical="center"/>
    </xf>
    <xf numFmtId="0" fontId="5" fillId="3" borderId="4" applyAlignment="1" pivotButton="0" quotePrefix="0" xfId="0">
      <alignment vertical="center"/>
    </xf>
    <xf numFmtId="0" fontId="6" fillId="4" borderId="1" applyAlignment="1" pivotButton="0" quotePrefix="0" xfId="0">
      <alignment horizontal="center" vertical="center"/>
    </xf>
    <xf numFmtId="0" fontId="3" fillId="3" borderId="1" applyAlignment="1" pivotButton="0" quotePrefix="0" xfId="0">
      <alignment vertical="center"/>
    </xf>
    <xf numFmtId="0" fontId="7" fillId="3" borderId="4" applyAlignment="1" pivotButton="0" quotePrefix="0" xfId="0">
      <alignment horizontal="center" vertical="center" wrapText="1"/>
    </xf>
    <xf numFmtId="0" fontId="7" fillId="3" borderId="4" applyAlignment="1" pivotButton="0" quotePrefix="0" xfId="0">
      <alignment horizontal="left" vertical="center" wrapText="1"/>
    </xf>
    <xf numFmtId="0" fontId="7" fillId="3" borderId="4" applyAlignment="1" pivotButton="0" quotePrefix="0" xfId="0">
      <alignment horizontal="center" vertical="center"/>
    </xf>
    <xf numFmtId="0" fontId="8" fillId="3" borderId="1" applyAlignment="1" pivotButton="0" quotePrefix="0" xfId="0">
      <alignment horizontal="left" vertical="center"/>
    </xf>
    <xf numFmtId="0" fontId="5" fillId="3" borderId="4" applyAlignment="1" pivotButton="0" quotePrefix="0" xfId="0">
      <alignment horizontal="center" vertical="center"/>
    </xf>
    <xf numFmtId="0" fontId="5" fillId="3" borderId="4" applyAlignment="1" pivotButton="0" quotePrefix="0" xfId="0">
      <alignment horizontal="center" vertical="center" wrapText="1"/>
    </xf>
    <xf numFmtId="0" fontId="9" fillId="3" borderId="1" applyAlignment="1" pivotButton="0" quotePrefix="0" xfId="0">
      <alignment horizontal="left" vertical="center"/>
    </xf>
    <xf numFmtId="0" fontId="10" fillId="3" borderId="4" applyAlignment="1" pivotButton="0" quotePrefix="0" xfId="0">
      <alignment horizontal="center" vertical="center" wrapText="1"/>
    </xf>
    <xf numFmtId="0" fontId="10" fillId="3" borderId="4" applyAlignment="1" pivotButton="0" quotePrefix="0" xfId="0">
      <alignment horizontal="center" vertical="center"/>
    </xf>
    <xf numFmtId="0" fontId="3" fillId="3" borderId="4" applyAlignment="1" pivotButton="0" quotePrefix="0" xfId="0">
      <alignment horizontal="center" vertical="center"/>
    </xf>
    <xf numFmtId="0" fontId="10" fillId="5" borderId="4" applyAlignment="1" pivotButton="0" quotePrefix="0" xfId="0">
      <alignment horizontal="center" vertical="center"/>
    </xf>
    <xf numFmtId="0" fontId="10" fillId="5" borderId="4" applyAlignment="1" pivotButton="0" quotePrefix="0" xfId="0">
      <alignment horizontal="left" vertical="center" wrapText="1"/>
    </xf>
    <xf numFmtId="0" fontId="10" fillId="5" borderId="4" applyAlignment="1" pivotButton="0" quotePrefix="0" xfId="0">
      <alignment horizontal="center" vertical="center" wrapText="1"/>
    </xf>
    <xf numFmtId="0" fontId="10" fillId="5" borderId="2" applyAlignment="1" pivotButton="0" quotePrefix="0" xfId="0">
      <alignment horizontal="center" vertical="center" wrapText="1"/>
    </xf>
    <xf numFmtId="0" fontId="10" fillId="5" borderId="1" applyAlignment="1" pivotButton="0" quotePrefix="0" xfId="0">
      <alignment horizontal="center" vertical="center" wrapText="1"/>
    </xf>
    <xf numFmtId="0" fontId="10" fillId="5" borderId="3" applyAlignment="1" pivotButton="0" quotePrefix="0" xfId="0">
      <alignment horizontal="center" vertical="center" wrapText="1"/>
    </xf>
    <xf numFmtId="0" fontId="11" fillId="5" borderId="3" applyAlignment="1" pivotButton="0" quotePrefix="0" xfId="0">
      <alignment horizontal="center" vertical="center" wrapText="1"/>
    </xf>
    <xf numFmtId="0" fontId="11" fillId="5" borderId="4" applyAlignment="1" pivotButton="0" quotePrefix="0" xfId="0">
      <alignment horizontal="center" vertical="center" wrapText="1"/>
    </xf>
    <xf numFmtId="0" fontId="9" fillId="6" borderId="4" applyAlignment="1" pivotButton="0" quotePrefix="0" xfId="0">
      <alignment horizontal="center" vertical="center" wrapText="1"/>
    </xf>
    <xf numFmtId="0" fontId="9" fillId="6" borderId="4" applyAlignment="1" pivotButton="0" quotePrefix="0" xfId="0">
      <alignment horizontal="left" vertical="center" wrapText="1"/>
    </xf>
    <xf numFmtId="0" fontId="9" fillId="6" borderId="4" applyAlignment="1" pivotButton="0" quotePrefix="0" xfId="0">
      <alignment vertical="center" wrapText="1"/>
    </xf>
    <xf numFmtId="0" fontId="12" fillId="6" borderId="4" applyAlignment="1" pivotButton="0" quotePrefix="0" xfId="0">
      <alignment horizontal="center" vertical="center"/>
    </xf>
    <xf numFmtId="0" fontId="9" fillId="6" borderId="4" applyAlignment="1" pivotButton="0" quotePrefix="0" xfId="0">
      <alignment horizontal="center" vertical="center" wrapText="1"/>
    </xf>
    <xf numFmtId="0" fontId="13" fillId="6" borderId="4" applyAlignment="1" pivotButton="0" quotePrefix="0" xfId="0">
      <alignment horizontal="center" vertical="center" wrapText="1"/>
    </xf>
    <xf numFmtId="0" fontId="9" fillId="6" borderId="4" applyAlignment="1" pivotButton="0" quotePrefix="0" xfId="0">
      <alignment vertical="center"/>
    </xf>
    <xf numFmtId="0" fontId="9" fillId="6" borderId="4" applyAlignment="1" pivotButton="0" quotePrefix="0" xfId="0">
      <alignment horizontal="left" vertical="center"/>
    </xf>
    <xf numFmtId="0" fontId="14" fillId="6" borderId="4" applyAlignment="1" pivotButton="0" quotePrefix="0" xfId="0">
      <alignment horizontal="left" vertical="center"/>
    </xf>
    <xf numFmtId="0" fontId="9" fillId="6" borderId="4" applyAlignment="1" pivotButton="0" quotePrefix="0" xfId="0">
      <alignment vertical="center" wrapText="1"/>
    </xf>
    <xf numFmtId="0" fontId="15" fillId="6" borderId="0" applyAlignment="1" pivotButton="0" quotePrefix="0" xfId="0">
      <alignment horizontal="left" vertical="center"/>
    </xf>
    <xf numFmtId="0" fontId="9" fillId="6" borderId="4" applyAlignment="1" pivotButton="0" quotePrefix="0" xfId="0">
      <alignment vertical="center"/>
    </xf>
    <xf numFmtId="0" fontId="16" fillId="6" borderId="4" applyAlignment="1" pivotButton="0" quotePrefix="0" xfId="0">
      <alignment vertical="center"/>
    </xf>
    <xf numFmtId="0" fontId="9" fillId="7" borderId="0" applyAlignment="1" pivotButton="0" quotePrefix="0" xfId="0">
      <alignment wrapText="1"/>
    </xf>
    <xf numFmtId="0" fontId="17" fillId="6" borderId="4" applyAlignment="1" pivotButton="0" quotePrefix="0" xfId="0">
      <alignment vertical="center" wrapText="1"/>
    </xf>
    <xf numFmtId="0" fontId="18" fillId="6" borderId="0" applyAlignment="1" pivotButton="0" quotePrefix="0" xfId="0">
      <alignment vertical="center"/>
    </xf>
    <xf numFmtId="0" fontId="19" fillId="6" borderId="0" pivotButton="0" quotePrefix="0" xfId="0"/>
    <xf numFmtId="0" fontId="20" fillId="6" borderId="4" applyAlignment="1" pivotButton="0" quotePrefix="0" xfId="0">
      <alignment horizontal="center" vertical="center" wrapText="1"/>
    </xf>
    <xf numFmtId="0" fontId="9" fillId="6" borderId="4" applyAlignment="1" pivotButton="0" quotePrefix="0" xfId="0">
      <alignment vertical="center"/>
    </xf>
    <xf numFmtId="0" fontId="9" fillId="6" borderId="4" applyAlignment="1" pivotButton="0" quotePrefix="0" xfId="0">
      <alignment vertical="center" wrapText="1"/>
    </xf>
    <xf numFmtId="0" fontId="5" fillId="3" borderId="1" applyAlignment="1" pivotButton="0" quotePrefix="0" xfId="0">
      <alignment vertical="center"/>
    </xf>
    <xf numFmtId="0" fontId="21" fillId="6" borderId="4" applyAlignment="1" pivotButton="0" quotePrefix="0" xfId="0">
      <alignment vertical="center"/>
    </xf>
    <xf numFmtId="0" fontId="5" fillId="0" borderId="4" applyAlignment="1" pivotButton="0" quotePrefix="0" xfId="0">
      <alignment vertical="center"/>
    </xf>
    <xf numFmtId="0" fontId="22" fillId="6" borderId="4" applyAlignment="1" pivotButton="0" quotePrefix="0" xfId="0">
      <alignment vertical="center" wrapText="1"/>
    </xf>
    <xf numFmtId="0" fontId="1" fillId="0" borderId="4" applyAlignment="1" pivotButton="0" quotePrefix="0" xfId="0">
      <alignment vertical="center"/>
    </xf>
    <xf numFmtId="0" fontId="23" fillId="6" borderId="3" applyAlignment="1" pivotButton="0" quotePrefix="0" xfId="0">
      <alignment horizontal="center" vertical="center" wrapText="1"/>
    </xf>
    <xf numFmtId="0" fontId="24" fillId="6" borderId="1" applyAlignment="1" pivotButton="0" quotePrefix="0" xfId="0">
      <alignment horizontal="center" vertical="center" wrapText="1"/>
    </xf>
    <xf numFmtId="0" fontId="25" fillId="6" borderId="4" applyAlignment="1" pivotButton="0" quotePrefix="0" xfId="0">
      <alignment horizontal="center" vertical="center" wrapText="1"/>
    </xf>
    <xf numFmtId="0" fontId="26" fillId="5" borderId="4" applyAlignment="1" pivotButton="0" quotePrefix="0" xfId="0">
      <alignment horizontal="center" vertical="center" wrapText="1"/>
    </xf>
    <xf numFmtId="0" fontId="27" fillId="0" borderId="0" applyAlignment="1" pivotButton="0" quotePrefix="0" xfId="0">
      <alignment wrapText="1"/>
    </xf>
    <xf numFmtId="0" fontId="28" fillId="5" borderId="4" applyAlignment="1" pivotButton="0" quotePrefix="0" xfId="0">
      <alignment horizontal="center" vertical="center" wrapText="1"/>
    </xf>
    <xf numFmtId="0" fontId="26" fillId="5" borderId="0" applyAlignment="1" pivotButton="0" quotePrefix="0" xfId="0">
      <alignment horizontal="center" vertical="center" wrapText="1"/>
    </xf>
    <xf numFmtId="0" fontId="3" fillId="0" borderId="0" applyAlignment="1" pivotButton="0" quotePrefix="0" xfId="0">
      <alignment vertical="bottom"/>
    </xf>
    <xf numFmtId="0" fontId="2" fillId="0" borderId="0" applyAlignment="1" pivotButton="0" quotePrefix="0" xfId="0">
      <alignment horizontal="center"/>
    </xf>
    <xf numFmtId="0" fontId="1" fillId="0" borderId="0" pivotButton="0" quotePrefix="0" xfId="0"/>
    <xf numFmtId="0" fontId="1" fillId="0" borderId="0" pivotButton="0" quotePrefix="0" xfId="0"/>
    <xf numFmtId="0" fontId="1" fillId="0" borderId="4" pivotButton="0" quotePrefix="0" xfId="0"/>
    <xf numFmtId="0" fontId="29" fillId="8" borderId="4" applyAlignment="1" pivotButton="0" quotePrefix="0" xfId="0">
      <alignment vertical="center"/>
    </xf>
    <xf numFmtId="0" fontId="1" fillId="6" borderId="4" applyAlignment="1" pivotButton="0" quotePrefix="0" xfId="0">
      <alignment vertical="center"/>
    </xf>
    <xf numFmtId="0" fontId="1" fillId="6" borderId="4" applyAlignment="1" pivotButton="0" quotePrefix="0" xfId="0">
      <alignment wrapText="1"/>
    </xf>
    <xf numFmtId="0" fontId="29" fillId="8" borderId="4" applyAlignment="1" pivotButton="0" quotePrefix="0" xfId="0">
      <alignment vertical="center" wrapText="1"/>
    </xf>
    <xf numFmtId="0" fontId="0" fillId="0" borderId="0" pivotButton="0" quotePrefix="0" xfId="0"/>
    <xf numFmtId="164" fontId="3" fillId="3" borderId="4" applyAlignment="1" pivotButton="0" quotePrefix="0" xfId="0">
      <alignment vertical="center"/>
    </xf>
    <xf numFmtId="0" fontId="0" fillId="0" borderId="2" pivotButton="0" quotePrefix="0" xfId="0"/>
    <xf numFmtId="0" fontId="0" fillId="0" borderId="3" pivotButton="0" quotePrefix="0" xfId="0"/>
    <xf numFmtId="0" fontId="6" fillId="4" borderId="4" applyAlignment="1" pivotButton="0" quotePrefix="0" xfId="0">
      <alignment horizontal="center" vertical="center"/>
    </xf>
    <xf numFmtId="0" fontId="8" fillId="3" borderId="4" applyAlignment="1" pivotButton="0" quotePrefix="0" xfId="0">
      <alignment horizontal="left" vertical="center"/>
    </xf>
    <xf numFmtId="0" fontId="9" fillId="3" borderId="4"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pivotCacheDefinition" Target="/xl/pivotCache/pivotCacheDefinition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tc={d8a5b4ea-9569-49b1-bffd-dbca41d15cdf}</author>
    <author>tc={7973ec52-6012-4094-a379-acfb463822ac}</author>
    <author>tc={a27cdf83-37e8-47d0-b41e-6f60be2b82bd}</author>
    <author>tc={c3f89785-de83-4a73-8ae3-91075fc37c36}</author>
    <author>tc={9ce1f1f8-cdf4-48f8-b599-3cdc6f7e52cb}</author>
    <author>tc={d983816e-5918-49c0-a8d0-c475935019e3}</author>
    <author>tc={e88accf4-851b-464e-b2a7-49b281fa2911}</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critério: 
low: 
medium:
high: alta conexão com projetos ou investimentos diretos nos biomas ou nos centros de influência
</t>
      </text>
    </comment>
    <comment ref="D6" authorId="1" shapeId="0">
      <text>
        <t xml:space="preserve">[Threaded comment]
 Your version of Excel allows you to read this threaded comment; however, any edits to it will get removed if the file is opened in a newer version of Excel. Learn more: https://go.microsoft.com/fwlink/?linkid=870924
Comment:
	Academia
</t>
      </text>
    </comment>
    <comment ref="G6" authorId="2" shapeId="0">
      <text>
        <t xml:space="preserve">[Threaded comment]
 Your version of Excel allows you to read this threaded comment; however, any edits to it will get removed if the file is opened in a newer version of Excel. Learn more: https://go.microsoft.com/fwlink/?linkid=870924
Comment:
	Sugiro o seguinte critério (mas podemos lapidar/melhorar)
☐ A atuação do stakeholder é desenhada para influenciar políticas, mercados ou sistemas em escala país?
→ National
☐ O foco territorial está associado a uma macrorregião funcional (ex.: Nordeste, Amazônia Legal, bacias, corredores logísticos)?
→ Regional
☐ A atuação ocorre principalmente por meio de governos estaduais, agências ou políticas subnacionais?
→ State-level
☐ A implementação acontece majoritariamente em cidades, municípios ou territórios locais específicos?
→ Municipal / local
☐ O stakeholder opera de forma recorrente entre países, com fluxos internacionais de capital, conhecimento ou governança?
→ Cross-border / international
☐ Essa escala territorial é onde o impacto mais relevante do stakeholder se materializa (e não apenas onde ele tem presença formal)?
Regra de ouro (implícita no uso)
Escolher a escala onde a mudança acontece, não onde está o escritório.
</t>
      </text>
    </comment>
    <comment ref="H6" authorId="3" shapeId="0">
      <text>
        <t xml:space="preserve">[Threaded comment]
 Your version of Excel allows you to read this threaded comment; however, any edits to it will get removed if the file is opened in a newer version of Excel. Learn more: https://go.microsoft.com/fwlink/?linkid=870924
Comment:
	ADICIONARIA (2º filtro) (como consequencia) as opcoes de selecao da seguinte forma: 
Estrutura (exemplo):
Nexus Primário: Energy x Buildings
Nexus Secundário: Energy x  Transport
Critérios: 
Checklist essencial (6 perguntas)
☐ A atuação do stakeholder gera impacto direto no uso final de energia neste nexus?
☐ É neste nexus que os principais resultados e benefícios se materializam?
☐ O stakeholder tem capacidade real de implementação aqui (projetos, políticas, ativos, delivery)?
☐ A atuação neste nexus é recorrente e estratégica, não pontual?
☐ O stakeholder assume riscos, trade-offs ou responsabilidades neste domínio?
☐ Se este nexus não avançar, o impacto esperado do stakeholder cai significativamente?
Regra de ouro – Definição do Nexus Primário
O Nexus Primário é aquele sem o qual o impacto sistêmico central do stakeholder simplesmente não acontece.
</t>
      </text>
    </comment>
    <comment ref="J6" authorId="4" shapeId="0">
      <text>
        <t xml:space="preserve">[Threaded comment]
 Your version of Excel allows you to read this threaded comment; however, any edits to it will get removed if the file is opened in a newer version of Excel. Learn more: https://go.microsoft.com/fwlink/?linkid=870924
Comment:
	Preencher até este campo (Lucas).
</t>
      </text>
    </comment>
    <comment ref="M6" authorId="5" shapeId="0">
      <text>
        <t xml:space="preserve">[Threaded comment]
 Your version of Excel allows you to read this threaded comment; however, any edits to it will get removed if the file is opened in a newer version of Excel. Learn more: https://go.microsoft.com/fwlink/?linkid=870924
Comment:
	🔗 Position in the value chain (Coluna L) – critérios em 6 perguntas
☐ O stakeholder atua principalmente criando condições, insumos, regras, capital ou conhecimento antes da implementação?
→ Upstream
☐ Sua principal função é estruturar, intermediar, financiar, coordenar ou viabilizar a transição entre concepção e execução?
→ Midstream
☐ O stakeholder entrega, opera ou implementa soluções no território ou no uso final?
→ Downstream
☐ A atuação do stakeholder se concentra antes, durante ou depois da materialização do impacto no mundo real?
→ Upstream / Midstream / Downstream
☐ Onde o stakeholder assume maior responsabilidade operacional, reputacional ou de risco?
→ Indica a posição dominante
☐ Se este stakeholder saísse do sistema, em qual etapa da cadeia o fluxo de valor seria mais interrompido?
→ Define a posição final
🧠 Regra de ouro – Coluna L
Classifique o stakeholder pela etapa da cadeia onde sua ausência quebraria o fluxo de valor da transição.
</t>
      </text>
    </comment>
    <comment ref="N6" authorId="6" shapeId="0">
      <text>
        <t xml:space="preserve">[Threaded comment]
 Your version of Excel allows you to read this threaded comment; however, any edits to it will get removed if the file is opened in a newer version of Excel. Learn more: https://go.microsoft.com/fwlink/?linkid=870924
Comment:
	🤝 Potential partnership with IKF (Coluna M) – critérios em 6 perguntas
☐ A missão, valores e Theory of Change do stakeholder são claramente alinhados aos objetivos estratégicos da IKF?
(se não, parar aqui → Exploratory engagement)
☐ O stakeholder atua em nexuses e territórios prioritários para a IKF neste momento?
(se não, → Exploratory engagement ou Research partner)
☐ O stakeholder tem capacidade comprovada de entregar impacto sistêmico (escala, influência, track record)?
(se não, → Capacity building partner ou Grant recipient)
☐ Existe complementaridade clara entre o papel da IKF e o papel deste stakeholder?
(capital, convening power, conhecimento, risco)
☐ O tipo de parceria envolve apenas funding, ou inclui co-criação estratégica?
– Apenas funding → Grant recipient
– Co-criação → seguir
☐ O stakeholder está disposto e apto a compartilhar riscos, governança e aprendizado?
– Sim → Strategic / Co-funding / Blended finance / Coalition partner
– Não → Implementing / Policy dialogue / Research partner
🧠 Regra de ouro – Coluna M
Classifique o stakeholder pelo tipo de parceria que maximiza o impacto sistêmico para a IKF — não pelo tipo de relação mais confortável ou tradicional.
Ou, ainda mais direta:
Que tipo de parceria a IKF deveria priorizar com este ator para destravar mudança estrutural?
🔍 Guia rápido de correspondência (para evitar confusão)
Strategic partner → co-criação de agenda, alto alinhamento, longo prazo
Grant recipient → funding para execução específica
Co-funding partner → recursos financeiros compartilhados
Blended finance partner → alavancagem de capital público/privado
Implementing partner → entrega no território
Research &amp; knowledge partner → dados, análises, frameworks
Capacity building partner → fortalecimento institucional
Coalition partner → articulação multistakeholder
Policy dialogue partner → mudança regulatória / política
Exploratory engagement → relacionamen
</t>
      </text>
    </comment>
  </commentList>
</comments>
</file>

<file path=xl/pivotCache/pivotCacheDefinition1.xml><?xml version="1.0" encoding="utf-8"?>
<pivotCacheDefinition xmlns="http://schemas.openxmlformats.org/spreadsheetml/2006/main" invalid="1" refreshOnLoad="1">
  <cacheSource type="worksheet">
    <worksheetSource ref="B6:S346" sheet="Stakeholder list"/>
  </cacheSource>
  <cacheFields count="18">
    <cacheField name="ID" uniqueList="1" numFmtId="0" sqlType="0" hierarchy="0" level="0" databaseField="1">
      <sharedItems count="340" containsInteger="1" containsNumber="1" containsSemiMixedTypes="0" containsString="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sharedItems>
    </cacheField>
    <cacheField name="Stakeholder " uniqueList="1" numFmtId="0" sqlType="0" hierarchy="0" level="0" databaseField="1">
      <sharedItems count="340">
        <s v="Instituto Ibirapitanga"/>
        <s v="Instituto Serrapilheira"/>
        <s v="Fundo Brasileiro para a Biodiversidade (FUNBIO)"/>
        <s v="Instituto Clima e Sociedade (iCS)"/>
        <s v="Instituto Cultura, Comunicação e Incidência (ICCI)"/>
        <s v="Grupo de Institutos, Fundações e Empresas (GIFE)"/>
        <s v="Movimento Bem Maior (MBM)"/>
        <s v="Instituto Beija "/>
        <s v="Open Society Foundations"/>
        <s v="Instituto Ethos"/>
        <s v="Instituto para o Desenvolvimento do Investimento Social (IDIS)"/>
        <s v="Instituto Climate Ventures Brasil (Climate Ventures)"/>
        <s v="The Climate Group"/>
        <s v="Fundação Maria Cecilia Souto Vidigal"/>
        <s v="Fundação Tide Setúbal"/>
        <s v="Fundação Arymax"/>
        <s v="Instituto Talanoa"/>
        <s v="Instituto Alana"/>
        <s v="Itaúsa (Itaúsa S.A.)"/>
        <s v="Instituto Arapyaú"/>
        <s v="Instituto Semeia"/>
        <s v="The David and Lucile Packard Foundation"/>
        <s v="Alcoa"/>
        <s v="Norsk Hydro ASA (Hydro)"/>
        <s v="Instituto Socioambiental (ISA)"/>
        <s v="The Nature Conservancy Brasil (TNC Brasil)"/>
        <s v="Conservação Internacional Brasil (CI-Brasil)"/>
        <s v="WWF-Brasil"/>
        <s v="WRI Brasil"/>
        <s v="Fundação SOS Mata Atlântica"/>
        <s v="Empresa Brasileira de Pesquisa Agropecuária (Embrapa)"/>
        <s v="Sistema S"/>
        <s v="Instituto Brasileiro do Meio Ambiente e dos Recursos Naturais Renováveis (Ibama)"/>
        <s v="Instituto Chico Mendes de Conservação da Biodiversidade (ICMBio)"/>
        <s v="Instituto do Homem e Meio Ambiente da Amazônia (Imazon)"/>
        <s v="Fundação Amazonas Sustentável (FAS)"/>
        <s v="Instituto de Manejo e Certificação Florestal e Agrícola (Imaflora)"/>
        <s v="Fundação Roberto Marinho"/>
        <s v="Instituto de Pesquisa Econômica Aplicada (Ipea)"/>
        <s v="Escola Nacional de Administração Pública (ENAP)"/>
        <s v="Instituto Serzedello Corrêa (ISC/TCU)"/>
        <s v="Vale S.A."/>
        <s v="Suzano S.A."/>
        <s v="Banco da Amazônia S.A. (BASA)"/>
        <s v="Instituto de Conservação e Desenvolvimento Sustentável da Amazônia (IDESAM)"/>
        <s v="Sitawi Finanças do Bem"/>
        <s v="Din4mo"/>
        <s v="Artemisia"/>
        <s v="Instituto de Cidadania Empresarial (ICE)"/>
        <s v="Impact Hub Network"/>
        <s v="Instituto Conexões Sustentáveis (Conexsus)"/>
        <s v="Pipe.Social"/>
        <s v="Yunus Negócios Sociais (Brasil)"/>
        <s v="Instituto C&amp;A"/>
        <s v="Lundin Foundation"/>
        <s v="Aliança Empreendedora"/>
        <s v="Omidyar Network"/>
        <s v="Fundação Grupo Boticário de Proteção à Natureza"/>
        <s v="Natura"/>
        <s v="Programa das Nações Unidas para o Desenvolvimento (PNUD)"/>
        <s v="Centro de Empreendedorismo da Amazônia (CEA)"/>
        <s v="Manioca"/>
        <s v="Instituto Votorantim"/>
        <s v="Quintessa"/>
        <s v="De Mendes"/>
        <s v="Endeva"/>
        <s v="Insper"/>
        <s v="Positive Ventures"/>
        <s v="BMW Foundation Herbert Quandt"/>
        <s v="Ford Foundation"/>
        <s v="Instituto Sabin"/>
        <s v="Instituto Phi"/>
        <s v="Deloitte"/>
        <s v="Centro de Estudos em Sustentabilidade da FGV (FGVces)"/>
        <s v="Fundação Dom Cabral (FDC)"/>
        <s v="Instituto Brasileiro de Governança Corporativa (IBGC)"/>
        <s v="Escola Superior de Agricultura Luiz de Queiroz da USP (ESALQ/USP)"/>
        <s v="Bemtevi"/>
        <s v="Climate and Land Use Alliance (CLUA)"/>
        <s v="AMAZ"/>
        <s v="Mercado Livre"/>
        <s v="Amazon"/>
        <s v="CocoaAction Brasil"/>
        <s v="Instituto de Pesquisas Ecológicas (IPÊ)"/>
        <s v="Comunitas"/>
        <s v="Fundação Oswaldo Cruz (Fiocruz)"/>
        <s v="Universidade de Brasília (UnB)"/>
        <s v="Universidade Federal do Pará (UFPA)"/>
        <s v="Universidade de São Paulo (USP)"/>
        <s v="Fundação Nacional dos Povos Indígenas (FUNAI)"/>
        <s v="Fundação Brasileira para o Desenvolvimento Sustentável (FBDS)"/>
        <s v="Grupo Terra Nova"/>
        <s v="Grupo Aterpa"/>
        <s v="Observatório do Clima"/>
        <s v="United States Agency for International Development (USAID)"/>
        <s v="Gordon and Betty Moore Foundation"/>
        <s v="Fundação Avina"/>
        <s v="William and Flora Hewlett Foundation"/>
        <s v="ClimateWorks Foundation"/>
        <s v="Children’s Investment Fund Foundation (CIFF)"/>
        <s v="Oak Foundation"/>
        <s v="Ministério de Minas e Energia (MME)"/>
        <s v="Empresa de Pesquisa Energética (EPE)"/>
        <s v="Agência Nacional de Energia Elétrica (ANEEL)"/>
        <s v="Operador Nacional do Sistema Elétrico (ONS)"/>
        <s v="Neoenergia"/>
        <s v="CPFL Energia"/>
        <s v="Engie Brasil"/>
        <s v="EDP Brasil"/>
        <s v="Enel Brasil"/>
        <s v="Eletrobras"/>
        <s v="Instituto de Energia e Meio Ambiente (IEMA)"/>
        <s v="Instituto E+ Transição Energética (E+)"/>
        <s v="European Climate Foundation (ECF)"/>
        <s v="Quadrature Climate Foundation"/>
        <s v="Ministério das Cidades"/>
        <s v="Agência Nacional de Transportes Terrestres (ANTT)"/>
        <s v="Agência Nacional de Transportes Aquaviários (ANTAQ)"/>
        <s v="CCR S.A. (Grupo CCR)"/>
        <s v="EcoRodovias"/>
        <s v="BYD Brasil"/>
        <s v="Volvo Buses Latin America"/>
        <s v="Mercedes-Benz Brasil"/>
        <s v="Instituto de Políticas de Transporte e Desenvolvimento (ITDP Brasil)"/>
        <s v="Caixa Econômica Federal"/>
        <s v="MRV"/>
        <s v="Tenda"/>
        <s v="Cyrela"/>
        <s v="Votorantim Cimentos"/>
        <s v="InterCement"/>
        <s v="Green Building Council Brasil (GBC Brasil)"/>
        <s v="Ministério da Agricultura e Pecuária (MAPA)"/>
        <s v="Instituto Nacional de Colonização e Reforma Agrária (INCRA)"/>
        <s v="Agroicone"/>
        <s v="JBS"/>
        <s v="Marfrig"/>
        <s v="Amaggi"/>
        <s v="SLC Agrícola"/>
        <s v="Instituto de Pesquisa Ambiental da Amazônia (IPAM)"/>
        <s v="Global Canopy"/>
        <s v="Good Energies Foundation"/>
        <s v="Ministério do Desenvolvimento e Assistência Social, Família e Combate à Fome (MDS)"/>
        <s v="Ministério da Saúde"/>
        <s v="Conselho Nacional de Segurança Alimentar e Nutricional (CONSEA)"/>
        <s v="Grupo Pão de Açúcar (GPA)"/>
        <s v="Assaí Atacadista"/>
        <s v="Carrefour Brasil"/>
        <s v="Nestlé Brasil"/>
        <s v="Unilever Brasil"/>
        <s v="Danone Brasil"/>
        <s v="Rede PENSSAN"/>
        <s v="Instituto Comida do Amanhã"/>
        <s v="EAT Foundation"/>
        <s v="Programa de Sistemas Alimentares da FAO no Brasil (FAO – Food Systems Programme)"/>
        <s v="Serviço Florestal Brasileiro (SFB)"/>
        <s v="Klabin"/>
        <s v="Bracell"/>
        <s v="Dexco"/>
        <s v="Suzano Ventures"/>
        <s v="Rainforest Alliance"/>
        <s v="Forest Trends"/>
        <s v="Earth Innovation Institute"/>
        <s v="Bezos Earth Fund"/>
        <s v="Bloomberg Philanthropies"/>
        <s v="Laudes Foundation"/>
        <s v="Skoll Foundation"/>
        <s v="Walton Family Foundation"/>
        <s v="Blue Moon Fund"/>
        <s v="Rainforest Trust"/>
        <s v="John D. and Catherine T. MacArthur Foundation (MacArthur Foundation)"/>
        <s v="Rockefeller Brothers Fund"/>
        <s v="Consórcio Nordeste"/>
        <s v="Laboratório de Inovação Financeira (LAB/CVM)"/>
        <s v="Conselho Empresarial Brasileiro para o Desenvolvimento Sustentável (CEBDS)"/>
        <s v="Associação Brasileira de Desenvolvimento (ABDE)"/>
        <s v="Climate Policy Initiative (CPI)"/>
        <s v="Climate Finance Hub Brasil"/>
        <s v="Associação Brasileira de Energia Eólica (ABEEólica)"/>
        <s v="Associação Brasileira de Energia Solar Fotovoltaica (ABSolar)"/>
        <s v="Associação Brasileira do Biogás (ABiogás)"/>
        <s v="Associação Brasileira do Hidrogênio (ABH2)"/>
        <s v="Instituto Nacional de Eficiência Energética (INEE)"/>
        <s v="Superintendência do Desenvolvimento do Nordeste (SUDENE)"/>
        <s v="Associação Brasileira de Grandes Consumidores Industriais de Energia e de Consumidores Livres (ABRACE)"/>
        <s v="Casa dos Ventos"/>
        <s v="Voltalia Energia do Brasil (Voltalia)"/>
        <s v="Brava Energia"/>
        <s v="Grupo Stellantis (Stellantis)"/>
        <s v="Agência Brasileira de Promoção de Exportações e Investimentos (ApexBrasil)"/>
        <s v="Complexo Industrial Portuário de Suape (Suape)"/>
        <s v="Complexo do Pecém (CIPP S.A.)"/>
        <s v="Hydrogen Council"/>
        <s v="World Energy Council"/>
        <s v="Câmara Setorial de Energias Renováveis do Ceará (CS Renováveis/CE)"/>
        <s v="Glasgow Financial Alliance for Net Zero (GFANZ)"/>
        <s v="Centro Brasileiro de Relações Internacionais (CEBRI)"/>
        <s v="Future Climate"/>
        <s v="AS-PTA – Agricultura Familiar e Agroecologia (AS-PTA)"/>
        <s v="Associação Brasileira das Entidades dos Mercados Financeiro e de Capitais (ANBIMA)"/>
        <s v="C40 Cities (C40)"/>
        <s v="Programa das Nações Unidas para os Assentamentos Humanos (ONU-Habitat)"/>
        <s v="Associação Nacional de Transportes Públicos (ANTP)"/>
        <s v="Governos Locais pela Sustentabilidade (ICLEI)"/>
        <s v="Programa das Nações Unidas para o Meio Ambiente (PNUMA)"/>
        <s v="Associação Brasileira das Empresas de Serviços de Conservação de Energia (ABESCO)"/>
        <s v="Associação Nacional das Empresas de Transportes Urbanos (NTU)"/>
        <s v="Instituto Nacional de Pesquisas Espaciais (INPE)"/>
        <s v="Coalizão Brasil Clima, Florestas e Agricultura"/>
        <s v="Sustainable Energy for All (SEforALL)"/>
        <s v="Global Covenant of Mayors for Climate &amp; Energy"/>
        <s v="Organização para a Cooperação e Desenvolvimento Econômico (OECD)"/>
        <s v="Centro Internacional de Pesquisa Florestal e Agroflorestal (CIFOR-ICRAF)"/>
        <s v="Organização das Cooperativas Brasileiras (OCB)"/>
        <s v="Fundo Internacional de Desenvolvimento Agrícola (IFAD)"/>
        <s v="Wellcome Trust"/>
        <s v="Associação Caatinga"/>
        <s v="Fundo Constitucional de Financiamento do Nordeste (FNE)"/>
        <s v="Articulação Semiárido Brasileiro (ASA Brasil)"/>
        <s v="Fundação Araripe"/>
        <s v="Centro de Manejo de Fauna da Caatinga (CEMAFauna)"/>
        <s v="Instituto Regional da Pequena Agropecuária Apropriada (IRPAA)"/>
        <s v="Global Energy Alliance for People and Planet (GEAPP)"/>
        <s v="Banco Nacional de Desenvolvimento Econômico e Social (BNDES)"/>
        <s v="Banco do Nordeste (BNB)"/>
        <s v="Banco do Brasil (BB)"/>
        <s v="Federação Brasileira de Bancos (Febraban)"/>
        <s v="B3 – Brasil, Bolsa, Balcão (B3)"/>
        <s v="Câmara de Comercialização de Energia Elétrica (CCEE)"/>
        <s v="Agência Nacional do Petróleo, Gás Natural e Biocombustíveis (ANP)"/>
        <s v="Agência Nacional de Águas e Saneamento Básico (ANA)"/>
        <s v="MapBiomas (MapBiomas)"/>
        <s v="Instituto Nacional do Semiárido (INSA)"/>
        <s v="Instituto de Desenvolvimento Sustentável Mamirauá (IDSM)"/>
        <s v="Instituto Centro de Vida (ICV)"/>
        <s v="Instituto Internacional de Educação do Brasil (IEB)"/>
        <s v="Fundação Vitória Amazônica (FVA)"/>
        <s v="Instituto Ouro Verde (IOV)"/>
        <s v="Instituto Sociedade, População e Natureza (ISPN)"/>
        <s v="Rede Cerrado (Rede Cerrado)"/>
        <s v="Associação Brasileira de Geração Distribuída (ABGD)"/>
        <s v="Associação Brasileira do Veículo Elétrico (ABVE)"/>
        <s v="Confederação Nacional do Transporte (CNT)"/>
        <s v="Departamento Nacional de Infraestrutura de Transportes (DNIT)"/>
        <s v="Agência Nacional de Aviação Civil (ANAC)"/>
        <s v="Associação Brasileira de Normas Técnicas (ABNT)"/>
        <s v="Câmara Brasileira da Indústria da Construção (CBIC)"/>
        <s v="Conselho de Arquitetura e Urbanismo do Brasil (CAU/BR)"/>
        <s v="Conselho Federal de Engenharia e Agronomia (Confea)"/>
        <s v="Instituto Nacional de Metrologia, Qualidade e Tecnologia (Inmetro)"/>
        <s v="Serviço Brasileiro de Apoio às Micro e Pequenas Empresas (SEBRAE)"/>
        <s v="União Nacional de Cooperativas da Agricultura Familiar e Economia Solidária (Unicafes)"/>
        <s v="Infocos Agri-Agency"/>
        <s v="Instituto Democracia e Sustentabilidade (IDS)"/>
        <s v="Instituto Cidades Sustentáveis"/>
        <s v="Rede Nossa São Paulo"/>
        <s v="Instituto Pólis"/>
        <s v="Instituto Escolhas"/>
        <s v="Instituto de Estudos Socioeconômicos (INESC)"/>
        <s v="Instituto Brasileiro de Defesa do Consumidor (Idec)"/>
        <s v="Greenpeace Brasil"/>
        <s v="Instituto Internacional Arayara (Arayara)"/>
        <s v="Rede Brasileira de Justiça Ambiental (RBJA)"/>
        <s v="Fundação Pró-Natureza (Funatura)"/>
        <s v="Instituto Cerrados (IC)"/>
        <s v="Operação Amazônia Nativa (OPAN)"/>
        <s v="Instituto Peabiru"/>
        <s v="Projeto Saúde e Alegria (PSA)"/>
        <s v="Articulação dos Povos Indígenas do Brasil (APIB)"/>
        <s v="Coordenação das Organizações Indígenas da Amazônia Brasileira (COIAB)"/>
        <s v="Conselho Indigenista Missionário (CIMI)"/>
        <s v="Comissão Pastoral da Terra (CPT)"/>
        <s v="Conselho Nacional das Populações Extrativistas (CNS)"/>
        <s v="Articulação Nacional de Agroecologia (ANA)"/>
        <s v="Diaconia"/>
        <s v="Cáritas Brasileira"/>
        <s v="Federação de Órgãos para Assistência Social e Educacional (FASE)"/>
        <s v="Centro de Estudos do Trabalho e de Assessoria ao Trabalhador e à Trabalhadora (CETRA)"/>
        <s v="Centro de Desenvolvimento Agroecológico Sabiá (Centro Sabiá)"/>
        <s v="Programa de Aplicação de Tecnologias Apropriadas às Comunidades (PATAC)"/>
        <s v="Instituto de Arquitetos do Brasil (IAB)"/>
        <s v="Deutsche Gesellschaft für Internationale Zusammenarbeit (GIZ)"/>
        <s v="Kreditanstalt für Wiederaufbau (KfW)"/>
        <s v="Deutsche Investitions- und Entwicklungsgesellschaft (DEG)"/>
        <s v="Agência Francesa de Desenvolvimento (AFD)"/>
        <s v="Proparco"/>
        <s v="Expertise France"/>
        <s v="Agência de Cooperação Internacional do Japão (JICA)"/>
        <s v="Agência de Cooperação Internacional da Coreia (KOICA)"/>
        <s v="Agência Espanhola de Cooperação Internacional para o Desenvolvimento (AECID)"/>
        <s v="Agência Italiana de Cooperação para o Desenvolvimento (AICS)"/>
        <s v="Agência Suíça para o Desenvolvimento e Cooperação (COSUDE)"/>
        <s v="Agência Sueca de Cooperação para o Desenvolvimento Internacional (Sida)"/>
        <s v="Agência Dinamarquesa para o Desenvolvimento Internacional (DANIDA)"/>
        <s v="Agência Norueguesa de Cooperação para o Desenvolvimento (Norad)"/>
        <s v="Iniciativa Internacional de Clima e Florestas da Noruega (NICFI)"/>
        <s v="Ministério das Relações Exteriores, Commonwealth e Desenvolvimento do Reino Unido (FCDO)"/>
        <s v="UK PACT"/>
        <s v="Delegação da União Europeia no Brasil (UE)"/>
        <s v="Banco Europeu de Investimento (BEI)"/>
        <s v="Lux-Development (LuxDev)"/>
        <s v="Irish Aid (Irish Aid)"/>
        <s v="Agência Austríaca de Desenvolvimento (ADA)"/>
        <s v="Camões – Instituto da Cooperação e da Língua (Camões, I.P.)"/>
        <s v="Misereor (Misereor)"/>
        <s v="Trias (Trias vzw)"/>
        <s v="Brot für die Welt (Brot für die Welt)"/>
        <s v="Catholic Agency for Overseas Development (CAFOD)"/>
        <s v="Fundação Heinrich Böll (Heinrich Böll Stiftung)"/>
        <s v="Fundação Friedrich Ebert (Friedrich-Ebert-Stiftung)"/>
        <s v="Fundação Konrad Adenauer (Konrad-Adenauer-Stiftung)"/>
        <s v="Fundação Rosa Luxemburgo (Rosa-Luxemburg-Stiftung)"/>
        <s v="Plan International Brasil (Plan International)"/>
        <s v="Save the Children Brasil (Save the Children)"/>
        <s v="Visão Mundial (Visão Mundial)"/>
        <s v="Movimento dos Trabalhadores Rurais Sem Terra (MST)"/>
        <s v="Movimento dos Trabalhadores Sem Teto (MTST)"/>
        <s v="Movimento dos Atingidos por Barragens (MAB)"/>
        <s v="Movimento dos Pequenos Agricultores (MPA)"/>
        <s v="Movimento pela Soberania Popular na Mineração (MAM)"/>
        <s v="Confederação Nacional dos Trabalhadores Rurais Agricultores e Agricultoras Familiares (CONTAG)"/>
        <s v="Coordenação Nacional de Articulação das Comunidades Negras Rurais Quilombolas (CONAQ)"/>
        <s v="Movimento Negro Unificado (MNU)"/>
        <s v="Movimento de Mulheres Camponesas (MMC)"/>
        <s v="Movimento Interestadual das Quebradeiras de Coco Babaçu (MIQCB)"/>
        <s v="Conselho Pastoral dos Pescadores (CPP)"/>
        <s v="Movimento Nacional de Catadores de Materiais Recicláveis (MNCR)"/>
        <s v="Central de Movimentos Populares (CMP)"/>
        <s v="Articulação dos Povos Indígenas do Nordeste, Minas Gerais e Espírito Santo (APOINME)"/>
        <s v="Federação das Organizações Indígenas do Rio Negro (FOIRN)"/>
        <s v="Conselho Indígena de Roraima (CIR)"/>
        <s v="Hutukara Associação Yanomami (HAY)"/>
        <s v="Movimento Xingu Vivo para Sempre"/>
        <s v="Rede Xingu+ (Rede Xingu+)"/>
        <s v="Movimento Tapajós Vivo"/>
        <s v="Articulação Nacional de Economia Solidária (FBES)"/>
        <s v="Movimento Atingidos pelas Renováveis (MAR)"/>
        <s v="Seridó Vivo (Seridó Vivo)"/>
        <s v="Coalizão Energia Limpa (Coalizão Energia Limpa)"/>
        <s v="União Nacional de Catadoras e Catadores (Unicatadores)"/>
        <s v="Confederação Nacional da Indústria (CNI)"/>
      </sharedItems>
    </cacheField>
    <cacheField name="Organization's sector" uniqueList="1" numFmtId="0" sqlType="0" hierarchy="0" level="0" databaseField="1">
      <sharedItems count="5">
        <s v="Civil Society Organization (CSO)"/>
        <s v="Funders"/>
        <s v="Private sector"/>
        <s v="Public sector"/>
        <s v="Others"/>
      </sharedItems>
    </cacheField>
    <cacheField name="Type of organization" uniqueList="1" numFmtId="0" sqlType="0" hierarchy="0" level="0" databaseField="1">
      <sharedItems count="24">
        <s v="Philanthropy foundations"/>
        <s v="Monitoring, Evaluation, and Learning"/>
        <s v="Multi-stakeholder initiatives"/>
        <s v="Alliances"/>
        <s v="Alliances "/>
        <s v="Industry platforms and sectoral initiatives"/>
        <s v="Think tanks"/>
        <s v="Institutional Investors"/>
        <s v="Private companies (large / leading)"/>
        <s v="Local implementers"/>
        <s v="Research centers"/>
        <s v="Public agencies and regulators"/>
        <s v="Development banks"/>
        <s v="Impact investors"/>
        <s v="Multilateral organizations"/>
        <s v="Private companies (SMEs / local enterprises)"/>
        <s v="Academia"/>
        <s v="Bilateral cooperation agencies"/>
        <s v="Federal Government"/>
        <s v="Grassroots networks"/>
        <s v="Research centers "/>
        <s v="Commercial banks"/>
        <s v="Social moviments "/>
        <s v="Multilateral development banks (MDBs)"/>
      </sharedItems>
    </cacheField>
    <cacheField name="Description of organization &amp; contribution to systemic transition&#10;(strategic focus)" uniqueList="1" numFmtId="0" sqlType="0" hierarchy="0" level="0" databaseField="1">
      <sharedItems count="340">
        <s v="A grantmaking organization that supports organizations, movements, and collectives to drive structural transformations, with a focus on democracy/civic freedoms, racial equity, and agendas such as fair and sustainable food systems."/>
        <s v="A private, non-profit philanthropic institute that promotes science in Brazil; it funds research, training, and journalism/media initiatives to strengthen evidence-based public and private decision-making."/>
        <s v="A national, private, non-profit financial mechanism that mobilizes and manages resources for biodiversity conservation, supporting initiatives, projects, and financing arrangements in partnership with government, the private sector, and civil society."/>
        <s v="A regranter organization that supports tackling climate change by funding agendas and actors capable of accelerating a just and effective transition to a low-carbon economy."/>
        <s v="A non-profit regranting organization focused on strengthening strategic communication to advance climate, democracy, and justice agendas, creating social demand for public policy and impactful private action."/>
        <s v="An association/platform within Brazil’s philanthropy and private social investment ecosystem; it convenes a network, produces knowledge, and strengthens institutional capacities for strategic and coordinated action."/>
        <s v="A philanthropic movement/network that connects donors, organizations, and partners for systemic transformation, promoting a culture of giving, active citizenship, and the strengthening of the third sector, specially philanthropies in Brazil."/>
        <s v="a social impact organization that promotes a positive impact in the philanthropic ecosystem by fostering creativity, innovation, and collaboration, together with the engagement of civil society, the private sector and the government to solve systemic prob"/>
        <s v="A global grantmaking philanthropic foundation focused on rights, equity, justice, democracy, and human rights; it supports organizations and initiatives in multiple countries with a focus on structural change."/>
        <s v="A civil society organization network that mobilizes and supports companies toward socially responsible and sustainable management; it develops tools, indicators, and convening efforts to strengthen socio-environmental integrity and influence policy."/>
        <s v="A civil society organization that inspires, supports, and expands private social investment and its impact; it works through consulting/strategy, knowledge production, and strengthening the philanthropic ecosystem."/>
        <s v="A think-and-do tank that coordinates multi-stakeholder action and produces knowledge for systemic climate solutions; it connects actors (business, government, finance, and civil society) to accelerate a just transition and climate innovation."/>
        <s v="An international non-profit organization that runs corporate initiatives and coalitions (e.g., in energy/transport/industry) to accelerate net-zero targets, acting as a secretariat for alliances and mobilizing sectoral commitments."/>
        <s v="A civil society organization focused on early childhood; it mobilizes leaders, supports governments and public policy, and produces evidence to reduce inequalities from the very beginning of life."/>
        <s v="A foundation focused on social justice and the sustainable development of urban peripheries; it fosters initiatives and connects the state, research, and civil society to tackle socio-spatial inequalities and influence policy."/>
        <s v="A philanthropic foundation (venture philanthropy) focused on productive inclusion, employability, and organizational strengthening; it supports scalable solutions and a culture of evaluation/effectiveness to expand social impact."/>
        <s v="An independent think tank dedicated to climate policy in Brazil; it combines data, science, and dialogue to monitor, analyze, and influence public policy and climate governance, increasing transparency and decision quality."/>
        <s v="A civil society organization focused on the rights of children and adolescents; it works through advocacy, communication, and partnerships to ensure priority for childhood and promote integral development with socio-environmental justice."/>
        <s v="A publicly listed holding company; it invests in a portfolio of companies and can influence the transition through governance, ESG strategy, capital allocation, and engagement for sustainable development and positive impact."/>
        <s v="A Brazilian philanthropic organization that fosters and incubates networks and structuring initiatives to promote fair, inclusive, and low-carbon development; it convenes public/private actors and civil society to advance systemic solutions in climate, na"/>
        <s v="A non-profit philanthropic organization focused on enhancing the sustainable socioeconomic development of parks and protected areas, supporting management models, partnerships, and knowledge for conservation and visitation."/>
        <s v="An international grantmaking philanthropic foundation that funds agendas such as conservation/restoration of natural systems, climate, and community strengthening; it supports organizations and coalitions for structural, evidence-based change."/>
        <s v="A global company in the aluminum sector (bauxite, alumina, and aluminum); it contributes to the transition through industrial decarbonization, ESG standards, traceability, and engagement with supply chains and the territories where it operates."/>
        <s v="A global leader in aluminum and renewable energy; it can drive the transition through circular economy practices, emissions reductions, materials innovation, socio-environmental governance, and investment in low-carbon value chains."/>
        <s v="A Brazilian NGO (OSCIP) that defends the rights and territories of Indigenous Peoples and traditional communities and protects socio-environmental heritage; it contributes through advocacy, monitoring, and integrated solutions for conservation and socio-e"/>
        <s v="A science-based international conservation NGO; it develops local solutions to protect land and water, restore ecosystems, and design financing/arrangements for conservation, connecting the public and private sectors and communities."/>
        <s v="A conservation NGO that works with nature-based solutions, science, and partnerships to protect biodiversity and promote human well-being; it operates through field projects, policy work, and coalitions."/>
        <s v="A Brazilian NGO dedicated to conserving life and promoting a future in which society and nature live in harmony; it contributes through advocacy, projects, social mobilization, and influence on supply chains and public policy."/>
        <s v="A non-profit applied research and convening institution that turns evidence into action on climate, forests, cities, and land use; it supports public policy, planning, and implementation of low-carbon solutions through multi-stakeholder partnerships."/>
        <s v="A Brazilian environmental NGO whose mission is to inspire society to defend the Atlantic Forest; it works through monitoring, studies, demonstration projects, communication, and advocacy in public policy and territorial governance."/>
        <s v="A federal public company for agricultural R&amp;D; it contributes to systemic transition through innovation and technology diffusion for sustainable agriculture, climate adaptation, productivity, and reduced environmental impacts."/>
        <s v="A set of entities providing vocational training and public-interest services (e.g., SENAI, SESI, SESC, SENAC, etc.) financed through sectoral contributions; it contributes to the transition through training, reskilling, and innovation for work and product"/>
        <s v="A federal agency responsible for environmental enforcement and control; it contributes to systemic transition through regulation, licensing, monitoring, combating environmental crimes, and inducing socio-environmental compliance."/>
        <s v="A federal agency responsible for managing and overseeing federal protected areas; it contributes through biodiversity protection, restoration, protected-area management, and implementation of conservation policies."/>
        <s v="A non-profit scientific institution that produces research and solutions for forest conservation and socio-environmental development in the Amazon; it works with data, monitoring, policy evaluation, and projects."/>
        <s v="A non-profit civil society organization working for sustainable development in the Amazon through community programs and multi-stakeholder partnerships; it contributes to the transition through conservation combined with productive inclusion and territori"/>
        <s v="A non-profit civil association that promotes change in the agricultural and forestry sectors; it works with certifications, technical assistance, projects, and market/policy mechanisms for sustainable land use and emissions reduction."/>
        <s v="A private foundation that runs projects in education, culture, heritage, and the environment; it contributes to the transition through educational innovation, communication/engagement, and capacity building for sustainable development."/>
        <s v="A federal public research foundation that provides technical support for the formulation and evaluation of public policies; it contributes through evidence, indicators, and economic analysis to design and improve transition and development agendas."/>
        <s v="Federal school of government that trains civil servants, promotes innovation in public management, and strengthens state capacity for policy design, implementation, and evaluation."/>
        <s v="TCU’s training and knowledge institute focused on improving public governance, accountability, integrity, and oversight through education, research, and dissemination of best practices."/>
        <s v="Global mining company; can influence systemic transition through responsible mining, decarbonization targets, supply-chain standards, territorial development investments, and stronger ESG governance."/>
        <s v="Leading pulp and paper company; contributes via sustainable forestry, restoration and bioeconomy pathways, low-carbon product innovation, and responsible value chains."/>
        <s v="Federal regional development bank focused on the Amazon; mobilizes credit and financial instruments for sustainable development, bioeconomy value chains, productive inclusion, and low-carbon land-use solutions."/>
        <s v="Amazon-based NGO advancing conservation and sustainable development through territorial projects, sustainable value chains, and climate solutions (including finance mechanisms where applicable)."/>
        <s v="Nonprofit that structures and manages impact finance mechanisms (e.g., funds, blended finance, governance of philanthropic/impact resources), connecting capital to measurable socio-environmental outcomes."/>
        <s v="Impact investor/venture builder that mobilizes capital and supports impact ventures with strategy and investment, helping scale solutions aligned with inclusive and low-carbon development."/>
        <s v="Nonprofit accelerator and ecosystem builder for impact businesses in Brazil; strengthens entrepreneurs and scalable models that address inequality and socio-environmental challenges."/>
        <s v="Civil society organization that convenes business leaders and partners to foster corporate citizenship, social innovation, and multi-stakeholder collaboration for systemic change."/>
        <s v="Global network of impact innovation hubs (coworking + programs) that supports entrepreneurship, collaboration, and the scaling of socio-environmental solutions."/>
        <s v="Nonprofit that accelerates sustainable community-based enterprises, connecting cooperatives/associations to markets and finance to strengthen territorial resilience and the low-carbon transition."/>
        <s v="Platform that maps and connects impact businesses with investors, corporations, and partners; facilitates matchmaking and programs to scale impact solutions."/>
        <s v="Organization that supports and finances social businesses, connecting entrepreneurs to capital, networks, and corporate innovation to scale solutions that reduce inequality and generate socio-environmental impact."/>
        <s v="C&amp;A’s social investment institute in Brazil; mobilizes partners and programs to strengthen communities through inclusion and opportunity pathways, supporting broader equitable development."/>
        <s v="Nonprofit foundation that supports inclusive economic development and community benefit initiatives, often in partnership with local stakeholders and the private sector."/>
        <s v="NGO that supports micro and small entrepreneurs in vulnerable contexts through training, networks, and market access—strengthening inclusive local economies and productive inclusion."/>
        <s v="Philanthropic investment organization combining grants and investments to expand shared prosperity and opportunity, often backing initiatives that strengthen inclusion, institutions, and responsible technology."/>
        <s v="Nonprofit foundation maintained by the Boticário Group that funds and advances biodiversity conservation, protected areas, restoration, and nature-positive agendas (including water security and regenerative economy pathways)."/>
        <s v="Consumer goods company with strong commitments to sustainability; can drive systemic transition through responsible sourcing (including sociobiodiversity), circular economy practices, low-carbon innovation, and influence across value chains."/>
        <s v="UN development agency that provides technical cooperation, program implementation support, and policy assistance aligned with the SDGs (governance, inclusion, poverty reduction, and climate resilience)."/>
        <s v="Platform that strengthens entrepreneurship and the bioeconomy in the Amazon by offering capacity building, ecosystem convening, and connections to markets and investors for sustainable businesses."/>
        <s v="Impact-oriented food brand that works with Amazon-linked supply chains; contributes through fairer sourcing, product innovation, and strengthening local producers and sustainable value chains."/>
        <s v="Corporate institute that acts as an applied intelligence and partnership platform, supporting socio-environmental solutions, territorial development, and better corporate practices for sustainability."/>
        <s v="Impact accelerator/consultancy that supports impact ventures with mentoring, strategy and investment readiness, connecting entrepreneurs to capital and partners to scale solutions."/>
        <s v="Local enterprise linked to sustainable value chains (e.g., cacao/chocolate); can contribute via responsible sourcing, territorial development, and inclusive value creation with producers."/>
        <s v="System-innovation and inclusive-business organization working with companies, governments, and civil society to design scalable solutions, strengthen inclusive value chains, and generate evidence for systemic change."/>
        <s v="Higher education and research institution that trains leaders and produces applied knowledge in economics, business and public policy, supporting evidence-based decisions for sustainability transitions."/>
        <s v="Impact venture capital investor supporting startups with measurable social/environmental outcomes, accelerating innovation and scaling solutions for inclusive and low-carbon transitions."/>
        <s v="Foundation that supports responsible leadership and social innovation, convening cross-sector networks and programs to address complex societal challenges."/>
        <s v="Global philanthropic foundation focused on social justice and reducing inequality; supports organizations and systemic agendas, including intersections with climate justice and rights."/>
        <s v="Corporate social investment institute linked to Grupo Sabin; supports initiatives and partnerships (commonly in health, education and community development) that build local capacities and inclusion."/>
        <s v="Philanthropy organization that mobilizes donors and structures giving toward high-impact projects, strengthening the Brazilian giving ecosystem and scaling effective initiatives."/>
        <s v="Professional services firm that can support transitions through ESG strategy, governance, risk management, compliance, measurement, and implementation support for organizations."/>
        <s v="Applied sustainability research center that develops methods, metrics and convening to inform corporate strategies and public policies for low-carbon and inclusive transitions."/>
        <s v="Business school providing executive education and applied research; strengthens leadership, governance and organizational capabilities for sustainability and systemic transformation."/>
        <s v="Reference institution for corporate governance in Brazil; disseminates standards and training that strengthen accountability, transparency and long-term value creation aligned with sustainability."/>
        <s v="USP school dedicated to teaching and research in agrifood systems and land use; contributes via innovation for sustainable agriculture, climate adaptation and bioeconomy."/>
        <s v="Impact-oriented organization/consultancy that supports strategy, partnerships and implementation of socio-environmental projects, helping scale solutions across territories and value chains."/>
        <s v="Alliance of philanthropic foundations that aligns strategies and funding to reduce deforestation, improve land-use governance, and advance climate and nature outcomes with social benefits."/>
        <s v="Impact accelerator and investor focused on the Amazon region; supports impact enterprises that generate positive outcomes for forests and local populations, strengthening sustainable business models and access to finance/markets."/>
        <s v="Leading e-commerce and logistics company in Latin America; can influence systemic transition through low-carbon logistics, responsible packaging, supplier standards, and scaling access for SMEs and sustainable products."/>
        <s v="Global e-commerce, cloud and logistics company; can influence systemic transition via renewable energy procurement, low-carbon logistics, responsible supply chains, and scaling digital infrastructure for climate and inclusion solutions."/>
        <s v="Pre-competitive public–private cocoa-sector platform that aligns companies, government and partners to advance sustainable, forest-positive cocoa production, improve farmer livelihoods, and strengthen responsible value chains."/>
        <s v="Brazilian NGO combining science, education and socio-environmental innovation to conserve biodiversity and support sustainable development across multiple biomes through community-based projects and policy-relevant evidence."/>
        <s v="Civil society hub/think tank that builds bridges between public and private leadership to strengthen state capacity, improve public management, and structure collaborative solutions for sustainable development."/>
        <s v="Public research institution in health; contributes to systemic transition through science and innovation, public health systems strengthening, climate-and-health evidence, and applied knowledge for resilient and equitable development."/>
        <s v="Public university that contributes through research, teaching and policy engagement; supports systemic transition by generating evidence and training leaders for public policy, sustainability and innovation agendas."/>
        <s v="Public university in the Amazon region; contributes via research and training on socio-biodiversity, territorial development, climate and governance, supporting evidence-based solutions in the region."/>
        <s v="Public university and major research institution; contributes to systemic transition through high-impact research, innovation, and training across climate, nature, health, and sustainable development fields."/>
        <s v="Federal agency responsible for Indigenous peoples’ rights and protection; influences systemic transition by safeguarding territories, supporting socio-environmental governance, and enabling rights-based approaches to land use and development."/>
        <s v="Private non-profit foundation that generates knowledge and applied projects on sustainability; supports better policy and corporate practice through research, indicators and technical work on climate, land use and sustainable development."/>
        <s v="Organization specialized in land tenure conflict mediation and regularization; contributes to systemic transition by enabling legal security, inclusive urban development, and negotiated solutions that reduce social conflict and strengthen territorial gove"/>
        <s v="Infrastructure and environmental engineering group (e.g., water and sanitation); can support systemic transition through universal sanitation delivery, resilient infrastructure, and improved environmental performance in project design and operation."/>
        <s v="Civil society coalition created to address climate change in Brazil; produces analysis, monitoring and advocacy to strengthen climate governance, transparency and ambitious public policy."/>
        <s v="U.S. government development cooperation agency that provides funding, technical assistance, and partnerships to support international development priorities (e.g., governance, health, food security, climate resilience), helping scale solutions and strengt"/>
        <s v="International grantmaking foundation that funds science and environmental conservation, supporting evidence-based approaches, ecosystem protection, and systemic solutions for climate and nature."/>
        <s v="Latin American philanthropic organization focused on systemic change through collaboration; supports networks and initiatives that advance climate action, democratic innovation, and a fair/regenerative economy."/>
        <s v="International grantmaking foundation supporting programs such as climate/environment, governance, and equity; helps fund coalitions and institutions that enable long-term, structural change."/>
        <s v="Grantmaking foundation that supports organizations and networks to design and scale high-impact climate solutions, connecting funders and implementers to accelerate emissions reductions across sectors."/>
        <s v="Independent philanthropic organization that funds large-scale programs for children and adolescents and climate action, using evidence and partnerships to deliver measurable, systemic outcomes."/>
        <s v="International grantmaking foundation supporting issues such as environment/climate, human rights, and social justice; funds organizations and coalitions that pursue structural change."/>
        <s v="Federal ministry responsible for national policies and planning guidelines for energy and mining; central to enabling the energy transition through regulation, sector planning, and policy coordination."/>
        <s v="Public company that provides studies and research to support the MME and national energy planning (electricity, oil &amp; gas, and biofuels), strengthening evidence-based decisions for a low-carbon transition."/>
        <s v="Federal electricity regulator responsible for sector oversight and regulation; key to the transition through tariff/regulatory frameworks, quality/resilience requirements, and market rules that enable renewables and grid modernization."/>
        <s v="Non-profit system operator (private-law entity) responsible for coordinating and controlling generation and transmission operation of Brazil’s interconnected power system; essential for reliability, integration of renewables, and operational planning."/>
        <s v="Integrated utility (generation/transmission/distribution); can accelerate transition by expanding renewables, modernizing grids, improving efficiency, and scaling electrification solutions with stronger ESG performance."/>
        <s v="Integrated utility with strong distribution footprint; contributes through grid modernization, losses reduction, digitalization, and investments that enable distributed generation and clean electrification."/>
        <s v="Power generation company with a significant renewables portfolio; contributes via renewable expansion, decarbonization strategies, and long-term investment in clean energy assets and grid solutions."/>
        <s v="Energy company active in generation and distribution; can drive the transition through renewables, innovation (e.g., storage/digital), energy efficiency, and electrification programs."/>
        <s v="Integrated utility (distribution and generation) with focus on decarbonization; contributes via renewable investments, grid resilience, digital networks, and electrification (e.g., e-mobility infrastructure)."/>
        <s v="Major electricity company with large generation and transmission assets; can influence systemic transition through grid expansion, transmission reliability, renewable integration, and governance aligned with long-term decarbonization."/>
        <s v="Brazilian non-profit institute that produces technical evidence and policy analysis on energy, air quality, emissions and urban mobility, supporting better regulation and public decision-making for a low-carbon transition."/>
        <s v="Independent Brazilian think tank that develops data-driven analysis and policy proposals and convenes stakeholders to advance a just, efficient energy transition aligned with sustainable development."/>
        <s v="International grantmaking foundation that provides strategic and financial support to organizations working to tackle the climate crisis, strengthening coalitions and high-impact policies for decarbonization."/>
        <s v="Independent charitable foundation that funds climate solutions to reduce emissions, scale carbon removal, and strengthen resilience to climate impacts through grants and partnerships."/>
        <s v="Federal ministry responsible for urban development agendas (housing, sanitation, urban mobility and planning), shaping national policy frameworks, programs and financing instruments for inclusive and resilient cities."/>
        <s v="Federal regulatory agency that regulates, supervises and enforces land transport services and infrastructure concessions (roads/railways), influencing decarbonization and efficiency through sector rules, contracts and oversight."/>
        <s v="Federal regulatory agency for waterway transport and port infrastructure; key for cleaner logistics through regulation, supervision and enforcement of maritime and inland navigation and port operations."/>
        <s v="Major mobility infrastructure concessions group (highways, urban mobility and airports); can accelerate transition via low-carbon operations, resilient infrastructure, road safety, and enabling cleaner transport and logistics."/>
        <s v="Highway concessions operator; can support systemic transition by improving logistics efficiency, road safety and climate resilience, and embedding ESG standards in infrastructure operations and investments."/>
        <s v="Manufacturer of electric vehicles (including buses); contributes to the transition by scaling electrification, supporting charging ecosystems, and enabling lower-emission public transport fleets."/>
        <s v="Bus manufacturer and solutions provider; contributes through low/zero-emission bus technologies, fleet efficiency and safety innovations that support public transport decarbonization."/>
        <s v="Commercial vehicle manufacturer; can drive transition by advancing low-emission vehicle technologies, improving efficiency and safety, and supporting cleaner logistics and public transport solutions."/>
        <s v="Non-profit organization that supports governments to implement sustainable and equitable transport and urban development solutions, helping reduce emissions while improving access, safety and urban quality of life."/>
        <s v="Federal public bank central to housing finance and urban investment; can enable systemic transition by scaling affordable housing and resilient urban infrastructure financing (including low-carbon and energy-efficiency measures)."/>
        <s v="Large homebuilder; can contribute by scaling affordable housing, adopting low-carbon construction practices, improving energy efficiency, and strengthening social and environmental standards in developments."/>
        <s v="Homebuilder focused on affordable housing; contributes by expanding access to housing and adopting higher sustainability, efficiency and climate resilience standards in projects and operations."/>
        <s v="Large real estate developer; can contribute to systemic transition by scaling higher-efficiency building standards, reducing embodied carbon in materials, improving construction practices, and strengthening social and environmental safeguards in developme"/>
        <s v="Major cement producer; central to transition through clinker reduction, alternative fuels, energy efficiency, low-carbon cements, circularity (waste co-processing), and supply-chain decarbonization."/>
        <s v="Large cement producer; contributes to transition via process decarbonization, alternative fuels/materials, operational efficiency, circular economy solutions, and adoption of low-carbon cement products."/>
        <s v="Industry platform that promotes sustainable buildings and certification practices; supports market transformation through standards, capacity building, and dissemination of best practices in green construction."/>
        <s v="Federal ministry responsible for agriculture and livestock policy; key to systemic transition by shaping incentives, regulation, and programs for sustainable production, food security, and climate adaptation/mitigation in agrifood systems."/>
        <s v="Federal agency responsible for land reform and rural land administration; influences transition through land tenure regularization, settlement policies, and inclusive rural development with environmental compliance."/>
        <s v="Research and policy institute focused on agribusiness, land use and climate; provides evidence and proposals to enable low-carbon agriculture, deforestation-free supply chains, and better public policies."/>
        <s v="Global meat and food company; central to transition through deforestation-free sourcing, traceability, methane/emissions reduction, animal welfare, and strengthening governance across supply chains."/>
        <s v="Meat and food company; can drive transition through cattle traceability, deforestation-free supply chains, emissions reduction, and improved ESG governance and transparency."/>
        <s v="Agribusiness and trading group (grains, logistics); contributes via deforestation-free supply chains, compliance/traceability, low-carbon logistics, and adoption of sustainable production standards."/>
        <s v="Large-scale producer of grains/fibers; contributes through sustainable land management, climate-smart agriculture, responsible expansion, and improved measurement and reduction of emissions and impacts."/>
        <s v="Non-profit research institute focused on the Amazon; produces science, monitoring and policy proposals to curb deforestation, advance sustainable land use, and strengthen climate and territorial governance."/>
        <s v="Non-profit that works on supply-chain and finance levers to stop deforestation; produces data/tools and convenes stakeholders to improve accountability and drive forest-positive action."/>
        <s v="Philanthropic foundation supporting climate solutions (often focused on clean energy and systemic decarbonization); provides grants to accelerate policy and market shifts toward a low-carbon economy."/>
        <s v="Federal ministry responsible for social development and income-support policies; key to a just transition by reducing poverty/inequality and integrating social protection with food security and resilience policies."/>
        <s v="Federal leadership on nutrition policy within the health system; can drive systemic transition by strengthening food and nutrition security actions, healthy diets, monitoring of nutritional outcomes, and integration of nutrition with primary health care a"/>
        <s v="Multi-stakeholder councils for food and nutrition security that enable social participation, policy coordination and oversight; contribute by shaping priorities, improving governance and strengthening accountability in food systems and social protection."/>
        <s v="Major retail group; can influence systemic transition through responsible sourcing, healthier food environments, waste reduction, traceability, supplier standards and scaling sustainable products."/>
        <s v="Large cash-and-carry retailer; contributes via supplier engagement, responsible sourcing, food loss and waste reduction, and expanding access to affordable food with improved sustainability standards."/>
        <s v="Major retailer; can drive transition through deforestation-free supply chains, traceability, healthier food offerings, food waste reduction and strong ESG governance across suppliers."/>
        <s v="Large food and beverage company; contributes through sustainable agriculture programs, deforestation-free sourcing, nutrition/healthier product reformulation, and emissions reduction across value chains."/>
        <s v="Consumer goods company; can influence transition via sustainable sourcing, deforestation-free commodities, packaging circularity, waste reduction and supplier standards for climate and nature."/>
        <s v="Food company (dairy and nutrition); contributes through regenerative agriculture, methane reduction in dairy supply chains, nutrition and health initiatives, and low-carbon operations and packaging."/>
        <s v="Civil society network that produces evidence and mobilizes actors around food and nutrition security in Brazil; contributes by monitoring hunger, informing public policy and strengthening accountability and social engagement."/>
        <s v="Nonprofit that promotes sustainable and healthy food systems; supports innovation, communication and multi-stakeholder initiatives to shift diets, reduce waste and strengthen sustainable value chains."/>
        <s v="International non-profit that mobilizes science and multi-stakeholder action to transform food systems toward healthy diets within planetary boundaries; supports convening, advocacy and evidence-based agendas."/>
        <s v="FAO programmatic platform supporting countries to design and implement food systems transformation, including policy support, data, capacity building and partnerships for sustainable agrifood systems."/>
        <s v="Federal agency focused on forest governance; contributes via forest information systems, public forest management, concessions frameworks and policies that support sustainable forest use and conservation."/>
        <s v="Integrated forestry, pulp and paper company; contributes through sustainable forest management, restoration, low-carbon products, traceability and biodiversity protection in managed landscapes."/>
        <s v="Pulp producer; can support systemic transition via sustainable forestry, restoration, responsible land-use governance, and decarbonization of industrial processes and logistics."/>
        <s v="Building materials and wood-based products company; contributes through sustainable forestry inputs, lower-carbon materials, circularity, and responsible sourcing/traceability."/>
        <s v="Corporate venture capital arm; can accelerate transition by investing in and scaling innovations in bioeconomy, sustainable materials, decarbonization and nature-positive solutions."/>
        <s v="International NGO that works to conserve forests and biodiversity and improve livelihoods by transforming land-use supply chains through standards/certification, traceability, technical assistance and partnerships."/>
        <s v="Non-profit organization that generates data and analysis on forests, ecosystem services and finance, supporting transparency and better market/policy mechanisms to reduce deforestation and scale nature-positive investment."/>
        <s v="Non-profit research and innovation institute focused on reducing deforestation and accelerating low-carbon rural development through policy support, territorial strategies and partnerships with governments, producers and civil society."/>
        <s v="Philanthropic fund that provides large-scale grants to address climate change and protect nature, supporting high-impact initiatives across mitigation, conservation and environmental justice."/>
        <s v="Philanthropic organization that funds public health, cities, climate and governance initiatives; supports coalitions and policy implementation to accelerate decarbonization and improve urban resilience."/>
        <s v="Foundation focused on transforming key economic systems (e.g., built environment, industry, finance) to deliver climate action and a just transition through grants, partnerships and market-shaping initiatives."/>
        <s v="Foundation that supports social entrepreneurs and systems change initiatives, providing funding and networks to scale solutions to major social and environmental challenges."/>
        <s v="Grantmaking foundation that supports environmental conservation (including oceans and rivers), education and community development, funding long-term strategies and policy-oriented initiatives."/>
        <s v="Philanthropic organization supporting environmental and climate solutions; provides grants to protect ecosystems and strengthen policies and civil society capacity for systemic change."/>
        <s v="Conservation charity that funds the creation and expansion of protected areas and safeguards critical habitats, enabling biodiversity protection through partnerships with local organizations."/>
        <s v="International grantmaking foundation that supports systemic solutions across areas such as climate, justice and effective institutions, funding organizations and coalitions for long-term change."/>
        <s v="Foundation supporting democratic practice, economic fairness and sustainable development; funds climate and energy transition work, including policy and movement-building for systemic change."/>
        <s v="Interstate consortium of Brazil’s Northeast states that coordinates cooperation and joint strategies; can accelerate systemic transition by aligning policies, investments and programs on climate, development and regional resilience."/>
        <s v="Multi-stakeholder platform linked to the securities regulator that convenes regulators, market actors and experts to develop and disseminate sustainable finance innovations, reduce barriers to green/inclusive capital flows, and spread best practices."/>
        <s v="Business-led association that convenes major companies to advance sustainable development in Brazil; strengthens corporate commitments, policy dialogue and collective action to accelerate low-carbon and nature-positive transitions."/>
        <s v="Association representing Brazil’s development finance institutions; supports systemic transition by mobilizing long-term finance, aligning practices and standards, and strengthening the national development finance ecosystem for sustainable investment."/>
        <s v="Research and policy institute that produces data-driven analysis and technical support on climate policy and climate finance; improves policy design and investment decisions for decarbonization, resilience and a just transition."/>
        <s v="Capacity-building and applied research hub that develops science-based transition assessments and trains professionals to interpret climate transition risks/opportunities, strengthening capital allocation toward a low-carbon economy."/>
        <s v="Industry association representing the wind energy value chain; supports market expansion and enabling policies/regulation to scale wind generation, grid integration and a competitive renewables industry."/>
        <s v="Sector association that connects the solar PV value chain; advances regulation, market development and industry coordination to accelerate solar deployment (including distributed generation and enabling technologies)."/>
        <s v="Industry association promoting biogas/biomethane; supports enabling regulation, standards and investment to decarbonize energy, waste and agriculture through circular-economy pathways."/>
        <s v="Industry association supporting hydrogen market development (including low-carbon/green hydrogen); contributes through policy dialogue, standards, ecosystem coordination and project acceleration."/>
        <s v="Non-profit institute focused on energy efficiency; contributes through technical studies, policy advocacy and capacity building to reduce energy demand, costs and emissions across sectors."/>
        <s v="Federal regional development authority; can accelerate systemic transition by aligning regional strategies, incentives and investment pipelines for resilient, inclusive and low-carbon development in the Northeast."/>
        <s v="Association representing large industrial energy consumers and free-market consumers; influences transition by advocating for market design, competitiveness, contracting rules and reliable low-carbon supply."/>
        <s v="Renewable energy developer; contributes by developing large-scale wind/solar projects, enabling corporate decarbonization strategies (PPAs/autoproduction) and supporting new clean energy vectors."/>
        <s v="Energy-transition-focused company that supports decarbonization through solutions such as energy management, clean energy sourcing and/or distributed energy services for firms and territories."/>
        <s v="Energy company in the oil and gas segment; can contribute through stronger governance, operational efficiency and methane/emissions management, alongside transparent transition planning."/>
        <s v="Automotive group; can accelerate mobility transition by scaling electrified vehicles, improving fleet efficiency, advancing local supply chains and supporting charging/industrial decarbonization ecosystems."/>
        <s v="National trade and investment promotion agency; can support systemic transition by attracting sustainable investment, promoting competitive green exports and strengthening business internationalization aligned with low-carbon strategies."/>
        <s v="Port and industrial complex authority in Pernambuco; supports systemic transition by enabling logistics and industrial infrastructure, embedding ESG standards, improving energy efficiency, adopting low-carbon fuels in operations, and hosting new low-carbo"/>
        <s v="Port and industrial complex company in Ceará (integrated with ZPEs); can accelerate transition by anchoring low-carbon industrial investment, developing energy/logistics infrastructure, and enabling export-oriented value chains linked to renewables and gr"/>
        <s v="Global CEO-led coalition of companies and investors to accelerate clean hydrogen; contributes through advocacy, market studies, coordination of commitments, and reducing barriers to scaling projects and enabling regulation."/>
        <s v="Global platform convening energy leaders and experts; contributes through dialogue, reports and convening to support energy systems that are secure, affordable and sustainable, informing strategic transition decisions."/>
        <s v="State-level sector chamber that convenes stakeholders around renewables; supports transition by coordinating dialogue, proposing guidelines and helping shape policies/roadmaps for expanding renewables (including wind, solar and green hydrogen)."/>
        <s v="International finance-sector alliance to accelerate net-zero; contributes by convening financial institutions, promoting transition guidance and voluntary frameworks, mobilizing capital, and helping remove barriers to climate investment."/>
        <s v="Brazilian international relations think tank; contributes by producing analysis and convening dialogue on global governance, climate and development, connecting public sector, private sector and civil society."/>
        <s v="Climate tech and carbon market company; supports transition by providing climate intelligence and enabling access to carbon/finance mechanisms that can fund decarbonization and high-integrity climate solutions."/>
        <s v="Civil society organization strengthening family farming and agroecology; contributes through technical support, network building and advocacy for sustainable, resilient and equitable food systems."/>
        <s v="Financial and capital markets association with a representation and self-regulatory role; supports transition by promoting standards, transparency and best practices that can steer sustainable finance products and capital flows."/>
        <s v="Global network of cities committed to climate action; contributes through technical assistance, peer learning and implementation support for low-carbon urban policies (mobility, buildings, waste and adaptation)."/>
        <s v="UN agency for sustainable urban development; contributes through technical cooperation, standards and policy support for housing, urban planning, resilience and inclusive city development."/>
        <s v="Technical association for public transport and traffic; contributes by producing and disseminating knowledge, supporting policy dialogue and promoting best practices for efficient, safe and low-carbon urban mobility."/>
        <s v="Global network of local and subnational governments; accelerates transition by providing tools, technical support and convening for low-carbon, nature-based, equitable, resilient and circular development pathways."/>
        <s v="UN environment authority that supports countries with science, policy guidance, standards and partnerships to address climate, nature and pollution, strengthening environmental governance and enabling systemic transitions."/>
        <s v="Industry association representing energy service companies (ESCOs); accelerates transition by promoting energy efficiency markets, performance contracting and best practices that reduce energy demand and emissions."/>
        <s v="Association representing urban public transport operators; contributes to transition by advocating for quality, funding models and fleet modernization, including low/zero-emission buses and better service for equity."/>
        <s v="Federal research institute that produces Earth observation and climate science; supports systemic transition by generating authoritative data on deforestation, emissions and climate risks to inform policy and enforcement."/>
        <s v="Multi-stakeholder coalition that convenes agribusiness, civil society, academia and finance to advance policy proposals and commitments for low-carbon agriculture, forest protection and sustainable land use."/>
        <s v="International organization that supports governments and partners to achieve universal energy access and accelerate the clean energy transition through analytics, convening and technical assistance."/>
        <s v="Global coalition of city networks and local governments; supports systemic transition by enabling cities to set targets, plan and report climate action, access technical support and mobilize finance for low-carbon urban development."/>
        <s v="Intergovernmental organization that produces comparative evidence, standards and policy recommendations; supports transitions via guidance on climate policy, taxation, investment, governance and inclusive growth."/>
        <s v="International research center focused on forests, agroforestry and land use; supports systemic transition through science, data and policy engagement to reduce deforestation, improve livelihoods and scale nature-based solutions."/>
        <s v="National cooperative apex organization; contributes by strengthening cooperative governance and scaling inclusive, sustainable value chains in agriculture, finance and services."/>
        <s v="UN specialized agency and international financial institution focused on rural poverty reduction; provides concessional finance and technical support to strengthen smallholder agriculture, resilience and sustainable rural development."/>
        <s v="Global charitable foundation focused on health research; contributes to systemic transition by funding science on climate-and-health risks, innovation and evidence for resilient, equitable health systems."/>
        <s v="Brazilian NGO dedicated to Caatinga conservation; supports systemic transition through biodiversity protection, restoration, community-based projects and partnerships that strengthen sustainable territorial development."/>
        <s v="Constitutional regional fund operated via development finance; supports transition by providing long-term credit for productive investment, potentially steering capital toward low-carbon, resilient and inclusive regional development."/>
        <s v="Network of civil society organizations in the Semi-arid region; strengthens climate resilience and food/water security through social technologies, community mobilization and advocacy for inclusive development."/>
        <s v="Regional philanthropic foundation (linked to the Araripe territory); can support systemic transition by funding conservation, education and sustainable livelihoods initiatives aligned with territorial resilience and equity."/>
        <s v="Applied center focused on fauna management and conservation in the Caatinga; contributes through research, monitoring, rescue/rehabilitation and technical support for biodiversity protection and environmental licensing."/>
        <s v="Civil society organization that supports family farming in the Semi-arid; contributes through technical assistance, agroecology and water strategies that strengthen resilience, food security and sustainable rural development."/>
        <s v="Global alliance that mobilizes philanthropic, public and private partners to accelerate clean energy deployment and energy access; supports systemic transition through catalytic finance, project pipelines and policy/implementation partnerships."/>
        <s v="Brazil’s national development bank; enables systemic transition by providing long-term finance and structuring blended-finance/investment platforms for renewable energy, resilient infrastructure, low-carbon industry and sustainable land-use value chains."/>
        <s v="Regional development bank for the Northeast; accelerates transition by channeling credit and technical support to productive inclusion, resilient AFOLU systems in the Semiárido/Caatinga, clean energy projects and sustainable local infrastructure."/>
        <s v="Large commercial bank with strong role in rural finance; supports transition by steering credit, risk management and incentives toward sustainable agriculture, deforestation-free supply chains, climate resilience and inclusive green investment."/>
        <s v="Banking federation that coordinates sector commitments and standards; contributes by shaping sustainable finance practices (risk, disclosure, taxonomy/labels) and aligning banking products with low-carbon and nature-positive outcomes."/>
        <s v="Capital markets infrastructure (stock exchange and clearing); supports transition by enabling listings and sustainable instruments (e.g., green/transition bonds), improving transparency and disclosure, and strengthening market standards for ESG and climat"/>
        <s v="Electricity market operator for trading/settlement; enables energy transition by operating market mechanisms and data systems that support competition, renewable integration, contracting innovations and efficient price signals."/>
        <s v="Federal regulator for oil, gas and biofuels; influences transition through regulation of fuels markets, biofuels standards and oversight that can reduce emissions and support lower-carbon energy pathways."/>
        <s v="Federal water and sanitation regulator; contributes to systemic transition by strengthening water governance, resilience planning and regulatory frameworks critical for cities, energy systems and AFOLU—especially in water-stressed regions."/>
        <s v="Multi-institutional network producing high-resolution land-use and ecosystem monitoring; supports AFOLU transition by providing transparent data for deforestation control, land-use planning, enforcement and sustainable finance due diligence."/>
        <s v="Federal research institute focused on the Semi-arid; enables transition in the Caatinga by generating applied knowledge and innovation for water security, climate adaptation, sustainable production systems and territorial resilience."/>
        <s v="Applied research institute in the Amazon; supports systemic transition by combining science, monitoring and community-based models for conservation, sustainable livelihoods and nature-positive development pathways."/>
        <s v="Civil society organization working in the Amazon/Cerrado frontier; contributes through territorial governance, transparency, policy engagement and implementation to reduce deforestation and strengthen sustainable rural economies."/>
        <s v="NGO focused on capacity building and project support for socioenvironmental agendas; accelerates transition by strengthening local organizations, Indigenous/community initiatives and sustainable territorial development in forests and rural landscapes."/>
        <s v="Amazon-based NGO with strong territorial presence; supports transition through conservation, community partnerships and applied solutions that combine biodiversity protection with resilient livelihoods."/>
        <s v="NGO supporting family farming and sustainable value chains (notably in Amazon/Central-West); contributes by scaling agroecology, restoration-friendly production and inclusive market access that reduce land-use pressure."/>
        <s v="NGO with long-standing work in the Cerrado; supports AFOLU transition by strengthening community-based conservation, socio-biodiversity value chains and policy advocacy for equitable, nature-positive development."/>
        <s v="Network of civil society organizations and community groups; contributes by coordinating advocacy and territorial action to protect Cerrado ecosystems, community rights and sustainable livelihoods."/>
        <s v="Sector association for distributed generation; accelerates energy/buildings transition by advancing policies, standards and market development for solar DG, storage and local clean-energy solutions."/>
        <s v="Industry association for electric mobility; supports transport transition by promoting enabling regulation, charging infrastructure, fleet electrification and supply-chain development for low/zero-emission vehicles."/>
        <s v="National transport confederation; influences systemic transition through policy advocacy and sector coordination on logistics efficiency, safety, infrastructure planning and decarbonization pathways across transport modes."/>
        <s v="Federal agency responsible for transport infrastructure implementation/management; contributes to transition by integrating climate resilience, safety and low-carbon standards into planning, construction and operation of roads and logistics assets."/>
        <s v="Federal civil aviation regulator; supports transport transition by enabling efficiency improvements, operational decarbonization and frameworks that can facilitate sustainable aviation fuels and climate-resilient aviation infrastructure."/>
        <s v="National standards body; enables buildings/energy transition by developing technical standards that shape materials, performance, efficiency and safety—supporting consistent adoption of low-carbon and high-efficiency practices."/>
        <s v="National industry association for the construction sector; supports the buildings transition by coordinating business agendas, influencing regulation and standards, and accelerating low-carbon, resilient and productivity-enhancing construction practices."/>
        <s v="Federal professional council regulating architecture and urbanism; contributes to systemic transition by shaping professional standards and practice quality for sustainable buildings, urban planning, energy efficiency and climate-resilient cities."/>
        <s v="Federal professional council regulating engineering and agronomy; enables transition through professional regulation, technical standards enforcement and guidance that affect infrastructure quality, energy systems, and sustainable land-use practices."/>
        <s v="Federal metrology and quality authority; supports transition by setting measurement, certification and labeling frameworks that drive energy efficiency, product performance and safety across buildings, appliances and industrial systems."/>
        <s v="National SME support system; accelerates transition by providing technical assistance, capacity building and market access for small businesses in green innovation, efficient buildings, clean energy solutions and sustainable value chains."/>
        <s v="National federation representing family farming and solidarity-economy cooperatives; contributes to AFOLU transition by strengthening cooperative governance, inclusive markets, sustainable production and community-based value chains."/>
        <s v="Agri-agency that supports farmers’ organizations and cooperatives; contributes to AFOLU transition by strengthening organizational capacity, technical assistance and partnerships (including international cooperation) for resilient and sustainable agricult"/>
        <s v="Civil society think tank linking democratic governance and sustainability; supports transition by convening coalitions, producing policy-relevant analysis and advancing socio-environmental agendas in public debate and decision-making."/>
        <s v="Civil society institute focused on sustainable urban development; contributes to buildings/transport transition through indicators, policy guidance and advocacy for low-carbon, inclusive and resilient cities."/>
        <s v="Civic network focused on improving urban governance and quality of life; supports systemic transition by mobilizing civil society, tracking indicators and strengthening accountability for sustainable city policies."/>
        <s v="Public policy institute focused on urban rights and inclusive development; contributes to buildings/transport transition through research, technical support and advocacy for equitable, resilient and low-carbon urban planning."/>
        <s v="Independent institute producing evidence and proposals for sustainable development; contributes to transition by analyzing policy options and trade-offs across energy, land use and green industrial strategies."/>
        <s v="Civil society organization focused on public budget, rights and socio-environmental justice; supports transition by policy analysis and advocacy for equitable fiscal and regulatory frameworks aligned with climate and nature goals."/>
        <s v="Consumer rights organization; contributes to energy/buildings transition by advocating for fair, efficient and transparent energy and consumer markets, including efficiency, pricing and access issues."/>
        <s v="Environmental advocacy organization; contributes to systemic transition through campaigns and public pressure to accelerate climate action, protect forests and biodiversity, and shift corporate and public policies."/>
        <s v="Civil society organization focused on climate and energy transition; contributes by monitoring projects, engaging policy processes and supporting coalitions to reduce fossil dependence and expand clean energy."/>
        <s v="National network advancing environmental justice; contributes to systemic transition by connecting communities and organizations, amplifying socio-environmental impacts and influencing public debate and policy."/>
        <s v="Environmental NGO with long-standing conservation work (notably in the Cerrado); contributes to AFOLU transition through biodiversity protection, project implementation, community engagement and support to sustainable territorial management."/>
        <s v="Civil society organization focused on Cerrado conservation and sustainable development; contributes to AFOLU transition through projects, territorial governance support and promotion of sustainable production and conservation strategies."/>
        <s v="Brazilian civil society organization working with Indigenous peoples and traditional communities in the Amazon, combining rights-based approaches, territorial protection, and support to community-led sustainable development aligned with AFOLU and just tra"/>
        <s v="Civil society organization operating mainly in the Amazon (especially Pará), supporting community-based territorial development, socio-biodiversity value chains, and local governance arrangements that connect conservation with inclusive livelihoods."/>
        <s v="Non-profit initiative working in the Brazilian Amazon, promoting participatory and integrated community development (health, education, citizenship, and sustainable livelihoods), strengthening local resilience and inclusive territorial transitions."/>
        <s v="National Indigenous movement articulation that connects regional Indigenous organizations and agendas, with strong advocacy on territorial rights, protection of forests, climate justice, and human rights—central for AFOLU and territorial governance in Ama"/>
        <s v="Indigenous coordination in the Brazilian Amazon that supports collective representation, territorial rights, and protection of forests and communities, strengthening Indigenous governance and climate/AFOLU outcomes."/>
        <s v="Organization linked to the CNBB that supports Indigenous peoples’ rights in Brazil, including accompaniment of communities and advocacy/monitoring of rights violations—relevant for safeguards, land rights, and just territorial transitions."/>
        <s v="Rights-based organization that supports rural peoples and communities, documents land and environmental conflicts, and strengthens grassroots organization and advocacy for land/water rights and socio-environmental justice."/>
        <s v="National organization/movement representing extractive communities, advocating for public policies and collective-use territories that ensure socio-environmental sustainability and forest conservation (e.g., extractive reserves)."/>
        <s v="National space for convergence among movements, networks and civil society organizations engaged in agroecology and family farming, promoting knowledge exchange and policy advocacy for sustainable rural development."/>
        <s v="Civil society organization with strong presence in Brazil’s Northeast/Semi-arid, strengthening social processes and policy advocacy for rights, climate resilience, and sustainable community development—relevant to AFOLU and adaptation."/>
        <s v="Catholic humanitarian and social development network in Brazil working with vulnerable populations, human rights, food security and solidarity-based development (including emergency response and community resilience)."/>
        <s v="Brazilian NGO that strengthens grassroots groups and civic participation for rights, democracy and environmental justice, operating across multiple states in urban and rural contexts."/>
        <s v="Civil society organization providing technical and social advisory support to family farmers and rural workers, promoting agroecology, social technologies, and territorial development—relevant to AFOLU transitions and resilience in the Semi-arid."/>
        <s v="NGO that promotes family farming under agroecology principles, working with agroforestry systems, territorial rural economies and policy advocacy—relevant for AFOLU transitions and climate-resilient food systems."/>
        <s v="Civil society organization focused on disseminating appropriate/social technologies and strengthening family farming and agroecology, especially in semi-arid contexts—supporting climate resilience, food security, and inclusive AFOLU transitions."/>
        <s v="National professional institute for architects; supports the buildings transition by advancing technical debate, professional practice standards, and advocacy for sustainable, low-carbon and climate-resilient architecture and urban development."/>
        <s v="German international cooperation agency; supports systemic transition by providing technical assistance, capacity building and policy support for energy transition, sustainable transport, resilient cities/buildings and AFOLU initiatives."/>
        <s v="German development bank; enables transition through concessional finance and blended-finance structures for renewable energy, urban infrastructure, sustainable land use and climate resilience."/>
        <s v="German development finance institution (DFI) focused on private-sector investment; supports transition by financing companies and projects aligned with decarbonization, sustainable value chains, and resilient infrastructure."/>
        <s v="French development agency; supports systemic transition via financing and policy support for climate, biodiversity, sustainable cities, transport decarbonization and resilient infrastructure."/>
        <s v="French DFI focused on private-sector operations; accelerates transition by financing businesses and financial institutions for renewable energy, sustainable infrastructure, and nature-positive value chains."/>
        <s v="French technical cooperation agency; supports transition by implementing technical assistance and institutional strengthening in climate policy, energy, sustainable mobility, urban development and territorial governance."/>
        <s v="Japanese cooperation agency; supports transition through technical cooperation and financing windows for low-carbon energy, resilient infrastructure, disaster-risk management, sustainable transport and environmental governance."/>
        <s v="Korean cooperation agency; supports systemic transition via grants and technical assistance for climate solutions, sustainable cities, clean energy, and inclusive development."/>
        <s v="Spanish cooperation agency; contributes through grants and technical cooperation that strengthen institutions and implement programs aligned with climate resilience, sustainable urban systems and inclusive territorial development."/>
        <s v="Italian cooperation agency; supports transition by funding and implementing development programs that can include climate adaptation, sustainable agriculture, resilient infrastructure and inclusive local development."/>
        <s v="Swiss cooperation agency; supports systemic transition via technical cooperation and grants focused on climate resilience, natural resources governance, sustainable value chains and inclusive development."/>
        <s v="Swedish development agency; contributes through grants and partnerships strengthening climate action, democratic governance and inclusive, sustainable development—including nature and land-use agendas."/>
        <s v="Danish development cooperation; supports transition through financing and technical assistance for climate mitigation/adaptation, clean energy, resilient infrastructure and sustainable development programs."/>
        <s v="Norwegian development cooperation agency; supports systemic transition via funding and oversight of programs related to climate, forests, renewable energy and inclusive development."/>
        <s v="Norwegian international initiative focused on climate and forests; supports AFOLU transition by financing forest conservation, deforestation reduction and partnerships that strengthen governance and results-based approaches."/>
        <s v="UK government ministry leading international development and diplomacy; supports systemic transition by setting strategy and funding international cooperation in climate, energy transition, sustainable infrastructure and nature."/>
        <s v="UK program providing technical assistance and capacity building for climate policy and implementation; supports transition by accelerating decarbonization solutions in energy, transport, cities/buildings and land-use agendas through partnerships."/>
        <s v="EU representation that coordinates cooperation and partnerships; supports transition by mobilizing programs and partnerships for climate, energy transition, sustainable transport, resilient cities and nature-positive development."/>
        <s v="European multilateral development bank; enables systemic transition through long-term finance and de-risking for renewable energy, sustainable transport, resilient urban infrastructure and climate/nature investments."/>
        <s v="Luxembourg’s development cooperation agency; supports systemic transition through grants and technical cooperation for climate, resilient infrastructure, sustainable value chains and inclusive development in partner countries."/>
        <s v="Ireland’s development cooperation program; supports systemic transition through funding and partnerships focused on poverty reduction, resilience, climate action and sustainable development."/>
        <s v="Austria’s development cooperation agency; contributes via grants and technical assistance supporting climate mitigation/adaptation, sustainable infrastructure and inclusive local development."/>
        <s v="Portugal’s institute for international cooperation and language; supports systemic transition through cooperation programs, institutional strengthening and partnerships that may include climate and sustainable development agendas."/>
        <s v="German Catholic development organization (grantmaker/partner); supports systemic transition by funding civil society, rights-based approaches and sustainable livelihoods, often connected to land rights, food systems and environmental justice."/>
        <s v="International NGO focused on strengthening entrepreneurship and cooperatives; supports AFOLU and inclusive transition by building capacities of farmers’ organizations, SMEs and value chains for resilient, sustainable local economies."/>
        <s v="Protestant development organization (grantmaker/partner); supports systemic transition by funding civil society and community-based programs on rights, food systems, climate resilience and environmental justice."/>
        <s v="UK Catholic development NGO; supports systemic transition through rights-based humanitarian and development work, including climate resilience, livelihoods, and advocacy aligned with just transition outcomes."/>
        <s v="Political foundation linked to the German Green movement; supports systemic transition through policy dialogue, research, convening and grants focused on climate, democracy, gender and socio-environmental justice."/>
        <s v="Political foundation linked to German social democracy; supports transition through policy dialogue, research and partnerships on inclusive development, decent work, governance and climate/energy debates."/>
        <s v="Political foundation linked to German Christian democracy; contributes through policy dialogue, governance support and programs that may include sustainable development, energy transition and institutional strengthening."/>
        <s v="Political foundation linked to democratic socialism; supports systemic transition via research, convening and partnerships emphasizing social justice, rights, and critical perspectives on development and climate."/>
        <s v="International NGO focused on children’s and girls’ rights; supports systemic transition by strengthening resilience, education and protection, with programs that can intersect with climate impacts and inclusive urban/rural development."/>
        <s v="International NGO focused on children’s rights and humanitarian response; supports systemic transition by addressing vulnerability, resilience and protection, including in climate-affected contexts."/>
        <s v="International humanitarian and development NGO; supports systemic transition through community-based development, emergency response and resilience building, including in climate-vulnerable territories."/>
        <s v="Mass social movement for agrarian reform and rural rights; influences AFOLU transition through advocacy, territorial organization, agroecology and food sovereignty agendas."/>
        <s v="Urban housing rights movement; relevant to buildings/urban transition through advocacy for inclusive housing policy, urban services and just city development."/>
        <s v="Movement representing communities affected by dams and energy projects; relevant to energy transition governance, safeguards, compensation and rights-based infrastructure planning."/>
        <s v="Rural movement representing small farmers; supports AFOLU transition through agroecology, food sovereignty and advocacy for inclusive rural policies and resilient production systems."/>
        <s v="Social movement focused on mining impacts and sovereignty; relevant to just transition by advocating for socio-environmental safeguards, community rights and responsible mineral supply chains."/>
        <s v="National confederation representing rural workers and family farmers; central to AFOLU transition via advocacy, collective organization, and policy engagement for inclusive, resilient rural development."/>
        <s v="National articulation of Quilombola communities; critical for territorial rights, socio-environmental justice and nature-positive development aligned with AFOLU and just transition goals."/>
        <s v="Black movement organization advocating racial justice; relevant for just transition by linking climate and development agendas to equity, rights and anti-racism in policy and governance."/>
        <s v="Movement of peasant women; supports AFOLU transition through agroecology, food systems, gender justice and rural livelihoods advocacy."/>
        <s v="Movement representing babaçu coconut breakers; relevant to AFOLU transition through defense of access rights, socio-biodiversity value chains and community-based forest/agroextractive economies."/>
        <s v="Rights-based pastoral organization supporting artisanal fishing communities; relevant to just transition and AFOLU by advocating for livelihoods, territorial waters rights and protection of traditional communities."/>
        <s v="National movement of recyclables collectors; relevant to buildings/cities transition via circular economy, waste management justice and inclusion of waste picker cooperatives."/>
        <s v="Umbrella movement connecting popular urban and rural organizations; relevant to just transition by mobilizing civil society for inclusive policies on housing, services, and rights."/>
        <s v="Regional Indigenous articulation; supports territorial rights and climate/AFOLU agendas through representation and coordination of Indigenous organizations."/>
        <s v="Indigenous federation in the Rio Negro region; central for territorial governance, rights protection and community-led conservation in the Amazon."/>
        <s v="Indigenous council representing peoples in Roraima; supports territorial rights, governance and protection of forests and communities."/>
        <s v="Yanomami association supporting territorial protection, health and rights; relevant to AFOLU and just transition through safeguarding Indigenous lands and addressing illegal pressures."/>
        <s v="Social movement coalition in the Xingu region; relevant to energy and AFOLU transitions through advocacy on rights, safeguards and territorial protection in infrastructure and land-use decisions."/>
        <s v="Network of Indigenous and traditional peoples and partners in the Xingu basin; supports territorial governance, restoration and sustainable livelihoods aligned with AFOLU and just transition goals."/>
        <s v="Social movement coalition in the Tapajós region; relevant to energy and AFOLU transitions through advocacy on territorial rights, safeguards and responsible infrastructure planning."/>
        <s v="National forum/network for solidarity economy; supports transition through cooperative and inclusive economic models, strengthening community enterprises in green and circular value chains."/>
        <s v="Movement focused on communities affected by renewable energy projects; relevant to energy transition by advocating safeguards, fair benefit-sharing and community rights in clean energy expansion."/>
        <s v="Regional network/initiative in the Seridó (Semi-arid Northeast); supports AFOLU and resilience by mobilizing territorial action around water security, sustainable livelihoods and climate adaptation."/>
        <s v="Civil society coalition advocating for clean energy and a just energy transition; supports systemic transition through coordination, policy engagement and public communication."/>
        <s v="National union/network of waste picker cooperatives; supports transition through circular economy inclusion, improved livelihoods and advocacy for fair waste management systems in cities."/>
        <s v="Brazil’s peak industry confederation representing industrial federations and sectoral associations; convenes private-sector stakeholders and engages in policy advocacy, technical studies, and programs on competitiveness, innovation, energy/industrial tran"/>
      </sharedItems>
    </cacheField>
    <cacheField name="Territorial focus&#10;(national, region, city)" uniqueList="1" numFmtId="0" sqlType="0" hierarchy="0" level="0" databaseField="1">
      <sharedItems count="5">
        <s v="National"/>
        <s v="Cross-border / international"/>
        <s v="Regional"/>
        <s v="State-level"/>
        <s v="Regional "/>
      </sharedItems>
    </cacheField>
    <cacheField name="Primary impact area &#10;(sector of interest / Nexuses)" uniqueList="1" numFmtId="0" sqlType="0" hierarchy="0" level="0" databaseField="1">
      <sharedItems count="14" containsBlank="1">
        <s v="&quot;Land, Food and Forest&quot;"/>
        <s v="Buildings &amp; Transport, Energy, &quot;Land, Food and Forest&quot;"/>
        <s v="Buildings &amp; Transport, &quot;Land, Food and Forest&quot;"/>
        <s v="Buildings &amp; Transport, Energy, &quot;Land, Food and Forest&quot;, Emergency response"/>
        <s v="Buildings &amp; Transport, Emergency response, Energy, &quot;Land, Food and Forest&quot;"/>
        <s v="Buildings &amp; Transport, Energy"/>
        <m/>
        <s v="Emergency response, &quot;Land, Food and Forest&quot;"/>
        <s v="Energy, &quot;Land, Food and Forest&quot;"/>
        <s v="Buildings &amp; Transport"/>
        <s v="Energy"/>
        <s v="Buildings &amp; Transport, Emergency response"/>
        <s v="Emergency response"/>
        <s v="Emergency response, Energy, &quot;Land, Food and Forest&quot;"/>
      </sharedItems>
    </cacheField>
    <cacheField name="Primary Territory lens&#10;(Biome) " uniqueList="1" numFmtId="0" sqlType="0" hierarchy="0" level="0" databaseField="1">
      <sharedItems count="8" containsBlank="1">
        <s v="Amazonia"/>
        <m/>
        <s v="Amazonia, Caatinga, Cerrado"/>
        <s v="Amazonia, Cerrado"/>
        <s v="Cerrado"/>
        <s v="Amazonia, Caatinga"/>
        <s v="Caatinga, Cerrado"/>
        <s v="Caatinga"/>
      </sharedItems>
    </cacheField>
    <cacheField name="Secondary Territory lens&#10;(Biome) " uniqueList="1" numFmtId="0" sqlType="0" hierarchy="0" level="0" databaseField="1">
      <sharedItems count="12" containsBlank="1">
        <m/>
        <s v="Mata&amp;Atlântica, Pantanal, Pampa, Coastal&amp;maritime"/>
        <s v="Mata&amp;Atlântica"/>
        <s v="Coastal&amp;maritime"/>
        <s v="Mata&amp;Atlântica, Coastal&amp;maritime"/>
        <s v="Pantanal, Mata&amp;Atlântica"/>
        <s v="Mata&amp;Atlântica, Pampa"/>
        <s v="Mata&amp;Atlântica, Pampa, Pantanal"/>
        <s v="Mata&amp;Atlântica, Pantanal"/>
        <s v="Pantanal"/>
        <s v="Coastal&amp;maritime, Mata&amp;Atlântica"/>
        <s v="Mata&amp;Atlântica, Pantanal, Pampa"/>
      </sharedItems>
    </cacheField>
    <cacheField name="Biome focus rationale (only when the organization has explicit project/action targeting by biome)" uniqueList="1" numFmtId="0" sqlType="0" hierarchy="0" level="0" databaseField="1">
      <sharedItems count="338">
        <s v="Grantmaking is organized by themes such as democracy, racial equity and fair food systems, not by ecological territories. Funding can reach many regions, but biome targeting is not used as an allocation rule."/>
        <s v="Portfolio follows scientific fields, fellowships and science communication priorities. Projects may occur in different places, yet the institute does not manage programs using biomes as the operating unit."/>
        <s v="Multi biome financial mechanism with recurring biodiversity pipelines in Amazonia and Cerrado. Other biomes appear through specific funds and projects, but with lower frequency in the core flow of managed initiatives."/>
        <s v="Grantmaking frequently connects climate and land use priorities in Amazonia, Cerrado and Caatinga. Additional biomes are supported through partners and calls, but are not the main recurring anchors of the portfolio."/>
        <s v="Work is centered on strategic communication and policy influence rather than place based delivery. Campaign geography varies by agenda, so no stable biome delimitation is consistently observable."/>
        <s v="Acts as a philanthropy platform focused on standards, learning and capacity building. Its territorial reach depends on members and partners, making biome classification non essential for its operating model."/>
        <s v="Network to mobilize giving and strengthen civil society across Brazil. Territorial footprint is partner driven and campaign driven, without a consistent program design structured by biome boundaries."/>
        <s v="NA"/>
        <s v="Global rights and democracy funder with broad country portfolios. In this mapping, Brazil support is not publicly organized in a way that allows a consistent biome based segmentation, but has a mention about impact in Amazon region."/>
        <s v="Corporate integrity and sustainability work often engages high deforestation risk supply chains, making Amazonia the most recurrent reference. National advocacy and tools also apply beyond Amazonia, but not as a biome specific portfolio."/>
        <s v="Operates as a philanthropy and social investment advisor and ecosystem builder. Workstreams are instrument and strategy based, so biome delimitation is not a meaningful organizing lens."/>
        <s v="Coordinates climate solutions with strong land use and regional transition interfaces, often most salient in Amazonia, Cerrado and Caatinga. Other biomes enter through specific coalitions, not as the primary recurring focus."/>
        <s v="Runs global corporate coalitions and sector commitments. Brazil engagement is typically framed by companies and policies, not by territorially delimited biome programs."/>
        <s v="Focuses on early childhood evidence and public policy adoption by states and municipalities. Implementation geography is administrative and service based, not ecosystem based."/>
        <s v="Prioritizes urban peripheries and socio spatial inequality agendas. The operating territory is metropolitan and social, so biomes are not used to define programs."/>
        <s v="Venture philanthropy for employability and productive inclusion, oriented to scalable solutions and organizational strengthening. No consistent biome targeting appears in how programs are selected or reported."/>
        <s v="Produces climate governance analysis where Amazonia and Cerrado repeatedly dominate national debates on land use and NDC ambition. Other biomes are covered in broader policy discussion rather than dedicated biome programs."/>
        <s v="Works on children and adolescent rights with advocacy and communication strategies. Actions are not designed around biome defined geographies."/>
        <s v="Influence is exercised through portfolio governance, ESG and capital allocation. No public strategy indicates biome specific territorial programming."/>
        <s v="Sustained territorial convening and networks are most visibly linked to Amazonia, with additional recurring work connected to Mata Atlântica agendas. The biome tagging reflects where long term coalitions and place based initiatives concentrate."/>
        <s v="Parks and protected areas agenda spans multiple regions, with recurring relevance in Amazonia and Cerrado due to scale and pressure dynamics. Other biomes appear through specific protected area partnerships and knowledge products."/>
        <s v="International grantmaker with broad environment and community portfolios. This list does not provide a stable Brazil facing biome structured program line to classify."/>
        <s v="Operational footprint and risk management are most consistently associated with Amazonia. Coastal maritime appears as a secondary interface through logistics and export corridors rather than a dedicated conservation program."/>
        <s v="Industrial and mining assets create a strong linkage to Amazonia. Coastal maritime is included as a secondary lens due to transport and port logistics interfaces that shape impacts and mitigation needs."/>
        <s v="Long running rights and territorial governance work is strongly anchored in Amazonia. A secondary linkage to Mata Atlântica reflects additional initiatives and advocacy connected to that biome domain."/>
        <s v="Territorial programs and partnerships are most robust in Amazonia and Cerrado. Mata Atlântica and Coastal maritime appear through complementary water, restoration and coastal linked initiatives."/>
        <s v="Multi biome conservation portfolio with recurring emphasis on Amazonia and Cerrado. Mata Atlântica and Coastal maritime show up through specific projects and themes rather than being the main program anchors."/>
        <s v="High visibility campaigns and projects frequently center on Amazonia and Cerrado. Pantanal and Mata Atlântica remain relevant through water, biodiversity and climate risk agendas in a secondary layer."/>
        <s v="Evidence to action work often focuses on land use and transition challenges most salient in Amazonia, Cerrado and Caatinga. Mata Atlântica appears through cities, infrastructure and policy work that intersects that biome footprint."/>
        <s v="Mission, monitoring and advocacy are explicitly dedicated to Mata Atlântica. This single biome focus is consistent across programs and public positioning."/>
        <s v="National agricultural research network with core innovation and adaptation agendas strongly present in Cerrado, Caatinga and Amazonia. Other biomes are covered institutionally but are less central in the most recurrent transition narratives."/>
        <s v="Delivery model is based on training networks, sectoral services and local units. Programs are not defined by biomes, so biome tagging is not operationally meaningful."/>
        <s v="National enforcement and licensing mandate covers all biomes, but pressure hotspots make Amazonia, Cerrado and Caatinga the most recurrent references. Remaining biomes are still within scope, yet not a distinctive program delimitation."/>
        <s v="Manages federal protected areas across all biomes by mandate. The primary tags reflect where protected area scale and conflict pressures are most pronounced, while other biomes remain part of nationwide coverage."/>
        <s v="Research and monitoring are explicitly focused on Amazonia forest dynamics and governance. There is no recurring second biome portfolio line in the institute core work."/>
        <s v="Community based conservation and livelihoods programs are designed for Amazonia territories. Territorial focus is stable and central to the operating model."/>
        <s v="Certification and technical assistance in forest and agricultural supply chains are most recurrent in Amazonia and Cerrado, with added relevance in Caatinga through land use and production systems. Mata Atlântica and Pampa appear through specific chains a"/>
        <s v="Portfolio is broad and partnership driven across education and culture, with variable environmental projects. No stable biome based program boundary is consistently identifiable from this entry."/>
        <s v="Produces national policy research, indicators and evaluation with sector based framing. Biomes are not used as the primary unit to organize outputs or operations."/>
        <s v="Civil service training and innovation in public management are national and institution focused. Territorial framing follows government levels, not biome ecosystems."/>
        <s v="Strengthens governance and oversight through training and knowledge products. Work is transversal and not organized as place based biome initiatives."/>
        <s v="Operational presence and risk exposure are significant in Amazonia and Cerrado, with additional material interfaces in Mata Atlântica states. Biome tagging reflects where footprint and supply chain dynamics concentrate."/>
        <s v="Forestry and industrial landscapes connect strongly to Cerrado and Amazonia, with a sustained linkage to Mata Atlântica domains through assets and restoration agendas. The tags follow managed landscape concentration and reporting focus."/>
        <s v="Institutional mandate and financial instruments are oriented to Amazonia development and bioeconomy. This creates a clear single biome anchor for territorial focus."/>
        <s v="Projects and value chains are consistently rooted in Amazonia territories and forest positive development. The organization identity and program design are explicitly Amazon focused."/>
        <s v="Structures impact finance and governance mechanisms across themes and sectors. Geographic reach depends on deals and partners, so no stable biome specific allocation logic is evident."/>
        <s v="Invests and builds ventures by impact thesis and market opportunity across Brazil. Portfolio is not disclosed as a biome delimited strategy."/>
        <s v="Accelerates impact businesses through programs and networks, mostly organized by target population and business model. It does not consistently categorize its work by biome."/>
        <s v="Convening and corporate citizenship work is agenda and network driven. It is not implemented through territorially bounded biome programs."/>
        <s v="Global innovation hub network with local ecosystem programming. Biomes are not used as the unit of action, since operations are city and community based."/>
        <s v="Community enterprise acceleration is strongly present in Amazonia, Cerrado and Caatinga through socio biodiversity value chains and territorial businesses. Mata Atlântica and Pampa appear as secondary through additional regional networks and projects."/>
        <s v="Matchmaking platform for impact ventures and investors, organized by sectors and portfolios. No consistent biome delimited implementation layer is observable."/>
        <s v="Supports social businesses via investment readiness, capital and partnerships. The territorial footprint is opportunity driven and not structured by biomes as a program boundary."/>
        <s v="Corporate social investment focused on inclusion and opportunities, implemented through partners and programs. It does not present a consistent biome targeted approach in this mapping."/>
        <s v="International foundation with broad inclusive development work. This entry does not provide a stable Brazil facing biome structured program set to classify."/>
        <s v="Works with micro and small entrepreneurs through training and market access in vulnerable contexts. Territorial reach is defined by communities and cities, not by biome ecosystems."/>
        <s v="Combines grants and investments globally to expand inclusion and strong institutions. In this dataset, a consistent Brazil biome based segmentation is not documented for classification."/>
        <s v="Flagship conservation and restoration initiatives maintain clear linkages to Cerrado and Mata Atlântica. The tags reflect where long term reserves, partnerships and public programs are most explicitly concentrated."/>
        <s v="Sociobiodiversity sourcing and forest positive supply chains create a strong anchor in Amazonia, with important interfaces in Cerrado. Other biomes are part of corporate reach, but are less consistently presented as core territorial program lines."/>
        <s v="Cooperation is organized by SDG programs and government counterparts, with implementation varying by project. This entry does not show a stable biome specific portfolio structure to apply systematically."/>
        <s v="It operated explicitly as an Amazon-region platform and delivered bioeconomy/entrepreneurship support anchored in Amazonia."/>
        <s v="It used Amazon-linked supply chains and supported producers connected to the Amazonia biome."/>
        <s v="It operated through corporate social investment and partnerships and did not maintain a public biome-specific program cut."/>
        <s v="It accelerated ventures across themes and did not classify its programs by biome."/>
        <s v="It was linked to value chains at state level, but no clear public evidence of biome-targeted initiatives was identified in this mapping."/>
        <s v="It worked on inclusive business/system innovation across sectors and did not use Brazilian biomes as a standard program boundary."/>
        <s v="It operated as an academic institution and did not present biome-defined projects as a primary organizing lens in this list."/>
        <s v="A venture capital firm that invests in early-stage startups committed to generating positive and measurable social and environmental impact."/>
        <s v="It ran leadership and social innovation programs internationally and did not provide a Brazil-biome-specific portfolio cut."/>
        <s v="It funded broad social-justice agendas and did not define a consistent Brazil-biome program cut for this dataset."/>
        <s v="It focused on health/education/community partnerships and did not operate with a biome-based territorial strategy."/>
        <s v="It mobilized donors and structured giving nationally and did not target interventions using biome boundaries."/>
        <s v="It provided advisory services across sectors and geographies and did not apply a biome-specific delivery model."/>
        <s v="It produced applied research and convening and did not define its work through biome-specific implementation portfolios."/>
        <s v="It delivered executive education and applied research and did not organize activities through biome-based cuts."/>
        <s v="It disseminated governance standards and training nationally and did not use biomes as an operational lens."/>
        <s v="It operated as an academic/research school and did not present a stable set of biome-targeted projects in this list."/>
        <s v="It supported projects across territories and value chains, but no consistent biome-defined portfolio was identified in this mapping."/>
        <s v="It aligned funding to reduce deforestation with a clear emphasis on Amazonia and also supported land-use governance agendas linked to Cerrado."/>
        <s v="It focused its acceleration and investment mandate on the Amazon region, which anchored its work in Amazonia."/>
        <s v="It operated through regional logistics and platform services and did not define actions using Brazilian biome boundaries."/>
        <s v="It ran global logistics/cloud operations and did not structure Brazil activities by biome in a way that was identifiable for this mapping."/>
        <s v="It supported cocoa value chains strongly linked to Bahia (Mata Atlântica) and also connected to Amazon-region cocoa expansion/production landscapes (Amazonia)."/>
        <s v="It implemented flagship landscape conservation/restoration work in the Atlantic Forest and also maintained projects/partnerships linked to the Amazon region."/>
        <s v="It worked on state capacity and collaborative governance and did not use biomes as an implementation boundary."/>
        <s v="It operated nationally in health research/policy and did not frame its core programs through biome-specific cuts."/>
        <s v="It operated in the Cerrado territory and maintained research and outreach agendas strongly associated with Cerrado socio-environmental issues."/>
        <s v="It was based in the Amazon region and delivered research/training linked to Amazonian socio-biodiversity and territorial development."/>
        <s v="It produced broad research and training and did not present a biome-targeted portfolio cut that could be consistently assigned here."/>
        <s v="It held a nationwide mandate across Indigenous territories and did not operate through a single or stable biome-defined program boundary in this mapping."/>
        <s v="It worked through applied studies and projects across themes and did not disclose a consistent biome-targeted portfolio."/>
        <s v="It delivered mediation/regularization services across territories and did not define operations by biome."/>
        <s v="It implemented infrastructure projects by client/municipality and did not use biomes as an organizing lens."/>
        <s v="It focused on national climate governance and policy advocacy and did not maintain a biome-specific implementation portfolio."/>
        <s v="It funded multi-sector international cooperation and did not provide a stable Brazil-biome-specific cut in this mapping."/>
        <s v="It funded global conservation/science agendas and did not present a consistent Brazil-biome segmentation in this dataset."/>
        <s v="It supported regional systemic-change agendas and did not structure its Brazil work by biome boundaries in this mapping."/>
        <s v="It funded broad international programs and did not provide a Brazil-biome-specific portfolio cut here."/>
        <s v="It funded global climate networks and did not define Brazil activities through biome-specific program boundaries in this mapping."/>
        <s v="It funded global portfolios (children/climate) and did not maintain a clear Brazil-biome-based classification in this dataset."/>
        <s v="It funded broad international agendas and did not disclose a consistent Brazil-biome-specific portfolio cut for this mapping."/>
        <s v="No biome lens was assigned because it acted through national policy and planning instruments rather than biome-targeted programs."/>
        <s v="No biome lens was assigned because it produced national planning studies without a stable portfolio organized by biome."/>
        <s v="No biome lens was assigned because it regulated the sector nationally and did not operate through biome-specific projects."/>
        <s v="No biome lens was assigned because it performed system operation for the national grid and was not structured around biome-defined interventions."/>
        <s v="No biome lens was assigned because the company’s publicly visible transition agenda was framed by assets and concession areas, not by biome-delimited programs."/>
        <s v="No biome lens was assigned because actions were typically reported by operational footprint and concessions, not by biome-based initiatives."/>
        <s v="No biome lens was assigned because the transition contribution was reported by generation assets and projects without a consistent biome cut."/>
        <s v="No biome lens was assigned because programs were not clearly organized or communicated using biome boundaries as the primary territorial frame."/>
        <s v="No biome lens was assigned because the portfolio was presented by business lines and concessions rather than biome-targeted action."/>
        <s v="No biome lens was assigned because transition-relevant actions were linked to system assets and corporate strategy, not to explicit biome-based programs."/>
        <s v="The biome tagging reflects where Brazil’s decarbonization and air-quality agendas are structurally shaped by land-use pressure, diesel/logistics corridors, and energy system constraints."/>
        <s v="The primary biomes capture where the “just transition” framing and energy-system transformation are most tightly coupled with regional development and equity trade-offs."/>
        <s v="No biome lens was assigned because Brazil-related support was not consistently publicized as a biome-delimited portfolio in this mapping."/>
        <s v="No biome lens was assigned because the grant strategy was not mapped here through explicit Brazil biome-cut initiatives."/>
        <s v="No biome lens was assigned because it acted through nationwide urban policy instruments and program rules, not biome-specific territorial initiatives."/>
        <s v="No biome lens was assigned because it regulated concessions and services nationally and did not implement programs framed by biomes."/>
        <s v="No biome lens was assigned because it operated as a national regulator and the mapping did not identify biome-delimited initiatives."/>
        <s v="No biome lens was assigned because actions were structured around concessions/projects and ESG programs, not biome-defined territorial cuts."/>
        <s v="No biome lens was assigned because its operational footprint was concession-based and not communicated through biome-framed initiatives."/>
        <s v="No biome lens was assigned because the contribution was market/technology-based and did not use biomes as a programmatic territorial frame."/>
        <s v="No biome lens was assigned because activities were organized around fleets/markets and not mapped to biome-specific programs."/>
        <s v="No biome lens was assigned because the contribution was industrial/market-driven and not associated with biome-delimited initiatives."/>
        <s v="No biome lens was assigned because implementation was city/corridor-based and not typically defined by biome boundaries."/>
        <s v="No biome lens was assigned because financing programs were national and eligibility/operations were not structured by biome."/>
        <s v="No biome lens was assigned because projects were reported by cities/markets and not by biome-based portfolios."/>
        <s v="No biome lens was assigned because the operating model was city/market-based and did not use biomes as the territorial unit."/>
        <s v="No biome lens was assigned because activity was market-driven and not tied to explicit biome-delimited programs."/>
        <s v="No biome lens was assigned because decarbonization actions were process/plant-based and the mapping did not identify biome-specific programs."/>
        <s v="No biome lens was assigned because actions were industrial/process-based and not organized by biome in publicly visible initiatives."/>
        <s v="No biome lens was assigned because it operated through standards/certification and not through biome-delimited territorial programs."/>
        <s v="No biome lens was assigned because instruments were national and the mapping did not isolate biome-specific programs as the main operational cut."/>
        <s v="No biome lens was assigned because land governance actions were national and were not mapped here as biome-specific initiatives."/>
        <s v="It produced policy and supply-chain work explicitly centered on deforestation and land-use agendas typically framed around Amazonia and Cerrado."/>
        <s v="It implemented deforestation-free sourcing and cattle traceability agendas that were publicly associated with Amazonia and Cerrado supply chains and also faced material exposure in Pantanal cattle landscapes."/>
        <s v="It advanced cattle traceability and deforestation-risk management that were publicly tied to Amazonia and Cerrado and also intersected with Pantanal sourcing dynamics."/>
        <s v="It operated grain production/logistics in frontier and transition landscapes commonly framed by Cerrado and Amazonia and it reported supply-chain compliance around these territories."/>
        <s v="It operated large-scale cropping predominantly in Cerrado landscapes and it expanded/managed farms in frontier interfaces that were commonly described as connected to Amazonia transition zones."/>
        <s v="It worked explicitly on Amazonia-focused science and policy and it addressed linked land-use and deforestation dynamics at the Amazonia–Cerrado interface."/>
        <s v="It produced deforestation-risk tools and accountability agendas that, in Brazil, were commonly framed around Amazonia and Cerrado commodity frontiers."/>
        <s v="No biome lens was assigned because the mapping did not identify a Brazil portfolio publicly structured by biome-specific programs."/>
        <s v="No biome lens was assigned because social protection and hunger policies were national and not implemented through a biome-based targeting logic."/>
        <s v="No biome lens was assigned because health/nutrition policies were nationwide and were not organized or monitored by biome as a primary territorial cut."/>
        <s v="No biome lens was assigned because governance and oversight were national and did not correspond to a stable biome-delimited portfolio."/>
        <s v="No biome lens was assigned because the mapping did not identify supplier programs explicitly framed by Brazilian biomes."/>
        <s v="No biome lens was assigned because supply initiatives were not mapped here as biome-specific programs."/>
        <s v="It implemented deforestation-free sourcing and traceability commitments that were publicly anchored in Amazonia and Cerrado commodity-risk supply chains."/>
        <s v="No biome lens was assigned because the mapping did not confirm a consistent portfolio of initiatives explicitly delimited by Brazilian biomes."/>
        <s v="No biome lens was assigned because Brazil-related initiatives were not identified here with an explicit biome cut robust enough for classification."/>
        <s v="No biome lens was assigned because the mapping did not identify a biome-delimited set of projects or sourcing initiatives as a consistent territorial lens."/>
        <s v="No biome lens was assigned because it operated through national monitoring/advocacy and was not organized around biome-delimited initiatives."/>
        <s v="No biome lens was assigned because its portfolio was thematic (food systems/innovation) and did not present a consistent public biome cut."/>
        <s v="No biome lens was assigned because Brazil-related work was not mapped here through a stable biome-specific portfolio."/>
        <s v="No biome lens was assigned because the program operated nationally and the mapping did not isolate biome-delimited program lines as a consistent territorial lens."/>
        <s v="It managed public forest governance and concession frameworks that were most visibly associated with Amazonia, while its forest information and management instruments were also applicable to other forest biomes."/>
        <s v="It operated forestry and industrial landscapes predominantly in the Atlantic Forest domain and reported sustainability/restoration efforts tied to these managed territories."/>
        <s v="It operated forestry/industrial assets in areas where Mata Atlântica predominated and it maintained relevant interfaces with Cerrado landscapes through plantations, sourcing and territorial footprints in the Southeast/Northeast."/>
        <s v="No biome lens was assigned because the mapping did not confirm a consistent set of publicly identifiable biome-targeted projects beyond general responsible sourcing."/>
        <s v="No biome lens was assigned because investment theses were thematic/technology-based and were not reported as a biome-delimited operational portfolio."/>
        <s v="It operated certification and supply-chain transformation that were commonly linked to forest-risk commodities and landscapes in Amazonia and Mata Atlântica, and it also covered Cerrado-linked agricultural supply chains through standards and verification."/>
        <s v="It produced deforestation and forest-finance transparency work that, in Brazil, was most consistently framed around Amazonia and Cerrado commodity frontiers."/>
        <s v="It implemented deforestation-reduction and rural low-carbon strategies centered on Amazonia and it also worked on transition dynamics in the Amazonia–Cerrado interface."/>
        <s v="No biome lens was assigned because the mapping did not confirm a Brazil grant portfolio explicitly structured by biome-specific initiatives."/>
        <s v="No biome lens was assigned because the mapped work was policy/cities-oriented and was not organized using Brazilian biomes as the primary territorial cut."/>
        <s v="No biome lens was assigned because the mapped strategy was sector/system-based and did not rely on biome-targeted program lines."/>
        <s v="No biome lens was assigned because Brazil-related support was not mapped here through explicit biome-delimited initiatives."/>
        <s v="No biome lens was assigned because the mapping did not identify Brazil projects clearly tied to specific biomes in a consistent way."/>
        <s v="No biome lens was assigned because the mapping did not confirm a Brazil portfolio with biome-delimited programmatic focus."/>
        <s v="No biome lens was assigned because specific Brazil protected-area actions were not identified here with a stable biome cut for classification."/>
        <s v="No biome lens was assigned because the mapping did not confirm biome-specific Brazil initiatives as a consistent portfolio lens."/>
        <s v="No biome lens was assigned because Brazil-related work was not mapped here through biome-delimited projects."/>
        <s v="It coordinated regional strategies in the Northeast where Caatinga predominated and it also addressed coastal and Atlantic Forest-zone challenges through multi-state planning and resilience agendas."/>
        <s v="No biome lens was assigned because it acted through financial-market innovation and standards rather than biome-targeted implementation."/>
        <s v="No biome lens was assigned because its work was cross-sector and national and did not operate through biome-delimited program execution."/>
        <s v="No biome lens was assigned because it acted at ecosystem/finance standards level and was not structured around biome-specific initiatives."/>
        <s v="It produced Brazil-facing land-use and climate-finance analysis that was most consistently framed around Amazonia and Cerrado deforestation and agricultural transition dynamics."/>
        <s v="No biome lens was assigned because it focused on training/assessment frameworks and did not present a biome-delimited implementation portfolio."/>
        <s v="No biome lens was assigned because it operated as a national sector association and did not maintain a program portfolio structured by biomes."/>
        <s v="No biome lens was assigned because it acted nationally on regulation/market coordination and was not organized by biome-specific initiatives."/>
        <s v="No biome lens was assigned because it operated as a national market/policy association without biome-delimited programs."/>
        <s v="No biome lens was assigned because it coordinated nationally and did not implement biome-targeted initiatives."/>
        <s v="No biome lens was assigned because its work was technical/policy-oriented and not tied to biome-delimited implementation territories."/>
        <s v="It supported regional development in the Northeast where Caatinga predominated and it also addressed coastal and Atlantic Forest-zone territories through regional planning and incentive instruments."/>
        <s v="No biome lens was assigned because it operated through market advocacy and was not associated with biome-specific programs."/>
        <s v="It developed major wind/renewables in the Northeast where Caatinga landscapes predominated and it also operated in coastal wind corridors, making a coastal interface recurrent."/>
        <s v="It developed renewables in Northeast territories commonly associated with Caatinga and it maintained a relevant footprint in coastal renewable corridors and port-linked logistics interfaces."/>
        <s v="No biome lens was assigned because the mapping did not confirm a stable set of publicly identifiable projects tied to specific biomes."/>
        <s v="No biome lens was assigned because manufacturing/market actions were not organized by biome-based territorial programs."/>
        <s v="No biome lens was assigned because it acted via national trade/investment promotion tools rather than biome-delimited initiatives."/>
        <s v="It operated a port/industrial hub directly located in coastal/marine interface territories, making the coastal-maritime lens the most consistent territorial cut."/>
        <s v="It operated a port/industrial hub on the coastline and it anchored transition investments (including new energy vectors) through a coastal-maritime territorial interface."/>
        <s v="No biome lens was assigned because it acted globally through market/policy coordination and was not mapped as a Brazil biome-targeted actor."/>
        <s v="No biome lens was assigned because it operated through global convening/knowledge products rather than biome-delimited implementation."/>
        <s v="It convened renewable-energy expansion in Ceará where Caatinga predominated and it also addressed coastal renewable corridors and port-linked energy vectors through a coastal interface."/>
        <s v="No biome lens was assigned because it operated through global finance frameworks and was not mapped as a biome-delimited Brazil implementation actor."/>
        <s v="No biome lens was assigned because it operated through policy dialogue and research without a biome-delimited implementation portfolio."/>
        <s v="No biome lens was assigned because the mapping did not confirm publicly identifiable, biome-specific project execution."/>
        <s v="It implemented agroecology and family-farming support strongly linked to the Semi-arid (Caatinga) and it also operated in Atlantic Forest-zone rural territories via networks and field initiatives."/>
        <s v="No biome lens was assigned because it acted through market standards/self-regulation rather than biome-delimited initiatives."/>
        <s v="No biome lens was assigned because it operated through city-based programming (municipal networks) rather than biome-defined territorial cuts."/>
        <s v="No biome lens was assigned because the work was structured around urban policy and human settlements, not biome-delimited initiatives."/>
        <s v="No biome lens was assigned because it operated through national technical guidance and sector dialogue without biome-specific implementation."/>
        <s v="No biome lens was assigned because it operated through municipal/subnational governance support rather than biome-delimited territorial programming."/>
        <s v="No biome lens was assigned because the mapped support was policy/standards-oriented and not organized as biome-specific projects in this list."/>
        <s v="No biome lens was assigned because it worked via market development and contracting models, not biome-delimited initiatives."/>
        <s v="No biome lens was assigned because it acted through national sector advocacy and service modernization, not biome-specific initiatives."/>
        <s v="It produced authoritative deforestation and land-use monitoring with recurrent emphasis on Amazonia and Cerrado, while its observation systems also covered the other biomes."/>
        <s v="It pursued land-use and deforestation-free agendas most consistently tied to Amazonia and Cerrado commodity frontiers, while it also addressed broader forest and wetland governance debates."/>
        <s v="No biome lens was assigned because it operated through national energy-access and transition analytics rather than biome-delimited territorial implementation."/>
        <s v="No biome lens was assigned because it operated through city commitments and reporting frameworks, not biome-delimited initiatives."/>
        <s v="No biome lens was assigned because it acted through cross-country policy guidance and standards, not biome-targeted programs."/>
        <s v="It developed forest and agroforestry research and policy engagement most commonly linked to Amazonia and Cerrado land-use dynamics, while it also supported broader restoration/landscape agendas beyond those cores."/>
        <s v="No biome lens was assigned because cooperative strengthening was cross-sector and not structured by biome-delimited initiatives."/>
        <s v="No biome lens was assigned because the mapping did not confirm a specific, publicly identifiable biome-cut project portfolio in Brazil for this entry."/>
        <s v="No biome lens was assigned because its support was research/health-systems oriented and not organized as biome-delimited initiatives in this mapping."/>
        <s v="It operated explicitly as a Caatinga-focused conservation organization with projects anchored in that biome."/>
        <s v="It operated as a Northeast-focused finance instrument where Caatinga predominated, while financing also reached coastal economies with strong coastal-maritime interfaces."/>
        <s v="It operated explicitly in the Semi-arid territory and implemented water/food resilience actions anchored in the Caatinga biome."/>
        <s v="It operated in the Araripe/Semi-arid context and funded territorial initiatives associated with the Caatinga biome."/>
        <s v="It operated as a Caatinga fauna management and conservation center with activities explicitly delimited to that biome."/>
        <s v="It implemented semi-arid family-farming and water strategies explicitly tied to the Caatinga context."/>
        <s v="No biome lens was assigned because it operated through global energy-access/finance pipelines and was not mapped here as biome-delimited implementation in Brazil."/>
        <s v="No biome lens was assigned because financing was cross-sector/national and the mapping did not isolate a stable biome-specific operational portfolio."/>
        <s v="It operated with a Northeast mandate where Caatinga predominated and it also financed/coordinated activities in coastal zones with strong coastal-maritime interfaces."/>
        <s v="No biome lens was assigned because its rural and corporate finance operated nationally and was not structured as a biome-delimited program portfolio in this mapping."/>
        <s v="No biome lens was assigned because it operated through sector coordination/standards rather than biome-delimited initiatives."/>
        <s v="No biome lens was assigned because it operated through market infrastructure and disclosure standards without biome-delimited implementation."/>
        <s v="No biome lens was assigned because it operated through national electricity market rules/settlement systems and not biome-specific initiatives."/>
        <s v="No biome lens was assigned because regulatory oversight was national/sectoral and not organized through biome-delimited programs in this mapping."/>
        <s v="No biome lens was assigned because regulation and governance instruments were national and not mapped as biome-delimited initiatives for this entry."/>
        <s v="It published biome-explicit land-use and ecosystem series with strongest recurrent attention to Amazonia and Cerrado transitions, while it also maintained consistent coverage across the remaining biomes."/>
        <s v="It operated explicitly as a Semi-arid institute and produced applied research anchored in the Caatinga biome."/>
        <s v="It operated in Amazon floodplain/forest contexts and implemented conservation and livelihoods models explicitly tied to the Amazonia biome."/>
        <s v="It operated primarily in the Amazonia biome while working across frontier municipalities with strong Cerrado interfaces in land-use governance and deforestation control."/>
        <s v="It implemented capacity-building and project support with recurrent emphasis on forest and socio-biodiversity territories linked to Amazonia, while it also supported Cerrado-related territorial initiatives through partners and programs."/>
        <s v="It maintained an Amazon-focused territorial presence and implemented conservation and community programs explicitly tied to the Amazonia biome."/>
        <s v="It operated in Central-West/Amazon frontier territories with strong Amazonia linkages and maintained relevant work across Cerrado landscapes through agroecology and value-chain initiatives."/>
        <s v="It operated with an explicit Cerrado focus and implemented socio-biodiversity and community-conservation initiatives anchored in that biome."/>
        <s v="It coordinated ecosystem protection and community-rights agendas explicitly tied to the Cerrado biome."/>
        <s v="No biome lens was assigned because it operated through national market/regulatory advocacy and not biome-delimited project execution."/>
        <s v="No biome lens was assigned because it operated through national industry coordination and enabling regulation rather than biome-specific initiatives."/>
        <s v="No biome lens was assigned because it acted through sector advocacy and planning inputs, not biome-delimited initiatives."/>
        <s v="No biome lens was assigned because infrastructure delivery was national and project-by-project, and this mapping did not identify a consistent biome-targeted program lens."/>
        <s v="No biome lens was assigned because aviation regulation was sectoral/national and not organized around biome-delimited initiatives."/>
        <s v="No biome lens was assigned because standard-setting was transversal and not tied to biome-delimited territorial initiatives."/>
        <s v="No biome lens was assigned because it operated through sector coordination and policy/standards, not biome-delimited initiatives."/>
        <s v="No biome lens was assigned because professional regulation was national and practice-based, without a biome-delimited operational portfolio."/>
        <s v="No biome lens was assigned because professional regulation and guidance were national and not mapped as biome-specific initiatives."/>
        <s v="No biome lens was assigned because it operated through national standards/certification systems rather than biome-delimited initiatives."/>
        <s v="No biome lens was assigned because support was delivered via nationwide programs and local units without a consistent, biome-specific project delimitation in this mapping."/>
        <s v="It supported family-farming cooperative networks strongly present in Caatinga and Cerrado territories and it also engaged cooperative value chains in Amazônia and Mata Atlântica contexts."/>
        <s v="No biome lens was assigned because a publicly identifiable Brazil-focused, biome-delimited implementation portfolio was not confirmed for this entry."/>
        <s v="No biome lens was assigned because it acted through policy debate/coalition building without a biome-delimited project portfolio in this mapping."/>
        <s v="No biome lens was assigned because it worked through city-based indicators and governance agendas rather than biome-delimited territorial initiatives."/>
        <s v="It operated primarily in São Paulo’s urban region, which sat within the Mata Atlântica biome footprint, and it did not present a second biome-delimited agenda."/>
        <s v="No biome lens was assigned because it operated through urban policy work across municipalities without a biome-delimited implementation focus."/>
        <s v="No biome lens was assigned because it produced cross-sector policy analysis and the mapping did not confirm biome-delimited project execution."/>
        <s v="No biome lens was assigned because it acted through national budget/rights advocacy rather than biome-delimited initiatives."/>
        <s v="No biome lens was assigned because it worked through national consumer/market advocacy and not biome-delimited initiatives."/>
        <s v="It conducted high-visibility forest and land-use campaigns most consistently associated with Amazônia and Cerrado pressures, while it also engaged recurring agendas linked to Mata Atlântica and Pantanal conservation."/>
        <s v="No biome lens was assigned because it operated via energy-policy monitoring and project advocacy without a stable biome-delimited portfolio in this mapping."/>
        <s v="No biome lens was assigned because it functioned as a rights/justice network across cases and territories without a consistent biome-delimited initiative set."/>
        <s v="It implemented a conservation portfolio strongly linked to the Cerrado and it also engaged forest and protected-area agendas connected to Amazônia through projects/partnerships."/>
        <s v="It implemented projects and territorial governance work explicitly tied to the Cerrado biome."/>
        <s v="It operated primarily with Amazon Indigenous and traditional territories and implemented programs explicitly linked to the Amazônia biome."/>
        <s v="It implemented territorial development and socio-biodiversity chain initiatives mainly in Pará/Amazon contexts and maintained an explicit Amazônia biome linkage."/>
        <s v="It implemented integrated community development in Amazon territories and maintained a clear Amazônia biome focus."/>
        <s v="It mobilized advocacy and rights-based agendas most visibly linked to Amazônia and Cerrado Indigenous territorial pressures, while it also engaged national struggles affecting Caatinga and Mata Atlântica Indigenous territories."/>
        <s v="It coordinated Indigenous organizations explicitly within the Amazônia biome and anchored action in Amazon territories."/>
        <s v="It monitored conflicts and supported Indigenous rights across Brazil with recurrent prominence in Amazônia and Cerrado land-rights disputes, while it also acted in Mata Atlântica and Caatinga contexts through national coverage."/>
        <s v="It documented and engaged land/conflict dynamics frequently concentrated in Amazônia and Cerrado frontiers, while it also covered rural conflict and rights agendas in Caatinga and Mata Atlântica areas."/>
        <s v="It represented extractive-reserve and forest-based livelihoods strongly anchored in Amazônia and it also engaged extractive/community territories in Mata Atlântica contexts where applicable."/>
        <s v="It convened agroecology networks with strong presence in Caatinga and Cerrado family-farming territories and it also mobilized agendas across Mata Atlântica and Amazônia through national articulation."/>
        <s v="It implemented programs strongly associated with the Semi-arid Caatinga and it also operated in coastal Northeast communities with coastal-maritime interfaces."/>
        <s v="No biome lens was assigned because humanitarian and social development actions were delivered across diverse territories without a consistent biome-delimited operational framing in this mapping."/>
        <s v="No biome lens was assigned because it operated through civic participation and rights agendas across states without a stable biome-delimited project portfolio in this mapping."/>
        <s v="It implemented agroecology and social-technology support for family farming in Semi-arid territories explicitly tied to the Caatinga biome."/>
        <s v="It operated in Pernambuco with strong Mata Atlântica-zone rural territories and it also engaged Semi-arid interfaces connected to Caatinga through agroecology/agroforestry programming."/>
        <s v="It implemented social technologies and agroecology initiatives explicitly concentrated in Semi-arid territories linked to the Caatinga biome."/>
        <s v="No biome lens was assigned because it operated through professional standards and advocacy rather than biome-delimited initiatives."/>
        <s v="No biome lens was assigned because the entry described broad technical cooperation and did not specify a consistent, biome-delimited portfolio in Brazil within this mapping."/>
        <s v="No biome lens was assigned because financing operated across sectors and the mapping did not isolate a stable, biome-specific project portfolio for this entry."/>
        <s v="No biome lens was assigned because investments were transaction-based and no consistent biome-delimited portfolio was identified in this mapping."/>
        <s v="No biome lens was assigned because the entry did not specify a biome-delimited Brazil portfolio and support was described as cross-sectoral."/>
        <s v="No biome lens was assigned because the mapping did not confirm a stable biome-delimited investment portfolio for this entry."/>
        <s v="No biome lens was assigned because the mapping did not confirm a consistent biome-delimited Brazil implementation portfolio for this entry."/>
        <s v="No biome lens was assigned because the entry did not specify a stable biome-delimited portfolio in Brazil within this mapping."/>
        <s v="No biome lens was assigned because the entry described broad cooperation and did not identify biome-delimited projects in Brazil for classification."/>
        <s v="No biome lens was assigned because a specific biome-delimited Brazil portfolio was not identified for this entry in the mapping."/>
        <s v="No biome lens was assigned because the entry did not confirm publicly identifiable, biome-delimited implementation in Brazil for classification."/>
        <s v="No biome lens was assigned because the mapping did not confirm a stable biome-delimited Brazil portfolio for this entry."/>
        <s v="No biome lens was assigned because the entry described broad grantmaking/partnerships and did not identify biome-delimited implementation in Brazil for this mapping."/>
        <s v="No biome lens was assigned because a Brazil-facing, biome-delimited portfolio was not confirmed in this mapping entry."/>
        <s v="It supported forest and climate programming most visibly associated with Amazon protection and it also engaged land-use governance agendas connected to the Cerrado."/>
        <s v="It financed large-scale forest and deforestation-reduction efforts most consistently linked to the Amazon and it also supported forest-positive agendas relevant to the Cerrado frontier."/>
        <s v="No biome lens was assigned because the entry described broad international cooperation and did not confirm a biome-delimited Brazil implementation focus."/>
        <s v="No biome lens was assigned because the portfolio was described as cross-sector policy/TA and this mapping did not confirm stable, biome-delimited projects."/>
        <s v="No biome lens was assigned because the entry did not specify biome-delimited implementation in Brazil for classification."/>
        <s v="No biome lens was assigned because financing was transaction-based and no consistent biome-delimited Brazil portfolio was identified in this mapping entry."/>
        <s v="No biome lens was assigned because a Brazil-facing, biome-delimited implementation portfolio was not confirmed for this entry."/>
        <s v="No biome lens was assigned because the entry did not confirm biome-delimited implementation in Brazil within this mapping."/>
        <s v="No biome lens was assigned because the entry did not identify biome-delimited initiatives in Brazil for classification."/>
        <s v="No biome lens was assigned because the mapping did not confirm a consistent, Brazil-specific biome-delimited implementation portfolio for this entry."/>
        <s v="No biome lens was assigned because a biome-delimited Brazil portfolio was not confirmed for this entry."/>
        <s v="No biome lens was assigned because the entry did not confirm biome-delimited implementation in Brazil for classification."/>
        <s v="No biome lens was assigned because the entry did not confirm a stable, biome-delimited Brazil portfolio in this mapping."/>
        <s v="No biome lens was assigned because it operated through policy dialogue/grants and the mapping did not confirm biome-delimited Brazil initiatives for classification."/>
        <s v="No biome lens was assigned because it acted through policy dialogue and the mapping did not confirm biome-delimited Brazil programs for classification."/>
        <s v="No biome lens was assigned because biome-delimited implementation in Brazil was not confirmed for this entry."/>
        <s v="No biome lens was assigned because the entry described convening/research and did not confirm biome-delimited Brazil initiatives."/>
        <s v="No biome lens was assigned because the entry did not indicate a biome-delimited portfolio and programs were organized by communities/municipalities rather than biomes."/>
        <s v="No biome lens was assigned because the mapping did not confirm a biome-delimited Brazil implementation portfolio for this entry."/>
        <s v="No biome lens was assigned because the entry did not confirm biome-delimited programming and actions were organized by communities/regions rather than biomes."/>
        <s v="It organized land/agroecology struggles strongly present in Cerrado and Mata Atlântica rural zones and it also operated in Caatinga and Amazônia territories through national capillarity."/>
        <s v="No biome lens was assigned because it operated as an urban movement and the territorial unit was metropolitan/peripheral areas rather than biomes."/>
        <s v="It mobilized around large hydropower and river-basin conflicts prominently affecting Amazon and Atlantic Forest regions and it also acted in Cerrado and Caatinga basins through national coverage."/>
        <s v="It organized smallholder and agroecology agendas strongly associated with Semi-arid Caatinga and Cerrado family-farming territories and it also acted in Mata Atlântica and Amazônia contexts via national presence."/>
        <s v="It mobilized around mining frontiers and socio-environmental conflicts frequently concentrated in Amazônia and mining corridors in Mata Atlântica states and it also engaged Cerrado mining expansion areas."/>
        <s v="It represented large family-farming bases strongly present in Caatinga and Cerrado territories and it also engaged national agendas affecting Mata Atlântica and Amazônia rural workers."/>
        <s v="It defended Quilombola territorial rights with strong incidence in Mata Atlântica and Cerrado areas and it also engaged Amazon and Caatinga quilombola territories through national articulation."/>
        <s v="No biome lens was assigned because it operated through social/political advocacy without biome-delimited initiatives in this mapping."/>
        <s v="It advanced agroecology and rural women’s organizing strongly present in Caatinga and Mata Atlântica rural territories and it also operated in Cerrado and Amazônia contexts through national reach."/>
        <s v="It operated in the babaçu zone strongly associated with Cerrado transition areas and it also engaged forest–frontier territories connected to Amazônia interfaces."/>
        <s v="It supported artisanal fishing agendas primarily in coastal-maritime territories and it also engaged riverine/fishing conflicts linked to Amazônia and Mata Atlântica coastal states."/>
        <s v="No biome lens was assigned because it operated in urban waste systems across municipalities rather than biome-delimited territories."/>
        <s v="No biome lens was assigned because it acted as a cross-territory social articulation without biome-delimited initiatives in this mapping."/>
        <s v="It coordinated Indigenous organizations across the Northeast with strong Caatinga presence and it also covered Minas Gerais/Espírito Santo territories linked to Mata Atlântica."/>
        <s v="It operated in the Rio Negro Amazon region and maintained an explicit Amazônia biome linkage."/>
        <s v="It acted in Roraima with strong Amazon territorial linkage and it also operated across savanna/transition landscapes connected to Cerrado-like formations in the state."/>
        <s v="It operated to safeguard Yanomami territories located in the Amazônia biome."/>
        <s v="It mobilized around the Xingu basin strongly linked to Amazônia and it also engaged the Amazon–Cerrado interface where frontier pressures were relevant."/>
        <s v="It supported territorial governance and restoration in the Xingu basin within Amazônia and it also operated across Cerrado transition areas in the wider basin."/>
        <s v="It operated in Tapajós territories explicitly linked to the Amazônia biome."/>
        <s v="No biome lens was assigned because it acted through socio-economic organizing across territories and did not present biome-delimited initiatives in this mapping."/>
        <s v="It engaged conflicts and safeguard agendas strongly associated with wind/renewables expansion in Caatinga-region states and it also connected to Cerrado and coastal-maritime project corridors through national action."/>
        <s v="It operated in the Semi-arid Seridó territory and aligned action with the Caatinga biome."/>
        <s v="No biome lens was assigned because it operated through national energy policy advocacy rather than biome-delimited initiatives."/>
        <s v="No biome lens was assigned because it acted through national industrial policy and sector coordination without biome-delimited implementation in this mapping."/>
      </sharedItems>
    </cacheField>
    <cacheField name="Role within the ecosystem" uniqueList="1" numFmtId="0" sqlType="0" hierarchy="0" level="0" databaseField="1">
      <sharedItems count="84">
        <s v="Funder, Strategic partner"/>
        <s v="Funder, Technical assistance / research, Strategic partner"/>
        <s v="Funder, Capital provider / Financial intermediary"/>
        <s v="Funder, Strategic partner, Convenor/enablers, Capital provider / Financial intermediary"/>
        <s v="Project developer / Implementer, Policy influence / regulation"/>
        <s v="Convenor/enablers"/>
        <s v="Funder, Convenor/enablers"/>
        <s v="Convenor/enablers, Policy influence / regulation"/>
        <s v="Technical assistance / research, Convenor/enablers"/>
        <s v="Convenor/enablers, Project developer / Implementer"/>
        <s v="Convenor/enablers, Strategic partner"/>
        <s v="Funder, Territorial anchor"/>
        <s v="Technical assistance / research, Policy influence / regulation"/>
        <s v="Funder, Policy influence / regulation, Strategic partner , Community legitimacy / proximate leadership"/>
        <s v="Strategic partner, Capital provider / Financial intermediary"/>
        <s v="Funder, Strategic partner, Territorial anchor"/>
        <s v="Technical assistance / research, Project developer / Implementer, Funder"/>
        <s v="Strategic partner, Implementation capacity (delivery)"/>
        <s v="Project developer / Implementer, Community legitimacy / proximate leadership"/>
        <s v="Strategic partner, Project developer / Implementer"/>
        <s v="Strategic partner, Project developer / Implementer, Policy influence / regulation"/>
        <s v="Strategic partner, Technical assistance / research, Policy influence / regulation"/>
        <s v="Policy influence / regulation, Implementation capacity (delivery)"/>
        <s v="Technical assistance / research, Territorial anchor"/>
        <s v="Implementation capacity (delivery), Technical assistance / research"/>
        <s v="Policy influence / regulation, Territorial anchor"/>
        <s v="Technical assistance / research, Data / MRV / platforms"/>
        <s v="Project developer / Implementer, Territorial anchor"/>
        <s v="Convenor/enablers, Implementation capacity (delivery)"/>
        <s v="Capital provider / Financial intermediary, Territorial anchor"/>
        <s v="Project developer / Implementer, Technical assistance / research"/>
        <s v="Capital provider / Financial intermediary, Project developer / Implementer"/>
        <s v="Capital provider / Financial intermediary"/>
        <s v="Convenor/enablers, Technical assistance / research"/>
        <s v="Capital provider / Financial intermediary, Implementation capacity (delivery)"/>
        <s v="Data / MRV / platforms, Convenor/enablers"/>
        <s v="Implementation capacity (delivery)"/>
        <s v="Funder, Project developer / Implementer"/>
        <s v="Strategic partner, Convenor/enablers, Project developer / Implementer"/>
        <s v="Technical assistance / research, Implementation capacity (delivery)"/>
        <s v="Implementation capacity (delivery), Convenor/enablers"/>
        <s v="Technical assistance / research"/>
        <s v="Project developer / Implementer, Convenor/enablers, Implementation capacity (delivery)"/>
        <s v="Policy influence / regulation, Convenor/enablers"/>
        <s v="Technical assistance / research, Project developer / Implementer"/>
        <s v="Technical assistance / research, Strategic partner"/>
        <s v="Funder, Strategic partner, Convenor/enablers"/>
        <s v="Funder, Strategic partner, Technical assistance / research"/>
        <s v="Policy influence / regulation"/>
        <s v="Policy influence / regulation, Data / MRV / platforms"/>
        <s v="Data / MRV / platforms, Policy influence / regulation"/>
        <s v="Policy influence / regulation, Community legitimacy / proximate leadership"/>
        <s v="Strategic partner, Convenor/enablers, Technical assistance / research"/>
        <s v="Funder"/>
        <s v="Territorial anchor, Policy influence / regulation"/>
        <s v="Convenor/enablers, Capital provider / Financial intermediary"/>
        <s v="Territorial anchor, Implementation capacity (delivery)"/>
        <s v="Territorial anchor, Convenor/enablers"/>
        <s v="Strategic partner, Convenor/enablers, Territorial anchor"/>
        <s v="Strategic partner, Project developer / Implementer, Technical assistance / research"/>
        <s v="Strategic partner, Policy influence / regulation, Convenor/enablers"/>
        <s v="Strategic partner, Convenor/enablers"/>
        <s v="Convenor/enablers, Territorial anchor"/>
        <s v="Policy influence / regulation, Technical assistance / research"/>
        <s v="Convenor/enablers, Community legitimacy / proximate leadership"/>
        <s v="Funder, Capital provider / Financial intermediary, Strategic partner"/>
        <s v="Funder, Technical assistance / research"/>
        <s v="Community legitimacy / proximate leadership, Implementation capacity (delivery)"/>
        <s v="Strategic partner, Funder, Convenor/enablers"/>
        <s v="Capital provider / Financial intermediary, Territorial anchor, Funder"/>
        <s v="Data / MRV / platforms, Technical assistance / research"/>
        <s v="Project developer / Implementer, Data / MRV / platforms"/>
        <s v="Project developer / Implementer, Implementation capacity (delivery)"/>
        <s v="Community legitimacy / proximate leadership, Convenor/enablers"/>
        <s v="Policy influence / regulation, Project developer / Implementer"/>
        <s v="Project developer / Implementer"/>
        <s v="Community legitimacy / proximate leadership, Policy influence / regulation"/>
        <s v="Community legitimacy / proximate leadership, Territorial anchor"/>
        <s v="Strategic partner, Technical assistance / research, Funder"/>
        <s v="Capital provider / Financial intermediary, Strategic partner"/>
        <s v="Policy influence / regulation, Funder, Strategic partner"/>
        <s v="Funder, Technical assistance / research, Policy influence / regulation"/>
        <s v="Community legitimacy / proximate leadership"/>
        <s v="Implementation capacity (delivery), Community legitimacy / proximate leadership"/>
      </sharedItems>
    </cacheField>
    <cacheField name="Position in the value chain" uniqueList="1" numFmtId="0" sqlType="0" hierarchy="0" level="0" databaseField="1">
      <sharedItems count="3">
        <s v="Midstream"/>
        <s v="Upstream"/>
        <s v="Downstream"/>
      </sharedItems>
    </cacheField>
    <cacheField name="Potential partnership with IKF" uniqueList="1" numFmtId="0" sqlType="0" hierarchy="0" level="0" databaseField="1">
      <sharedItems count="7" containsBlank="1">
        <s v="Co-funding partner"/>
        <s v="Strategic partner"/>
        <s v="Grant recipient"/>
        <s v="Implementing partner"/>
        <s v="Blended finance partner"/>
        <m/>
        <s v="Capacity building partner"/>
      </sharedItems>
    </cacheField>
    <cacheField name="Headquarters location" uniqueList="1" numFmtId="0" sqlType="0" hierarchy="0" level="0" databaseField="1">
      <sharedItems count="67">
        <s v="Rio de Janeiro, RJ, Brazil"/>
        <s v="São Paulo, SP, Brazil"/>
        <s v="New York, NY, USA"/>
        <s v="London, United Kingdom"/>
        <s v="Brasília, DF, Brazil"/>
        <s v="Los Altos, CA, USA"/>
        <s v="Pittsburgh, PA, USA"/>
        <s v="Oslo, Norway"/>
        <s v="Arlington, VA, USA"/>
        <s v="Belém, PA, Brazil"/>
        <s v="Manaus, AM, Brazil"/>
        <s v="Piracicaba, SP, Brazil"/>
        <s v="Vienna, Austria"/>
        <s v="Wiesbaden, Germany"/>
        <s v="Barueri, SP, Brazil"/>
        <s v="Vancouver, BC, Canada"/>
        <s v="Curitiba, PR, Brazil"/>
        <s v="Redwood City, CA, USA"/>
        <s v="Cajamar, SP, Brazil"/>
        <s v="Ilhéus, BA, Brazil"/>
        <s v="Berlin, Germany"/>
        <s v="Munich, Germany"/>
        <s v="Nova Lima, MG, Brazil"/>
        <s v="San Francisco, CA, USA"/>
        <s v="Buenos Aires, Argentina"/>
        <s v="Seattle, WA, USA"/>
        <s v="Nazaré Paulista, SP, Brazil"/>
        <s v="Belo Horizonte, MG, Brazil"/>
        <s v="Washington, DC, USA"/>
        <s v="Palo Alto, CA, USA"/>
        <s v="Panama City, Panama"/>
        <s v="Menlo Park, CA, USA"/>
        <s v="Geneva, Switzerland"/>
        <s v="Campinas, SP, Brazil"/>
        <s v="Florianópolis, SC, Brazil"/>
        <s v="São Bernardo do Campo, SP, Brazil"/>
        <s v="Cuiabá, MT, Brazil"/>
        <s v="Porto Alegre, RS, Brazil"/>
        <s v="Bentonville, AR, USA"/>
        <s v="Charlottesville, VA, USA"/>
        <s v="Warrenton, VA, USA"/>
        <s v="Chicago, IL, USA"/>
        <s v="Salvador, BA, Brazil"/>
        <s v="Recife, PE, Brazil"/>
        <s v="Fortaleza, CE, Brazil"/>
        <s v="Ipojuca, PE, Brazil"/>
        <s v="São Gonçalo do Amarante, CE, Brazil"/>
        <s v="Brussels, Belgium"/>
        <s v="São José dos Campos, SP, Brazil"/>
        <s v="Paris, France"/>
        <s v="Crato, CE, Brazil"/>
        <s v="Petrolina, PE, Brazil"/>
        <s v="Juazeiro, BA, Brazil"/>
        <s v="Campina Grande, PB, Brazil"/>
        <s v="Tefé, AM, Brazil"/>
        <s v="Alta Floresta, MT, Brazil"/>
        <s v="Duque de Caxias, RJ, Brazil"/>
        <s v="Goiânia, GO, Brazil"/>
        <s v="Santarém, PA, Brazil"/>
        <s v="Luxembourg, Luxembourg"/>
        <s v="Aachen, Germany"/>
        <s v="Passo Fundo, RS, Brazil"/>
        <s v="São Luís, MA, Brazil"/>
        <s v="São Gabriel da Cachoeira, AM, Brazil"/>
        <s v="Boa Vista, RR, Brazil"/>
        <s v="Altamira, PA, Brazil"/>
        <s v="Caicó, RN, Brazil"/>
      </sharedItems>
    </cacheField>
    <cacheField name="Funding Role" uniqueList="1" numFmtId="0" sqlType="0" hierarchy="0" level="0" databaseField="1">
      <sharedItems count="4" containsBlank="1">
        <s v="Donor"/>
        <s v="Re-granter"/>
        <s v="Grantee"/>
        <m/>
      </sharedItems>
    </cacheField>
    <cacheField name="Contact &#10;(name, role and e-mail)" uniqueList="1" numFmtId="0" sqlType="0" hierarchy="0" level="0" databaseField="1">
      <sharedItems count="47" containsBlank="1">
        <s v="André Degenszajn (Executive Director)"/>
        <s v="Hugo Aguilaniu  (President)"/>
        <s v="Rosa Lemos de Sá (Executive Director)"/>
        <s v="Maria Netto Schnider"/>
        <s v="Marco Kelson Kertzman"/>
        <s v="Carolla Matarazzo (Chairman)"/>
        <s v="Carolla Matarazzo (Executive Director)"/>
        <s v="Cristiane Sultani (Funder and Chairman)"/>
        <s v="Pedro Abramovay (Vice-President)"/>
        <s v="Caio Magri (President)"/>
        <s v="Paula Jancso Fabiani"/>
        <s v="Daniel Contrucci &amp; Ricardo Gravnina (Co-Directors)"/>
        <s v="Champa Patel (Global Governance Director)"/>
        <s v="Mariana Luz (Executive Director)"/>
        <s v="Mariana Almeida (Executive Director)"/>
        <s v="Viviane Naigeborin (Executive Director)"/>
        <s v="Natalie Unterstell"/>
        <s v="Ana Lúcia Villela (President) &amp; Marcos Nisti (Vice-President)"/>
        <s v="Marcelo Furtado (Sustainable Head)"/>
        <s v="Renata Piazzon (CEO)"/>
        <s v="Fernando Pieroni (Executive Director)"/>
        <m/>
        <s v="Adriana Ramos (Policy Director)"/>
        <s v="João Alegria (CEO)"/>
        <s v="Paola Bleicker (Executive Director)"/>
        <s v="Priscila Martins (Co-Director)"/>
        <s v="Carla Duprat (Execiutive Director) "/>
        <s v="Fabíola Zerbini (Executive Director)"/>
        <s v="Mariana Fonseca (Director) "/>
        <s v="Walter Campos is the General Manager"/>
        <s v="Carolina Borghesi (VP)"/>
        <s v="Malu Nunes (Executive Director) "/>
        <s v="Luciana Aguiar (Country Program Director) "/>
        <s v="Raphael Medeiros (Executive Director)"/>
        <s v="Rafael Gioielli (Executive Director)"/>
        <s v="Nana Baffour (Director)"/>
        <s v="Sandra Ortiz (Latin America Director) "/>
        <s v="Atila Rock (Brazil Country Director) "/>
        <s v="Raquel Ribeiro Vaz (President) "/>
        <s v="Luíza Serpa (Executive Director) "/>
        <s v="Atila Rock (FFoundation BRAZIL Country Director) "/>
        <s v="SIB &quot;arm&quot; in the Amazon, as a spin-off of IDESAM. Could be a fund holder for SIB in the Amazon."/>
        <s v="Gabriel Francisco (Associate Director Latin America) "/>
        <s v="André Ferreira (Executive Director)"/>
        <s v="Johannes"/>
        <s v="Lucas Araripe (Director) "/>
        <s v="Rodrigo Perpétuo (Latin American Director) "/>
      </sharedItems>
    </cacheField>
    <cacheField name="Site / related links " uniqueList="1" numFmtId="0" sqlType="0" hierarchy="0" level="0" databaseField="1">
      <sharedItems count="57" containsBlank="1">
        <s v="https://ibirapitanga.org.br/"/>
        <s v="https://serrapilheira.org/"/>
        <s v="https://www.funbio.org.br/"/>
        <s v="https://climaesociedade.org/"/>
        <s v="https://www.iccibr.org/en/home"/>
        <s v="https://gife.org.br/"/>
        <s v="https://movimentobemmaior.org.br/"/>
        <s v="https://institutobeja.org/homepage/"/>
        <s v="https://www.opensocietyfoundations.org/newsroom/a-open-society-na-america-latina-e-no-caribe/pt"/>
        <s v="https://www.ethos.org.br/"/>
        <s v="https://www.idis.org.br/"/>
        <s v="https://www.climateventures.co/"/>
        <s v="https://www.theclimategroup.org/"/>
        <s v="https://fundacaomariacecilia.org.br/"/>
        <s v="https://fundacaotidesetubal.org.br/"/>
        <s v="https://arymax.org.br/"/>
        <s v="https://institutotalanoa.org/"/>
        <s v="https://alana.org.br/"/>
        <s v="https://www.itausa.com.br/"/>
        <s v="https://arapyau.org.br/"/>
        <s v="https://semeia.org.br/"/>
        <s v="https://www.packard.org/"/>
        <s v="https://www.alcoa.com/brasil/pt"/>
        <s v="https://www.hydro.com/br"/>
        <m/>
        <s v="https://www.frm.org.br/"/>
        <s v="https://idesam.org/"/>
        <s v="https://artemisia.org.br/"/>
        <s v="https://ice.org.br/"/>
        <s v="https://www.conexsus.org/"/>
        <s v="https://pipe.social/"/>
        <s v="https://yunusns.com/"/>
        <s v="https://www.lundinfoundation.org/"/>
        <s v="https://institutocea.org.br/"/>
        <s v="https://fundacaogrupoboticario.org.br/"/>
        <s v="https://www.natura.com.br/"/>
        <s v="https://www.undp.org/pt/brazil"/>
        <s v="https://centroamazonia.org.br/"/>
        <s v="https://sistemabbrasil.org/empresas-b"/>
        <s v="https://www.institutovotorantim.org.br/"/>
        <s v="https://www.quintessa.org.br/"/>
        <s v="https://www.demendes.com.br/"/>
        <s v="https://www.insper.edu.br/pt"/>
        <s v="https://www.bmw-foundation.org/"/>
        <s v="https://www.fordfoundation.org/our-work-around-the-world/brazil-pt/"/>
        <s v="https://institutosabin.org.br/"/>
        <s v="Instituto Phi"/>
        <s v="https://climateandlandusealliance.org › ..."/>
        <s v="https://www.climateworks.org/"/>
        <s v="https://ciff.org/"/>
        <s v="https://oakfnd.org/"/>
        <s v="https://energiaeambiente.org.br/"/>
        <s v="https://europeanclimate.org/"/>
        <s v="https://www.porticus.com/what-we-do/earth/good-energies-foundation/"/>
        <s v="https://casadosventos.com.br/"/>
        <s v="https://aspta.org.br/"/>
        <s v="https://www.bndes.gov.br/wps/portal/site/home"/>
      </sharedItems>
    </cacheField>
    <cacheField name="General notes / Refs" uniqueList="1" numFmtId="0" sqlType="0" hierarchy="0" level="0" databaseField="1">
      <sharedItems count="77" containsBlank="1">
        <s v="Could be a relevant partner for co-funding efforts on food systems in the Amazon. "/>
        <s v="Could be a relevant partner for co-funding efforts on science-based approaches, advocacy and communications   "/>
        <s v="Potential co-funding, strategic partner &amp; regranter to work in all Brazilan Biomes, with trackrecord as a financial mechanism to work on bioodiversituy, climate change and civil society stregnthening in all regions with a diverisity of national and intern"/>
        <s v="Regrenter organization well posionetd in Brazil in different arenas to address climate change issues  "/>
        <s v="A new player with great potential to advance climate change communication strategies in Brazil. "/>
        <s v="The most relevant network of Philanthropies in Brazil. Could be a strategic partner to address IKF workin Brazil. "/>
        <s v="A Philanthropy established 5 years ago by  9 business leaders to enhance the grant making space in Brazil. Looking foward to co-finance strategies with other philanthropies (national and international). Could be a strategic partner for IKF in Brazil.  "/>
        <s v="A recently established Philantropy, with a similar role of  Movoimento Bem Maior, to advance the givin culture in Brazil. Could be a relevant co-funder and strategic partner for IKF in Brazil."/>
        <s v="They have a strong presence in Brazil. Could be a strategic partner, specially to give inputs on strategy development, approaches and lessosn learned."/>
        <s v="Together with GIFE (Philantropy network), Ethos was stablished in Brazil  as strong network to address social corporate responsability in the 90's. Would be interesting to talk to them to test their apetite to collaborate with IKF Impact Areas strategies."/>
        <s v="Provide services to develop civil society organizations in Brazil. Hosts and endowment fund to develop Philantropies in Brazil."/>
        <s v="Could be an important grantee in the cosytem to address climate solutions in Brazil."/>
        <s v="Potential partner. Intrested in working more in Brazil."/>
        <s v="Explore possibilities to be a partner. The largest endowment fund in Brazil."/>
        <s v="Could be a co-funding partener in urban startegies in targeted cities (as SP), supporting vulnerable comunities. "/>
        <s v="Potential co-funding partner in Social Impact Business (SIB) in Brazil. The org. Lead helped establishing policies and frameworks and is a reference on SIB in Brazil. "/>
        <s v="A relevant thecnical partner in Brazil (policy, adaptation and mitigation) "/>
        <s v="Could be a co-finding partner on targeted audience. Works a lot in advocacy, campaigns and information foucesed on young generation) "/>
        <s v="Interested in the  climate change. Alredy finance a lot of different effort, hubs and networks. Could be a co-funding partner for IKF in Brazil.  "/>
        <s v="Relevant partner to co-fund initiatives in teh Amazon. Also works a lot in terrritorial development in Bahia. Guilherme Leal's philanthropy (one of Natura's owner)"/>
        <s v="Interesting partner to understand and potentially co-fund strategies to address Public and Private Prtnerships (PPPs) in IKF impact areas. Perdo Passos' philanthropy (one of Natura's owner)."/>
        <s v="Potential partner in Brazil. Explore a range of sustainable territorial development  approaches and lessons lerned funding initiatives in Brazil. "/>
        <s v="Could be a potential co-funding partner in targeted geographies, linkes to IKF impact areas. "/>
        <m/>
        <s v="Could be a relevant partner to work on capacity building of vulnerable communities in Brazil.  They Work  in the whole country. Great capilarity"/>
        <s v="Relevant SIB partner in the Amazon."/>
        <s v="Great partner to implement SIB strategies in Brazil. "/>
        <s v="Relevant partner in the SIB arena in Brazil."/>
        <s v="Relevant implementing partner for SIB in the Amazon."/>
        <s v="Relevant SIB finance plataform. "/>
        <s v="Strategic and potential partner for SIB in Brazil."/>
        <s v="Could be an important co-funding parter in assignes supply chain for IKF targeted geographies."/>
        <s v="Could be an important co-funding partenr for IKF in Brazil."/>
        <s v="Strategic partner for IKF impact areas and biomes."/>
        <s v="Relevant implementing org addressing SIB in the Amazon."/>
        <s v="Could be a potential grantee in the food arean in the Amazon (Pará State)."/>
        <s v="Important co-funding partner on tge SIB in Brazil. Track reccord on funding in the northeast of the country."/>
        <s v="Relevant SIB plataform of investments."/>
        <s v="could be a potential grantee in the food - cocoa supply chain in Brazil."/>
        <s v="Great plavce to explore data assessment on a range of IFK impact areas and biomes in Brazil."/>
        <s v="A strategic co-funding partner on ecossystem transformation, using SIB as a key element  to get there. "/>
        <s v="Key partner to address climate change funding in the Amazon, specially on the forest and community based approaches."/>
        <s v="Could be a partner to co-fund a portfolio of projects in targeted cities (co-benefit agenda) "/>
        <s v="A relevant potential regreting organizatio to addres international Foundation work in Brazil. Track reccord doing that (LATIMPACTO, among others). "/>
        <s v="Could be a research parner for IKF in Brazil."/>
        <s v="Could be an important partner to advance governance in philanthropy in Brazil. "/>
        <s v="Relkevant strategic and co-funding partner for IKF in Brazil in different arenas: biomes and impact areas."/>
        <s v="It was very relevant in the past funding for the Amazon in Brazil."/>
        <s v="One on the most relevant co-funding partner for the Amazon in Brazil."/>
        <s v="An important player at the national level + in Latin America. "/>
        <s v="work in Brazil for a while on climate isues. Co-Funder of the two most relevant climate alliances (CLUA and  LARCI /ICS)."/>
        <s v="The most relevant international funder  on climte. A lot of lessons leraned and intrested on enhancing funding streams for climate change in Brazil. "/>
        <s v="work in Brazil for a while on climate isues. Co-Funder of LARCI /ICS."/>
        <s v="A strategic partner to provide  reliable data on energy in Brazil. A Think Thank on energy transition information in Brazil."/>
        <s v="Could brink knowleage to climate initiatives in Brazil. "/>
        <s v="Implementing partner for urban and transport work  on capitals in Brazil."/>
        <s v="Important imnplementer as a CSO in the Amazon of Brazil."/>
        <s v="Relevant co-funder for the Brazilian Amazon"/>
        <s v="Relevant co-funding partner for food systems in Brazil. Helped establishes Pacto Contra a Fome organization. A CSO in charge with food system transformation in Brazil."/>
        <s v="supermarket chain in Ceará State,. Could be a co-funding partner for food system ."/>
        <s v="supermarket chain in Ceará State. Could be a co-funding partner for the food system ."/>
        <s v="supermarket chain in Ceará State.  Could be a co-funding partner for the food system ."/>
        <s v="Could be a grantee  for the  food system ."/>
        <s v="Relevant partner for food systems in Brazil."/>
        <s v="Funding  sustainable cities in Brazil"/>
        <s v="Funding SIB  ecossytem in Brazil."/>
        <s v="Relevant partner at the Northesat"/>
        <s v="Releant player on data for different biomes and sector in Brazil. Worth  getting to know the team. "/>
        <s v="Potential partner for  climate funding sollutions in Brazil. "/>
        <s v="Key player on the northeast. Worth it getting to know them.  "/>
        <s v="Strategic implementing partner at the northeast "/>
        <s v="Could be an imporytant partner at the city level. "/>
        <s v="Important player for Caatinga Biome. Based on Ceará State. "/>
        <s v="Potential co-funding partenr for Caatinga Biome. "/>
        <s v="Important player for Caatinga Biome. Based on Pernambuco State. "/>
        <s v="Runs the Amazon Fund, among mmany other funding streams. Would very important to talk to them and address a constructive partnership devolpment. "/>
        <s v="Relevant strategic and implementing partner for climate change and related impact areas and biomes for IKF work in Brazil. "/>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ainel"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3:D9" firstHeaderRow="0" firstDataRow="2" firstDataCol="0"/>
  <pivotFields count="18">
    <pivotField name="ID"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Stakeholder " dataField="1"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Organization's sector" axis="axisRow" dataField="1" showDropDowns="1" compact="0" outline="0" subtotalTop="1" dragToRow="1" dragToCol="1" multipleItemSelectionAllowed="1" dragToPage="1" dragToData="1" dragOff="1" showAll="0" topAutoShow="1" itemPageCount="10" sortType="ascending" defaultSubtotal="1">
      <items count="6">
        <item t="data" sd="1" x="0"/>
        <item t="data" sd="1" x="1"/>
        <item t="data" sd="1" x="4"/>
        <item t="data" sd="1" x="2"/>
        <item t="data" sd="1" x="3"/>
        <item t="default" sd="1"/>
      </items>
    </pivotField>
    <pivotField name="Type of organization" showDropDowns="1" compact="0" outline="0" subtotalTop="1" dragToRow="1" dragToCol="1" multipleItemSelectionAllowed="1" dragToPage="1" dragToData="1" dragOff="1" showAll="0" topAutoShow="1" itemPageCount="10" sortType="manual" defaultSubtotal="1">
      <items count="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efault" sd="1"/>
      </items>
    </pivotField>
    <pivotField name="Description of organization &amp; contribution to systemic transition&#10;(strategic focus)"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Territorial focus&#10;(national, region, city)"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Primary impact area &#10;(sector of interest / Nexuses)" showDropDowns="1" compact="0" outline="0" subtotalTop="1" dragToRow="1" dragToCol="1" multipleItemSelectionAllowed="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name="Primary Territory lens&#10;(Biome) " showDropDowns="1" compact="0" outline="0" subtotalTop="1" dragToRow="1" dragToCol="1" multipleItemSelectionAllowed="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name="Secondary Territory lens&#10;(Biome) " showDropDowns="1" compact="0" outline="0" subtotalTop="1" dragToRow="1" dragToCol="1" multipleItemSelectionAllowed="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name="Biome focus rationale (only when the organization has explicit project/action targeting by biome)" showDropDowns="1" compact="0" outline="0" subtotalTop="1" dragToRow="1" dragToCol="1" multipleItemSelectionAllowed="1" dragToPage="1" dragToData="1" dragOff="1" showAll="0" topAutoShow="1" itemPageCount="10" sortType="manual" defaultSubtotal="1">
      <items count="3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efault" sd="1"/>
      </items>
    </pivotField>
    <pivotField name="Role within the ecosystem" showDropDowns="1" compact="0" outline="0" subtotalTop="1" dragToRow="1" dragToCol="1" multipleItemSelectionAllowed="1" dragToPage="1" dragToData="1" dragOff="1" showAll="0" topAutoShow="1" itemPageCount="10" sortType="manual" defaultSubtotal="1">
      <items count="8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efault" sd="1"/>
      </items>
    </pivotField>
    <pivotField name="Position in the value chain"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Potential partnership with IKF"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Headquarters location" showDropDowns="1" compact="0" outline="0" subtotalTop="1" dragToRow="1" dragToCol="1" multipleItemSelectionAllowed="1" dragToPage="1" dragToData="1" dragOff="1" showAll="0" topAutoShow="1" itemPageCount="10" sortType="manual" defaultSubtotal="1">
      <items count="6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efault" sd="1"/>
      </items>
    </pivotField>
    <pivotField name="Funding Rol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Contact &#10;(name, role and e-mail)" showDropDowns="1" compact="0" outline="0" subtotalTop="1" dragToRow="1" dragToCol="1" multipleItemSelectionAllowed="1" dragToPage="1" dragToData="1" dragOff="1" showAll="0" topAutoShow="1" itemPageCount="10" sortType="manual" defaultSubtotal="1">
      <items count="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efault" sd="1"/>
      </items>
    </pivotField>
    <pivotField name="Site / related links " showDropDowns="1" compact="0" outline="0" subtotalTop="1" dragToRow="1" dragToCol="1" multipleItemSelectionAllowed="1" dragToPage="1" dragToData="1" dragOff="1" showAll="0" topAutoShow="1" itemPageCount="10" sortType="manual" defaultSubtotal="1">
      <items count="5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efault" sd="1"/>
      </items>
    </pivotField>
    <pivotField name="General notes / Refs" showDropDowns="1" compact="0" outline="0" subtotalTop="1" dragToRow="1" dragToCol="1" multipleItemSelectionAllowed="1" dragToPage="1" dragToData="1" dragOff="1" showAll="0" topAutoShow="1" itemPageCount="10" sortType="manual" defaultSubtotal="1">
      <items count="7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efault" sd="1"/>
      </items>
    </pivotField>
  </pivotFields>
  <rowFields count="1">
    <field x="2"/>
  </rowFields>
  <colFields count="1">
    <field x="-2"/>
  </colFields>
  <dataFields count="2">
    <dataField name="Total" fld="1" subtotal="count" showDataAs="normal" baseField="0" baseItem="1048832"/>
    <dataField name="%" fld="2" subtotal="count" showDataAs="percentOfTotal" baseField="0" baseItem="1048832" numFmtId="10"/>
  </dataFields>
</pivotTableDefinition>
</file>

<file path=xl/pivotTables/pivotTable2.xml><?xml version="1.0" encoding="utf-8"?>
<pivotTableDefinition xmlns:r="http://schemas.openxmlformats.org/officeDocument/2006/relationships" xmlns="http://schemas.openxmlformats.org/spreadsheetml/2006/main" name="Painel 2"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G3:I18" firstHeaderRow="0" firstDataRow="2" firstDataCol="0"/>
  <pivotFields count="18">
    <pivotField name="ID"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Stakeholder " dataField="1"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Organization's sector"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Type of organization" showDropDowns="1" compact="0" outline="0" subtotalTop="1" dragToRow="1" dragToCol="1" multipleItemSelectionAllowed="1" dragToPage="1" dragToData="1" dragOff="1" showAll="0" topAutoShow="1" itemPageCount="10" sortType="manual" defaultSubtotal="1">
      <items count="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efault" sd="1"/>
      </items>
    </pivotField>
    <pivotField name="Description of organization &amp; contribution to systemic transition&#10;(strategic focus)"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Territorial focus&#10;(national, region, city)"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Primary impact area &#10;(sector of interest / Nexuses)" axis="axisRow" showDropDowns="1" compact="0" outline="0" subtotalTop="1" dragToRow="1" dragToCol="1" multipleItemSelectionAllowed="1" dragToPage="1" dragToData="1" dragOff="1" showAll="0" topAutoShow="1" itemPageCount="10" sortType="ascending" defaultSubtotal="1">
      <items count="15">
        <item t="data" sd="1" x="6"/>
        <item t="data" sd="1" x="0"/>
        <item t="data" sd="1" x="9"/>
        <item t="data" sd="1" x="2"/>
        <item t="data" sd="1" x="11"/>
        <item t="data" sd="1" x="4"/>
        <item t="data" sd="1" x="5"/>
        <item t="data" sd="1" x="1"/>
        <item t="data" sd="1" x="3"/>
        <item t="data" sd="1" x="12"/>
        <item t="data" sd="1" x="7"/>
        <item t="data" sd="1" x="13"/>
        <item t="data" sd="1" x="10"/>
        <item t="data" sd="1" x="8"/>
        <item t="default" sd="1"/>
      </items>
    </pivotField>
    <pivotField name="Primary Territory lens&#10;(Biome) " showDropDowns="1" compact="0" outline="0" subtotalTop="1" dragToRow="1" dragToCol="1" multipleItemSelectionAllowed="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name="Secondary Territory lens&#10;(Biome) " showDropDowns="1" compact="0" outline="0" subtotalTop="1" dragToRow="1" dragToCol="1" multipleItemSelectionAllowed="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name="Biome focus rationale (only when the organization has explicit project/action targeting by biome)" showDropDowns="1" compact="0" outline="0" subtotalTop="1" dragToRow="1" dragToCol="1" multipleItemSelectionAllowed="1" dragToPage="1" dragToData="1" dragOff="1" showAll="0" topAutoShow="1" itemPageCount="10" sortType="manual" defaultSubtotal="1">
      <items count="3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efault" sd="1"/>
      </items>
    </pivotField>
    <pivotField name="Role within the ecosystem" showDropDowns="1" compact="0" outline="0" subtotalTop="1" dragToRow="1" dragToCol="1" multipleItemSelectionAllowed="1" dragToPage="1" dragToData="1" dragOff="1" showAll="0" topAutoShow="1" itemPageCount="10" sortType="manual" defaultSubtotal="1">
      <items count="8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efault" sd="1"/>
      </items>
    </pivotField>
    <pivotField name="Position in the value chain"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Potential partnership with IKF"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Headquarters location" showDropDowns="1" compact="0" outline="0" subtotalTop="1" dragToRow="1" dragToCol="1" multipleItemSelectionAllowed="1" dragToPage="1" dragToData="1" dragOff="1" showAll="0" topAutoShow="1" itemPageCount="10" sortType="manual" defaultSubtotal="1">
      <items count="6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efault" sd="1"/>
      </items>
    </pivotField>
    <pivotField name="Funding Rol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Contact &#10;(name, role and e-mail)" showDropDowns="1" compact="0" outline="0" subtotalTop="1" dragToRow="1" dragToCol="1" multipleItemSelectionAllowed="1" dragToPage="1" dragToData="1" dragOff="1" showAll="0" topAutoShow="1" itemPageCount="10" sortType="manual" defaultSubtotal="1">
      <items count="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efault" sd="1"/>
      </items>
    </pivotField>
    <pivotField name="Site / related links " showDropDowns="1" compact="0" outline="0" subtotalTop="1" dragToRow="1" dragToCol="1" multipleItemSelectionAllowed="1" dragToPage="1" dragToData="1" dragOff="1" showAll="0" topAutoShow="1" itemPageCount="10" sortType="manual" defaultSubtotal="1">
      <items count="5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efault" sd="1"/>
      </items>
    </pivotField>
    <pivotField name="General notes / Refs" showDropDowns="1" compact="0" outline="0" subtotalTop="1" dragToRow="1" dragToCol="1" multipleItemSelectionAllowed="1" dragToPage="1" dragToData="1" dragOff="1" showAll="0" topAutoShow="1" itemPageCount="10" sortType="manual" defaultSubtotal="1">
      <items count="7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efault" sd="1"/>
      </items>
    </pivotField>
  </pivotFields>
  <rowFields count="1">
    <field x="6"/>
  </rowFields>
  <colFields count="1">
    <field x="-2"/>
  </colFields>
  <dataFields count="2">
    <dataField name="Total" fld="1" subtotal="count" showDataAs="normal" baseField="0" baseItem="1048832"/>
    <dataField name="%" fld="2" subtotal="count" showDataAs="percentOfTotal" baseField="0" baseItem="1048832" numFmtId="10"/>
  </dataFields>
</pivotTableDefinition>
</file>

<file path=xl/pivotTables/pivotTable3.xml><?xml version="1.0" encoding="utf-8"?>
<pivotTableDefinition xmlns:r="http://schemas.openxmlformats.org/officeDocument/2006/relationships" xmlns="http://schemas.openxmlformats.org/spreadsheetml/2006/main" name="Painel 3"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11:D17" firstHeaderRow="0" firstDataRow="2" firstDataCol="0"/>
  <pivotFields count="18">
    <pivotField name="ID"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Stakeholder " dataField="1"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Organization's sector"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Type of organization" showDropDowns="1" compact="0" outline="0" subtotalTop="1" dragToRow="1" dragToCol="1" multipleItemSelectionAllowed="1" dragToPage="1" dragToData="1" dragOff="1" showAll="0" topAutoShow="1" itemPageCount="10" sortType="manual" defaultSubtotal="1">
      <items count="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efault" sd="1"/>
      </items>
    </pivotField>
    <pivotField name="Description of organization &amp; contribution to systemic transition&#10;(strategic focus)"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Territorial focus&#10;(national, region, city)" axis="axisRow" showDropDowns="1" compact="0" outline="0" subtotalTop="1" dragToRow="1" dragToCol="1" multipleItemSelectionAllowed="1" dragToPage="1" dragToData="1" dragOff="1" showAll="0" topAutoShow="1" itemPageCount="10" sortType="ascending" defaultSubtotal="1">
      <items count="6">
        <item t="data" sd="1" x="1"/>
        <item t="data" sd="1" x="0"/>
        <item t="data" sd="1" x="2"/>
        <item t="data" sd="1" x="4"/>
        <item t="data" sd="1" x="3"/>
        <item t="default" sd="1"/>
      </items>
    </pivotField>
    <pivotField name="Primary impact area &#10;(sector of interest / Nexuses)" showDropDowns="1" compact="0" outline="0" subtotalTop="1" dragToRow="1" dragToCol="1" multipleItemSelectionAllowed="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name="Primary Territory lens&#10;(Biome) " showDropDowns="1" compact="0" outline="0" subtotalTop="1" dragToRow="1" dragToCol="1" multipleItemSelectionAllowed="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name="Secondary Territory lens&#10;(Biome) " showDropDowns="1" compact="0" outline="0" subtotalTop="1" dragToRow="1" dragToCol="1" multipleItemSelectionAllowed="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name="Biome focus rationale (only when the organization has explicit project/action targeting by biome)" showDropDowns="1" compact="0" outline="0" subtotalTop="1" dragToRow="1" dragToCol="1" multipleItemSelectionAllowed="1" dragToPage="1" dragToData="1" dragOff="1" showAll="0" topAutoShow="1" itemPageCount="10" sortType="manual" defaultSubtotal="1">
      <items count="3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efault" sd="1"/>
      </items>
    </pivotField>
    <pivotField name="Role within the ecosystem" showDropDowns="1" compact="0" outline="0" subtotalTop="1" dragToRow="1" dragToCol="1" multipleItemSelectionAllowed="1" dragToPage="1" dragToData="1" dragOff="1" showAll="0" topAutoShow="1" itemPageCount="10" sortType="manual" defaultSubtotal="1">
      <items count="8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efault" sd="1"/>
      </items>
    </pivotField>
    <pivotField name="Position in the value chain"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Potential partnership with IKF"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Headquarters location" showDropDowns="1" compact="0" outline="0" subtotalTop="1" dragToRow="1" dragToCol="1" multipleItemSelectionAllowed="1" dragToPage="1" dragToData="1" dragOff="1" showAll="0" topAutoShow="1" itemPageCount="10" sortType="manual" defaultSubtotal="1">
      <items count="6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efault" sd="1"/>
      </items>
    </pivotField>
    <pivotField name="Funding Rol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Contact &#10;(name, role and e-mail)" showDropDowns="1" compact="0" outline="0" subtotalTop="1" dragToRow="1" dragToCol="1" multipleItemSelectionAllowed="1" dragToPage="1" dragToData="1" dragOff="1" showAll="0" topAutoShow="1" itemPageCount="10" sortType="manual" defaultSubtotal="1">
      <items count="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efault" sd="1"/>
      </items>
    </pivotField>
    <pivotField name="Site / related links " showDropDowns="1" compact="0" outline="0" subtotalTop="1" dragToRow="1" dragToCol="1" multipleItemSelectionAllowed="1" dragToPage="1" dragToData="1" dragOff="1" showAll="0" topAutoShow="1" itemPageCount="10" sortType="manual" defaultSubtotal="1">
      <items count="5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efault" sd="1"/>
      </items>
    </pivotField>
    <pivotField name="General notes / Refs" showDropDowns="1" compact="0" outline="0" subtotalTop="1" dragToRow="1" dragToCol="1" multipleItemSelectionAllowed="1" dragToPage="1" dragToData="1" dragOff="1" showAll="0" topAutoShow="1" itemPageCount="10" sortType="manual" defaultSubtotal="1">
      <items count="7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efault" sd="1"/>
      </items>
    </pivotField>
  </pivotFields>
  <rowFields count="1">
    <field x="5"/>
  </rowFields>
  <colFields count="1">
    <field x="-2"/>
  </colFields>
  <dataFields count="2">
    <dataField name="Total" fld="1" subtotal="count" showDataAs="normal" baseField="0" baseItem="1048832"/>
    <dataField name="%" fld="2" subtotal="count" showDataAs="percentOfTotal" baseField="0" baseItem="1048832" numFmtId="10"/>
  </dataFields>
</pivotTableDefinition>
</file>

<file path=xl/pivotTables/pivotTable4.xml><?xml version="1.0" encoding="utf-8"?>
<pivotTableDefinition xmlns:r="http://schemas.openxmlformats.org/officeDocument/2006/relationships" xmlns="http://schemas.openxmlformats.org/spreadsheetml/2006/main" name="Painel 4"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G19:I28" firstHeaderRow="0" firstDataRow="2" firstDataCol="0"/>
  <pivotFields count="18">
    <pivotField name="ID"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Stakeholder " dataField="1"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Organization's sector"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Type of organization" showDropDowns="1" compact="0" outline="0" subtotalTop="1" dragToRow="1" dragToCol="1" multipleItemSelectionAllowed="1" dragToPage="1" dragToData="1" dragOff="1" showAll="0" topAutoShow="1" itemPageCount="10" sortType="manual" defaultSubtotal="1">
      <items count="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efault" sd="1"/>
      </items>
    </pivotField>
    <pivotField name="Description of organization &amp; contribution to systemic transition&#10;(strategic focus)"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Territorial focus&#10;(national, region, city)"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Primary impact area &#10;(sector of interest / Nexuses)" showDropDowns="1" compact="0" outline="0" subtotalTop="1" dragToRow="1" dragToCol="1" multipleItemSelectionAllowed="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name="Primary Territory lens&#10;(Biome) " axis="axisRow" showDropDowns="1" compact="0" outline="0" subtotalTop="1" dragToRow="1" dragToCol="1" multipleItemSelectionAllowed="1" dragToPage="1" dragToData="1" dragOff="1" showAll="0" topAutoShow="1" itemPageCount="10" sortType="ascending" defaultSubtotal="1">
      <items count="9">
        <item t="data" sd="1" x="1"/>
        <item t="data" sd="1" x="0"/>
        <item t="data" sd="1" x="5"/>
        <item t="data" sd="1" x="2"/>
        <item t="data" sd="1" x="3"/>
        <item t="data" sd="1" x="7"/>
        <item t="data" sd="1" x="6"/>
        <item t="data" sd="1" x="4"/>
        <item t="default" sd="1"/>
      </items>
    </pivotField>
    <pivotField name="Secondary Territory lens&#10;(Biome) " showDropDowns="1" compact="0" outline="0" subtotalTop="1" dragToRow="1" dragToCol="1" multipleItemSelectionAllowed="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name="Biome focus rationale (only when the organization has explicit project/action targeting by biome)" showDropDowns="1" compact="0" outline="0" subtotalTop="1" dragToRow="1" dragToCol="1" multipleItemSelectionAllowed="1" dragToPage="1" dragToData="1" dragOff="1" showAll="0" topAutoShow="1" itemPageCount="10" sortType="manual" defaultSubtotal="1">
      <items count="3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efault" sd="1"/>
      </items>
    </pivotField>
    <pivotField name="Role within the ecosystem" showDropDowns="1" compact="0" outline="0" subtotalTop="1" dragToRow="1" dragToCol="1" multipleItemSelectionAllowed="1" dragToPage="1" dragToData="1" dragOff="1" showAll="0" topAutoShow="1" itemPageCount="10" sortType="manual" defaultSubtotal="1">
      <items count="8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efault" sd="1"/>
      </items>
    </pivotField>
    <pivotField name="Position in the value chain"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Potential partnership with IKF"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Headquarters location" showDropDowns="1" compact="0" outline="0" subtotalTop="1" dragToRow="1" dragToCol="1" multipleItemSelectionAllowed="1" dragToPage="1" dragToData="1" dragOff="1" showAll="0" topAutoShow="1" itemPageCount="10" sortType="manual" defaultSubtotal="1">
      <items count="6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efault" sd="1"/>
      </items>
    </pivotField>
    <pivotField name="Funding Rol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Contact &#10;(name, role and e-mail)" showDropDowns="1" compact="0" outline="0" subtotalTop="1" dragToRow="1" dragToCol="1" multipleItemSelectionAllowed="1" dragToPage="1" dragToData="1" dragOff="1" showAll="0" topAutoShow="1" itemPageCount="10" sortType="manual" defaultSubtotal="1">
      <items count="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efault" sd="1"/>
      </items>
    </pivotField>
    <pivotField name="Site / related links " showDropDowns="1" compact="0" outline="0" subtotalTop="1" dragToRow="1" dragToCol="1" multipleItemSelectionAllowed="1" dragToPage="1" dragToData="1" dragOff="1" showAll="0" topAutoShow="1" itemPageCount="10" sortType="manual" defaultSubtotal="1">
      <items count="5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efault" sd="1"/>
      </items>
    </pivotField>
    <pivotField name="General notes / Refs" showDropDowns="1" compact="0" outline="0" subtotalTop="1" dragToRow="1" dragToCol="1" multipleItemSelectionAllowed="1" dragToPage="1" dragToData="1" dragOff="1" showAll="0" topAutoShow="1" itemPageCount="10" sortType="manual" defaultSubtotal="1">
      <items count="7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efault" sd="1"/>
      </items>
    </pivotField>
  </pivotFields>
  <rowFields count="1">
    <field x="7"/>
  </rowFields>
  <colFields count="1">
    <field x="-2"/>
  </colFields>
  <dataFields count="2">
    <dataField name="Total" fld="1" subtotal="count" showDataAs="normal" baseField="0" baseItem="1048832"/>
    <dataField name="%" fld="2" subtotal="count" showDataAs="percentOfTotal" baseField="0" baseItem="1048832" numFmtId="10"/>
  </dataFields>
</pivotTableDefinition>
</file>

<file path=xl/pivotTables/pivotTable5.xml><?xml version="1.0" encoding="utf-8"?>
<pivotTableDefinition xmlns:r="http://schemas.openxmlformats.org/officeDocument/2006/relationships" xmlns="http://schemas.openxmlformats.org/spreadsheetml/2006/main" name="Painel 5"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20:D45" firstHeaderRow="0" firstDataRow="2" firstDataCol="0"/>
  <pivotFields count="18">
    <pivotField name="ID"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Stakeholder " dataField="1"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Organization's sector"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Type of organization" axis="axisRow" showDropDowns="1" compact="0" outline="0" subtotalTop="1" dragToRow="1" dragToCol="1" multipleItemSelectionAllowed="1" dragToPage="1" dragToData="1" dragOff="1" showAll="0" topAutoShow="1" itemPageCount="10" sortType="ascending" defaultSubtotal="1">
      <items count="25">
        <item t="data" sd="1" x="16"/>
        <item t="data" sd="1" x="3"/>
        <item t="data" sd="1" x="4"/>
        <item t="data" sd="1" x="17"/>
        <item t="data" sd="1" x="21"/>
        <item t="data" sd="1" x="12"/>
        <item t="data" sd="1" x="18"/>
        <item t="data" sd="1" x="19"/>
        <item t="data" sd="1" x="13"/>
        <item t="data" sd="1" x="5"/>
        <item t="data" sd="1" x="7"/>
        <item t="data" sd="1" x="9"/>
        <item t="data" sd="1" x="1"/>
        <item t="data" sd="1" x="2"/>
        <item t="data" sd="1" x="23"/>
        <item t="data" sd="1" x="14"/>
        <item t="data" sd="1" x="0"/>
        <item t="data" sd="1" x="8"/>
        <item t="data" sd="1" x="15"/>
        <item t="data" sd="1" x="11"/>
        <item t="data" sd="1" x="10"/>
        <item t="data" sd="1" x="20"/>
        <item t="data" sd="1" x="22"/>
        <item t="data" sd="1" x="6"/>
        <item t="default" sd="1"/>
      </items>
    </pivotField>
    <pivotField name="Description of organization &amp; contribution to systemic transition&#10;(strategic focus)" showDropDowns="1" compact="0" outline="0" subtotalTop="1" dragToRow="1" dragToCol="1" multipleItemSelectionAllowed="1" dragToPage="1" dragToData="1" dragOff="1" showAll="0" topAutoShow="1" itemPageCount="10" sortType="manual" defaultSubtotal="1">
      <items count="34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efault" sd="1"/>
      </items>
    </pivotField>
    <pivotField name="Territorial focus&#10;(national, region, city)"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Primary impact area &#10;(sector of interest / Nexuses)" showDropDowns="1" compact="0" outline="0" subtotalTop="1" dragToRow="1" dragToCol="1" multipleItemSelectionAllowed="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name="Primary Territory lens&#10;(Biome) " showDropDowns="1" compact="0" outline="0" subtotalTop="1" dragToRow="1" dragToCol="1" multipleItemSelectionAllowed="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name="Secondary Territory lens&#10;(Biome) " showDropDowns="1" compact="0" outline="0" subtotalTop="1" dragToRow="1" dragToCol="1" multipleItemSelectionAllowed="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name="Biome focus rationale (only when the organization has explicit project/action targeting by biome)" showDropDowns="1" compact="0" outline="0" subtotalTop="1" dragToRow="1" dragToCol="1" multipleItemSelectionAllowed="1" dragToPage="1" dragToData="1" dragOff="1" showAll="0" topAutoShow="1" itemPageCount="10" sortType="manual" defaultSubtotal="1">
      <items count="3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efault" sd="1"/>
      </items>
    </pivotField>
    <pivotField name="Role within the ecosystem" showDropDowns="1" compact="0" outline="0" subtotalTop="1" dragToRow="1" dragToCol="1" multipleItemSelectionAllowed="1" dragToPage="1" dragToData="1" dragOff="1" showAll="0" topAutoShow="1" itemPageCount="10" sortType="manual" defaultSubtotal="1">
      <items count="8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efault" sd="1"/>
      </items>
    </pivotField>
    <pivotField name="Position in the value chain"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Potential partnership with IKF"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Headquarters location" showDropDowns="1" compact="0" outline="0" subtotalTop="1" dragToRow="1" dragToCol="1" multipleItemSelectionAllowed="1" dragToPage="1" dragToData="1" dragOff="1" showAll="0" topAutoShow="1" itemPageCount="10" sortType="manual" defaultSubtotal="1">
      <items count="6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efault" sd="1"/>
      </items>
    </pivotField>
    <pivotField name="Funding Rol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Contact &#10;(name, role and e-mail)" showDropDowns="1" compact="0" outline="0" subtotalTop="1" dragToRow="1" dragToCol="1" multipleItemSelectionAllowed="1" dragToPage="1" dragToData="1" dragOff="1" showAll="0" topAutoShow="1" itemPageCount="10" sortType="manual" defaultSubtotal="1">
      <items count="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efault" sd="1"/>
      </items>
    </pivotField>
    <pivotField name="Site / related links " showDropDowns="1" compact="0" outline="0" subtotalTop="1" dragToRow="1" dragToCol="1" multipleItemSelectionAllowed="1" dragToPage="1" dragToData="1" dragOff="1" showAll="0" topAutoShow="1" itemPageCount="10" sortType="manual" defaultSubtotal="1">
      <items count="5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efault" sd="1"/>
      </items>
    </pivotField>
    <pivotField name="General notes / Refs" showDropDowns="1" compact="0" outline="0" subtotalTop="1" dragToRow="1" dragToCol="1" multipleItemSelectionAllowed="1" dragToPage="1" dragToData="1" dragOff="1" showAll="0" topAutoShow="1" itemPageCount="10" sortType="manual" defaultSubtotal="1">
      <items count="7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efault" sd="1"/>
      </items>
    </pivotField>
  </pivotFields>
  <rowFields count="1">
    <field x="3"/>
  </rowFields>
  <colFields count="1">
    <field x="-2"/>
  </colFields>
  <dataFields count="2">
    <dataField name="Total" fld="1" subtotal="count" showDataAs="normal" baseField="0" baseItem="1048832"/>
    <dataField name="%" fld="2" subtotal="count" showDataAs="percentOfTotal" baseField="0" baseItem="1048832"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_rels/sheet2.xml.rels><Relationships xmlns="http://schemas.openxmlformats.org/package/2006/relationships"><Relationship Type="http://schemas.openxmlformats.org/officeDocument/2006/relationships/hyperlink" Target="https://ibirapitanga.org.br/" TargetMode="External" Id="rId1" /><Relationship Type="http://schemas.openxmlformats.org/officeDocument/2006/relationships/hyperlink" Target="https://serrapilheira.org/" TargetMode="External" Id="rId2" /><Relationship Type="http://schemas.openxmlformats.org/officeDocument/2006/relationships/hyperlink" Target="https://www.funbio.org.br/" TargetMode="External" Id="rId3" /><Relationship Type="http://schemas.openxmlformats.org/officeDocument/2006/relationships/hyperlink" Target="https://climaesociedade.org/" TargetMode="External" Id="rId4" /><Relationship Type="http://schemas.openxmlformats.org/officeDocument/2006/relationships/hyperlink" Target="https://www.iccibr.org/en/home" TargetMode="External" Id="rId5" /><Relationship Type="http://schemas.openxmlformats.org/officeDocument/2006/relationships/hyperlink" Target="https://gife.org.br/" TargetMode="External" Id="rId6" /><Relationship Type="http://schemas.openxmlformats.org/officeDocument/2006/relationships/hyperlink" Target="https://movimentobemmaior.org.br/" TargetMode="External" Id="rId7" /><Relationship Type="http://schemas.openxmlformats.org/officeDocument/2006/relationships/hyperlink" Target="https://institutobeja.org/homepage/" TargetMode="External" Id="rId8" /><Relationship Type="http://schemas.openxmlformats.org/officeDocument/2006/relationships/hyperlink" Target="https://www.opensocietyfoundations.org/newsroom/a-open-society-na-america-latina-e-no-caribe/pt" TargetMode="External" Id="rId9" /><Relationship Type="http://schemas.openxmlformats.org/officeDocument/2006/relationships/hyperlink" Target="https://www.ethos.org.br/" TargetMode="External" Id="rId10" /><Relationship Type="http://schemas.openxmlformats.org/officeDocument/2006/relationships/hyperlink" Target="https://www.idis.org.br/" TargetMode="External" Id="rId11" /><Relationship Type="http://schemas.openxmlformats.org/officeDocument/2006/relationships/hyperlink" Target="https://www.climateventures.co/" TargetMode="External" Id="rId12" /><Relationship Type="http://schemas.openxmlformats.org/officeDocument/2006/relationships/hyperlink" Target="https://www.theclimategroup.org/" TargetMode="External" Id="rId13" /><Relationship Type="http://schemas.openxmlformats.org/officeDocument/2006/relationships/hyperlink" Target="https://fundacaomariacecilia.org.br/" TargetMode="External" Id="rId14" /><Relationship Type="http://schemas.openxmlformats.org/officeDocument/2006/relationships/hyperlink" Target="https://fundacaotidesetubal.org.br/" TargetMode="External" Id="rId15" /><Relationship Type="http://schemas.openxmlformats.org/officeDocument/2006/relationships/hyperlink" Target="https://arymax.org.br/" TargetMode="External" Id="rId16" /><Relationship Type="http://schemas.openxmlformats.org/officeDocument/2006/relationships/hyperlink" Target="https://institutotalanoa.org/" TargetMode="External" Id="rId17" /><Relationship Type="http://schemas.openxmlformats.org/officeDocument/2006/relationships/hyperlink" Target="https://alana.org.br/" TargetMode="External" Id="rId18" /><Relationship Type="http://schemas.openxmlformats.org/officeDocument/2006/relationships/hyperlink" Target="https://www.itausa.com.br/" TargetMode="External" Id="rId19" /><Relationship Type="http://schemas.openxmlformats.org/officeDocument/2006/relationships/hyperlink" Target="https://arapyau.org.br/" TargetMode="External" Id="rId20" /><Relationship Type="http://schemas.openxmlformats.org/officeDocument/2006/relationships/hyperlink" Target="https://semeia.org.br/" TargetMode="External" Id="rId21" /><Relationship Type="http://schemas.openxmlformats.org/officeDocument/2006/relationships/hyperlink" Target="https://www.packard.org/" TargetMode="External" Id="rId22" /><Relationship Type="http://schemas.openxmlformats.org/officeDocument/2006/relationships/hyperlink" Target="https://www.alcoa.com/brasil/pt" TargetMode="External" Id="rId23" /><Relationship Type="http://schemas.openxmlformats.org/officeDocument/2006/relationships/hyperlink" Target="https://www.hydro.com/br" TargetMode="External" Id="rId24" /><Relationship Type="http://schemas.openxmlformats.org/officeDocument/2006/relationships/hyperlink" Target="https://www.frm.org.br/" TargetMode="External" Id="rId25" /><Relationship Type="http://schemas.openxmlformats.org/officeDocument/2006/relationships/hyperlink" Target="https://idesam.org/" TargetMode="External" Id="rId26" /><Relationship Type="http://schemas.openxmlformats.org/officeDocument/2006/relationships/hyperlink" Target="https://artemisia.org.br/" TargetMode="External" Id="rId27" /><Relationship Type="http://schemas.openxmlformats.org/officeDocument/2006/relationships/hyperlink" Target="https://ice.org.br/" TargetMode="External" Id="rId28" /><Relationship Type="http://schemas.openxmlformats.org/officeDocument/2006/relationships/hyperlink" Target="https://www.conexsus.org/" TargetMode="External" Id="rId29" /><Relationship Type="http://schemas.openxmlformats.org/officeDocument/2006/relationships/hyperlink" Target="https://pipe.social/" TargetMode="External" Id="rId30" /><Relationship Type="http://schemas.openxmlformats.org/officeDocument/2006/relationships/hyperlink" Target="https://yunusns.com/" TargetMode="External" Id="rId31" /><Relationship Type="http://schemas.openxmlformats.org/officeDocument/2006/relationships/hyperlink" Target="https://www.lundinfoundation.org/" TargetMode="External" Id="rId32" /><Relationship Type="http://schemas.openxmlformats.org/officeDocument/2006/relationships/hyperlink" Target="https://institutocea.org.br/" TargetMode="External" Id="rId33" /><Relationship Type="http://schemas.openxmlformats.org/officeDocument/2006/relationships/hyperlink" Target="https://fundacaogrupoboticario.org.br/" TargetMode="External" Id="rId34" /><Relationship Type="http://schemas.openxmlformats.org/officeDocument/2006/relationships/hyperlink" Target="https://www.natura.com.br/" TargetMode="External" Id="rId35" /><Relationship Type="http://schemas.openxmlformats.org/officeDocument/2006/relationships/hyperlink" Target="https://www.undp.org/pt/brazil" TargetMode="External" Id="rId36" /><Relationship Type="http://schemas.openxmlformats.org/officeDocument/2006/relationships/hyperlink" Target="https://centroamazonia.org.br/" TargetMode="External" Id="rId37" /><Relationship Type="http://schemas.openxmlformats.org/officeDocument/2006/relationships/hyperlink" Target="https://sistemabbrasil.org/empresas-b" TargetMode="External" Id="rId38" /><Relationship Type="http://schemas.openxmlformats.org/officeDocument/2006/relationships/hyperlink" Target="https://www.institutovotorantim.org.br/" TargetMode="External" Id="rId39" /><Relationship Type="http://schemas.openxmlformats.org/officeDocument/2006/relationships/hyperlink" Target="https://www.quintessa.org.br/" TargetMode="External" Id="rId40" /><Relationship Type="http://schemas.openxmlformats.org/officeDocument/2006/relationships/hyperlink" Target="https://www.demendes.com.br/" TargetMode="External" Id="rId41" /><Relationship Type="http://schemas.openxmlformats.org/officeDocument/2006/relationships/hyperlink" Target="https://www.insper.edu.br/pt" TargetMode="External" Id="rId42" /><Relationship Type="http://schemas.openxmlformats.org/officeDocument/2006/relationships/hyperlink" Target="https://www.bmw-foundation.org/" TargetMode="External" Id="rId43" /><Relationship Type="http://schemas.openxmlformats.org/officeDocument/2006/relationships/hyperlink" Target="https://www.fordfoundation.org/our-work-around-the-world/brazil-pt/" TargetMode="External" Id="rId44" /><Relationship Type="http://schemas.openxmlformats.org/officeDocument/2006/relationships/hyperlink" Target="https://institutosabin.org.br/" TargetMode="External" Id="rId45" /><Relationship Type="http://schemas.openxmlformats.org/officeDocument/2006/relationships/hyperlink" Target="https://phi.org.br/" TargetMode="External" Id="rId46" /><Relationship Type="http://schemas.openxmlformats.org/officeDocument/2006/relationships/hyperlink" Target="https://climateandlandusealliance.org/?lang=pt-br" TargetMode="External" Id="rId47" /><Relationship Type="http://schemas.openxmlformats.org/officeDocument/2006/relationships/hyperlink" Target="https://www.climateworks.org/" TargetMode="External" Id="rId48" /><Relationship Type="http://schemas.openxmlformats.org/officeDocument/2006/relationships/hyperlink" Target="https://ciff.org/" TargetMode="External" Id="rId49" /><Relationship Type="http://schemas.openxmlformats.org/officeDocument/2006/relationships/hyperlink" Target="https://oakfnd.org/" TargetMode="External" Id="rId50" /><Relationship Type="http://schemas.openxmlformats.org/officeDocument/2006/relationships/hyperlink" Target="https://energiaeambiente.org.br/" TargetMode="External" Id="rId51" /><Relationship Type="http://schemas.openxmlformats.org/officeDocument/2006/relationships/hyperlink" Target="https://europeanclimate.org/" TargetMode="External" Id="rId52" /><Relationship Type="http://schemas.openxmlformats.org/officeDocument/2006/relationships/hyperlink" Target="https://www.porticus.com/what-we-do/earth/good-energies-foundation/" TargetMode="External" Id="rId53" /><Relationship Type="http://schemas.openxmlformats.org/officeDocument/2006/relationships/hyperlink" Target="https://casadosventos.com.br/" TargetMode="External" Id="rId54" /><Relationship Type="http://schemas.openxmlformats.org/officeDocument/2006/relationships/hyperlink" Target="https://aspta.org.br/" TargetMode="External" Id="rId55" /><Relationship Type="http://schemas.openxmlformats.org/officeDocument/2006/relationships/hyperlink" Target="https://www.bndes.gov.br/wps/portal/site/home" TargetMode="External" Id="rId56" /><Relationship Type="http://schemas.openxmlformats.org/officeDocument/2006/relationships/hyperlink" Target="https://www.porticus.com/what-we-do/earth/good-energies-foundation/" TargetMode="External" Id="rId5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G29:I60"/>
  <sheetViews>
    <sheetView showGridLines="0" workbookViewId="0">
      <selection activeCell="A1" sqref="A1"/>
    </sheetView>
  </sheetViews>
  <sheetFormatPr baseColWidth="8" defaultColWidth="12.63" defaultRowHeight="15.75" customHeight="1"/>
  <cols>
    <col width="17.88" customWidth="1" style="84" min="1" max="1"/>
    <col width="34.25" customWidth="1" style="84" min="2" max="2"/>
    <col width="4.5" customWidth="1" style="84" min="3" max="3"/>
    <col width="7.63" customWidth="1" style="84" min="4" max="4"/>
    <col width="3.75" customWidth="1" style="84" min="5" max="5"/>
    <col width="58.63" customWidth="1" style="84" min="7" max="7"/>
  </cols>
  <sheetData>
    <row r="29">
      <c r="G29" s="7" t="n"/>
      <c r="H29" s="7" t="n"/>
      <c r="I29" s="7" t="n"/>
    </row>
    <row r="30">
      <c r="G30" s="7" t="n"/>
      <c r="H30" s="7" t="n"/>
      <c r="I30" s="7" t="n"/>
    </row>
    <row r="31">
      <c r="G31" s="7" t="n"/>
      <c r="H31" s="7" t="n"/>
      <c r="I31" s="8" t="n"/>
    </row>
    <row r="32">
      <c r="G32" s="12" t="inlineStr">
        <is>
          <t>Outputs:</t>
        </is>
      </c>
      <c r="H32" s="12" t="n"/>
      <c r="I32" s="12" t="n"/>
    </row>
    <row r="33">
      <c r="G33" s="13" t="inlineStr">
        <is>
          <t>a) Perfil Setorial:  predomínio do Terceiro Setor (65%), seguido pelo Privado (20%) e Público (11%), indicando um ecossistema movido por filantropia e cooperação técnica.
b) Natureza das Organizações: presença de Grantmakers e Think Tanks, sinalizando alta capacidade de financiamento e formulação de estratégias.
c) Eixo Temático Central: O nexo "Land, Food and Forest" é a prioridade em +60% do mapa.
d) Influência Secundária: Building &amp; Transport emergem como áreas de suporte para a descarbonização das cadeias produtivas.
e) Alcance Geográfico: 74% possuem atuação Nacional, com 18% de conexões Internacionais.
f) Lente Territorial: a Amazônia é o bioma prioritário absoluto, seguido pelo Cerrado e Mata Atlântica; biomas como Pampa e Caatinga aparecem de forma periférica.</t>
        </is>
      </c>
    </row>
    <row r="34"/>
    <row r="35"/>
    <row r="36"/>
    <row r="37"/>
    <row r="38"/>
    <row r="39"/>
    <row r="40"/>
    <row r="41"/>
    <row r="42"/>
    <row r="43"/>
    <row r="44"/>
    <row r="45"/>
    <row r="46">
      <c r="G46" s="13" t="n"/>
      <c r="H46" s="13" t="n"/>
      <c r="I46" s="13" t="n"/>
    </row>
    <row r="47">
      <c r="G47" s="13" t="n"/>
      <c r="H47" s="13" t="n"/>
      <c r="I47" s="13" t="n"/>
    </row>
    <row r="48">
      <c r="G48" s="13" t="n"/>
      <c r="H48" s="13" t="n"/>
      <c r="I48" s="13" t="n"/>
    </row>
    <row r="49">
      <c r="G49" s="13" t="n"/>
      <c r="H49" s="13" t="n"/>
      <c r="I49" s="13" t="n"/>
    </row>
    <row r="50">
      <c r="G50" s="13" t="n"/>
      <c r="H50" s="13" t="n"/>
      <c r="I50" s="13" t="n"/>
    </row>
    <row r="51">
      <c r="G51" s="13" t="n"/>
      <c r="H51" s="13" t="n"/>
      <c r="I51" s="13" t="n"/>
    </row>
    <row r="52">
      <c r="G52" s="13" t="n"/>
      <c r="H52" s="13" t="n"/>
      <c r="I52" s="13" t="n"/>
    </row>
    <row r="53">
      <c r="G53" s="13" t="n"/>
      <c r="H53" s="13" t="n"/>
      <c r="I53" s="13" t="n"/>
    </row>
    <row r="54">
      <c r="G54" s="13" t="n"/>
      <c r="H54" s="13" t="n"/>
      <c r="I54" s="13" t="n"/>
    </row>
    <row r="55">
      <c r="G55" s="13" t="n"/>
      <c r="H55" s="13" t="n"/>
      <c r="I55" s="13" t="n"/>
    </row>
    <row r="56">
      <c r="G56" s="13" t="n"/>
      <c r="H56" s="13" t="n"/>
      <c r="I56" s="13" t="n"/>
    </row>
    <row r="57">
      <c r="G57" s="13" t="n"/>
      <c r="H57" s="13" t="n"/>
      <c r="I57" s="13" t="n"/>
    </row>
    <row r="58">
      <c r="G58" s="13" t="n"/>
      <c r="H58" s="13" t="n"/>
      <c r="I58" s="13" t="n"/>
    </row>
    <row r="59">
      <c r="G59" s="13" t="n"/>
      <c r="H59" s="13" t="n"/>
      <c r="I59" s="13" t="n"/>
    </row>
    <row r="60">
      <c r="G60" s="13" t="n"/>
      <c r="H60" s="13" t="n"/>
      <c r="I60" s="13" t="n"/>
    </row>
  </sheetData>
  <mergeCells count="1">
    <mergeCell ref="G33:I45"/>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F381"/>
  <sheetViews>
    <sheetView workbookViewId="0">
      <pane ySplit="6" topLeftCell="A7" activePane="bottomLeft" state="frozen"/>
      <selection pane="bottomLeft" activeCell="B8" sqref="B8"/>
    </sheetView>
  </sheetViews>
  <sheetFormatPr baseColWidth="8" defaultColWidth="12.63" defaultRowHeight="15.75" customHeight="1"/>
  <cols>
    <col width="1.13" customWidth="1" style="84" min="1" max="1"/>
    <col width="3" customWidth="1" style="84" min="2" max="2"/>
    <col width="30" customWidth="1" style="84" min="3" max="3"/>
    <col width="24.25" customWidth="1" style="84" min="4" max="4"/>
    <col width="21.75" customWidth="1" style="84" min="5" max="5"/>
    <col width="51.63" customWidth="1" style="84" min="6" max="6"/>
    <col width="30.5" customWidth="1" style="84" min="7" max="8"/>
    <col width="23" customWidth="1" style="84" min="9" max="10"/>
    <col width="42.75" customWidth="1" style="84" min="11" max="11"/>
    <col width="23.13" customWidth="1" style="84" min="12" max="12"/>
    <col width="18.13" customWidth="1" style="84" min="13" max="13"/>
    <col width="29.38" customWidth="1" style="84" min="14" max="14"/>
    <col width="20.38" customWidth="1" style="84" min="15" max="15"/>
    <col width="14.75" customWidth="1" style="84" min="16" max="16"/>
    <col width="27.25" customWidth="1" style="84" min="17" max="17"/>
    <col width="18.88" customWidth="1" style="84" min="18" max="18"/>
    <col width="32.13" customWidth="1" style="84" min="19" max="20"/>
  </cols>
  <sheetData>
    <row r="1">
      <c r="A1" s="85" t="n"/>
      <c r="B1" s="86" t="n"/>
      <c r="C1" s="87" t="n"/>
      <c r="D1" s="17" t="n"/>
      <c r="E1" s="18" t="n"/>
      <c r="F1" s="19" t="n"/>
      <c r="G1" s="18" t="n"/>
      <c r="H1" s="18" t="n"/>
      <c r="I1" s="20" t="n"/>
      <c r="J1" s="18" t="n"/>
      <c r="K1" s="18" t="n"/>
      <c r="L1" s="18" t="n"/>
      <c r="M1" s="21" t="n"/>
      <c r="N1" s="21" t="n"/>
      <c r="O1" s="21" t="n"/>
      <c r="P1" s="21" t="n"/>
      <c r="Q1" s="21" t="n"/>
      <c r="R1" s="21" t="n"/>
      <c r="S1" s="21" t="n"/>
      <c r="T1" s="18" t="n"/>
      <c r="U1" s="22" t="n"/>
      <c r="V1" s="22" t="n"/>
      <c r="W1" s="22" t="n"/>
      <c r="X1" s="22" t="n"/>
      <c r="Y1" s="22" t="n"/>
      <c r="Z1" s="22" t="n"/>
      <c r="AA1" s="22" t="n"/>
      <c r="AB1" s="22" t="n"/>
      <c r="AC1" s="22" t="n"/>
      <c r="AD1" s="22" t="n"/>
      <c r="AE1" s="22" t="n"/>
      <c r="AF1" s="22" t="n"/>
    </row>
    <row r="2">
      <c r="A2" s="21" t="n"/>
      <c r="B2" s="88" t="inlineStr">
        <is>
          <t>Stakeholder Ecosystem Mapping</t>
        </is>
      </c>
      <c r="C2" s="86" t="n"/>
      <c r="D2" s="86" t="n"/>
      <c r="E2" s="86" t="n"/>
      <c r="F2" s="86" t="n"/>
      <c r="G2" s="86" t="n"/>
      <c r="H2" s="86" t="n"/>
      <c r="I2" s="86" t="n"/>
      <c r="J2" s="86" t="n"/>
      <c r="K2" s="86" t="n"/>
      <c r="L2" s="86" t="n"/>
      <c r="M2" s="86" t="n"/>
      <c r="N2" s="86" t="n"/>
      <c r="O2" s="86" t="n"/>
      <c r="P2" s="86" t="n"/>
      <c r="Q2" s="86" t="n"/>
      <c r="R2" s="86" t="n"/>
      <c r="S2" s="86" t="n"/>
      <c r="T2" s="87" t="n"/>
      <c r="U2" s="22" t="n"/>
      <c r="V2" s="22" t="n"/>
      <c r="W2" s="22" t="n"/>
      <c r="X2" s="22" t="n"/>
      <c r="Y2" s="22" t="n"/>
      <c r="Z2" s="22" t="n"/>
      <c r="AA2" s="22" t="n"/>
      <c r="AB2" s="22" t="n"/>
      <c r="AC2" s="22" t="n"/>
      <c r="AD2" s="22" t="n"/>
      <c r="AE2" s="22" t="n"/>
      <c r="AF2" s="22" t="n"/>
    </row>
    <row r="3">
      <c r="A3" s="21" t="n"/>
      <c r="B3" s="86" t="n"/>
      <c r="C3" s="87" t="n"/>
      <c r="D3" s="18" t="n"/>
      <c r="E3" s="25" t="n"/>
      <c r="F3" s="26" t="n"/>
      <c r="G3" s="25" t="n"/>
      <c r="H3" s="25" t="n"/>
      <c r="I3" s="25" t="n"/>
      <c r="J3" s="25" t="n"/>
      <c r="K3" s="25" t="n"/>
      <c r="L3" s="25" t="n"/>
      <c r="M3" s="27" t="n"/>
      <c r="N3" s="27" t="n"/>
      <c r="O3" s="27" t="n"/>
      <c r="P3" s="27" t="n"/>
      <c r="Q3" s="27" t="n"/>
      <c r="R3" s="27" t="n"/>
      <c r="S3" s="27" t="n"/>
      <c r="T3" s="25" t="n"/>
      <c r="U3" s="22" t="n"/>
      <c r="V3" s="22" t="n"/>
      <c r="W3" s="22" t="n"/>
      <c r="X3" s="22" t="n"/>
      <c r="Y3" s="22" t="n"/>
      <c r="Z3" s="22" t="n"/>
      <c r="AA3" s="22" t="n"/>
      <c r="AB3" s="22" t="n"/>
      <c r="AC3" s="22" t="n"/>
      <c r="AD3" s="22" t="n"/>
      <c r="AE3" s="22" t="n"/>
      <c r="AF3" s="22" t="n"/>
    </row>
    <row r="4">
      <c r="A4" s="21" t="n"/>
      <c r="B4" s="89" t="inlineStr">
        <is>
          <t xml:space="preserve">Project: Strategic ecosystem pre-assessment and stakeholders`mapping in Brazil 
</t>
        </is>
      </c>
      <c r="C4" s="86" t="n"/>
      <c r="D4" s="86" t="n"/>
      <c r="E4" s="86" t="n"/>
      <c r="F4" s="86" t="n"/>
      <c r="G4" s="86" t="n"/>
      <c r="H4" s="86" t="n"/>
      <c r="I4" s="86" t="n"/>
      <c r="J4" s="86" t="n"/>
      <c r="K4" s="86" t="n"/>
      <c r="L4" s="86" t="n"/>
      <c r="M4" s="86" t="n"/>
      <c r="N4" s="87" t="n"/>
      <c r="O4" s="29" t="n"/>
      <c r="P4" s="29" t="n"/>
      <c r="Q4" s="29" t="n"/>
      <c r="R4" s="29" t="n"/>
      <c r="S4" s="29" t="n"/>
      <c r="T4" s="30" t="n"/>
      <c r="U4" s="22" t="n"/>
      <c r="V4" s="22" t="n"/>
      <c r="W4" s="22" t="n"/>
      <c r="X4" s="22" t="n"/>
      <c r="Y4" s="22" t="n"/>
      <c r="Z4" s="22" t="n"/>
      <c r="AA4" s="22" t="n"/>
      <c r="AB4" s="22" t="n"/>
      <c r="AC4" s="22" t="n"/>
      <c r="AD4" s="22" t="n"/>
      <c r="AE4" s="22" t="n"/>
      <c r="AF4" s="22" t="n"/>
    </row>
    <row r="5">
      <c r="A5" s="21" t="n"/>
      <c r="B5" s="90" t="inlineStr">
        <is>
          <t>Last update: 11/02/2026</t>
        </is>
      </c>
      <c r="C5" s="86" t="n"/>
      <c r="D5" s="86" t="n"/>
      <c r="E5" s="86" t="n"/>
      <c r="F5" s="87" t="n"/>
      <c r="G5" s="32" t="n"/>
      <c r="H5" s="32" t="n"/>
      <c r="I5" s="32" t="n"/>
      <c r="J5" s="32" t="n"/>
      <c r="K5" s="32" t="n"/>
      <c r="L5" s="32" t="n"/>
      <c r="M5" s="33" t="n"/>
      <c r="N5" s="33" t="n"/>
      <c r="O5" s="29" t="n"/>
      <c r="P5" s="29" t="n"/>
      <c r="Q5" s="29" t="n"/>
      <c r="R5" s="29" t="n"/>
      <c r="S5" s="29" t="n"/>
      <c r="T5" s="30" t="n"/>
      <c r="U5" s="22" t="n"/>
      <c r="V5" s="22" t="n"/>
      <c r="W5" s="22" t="n"/>
      <c r="X5" s="22" t="n"/>
      <c r="Y5" s="22" t="n"/>
      <c r="Z5" s="22" t="n"/>
      <c r="AA5" s="22" t="n"/>
      <c r="AB5" s="22" t="n"/>
      <c r="AC5" s="22" t="n"/>
      <c r="AD5" s="22" t="n"/>
      <c r="AE5" s="22" t="n"/>
      <c r="AF5" s="22" t="n"/>
    </row>
    <row r="6" ht="44.25" customHeight="1" s="84">
      <c r="A6" s="34" t="n"/>
      <c r="B6" s="35" t="inlineStr">
        <is>
          <t>ID</t>
        </is>
      </c>
      <c r="C6" s="36" t="inlineStr">
        <is>
          <t xml:space="preserve">Stakeholder </t>
        </is>
      </c>
      <c r="D6" s="37" t="inlineStr">
        <is>
          <t>Organization's sector</t>
        </is>
      </c>
      <c r="E6" s="37" t="inlineStr">
        <is>
          <t>Type of organization</t>
        </is>
      </c>
      <c r="F6" s="37" t="inlineStr">
        <is>
          <t>Description of organization &amp; contribution to systemic transition
(strategic focus)</t>
        </is>
      </c>
      <c r="G6" s="38" t="inlineStr">
        <is>
          <t>Territorial focus
(national, region, city)</t>
        </is>
      </c>
      <c r="H6" s="39" t="inlineStr">
        <is>
          <t>Primary impact area 
(sector of interest / Nexuses)</t>
        </is>
      </c>
      <c r="I6" s="40" t="inlineStr">
        <is>
          <t xml:space="preserve">Primary Territory lens
(Biome) </t>
        </is>
      </c>
      <c r="J6" s="40" t="inlineStr">
        <is>
          <t xml:space="preserve">Secondary Territory lens
(Biome) </t>
        </is>
      </c>
      <c r="K6" s="41" t="inlineStr">
        <is>
          <t>Biome focus rationale (only when the organization has explicit project/action targeting by biome)</t>
        </is>
      </c>
      <c r="L6" s="42" t="inlineStr">
        <is>
          <t>Role within the ecosystem</t>
        </is>
      </c>
      <c r="M6" s="37" t="inlineStr">
        <is>
          <t>Position in the value chain</t>
        </is>
      </c>
      <c r="N6" s="37" t="inlineStr">
        <is>
          <t>Potential partnership with IKF</t>
        </is>
      </c>
      <c r="O6" s="37" t="inlineStr">
        <is>
          <t>Headquarters location</t>
        </is>
      </c>
      <c r="P6" s="37" t="inlineStr">
        <is>
          <t>Funding Role</t>
        </is>
      </c>
      <c r="Q6" s="37" t="inlineStr">
        <is>
          <t>Contact 
(name, role and e-mail)</t>
        </is>
      </c>
      <c r="R6" s="37" t="inlineStr">
        <is>
          <t xml:space="preserve">Site / related links </t>
        </is>
      </c>
      <c r="S6" s="37" t="inlineStr">
        <is>
          <t>General notes / Refs</t>
        </is>
      </c>
      <c r="T6" s="37" t="inlineStr">
        <is>
          <t>MEL type / approach</t>
        </is>
      </c>
      <c r="U6" s="29" t="n"/>
      <c r="V6" s="29" t="n"/>
      <c r="W6" s="29" t="n"/>
      <c r="X6" s="29" t="n"/>
      <c r="Y6" s="29" t="n"/>
      <c r="Z6" s="29" t="n"/>
      <c r="AA6" s="29" t="n"/>
      <c r="AB6" s="29" t="n"/>
      <c r="AC6" s="29" t="n"/>
      <c r="AD6" s="29" t="n"/>
      <c r="AE6" s="29" t="n"/>
      <c r="AF6" s="29" t="n"/>
    </row>
    <row r="7">
      <c r="A7" s="21" t="n"/>
      <c r="B7" s="47" t="n">
        <v>1</v>
      </c>
      <c r="C7" s="44" t="inlineStr">
        <is>
          <t>Instituto Ibirapitanga</t>
        </is>
      </c>
      <c r="D7" s="44" t="inlineStr">
        <is>
          <t>Civil Society Organization (CSO)</t>
        </is>
      </c>
      <c r="E7" s="62" t="inlineStr">
        <is>
          <t>Philanthropy foundations</t>
        </is>
      </c>
      <c r="F7" s="44" t="inlineStr">
        <is>
          <t>A grantmaking organization that supports organizations, movements, and collectives to drive structural transformations, with a focus on democracy/civic freedoms, racial equity, and agendas such as fair and sustainable food systems.</t>
        </is>
      </c>
      <c r="G7" s="46" t="inlineStr">
        <is>
          <t>National</t>
        </is>
      </c>
      <c r="H7" s="47" t="inlineStr">
        <is>
          <t>"Land, Food and Forest"</t>
        </is>
      </c>
      <c r="I7" s="48" t="inlineStr">
        <is>
          <t>Amazonia</t>
        </is>
      </c>
      <c r="J7" s="62" t="n"/>
      <c r="K7" s="62" t="inlineStr">
        <is>
          <t>Grantmaking is organized by themes such as democracy, racial equity and fair food systems, not by ecological territories. Funding can reach many regions, but biome targeting is not used as an allocation rule.</t>
        </is>
      </c>
      <c r="L7" s="62" t="inlineStr">
        <is>
          <t>Funder, Strategic partner</t>
        </is>
      </c>
      <c r="M7" s="61" t="inlineStr">
        <is>
          <t>Midstream</t>
        </is>
      </c>
      <c r="N7" s="61" t="inlineStr">
        <is>
          <t>Co-funding partner</t>
        </is>
      </c>
      <c r="O7" s="50" t="inlineStr">
        <is>
          <t>Rio de Janeiro, RJ, Brazil</t>
        </is>
      </c>
      <c r="P7" s="44" t="inlineStr">
        <is>
          <t>Donor</t>
        </is>
      </c>
      <c r="Q7" s="50" t="inlineStr">
        <is>
          <t>André Degenszajn (Executive Director)</t>
        </is>
      </c>
      <c r="R7" s="51" t="inlineStr">
        <is>
          <t>https://ibirapitanga.org.br/</t>
        </is>
      </c>
      <c r="S7" s="44" t="inlineStr">
        <is>
          <t xml:space="preserve">Could be a relevant partner for co-funding efforts on food systems in the Amazon. </t>
        </is>
      </c>
      <c r="T7" s="44" t="inlineStr">
        <is>
          <t>—</t>
        </is>
      </c>
      <c r="U7" s="22" t="n"/>
      <c r="V7" s="22" t="n"/>
      <c r="W7" s="22" t="n"/>
      <c r="X7" s="22" t="n"/>
      <c r="Y7" s="22" t="n"/>
      <c r="Z7" s="22" t="n"/>
      <c r="AA7" s="22" t="n"/>
      <c r="AB7" s="22" t="n"/>
      <c r="AC7" s="22" t="n"/>
      <c r="AD7" s="22" t="n"/>
      <c r="AE7" s="22" t="n"/>
      <c r="AF7" s="22" t="n"/>
    </row>
    <row r="8">
      <c r="A8" s="21" t="n"/>
      <c r="B8" s="47" t="n">
        <v>2</v>
      </c>
      <c r="C8" s="44" t="inlineStr">
        <is>
          <t>Instituto Serrapilheira</t>
        </is>
      </c>
      <c r="D8" s="44" t="inlineStr">
        <is>
          <t>Civil Society Organization (CSO)</t>
        </is>
      </c>
      <c r="E8" s="62" t="inlineStr">
        <is>
          <t>Philanthropy foundations</t>
        </is>
      </c>
      <c r="F8" s="44" t="inlineStr">
        <is>
          <t>A private, non-profit philanthropic institute that promotes science in Brazil; it funds research, training, and journalism/media initiatives to strengthen evidence-based public and private decision-making.</t>
        </is>
      </c>
      <c r="G8" s="46" t="inlineStr">
        <is>
          <t>National</t>
        </is>
      </c>
      <c r="H8" s="47" t="inlineStr">
        <is>
          <t>"Land, Food and Forest"</t>
        </is>
      </c>
      <c r="I8" s="48" t="n"/>
      <c r="J8" s="62" t="n"/>
      <c r="K8" s="62" t="inlineStr">
        <is>
          <t>Portfolio follows scientific fields, fellowships and science communication priorities. Projects may occur in different places, yet the institute does not manage programs using biomes as the operating unit.</t>
        </is>
      </c>
      <c r="L8" s="62" t="inlineStr">
        <is>
          <t>Funder, Technical assistance / research, Strategic partner</t>
        </is>
      </c>
      <c r="M8" s="61" t="inlineStr">
        <is>
          <t>Midstream</t>
        </is>
      </c>
      <c r="N8" s="61" t="inlineStr">
        <is>
          <t>Co-funding partner</t>
        </is>
      </c>
      <c r="O8" s="50" t="inlineStr">
        <is>
          <t>Rio de Janeiro, RJ, Brazil</t>
        </is>
      </c>
      <c r="P8" s="44" t="inlineStr">
        <is>
          <t>Donor</t>
        </is>
      </c>
      <c r="Q8" s="53" t="inlineStr">
        <is>
          <t>Hugo Aguilaniu  (President)</t>
        </is>
      </c>
      <c r="R8" s="51" t="inlineStr">
        <is>
          <t>https://serrapilheira.org/</t>
        </is>
      </c>
      <c r="S8" s="44" t="inlineStr">
        <is>
          <t xml:space="preserve">Could be a relevant partner for co-funding efforts on science-based approaches, advocacy and communications   </t>
        </is>
      </c>
      <c r="T8" s="44" t="inlineStr">
        <is>
          <t>—</t>
        </is>
      </c>
      <c r="U8" s="22" t="n"/>
      <c r="V8" s="22" t="n"/>
      <c r="W8" s="22" t="n"/>
      <c r="X8" s="22" t="n"/>
      <c r="Y8" s="22" t="n"/>
      <c r="Z8" s="22" t="n"/>
      <c r="AA8" s="22" t="n"/>
      <c r="AB8" s="22" t="n"/>
      <c r="AC8" s="22" t="n"/>
      <c r="AD8" s="22" t="n"/>
      <c r="AE8" s="22" t="n"/>
      <c r="AF8" s="22" t="n"/>
    </row>
    <row r="9">
      <c r="A9" s="21" t="n"/>
      <c r="B9" s="47" t="n">
        <v>3</v>
      </c>
      <c r="C9" s="44" t="inlineStr">
        <is>
          <t>Fundo Brasileiro para a Biodiversidade (FUNBIO)</t>
        </is>
      </c>
      <c r="D9" s="44" t="inlineStr">
        <is>
          <t>Civil Society Organization (CSO)</t>
        </is>
      </c>
      <c r="E9" s="62" t="inlineStr">
        <is>
          <t>Philanthropy foundations</t>
        </is>
      </c>
      <c r="F9" s="44" t="inlineStr">
        <is>
          <t>A national, private, non-profit financial mechanism that mobilizes and manages resources for biodiversity conservation, supporting initiatives, projects, and financing arrangements in partnership with government, the private sector, and civil society.</t>
        </is>
      </c>
      <c r="G9" s="46" t="inlineStr">
        <is>
          <t>National</t>
        </is>
      </c>
      <c r="H9" s="47" t="inlineStr">
        <is>
          <t>"Land, Food and Forest"</t>
        </is>
      </c>
      <c r="I9" s="48" t="inlineStr">
        <is>
          <t>Amazonia, Caatinga, Cerrado</t>
        </is>
      </c>
      <c r="J9" s="62" t="inlineStr">
        <is>
          <t>Mata&amp;Atlântica, Pantanal, Pampa, Coastal&amp;maritime</t>
        </is>
      </c>
      <c r="K9" s="62" t="inlineStr">
        <is>
          <t>Multi biome financial mechanism with recurring biodiversity pipelines in Amazonia and Cerrado. Other biomes appear through specific funds and projects, but with lower frequency in the core flow of managed initiatives.</t>
        </is>
      </c>
      <c r="L9" s="62" t="inlineStr">
        <is>
          <t>Funder, Capital provider / Financial intermediary</t>
        </is>
      </c>
      <c r="M9" s="61" t="inlineStr">
        <is>
          <t>Midstream</t>
        </is>
      </c>
      <c r="N9" s="61" t="inlineStr">
        <is>
          <t>Co-funding partner</t>
        </is>
      </c>
      <c r="O9" s="50" t="inlineStr">
        <is>
          <t>Rio de Janeiro, RJ, Brazil</t>
        </is>
      </c>
      <c r="P9" s="44" t="inlineStr">
        <is>
          <t>Re-granter</t>
        </is>
      </c>
      <c r="Q9" s="50" t="inlineStr">
        <is>
          <t>Rosa Lemos de Sá (Executive Director)</t>
        </is>
      </c>
      <c r="R9" s="51" t="inlineStr">
        <is>
          <t>https://www.funbio.org.br/</t>
        </is>
      </c>
      <c r="S9" s="44" t="inlineStr">
        <is>
          <t xml:space="preserve">Potential co-funding, strategic partner &amp; regranter to work in all Brazilan Biomes, with trackrecord as a financial mechanism to work on bioodiversituy, climate change and civil society stregnthening in all regions with a diverisity of national and international partenrs    </t>
        </is>
      </c>
      <c r="T9" s="44" t="inlineStr">
        <is>
          <t>—</t>
        </is>
      </c>
      <c r="U9" s="22" t="n"/>
      <c r="V9" s="22" t="n"/>
      <c r="W9" s="22" t="n"/>
      <c r="X9" s="22" t="n"/>
      <c r="Y9" s="22" t="n"/>
      <c r="Z9" s="22" t="n"/>
      <c r="AA9" s="22" t="n"/>
      <c r="AB9" s="22" t="n"/>
      <c r="AC9" s="22" t="n"/>
      <c r="AD9" s="22" t="n"/>
      <c r="AE9" s="22" t="n"/>
      <c r="AF9" s="22" t="n"/>
    </row>
    <row r="10">
      <c r="A10" s="21" t="n"/>
      <c r="B10" s="47" t="n">
        <v>4</v>
      </c>
      <c r="C10" s="44" t="inlineStr">
        <is>
          <t>Instituto Clima e Sociedade (iCS)</t>
        </is>
      </c>
      <c r="D10" s="44" t="inlineStr">
        <is>
          <t>Civil Society Organization (CSO)</t>
        </is>
      </c>
      <c r="E10" s="62" t="inlineStr">
        <is>
          <t>Monitoring, Evaluation, and Learning</t>
        </is>
      </c>
      <c r="F10" s="44" t="inlineStr">
        <is>
          <t>A regranter organization that supports tackling climate change by funding agendas and actors capable of accelerating a just and effective transition to a low-carbon economy.</t>
        </is>
      </c>
      <c r="G10" s="46" t="inlineStr">
        <is>
          <t>National</t>
        </is>
      </c>
      <c r="H10" s="47" t="inlineStr">
        <is>
          <t>Buildings &amp; Transport, Energy, "Land, Food and Forest"</t>
        </is>
      </c>
      <c r="I10" s="48" t="inlineStr">
        <is>
          <t>Amazonia, Caatinga, Cerrado</t>
        </is>
      </c>
      <c r="J10" s="62" t="inlineStr">
        <is>
          <t>Mata&amp;Atlântica, Pantanal, Pampa, Coastal&amp;maritime</t>
        </is>
      </c>
      <c r="K10" s="62" t="inlineStr">
        <is>
          <t>Grantmaking frequently connects climate and land use priorities in Amazonia, Cerrado and Caatinga. Additional biomes are supported through partners and calls, but are not the main recurring anchors of the portfolio.</t>
        </is>
      </c>
      <c r="L10" s="62" t="inlineStr">
        <is>
          <t>Funder, Strategic partner, Convenor/enablers, Capital provider / Financial intermediary</t>
        </is>
      </c>
      <c r="M10" s="61" t="inlineStr">
        <is>
          <t>Upstream</t>
        </is>
      </c>
      <c r="N10" s="61" t="inlineStr">
        <is>
          <t>Strategic partner</t>
        </is>
      </c>
      <c r="O10" s="50" t="inlineStr">
        <is>
          <t>Rio de Janeiro, RJ, Brazil</t>
        </is>
      </c>
      <c r="P10" s="44" t="inlineStr">
        <is>
          <t>Re-granter</t>
        </is>
      </c>
      <c r="Q10" s="50" t="inlineStr">
        <is>
          <t>Maria Netto Schnider</t>
        </is>
      </c>
      <c r="R10" s="51" t="inlineStr">
        <is>
          <t>https://climaesociedade.org/</t>
        </is>
      </c>
      <c r="S10" s="44" t="inlineStr">
        <is>
          <t xml:space="preserve">Regrenter organization well posionetd in Brazil in different arenas to address climate change issues  </t>
        </is>
      </c>
      <c r="T10" s="44" t="inlineStr">
        <is>
          <t>Portfolio impact monitoring &amp; strategic evaluation of climate programs and climate finance</t>
        </is>
      </c>
      <c r="U10" s="22" t="n"/>
      <c r="V10" s="22" t="n"/>
      <c r="W10" s="22" t="n"/>
      <c r="X10" s="22" t="n"/>
      <c r="Y10" s="22" t="n"/>
      <c r="Z10" s="22" t="n"/>
      <c r="AA10" s="22" t="n"/>
      <c r="AB10" s="22" t="n"/>
      <c r="AC10" s="22" t="n"/>
      <c r="AD10" s="22" t="n"/>
      <c r="AE10" s="22" t="n"/>
      <c r="AF10" s="22" t="n"/>
    </row>
    <row r="11">
      <c r="A11" s="21" t="n"/>
      <c r="B11" s="47" t="n">
        <v>5</v>
      </c>
      <c r="C11" s="44" t="inlineStr">
        <is>
          <t>Instituto Cultura, Comunicação e Incidência (ICCI)</t>
        </is>
      </c>
      <c r="D11" s="44" t="inlineStr">
        <is>
          <t>Civil Society Organization (CSO)</t>
        </is>
      </c>
      <c r="E11" s="62" t="inlineStr">
        <is>
          <t>Philanthropy foundations</t>
        </is>
      </c>
      <c r="F11" s="44" t="inlineStr">
        <is>
          <t>A non-profit regranting organization focused on strengthening strategic communication to advance climate, democracy, and justice agendas, creating social demand for public policy and impactful private action.</t>
        </is>
      </c>
      <c r="G11" s="46" t="inlineStr">
        <is>
          <t>National</t>
        </is>
      </c>
      <c r="H11" s="47" t="inlineStr">
        <is>
          <t>Buildings &amp; Transport, Energy, "Land, Food and Forest"</t>
        </is>
      </c>
      <c r="I11" s="48" t="n"/>
      <c r="J11" s="62" t="n"/>
      <c r="K11" s="62" t="inlineStr">
        <is>
          <t>Work is centered on strategic communication and policy influence rather than place based delivery. Campaign geography varies by agenda, so no stable biome delimitation is consistently observable.</t>
        </is>
      </c>
      <c r="L11" s="62" t="inlineStr">
        <is>
          <t>Project developer / Implementer, Policy influence / regulation</t>
        </is>
      </c>
      <c r="M11" s="61" t="inlineStr">
        <is>
          <t>Midstream</t>
        </is>
      </c>
      <c r="N11" s="61" t="inlineStr">
        <is>
          <t>Grant recipient</t>
        </is>
      </c>
      <c r="O11" s="50" t="inlineStr">
        <is>
          <t>Rio de Janeiro, RJ, Brazil</t>
        </is>
      </c>
      <c r="P11" s="44" t="inlineStr">
        <is>
          <t>Re-granter</t>
        </is>
      </c>
      <c r="Q11" s="50" t="inlineStr">
        <is>
          <t>Marco Kelson Kertzman</t>
        </is>
      </c>
      <c r="R11" s="51" t="inlineStr">
        <is>
          <t>https://www.iccibr.org/en/home</t>
        </is>
      </c>
      <c r="S11" s="44" t="inlineStr">
        <is>
          <t xml:space="preserve">A new player with great potential to advance climate change communication strategies in Brazil. </t>
        </is>
      </c>
      <c r="T11" s="44" t="inlineStr">
        <is>
          <t>—</t>
        </is>
      </c>
      <c r="U11" s="22" t="n"/>
      <c r="V11" s="22" t="n"/>
      <c r="W11" s="22" t="n"/>
      <c r="X11" s="22" t="n"/>
      <c r="Y11" s="22" t="n"/>
      <c r="Z11" s="22" t="n"/>
      <c r="AA11" s="22" t="n"/>
      <c r="AB11" s="22" t="n"/>
      <c r="AC11" s="22" t="n"/>
      <c r="AD11" s="22" t="n"/>
      <c r="AE11" s="22" t="n"/>
      <c r="AF11" s="22" t="n"/>
    </row>
    <row r="12">
      <c r="A12" s="21" t="n"/>
      <c r="B12" s="47" t="n">
        <v>6</v>
      </c>
      <c r="C12" s="44" t="inlineStr">
        <is>
          <t>Grupo de Institutos, Fundações e Empresas (GIFE)</t>
        </is>
      </c>
      <c r="D12" s="44" t="inlineStr">
        <is>
          <t>Civil Society Organization (CSO)</t>
        </is>
      </c>
      <c r="E12" s="62" t="inlineStr">
        <is>
          <t>Multi-stakeholder initiatives</t>
        </is>
      </c>
      <c r="F12" s="44" t="inlineStr">
        <is>
          <t>An association/platform within Brazil’s philanthropy and private social investment ecosystem; it convenes a network, produces knowledge, and strengthens institutional capacities for strategic and coordinated action.</t>
        </is>
      </c>
      <c r="G12" s="46" t="inlineStr">
        <is>
          <t>National</t>
        </is>
      </c>
      <c r="H12" s="47" t="inlineStr">
        <is>
          <t>Buildings &amp; Transport, Energy, "Land, Food and Forest"</t>
        </is>
      </c>
      <c r="I12" s="48" t="n"/>
      <c r="J12" s="62" t="n"/>
      <c r="K12" s="62" t="inlineStr">
        <is>
          <t>Acts as a philanthropy platform focused on standards, learning and capacity building. Its territorial reach depends on members and partners, making biome classification non essential for its operating model.</t>
        </is>
      </c>
      <c r="L12" s="62" t="inlineStr">
        <is>
          <t>Convenor/enablers</t>
        </is>
      </c>
      <c r="M12" s="61" t="inlineStr">
        <is>
          <t>Upstream</t>
        </is>
      </c>
      <c r="N12" s="61" t="inlineStr">
        <is>
          <t>Strategic partner</t>
        </is>
      </c>
      <c r="O12" s="61" t="inlineStr">
        <is>
          <t>São Paulo, SP, Brazil</t>
        </is>
      </c>
      <c r="P12" s="62" t="inlineStr">
        <is>
          <t>Grantee</t>
        </is>
      </c>
      <c r="Q12" s="61" t="inlineStr">
        <is>
          <t>Carolla Matarazzo (Chairman)</t>
        </is>
      </c>
      <c r="R12" s="55" t="inlineStr">
        <is>
          <t>https://gife.org.br/</t>
        </is>
      </c>
      <c r="S12" s="62" t="inlineStr">
        <is>
          <t xml:space="preserve">The most relevant network of Philanthropies in Brazil. Could be a strategic partner to address IKF workin Brazil. </t>
        </is>
      </c>
      <c r="T12" s="62" t="inlineStr">
        <is>
          <t>—</t>
        </is>
      </c>
      <c r="U12" s="22" t="n"/>
      <c r="V12" s="22" t="n"/>
      <c r="W12" s="22" t="n"/>
      <c r="X12" s="22" t="n"/>
      <c r="Y12" s="22" t="n"/>
      <c r="Z12" s="22" t="n"/>
      <c r="AA12" s="22" t="n"/>
      <c r="AB12" s="22" t="n"/>
      <c r="AC12" s="22" t="n"/>
      <c r="AD12" s="22" t="n"/>
      <c r="AE12" s="22" t="n"/>
      <c r="AF12" s="22" t="n"/>
    </row>
    <row r="13">
      <c r="A13" s="21" t="n"/>
      <c r="B13" s="47" t="n">
        <v>7</v>
      </c>
      <c r="C13" s="44" t="inlineStr">
        <is>
          <t>Movimento Bem Maior (MBM)</t>
        </is>
      </c>
      <c r="D13" s="44" t="inlineStr">
        <is>
          <t>Civil Society Organization (CSO)</t>
        </is>
      </c>
      <c r="E13" s="62" t="inlineStr">
        <is>
          <t>Alliances</t>
        </is>
      </c>
      <c r="F13" s="44" t="inlineStr">
        <is>
          <t>A philanthropic movement/network that connects donors, organizations, and partners for systemic transformation, promoting a culture of giving, active citizenship, and the strengthening of the third sector, specially philanthropies in Brazil.</t>
        </is>
      </c>
      <c r="G13" s="46" t="inlineStr">
        <is>
          <t>National</t>
        </is>
      </c>
      <c r="H13" s="47" t="inlineStr">
        <is>
          <t>Buildings &amp; Transport, "Land, Food and Forest"</t>
        </is>
      </c>
      <c r="I13" s="48" t="inlineStr">
        <is>
          <t>Amazonia</t>
        </is>
      </c>
      <c r="J13" s="62" t="n"/>
      <c r="K13" s="62" t="inlineStr">
        <is>
          <t>Network to mobilize giving and strengthen civil society across Brazil. Territorial footprint is partner driven and campaign driven, without a consistent program design structured by biome boundaries.</t>
        </is>
      </c>
      <c r="L13" s="62" t="inlineStr">
        <is>
          <t>Funder, Convenor/enablers</t>
        </is>
      </c>
      <c r="M13" s="61" t="inlineStr">
        <is>
          <t>Upstream</t>
        </is>
      </c>
      <c r="N13" s="61" t="inlineStr">
        <is>
          <t>Co-funding partner</t>
        </is>
      </c>
      <c r="O13" s="61" t="inlineStr">
        <is>
          <t>São Paulo, SP, Brazil</t>
        </is>
      </c>
      <c r="P13" s="62" t="inlineStr">
        <is>
          <t>Donor</t>
        </is>
      </c>
      <c r="Q13" s="61" t="inlineStr">
        <is>
          <t>Carolla Matarazzo (Executive Director)</t>
        </is>
      </c>
      <c r="R13" s="55" t="inlineStr">
        <is>
          <t>https://movimentobemmaior.org.br/</t>
        </is>
      </c>
      <c r="S13" s="62" t="inlineStr">
        <is>
          <t xml:space="preserve">A Philanthropy established 5 years ago by  9 business leaders to enhance the grant making space in Brazil. Looking foward to co-finance strategies with other philanthropies (national and international). Could be a strategic partner for IKF in Brazil.  </t>
        </is>
      </c>
      <c r="T13" s="62" t="inlineStr">
        <is>
          <t>—</t>
        </is>
      </c>
      <c r="U13" s="22" t="n"/>
      <c r="V13" s="22" t="n"/>
      <c r="W13" s="22" t="n"/>
      <c r="X13" s="22" t="n"/>
      <c r="Y13" s="22" t="n"/>
      <c r="Z13" s="22" t="n"/>
      <c r="AA13" s="22" t="n"/>
      <c r="AB13" s="22" t="n"/>
      <c r="AC13" s="22" t="n"/>
      <c r="AD13" s="22" t="n"/>
      <c r="AE13" s="22" t="n"/>
      <c r="AF13" s="22" t="n"/>
    </row>
    <row r="14">
      <c r="A14" s="21" t="n"/>
      <c r="B14" s="47" t="n">
        <v>8</v>
      </c>
      <c r="C14" s="44" t="inlineStr">
        <is>
          <t xml:space="preserve">Instituto Beija </t>
        </is>
      </c>
      <c r="D14" s="44" t="inlineStr">
        <is>
          <t>Civil Society Organization (CSO)</t>
        </is>
      </c>
      <c r="E14" s="62" t="inlineStr">
        <is>
          <t xml:space="preserve">Alliances </t>
        </is>
      </c>
      <c r="F14" s="56" t="inlineStr">
        <is>
          <t>a social impact organization that promotes a positive impact in the philanthropic ecosystem by fostering creativity, innovation, and collaboration, together with the engagement of civil society, the private sector and the government to solve systemic problems</t>
        </is>
      </c>
      <c r="G14" s="46" t="inlineStr">
        <is>
          <t>National</t>
        </is>
      </c>
      <c r="H14" s="47" t="inlineStr">
        <is>
          <t>Buildings &amp; Transport, Energy, "Land, Food and Forest", Emergency response</t>
        </is>
      </c>
      <c r="I14" s="48" t="n"/>
      <c r="J14" s="62" t="n"/>
      <c r="K14" s="62" t="inlineStr">
        <is>
          <t>NA</t>
        </is>
      </c>
      <c r="L14" s="62" t="inlineStr">
        <is>
          <t>Funder, Convenor/enablers</t>
        </is>
      </c>
      <c r="M14" s="61" t="inlineStr">
        <is>
          <t>Upstream</t>
        </is>
      </c>
      <c r="N14" s="61" t="inlineStr">
        <is>
          <t>Co-funding partner</t>
        </is>
      </c>
      <c r="O14" s="61" t="inlineStr">
        <is>
          <t>Rio de Janeiro, RJ, Brazil</t>
        </is>
      </c>
      <c r="P14" s="62" t="inlineStr">
        <is>
          <t>Donor</t>
        </is>
      </c>
      <c r="Q14" s="61" t="inlineStr">
        <is>
          <t>Cristiane Sultani (Funder and Chairman)</t>
        </is>
      </c>
      <c r="R14" s="55" t="inlineStr">
        <is>
          <t>https://institutobeja.org/homepage/</t>
        </is>
      </c>
      <c r="S14" s="62" t="inlineStr">
        <is>
          <t>A recently established Philantropy, with a similar role of  Movoimento Bem Maior, to advance the givin culture in Brazil. Could be a relevant co-funder and strategic partner for IKF in Brazil.</t>
        </is>
      </c>
      <c r="T14" s="62" t="inlineStr">
        <is>
          <t>—</t>
        </is>
      </c>
      <c r="U14" s="22" t="n"/>
      <c r="V14" s="22" t="n"/>
      <c r="W14" s="22" t="n"/>
      <c r="X14" s="22" t="n"/>
      <c r="Y14" s="22" t="n"/>
      <c r="Z14" s="22" t="n"/>
      <c r="AA14" s="22" t="n"/>
      <c r="AB14" s="22" t="n"/>
      <c r="AC14" s="22" t="n"/>
      <c r="AD14" s="22" t="n"/>
      <c r="AE14" s="22" t="n"/>
      <c r="AF14" s="22" t="n"/>
    </row>
    <row r="15">
      <c r="A15" s="21" t="n"/>
      <c r="B15" s="47" t="n">
        <v>9</v>
      </c>
      <c r="C15" s="44" t="inlineStr">
        <is>
          <t>Open Society Foundations</t>
        </is>
      </c>
      <c r="D15" s="44" t="inlineStr">
        <is>
          <t>Funders</t>
        </is>
      </c>
      <c r="E15" s="62" t="inlineStr">
        <is>
          <t>Philanthropy foundations</t>
        </is>
      </c>
      <c r="F15" s="44" t="inlineStr">
        <is>
          <t>A global grantmaking philanthropic foundation focused on rights, equity, justice, democracy, and human rights; it supports organizations and initiatives in multiple countries with a focus on structural change.</t>
        </is>
      </c>
      <c r="G15" s="46" t="inlineStr">
        <is>
          <t>Cross-border / international</t>
        </is>
      </c>
      <c r="H15" s="47" t="inlineStr">
        <is>
          <t>Buildings &amp; Transport, Emergency response, Energy, "Land, Food and Forest"</t>
        </is>
      </c>
      <c r="I15" s="48" t="inlineStr">
        <is>
          <t>Amazonia</t>
        </is>
      </c>
      <c r="J15" s="62" t="n"/>
      <c r="K15" s="62" t="inlineStr">
        <is>
          <t>Global rights and democracy funder with broad country portfolios. In this mapping, Brazil support is not publicly organized in a way that allows a consistent biome based segmentation, but has a mention about impact in Amazon region.</t>
        </is>
      </c>
      <c r="L15" s="62" t="inlineStr">
        <is>
          <t>Funder, Strategic partner</t>
        </is>
      </c>
      <c r="M15" s="61" t="inlineStr">
        <is>
          <t>Upstream</t>
        </is>
      </c>
      <c r="N15" s="61" t="inlineStr">
        <is>
          <t>Co-funding partner</t>
        </is>
      </c>
      <c r="O15" s="61" t="inlineStr">
        <is>
          <t>New York, NY, USA</t>
        </is>
      </c>
      <c r="P15" s="62" t="inlineStr">
        <is>
          <t>Donor</t>
        </is>
      </c>
      <c r="Q15" s="61" t="inlineStr">
        <is>
          <t>Pedro Abramovay (Vice-President)</t>
        </is>
      </c>
      <c r="R15" s="57" t="inlineStr">
        <is>
          <t>https://www.opensocietyfoundations.org/newsroom/a-open-society-na-america-latina-e-no-caribe/pt</t>
        </is>
      </c>
      <c r="S15" s="62" t="inlineStr">
        <is>
          <t>They have a strong presence in Brazil. Could be a strategic partner, specially to give inputs on strategy development, approaches and lessosn learned.</t>
        </is>
      </c>
      <c r="T15" s="62" t="inlineStr">
        <is>
          <t>—</t>
        </is>
      </c>
      <c r="U15" s="22" t="n"/>
      <c r="V15" s="22" t="n"/>
      <c r="W15" s="22" t="n"/>
      <c r="X15" s="22" t="n"/>
      <c r="Y15" s="22" t="n"/>
      <c r="Z15" s="22" t="n"/>
      <c r="AA15" s="22" t="n"/>
      <c r="AB15" s="22" t="n"/>
      <c r="AC15" s="22" t="n"/>
      <c r="AD15" s="22" t="n"/>
      <c r="AE15" s="22" t="n"/>
      <c r="AF15" s="22" t="n"/>
    </row>
    <row r="16">
      <c r="A16" s="21" t="n"/>
      <c r="B16" s="47" t="n">
        <v>10</v>
      </c>
      <c r="C16" s="44" t="inlineStr">
        <is>
          <t>Instituto Ethos</t>
        </is>
      </c>
      <c r="D16" s="44" t="inlineStr">
        <is>
          <t>Civil Society Organization (CSO)</t>
        </is>
      </c>
      <c r="E16" s="62" t="inlineStr">
        <is>
          <t>Industry platforms and sectoral initiatives</t>
        </is>
      </c>
      <c r="F16" s="44" t="inlineStr">
        <is>
          <t>A civil society organization network that mobilizes and supports companies toward socially responsible and sustainable management; it develops tools, indicators, and convening efforts to strengthen socio-environmental integrity and influence policy.</t>
        </is>
      </c>
      <c r="G16" s="46" t="inlineStr">
        <is>
          <t>National</t>
        </is>
      </c>
      <c r="H16" s="47" t="inlineStr">
        <is>
          <t>Buildings &amp; Transport, Energy, "Land, Food and Forest"</t>
        </is>
      </c>
      <c r="I16" s="48" t="inlineStr">
        <is>
          <t>Amazonia</t>
        </is>
      </c>
      <c r="J16" s="62" t="inlineStr">
        <is>
          <t>Mata&amp;Atlântica, Pantanal, Pampa, Coastal&amp;maritime</t>
        </is>
      </c>
      <c r="K16" s="62" t="inlineStr">
        <is>
          <t>Corporate integrity and sustainability work often engages high deforestation risk supply chains, making Amazonia the most recurrent reference. National advocacy and tools also apply beyond Amazonia, but not as a biome specific portfolio.</t>
        </is>
      </c>
      <c r="L16" s="62" t="inlineStr">
        <is>
          <t>Convenor/enablers, Policy influence / regulation</t>
        </is>
      </c>
      <c r="M16" s="61" t="inlineStr">
        <is>
          <t>Upstream</t>
        </is>
      </c>
      <c r="N16" s="61" t="inlineStr">
        <is>
          <t>Strategic partner</t>
        </is>
      </c>
      <c r="O16" s="61" t="inlineStr">
        <is>
          <t>São Paulo, SP, Brazil</t>
        </is>
      </c>
      <c r="P16" s="62" t="inlineStr">
        <is>
          <t>Grantee</t>
        </is>
      </c>
      <c r="Q16" s="61" t="inlineStr">
        <is>
          <t>Caio Magri (President)</t>
        </is>
      </c>
      <c r="R16" s="55" t="inlineStr">
        <is>
          <t>https://www.ethos.org.br/</t>
        </is>
      </c>
      <c r="S16" s="62" t="inlineStr">
        <is>
          <t>Together with GIFE (Philantropy network), Ethos was stablished in Brazil  as strong network to address social corporate responsability in the 90's. Would be interesting to talk to them to test their apetite to collaborate with IKF Impact Areas strategies.</t>
        </is>
      </c>
      <c r="T16" s="62" t="inlineStr">
        <is>
          <t>—</t>
        </is>
      </c>
      <c r="U16" s="22" t="n"/>
      <c r="V16" s="22" t="n"/>
      <c r="W16" s="22" t="n"/>
      <c r="X16" s="22" t="n"/>
      <c r="Y16" s="22" t="n"/>
      <c r="Z16" s="22" t="n"/>
      <c r="AA16" s="22" t="n"/>
      <c r="AB16" s="22" t="n"/>
      <c r="AC16" s="22" t="n"/>
      <c r="AD16" s="22" t="n"/>
      <c r="AE16" s="22" t="n"/>
      <c r="AF16" s="22" t="n"/>
    </row>
    <row r="17">
      <c r="A17" s="21" t="n"/>
      <c r="B17" s="47" t="n">
        <v>11</v>
      </c>
      <c r="C17" s="44" t="inlineStr">
        <is>
          <t>Instituto para o Desenvolvimento do Investimento Social (IDIS)</t>
        </is>
      </c>
      <c r="D17" s="44" t="inlineStr">
        <is>
          <t>Civil Society Organization (CSO)</t>
        </is>
      </c>
      <c r="E17" s="62" t="inlineStr">
        <is>
          <t>Think tanks</t>
        </is>
      </c>
      <c r="F17" s="44" t="inlineStr">
        <is>
          <t>A civil society organization that inspires, supports, and expands private social investment and its impact; it works through consulting/strategy, knowledge production, and strengthening the philanthropic ecosystem.</t>
        </is>
      </c>
      <c r="G17" s="46" t="inlineStr">
        <is>
          <t>National</t>
        </is>
      </c>
      <c r="H17" s="47" t="inlineStr">
        <is>
          <t>Buildings &amp; Transport, Energy, "Land, Food and Forest"</t>
        </is>
      </c>
      <c r="I17" s="48" t="n"/>
      <c r="J17" s="62" t="n"/>
      <c r="K17" s="62" t="inlineStr">
        <is>
          <t>Operates as a philanthropy and social investment advisor and ecosystem builder. Workstreams are instrument and strategy based, so biome delimitation is not a meaningful organizing lens.</t>
        </is>
      </c>
      <c r="L17" s="62" t="inlineStr">
        <is>
          <t>Technical assistance / research, Convenor/enablers</t>
        </is>
      </c>
      <c r="M17" s="61" t="inlineStr">
        <is>
          <t>Upstream</t>
        </is>
      </c>
      <c r="N17" s="61" t="inlineStr">
        <is>
          <t>Grant recipient</t>
        </is>
      </c>
      <c r="O17" s="61" t="inlineStr">
        <is>
          <t>São Paulo, SP, Brazil</t>
        </is>
      </c>
      <c r="P17" s="62" t="inlineStr">
        <is>
          <t>Grantee</t>
        </is>
      </c>
      <c r="Q17" s="58" t="inlineStr">
        <is>
          <t>Paula Jancso Fabiani</t>
        </is>
      </c>
      <c r="R17" s="59" t="inlineStr">
        <is>
          <t>https://www.idis.org.br/</t>
        </is>
      </c>
      <c r="S17" s="62" t="inlineStr">
        <is>
          <t>Provide services to develop civil society organizations in Brazil. Hosts and endowment fund to develop Philantropies in Brazil.</t>
        </is>
      </c>
      <c r="T17" s="62" t="inlineStr">
        <is>
          <t>—</t>
        </is>
      </c>
      <c r="U17" s="22" t="n"/>
      <c r="V17" s="22" t="n"/>
      <c r="W17" s="22" t="n"/>
      <c r="X17" s="22" t="n"/>
      <c r="Y17" s="22" t="n"/>
      <c r="Z17" s="22" t="n"/>
      <c r="AA17" s="22" t="n"/>
      <c r="AB17" s="22" t="n"/>
      <c r="AC17" s="22" t="n"/>
      <c r="AD17" s="22" t="n"/>
      <c r="AE17" s="22" t="n"/>
      <c r="AF17" s="22" t="n"/>
    </row>
    <row r="18" ht="39.75" customHeight="1" s="84">
      <c r="A18" s="21" t="n"/>
      <c r="B18" s="47" t="n">
        <v>12</v>
      </c>
      <c r="C18" s="44" t="inlineStr">
        <is>
          <t>Instituto Climate Ventures Brasil (Climate Ventures)</t>
        </is>
      </c>
      <c r="D18" s="44" t="inlineStr">
        <is>
          <t>Civil Society Organization (CSO)</t>
        </is>
      </c>
      <c r="E18" s="62" t="inlineStr">
        <is>
          <t>Think tanks</t>
        </is>
      </c>
      <c r="F18" s="44" t="inlineStr">
        <is>
          <t>A think-and-do tank that coordinates multi-stakeholder action and produces knowledge for systemic climate solutions; it connects actors (business, government, finance, and civil society) to accelerate a just transition and climate innovation.</t>
        </is>
      </c>
      <c r="G18" s="46" t="inlineStr">
        <is>
          <t>National</t>
        </is>
      </c>
      <c r="H18" s="47" t="inlineStr">
        <is>
          <t>Buildings &amp; Transport, Energy, "Land, Food and Forest"</t>
        </is>
      </c>
      <c r="I18" s="48" t="inlineStr">
        <is>
          <t>Amazonia, Caatinga, Cerrado</t>
        </is>
      </c>
      <c r="J18" s="62" t="inlineStr">
        <is>
          <t>Mata&amp;Atlântica, Pantanal, Pampa, Coastal&amp;maritime</t>
        </is>
      </c>
      <c r="K18" s="62" t="inlineStr">
        <is>
          <t>Coordinates climate solutions with strong land use and regional transition interfaces, often most salient in Amazonia, Cerrado and Caatinga. Other biomes enter through specific coalitions, not as the primary recurring focus.</t>
        </is>
      </c>
      <c r="L18" s="62" t="inlineStr">
        <is>
          <t>Convenor/enablers, Project developer / Implementer</t>
        </is>
      </c>
      <c r="M18" s="61" t="inlineStr">
        <is>
          <t>Midstream</t>
        </is>
      </c>
      <c r="N18" s="61" t="inlineStr">
        <is>
          <t>Grant recipient</t>
        </is>
      </c>
      <c r="O18" s="61" t="inlineStr">
        <is>
          <t>São Paulo, SP, Brazil</t>
        </is>
      </c>
      <c r="P18" s="62" t="inlineStr">
        <is>
          <t>Grantee</t>
        </is>
      </c>
      <c r="Q18" s="62" t="inlineStr">
        <is>
          <t>Daniel Contrucci &amp; Ricardo Gravnina (Co-Directors)</t>
        </is>
      </c>
      <c r="R18" s="55" t="inlineStr">
        <is>
          <t>https://www.climateventures.co/</t>
        </is>
      </c>
      <c r="S18" s="62" t="inlineStr">
        <is>
          <t>Could be an important grantee in the cosytem to address climate solutions in Brazil.</t>
        </is>
      </c>
      <c r="T18" s="62" t="inlineStr">
        <is>
          <t>—</t>
        </is>
      </c>
      <c r="U18" s="22" t="n"/>
      <c r="V18" s="22" t="n"/>
      <c r="W18" s="22" t="n"/>
      <c r="X18" s="22" t="n"/>
      <c r="Y18" s="22" t="n"/>
      <c r="Z18" s="22" t="n"/>
      <c r="AA18" s="22" t="n"/>
      <c r="AB18" s="22" t="n"/>
      <c r="AC18" s="22" t="n"/>
      <c r="AD18" s="22" t="n"/>
      <c r="AE18" s="22" t="n"/>
      <c r="AF18" s="22" t="n"/>
    </row>
    <row r="19">
      <c r="A19" s="21" t="n"/>
      <c r="B19" s="47" t="n">
        <v>13</v>
      </c>
      <c r="C19" s="44" t="inlineStr">
        <is>
          <t>The Climate Group</t>
        </is>
      </c>
      <c r="D19" s="44" t="inlineStr">
        <is>
          <t>Civil Society Organization (CSO)</t>
        </is>
      </c>
      <c r="E19" s="62" t="inlineStr">
        <is>
          <t>Multi-stakeholder initiatives</t>
        </is>
      </c>
      <c r="F19" s="44" t="inlineStr">
        <is>
          <t>An international non-profit organization that runs corporate initiatives and coalitions (e.g., in energy/transport/industry) to accelerate net-zero targets, acting as a secretariat for alliances and mobilizing sectoral commitments.</t>
        </is>
      </c>
      <c r="G19" s="46" t="inlineStr">
        <is>
          <t>Cross-border / international</t>
        </is>
      </c>
      <c r="H19" s="47" t="inlineStr">
        <is>
          <t>Buildings &amp; Transport, Energy</t>
        </is>
      </c>
      <c r="I19" s="48" t="n"/>
      <c r="J19" s="62" t="n"/>
      <c r="K19" s="62" t="inlineStr">
        <is>
          <t>Runs global corporate coalitions and sector commitments. Brazil engagement is typically framed by companies and policies, not by territorially delimited biome programs.</t>
        </is>
      </c>
      <c r="L19" s="62" t="inlineStr">
        <is>
          <t>Convenor/enablers, Strategic partner</t>
        </is>
      </c>
      <c r="M19" s="61" t="inlineStr">
        <is>
          <t>Upstream</t>
        </is>
      </c>
      <c r="N19" s="61" t="inlineStr">
        <is>
          <t>Grant recipient</t>
        </is>
      </c>
      <c r="O19" s="61" t="inlineStr">
        <is>
          <t>London, United Kingdom</t>
        </is>
      </c>
      <c r="P19" s="62" t="inlineStr">
        <is>
          <t>Grantee</t>
        </is>
      </c>
      <c r="Q19" s="61" t="inlineStr">
        <is>
          <t>Champa Patel (Global Governance Director)</t>
        </is>
      </c>
      <c r="R19" s="55" t="inlineStr">
        <is>
          <t>https://www.theclimategroup.org/</t>
        </is>
      </c>
      <c r="S19" s="62" t="inlineStr">
        <is>
          <t>Potential partner. Intrested in working more in Brazil.</t>
        </is>
      </c>
      <c r="T19" s="62" t="inlineStr">
        <is>
          <t>—</t>
        </is>
      </c>
      <c r="U19" s="22" t="n"/>
      <c r="V19" s="22" t="n"/>
      <c r="W19" s="22" t="n"/>
      <c r="X19" s="22" t="n"/>
      <c r="Y19" s="22" t="n"/>
      <c r="Z19" s="22" t="n"/>
      <c r="AA19" s="22" t="n"/>
      <c r="AB19" s="22" t="n"/>
      <c r="AC19" s="22" t="n"/>
      <c r="AD19" s="22" t="n"/>
      <c r="AE19" s="22" t="n"/>
      <c r="AF19" s="22" t="n"/>
    </row>
    <row r="20">
      <c r="A20" s="21" t="n"/>
      <c r="B20" s="47" t="n">
        <v>14</v>
      </c>
      <c r="C20" s="44" t="inlineStr">
        <is>
          <t>Fundação Maria Cecilia Souto Vidigal</t>
        </is>
      </c>
      <c r="D20" s="44" t="inlineStr">
        <is>
          <t>Funders</t>
        </is>
      </c>
      <c r="E20" s="62" t="inlineStr">
        <is>
          <t>Philanthropy foundations</t>
        </is>
      </c>
      <c r="F20" s="44" t="inlineStr">
        <is>
          <t>A civil society organization focused on early childhood; it mobilizes leaders, supports governments and public policy, and produces evidence to reduce inequalities from the very beginning of life.</t>
        </is>
      </c>
      <c r="G20" s="46" t="inlineStr">
        <is>
          <t>National</t>
        </is>
      </c>
      <c r="H20" s="47" t="n"/>
      <c r="I20" s="48" t="n"/>
      <c r="J20" s="62" t="n"/>
      <c r="K20" s="62" t="inlineStr">
        <is>
          <t>Focuses on early childhood evidence and public policy adoption by states and municipalities. Implementation geography is administrative and service based, not ecosystem based.</t>
        </is>
      </c>
      <c r="L20" s="62" t="inlineStr">
        <is>
          <t>Funder, Strategic partner</t>
        </is>
      </c>
      <c r="M20" s="61" t="inlineStr">
        <is>
          <t>Upstream</t>
        </is>
      </c>
      <c r="N20" s="61" t="inlineStr">
        <is>
          <t>Co-funding partner</t>
        </is>
      </c>
      <c r="O20" s="61" t="inlineStr">
        <is>
          <t>São Paulo, SP, Brazil</t>
        </is>
      </c>
      <c r="P20" s="62" t="inlineStr">
        <is>
          <t>Donor</t>
        </is>
      </c>
      <c r="Q20" s="61" t="inlineStr">
        <is>
          <t>Mariana Luz (Executive Director)</t>
        </is>
      </c>
      <c r="R20" s="55" t="inlineStr">
        <is>
          <t>https://fundacaomariacecilia.org.br/</t>
        </is>
      </c>
      <c r="S20" s="62" t="inlineStr">
        <is>
          <t>Explore possibilities to be a partner. The largest endowment fund in Brazil.</t>
        </is>
      </c>
      <c r="T20" s="62" t="inlineStr">
        <is>
          <t>—</t>
        </is>
      </c>
      <c r="U20" s="22" t="n"/>
      <c r="V20" s="22" t="n"/>
      <c r="W20" s="22" t="n"/>
      <c r="X20" s="22" t="n"/>
      <c r="Y20" s="22" t="n"/>
      <c r="Z20" s="22" t="n"/>
      <c r="AA20" s="22" t="n"/>
      <c r="AB20" s="22" t="n"/>
      <c r="AC20" s="22" t="n"/>
      <c r="AD20" s="22" t="n"/>
      <c r="AE20" s="22" t="n"/>
      <c r="AF20" s="22" t="n"/>
    </row>
    <row r="21">
      <c r="A21" s="21" t="n"/>
      <c r="B21" s="47" t="n">
        <v>15</v>
      </c>
      <c r="C21" s="44" t="inlineStr">
        <is>
          <t>Fundação Tide Setúbal</t>
        </is>
      </c>
      <c r="D21" s="44" t="inlineStr">
        <is>
          <t>Funders</t>
        </is>
      </c>
      <c r="E21" s="62" t="inlineStr">
        <is>
          <t>Philanthropy foundations</t>
        </is>
      </c>
      <c r="F21" s="44" t="inlineStr">
        <is>
          <t>A foundation focused on social justice and the sustainable development of urban peripheries; it fosters initiatives and connects the state, research, and civil society to tackle socio-spatial inequalities and influence policy.</t>
        </is>
      </c>
      <c r="G21" s="46" t="inlineStr">
        <is>
          <t>National</t>
        </is>
      </c>
      <c r="H21" s="47" t="n"/>
      <c r="I21" s="48" t="n"/>
      <c r="J21" s="62" t="inlineStr">
        <is>
          <t>Mata&amp;Atlântica</t>
        </is>
      </c>
      <c r="K21" s="62" t="inlineStr">
        <is>
          <t>Prioritizes urban peripheries and socio spatial inequality agendas. The operating territory is metropolitan and social, so biomes are not used to define programs.</t>
        </is>
      </c>
      <c r="L21" s="62" t="inlineStr">
        <is>
          <t>Funder, Territorial anchor</t>
        </is>
      </c>
      <c r="M21" s="61" t="inlineStr">
        <is>
          <t>Upstream</t>
        </is>
      </c>
      <c r="N21" s="61" t="inlineStr">
        <is>
          <t>Co-funding partner</t>
        </is>
      </c>
      <c r="O21" s="61" t="inlineStr">
        <is>
          <t>São Paulo, SP, Brazil</t>
        </is>
      </c>
      <c r="P21" s="62" t="inlineStr">
        <is>
          <t>Donor</t>
        </is>
      </c>
      <c r="Q21" s="61" t="inlineStr">
        <is>
          <t>Mariana Almeida (Executive Director)</t>
        </is>
      </c>
      <c r="R21" s="55" t="inlineStr">
        <is>
          <t>https://fundacaotidesetubal.org.br/</t>
        </is>
      </c>
      <c r="S21" s="62" t="inlineStr">
        <is>
          <t xml:space="preserve">Could be a co-funding partener in urban startegies in targeted cities (as SP), supporting vulnerable comunities. </t>
        </is>
      </c>
      <c r="T21" s="62" t="inlineStr">
        <is>
          <t>—</t>
        </is>
      </c>
      <c r="U21" s="22" t="n"/>
      <c r="V21" s="22" t="n"/>
      <c r="W21" s="22" t="n"/>
      <c r="X21" s="22" t="n"/>
      <c r="Y21" s="22" t="n"/>
      <c r="Z21" s="22" t="n"/>
      <c r="AA21" s="22" t="n"/>
      <c r="AB21" s="22" t="n"/>
      <c r="AC21" s="22" t="n"/>
      <c r="AD21" s="22" t="n"/>
      <c r="AE21" s="22" t="n"/>
      <c r="AF21" s="22" t="n"/>
    </row>
    <row r="22">
      <c r="A22" s="21" t="n"/>
      <c r="B22" s="47" t="n">
        <v>16</v>
      </c>
      <c r="C22" s="44" t="inlineStr">
        <is>
          <t>Fundação Arymax</t>
        </is>
      </c>
      <c r="D22" s="44" t="inlineStr">
        <is>
          <t>Funders</t>
        </is>
      </c>
      <c r="E22" s="62" t="inlineStr">
        <is>
          <t>Philanthropy foundations</t>
        </is>
      </c>
      <c r="F22" s="44" t="inlineStr">
        <is>
          <t>A philanthropic foundation (venture philanthropy) focused on productive inclusion, employability, and organizational strengthening; it supports scalable solutions and a culture of evaluation/effectiveness to expand social impact.</t>
        </is>
      </c>
      <c r="G22" s="46" t="inlineStr">
        <is>
          <t>National</t>
        </is>
      </c>
      <c r="H22" s="47" t="inlineStr">
        <is>
          <t>Emergency response, "Land, Food and Forest"</t>
        </is>
      </c>
      <c r="I22" s="48" t="n"/>
      <c r="J22" s="62" t="n"/>
      <c r="K22" s="62" t="inlineStr">
        <is>
          <t>Venture philanthropy for employability and productive inclusion, oriented to scalable solutions and organizational strengthening. No consistent biome targeting appears in how programs are selected or reported.</t>
        </is>
      </c>
      <c r="L22" s="62" t="inlineStr">
        <is>
          <t>Funder, Strategic partner</t>
        </is>
      </c>
      <c r="M22" s="61" t="inlineStr">
        <is>
          <t>Upstream</t>
        </is>
      </c>
      <c r="N22" s="61" t="inlineStr">
        <is>
          <t>Co-funding partner</t>
        </is>
      </c>
      <c r="O22" s="61" t="inlineStr">
        <is>
          <t>São Paulo, SP, Brazil</t>
        </is>
      </c>
      <c r="P22" s="62" t="inlineStr">
        <is>
          <t>Donor</t>
        </is>
      </c>
      <c r="Q22" s="61" t="inlineStr">
        <is>
          <t>Viviane Naigeborin (Executive Director)</t>
        </is>
      </c>
      <c r="R22" s="55" t="inlineStr">
        <is>
          <t>https://arymax.org.br/</t>
        </is>
      </c>
      <c r="S22" s="62" t="inlineStr">
        <is>
          <t xml:space="preserve">Potential co-funding partner in Social Impact Business (SIB) in Brazil. The org. Lead helped establishing policies and frameworks and is a reference on SIB in Brazil. </t>
        </is>
      </c>
      <c r="T22" s="62" t="inlineStr">
        <is>
          <t>—</t>
        </is>
      </c>
      <c r="U22" s="22" t="n"/>
      <c r="V22" s="22" t="n"/>
      <c r="W22" s="22" t="n"/>
      <c r="X22" s="22" t="n"/>
      <c r="Y22" s="22" t="n"/>
      <c r="Z22" s="22" t="n"/>
      <c r="AA22" s="22" t="n"/>
      <c r="AB22" s="22" t="n"/>
      <c r="AC22" s="22" t="n"/>
      <c r="AD22" s="22" t="n"/>
      <c r="AE22" s="22" t="n"/>
      <c r="AF22" s="22" t="n"/>
    </row>
    <row r="23">
      <c r="A23" s="21" t="n"/>
      <c r="B23" s="47" t="n">
        <v>17</v>
      </c>
      <c r="C23" s="44" t="inlineStr">
        <is>
          <t>Instituto Talanoa</t>
        </is>
      </c>
      <c r="D23" s="44" t="inlineStr">
        <is>
          <t>Civil Society Organization (CSO)</t>
        </is>
      </c>
      <c r="E23" s="62" t="inlineStr">
        <is>
          <t>Monitoring, Evaluation, and Learning</t>
        </is>
      </c>
      <c r="F23" s="44" t="inlineStr">
        <is>
          <t>An independent think tank dedicated to climate policy in Brazil; it combines data, science, and dialogue to monitor, analyze, and influence public policy and climate governance, increasing transparency and decision quality.</t>
        </is>
      </c>
      <c r="G23" s="46" t="inlineStr">
        <is>
          <t>National</t>
        </is>
      </c>
      <c r="H23" s="47" t="inlineStr">
        <is>
          <t>Buildings &amp; Transport, Energy, "Land, Food and Forest"</t>
        </is>
      </c>
      <c r="I23" s="48" t="inlineStr">
        <is>
          <t>Amazonia, Caatinga, Cerrado</t>
        </is>
      </c>
      <c r="J23" s="62" t="inlineStr">
        <is>
          <t>Mata&amp;Atlântica, Pantanal, Pampa, Coastal&amp;maritime</t>
        </is>
      </c>
      <c r="K23" s="62" t="inlineStr">
        <is>
          <t>Produces climate governance analysis where Amazonia and Cerrado repeatedly dominate national debates on land use and NDC ambition. Other biomes are covered in broader policy discussion rather than dedicated biome programs.</t>
        </is>
      </c>
      <c r="L23" s="62" t="inlineStr">
        <is>
          <t>Technical assistance / research, Policy influence / regulation</t>
        </is>
      </c>
      <c r="M23" s="61" t="inlineStr">
        <is>
          <t>Midstream</t>
        </is>
      </c>
      <c r="N23" s="61" t="inlineStr">
        <is>
          <t>Strategic partner</t>
        </is>
      </c>
      <c r="O23" s="61" t="inlineStr">
        <is>
          <t>Brasília, DF, Brazil</t>
        </is>
      </c>
      <c r="P23" s="62" t="inlineStr">
        <is>
          <t>Grantee</t>
        </is>
      </c>
      <c r="Q23" s="61" t="inlineStr">
        <is>
          <t>Natalie Unterstell</t>
        </is>
      </c>
      <c r="R23" s="55" t="inlineStr">
        <is>
          <t>https://institutotalanoa.org/</t>
        </is>
      </c>
      <c r="S23" s="62" t="inlineStr">
        <is>
          <t xml:space="preserve">A relevant thecnical partner in Brazil (policy, adaptation and mitigation) </t>
        </is>
      </c>
      <c r="T23" s="62" t="inlineStr">
        <is>
          <t>Climate policy monitoring, data-driven analysis and transparency of climate governance</t>
        </is>
      </c>
      <c r="U23" s="22" t="n"/>
      <c r="V23" s="22" t="n"/>
      <c r="W23" s="22" t="n"/>
      <c r="X23" s="22" t="n"/>
      <c r="Y23" s="22" t="n"/>
      <c r="Z23" s="22" t="n"/>
      <c r="AA23" s="22" t="n"/>
      <c r="AB23" s="22" t="n"/>
      <c r="AC23" s="22" t="n"/>
      <c r="AD23" s="22" t="n"/>
      <c r="AE23" s="22" t="n"/>
      <c r="AF23" s="22" t="n"/>
    </row>
    <row r="24">
      <c r="A24" s="21" t="n"/>
      <c r="B24" s="47" t="n">
        <v>18</v>
      </c>
      <c r="C24" s="44" t="inlineStr">
        <is>
          <t>Instituto Alana</t>
        </is>
      </c>
      <c r="D24" s="44" t="inlineStr">
        <is>
          <t>Civil Society Organization (CSO)</t>
        </is>
      </c>
      <c r="E24" s="62" t="inlineStr">
        <is>
          <t>Philanthropy foundations</t>
        </is>
      </c>
      <c r="F24" s="44" t="inlineStr">
        <is>
          <t>A civil society organization focused on the rights of children and adolescents; it works through advocacy, communication, and partnerships to ensure priority for childhood and promote integral development with socio-environmental justice.</t>
        </is>
      </c>
      <c r="G24" s="46" t="inlineStr">
        <is>
          <t>National</t>
        </is>
      </c>
      <c r="H24" s="47" t="inlineStr">
        <is>
          <t>"Land, Food and Forest"</t>
        </is>
      </c>
      <c r="I24" s="48" t="inlineStr">
        <is>
          <t>Amazonia, Caatinga, Cerrado</t>
        </is>
      </c>
      <c r="J24" s="62" t="inlineStr">
        <is>
          <t>Mata&amp;Atlântica</t>
        </is>
      </c>
      <c r="K24" s="62" t="inlineStr">
        <is>
          <t>Works on children and adolescent rights with advocacy and communication strategies. Actions are not designed around biome defined geographies.</t>
        </is>
      </c>
      <c r="L24" s="62" t="inlineStr">
        <is>
          <t>Funder, Policy influence / regulation, Strategic partner , Community legitimacy / proximate leadership</t>
        </is>
      </c>
      <c r="M24" s="61" t="inlineStr">
        <is>
          <t>Midstream</t>
        </is>
      </c>
      <c r="N24" s="61" t="inlineStr">
        <is>
          <t>Co-funding partner</t>
        </is>
      </c>
      <c r="O24" s="61" t="inlineStr">
        <is>
          <t>São Paulo, SP, Brazil</t>
        </is>
      </c>
      <c r="P24" s="62" t="inlineStr">
        <is>
          <t>Donor</t>
        </is>
      </c>
      <c r="Q24" s="62" t="inlineStr">
        <is>
          <t>Ana Lúcia Villela (President) &amp; Marcos Nisti (Vice-President)</t>
        </is>
      </c>
      <c r="R24" s="55" t="inlineStr">
        <is>
          <t>https://alana.org.br/</t>
        </is>
      </c>
      <c r="S24" s="62" t="inlineStr">
        <is>
          <t xml:space="preserve">Could be a co-finding partner on targeted audience. Works a lot in advocacy, campaigns and information foucesed on young generation) </t>
        </is>
      </c>
      <c r="T24" s="62" t="inlineStr">
        <is>
          <t>—</t>
        </is>
      </c>
      <c r="U24" s="22" t="n"/>
      <c r="V24" s="22" t="n"/>
      <c r="W24" s="22" t="n"/>
      <c r="X24" s="22" t="n"/>
      <c r="Y24" s="22" t="n"/>
      <c r="Z24" s="22" t="n"/>
      <c r="AA24" s="22" t="n"/>
      <c r="AB24" s="22" t="n"/>
      <c r="AC24" s="22" t="n"/>
      <c r="AD24" s="22" t="n"/>
      <c r="AE24" s="22" t="n"/>
      <c r="AF24" s="22" t="n"/>
    </row>
    <row r="25">
      <c r="A25" s="21" t="n"/>
      <c r="B25" s="47" t="n">
        <v>19</v>
      </c>
      <c r="C25" s="44" t="inlineStr">
        <is>
          <t>Itaúsa (Itaúsa S.A.)</t>
        </is>
      </c>
      <c r="D25" s="44" t="inlineStr">
        <is>
          <t>Private sector</t>
        </is>
      </c>
      <c r="E25" s="62" t="inlineStr">
        <is>
          <t>Institutional Investors</t>
        </is>
      </c>
      <c r="F25" s="44" t="inlineStr">
        <is>
          <t>A publicly listed holding company; it invests in a portfolio of companies and can influence the transition through governance, ESG strategy, capital allocation, and engagement for sustainable development and positive impact.</t>
        </is>
      </c>
      <c r="G25" s="46" t="inlineStr">
        <is>
          <t>National</t>
        </is>
      </c>
      <c r="H25" s="47" t="inlineStr">
        <is>
          <t>Buildings &amp; Transport, Energy, "Land, Food and Forest"</t>
        </is>
      </c>
      <c r="I25" s="48" t="n"/>
      <c r="J25" s="62" t="n"/>
      <c r="K25" s="62" t="inlineStr">
        <is>
          <t>Influence is exercised through portfolio governance, ESG and capital allocation. No public strategy indicates biome specific territorial programming.</t>
        </is>
      </c>
      <c r="L25" s="62" t="inlineStr">
        <is>
          <t>Strategic partner, Capital provider / Financial intermediary</t>
        </is>
      </c>
      <c r="M25" s="61" t="inlineStr">
        <is>
          <t>Upstream</t>
        </is>
      </c>
      <c r="N25" s="61" t="inlineStr">
        <is>
          <t>Co-funding partner</t>
        </is>
      </c>
      <c r="O25" s="61" t="inlineStr">
        <is>
          <t>São Paulo, SP, Brazil</t>
        </is>
      </c>
      <c r="P25" s="62" t="inlineStr">
        <is>
          <t>Re-granter</t>
        </is>
      </c>
      <c r="Q25" s="61" t="inlineStr">
        <is>
          <t>Marcelo Furtado (Sustainable Head)</t>
        </is>
      </c>
      <c r="R25" s="55" t="inlineStr">
        <is>
          <t>https://www.itausa.com.br/</t>
        </is>
      </c>
      <c r="S25" s="62" t="inlineStr">
        <is>
          <t xml:space="preserve">Interested in the  climate change. Alredy finance a lot of different effort, hubs and networks. Could be a co-funding partner for IKF in Brazil.  </t>
        </is>
      </c>
      <c r="T25" s="62" t="inlineStr">
        <is>
          <t>—</t>
        </is>
      </c>
      <c r="U25" s="22" t="n"/>
      <c r="V25" s="22" t="n"/>
      <c r="W25" s="22" t="n"/>
      <c r="X25" s="22" t="n"/>
      <c r="Y25" s="22" t="n"/>
      <c r="Z25" s="22" t="n"/>
      <c r="AA25" s="22" t="n"/>
      <c r="AB25" s="22" t="n"/>
      <c r="AC25" s="22" t="n"/>
      <c r="AD25" s="22" t="n"/>
      <c r="AE25" s="22" t="n"/>
      <c r="AF25" s="22" t="n"/>
    </row>
    <row r="26">
      <c r="A26" s="21" t="n"/>
      <c r="B26" s="47" t="n">
        <v>20</v>
      </c>
      <c r="C26" s="44" t="inlineStr">
        <is>
          <t>Instituto Arapyaú</t>
        </is>
      </c>
      <c r="D26" s="44" t="inlineStr">
        <is>
          <t>Civil Society Organization (CSO)</t>
        </is>
      </c>
      <c r="E26" s="62" t="inlineStr">
        <is>
          <t>Philanthropy foundations</t>
        </is>
      </c>
      <c r="F26" s="44" t="inlineStr">
        <is>
          <t>A Brazilian philanthropic organization that fosters and incubates networks and structuring initiatives to promote fair, inclusive, and low-carbon development; it convenes public/private actors and civil society to advance systemic solutions in climate, nature, and the economy.</t>
        </is>
      </c>
      <c r="G26" s="46" t="inlineStr">
        <is>
          <t>National</t>
        </is>
      </c>
      <c r="H26" s="47" t="inlineStr">
        <is>
          <t>Buildings &amp; Transport, Energy, "Land, Food and Forest"</t>
        </is>
      </c>
      <c r="I26" s="48" t="inlineStr">
        <is>
          <t>Amazonia</t>
        </is>
      </c>
      <c r="J26" s="62" t="inlineStr">
        <is>
          <t>Mata&amp;Atlântica</t>
        </is>
      </c>
      <c r="K26" s="62" t="inlineStr">
        <is>
          <t>Sustained territorial convening and networks are most visibly linked to Amazonia, with additional recurring work connected to Mata Atlântica agendas. The biome tagging reflects where long term coalitions and place based initiatives concentrate.</t>
        </is>
      </c>
      <c r="L26" s="62" t="inlineStr">
        <is>
          <t>Funder, Strategic partner, Territorial anchor</t>
        </is>
      </c>
      <c r="M26" s="61" t="inlineStr">
        <is>
          <t>Midstream</t>
        </is>
      </c>
      <c r="N26" s="61" t="inlineStr">
        <is>
          <t>Co-funding partner</t>
        </is>
      </c>
      <c r="O26" s="61" t="inlineStr">
        <is>
          <t>São Paulo, SP, Brazil</t>
        </is>
      </c>
      <c r="P26" s="62" t="inlineStr">
        <is>
          <t>Donor</t>
        </is>
      </c>
      <c r="Q26" s="61" t="inlineStr">
        <is>
          <t>Renata Piazzon (CEO)</t>
        </is>
      </c>
      <c r="R26" s="55" t="inlineStr">
        <is>
          <t>https://arapyau.org.br/</t>
        </is>
      </c>
      <c r="S26" s="62" t="inlineStr">
        <is>
          <t>Relevant partner to co-fund initiatives in teh Amazon. Also works a lot in terrritorial development in Bahia. Guilherme Leal's philanthropy (one of Natura's owner)</t>
        </is>
      </c>
      <c r="T26" s="62" t="inlineStr">
        <is>
          <t>—</t>
        </is>
      </c>
      <c r="U26" s="22" t="n"/>
      <c r="V26" s="22" t="n"/>
      <c r="W26" s="22" t="n"/>
      <c r="X26" s="22" t="n"/>
      <c r="Y26" s="22" t="n"/>
      <c r="Z26" s="22" t="n"/>
      <c r="AA26" s="22" t="n"/>
      <c r="AB26" s="22" t="n"/>
      <c r="AC26" s="22" t="n"/>
      <c r="AD26" s="22" t="n"/>
      <c r="AE26" s="22" t="n"/>
      <c r="AF26" s="22" t="n"/>
    </row>
    <row r="27">
      <c r="A27" s="21" t="n"/>
      <c r="B27" s="47" t="n">
        <v>21</v>
      </c>
      <c r="C27" s="44" t="inlineStr">
        <is>
          <t>Instituto Semeia</t>
        </is>
      </c>
      <c r="D27" s="44" t="inlineStr">
        <is>
          <t>Civil Society Organization (CSO)</t>
        </is>
      </c>
      <c r="E27" s="62" t="inlineStr">
        <is>
          <t>Philanthropy foundations</t>
        </is>
      </c>
      <c r="F27" s="44" t="inlineStr">
        <is>
          <t>A non-profit philanthropic organization focused on enhancing the sustainable socioeconomic development of parks and protected areas, supporting management models, partnerships, and knowledge for conservation and visitation.</t>
        </is>
      </c>
      <c r="G27" s="46" t="inlineStr">
        <is>
          <t>National</t>
        </is>
      </c>
      <c r="H27" s="47" t="inlineStr">
        <is>
          <t>"Land, Food and Forest"</t>
        </is>
      </c>
      <c r="I27" s="60" t="inlineStr">
        <is>
          <t>Amazonia, Cerrado</t>
        </is>
      </c>
      <c r="J27" s="62" t="inlineStr">
        <is>
          <t>Mata&amp;Atlântica, Pantanal, Pampa, Coastal&amp;maritime</t>
        </is>
      </c>
      <c r="K27" s="62" t="inlineStr">
        <is>
          <t>Parks and protected areas agenda spans multiple regions, with recurring relevance in Amazonia and Cerrado due to scale and pressure dynamics. Other biomes appear through specific protected area partnerships and knowledge products.</t>
        </is>
      </c>
      <c r="L27" s="62" t="inlineStr">
        <is>
          <t>Technical assistance / research, Project developer / Implementer, Funder</t>
        </is>
      </c>
      <c r="M27" s="61" t="inlineStr">
        <is>
          <t>Midstream</t>
        </is>
      </c>
      <c r="N27" s="61" t="inlineStr">
        <is>
          <t>Co-funding partner</t>
        </is>
      </c>
      <c r="O27" s="61" t="inlineStr">
        <is>
          <t>São Paulo, SP, Brazil</t>
        </is>
      </c>
      <c r="P27" s="62" t="inlineStr">
        <is>
          <t>Donor</t>
        </is>
      </c>
      <c r="Q27" s="61" t="inlineStr">
        <is>
          <t>Fernando Pieroni (Executive Director)</t>
        </is>
      </c>
      <c r="R27" s="55" t="inlineStr">
        <is>
          <t>https://semeia.org.br/</t>
        </is>
      </c>
      <c r="S27" s="62" t="inlineStr">
        <is>
          <t>Interesting partner to understand and potentially co-fund strategies to address Public and Private Prtnerships (PPPs) in IKF impact areas. Perdo Passos' philanthropy (one of Natura's owner).</t>
        </is>
      </c>
      <c r="T27" s="62" t="inlineStr">
        <is>
          <t>—</t>
        </is>
      </c>
      <c r="U27" s="22" t="n"/>
      <c r="V27" s="22" t="n"/>
      <c r="W27" s="22" t="n"/>
      <c r="X27" s="22" t="n"/>
      <c r="Y27" s="22" t="n"/>
      <c r="Z27" s="22" t="n"/>
      <c r="AA27" s="22" t="n"/>
      <c r="AB27" s="22" t="n"/>
      <c r="AC27" s="22" t="n"/>
      <c r="AD27" s="22" t="n"/>
      <c r="AE27" s="22" t="n"/>
      <c r="AF27" s="22" t="n"/>
    </row>
    <row r="28">
      <c r="A28" s="21" t="n"/>
      <c r="B28" s="47" t="n">
        <v>22</v>
      </c>
      <c r="C28" s="44" t="inlineStr">
        <is>
          <t>The David and Lucile Packard Foundation</t>
        </is>
      </c>
      <c r="D28" s="44" t="inlineStr">
        <is>
          <t>Funders</t>
        </is>
      </c>
      <c r="E28" s="62" t="inlineStr">
        <is>
          <t>Philanthropy foundations</t>
        </is>
      </c>
      <c r="F28" s="44" t="inlineStr">
        <is>
          <t>An international grantmaking philanthropic foundation that funds agendas such as conservation/restoration of natural systems, climate, and community strengthening; it supports organizations and coalitions for structural, evidence-based change.</t>
        </is>
      </c>
      <c r="G28" s="46" t="inlineStr">
        <is>
          <t>Cross-border / international</t>
        </is>
      </c>
      <c r="H28" s="47" t="inlineStr">
        <is>
          <t>Energy, "Land, Food and Forest"</t>
        </is>
      </c>
      <c r="I28" s="48" t="n"/>
      <c r="J28" s="62" t="n"/>
      <c r="K28" s="62" t="inlineStr">
        <is>
          <t>International grantmaker with broad environment and community portfolios. This list does not provide a stable Brazil facing biome structured program line to classify.</t>
        </is>
      </c>
      <c r="L28" s="62" t="inlineStr">
        <is>
          <t>Funder, Strategic partner</t>
        </is>
      </c>
      <c r="M28" s="61" t="inlineStr">
        <is>
          <t>Upstream</t>
        </is>
      </c>
      <c r="N28" s="61" t="inlineStr">
        <is>
          <t>Co-funding partner</t>
        </is>
      </c>
      <c r="O28" s="61" t="inlineStr">
        <is>
          <t>Los Altos, CA, USA</t>
        </is>
      </c>
      <c r="P28" s="62" t="inlineStr">
        <is>
          <t>Donor</t>
        </is>
      </c>
      <c r="Q28" s="61" t="n"/>
      <c r="R28" s="55" t="inlineStr">
        <is>
          <t>https://www.packard.org/</t>
        </is>
      </c>
      <c r="S28" s="62" t="inlineStr">
        <is>
          <t xml:space="preserve">Potential partner in Brazil. Explore a range of sustainable territorial development  approaches and lessons lerned funding initiatives in Brazil. </t>
        </is>
      </c>
      <c r="T28" s="62" t="inlineStr">
        <is>
          <t>—</t>
        </is>
      </c>
      <c r="U28" s="22" t="n"/>
      <c r="V28" s="22" t="n"/>
      <c r="W28" s="22" t="n"/>
      <c r="X28" s="22" t="n"/>
      <c r="Y28" s="22" t="n"/>
      <c r="Z28" s="22" t="n"/>
      <c r="AA28" s="22" t="n"/>
      <c r="AB28" s="22" t="n"/>
      <c r="AC28" s="22" t="n"/>
      <c r="AD28" s="22" t="n"/>
      <c r="AE28" s="22" t="n"/>
      <c r="AF28" s="22" t="n"/>
    </row>
    <row r="29">
      <c r="A29" s="21" t="n"/>
      <c r="B29" s="47" t="n">
        <v>23</v>
      </c>
      <c r="C29" s="44" t="inlineStr">
        <is>
          <t>Alcoa</t>
        </is>
      </c>
      <c r="D29" s="44" t="inlineStr">
        <is>
          <t>Private sector</t>
        </is>
      </c>
      <c r="E29" s="62" t="inlineStr">
        <is>
          <t>Private companies (large / leading)</t>
        </is>
      </c>
      <c r="F29" s="44" t="inlineStr">
        <is>
          <t>A global company in the aluminum sector (bauxite, alumina, and aluminum); it contributes to the transition through industrial decarbonization, ESG standards, traceability, and engagement with supply chains and the territories where it operates.</t>
        </is>
      </c>
      <c r="G29" s="46" t="inlineStr">
        <is>
          <t>Cross-border / international</t>
        </is>
      </c>
      <c r="H29" s="47" t="inlineStr">
        <is>
          <t>Buildings &amp; Transport, Energy</t>
        </is>
      </c>
      <c r="I29" s="48" t="inlineStr">
        <is>
          <t>Amazonia</t>
        </is>
      </c>
      <c r="J29" s="62" t="inlineStr">
        <is>
          <t>Coastal&amp;maritime</t>
        </is>
      </c>
      <c r="K29" s="62" t="inlineStr">
        <is>
          <t>Operational footprint and risk management are most consistently associated with Amazonia. Coastal maritime appears as a secondary interface through logistics and export corridors rather than a dedicated conservation program.</t>
        </is>
      </c>
      <c r="L29" s="62" t="inlineStr">
        <is>
          <t>Strategic partner, Implementation capacity (delivery)</t>
        </is>
      </c>
      <c r="M29" s="61" t="inlineStr">
        <is>
          <t>Downstream</t>
        </is>
      </c>
      <c r="N29" s="61" t="inlineStr">
        <is>
          <t>Co-funding partner</t>
        </is>
      </c>
      <c r="O29" s="61" t="inlineStr">
        <is>
          <t>Pittsburgh, PA, USA</t>
        </is>
      </c>
      <c r="P29" s="62" t="inlineStr">
        <is>
          <t>Donor</t>
        </is>
      </c>
      <c r="Q29" s="61" t="n"/>
      <c r="R29" s="55" t="inlineStr">
        <is>
          <t>https://www.alcoa.com/brasil/pt</t>
        </is>
      </c>
      <c r="S29" s="62" t="inlineStr">
        <is>
          <t xml:space="preserve">Could be a potential co-funding partner in targeted geographies, linkes to IKF impact areas. </t>
        </is>
      </c>
      <c r="T29" s="62" t="inlineStr">
        <is>
          <t>—</t>
        </is>
      </c>
      <c r="U29" s="22" t="n"/>
      <c r="V29" s="22" t="n"/>
      <c r="W29" s="22" t="n"/>
      <c r="X29" s="22" t="n"/>
      <c r="Y29" s="22" t="n"/>
      <c r="Z29" s="22" t="n"/>
      <c r="AA29" s="22" t="n"/>
      <c r="AB29" s="22" t="n"/>
      <c r="AC29" s="22" t="n"/>
      <c r="AD29" s="22" t="n"/>
      <c r="AE29" s="22" t="n"/>
      <c r="AF29" s="22" t="n"/>
    </row>
    <row r="30">
      <c r="A30" s="21" t="n"/>
      <c r="B30" s="47" t="n">
        <v>24</v>
      </c>
      <c r="C30" s="44" t="inlineStr">
        <is>
          <t>Norsk Hydro ASA (Hydro)</t>
        </is>
      </c>
      <c r="D30" s="44" t="inlineStr">
        <is>
          <t>Private sector</t>
        </is>
      </c>
      <c r="E30" s="62" t="inlineStr">
        <is>
          <t>Private companies (large / leading)</t>
        </is>
      </c>
      <c r="F30" s="44" t="inlineStr">
        <is>
          <t>A global leader in aluminum and renewable energy; it can drive the transition through circular economy practices, emissions reductions, materials innovation, socio-environmental governance, and investment in low-carbon value chains.</t>
        </is>
      </c>
      <c r="G30" s="46" t="inlineStr">
        <is>
          <t>Cross-border / international</t>
        </is>
      </c>
      <c r="H30" s="47" t="inlineStr">
        <is>
          <t>Buildings &amp; Transport, Energy</t>
        </is>
      </c>
      <c r="I30" s="48" t="inlineStr">
        <is>
          <t>Amazonia</t>
        </is>
      </c>
      <c r="J30" s="62" t="inlineStr">
        <is>
          <t>Coastal&amp;maritime</t>
        </is>
      </c>
      <c r="K30" s="62" t="inlineStr">
        <is>
          <t>Industrial and mining assets create a strong linkage to Amazonia. Coastal maritime is included as a secondary lens due to transport and port logistics interfaces that shape impacts and mitigation needs.</t>
        </is>
      </c>
      <c r="L30" s="62" t="inlineStr">
        <is>
          <t>Strategic partner, Implementation capacity (delivery)</t>
        </is>
      </c>
      <c r="M30" s="61" t="inlineStr">
        <is>
          <t>Midstream</t>
        </is>
      </c>
      <c r="N30" s="61" t="inlineStr">
        <is>
          <t>Co-funding partner</t>
        </is>
      </c>
      <c r="O30" s="61" t="inlineStr">
        <is>
          <t>Oslo, Norway</t>
        </is>
      </c>
      <c r="P30" s="62" t="inlineStr">
        <is>
          <t>Donor</t>
        </is>
      </c>
      <c r="Q30" s="61" t="n"/>
      <c r="R30" s="55" t="inlineStr">
        <is>
          <t>https://www.hydro.com/br</t>
        </is>
      </c>
      <c r="S30" s="62" t="inlineStr">
        <is>
          <t xml:space="preserve">Could be a potential co-funding partner in targeted geographies, linkes to IKF impact areas. </t>
        </is>
      </c>
      <c r="T30" s="62" t="inlineStr">
        <is>
          <t>—</t>
        </is>
      </c>
      <c r="U30" s="22" t="n"/>
      <c r="V30" s="22" t="n"/>
      <c r="W30" s="22" t="n"/>
      <c r="X30" s="22" t="n"/>
      <c r="Y30" s="22" t="n"/>
      <c r="Z30" s="22" t="n"/>
      <c r="AA30" s="22" t="n"/>
      <c r="AB30" s="22" t="n"/>
      <c r="AC30" s="22" t="n"/>
      <c r="AD30" s="22" t="n"/>
      <c r="AE30" s="22" t="n"/>
      <c r="AF30" s="22" t="n"/>
    </row>
    <row r="31">
      <c r="A31" s="21" t="n"/>
      <c r="B31" s="47" t="n">
        <v>25</v>
      </c>
      <c r="C31" s="44" t="inlineStr">
        <is>
          <t>Instituto Socioambiental (ISA)</t>
        </is>
      </c>
      <c r="D31" s="44" t="inlineStr">
        <is>
          <t>Civil Society Organization (CSO)</t>
        </is>
      </c>
      <c r="E31" s="62" t="inlineStr">
        <is>
          <t>Local implementers</t>
        </is>
      </c>
      <c r="F31" s="44" t="inlineStr">
        <is>
          <t>A Brazilian NGO (OSCIP) that defends the rights and territories of Indigenous Peoples and traditional communities and protects socio-environmental heritage; it contributes through advocacy, monitoring, and integrated solutions for conservation and socio-environmental justice.</t>
        </is>
      </c>
      <c r="G31" s="46" t="inlineStr">
        <is>
          <t>National</t>
        </is>
      </c>
      <c r="H31" s="47" t="inlineStr">
        <is>
          <t>"Land, Food and Forest"</t>
        </is>
      </c>
      <c r="I31" s="48" t="inlineStr">
        <is>
          <t>Amazonia</t>
        </is>
      </c>
      <c r="J31" s="62" t="inlineStr">
        <is>
          <t>Mata&amp;Atlântica</t>
        </is>
      </c>
      <c r="K31" s="62" t="inlineStr">
        <is>
          <t>Long running rights and territorial governance work is strongly anchored in Amazonia. A secondary linkage to Mata Atlântica reflects additional initiatives and advocacy connected to that biome domain.</t>
        </is>
      </c>
      <c r="L31" s="62" t="inlineStr">
        <is>
          <t>Project developer / Implementer, Community legitimacy / proximate leadership</t>
        </is>
      </c>
      <c r="M31" s="61" t="inlineStr">
        <is>
          <t>Midstream</t>
        </is>
      </c>
      <c r="N31" s="61" t="inlineStr">
        <is>
          <t>Implementing partner</t>
        </is>
      </c>
      <c r="O31" s="61" t="inlineStr">
        <is>
          <t>São Paulo, SP, Brazil</t>
        </is>
      </c>
      <c r="P31" s="62" t="inlineStr">
        <is>
          <t>Grantee</t>
        </is>
      </c>
      <c r="Q31" s="61" t="inlineStr">
        <is>
          <t>Adriana Ramos (Policy Director)</t>
        </is>
      </c>
      <c r="R31" s="61" t="n"/>
      <c r="S31" s="62" t="n"/>
      <c r="T31" s="62" t="inlineStr">
        <is>
          <t>—</t>
        </is>
      </c>
      <c r="U31" s="22" t="n"/>
      <c r="V31" s="22" t="n"/>
      <c r="W31" s="22" t="n"/>
      <c r="X31" s="22" t="n"/>
      <c r="Y31" s="22" t="n"/>
      <c r="Z31" s="22" t="n"/>
      <c r="AA31" s="22" t="n"/>
      <c r="AB31" s="22" t="n"/>
      <c r="AC31" s="22" t="n"/>
      <c r="AD31" s="22" t="n"/>
      <c r="AE31" s="22" t="n"/>
      <c r="AF31" s="22" t="n"/>
    </row>
    <row r="32">
      <c r="A32" s="21" t="n"/>
      <c r="B32" s="47" t="n">
        <v>26</v>
      </c>
      <c r="C32" s="44" t="inlineStr">
        <is>
          <t>The Nature Conservancy Brasil (TNC Brasil)</t>
        </is>
      </c>
      <c r="D32" s="44" t="inlineStr">
        <is>
          <t>Civil Society Organization (CSO)</t>
        </is>
      </c>
      <c r="E32" s="62" t="inlineStr">
        <is>
          <t>Local implementers</t>
        </is>
      </c>
      <c r="F32" s="44" t="inlineStr">
        <is>
          <t>A science-based international conservation NGO; it develops local solutions to protect land and water, restore ecosystems, and design financing/arrangements for conservation, connecting the public and private sectors and communities.</t>
        </is>
      </c>
      <c r="G32" s="46" t="inlineStr">
        <is>
          <t>Cross-border / international</t>
        </is>
      </c>
      <c r="H32" s="47" t="inlineStr">
        <is>
          <t>"Land, Food and Forest"</t>
        </is>
      </c>
      <c r="I32" s="60" t="inlineStr">
        <is>
          <t>Amazonia, Cerrado</t>
        </is>
      </c>
      <c r="J32" s="62" t="inlineStr">
        <is>
          <t>Mata&amp;Atlântica, Coastal&amp;maritime</t>
        </is>
      </c>
      <c r="K32" s="62" t="inlineStr">
        <is>
          <t>Territorial programs and partnerships are most robust in Amazonia and Cerrado. Mata Atlântica and Coastal maritime appear through complementary water, restoration and coastal linked initiatives.</t>
        </is>
      </c>
      <c r="L32" s="62" t="inlineStr">
        <is>
          <t>Strategic partner, Project developer / Implementer</t>
        </is>
      </c>
      <c r="M32" s="61" t="inlineStr">
        <is>
          <t>Upstream</t>
        </is>
      </c>
      <c r="N32" s="61" t="inlineStr">
        <is>
          <t>Grant recipient</t>
        </is>
      </c>
      <c r="O32" s="61" t="inlineStr">
        <is>
          <t>Arlington, VA, USA</t>
        </is>
      </c>
      <c r="P32" s="62" t="inlineStr">
        <is>
          <t>Grantee</t>
        </is>
      </c>
      <c r="Q32" s="61" t="n"/>
      <c r="R32" s="61" t="n"/>
      <c r="S32" s="62" t="n"/>
      <c r="T32" s="62" t="inlineStr">
        <is>
          <t>—</t>
        </is>
      </c>
      <c r="U32" s="22" t="n"/>
      <c r="V32" s="22" t="n"/>
      <c r="W32" s="22" t="n"/>
      <c r="X32" s="22" t="n"/>
      <c r="Y32" s="22" t="n"/>
      <c r="Z32" s="22" t="n"/>
      <c r="AA32" s="22" t="n"/>
      <c r="AB32" s="22" t="n"/>
      <c r="AC32" s="22" t="n"/>
      <c r="AD32" s="22" t="n"/>
      <c r="AE32" s="22" t="n"/>
      <c r="AF32" s="22" t="n"/>
    </row>
    <row r="33">
      <c r="A33" s="21" t="n"/>
      <c r="B33" s="47" t="n">
        <v>27</v>
      </c>
      <c r="C33" s="44" t="inlineStr">
        <is>
          <t>Conservação Internacional Brasil (CI-Brasil)</t>
        </is>
      </c>
      <c r="D33" s="44" t="inlineStr">
        <is>
          <t>Civil Society Organization (CSO)</t>
        </is>
      </c>
      <c r="E33" s="62" t="inlineStr">
        <is>
          <t>Local implementers</t>
        </is>
      </c>
      <c r="F33" s="44" t="inlineStr">
        <is>
          <t>A conservation NGO that works with nature-based solutions, science, and partnerships to protect biodiversity and promote human well-being; it operates through field projects, policy work, and coalitions.</t>
        </is>
      </c>
      <c r="G33" s="46" t="inlineStr">
        <is>
          <t>Cross-border / international</t>
        </is>
      </c>
      <c r="H33" s="47" t="inlineStr">
        <is>
          <t>"Land, Food and Forest"</t>
        </is>
      </c>
      <c r="I33" s="60" t="inlineStr">
        <is>
          <t>Amazonia, Cerrado</t>
        </is>
      </c>
      <c r="J33" s="62" t="inlineStr">
        <is>
          <t>Mata&amp;Atlântica, Coastal&amp;maritime</t>
        </is>
      </c>
      <c r="K33" s="62" t="inlineStr">
        <is>
          <t>Multi biome conservation portfolio with recurring emphasis on Amazonia and Cerrado. Mata Atlântica and Coastal maritime show up through specific projects and themes rather than being the main program anchors.</t>
        </is>
      </c>
      <c r="L33" s="62" t="inlineStr">
        <is>
          <t>Strategic partner, Project developer / Implementer</t>
        </is>
      </c>
      <c r="M33" s="61" t="inlineStr">
        <is>
          <t>Upstream</t>
        </is>
      </c>
      <c r="N33" s="61" t="inlineStr">
        <is>
          <t>Grant recipient</t>
        </is>
      </c>
      <c r="O33" s="61" t="inlineStr">
        <is>
          <t>Arlington, VA, USA</t>
        </is>
      </c>
      <c r="P33" s="62" t="inlineStr">
        <is>
          <t>Grantee</t>
        </is>
      </c>
      <c r="Q33" s="61" t="n"/>
      <c r="R33" s="61" t="n"/>
      <c r="S33" s="62" t="n"/>
      <c r="T33" s="62" t="inlineStr">
        <is>
          <t>—</t>
        </is>
      </c>
      <c r="U33" s="22" t="n"/>
      <c r="V33" s="22" t="n"/>
      <c r="W33" s="22" t="n"/>
      <c r="X33" s="22" t="n"/>
      <c r="Y33" s="22" t="n"/>
      <c r="Z33" s="22" t="n"/>
      <c r="AA33" s="22" t="n"/>
      <c r="AB33" s="22" t="n"/>
      <c r="AC33" s="22" t="n"/>
      <c r="AD33" s="22" t="n"/>
      <c r="AE33" s="22" t="n"/>
      <c r="AF33" s="22" t="n"/>
    </row>
    <row r="34">
      <c r="A34" s="21" t="n"/>
      <c r="B34" s="47" t="n">
        <v>28</v>
      </c>
      <c r="C34" s="44" t="inlineStr">
        <is>
          <t>WWF-Brasil</t>
        </is>
      </c>
      <c r="D34" s="44" t="inlineStr">
        <is>
          <t>Civil Society Organization (CSO)</t>
        </is>
      </c>
      <c r="E34" s="62" t="inlineStr">
        <is>
          <t>Local implementers</t>
        </is>
      </c>
      <c r="F34" s="44" t="inlineStr">
        <is>
          <t>A Brazilian NGO dedicated to conserving life and promoting a future in which society and nature live in harmony; it contributes through advocacy, projects, social mobilization, and influence on supply chains and public policy.</t>
        </is>
      </c>
      <c r="G34" s="46" t="inlineStr">
        <is>
          <t>Cross-border / international</t>
        </is>
      </c>
      <c r="H34" s="47" t="inlineStr">
        <is>
          <t>"Land, Food and Forest"</t>
        </is>
      </c>
      <c r="I34" s="60" t="inlineStr">
        <is>
          <t>Amazonia, Cerrado</t>
        </is>
      </c>
      <c r="J34" s="62" t="inlineStr">
        <is>
          <t>Pantanal, Mata&amp;Atlântica</t>
        </is>
      </c>
      <c r="K34" s="62" t="inlineStr">
        <is>
          <t>High visibility campaigns and projects frequently center on Amazonia and Cerrado. Pantanal and Mata Atlântica remain relevant through water, biodiversity and climate risk agendas in a secondary layer.</t>
        </is>
      </c>
      <c r="L34" s="62" t="inlineStr">
        <is>
          <t>Strategic partner, Project developer / Implementer, Policy influence / regulation</t>
        </is>
      </c>
      <c r="M34" s="61" t="inlineStr">
        <is>
          <t>Midstream</t>
        </is>
      </c>
      <c r="N34" s="61" t="inlineStr">
        <is>
          <t>Grant recipient</t>
        </is>
      </c>
      <c r="O34" s="61" t="inlineStr">
        <is>
          <t>Brasília, DF, Brazil</t>
        </is>
      </c>
      <c r="P34" s="62" t="inlineStr">
        <is>
          <t>Grantee</t>
        </is>
      </c>
      <c r="Q34" s="61" t="n"/>
      <c r="R34" s="61" t="n"/>
      <c r="S34" s="62" t="n"/>
      <c r="T34" s="62" t="inlineStr">
        <is>
          <t>—</t>
        </is>
      </c>
      <c r="U34" s="22" t="n"/>
      <c r="V34" s="22" t="n"/>
      <c r="W34" s="22" t="n"/>
      <c r="X34" s="22" t="n"/>
      <c r="Y34" s="22" t="n"/>
      <c r="Z34" s="22" t="n"/>
      <c r="AA34" s="22" t="n"/>
      <c r="AB34" s="22" t="n"/>
      <c r="AC34" s="22" t="n"/>
      <c r="AD34" s="22" t="n"/>
      <c r="AE34" s="22" t="n"/>
      <c r="AF34" s="22" t="n"/>
    </row>
    <row r="35">
      <c r="A35" s="21" t="n"/>
      <c r="B35" s="47" t="n">
        <v>29</v>
      </c>
      <c r="C35" s="44" t="inlineStr">
        <is>
          <t>WRI Brasil</t>
        </is>
      </c>
      <c r="D35" s="44" t="inlineStr">
        <is>
          <t>Civil Society Organization (CSO)</t>
        </is>
      </c>
      <c r="E35" s="62" t="inlineStr">
        <is>
          <t>Monitoring, Evaluation, and Learning</t>
        </is>
      </c>
      <c r="F35" s="44" t="inlineStr">
        <is>
          <t>A non-profit applied research and convening institution that turns evidence into action on climate, forests, cities, and land use; it supports public policy, planning, and implementation of low-carbon solutions through multi-stakeholder partnerships.</t>
        </is>
      </c>
      <c r="G35" s="46" t="inlineStr">
        <is>
          <t>Cross-border / international</t>
        </is>
      </c>
      <c r="H35" s="47" t="inlineStr">
        <is>
          <t>Buildings &amp; Transport, Energy, "Land, Food and Forest"</t>
        </is>
      </c>
      <c r="I35" s="48" t="inlineStr">
        <is>
          <t>Amazonia, Caatinga, Cerrado</t>
        </is>
      </c>
      <c r="J35" s="62" t="inlineStr">
        <is>
          <t>Mata&amp;Atlântica</t>
        </is>
      </c>
      <c r="K35" s="62" t="inlineStr">
        <is>
          <t>Evidence to action work often focuses on land use and transition challenges most salient in Amazonia, Cerrado and Caatinga. Mata Atlântica appears through cities, infrastructure and policy work that intersects that biome footprint.</t>
        </is>
      </c>
      <c r="L35" s="62" t="inlineStr">
        <is>
          <t>Strategic partner, Technical assistance / research, Policy influence / regulation</t>
        </is>
      </c>
      <c r="M35" s="61" t="inlineStr">
        <is>
          <t>Upstream</t>
        </is>
      </c>
      <c r="N35" s="61" t="inlineStr">
        <is>
          <t>Grant recipient</t>
        </is>
      </c>
      <c r="O35" s="61" t="inlineStr">
        <is>
          <t>São Paulo, SP, Brazil</t>
        </is>
      </c>
      <c r="P35" s="62" t="inlineStr">
        <is>
          <t>Grantee</t>
        </is>
      </c>
      <c r="Q35" s="61" t="n"/>
      <c r="R35" s="61" t="n"/>
      <c r="S35" s="62" t="n"/>
      <c r="T35" s="62" t="inlineStr">
        <is>
          <t>Evidence-based research, data platforms and evaluation of climate and land-use policies</t>
        </is>
      </c>
      <c r="U35" s="22" t="n"/>
      <c r="V35" s="22" t="n"/>
      <c r="W35" s="22" t="n"/>
      <c r="X35" s="22" t="n"/>
      <c r="Y35" s="22" t="n"/>
      <c r="Z35" s="22" t="n"/>
      <c r="AA35" s="22" t="n"/>
      <c r="AB35" s="22" t="n"/>
      <c r="AC35" s="22" t="n"/>
      <c r="AD35" s="22" t="n"/>
      <c r="AE35" s="22" t="n"/>
      <c r="AF35" s="22" t="n"/>
    </row>
    <row r="36">
      <c r="A36" s="21" t="n"/>
      <c r="B36" s="47" t="n">
        <v>30</v>
      </c>
      <c r="C36" s="44" t="inlineStr">
        <is>
          <t>Fundação SOS Mata Atlântica</t>
        </is>
      </c>
      <c r="D36" s="44" t="inlineStr">
        <is>
          <t>Funders</t>
        </is>
      </c>
      <c r="E36" s="62" t="inlineStr">
        <is>
          <t>Monitoring, Evaluation, and Learning</t>
        </is>
      </c>
      <c r="F36" s="44" t="inlineStr">
        <is>
          <t>A Brazilian environmental NGO whose mission is to inspire society to defend the Atlantic Forest; it works through monitoring, studies, demonstration projects, communication, and advocacy in public policy and territorial governance.</t>
        </is>
      </c>
      <c r="G36" s="46" t="inlineStr">
        <is>
          <t>National</t>
        </is>
      </c>
      <c r="H36" s="47" t="inlineStr">
        <is>
          <t>"Land, Food and Forest"</t>
        </is>
      </c>
      <c r="I36" s="48" t="n"/>
      <c r="J36" s="62" t="inlineStr">
        <is>
          <t>Mata&amp;Atlântica</t>
        </is>
      </c>
      <c r="K36" s="62" t="inlineStr">
        <is>
          <t>Mission, monitoring and advocacy are explicitly dedicated to Mata Atlântica. This single biome focus is consistent across programs and public positioning.</t>
        </is>
      </c>
      <c r="L36" s="62" t="inlineStr">
        <is>
          <t>Policy influence / regulation, Implementation capacity (delivery)</t>
        </is>
      </c>
      <c r="M36" s="61" t="inlineStr">
        <is>
          <t>Midstream</t>
        </is>
      </c>
      <c r="N36" s="61" t="inlineStr">
        <is>
          <t>Grant recipient</t>
        </is>
      </c>
      <c r="O36" s="61" t="inlineStr">
        <is>
          <t>São Paulo, SP, Brazil</t>
        </is>
      </c>
      <c r="P36" s="62" t="inlineStr">
        <is>
          <t>Grantee</t>
        </is>
      </c>
      <c r="Q36" s="61" t="n"/>
      <c r="R36" s="61" t="n"/>
      <c r="S36" s="62" t="n"/>
      <c r="T36" s="62" t="inlineStr">
        <is>
          <t>Environmental monitoring of Atlantic Forest; deforestation tracking and advocacy indicators</t>
        </is>
      </c>
      <c r="U36" s="22" t="n"/>
      <c r="V36" s="22" t="n"/>
      <c r="W36" s="22" t="n"/>
      <c r="X36" s="22" t="n"/>
      <c r="Y36" s="22" t="n"/>
      <c r="Z36" s="22" t="n"/>
      <c r="AA36" s="22" t="n"/>
      <c r="AB36" s="22" t="n"/>
      <c r="AC36" s="22" t="n"/>
      <c r="AD36" s="22" t="n"/>
      <c r="AE36" s="22" t="n"/>
      <c r="AF36" s="22" t="n"/>
    </row>
    <row r="37">
      <c r="A37" s="21" t="n"/>
      <c r="B37" s="47" t="n">
        <v>31</v>
      </c>
      <c r="C37" s="44" t="inlineStr">
        <is>
          <t>Empresa Brasileira de Pesquisa Agropecuária (Embrapa)</t>
        </is>
      </c>
      <c r="D37" s="44" t="inlineStr">
        <is>
          <t>Public sector</t>
        </is>
      </c>
      <c r="E37" s="62" t="inlineStr">
        <is>
          <t>Research centers</t>
        </is>
      </c>
      <c r="F37" s="44" t="inlineStr">
        <is>
          <t>A federal public company for agricultural R&amp;D; it contributes to systemic transition through innovation and technology diffusion for sustainable agriculture, climate adaptation, productivity, and reduced environmental impacts.</t>
        </is>
      </c>
      <c r="G37" s="46" t="inlineStr">
        <is>
          <t>National</t>
        </is>
      </c>
      <c r="H37" s="47" t="inlineStr">
        <is>
          <t>"Land, Food and Forest"</t>
        </is>
      </c>
      <c r="I37" s="48" t="inlineStr">
        <is>
          <t>Amazonia, Caatinga, Cerrado</t>
        </is>
      </c>
      <c r="J37" s="62" t="inlineStr">
        <is>
          <t>Mata&amp;Atlântica, Pantanal, Pampa, Coastal&amp;maritime</t>
        </is>
      </c>
      <c r="K37" s="62" t="inlineStr">
        <is>
          <t>National agricultural research network with core innovation and adaptation agendas strongly present in Cerrado, Caatinga and Amazonia. Other biomes are covered institutionally but are less central in the most recurrent transition narratives.</t>
        </is>
      </c>
      <c r="L37" s="62" t="inlineStr">
        <is>
          <t>Technical assistance / research, Territorial anchor</t>
        </is>
      </c>
      <c r="M37" s="61" t="inlineStr">
        <is>
          <t>Upstream</t>
        </is>
      </c>
      <c r="N37" s="61" t="inlineStr">
        <is>
          <t>Strategic partner</t>
        </is>
      </c>
      <c r="O37" s="61" t="inlineStr">
        <is>
          <t>Brasília, DF, Brazil</t>
        </is>
      </c>
      <c r="P37" s="62" t="inlineStr">
        <is>
          <t>Grantee</t>
        </is>
      </c>
      <c r="Q37" s="61" t="n"/>
      <c r="R37" s="61" t="n"/>
      <c r="S37" s="62" t="n"/>
      <c r="T37" s="62" t="inlineStr">
        <is>
          <t>—</t>
        </is>
      </c>
      <c r="U37" s="22" t="n"/>
      <c r="V37" s="22" t="n"/>
      <c r="W37" s="22" t="n"/>
      <c r="X37" s="22" t="n"/>
      <c r="Y37" s="22" t="n"/>
      <c r="Z37" s="22" t="n"/>
      <c r="AA37" s="22" t="n"/>
      <c r="AB37" s="22" t="n"/>
      <c r="AC37" s="22" t="n"/>
      <c r="AD37" s="22" t="n"/>
      <c r="AE37" s="22" t="n"/>
      <c r="AF37" s="22" t="n"/>
    </row>
    <row r="38">
      <c r="A38" s="21" t="n"/>
      <c r="B38" s="47" t="n">
        <v>32</v>
      </c>
      <c r="C38" s="44" t="inlineStr">
        <is>
          <t>Sistema S</t>
        </is>
      </c>
      <c r="D38" s="44" t="inlineStr">
        <is>
          <t>Others</t>
        </is>
      </c>
      <c r="E38" s="62" t="inlineStr">
        <is>
          <t>Industry platforms and sectoral initiatives</t>
        </is>
      </c>
      <c r="F38" s="44" t="inlineStr">
        <is>
          <t>A set of entities providing vocational training and public-interest services (e.g., SENAI, SESI, SESC, SENAC, etc.) financed through sectoral contributions; it contributes to the transition through training, reskilling, and innovation for work and productivity in strategic sectors.</t>
        </is>
      </c>
      <c r="G38" s="46" t="inlineStr">
        <is>
          <t>National</t>
        </is>
      </c>
      <c r="H38" s="47" t="inlineStr">
        <is>
          <t>Buildings &amp; Transport, Energy</t>
        </is>
      </c>
      <c r="I38" s="48" t="n"/>
      <c r="J38" s="62" t="n"/>
      <c r="K38" s="62" t="inlineStr">
        <is>
          <t>Delivery model is based on training networks, sectoral services and local units. Programs are not defined by biomes, so biome tagging is not operationally meaningful.</t>
        </is>
      </c>
      <c r="L38" s="62" t="inlineStr">
        <is>
          <t>Implementation capacity (delivery), Technical assistance / research</t>
        </is>
      </c>
      <c r="M38" s="61" t="inlineStr">
        <is>
          <t>Midstream</t>
        </is>
      </c>
      <c r="N38" s="61" t="inlineStr">
        <is>
          <t>Strategic partner</t>
        </is>
      </c>
      <c r="O38" s="61" t="inlineStr">
        <is>
          <t>Brasília, DF, Brazil</t>
        </is>
      </c>
      <c r="P38" s="62" t="inlineStr">
        <is>
          <t>Grantee</t>
        </is>
      </c>
      <c r="Q38" s="61" t="n"/>
      <c r="R38" s="61" t="n"/>
      <c r="S38" s="62" t="n"/>
      <c r="T38" s="62" t="inlineStr">
        <is>
          <t>—</t>
        </is>
      </c>
      <c r="U38" s="22" t="n"/>
      <c r="V38" s="22" t="n"/>
      <c r="W38" s="22" t="n"/>
      <c r="X38" s="22" t="n"/>
      <c r="Y38" s="22" t="n"/>
      <c r="Z38" s="22" t="n"/>
      <c r="AA38" s="22" t="n"/>
      <c r="AB38" s="22" t="n"/>
      <c r="AC38" s="22" t="n"/>
      <c r="AD38" s="22" t="n"/>
      <c r="AE38" s="22" t="n"/>
      <c r="AF38" s="22" t="n"/>
    </row>
    <row r="39">
      <c r="A39" s="21" t="n"/>
      <c r="B39" s="47" t="n">
        <v>33</v>
      </c>
      <c r="C39" s="44" t="inlineStr">
        <is>
          <t>Instituto Brasileiro do Meio Ambiente e dos Recursos Naturais Renováveis (Ibama)</t>
        </is>
      </c>
      <c r="D39" s="44" t="inlineStr">
        <is>
          <t>Public sector</t>
        </is>
      </c>
      <c r="E39" s="62" t="inlineStr">
        <is>
          <t>Public agencies and regulators</t>
        </is>
      </c>
      <c r="F39" s="44" t="inlineStr">
        <is>
          <t>A federal agency responsible for environmental enforcement and control; it contributes to systemic transition through regulation, licensing, monitoring, combating environmental crimes, and inducing socio-environmental compliance.</t>
        </is>
      </c>
      <c r="G39" s="46" t="inlineStr">
        <is>
          <t>National</t>
        </is>
      </c>
      <c r="H39" s="47" t="inlineStr">
        <is>
          <t>Energy, "Land, Food and Forest"</t>
        </is>
      </c>
      <c r="I39" s="48" t="inlineStr">
        <is>
          <t>Amazonia, Caatinga, Cerrado</t>
        </is>
      </c>
      <c r="J39" s="62" t="inlineStr">
        <is>
          <t>Mata&amp;Atlântica, Pantanal, Pampa, Coastal&amp;maritime</t>
        </is>
      </c>
      <c r="K39" s="62" t="inlineStr">
        <is>
          <t>National enforcement and licensing mandate covers all biomes, but pressure hotspots make Amazonia, Cerrado and Caatinga the most recurrent references. Remaining biomes are still within scope, yet not a distinctive program delimitation.</t>
        </is>
      </c>
      <c r="L39" s="62" t="inlineStr">
        <is>
          <t>Policy influence / regulation, Territorial anchor</t>
        </is>
      </c>
      <c r="M39" s="61" t="inlineStr">
        <is>
          <t>Upstream</t>
        </is>
      </c>
      <c r="N39" s="61" t="inlineStr">
        <is>
          <t>Strategic partner</t>
        </is>
      </c>
      <c r="O39" s="61" t="inlineStr">
        <is>
          <t>Brasília, DF, Brazil</t>
        </is>
      </c>
      <c r="P39" s="62" t="inlineStr">
        <is>
          <t>Grantee</t>
        </is>
      </c>
      <c r="Q39" s="61" t="n"/>
      <c r="R39" s="61" t="n"/>
      <c r="S39" s="62" t="n"/>
      <c r="T39" s="62" t="inlineStr">
        <is>
          <t>—</t>
        </is>
      </c>
      <c r="U39" s="22" t="n"/>
      <c r="V39" s="22" t="n"/>
      <c r="W39" s="22" t="n"/>
      <c r="X39" s="22" t="n"/>
      <c r="Y39" s="22" t="n"/>
      <c r="Z39" s="22" t="n"/>
      <c r="AA39" s="22" t="n"/>
      <c r="AB39" s="22" t="n"/>
      <c r="AC39" s="22" t="n"/>
      <c r="AD39" s="22" t="n"/>
      <c r="AE39" s="22" t="n"/>
      <c r="AF39" s="22" t="n"/>
    </row>
    <row r="40">
      <c r="A40" s="21" t="n"/>
      <c r="B40" s="47" t="n">
        <v>34</v>
      </c>
      <c r="C40" s="44" t="inlineStr">
        <is>
          <t>Instituto Chico Mendes de Conservação da Biodiversidade (ICMBio)</t>
        </is>
      </c>
      <c r="D40" s="44" t="inlineStr">
        <is>
          <t>Public sector</t>
        </is>
      </c>
      <c r="E40" s="62" t="inlineStr">
        <is>
          <t>Public agencies and regulators</t>
        </is>
      </c>
      <c r="F40" s="44" t="inlineStr">
        <is>
          <t>A federal agency responsible for managing and overseeing federal protected areas; it contributes through biodiversity protection, restoration, protected-area management, and implementation of conservation policies.</t>
        </is>
      </c>
      <c r="G40" s="46" t="inlineStr">
        <is>
          <t>National</t>
        </is>
      </c>
      <c r="H40" s="47" t="inlineStr">
        <is>
          <t>"Land, Food and Forest"</t>
        </is>
      </c>
      <c r="I40" s="48" t="inlineStr">
        <is>
          <t>Amazonia, Caatinga, Cerrado</t>
        </is>
      </c>
      <c r="J40" s="62" t="inlineStr">
        <is>
          <t>Mata&amp;Atlântica, Pantanal, Pampa, Coastal&amp;maritime</t>
        </is>
      </c>
      <c r="K40" s="62" t="inlineStr">
        <is>
          <t>Manages federal protected areas across all biomes by mandate. The primary tags reflect where protected area scale and conflict pressures are most pronounced, while other biomes remain part of nationwide coverage.</t>
        </is>
      </c>
      <c r="L40" s="62" t="inlineStr">
        <is>
          <t>Policy influence / regulation, Territorial anchor</t>
        </is>
      </c>
      <c r="M40" s="61" t="inlineStr">
        <is>
          <t>Upstream</t>
        </is>
      </c>
      <c r="N40" s="61" t="inlineStr">
        <is>
          <t>Strategic partner</t>
        </is>
      </c>
      <c r="O40" s="61" t="inlineStr">
        <is>
          <t>Brasília, DF, Brazil</t>
        </is>
      </c>
      <c r="P40" s="62" t="inlineStr">
        <is>
          <t>Grantee</t>
        </is>
      </c>
      <c r="Q40" s="61" t="n"/>
      <c r="R40" s="61" t="n"/>
      <c r="S40" s="62" t="n"/>
      <c r="T40" s="62" t="inlineStr">
        <is>
          <t>—</t>
        </is>
      </c>
      <c r="U40" s="22" t="n"/>
      <c r="V40" s="22" t="n"/>
      <c r="W40" s="22" t="n"/>
      <c r="X40" s="22" t="n"/>
      <c r="Y40" s="22" t="n"/>
      <c r="Z40" s="22" t="n"/>
      <c r="AA40" s="22" t="n"/>
      <c r="AB40" s="22" t="n"/>
      <c r="AC40" s="22" t="n"/>
      <c r="AD40" s="22" t="n"/>
      <c r="AE40" s="22" t="n"/>
      <c r="AF40" s="22" t="n"/>
    </row>
    <row r="41">
      <c r="A41" s="21" t="n"/>
      <c r="B41" s="47" t="n">
        <v>35</v>
      </c>
      <c r="C41" s="44" t="inlineStr">
        <is>
          <t>Instituto do Homem e Meio Ambiente da Amazônia (Imazon)</t>
        </is>
      </c>
      <c r="D41" s="44" t="inlineStr">
        <is>
          <t>Civil Society Organization (CSO)</t>
        </is>
      </c>
      <c r="E41" s="62" t="inlineStr">
        <is>
          <t>Monitoring, Evaluation, and Learning</t>
        </is>
      </c>
      <c r="F41" s="44" t="inlineStr">
        <is>
          <t>A non-profit scientific institution that produces research and solutions for forest conservation and socio-environmental development in the Amazon; it works with data, monitoring, policy evaluation, and projects.</t>
        </is>
      </c>
      <c r="G41" s="46" t="inlineStr">
        <is>
          <t>Regional</t>
        </is>
      </c>
      <c r="H41" s="47" t="inlineStr">
        <is>
          <t>"Land, Food and Forest"</t>
        </is>
      </c>
      <c r="I41" s="48" t="inlineStr">
        <is>
          <t>Amazonia</t>
        </is>
      </c>
      <c r="J41" s="62" t="n"/>
      <c r="K41" s="62" t="inlineStr">
        <is>
          <t>Research and monitoring are explicitly focused on Amazonia forest dynamics and governance. There is no recurring second biome portfolio line in the institute core work.</t>
        </is>
      </c>
      <c r="L41" s="62" t="inlineStr">
        <is>
          <t>Technical assistance / research, Data / MRV / platforms</t>
        </is>
      </c>
      <c r="M41" s="61" t="inlineStr">
        <is>
          <t>Upstream</t>
        </is>
      </c>
      <c r="N41" s="61" t="inlineStr">
        <is>
          <t>Grant recipient</t>
        </is>
      </c>
      <c r="O41" s="61" t="inlineStr">
        <is>
          <t>Belém, PA, Brazil</t>
        </is>
      </c>
      <c r="P41" s="62" t="inlineStr">
        <is>
          <t>Grantee</t>
        </is>
      </c>
      <c r="Q41" s="61" t="n"/>
      <c r="R41" s="61" t="n"/>
      <c r="S41" s="62" t="n"/>
      <c r="T41" s="62" t="inlineStr">
        <is>
          <t>Amazon deforestation monitoring, MRV data systems and policy evaluation (PRODES/SAD)</t>
        </is>
      </c>
      <c r="U41" s="22" t="n"/>
      <c r="V41" s="22" t="n"/>
      <c r="W41" s="22" t="n"/>
      <c r="X41" s="22" t="n"/>
      <c r="Y41" s="22" t="n"/>
      <c r="Z41" s="22" t="n"/>
      <c r="AA41" s="22" t="n"/>
      <c r="AB41" s="22" t="n"/>
      <c r="AC41" s="22" t="n"/>
      <c r="AD41" s="22" t="n"/>
      <c r="AE41" s="22" t="n"/>
      <c r="AF41" s="22" t="n"/>
    </row>
    <row r="42">
      <c r="A42" s="21" t="n"/>
      <c r="B42" s="47" t="n">
        <v>36</v>
      </c>
      <c r="C42" s="44" t="inlineStr">
        <is>
          <t>Fundação Amazonas Sustentável (FAS)</t>
        </is>
      </c>
      <c r="D42" s="44" t="inlineStr">
        <is>
          <t>Funders</t>
        </is>
      </c>
      <c r="E42" s="62" t="inlineStr">
        <is>
          <t>Local implementers</t>
        </is>
      </c>
      <c r="F42" s="44" t="inlineStr">
        <is>
          <t>A non-profit civil society organization working for sustainable development in the Amazon through community programs and multi-stakeholder partnerships; it contributes to the transition through conservation combined with productive inclusion and territorial strengthening.</t>
        </is>
      </c>
      <c r="G42" s="46" t="inlineStr">
        <is>
          <t>State-level</t>
        </is>
      </c>
      <c r="H42" s="47" t="inlineStr">
        <is>
          <t>"Land, Food and Forest"</t>
        </is>
      </c>
      <c r="I42" s="48" t="inlineStr">
        <is>
          <t>Amazonia</t>
        </is>
      </c>
      <c r="J42" s="62" t="n"/>
      <c r="K42" s="62" t="inlineStr">
        <is>
          <t>Community based conservation and livelihoods programs are designed for Amazonia territories. Territorial focus is stable and central to the operating model.</t>
        </is>
      </c>
      <c r="L42" s="62" t="inlineStr">
        <is>
          <t>Project developer / Implementer, Territorial anchor</t>
        </is>
      </c>
      <c r="M42" s="61" t="inlineStr">
        <is>
          <t>Midstream</t>
        </is>
      </c>
      <c r="N42" s="61" t="inlineStr">
        <is>
          <t>Grant recipient</t>
        </is>
      </c>
      <c r="O42" s="61" t="inlineStr">
        <is>
          <t>Manaus, AM, Brazil</t>
        </is>
      </c>
      <c r="P42" s="62" t="inlineStr">
        <is>
          <t>Grantee</t>
        </is>
      </c>
      <c r="Q42" s="61" t="n"/>
      <c r="R42" s="61" t="n"/>
      <c r="S42" s="62" t="n"/>
      <c r="T42" s="62" t="inlineStr">
        <is>
          <t>—</t>
        </is>
      </c>
      <c r="U42" s="22" t="n"/>
      <c r="V42" s="22" t="n"/>
      <c r="W42" s="22" t="n"/>
      <c r="X42" s="22" t="n"/>
      <c r="Y42" s="22" t="n"/>
      <c r="Z42" s="22" t="n"/>
      <c r="AA42" s="22" t="n"/>
      <c r="AB42" s="22" t="n"/>
      <c r="AC42" s="22" t="n"/>
      <c r="AD42" s="22" t="n"/>
      <c r="AE42" s="22" t="n"/>
      <c r="AF42" s="22" t="n"/>
    </row>
    <row r="43">
      <c r="A43" s="21" t="n"/>
      <c r="B43" s="47" t="n">
        <v>37</v>
      </c>
      <c r="C43" s="44" t="inlineStr">
        <is>
          <t>Instituto de Manejo e Certificação Florestal e Agrícola (Imaflora)</t>
        </is>
      </c>
      <c r="D43" s="44" t="inlineStr">
        <is>
          <t>Civil Society Organization (CSO)</t>
        </is>
      </c>
      <c r="E43" s="62" t="inlineStr">
        <is>
          <t>Monitoring, Evaluation, and Learning</t>
        </is>
      </c>
      <c r="F43" s="44" t="inlineStr">
        <is>
          <t>A non-profit civil association that promotes change in the agricultural and forestry sectors; it works with certifications, technical assistance, projects, and market/policy mechanisms for sustainable land use and emissions reduction.</t>
        </is>
      </c>
      <c r="G43" s="46" t="inlineStr">
        <is>
          <t>National</t>
        </is>
      </c>
      <c r="H43" s="47" t="inlineStr">
        <is>
          <t>"Land, Food and Forest"</t>
        </is>
      </c>
      <c r="I43" s="48" t="inlineStr">
        <is>
          <t>Amazonia, Caatinga, Cerrado</t>
        </is>
      </c>
      <c r="J43" s="62" t="inlineStr">
        <is>
          <t>Mata&amp;Atlântica, Pampa</t>
        </is>
      </c>
      <c r="K43" s="62" t="inlineStr">
        <is>
          <t>Certification and technical assistance in forest and agricultural supply chains are most recurrent in Amazonia and Cerrado, with added relevance in Caatinga through land use and production systems. Mata Atlântica and Pampa appear through specific chains and operating footprints.</t>
        </is>
      </c>
      <c r="L43" s="62" t="inlineStr">
        <is>
          <t>Technical assistance / research, Data / MRV / platforms</t>
        </is>
      </c>
      <c r="M43" s="61" t="inlineStr">
        <is>
          <t>Upstream</t>
        </is>
      </c>
      <c r="N43" s="61" t="inlineStr">
        <is>
          <t>Grant recipient</t>
        </is>
      </c>
      <c r="O43" s="61" t="inlineStr">
        <is>
          <t>Piracicaba, SP, Brazil</t>
        </is>
      </c>
      <c r="P43" s="62" t="inlineStr">
        <is>
          <t>Grantee</t>
        </is>
      </c>
      <c r="Q43" s="61" t="n"/>
      <c r="R43" s="61" t="n"/>
      <c r="S43" s="62" t="n"/>
      <c r="T43" s="62" t="inlineStr">
        <is>
          <t>Carbon monitoring, socio-environmental certification and MRV for agricultural/forest supply chains</t>
        </is>
      </c>
      <c r="U43" s="22" t="n"/>
      <c r="V43" s="22" t="n"/>
      <c r="W43" s="22" t="n"/>
      <c r="X43" s="22" t="n"/>
      <c r="Y43" s="22" t="n"/>
      <c r="Z43" s="22" t="n"/>
      <c r="AA43" s="22" t="n"/>
      <c r="AB43" s="22" t="n"/>
      <c r="AC43" s="22" t="n"/>
      <c r="AD43" s="22" t="n"/>
      <c r="AE43" s="22" t="n"/>
      <c r="AF43" s="22" t="n"/>
    </row>
    <row r="44">
      <c r="A44" s="21" t="n"/>
      <c r="B44" s="47" t="n">
        <v>38</v>
      </c>
      <c r="C44" s="44" t="inlineStr">
        <is>
          <t>Fundação Roberto Marinho</t>
        </is>
      </c>
      <c r="D44" s="44" t="inlineStr">
        <is>
          <t>Funders</t>
        </is>
      </c>
      <c r="E44" s="62" t="inlineStr">
        <is>
          <t>Philanthropy foundations</t>
        </is>
      </c>
      <c r="F44" s="44" t="inlineStr">
        <is>
          <t>A private foundation that runs projects in education, culture, heritage, and the environment; it contributes to the transition through educational innovation, communication/engagement, and capacity building for sustainable development.</t>
        </is>
      </c>
      <c r="G44" s="46" t="inlineStr">
        <is>
          <t>National</t>
        </is>
      </c>
      <c r="H44" s="47" t="inlineStr">
        <is>
          <t>Buildings &amp; Transport, "Land, Food and Forest"</t>
        </is>
      </c>
      <c r="I44" s="48" t="n"/>
      <c r="J44" s="62" t="n"/>
      <c r="K44" s="62" t="inlineStr">
        <is>
          <t>Portfolio is broad and partnership driven across education and culture, with variable environmental projects. No stable biome based program boundary is consistently identifiable from this entry.</t>
        </is>
      </c>
      <c r="L44" s="62" t="inlineStr">
        <is>
          <t>Convenor/enablers, Implementation capacity (delivery)</t>
        </is>
      </c>
      <c r="M44" s="61" t="inlineStr">
        <is>
          <t>Midstream</t>
        </is>
      </c>
      <c r="N44" s="61" t="inlineStr">
        <is>
          <t>Strategic partner</t>
        </is>
      </c>
      <c r="O44" s="61" t="inlineStr">
        <is>
          <t>Rio de Janeiro, RJ, Brazil</t>
        </is>
      </c>
      <c r="P44" s="62" t="inlineStr">
        <is>
          <t>Re-granter</t>
        </is>
      </c>
      <c r="Q44" s="61" t="inlineStr">
        <is>
          <t>João Alegria (CEO)</t>
        </is>
      </c>
      <c r="R44" s="55" t="inlineStr">
        <is>
          <t>https://www.frm.org.br/</t>
        </is>
      </c>
      <c r="S44" s="62" t="inlineStr">
        <is>
          <t>Could be a relevant partner to work on capacity building of vulnerable communities in Brazil.  They Work  in the whole country. Great capilarity</t>
        </is>
      </c>
      <c r="T44" s="62" t="inlineStr">
        <is>
          <t>—</t>
        </is>
      </c>
      <c r="U44" s="22" t="n"/>
      <c r="V44" s="22" t="n"/>
      <c r="W44" s="22" t="n"/>
      <c r="X44" s="22" t="n"/>
      <c r="Y44" s="22" t="n"/>
      <c r="Z44" s="22" t="n"/>
      <c r="AA44" s="22" t="n"/>
      <c r="AB44" s="22" t="n"/>
      <c r="AC44" s="22" t="n"/>
      <c r="AD44" s="22" t="n"/>
      <c r="AE44" s="22" t="n"/>
      <c r="AF44" s="22" t="n"/>
    </row>
    <row r="45">
      <c r="A45" s="21" t="n"/>
      <c r="B45" s="47" t="n">
        <v>39</v>
      </c>
      <c r="C45" s="44" t="inlineStr">
        <is>
          <t>Instituto de Pesquisa Econômica Aplicada (Ipea)</t>
        </is>
      </c>
      <c r="D45" s="44" t="inlineStr">
        <is>
          <t>Public sector</t>
        </is>
      </c>
      <c r="E45" s="62" t="inlineStr">
        <is>
          <t>Monitoring, Evaluation, and Learning</t>
        </is>
      </c>
      <c r="F45" s="44" t="inlineStr">
        <is>
          <t>A federal public research foundation that provides technical support for the formulation and evaluation of public policies; it contributes through evidence, indicators, and economic analysis to design and improve transition and development agendas.</t>
        </is>
      </c>
      <c r="G45" s="46" t="inlineStr">
        <is>
          <t>National</t>
        </is>
      </c>
      <c r="H45" s="47" t="n"/>
      <c r="I45" s="48" t="n"/>
      <c r="J45" s="62" t="n"/>
      <c r="K45" s="62" t="inlineStr">
        <is>
          <t>Produces national policy research, indicators and evaluation with sector based framing. Biomes are not used as the primary unit to organize outputs or operations.</t>
        </is>
      </c>
      <c r="L45" s="62" t="inlineStr">
        <is>
          <t>Technical assistance / research, Policy influence / regulation</t>
        </is>
      </c>
      <c r="M45" s="61" t="inlineStr">
        <is>
          <t>Upstream</t>
        </is>
      </c>
      <c r="N45" s="61" t="inlineStr">
        <is>
          <t>Strategic partner</t>
        </is>
      </c>
      <c r="O45" s="61" t="inlineStr">
        <is>
          <t>Brasília, DF, Brazil</t>
        </is>
      </c>
      <c r="P45" s="62" t="inlineStr">
        <is>
          <t>Grantee</t>
        </is>
      </c>
      <c r="Q45" s="61" t="n"/>
      <c r="R45" s="61" t="n"/>
      <c r="S45" s="62" t="n"/>
      <c r="T45" s="62" t="inlineStr">
        <is>
          <t>Public policy evaluation, socioeconomic indicators and evidence for low-carbon transitions</t>
        </is>
      </c>
      <c r="U45" s="22" t="n"/>
      <c r="V45" s="22" t="n"/>
      <c r="W45" s="22" t="n"/>
      <c r="X45" s="22" t="n"/>
      <c r="Y45" s="22" t="n"/>
      <c r="Z45" s="22" t="n"/>
      <c r="AA45" s="22" t="n"/>
      <c r="AB45" s="22" t="n"/>
      <c r="AC45" s="22" t="n"/>
      <c r="AD45" s="22" t="n"/>
      <c r="AE45" s="22" t="n"/>
      <c r="AF45" s="22" t="n"/>
    </row>
    <row r="46">
      <c r="A46" s="21" t="n"/>
      <c r="B46" s="47" t="n">
        <v>40</v>
      </c>
      <c r="C46" s="44" t="inlineStr">
        <is>
          <t>Escola Nacional de Administração Pública (ENAP)</t>
        </is>
      </c>
      <c r="D46" s="44" t="inlineStr">
        <is>
          <t>Public sector</t>
        </is>
      </c>
      <c r="E46" s="62" t="inlineStr">
        <is>
          <t>Public agencies and regulators</t>
        </is>
      </c>
      <c r="F46" s="44" t="inlineStr">
        <is>
          <t>Federal school of government that trains civil servants, promotes innovation in public management, and strengthens state capacity for policy design, implementation, and evaluation.</t>
        </is>
      </c>
      <c r="G46" s="46" t="inlineStr">
        <is>
          <t>National</t>
        </is>
      </c>
      <c r="H46" s="47" t="n"/>
      <c r="I46" s="48" t="n"/>
      <c r="J46" s="62" t="n"/>
      <c r="K46" s="62" t="inlineStr">
        <is>
          <t>Civil service training and innovation in public management are national and institution focused. Territorial framing follows government levels, not biome ecosystems.</t>
        </is>
      </c>
      <c r="L46" s="62" t="inlineStr">
        <is>
          <t>Technical assistance / research, Policy influence / regulation</t>
        </is>
      </c>
      <c r="M46" s="61" t="inlineStr">
        <is>
          <t>Upstream</t>
        </is>
      </c>
      <c r="N46" s="61" t="inlineStr">
        <is>
          <t>Strategic partner</t>
        </is>
      </c>
      <c r="O46" s="61" t="inlineStr">
        <is>
          <t>Brasília, DF, Brazil</t>
        </is>
      </c>
      <c r="P46" s="62" t="inlineStr">
        <is>
          <t>Grantee</t>
        </is>
      </c>
      <c r="Q46" s="61" t="n"/>
      <c r="R46" s="61" t="n"/>
      <c r="S46" s="62" t="n"/>
      <c r="T46" s="62" t="inlineStr">
        <is>
          <t>—</t>
        </is>
      </c>
      <c r="U46" s="22" t="n"/>
      <c r="V46" s="22" t="n"/>
      <c r="W46" s="22" t="n"/>
      <c r="X46" s="22" t="n"/>
      <c r="Y46" s="22" t="n"/>
      <c r="Z46" s="22" t="n"/>
      <c r="AA46" s="22" t="n"/>
      <c r="AB46" s="22" t="n"/>
      <c r="AC46" s="22" t="n"/>
      <c r="AD46" s="22" t="n"/>
      <c r="AE46" s="22" t="n"/>
      <c r="AF46" s="22" t="n"/>
    </row>
    <row r="47">
      <c r="A47" s="21" t="n"/>
      <c r="B47" s="47" t="n">
        <v>41</v>
      </c>
      <c r="C47" s="44" t="inlineStr">
        <is>
          <t>Instituto Serzedello Corrêa (ISC/TCU)</t>
        </is>
      </c>
      <c r="D47" s="44" t="inlineStr">
        <is>
          <t>Public sector</t>
        </is>
      </c>
      <c r="E47" s="62" t="inlineStr">
        <is>
          <t>Public agencies and regulators</t>
        </is>
      </c>
      <c r="F47" s="44" t="inlineStr">
        <is>
          <t>TCU’s training and knowledge institute focused on improving public governance, accountability, integrity, and oversight through education, research, and dissemination of best practices.</t>
        </is>
      </c>
      <c r="G47" s="46" t="inlineStr">
        <is>
          <t>National</t>
        </is>
      </c>
      <c r="H47" s="47" t="inlineStr">
        <is>
          <t>Buildings &amp; Transport, Energy, "Land, Food and Forest"</t>
        </is>
      </c>
      <c r="I47" s="48" t="n"/>
      <c r="J47" s="62" t="n"/>
      <c r="K47" s="62" t="inlineStr">
        <is>
          <t>Strengthens governance and oversight through training and knowledge products. Work is transversal and not organized as place based biome initiatives.</t>
        </is>
      </c>
      <c r="L47" s="62" t="inlineStr">
        <is>
          <t>Technical assistance / research, Policy influence / regulation</t>
        </is>
      </c>
      <c r="M47" s="61" t="inlineStr">
        <is>
          <t>Upstream</t>
        </is>
      </c>
      <c r="N47" s="61" t="inlineStr">
        <is>
          <t>Strategic partner</t>
        </is>
      </c>
      <c r="O47" s="61" t="inlineStr">
        <is>
          <t>Brasília, DF, Brazil</t>
        </is>
      </c>
      <c r="P47" s="62" t="inlineStr">
        <is>
          <t>Grantee</t>
        </is>
      </c>
      <c r="Q47" s="61" t="n"/>
      <c r="R47" s="61" t="n"/>
      <c r="S47" s="62" t="n"/>
      <c r="T47" s="62" t="inlineStr">
        <is>
          <t>—</t>
        </is>
      </c>
      <c r="U47" s="22" t="n"/>
      <c r="V47" s="22" t="n"/>
      <c r="W47" s="22" t="n"/>
      <c r="X47" s="22" t="n"/>
      <c r="Y47" s="22" t="n"/>
      <c r="Z47" s="22" t="n"/>
      <c r="AA47" s="22" t="n"/>
      <c r="AB47" s="22" t="n"/>
      <c r="AC47" s="22" t="n"/>
      <c r="AD47" s="22" t="n"/>
      <c r="AE47" s="22" t="n"/>
      <c r="AF47" s="22" t="n"/>
    </row>
    <row r="48">
      <c r="A48" s="21" t="n"/>
      <c r="B48" s="47" t="n">
        <v>42</v>
      </c>
      <c r="C48" s="44" t="inlineStr">
        <is>
          <t>Vale S.A.</t>
        </is>
      </c>
      <c r="D48" s="44" t="inlineStr">
        <is>
          <t>Private sector</t>
        </is>
      </c>
      <c r="E48" s="62" t="inlineStr">
        <is>
          <t>Private companies (large / leading)</t>
        </is>
      </c>
      <c r="F48" s="44" t="inlineStr">
        <is>
          <t>Global mining company; can influence systemic transition through responsible mining, decarbonization targets, supply-chain standards, territorial development investments, and stronger ESG governance.</t>
        </is>
      </c>
      <c r="G48" s="46" t="inlineStr">
        <is>
          <t>Cross-border / international</t>
        </is>
      </c>
      <c r="H48" s="47" t="inlineStr">
        <is>
          <t>Buildings &amp; Transport, Energy, "Land, Food and Forest"</t>
        </is>
      </c>
      <c r="I48" s="60" t="inlineStr">
        <is>
          <t>Amazonia, Cerrado</t>
        </is>
      </c>
      <c r="J48" s="62" t="inlineStr">
        <is>
          <t>Mata&amp;Atlântica</t>
        </is>
      </c>
      <c r="K48" s="62" t="inlineStr">
        <is>
          <t>Operational presence and risk exposure are significant in Amazonia and Cerrado, with additional material interfaces in Mata Atlântica states. Biome tagging reflects where footprint and supply chain dynamics concentrate.</t>
        </is>
      </c>
      <c r="L48" s="62" t="inlineStr">
        <is>
          <t>Strategic partner, Implementation capacity (delivery)</t>
        </is>
      </c>
      <c r="M48" s="61" t="inlineStr">
        <is>
          <t>Downstream</t>
        </is>
      </c>
      <c r="N48" s="61" t="inlineStr">
        <is>
          <t>Co-funding partner</t>
        </is>
      </c>
      <c r="O48" s="61" t="inlineStr">
        <is>
          <t>Rio de Janeiro, RJ, Brazil</t>
        </is>
      </c>
      <c r="P48" s="62" t="inlineStr">
        <is>
          <t>Donor</t>
        </is>
      </c>
      <c r="Q48" s="61" t="n"/>
      <c r="R48" s="61" t="n"/>
      <c r="S48" s="62" t="n"/>
      <c r="T48" s="62" t="inlineStr">
        <is>
          <t>—</t>
        </is>
      </c>
      <c r="U48" s="22" t="n"/>
      <c r="V48" s="22" t="n"/>
      <c r="W48" s="22" t="n"/>
      <c r="X48" s="22" t="n"/>
      <c r="Y48" s="22" t="n"/>
      <c r="Z48" s="22" t="n"/>
      <c r="AA48" s="22" t="n"/>
      <c r="AB48" s="22" t="n"/>
      <c r="AC48" s="22" t="n"/>
      <c r="AD48" s="22" t="n"/>
      <c r="AE48" s="22" t="n"/>
      <c r="AF48" s="22" t="n"/>
    </row>
    <row r="49">
      <c r="A49" s="21" t="n"/>
      <c r="B49" s="47" t="n">
        <v>43</v>
      </c>
      <c r="C49" s="44" t="inlineStr">
        <is>
          <t>Suzano S.A.</t>
        </is>
      </c>
      <c r="D49" s="44" t="inlineStr">
        <is>
          <t>Private sector</t>
        </is>
      </c>
      <c r="E49" s="62" t="inlineStr">
        <is>
          <t>Private companies (large / leading)</t>
        </is>
      </c>
      <c r="F49" s="44" t="inlineStr">
        <is>
          <t>Leading pulp and paper company; contributes via sustainable forestry, restoration and bioeconomy pathways, low-carbon product innovation, and responsible value chains.</t>
        </is>
      </c>
      <c r="G49" s="46" t="inlineStr">
        <is>
          <t>Cross-border / international</t>
        </is>
      </c>
      <c r="H49" s="47" t="inlineStr">
        <is>
          <t>Energy, "Land, Food and Forest"</t>
        </is>
      </c>
      <c r="I49" s="60" t="inlineStr">
        <is>
          <t>Amazonia, Cerrado</t>
        </is>
      </c>
      <c r="J49" s="62" t="inlineStr">
        <is>
          <t>Mata&amp;Atlântica</t>
        </is>
      </c>
      <c r="K49" s="62" t="inlineStr">
        <is>
          <t>Forestry and industrial landscapes connect strongly to Cerrado and Amazonia, with a sustained linkage to Mata Atlântica domains through assets and restoration agendas. The tags follow managed landscape concentration and reporting focus.</t>
        </is>
      </c>
      <c r="L49" s="62" t="inlineStr">
        <is>
          <t>Strategic partner, Implementation capacity (delivery)</t>
        </is>
      </c>
      <c r="M49" s="61" t="inlineStr">
        <is>
          <t>Downstream</t>
        </is>
      </c>
      <c r="N49" s="61" t="inlineStr">
        <is>
          <t>Co-funding partner</t>
        </is>
      </c>
      <c r="O49" s="61" t="inlineStr">
        <is>
          <t>São Paulo, SP, Brazil</t>
        </is>
      </c>
      <c r="P49" s="62" t="inlineStr">
        <is>
          <t>Donor</t>
        </is>
      </c>
      <c r="Q49" s="61" t="n"/>
      <c r="R49" s="61" t="n"/>
      <c r="S49" s="62" t="n"/>
      <c r="T49" s="62" t="inlineStr">
        <is>
          <t>—</t>
        </is>
      </c>
      <c r="U49" s="22" t="n"/>
      <c r="V49" s="22" t="n"/>
      <c r="W49" s="22" t="n"/>
      <c r="X49" s="22" t="n"/>
      <c r="Y49" s="22" t="n"/>
      <c r="Z49" s="22" t="n"/>
      <c r="AA49" s="22" t="n"/>
      <c r="AB49" s="22" t="n"/>
      <c r="AC49" s="22" t="n"/>
      <c r="AD49" s="22" t="n"/>
      <c r="AE49" s="22" t="n"/>
      <c r="AF49" s="22" t="n"/>
    </row>
    <row r="50">
      <c r="A50" s="21" t="n"/>
      <c r="B50" s="47" t="n">
        <v>44</v>
      </c>
      <c r="C50" s="44" t="inlineStr">
        <is>
          <t>Banco da Amazônia S.A. (BASA)</t>
        </is>
      </c>
      <c r="D50" s="44" t="inlineStr">
        <is>
          <t>Public sector</t>
        </is>
      </c>
      <c r="E50" s="62" t="inlineStr">
        <is>
          <t>Development banks</t>
        </is>
      </c>
      <c r="F50" s="44" t="inlineStr">
        <is>
          <t>Federal regional development bank focused on the Amazon; mobilizes credit and financial instruments for sustainable development, bioeconomy value chains, productive inclusion, and low-carbon land-use solutions.</t>
        </is>
      </c>
      <c r="G50" s="46" t="inlineStr">
        <is>
          <t>Regional</t>
        </is>
      </c>
      <c r="H50" s="47" t="inlineStr">
        <is>
          <t>Energy, "Land, Food and Forest"</t>
        </is>
      </c>
      <c r="I50" s="48" t="inlineStr">
        <is>
          <t>Amazonia</t>
        </is>
      </c>
      <c r="J50" s="62" t="n"/>
      <c r="K50" s="62" t="inlineStr">
        <is>
          <t>Institutional mandate and financial instruments are oriented to Amazonia development and bioeconomy. This creates a clear single biome anchor for territorial focus.</t>
        </is>
      </c>
      <c r="L50" s="62" t="inlineStr">
        <is>
          <t>Capital provider / Financial intermediary, Territorial anchor</t>
        </is>
      </c>
      <c r="M50" s="61" t="inlineStr">
        <is>
          <t>Midstream</t>
        </is>
      </c>
      <c r="N50" s="61" t="inlineStr">
        <is>
          <t>Co-funding partner</t>
        </is>
      </c>
      <c r="O50" s="61" t="inlineStr">
        <is>
          <t>Belém, PA, Brazil</t>
        </is>
      </c>
      <c r="P50" s="62" t="inlineStr">
        <is>
          <t>Re-granter</t>
        </is>
      </c>
      <c r="Q50" s="61" t="n"/>
      <c r="R50" s="61" t="n"/>
      <c r="S50" s="62" t="n"/>
      <c r="T50" s="62" t="inlineStr">
        <is>
          <t>—</t>
        </is>
      </c>
      <c r="U50" s="22" t="n"/>
      <c r="V50" s="22" t="n"/>
      <c r="W50" s="22" t="n"/>
      <c r="X50" s="22" t="n"/>
      <c r="Y50" s="22" t="n"/>
      <c r="Z50" s="22" t="n"/>
      <c r="AA50" s="22" t="n"/>
      <c r="AB50" s="22" t="n"/>
      <c r="AC50" s="22" t="n"/>
      <c r="AD50" s="22" t="n"/>
      <c r="AE50" s="22" t="n"/>
      <c r="AF50" s="22" t="n"/>
    </row>
    <row r="51">
      <c r="A51" s="21" t="n"/>
      <c r="B51" s="47" t="n">
        <v>45</v>
      </c>
      <c r="C51" s="44" t="inlineStr">
        <is>
          <t>Instituto de Conservação e Desenvolvimento Sustentável da Amazônia (IDESAM)</t>
        </is>
      </c>
      <c r="D51" s="44" t="inlineStr">
        <is>
          <t>Civil Society Organization (CSO)</t>
        </is>
      </c>
      <c r="E51" s="62" t="inlineStr">
        <is>
          <t>Local implementers</t>
        </is>
      </c>
      <c r="F51" s="44" t="inlineStr">
        <is>
          <t>Amazon-based NGO advancing conservation and sustainable development through territorial projects, sustainable value chains, and climate solutions (including finance mechanisms where applicable).</t>
        </is>
      </c>
      <c r="G51" s="46" t="inlineStr">
        <is>
          <t>National</t>
        </is>
      </c>
      <c r="H51" s="47" t="inlineStr">
        <is>
          <t>"Land, Food and Forest"</t>
        </is>
      </c>
      <c r="I51" s="48" t="inlineStr">
        <is>
          <t>Amazonia</t>
        </is>
      </c>
      <c r="J51" s="62" t="n"/>
      <c r="K51" s="62" t="inlineStr">
        <is>
          <t>Projects and value chains are consistently rooted in Amazonia territories and forest positive development. The organization identity and program design are explicitly Amazon focused.</t>
        </is>
      </c>
      <c r="L51" s="62" t="inlineStr">
        <is>
          <t>Project developer / Implementer, Technical assistance / research</t>
        </is>
      </c>
      <c r="M51" s="61" t="inlineStr">
        <is>
          <t>Downstream</t>
        </is>
      </c>
      <c r="N51" s="61" t="inlineStr">
        <is>
          <t>Grant recipient</t>
        </is>
      </c>
      <c r="O51" s="61" t="inlineStr">
        <is>
          <t>Manaus, AM, Brazil</t>
        </is>
      </c>
      <c r="P51" s="62" t="inlineStr">
        <is>
          <t>Grantee</t>
        </is>
      </c>
      <c r="Q51" s="61" t="inlineStr">
        <is>
          <t>Paola Bleicker (Executive Director)</t>
        </is>
      </c>
      <c r="R51" s="55" t="inlineStr">
        <is>
          <t>https://idesam.org/</t>
        </is>
      </c>
      <c r="S51" s="62" t="inlineStr">
        <is>
          <t>Relevant SIB partner in the Amazon.</t>
        </is>
      </c>
      <c r="T51" s="62" t="inlineStr">
        <is>
          <t>—</t>
        </is>
      </c>
      <c r="U51" s="22" t="n"/>
      <c r="V51" s="22" t="n"/>
      <c r="W51" s="22" t="n"/>
      <c r="X51" s="22" t="n"/>
      <c r="Y51" s="22" t="n"/>
      <c r="Z51" s="22" t="n"/>
      <c r="AA51" s="22" t="n"/>
      <c r="AB51" s="22" t="n"/>
      <c r="AC51" s="22" t="n"/>
      <c r="AD51" s="22" t="n"/>
      <c r="AE51" s="22" t="n"/>
      <c r="AF51" s="22" t="n"/>
    </row>
    <row r="52">
      <c r="A52" s="21" t="n"/>
      <c r="B52" s="47" t="n">
        <v>46</v>
      </c>
      <c r="C52" s="44" t="inlineStr">
        <is>
          <t>Sitawi Finanças do Bem</t>
        </is>
      </c>
      <c r="D52" s="44" t="inlineStr">
        <is>
          <t>Civil Society Organization (CSO)</t>
        </is>
      </c>
      <c r="E52" s="62" t="inlineStr">
        <is>
          <t>Impact investors</t>
        </is>
      </c>
      <c r="F52" s="44" t="inlineStr">
        <is>
          <t>Nonprofit that structures and manages impact finance mechanisms (e.g., funds, blended finance, governance of philanthropic/impact resources), connecting capital to measurable socio-environmental outcomes.</t>
        </is>
      </c>
      <c r="G52" s="46" t="inlineStr">
        <is>
          <t>National</t>
        </is>
      </c>
      <c r="H52" s="47" t="inlineStr">
        <is>
          <t>Buildings &amp; Transport, Energy, "Land, Food and Forest"</t>
        </is>
      </c>
      <c r="I52" s="48" t="n"/>
      <c r="J52" s="62" t="n"/>
      <c r="K52" s="62" t="inlineStr">
        <is>
          <t>Structures impact finance and governance mechanisms across themes and sectors. Geographic reach depends on deals and partners, so no stable biome specific allocation logic is evident.</t>
        </is>
      </c>
      <c r="L52" s="62" t="inlineStr">
        <is>
          <t>Capital provider / Financial intermediary, Project developer / Implementer</t>
        </is>
      </c>
      <c r="M52" s="61" t="inlineStr">
        <is>
          <t>Midstream</t>
        </is>
      </c>
      <c r="N52" s="61" t="inlineStr">
        <is>
          <t>Grant recipient</t>
        </is>
      </c>
      <c r="O52" s="61" t="inlineStr">
        <is>
          <t>São Paulo, SP, Brazil</t>
        </is>
      </c>
      <c r="P52" s="62" t="inlineStr">
        <is>
          <t>Re-granter</t>
        </is>
      </c>
      <c r="Q52" s="61" t="n"/>
      <c r="R52" s="61" t="n"/>
      <c r="S52" s="62" t="n"/>
      <c r="T52" s="62" t="inlineStr">
        <is>
          <t>—</t>
        </is>
      </c>
      <c r="U52" s="22" t="n"/>
      <c r="V52" s="22" t="n"/>
      <c r="W52" s="22" t="n"/>
      <c r="X52" s="22" t="n"/>
      <c r="Y52" s="22" t="n"/>
      <c r="Z52" s="22" t="n"/>
      <c r="AA52" s="22" t="n"/>
      <c r="AB52" s="22" t="n"/>
      <c r="AC52" s="22" t="n"/>
      <c r="AD52" s="22" t="n"/>
      <c r="AE52" s="22" t="n"/>
      <c r="AF52" s="22" t="n"/>
    </row>
    <row r="53">
      <c r="A53" s="21" t="n"/>
      <c r="B53" s="47" t="n">
        <v>47</v>
      </c>
      <c r="C53" s="44" t="inlineStr">
        <is>
          <t>Din4mo</t>
        </is>
      </c>
      <c r="D53" s="44" t="inlineStr">
        <is>
          <t>Private sector</t>
        </is>
      </c>
      <c r="E53" s="62" t="inlineStr">
        <is>
          <t>Impact investors</t>
        </is>
      </c>
      <c r="F53" s="44" t="inlineStr">
        <is>
          <t>Impact investor/venture builder that mobilizes capital and supports impact ventures with strategy and investment, helping scale solutions aligned with inclusive and low-carbon development.</t>
        </is>
      </c>
      <c r="G53" s="46" t="inlineStr">
        <is>
          <t>National</t>
        </is>
      </c>
      <c r="H53" s="47" t="inlineStr">
        <is>
          <t>Buildings &amp; Transport, Energy, "Land, Food and Forest"</t>
        </is>
      </c>
      <c r="I53" s="48" t="n"/>
      <c r="J53" s="62" t="n"/>
      <c r="K53" s="62" t="inlineStr">
        <is>
          <t>Invests and builds ventures by impact thesis and market opportunity across Brazil. Portfolio is not disclosed as a biome delimited strategy.</t>
        </is>
      </c>
      <c r="L53" s="62" t="inlineStr">
        <is>
          <t>Capital provider / Financial intermediary</t>
        </is>
      </c>
      <c r="M53" s="61" t="inlineStr">
        <is>
          <t>Midstream</t>
        </is>
      </c>
      <c r="N53" s="61" t="inlineStr">
        <is>
          <t>Grant recipient</t>
        </is>
      </c>
      <c r="O53" s="61" t="inlineStr">
        <is>
          <t>São Paulo, SP, Brazil</t>
        </is>
      </c>
      <c r="P53" s="62" t="inlineStr">
        <is>
          <t>Re-granter</t>
        </is>
      </c>
      <c r="Q53" s="61" t="n"/>
      <c r="R53" s="61" t="n"/>
      <c r="S53" s="62" t="n"/>
      <c r="T53" s="62" t="inlineStr">
        <is>
          <t>—</t>
        </is>
      </c>
      <c r="U53" s="22" t="n"/>
      <c r="V53" s="22" t="n"/>
      <c r="W53" s="22" t="n"/>
      <c r="X53" s="22" t="n"/>
      <c r="Y53" s="22" t="n"/>
      <c r="Z53" s="22" t="n"/>
      <c r="AA53" s="22" t="n"/>
      <c r="AB53" s="22" t="n"/>
      <c r="AC53" s="22" t="n"/>
      <c r="AD53" s="22" t="n"/>
      <c r="AE53" s="22" t="n"/>
      <c r="AF53" s="22" t="n"/>
    </row>
    <row r="54">
      <c r="A54" s="21" t="n"/>
      <c r="B54" s="47" t="n">
        <v>48</v>
      </c>
      <c r="C54" s="44" t="inlineStr">
        <is>
          <t>Artemisia</t>
        </is>
      </c>
      <c r="D54" s="44" t="inlineStr">
        <is>
          <t>Civil Society Organization (CSO)</t>
        </is>
      </c>
      <c r="E54" s="62" t="inlineStr">
        <is>
          <t>Local implementers</t>
        </is>
      </c>
      <c r="F54" s="44" t="inlineStr">
        <is>
          <t>Nonprofit accelerator and ecosystem builder for impact businesses in Brazil; strengthens entrepreneurs and scalable models that address inequality and socio-environmental challenges.</t>
        </is>
      </c>
      <c r="G54" s="46" t="inlineStr">
        <is>
          <t>National</t>
        </is>
      </c>
      <c r="H54" s="47" t="inlineStr">
        <is>
          <t>Buildings &amp; Transport</t>
        </is>
      </c>
      <c r="I54" s="48" t="n"/>
      <c r="J54" s="62" t="n"/>
      <c r="K54" s="62" t="inlineStr">
        <is>
          <t>Accelerates impact businesses through programs and networks, mostly organized by target population and business model. It does not consistently categorize its work by biome.</t>
        </is>
      </c>
      <c r="L54" s="62" t="inlineStr">
        <is>
          <t>Convenor/enablers, Implementation capacity (delivery)</t>
        </is>
      </c>
      <c r="M54" s="61" t="inlineStr">
        <is>
          <t>Midstream</t>
        </is>
      </c>
      <c r="N54" s="61" t="inlineStr">
        <is>
          <t>Grant recipient</t>
        </is>
      </c>
      <c r="O54" s="61" t="inlineStr">
        <is>
          <t>São Paulo, SP, Brazil</t>
        </is>
      </c>
      <c r="P54" s="62" t="inlineStr">
        <is>
          <t>Grantee</t>
        </is>
      </c>
      <c r="Q54" s="61" t="inlineStr">
        <is>
          <t>Priscila Martins (Co-Director)</t>
        </is>
      </c>
      <c r="R54" s="55" t="inlineStr">
        <is>
          <t>https://artemisia.org.br/</t>
        </is>
      </c>
      <c r="S54" s="62" t="inlineStr">
        <is>
          <t xml:space="preserve">Great partner to implement SIB strategies in Brazil. </t>
        </is>
      </c>
      <c r="T54" s="62" t="inlineStr">
        <is>
          <t>—</t>
        </is>
      </c>
      <c r="U54" s="22" t="n"/>
      <c r="V54" s="22" t="n"/>
      <c r="W54" s="22" t="n"/>
      <c r="X54" s="22" t="n"/>
      <c r="Y54" s="22" t="n"/>
      <c r="Z54" s="22" t="n"/>
      <c r="AA54" s="22" t="n"/>
      <c r="AB54" s="22" t="n"/>
      <c r="AC54" s="22" t="n"/>
      <c r="AD54" s="22" t="n"/>
      <c r="AE54" s="22" t="n"/>
      <c r="AF54" s="22" t="n"/>
    </row>
    <row r="55">
      <c r="A55" s="21" t="n"/>
      <c r="B55" s="47" t="n">
        <v>49</v>
      </c>
      <c r="C55" s="44" t="inlineStr">
        <is>
          <t>Instituto de Cidadania Empresarial (ICE)</t>
        </is>
      </c>
      <c r="D55" s="44" t="inlineStr">
        <is>
          <t>Civil Society Organization (CSO)</t>
        </is>
      </c>
      <c r="E55" s="62" t="inlineStr">
        <is>
          <t>Think tanks</t>
        </is>
      </c>
      <c r="F55" s="44" t="inlineStr">
        <is>
          <t>Civil society organization that convenes business leaders and partners to foster corporate citizenship, social innovation, and multi-stakeholder collaboration for systemic change.</t>
        </is>
      </c>
      <c r="G55" s="46" t="inlineStr">
        <is>
          <t>National</t>
        </is>
      </c>
      <c r="H55" s="47" t="n"/>
      <c r="I55" s="48" t="n"/>
      <c r="J55" s="62" t="n"/>
      <c r="K55" s="62" t="inlineStr">
        <is>
          <t>Convening and corporate citizenship work is agenda and network driven. It is not implemented through territorially bounded biome programs.</t>
        </is>
      </c>
      <c r="L55" s="62" t="inlineStr">
        <is>
          <t>Convenor/enablers, Technical assistance / research</t>
        </is>
      </c>
      <c r="M55" s="61" t="inlineStr">
        <is>
          <t>Upstream</t>
        </is>
      </c>
      <c r="N55" s="61" t="inlineStr">
        <is>
          <t>Grant recipient</t>
        </is>
      </c>
      <c r="O55" s="61" t="inlineStr">
        <is>
          <t>São Paulo, SP, Brazil</t>
        </is>
      </c>
      <c r="P55" s="62" t="inlineStr">
        <is>
          <t>Grantee</t>
        </is>
      </c>
      <c r="Q55" s="61" t="inlineStr">
        <is>
          <t xml:space="preserve">Carla Duprat (Execiutive Director) </t>
        </is>
      </c>
      <c r="R55" s="55" t="inlineStr">
        <is>
          <t>https://ice.org.br/</t>
        </is>
      </c>
      <c r="S55" s="62" t="inlineStr">
        <is>
          <t>Relevant partner in the SIB arena in Brazil.</t>
        </is>
      </c>
      <c r="T55" s="62" t="inlineStr">
        <is>
          <t>—</t>
        </is>
      </c>
      <c r="U55" s="22" t="n"/>
      <c r="V55" s="22" t="n"/>
      <c r="W55" s="22" t="n"/>
      <c r="X55" s="22" t="n"/>
      <c r="Y55" s="22" t="n"/>
      <c r="Z55" s="22" t="n"/>
      <c r="AA55" s="22" t="n"/>
      <c r="AB55" s="22" t="n"/>
      <c r="AC55" s="22" t="n"/>
      <c r="AD55" s="22" t="n"/>
      <c r="AE55" s="22" t="n"/>
      <c r="AF55" s="22" t="n"/>
    </row>
    <row r="56">
      <c r="A56" s="21" t="n"/>
      <c r="B56" s="47" t="n">
        <v>50</v>
      </c>
      <c r="C56" s="44" t="inlineStr">
        <is>
          <t>Impact Hub Network</t>
        </is>
      </c>
      <c r="D56" s="44" t="inlineStr">
        <is>
          <t>Private sector</t>
        </is>
      </c>
      <c r="E56" s="62" t="inlineStr">
        <is>
          <t>Multi-stakeholder initiatives</t>
        </is>
      </c>
      <c r="F56" s="44" t="inlineStr">
        <is>
          <t>Global network of impact innovation hubs (coworking + programs) that supports entrepreneurship, collaboration, and the scaling of socio-environmental solutions.</t>
        </is>
      </c>
      <c r="G56" s="46" t="inlineStr">
        <is>
          <t>Cross-border / international</t>
        </is>
      </c>
      <c r="H56" s="47" t="inlineStr">
        <is>
          <t>Buildings &amp; Transport, Energy, "Land, Food and Forest"</t>
        </is>
      </c>
      <c r="I56" s="48" t="n"/>
      <c r="J56" s="62" t="n"/>
      <c r="K56" s="62" t="inlineStr">
        <is>
          <t>Global innovation hub network with local ecosystem programming. Biomes are not used as the unit of action, since operations are city and community based.</t>
        </is>
      </c>
      <c r="L56" s="62" t="inlineStr">
        <is>
          <t>Convenor/enablers, Implementation capacity (delivery)</t>
        </is>
      </c>
      <c r="M56" s="61" t="inlineStr">
        <is>
          <t>Midstream</t>
        </is>
      </c>
      <c r="N56" s="61" t="inlineStr">
        <is>
          <t>Grant recipient</t>
        </is>
      </c>
      <c r="O56" s="61" t="inlineStr">
        <is>
          <t>Vienna, Austria</t>
        </is>
      </c>
      <c r="P56" s="62" t="inlineStr">
        <is>
          <t>Grantee</t>
        </is>
      </c>
      <c r="Q56" s="61" t="n"/>
      <c r="R56" s="61" t="n"/>
      <c r="S56" s="62" t="n"/>
      <c r="T56" s="62" t="inlineStr">
        <is>
          <t>—</t>
        </is>
      </c>
      <c r="U56" s="22" t="n"/>
      <c r="V56" s="22" t="n"/>
      <c r="W56" s="22" t="n"/>
      <c r="X56" s="22" t="n"/>
      <c r="Y56" s="22" t="n"/>
      <c r="Z56" s="22" t="n"/>
      <c r="AA56" s="22" t="n"/>
      <c r="AB56" s="22" t="n"/>
      <c r="AC56" s="22" t="n"/>
      <c r="AD56" s="22" t="n"/>
      <c r="AE56" s="22" t="n"/>
      <c r="AF56" s="22" t="n"/>
    </row>
    <row r="57">
      <c r="A57" s="21" t="n"/>
      <c r="B57" s="47" t="n">
        <v>51</v>
      </c>
      <c r="C57" s="44" t="inlineStr">
        <is>
          <t>Instituto Conexões Sustentáveis (Conexsus)</t>
        </is>
      </c>
      <c r="D57" s="44" t="inlineStr">
        <is>
          <t>Civil Society Organization (CSO)</t>
        </is>
      </c>
      <c r="E57" s="62" t="inlineStr">
        <is>
          <t>Local implementers</t>
        </is>
      </c>
      <c r="F57" s="44" t="inlineStr">
        <is>
          <t>Nonprofit that accelerates sustainable community-based enterprises, connecting cooperatives/associations to markets and finance to strengthen territorial resilience and the low-carbon transition.</t>
        </is>
      </c>
      <c r="G57" s="46" t="inlineStr">
        <is>
          <t>National</t>
        </is>
      </c>
      <c r="H57" s="47" t="inlineStr">
        <is>
          <t>"Land, Food and Forest"</t>
        </is>
      </c>
      <c r="I57" s="48" t="inlineStr">
        <is>
          <t>Amazonia, Caatinga, Cerrado</t>
        </is>
      </c>
      <c r="J57" s="62" t="inlineStr">
        <is>
          <t>Mata&amp;Atlântica, Pampa</t>
        </is>
      </c>
      <c r="K57" s="62" t="inlineStr">
        <is>
          <t>Community enterprise acceleration is strongly present in Amazonia, Cerrado and Caatinga through socio biodiversity value chains and territorial businesses. Mata Atlântica and Pampa appear as secondary through additional regional networks and projects.</t>
        </is>
      </c>
      <c r="L57" s="62" t="inlineStr">
        <is>
          <t>Capital provider / Financial intermediary, Implementation capacity (delivery)</t>
        </is>
      </c>
      <c r="M57" s="61" t="inlineStr">
        <is>
          <t>Midstream</t>
        </is>
      </c>
      <c r="N57" s="61" t="inlineStr">
        <is>
          <t>Grant recipient</t>
        </is>
      </c>
      <c r="O57" s="61" t="inlineStr">
        <is>
          <t>São Paulo, SP, Brazil</t>
        </is>
      </c>
      <c r="P57" s="62" t="inlineStr">
        <is>
          <t>Re-granter</t>
        </is>
      </c>
      <c r="Q57" s="61" t="inlineStr">
        <is>
          <t>Fabíola Zerbini (Executive Director)</t>
        </is>
      </c>
      <c r="R57" s="55" t="inlineStr">
        <is>
          <t>https://www.conexsus.org/</t>
        </is>
      </c>
      <c r="S57" s="62" t="inlineStr">
        <is>
          <t>Relevant implementing partner for SIB in the Amazon.</t>
        </is>
      </c>
      <c r="T57" s="62" t="inlineStr">
        <is>
          <t>—</t>
        </is>
      </c>
      <c r="U57" s="22" t="n"/>
      <c r="V57" s="22" t="n"/>
      <c r="W57" s="22" t="n"/>
      <c r="X57" s="22" t="n"/>
      <c r="Y57" s="22" t="n"/>
      <c r="Z57" s="22" t="n"/>
      <c r="AA57" s="22" t="n"/>
      <c r="AB57" s="22" t="n"/>
      <c r="AC57" s="22" t="n"/>
      <c r="AD57" s="22" t="n"/>
      <c r="AE57" s="22" t="n"/>
      <c r="AF57" s="22" t="n"/>
    </row>
    <row r="58">
      <c r="A58" s="21" t="n"/>
      <c r="B58" s="47" t="n">
        <v>52</v>
      </c>
      <c r="C58" s="44" t="inlineStr">
        <is>
          <t>Pipe.Social</t>
        </is>
      </c>
      <c r="D58" s="44" t="inlineStr">
        <is>
          <t>Private sector</t>
        </is>
      </c>
      <c r="E58" s="62" t="inlineStr">
        <is>
          <t>Multi-stakeholder initiatives</t>
        </is>
      </c>
      <c r="F58" s="44" t="inlineStr">
        <is>
          <t>Platform that maps and connects impact businesses with investors, corporations, and partners; facilitates matchmaking and programs to scale impact solutions.</t>
        </is>
      </c>
      <c r="G58" s="46" t="inlineStr">
        <is>
          <t>National</t>
        </is>
      </c>
      <c r="H58" s="47" t="inlineStr">
        <is>
          <t>Buildings &amp; Transport, Energy, "Land, Food and Forest"</t>
        </is>
      </c>
      <c r="I58" s="48" t="n"/>
      <c r="J58" s="62" t="n"/>
      <c r="K58" s="62" t="inlineStr">
        <is>
          <t>Matchmaking platform for impact ventures and investors, organized by sectors and portfolios. No consistent biome delimited implementation layer is observable.</t>
        </is>
      </c>
      <c r="L58" s="62" t="inlineStr">
        <is>
          <t>Data / MRV / platforms, Convenor/enablers</t>
        </is>
      </c>
      <c r="M58" s="61" t="inlineStr">
        <is>
          <t>Upstream</t>
        </is>
      </c>
      <c r="N58" s="61" t="inlineStr">
        <is>
          <t>Blended finance partner</t>
        </is>
      </c>
      <c r="O58" s="61" t="inlineStr">
        <is>
          <t>São Paulo, SP, Brazil</t>
        </is>
      </c>
      <c r="P58" s="62" t="inlineStr">
        <is>
          <t>Grantee</t>
        </is>
      </c>
      <c r="Q58" s="61" t="inlineStr">
        <is>
          <t xml:space="preserve">Mariana Fonseca (Director) </t>
        </is>
      </c>
      <c r="R58" s="55" t="inlineStr">
        <is>
          <t>https://pipe.social/</t>
        </is>
      </c>
      <c r="S58" s="62" t="inlineStr">
        <is>
          <t xml:space="preserve">Relevant SIB finance plataform. </t>
        </is>
      </c>
      <c r="T58" s="62" t="inlineStr">
        <is>
          <t>—</t>
        </is>
      </c>
      <c r="U58" s="22" t="n"/>
      <c r="V58" s="22" t="n"/>
      <c r="W58" s="22" t="n"/>
      <c r="X58" s="22" t="n"/>
      <c r="Y58" s="22" t="n"/>
      <c r="Z58" s="22" t="n"/>
      <c r="AA58" s="22" t="n"/>
      <c r="AB58" s="22" t="n"/>
      <c r="AC58" s="22" t="n"/>
      <c r="AD58" s="22" t="n"/>
      <c r="AE58" s="22" t="n"/>
      <c r="AF58" s="22" t="n"/>
    </row>
    <row r="59">
      <c r="A59" s="21" t="n"/>
      <c r="B59" s="47" t="n">
        <v>53</v>
      </c>
      <c r="C59" s="44" t="inlineStr">
        <is>
          <t>Yunus Negócios Sociais (Brasil)</t>
        </is>
      </c>
      <c r="D59" s="44" t="inlineStr">
        <is>
          <t>Private sector</t>
        </is>
      </c>
      <c r="E59" s="62" t="inlineStr">
        <is>
          <t>Impact investors</t>
        </is>
      </c>
      <c r="F59" s="44" t="inlineStr">
        <is>
          <t>Organization that supports and finances social businesses, connecting entrepreneurs to capital, networks, and corporate innovation to scale solutions that reduce inequality and generate socio-environmental impact.</t>
        </is>
      </c>
      <c r="G59" s="46" t="inlineStr">
        <is>
          <t>National</t>
        </is>
      </c>
      <c r="H59" s="47" t="inlineStr">
        <is>
          <t>Buildings &amp; Transport, Energy, "Land, Food and Forest"</t>
        </is>
      </c>
      <c r="I59" s="48" t="n"/>
      <c r="J59" s="62" t="n"/>
      <c r="K59" s="62" t="inlineStr">
        <is>
          <t>Supports social businesses via investment readiness, capital and partnerships. The territorial footprint is opportunity driven and not structured by biomes as a program boundary.</t>
        </is>
      </c>
      <c r="L59" s="62" t="inlineStr">
        <is>
          <t>Capital provider / Financial intermediary, Implementation capacity (delivery)</t>
        </is>
      </c>
      <c r="M59" s="61" t="inlineStr">
        <is>
          <t>Midstream</t>
        </is>
      </c>
      <c r="N59" s="61" t="inlineStr">
        <is>
          <t>Co-funding partner</t>
        </is>
      </c>
      <c r="O59" s="61" t="inlineStr">
        <is>
          <t>Wiesbaden, Germany</t>
        </is>
      </c>
      <c r="P59" s="62" t="inlineStr">
        <is>
          <t>Re-granter</t>
        </is>
      </c>
      <c r="Q59" s="61" t="inlineStr">
        <is>
          <t>Walter Campos is the General Manager</t>
        </is>
      </c>
      <c r="R59" s="55" t="inlineStr">
        <is>
          <t>https://yunusns.com/</t>
        </is>
      </c>
      <c r="S59" s="62" t="inlineStr">
        <is>
          <t>Strategic and potential partner for SIB in Brazil.</t>
        </is>
      </c>
      <c r="T59" s="62" t="inlineStr">
        <is>
          <t>—</t>
        </is>
      </c>
      <c r="U59" s="22" t="n"/>
      <c r="V59" s="22" t="n"/>
      <c r="W59" s="22" t="n"/>
      <c r="X59" s="22" t="n"/>
      <c r="Y59" s="22" t="n"/>
      <c r="Z59" s="22" t="n"/>
      <c r="AA59" s="22" t="n"/>
      <c r="AB59" s="22" t="n"/>
      <c r="AC59" s="22" t="n"/>
      <c r="AD59" s="22" t="n"/>
      <c r="AE59" s="22" t="n"/>
      <c r="AF59" s="22" t="n"/>
    </row>
    <row r="60">
      <c r="A60" s="21" t="n"/>
      <c r="B60" s="47" t="n">
        <v>54</v>
      </c>
      <c r="C60" s="44" t="inlineStr">
        <is>
          <t>Instituto C&amp;A</t>
        </is>
      </c>
      <c r="D60" s="44" t="inlineStr">
        <is>
          <t>Civil Society Organization (CSO)</t>
        </is>
      </c>
      <c r="E60" s="62" t="inlineStr">
        <is>
          <t>Philanthropy foundations</t>
        </is>
      </c>
      <c r="F60" s="44" t="inlineStr">
        <is>
          <t>C&amp;A’s social investment institute in Brazil; mobilizes partners and programs to strengthen communities through inclusion and opportunity pathways, supporting broader equitable development.</t>
        </is>
      </c>
      <c r="G60" s="46" t="inlineStr">
        <is>
          <t>National</t>
        </is>
      </c>
      <c r="H60" s="47" t="inlineStr">
        <is>
          <t>Buildings &amp; Transport, "Land, Food and Forest"</t>
        </is>
      </c>
      <c r="I60" s="48" t="n"/>
      <c r="J60" s="62" t="n"/>
      <c r="K60" s="62" t="inlineStr">
        <is>
          <t>Corporate social investment focused on inclusion and opportunities, implemented through partners and programs. It does not present a consistent biome targeted approach in this mapping.</t>
        </is>
      </c>
      <c r="L60" s="62" t="inlineStr">
        <is>
          <t>Funder, Strategic partner</t>
        </is>
      </c>
      <c r="M60" s="61" t="inlineStr">
        <is>
          <t>Upstream</t>
        </is>
      </c>
      <c r="N60" s="61" t="n"/>
      <c r="O60" s="61" t="inlineStr">
        <is>
          <t>Barueri, SP, Brazil</t>
        </is>
      </c>
      <c r="P60" s="62" t="inlineStr">
        <is>
          <t>Donor</t>
        </is>
      </c>
      <c r="Q60" s="61" t="n"/>
      <c r="R60" s="61" t="n"/>
      <c r="S60" s="62" t="n"/>
      <c r="T60" s="62" t="inlineStr">
        <is>
          <t>—</t>
        </is>
      </c>
      <c r="U60" s="22" t="n"/>
      <c r="V60" s="22" t="n"/>
      <c r="W60" s="22" t="n"/>
      <c r="X60" s="22" t="n"/>
      <c r="Y60" s="22" t="n"/>
      <c r="Z60" s="22" t="n"/>
      <c r="AA60" s="22" t="n"/>
      <c r="AB60" s="22" t="n"/>
      <c r="AC60" s="22" t="n"/>
      <c r="AD60" s="22" t="n"/>
      <c r="AE60" s="22" t="n"/>
      <c r="AF60" s="22" t="n"/>
    </row>
    <row r="61">
      <c r="A61" s="21" t="n"/>
      <c r="B61" s="47" t="n">
        <v>55</v>
      </c>
      <c r="C61" s="44" t="inlineStr">
        <is>
          <t>Lundin Foundation</t>
        </is>
      </c>
      <c r="D61" s="44" t="inlineStr">
        <is>
          <t>Funders</t>
        </is>
      </c>
      <c r="E61" s="62" t="inlineStr">
        <is>
          <t>Philanthropy foundations</t>
        </is>
      </c>
      <c r="F61" s="44" t="inlineStr">
        <is>
          <t>Nonprofit foundation that supports inclusive economic development and community benefit initiatives, often in partnership with local stakeholders and the private sector.</t>
        </is>
      </c>
      <c r="G61" s="46" t="inlineStr">
        <is>
          <t>Cross-border / international</t>
        </is>
      </c>
      <c r="H61" s="47" t="inlineStr">
        <is>
          <t>"Land, Food and Forest"</t>
        </is>
      </c>
      <c r="I61" s="48" t="n"/>
      <c r="J61" s="62" t="n"/>
      <c r="K61" s="62" t="inlineStr">
        <is>
          <t>International foundation with broad inclusive development work. This entry does not provide a stable Brazil facing biome structured program set to classify.</t>
        </is>
      </c>
      <c r="L61" s="62" t="inlineStr">
        <is>
          <t>Funder, Strategic partner</t>
        </is>
      </c>
      <c r="M61" s="61" t="inlineStr">
        <is>
          <t>Upstream</t>
        </is>
      </c>
      <c r="N61" s="61" t="inlineStr">
        <is>
          <t>Co-funding partner</t>
        </is>
      </c>
      <c r="O61" s="61" t="inlineStr">
        <is>
          <t>Vancouver, BC, Canada</t>
        </is>
      </c>
      <c r="P61" s="62" t="inlineStr">
        <is>
          <t>Donor</t>
        </is>
      </c>
      <c r="Q61" s="61" t="n"/>
      <c r="R61" s="55" t="inlineStr">
        <is>
          <t>https://www.lundinfoundation.org/</t>
        </is>
      </c>
      <c r="S61" s="62" t="n"/>
      <c r="T61" s="62" t="inlineStr">
        <is>
          <t>—</t>
        </is>
      </c>
      <c r="U61" s="22" t="n"/>
      <c r="V61" s="22" t="n"/>
      <c r="W61" s="22" t="n"/>
      <c r="X61" s="22" t="n"/>
      <c r="Y61" s="22" t="n"/>
      <c r="Z61" s="22" t="n"/>
      <c r="AA61" s="22" t="n"/>
      <c r="AB61" s="22" t="n"/>
      <c r="AC61" s="22" t="n"/>
      <c r="AD61" s="22" t="n"/>
      <c r="AE61" s="22" t="n"/>
      <c r="AF61" s="22" t="n"/>
    </row>
    <row r="62">
      <c r="A62" s="21" t="n"/>
      <c r="B62" s="47" t="n">
        <v>56</v>
      </c>
      <c r="C62" s="44" t="inlineStr">
        <is>
          <t>Aliança Empreendedora</t>
        </is>
      </c>
      <c r="D62" s="44" t="inlineStr">
        <is>
          <t>Civil Society Organization (CSO)</t>
        </is>
      </c>
      <c r="E62" s="62" t="inlineStr">
        <is>
          <t>Local implementers</t>
        </is>
      </c>
      <c r="F62" s="44" t="inlineStr">
        <is>
          <t>NGO that supports micro and small entrepreneurs in vulnerable contexts through training, networks, and market access—strengthening inclusive local economies and productive inclusion.</t>
        </is>
      </c>
      <c r="G62" s="46" t="inlineStr">
        <is>
          <t>National</t>
        </is>
      </c>
      <c r="H62" s="47" t="n"/>
      <c r="I62" s="48" t="n"/>
      <c r="J62" s="62" t="n"/>
      <c r="K62" s="62" t="inlineStr">
        <is>
          <t>Works with micro and small entrepreneurs through training and market access in vulnerable contexts. Territorial reach is defined by communities and cities, not by biome ecosystems.</t>
        </is>
      </c>
      <c r="L62" s="62" t="inlineStr">
        <is>
          <t>Implementation capacity (delivery)</t>
        </is>
      </c>
      <c r="M62" s="61" t="inlineStr">
        <is>
          <t>Downstream</t>
        </is>
      </c>
      <c r="N62" s="61" t="inlineStr">
        <is>
          <t>Co-funding partner</t>
        </is>
      </c>
      <c r="O62" s="61" t="inlineStr">
        <is>
          <t>Curitiba, PR, Brazil</t>
        </is>
      </c>
      <c r="P62" s="62" t="inlineStr">
        <is>
          <t>Grantee</t>
        </is>
      </c>
      <c r="Q62" s="61" t="inlineStr">
        <is>
          <t>Carolina Borghesi (VP)</t>
        </is>
      </c>
      <c r="R62" s="55" t="inlineStr">
        <is>
          <t>https://institutocea.org.br/</t>
        </is>
      </c>
      <c r="S62" s="62" t="inlineStr">
        <is>
          <t>Could be an important co-funding parter in assignes supply chain for IKF targeted geographies.</t>
        </is>
      </c>
      <c r="T62" s="62" t="inlineStr">
        <is>
          <t>—</t>
        </is>
      </c>
      <c r="U62" s="22" t="n"/>
      <c r="V62" s="22" t="n"/>
      <c r="W62" s="22" t="n"/>
      <c r="X62" s="22" t="n"/>
      <c r="Y62" s="22" t="n"/>
      <c r="Z62" s="22" t="n"/>
      <c r="AA62" s="22" t="n"/>
      <c r="AB62" s="22" t="n"/>
      <c r="AC62" s="22" t="n"/>
      <c r="AD62" s="22" t="n"/>
      <c r="AE62" s="22" t="n"/>
      <c r="AF62" s="22" t="n"/>
    </row>
    <row r="63">
      <c r="A63" s="21" t="n"/>
      <c r="B63" s="47" t="n">
        <v>57</v>
      </c>
      <c r="C63" s="44" t="inlineStr">
        <is>
          <t>Omidyar Network</t>
        </is>
      </c>
      <c r="D63" s="44" t="inlineStr">
        <is>
          <t>Funders</t>
        </is>
      </c>
      <c r="E63" s="62" t="inlineStr">
        <is>
          <t>Philanthropy foundations</t>
        </is>
      </c>
      <c r="F63" s="44" t="inlineStr">
        <is>
          <t>Philanthropic investment organization combining grants and investments to expand shared prosperity and opportunity, often backing initiatives that strengthen inclusion, institutions, and responsible technology.</t>
        </is>
      </c>
      <c r="G63" s="46" t="inlineStr">
        <is>
          <t>Cross-border / international</t>
        </is>
      </c>
      <c r="H63" s="47" t="n"/>
      <c r="I63" s="48" t="n"/>
      <c r="J63" s="62" t="n"/>
      <c r="K63" s="62" t="inlineStr">
        <is>
          <t>Combines grants and investments globally to expand inclusion and strong institutions. In this dataset, a consistent Brazil biome based segmentation is not documented for classification.</t>
        </is>
      </c>
      <c r="L63" s="62" t="inlineStr">
        <is>
          <t>Funder, Strategic partner</t>
        </is>
      </c>
      <c r="M63" s="61" t="inlineStr">
        <is>
          <t>Upstream</t>
        </is>
      </c>
      <c r="N63" s="61" t="inlineStr">
        <is>
          <t>Co-funding partner</t>
        </is>
      </c>
      <c r="O63" s="61" t="inlineStr">
        <is>
          <t>Redwood City, CA, USA</t>
        </is>
      </c>
      <c r="P63" s="62" t="inlineStr">
        <is>
          <t>Donor</t>
        </is>
      </c>
      <c r="Q63" s="61" t="n"/>
      <c r="R63" s="61" t="n"/>
      <c r="S63" s="62" t="n"/>
      <c r="T63" s="62" t="inlineStr">
        <is>
          <t>—</t>
        </is>
      </c>
      <c r="U63" s="22" t="n"/>
      <c r="V63" s="22" t="n"/>
      <c r="W63" s="22" t="n"/>
      <c r="X63" s="22" t="n"/>
      <c r="Y63" s="22" t="n"/>
      <c r="Z63" s="22" t="n"/>
      <c r="AA63" s="22" t="n"/>
      <c r="AB63" s="22" t="n"/>
      <c r="AC63" s="22" t="n"/>
      <c r="AD63" s="22" t="n"/>
      <c r="AE63" s="22" t="n"/>
      <c r="AF63" s="22" t="n"/>
    </row>
    <row r="64">
      <c r="A64" s="21" t="n"/>
      <c r="B64" s="47" t="n">
        <v>58</v>
      </c>
      <c r="C64" s="44" t="inlineStr">
        <is>
          <t>Fundação Grupo Boticário de Proteção à Natureza</t>
        </is>
      </c>
      <c r="D64" s="44" t="inlineStr">
        <is>
          <t>Funders</t>
        </is>
      </c>
      <c r="E64" s="62" t="inlineStr">
        <is>
          <t>Philanthropy foundations</t>
        </is>
      </c>
      <c r="F64" s="44" t="inlineStr">
        <is>
          <t>Nonprofit foundation maintained by the Boticário Group that funds and advances biodiversity conservation, protected areas, restoration, and nature-positive agendas (including water security and regenerative economy pathways).</t>
        </is>
      </c>
      <c r="G64" s="46" t="inlineStr">
        <is>
          <t>National</t>
        </is>
      </c>
      <c r="H64" s="47" t="inlineStr">
        <is>
          <t>Buildings &amp; Transport, "Land, Food and Forest"</t>
        </is>
      </c>
      <c r="I64" s="60" t="inlineStr">
        <is>
          <t>Cerrado</t>
        </is>
      </c>
      <c r="J64" s="62" t="inlineStr">
        <is>
          <t>Mata&amp;Atlântica</t>
        </is>
      </c>
      <c r="K64" s="62" t="inlineStr">
        <is>
          <t>Flagship conservation and restoration initiatives maintain clear linkages to Cerrado and Mata Atlântica. The tags reflect where long term reserves, partnerships and public programs are most explicitly concentrated.</t>
        </is>
      </c>
      <c r="L64" s="62" t="inlineStr">
        <is>
          <t>Funder, Project developer / Implementer</t>
        </is>
      </c>
      <c r="M64" s="61" t="inlineStr">
        <is>
          <t>Upstream</t>
        </is>
      </c>
      <c r="N64" s="61" t="inlineStr">
        <is>
          <t>Co-funding partner</t>
        </is>
      </c>
      <c r="O64" s="61" t="inlineStr">
        <is>
          <t>Curitiba, PR, Brazil</t>
        </is>
      </c>
      <c r="P64" s="62" t="inlineStr">
        <is>
          <t>Donor</t>
        </is>
      </c>
      <c r="Q64" s="61" t="inlineStr">
        <is>
          <t xml:space="preserve">Malu Nunes (Executive Director) </t>
        </is>
      </c>
      <c r="R64" s="55" t="inlineStr">
        <is>
          <t>https://fundacaogrupoboticario.org.br/</t>
        </is>
      </c>
      <c r="S64" s="62" t="inlineStr">
        <is>
          <t>Could be an important co-funding partenr for IKF in Brazil.</t>
        </is>
      </c>
      <c r="T64" s="62" t="inlineStr">
        <is>
          <t>—</t>
        </is>
      </c>
      <c r="U64" s="22" t="n"/>
      <c r="V64" s="22" t="n"/>
      <c r="W64" s="22" t="n"/>
      <c r="X64" s="22" t="n"/>
      <c r="Y64" s="22" t="n"/>
      <c r="Z64" s="22" t="n"/>
      <c r="AA64" s="22" t="n"/>
      <c r="AB64" s="22" t="n"/>
      <c r="AC64" s="22" t="n"/>
      <c r="AD64" s="22" t="n"/>
      <c r="AE64" s="22" t="n"/>
      <c r="AF64" s="22" t="n"/>
    </row>
    <row r="65">
      <c r="A65" s="21" t="n"/>
      <c r="B65" s="47" t="n">
        <v>59</v>
      </c>
      <c r="C65" s="44" t="inlineStr">
        <is>
          <t>Natura</t>
        </is>
      </c>
      <c r="D65" s="44" t="inlineStr">
        <is>
          <t>Private sector</t>
        </is>
      </c>
      <c r="E65" s="62" t="inlineStr">
        <is>
          <t>Private companies (large / leading)</t>
        </is>
      </c>
      <c r="F65" s="44" t="inlineStr">
        <is>
          <t>Consumer goods company with strong commitments to sustainability; can drive systemic transition through responsible sourcing (including sociobiodiversity), circular economy practices, low-carbon innovation, and influence across value chains.</t>
        </is>
      </c>
      <c r="G65" s="46" t="inlineStr">
        <is>
          <t>National</t>
        </is>
      </c>
      <c r="H65" s="47" t="inlineStr">
        <is>
          <t>"Land, Food and Forest"</t>
        </is>
      </c>
      <c r="I65" s="60" t="inlineStr">
        <is>
          <t>Amazonia, Cerrado</t>
        </is>
      </c>
      <c r="J65" s="62" t="inlineStr">
        <is>
          <t>Mata&amp;Atlântica, Pampa, Pantanal</t>
        </is>
      </c>
      <c r="K65" s="62" t="inlineStr">
        <is>
          <t>Sociobiodiversity sourcing and forest positive supply chains create a strong anchor in Amazonia, with important interfaces in Cerrado. Other biomes are part of corporate reach, but are less consistently presented as core territorial program lines.</t>
        </is>
      </c>
      <c r="L65" s="62" t="inlineStr">
        <is>
          <t>Strategic partner, Implementation capacity (delivery)</t>
        </is>
      </c>
      <c r="M65" s="61" t="inlineStr">
        <is>
          <t>Downstream</t>
        </is>
      </c>
      <c r="N65" s="61" t="inlineStr">
        <is>
          <t>Co-funding partner</t>
        </is>
      </c>
      <c r="O65" s="61" t="inlineStr">
        <is>
          <t>Cajamar, SP, Brazil</t>
        </is>
      </c>
      <c r="P65" s="62" t="inlineStr">
        <is>
          <t>Donor</t>
        </is>
      </c>
      <c r="Q65" s="61" t="n"/>
      <c r="R65" s="55" t="inlineStr">
        <is>
          <t>https://www.natura.com.br/</t>
        </is>
      </c>
      <c r="S65" s="62" t="inlineStr">
        <is>
          <t>Could be an important co-funding partenr for IKF in Brazil.</t>
        </is>
      </c>
      <c r="T65" s="62" t="inlineStr">
        <is>
          <t>—</t>
        </is>
      </c>
      <c r="U65" s="22" t="n"/>
      <c r="V65" s="22" t="n"/>
      <c r="W65" s="22" t="n"/>
      <c r="X65" s="22" t="n"/>
      <c r="Y65" s="22" t="n"/>
      <c r="Z65" s="22" t="n"/>
      <c r="AA65" s="22" t="n"/>
      <c r="AB65" s="22" t="n"/>
      <c r="AC65" s="22" t="n"/>
      <c r="AD65" s="22" t="n"/>
      <c r="AE65" s="22" t="n"/>
      <c r="AF65" s="22" t="n"/>
    </row>
    <row r="66">
      <c r="A66" s="21" t="n"/>
      <c r="B66" s="47" t="n">
        <v>60</v>
      </c>
      <c r="C66" s="44" t="inlineStr">
        <is>
          <t>Programa das Nações Unidas para o Desenvolvimento (PNUD)</t>
        </is>
      </c>
      <c r="D66" s="44" t="inlineStr">
        <is>
          <t>Others</t>
        </is>
      </c>
      <c r="E66" s="62" t="inlineStr">
        <is>
          <t>Multilateral organizations</t>
        </is>
      </c>
      <c r="F66" s="44" t="inlineStr">
        <is>
          <t>UN development agency that provides technical cooperation, program implementation support, and policy assistance aligned with the SDGs (governance, inclusion, poverty reduction, and climate resilience).</t>
        </is>
      </c>
      <c r="G66" s="46" t="inlineStr">
        <is>
          <t>Cross-border / international</t>
        </is>
      </c>
      <c r="H66" s="47" t="inlineStr">
        <is>
          <t>Buildings &amp; Transport, Emergency response, Energy, "Land, Food and Forest"</t>
        </is>
      </c>
      <c r="I66" s="48" t="n"/>
      <c r="J66" s="62" t="n"/>
      <c r="K66" s="62" t="inlineStr">
        <is>
          <t>Cooperation is organized by SDG programs and government counterparts, with implementation varying by project. This entry does not show a stable biome specific portfolio structure to apply systematically.</t>
        </is>
      </c>
      <c r="L66" s="62" t="inlineStr">
        <is>
          <t>Strategic partner, Convenor/enablers, Project developer / Implementer</t>
        </is>
      </c>
      <c r="M66" s="61" t="inlineStr">
        <is>
          <t>Midstream</t>
        </is>
      </c>
      <c r="N66" s="61" t="inlineStr">
        <is>
          <t>Strategic partner</t>
        </is>
      </c>
      <c r="O66" s="61" t="inlineStr">
        <is>
          <t>New York, NY, USA</t>
        </is>
      </c>
      <c r="P66" s="62" t="inlineStr">
        <is>
          <t>Re-granter</t>
        </is>
      </c>
      <c r="Q66" s="61" t="inlineStr">
        <is>
          <t xml:space="preserve">Luciana Aguiar (Country Program Director) </t>
        </is>
      </c>
      <c r="R66" s="55" t="inlineStr">
        <is>
          <t>https://www.undp.org/pt/brazil</t>
        </is>
      </c>
      <c r="S66" s="62" t="inlineStr">
        <is>
          <t>Strategic partner for IKF impact areas and biomes.</t>
        </is>
      </c>
      <c r="T66" s="62" t="inlineStr">
        <is>
          <t>—</t>
        </is>
      </c>
      <c r="U66" s="22" t="n"/>
      <c r="V66" s="22" t="n"/>
      <c r="W66" s="22" t="n"/>
      <c r="X66" s="22" t="n"/>
      <c r="Y66" s="22" t="n"/>
      <c r="Z66" s="22" t="n"/>
      <c r="AA66" s="22" t="n"/>
      <c r="AB66" s="22" t="n"/>
      <c r="AC66" s="22" t="n"/>
      <c r="AD66" s="22" t="n"/>
      <c r="AE66" s="22" t="n"/>
      <c r="AF66" s="22" t="n"/>
    </row>
    <row r="67">
      <c r="A67" s="21" t="n"/>
      <c r="B67" s="47" t="n">
        <v>61</v>
      </c>
      <c r="C67" s="44" t="inlineStr">
        <is>
          <t>Centro de Empreendedorismo da Amazônia (CEA)</t>
        </is>
      </c>
      <c r="D67" s="44" t="inlineStr">
        <is>
          <t>Others</t>
        </is>
      </c>
      <c r="E67" s="62" t="inlineStr">
        <is>
          <t>Local implementers</t>
        </is>
      </c>
      <c r="F67" s="44" t="inlineStr">
        <is>
          <t>Platform that strengthens entrepreneurship and the bioeconomy in the Amazon by offering capacity building, ecosystem convening, and connections to markets and investors for sustainable businesses.</t>
        </is>
      </c>
      <c r="G67" s="46" t="inlineStr">
        <is>
          <t>Regional</t>
        </is>
      </c>
      <c r="H67" s="47" t="inlineStr">
        <is>
          <t>"Land, Food and Forest"</t>
        </is>
      </c>
      <c r="I67" s="48" t="inlineStr">
        <is>
          <t>Amazonia</t>
        </is>
      </c>
      <c r="J67" s="62" t="n"/>
      <c r="K67" s="62" t="inlineStr">
        <is>
          <t>It operated explicitly as an Amazon-region platform and delivered bioeconomy/entrepreneurship support anchored in Amazonia.</t>
        </is>
      </c>
      <c r="L67" s="62" t="inlineStr">
        <is>
          <t>Technical assistance / research, Implementation capacity (delivery)</t>
        </is>
      </c>
      <c r="M67" s="61" t="inlineStr">
        <is>
          <t>Midstream</t>
        </is>
      </c>
      <c r="N67" s="61" t="inlineStr">
        <is>
          <t>Grant recipient</t>
        </is>
      </c>
      <c r="O67" s="61" t="inlineStr">
        <is>
          <t>Belém, PA, Brazil</t>
        </is>
      </c>
      <c r="P67" s="62" t="inlineStr">
        <is>
          <t>Grantee</t>
        </is>
      </c>
      <c r="Q67" s="61" t="inlineStr">
        <is>
          <t>Raphael Medeiros (Executive Director)</t>
        </is>
      </c>
      <c r="R67" s="55" t="inlineStr">
        <is>
          <t>https://centroamazonia.org.br/</t>
        </is>
      </c>
      <c r="S67" s="62" t="inlineStr">
        <is>
          <t>Relevant implementing org addressing SIB in the Amazon.</t>
        </is>
      </c>
      <c r="T67" s="62" t="inlineStr">
        <is>
          <t>—</t>
        </is>
      </c>
      <c r="U67" s="22" t="n"/>
      <c r="V67" s="22" t="n"/>
      <c r="W67" s="22" t="n"/>
      <c r="X67" s="22" t="n"/>
      <c r="Y67" s="22" t="n"/>
      <c r="Z67" s="22" t="n"/>
      <c r="AA67" s="22" t="n"/>
      <c r="AB67" s="22" t="n"/>
      <c r="AC67" s="22" t="n"/>
      <c r="AD67" s="22" t="n"/>
      <c r="AE67" s="22" t="n"/>
      <c r="AF67" s="22" t="n"/>
    </row>
    <row r="68">
      <c r="A68" s="63" t="n"/>
      <c r="B68" s="47" t="n">
        <v>62</v>
      </c>
      <c r="C68" s="44" t="inlineStr">
        <is>
          <t>Manioca</t>
        </is>
      </c>
      <c r="D68" s="44" t="inlineStr">
        <is>
          <t>Private sector</t>
        </is>
      </c>
      <c r="E68" s="62" t="inlineStr">
        <is>
          <t>Private companies (SMEs / local enterprises)</t>
        </is>
      </c>
      <c r="F68" s="44" t="inlineStr">
        <is>
          <t>Impact-oriented food brand that works with Amazon-linked supply chains; contributes through fairer sourcing, product innovation, and strengthening local producers and sustainable value chains.</t>
        </is>
      </c>
      <c r="G68" s="46" t="inlineStr">
        <is>
          <t xml:space="preserve">Regional </t>
        </is>
      </c>
      <c r="H68" s="47" t="inlineStr">
        <is>
          <t>"Land, Food and Forest"</t>
        </is>
      </c>
      <c r="I68" s="48" t="inlineStr">
        <is>
          <t>Amazonia</t>
        </is>
      </c>
      <c r="J68" s="62" t="n"/>
      <c r="K68" s="62" t="inlineStr">
        <is>
          <t>It used Amazon-linked supply chains and supported producers connected to the Amazonia biome.</t>
        </is>
      </c>
      <c r="L68" s="62" t="inlineStr">
        <is>
          <t>Implementation capacity (delivery)</t>
        </is>
      </c>
      <c r="M68" s="61" t="inlineStr">
        <is>
          <t>Downstream</t>
        </is>
      </c>
      <c r="N68" s="61" t="inlineStr">
        <is>
          <t>Grant recipient</t>
        </is>
      </c>
      <c r="O68" s="61" t="inlineStr">
        <is>
          <t>São Paulo, SP, Brazil</t>
        </is>
      </c>
      <c r="P68" s="62" t="inlineStr">
        <is>
          <t>Grantee</t>
        </is>
      </c>
      <c r="Q68" s="61" t="n"/>
      <c r="R68" s="55" t="inlineStr">
        <is>
          <t>https://sistemabbrasil.org/empresas-b</t>
        </is>
      </c>
      <c r="S68" s="62" t="inlineStr">
        <is>
          <t>Could be a potential grantee in the food arean in the Amazon (Pará State).</t>
        </is>
      </c>
      <c r="T68" s="62" t="inlineStr">
        <is>
          <t>—</t>
        </is>
      </c>
      <c r="U68" s="22" t="n"/>
      <c r="V68" s="22" t="n"/>
      <c r="W68" s="22" t="n"/>
      <c r="X68" s="22" t="n"/>
      <c r="Y68" s="22" t="n"/>
      <c r="Z68" s="22" t="n"/>
      <c r="AA68" s="22" t="n"/>
      <c r="AB68" s="22" t="n"/>
      <c r="AC68" s="22" t="n"/>
      <c r="AD68" s="22" t="n"/>
      <c r="AE68" s="22" t="n"/>
      <c r="AF68" s="22" t="n"/>
    </row>
    <row r="69">
      <c r="A69" s="63" t="n"/>
      <c r="B69" s="47" t="n">
        <v>63</v>
      </c>
      <c r="C69" s="44" t="inlineStr">
        <is>
          <t>Instituto Votorantim</t>
        </is>
      </c>
      <c r="D69" s="44" t="inlineStr">
        <is>
          <t>Civil Society Organization (CSO)</t>
        </is>
      </c>
      <c r="E69" s="62" t="inlineStr">
        <is>
          <t>Philanthropy foundations</t>
        </is>
      </c>
      <c r="F69" s="44" t="inlineStr">
        <is>
          <t>Corporate institute that acts as an applied intelligence and partnership platform, supporting socio-environmental solutions, territorial development, and better corporate practices for sustainability.</t>
        </is>
      </c>
      <c r="G69" s="46" t="inlineStr">
        <is>
          <t>National</t>
        </is>
      </c>
      <c r="H69" s="47" t="inlineStr">
        <is>
          <t>Buildings &amp; Transport, Energy, "Land, Food and Forest"</t>
        </is>
      </c>
      <c r="I69" s="48" t="n"/>
      <c r="J69" s="62" t="n"/>
      <c r="K69" s="62" t="inlineStr">
        <is>
          <t>It operated through corporate social investment and partnerships and did not maintain a public biome-specific program cut.</t>
        </is>
      </c>
      <c r="L69" s="62" t="inlineStr">
        <is>
          <t>Funder, Strategic partner</t>
        </is>
      </c>
      <c r="M69" s="61" t="inlineStr">
        <is>
          <t>Upstream</t>
        </is>
      </c>
      <c r="N69" s="61" t="inlineStr">
        <is>
          <t>Co-funding partner</t>
        </is>
      </c>
      <c r="O69" s="61" t="inlineStr">
        <is>
          <t>São Paulo, SP, Brazil</t>
        </is>
      </c>
      <c r="P69" s="62" t="inlineStr">
        <is>
          <t>Donor</t>
        </is>
      </c>
      <c r="Q69" s="61" t="inlineStr">
        <is>
          <t>Rafael Gioielli (Executive Director)</t>
        </is>
      </c>
      <c r="R69" s="55" t="inlineStr">
        <is>
          <t>https://www.institutovotorantim.org.br/</t>
        </is>
      </c>
      <c r="S69" s="62" t="inlineStr">
        <is>
          <t>Important co-funding partner on tge SIB in Brazil. Track reccord on funding in the northeast of the country.</t>
        </is>
      </c>
      <c r="T69" s="62" t="inlineStr">
        <is>
          <t>—</t>
        </is>
      </c>
      <c r="U69" s="22" t="n"/>
      <c r="V69" s="22" t="n"/>
      <c r="W69" s="22" t="n"/>
      <c r="X69" s="22" t="n"/>
      <c r="Y69" s="22" t="n"/>
      <c r="Z69" s="22" t="n"/>
      <c r="AA69" s="22" t="n"/>
      <c r="AB69" s="22" t="n"/>
      <c r="AC69" s="22" t="n"/>
      <c r="AD69" s="22" t="n"/>
      <c r="AE69" s="22" t="n"/>
      <c r="AF69" s="22" t="n"/>
    </row>
    <row r="70">
      <c r="A70" s="63" t="n"/>
      <c r="B70" s="47" t="n">
        <v>64</v>
      </c>
      <c r="C70" s="44" t="inlineStr">
        <is>
          <t>Quintessa</t>
        </is>
      </c>
      <c r="D70" s="44" t="inlineStr">
        <is>
          <t>Private sector</t>
        </is>
      </c>
      <c r="E70" s="62" t="inlineStr">
        <is>
          <t>Impact investors</t>
        </is>
      </c>
      <c r="F70" s="44" t="inlineStr">
        <is>
          <t>Impact accelerator/consultancy that supports impact ventures with mentoring, strategy and investment readiness, connecting entrepreneurs to capital and partners to scale solutions.</t>
        </is>
      </c>
      <c r="G70" s="46" t="inlineStr">
        <is>
          <t>National</t>
        </is>
      </c>
      <c r="H70" s="47" t="inlineStr">
        <is>
          <t>Buildings &amp; Transport, Energy, "Land, Food and Forest"</t>
        </is>
      </c>
      <c r="I70" s="48" t="n"/>
      <c r="J70" s="62" t="n"/>
      <c r="K70" s="62" t="inlineStr">
        <is>
          <t>It accelerated ventures across themes and did not classify its programs by biome.</t>
        </is>
      </c>
      <c r="L70" s="62" t="inlineStr">
        <is>
          <t>Implementation capacity (delivery), Convenor/enablers</t>
        </is>
      </c>
      <c r="M70" s="61" t="inlineStr">
        <is>
          <t>Midstream</t>
        </is>
      </c>
      <c r="N70" s="61" t="inlineStr">
        <is>
          <t>Grant recipient</t>
        </is>
      </c>
      <c r="O70" s="61" t="inlineStr">
        <is>
          <t>São Paulo, SP, Brazil</t>
        </is>
      </c>
      <c r="P70" s="62" t="inlineStr">
        <is>
          <t>Grantee</t>
        </is>
      </c>
      <c r="Q70" s="61" t="inlineStr">
        <is>
          <t>Nana Baffour (Director)</t>
        </is>
      </c>
      <c r="R70" s="55" t="inlineStr">
        <is>
          <t>https://www.quintessa.org.br/</t>
        </is>
      </c>
      <c r="S70" s="62" t="inlineStr">
        <is>
          <t>Relevant SIB plataform of investments.</t>
        </is>
      </c>
      <c r="T70" s="62" t="inlineStr">
        <is>
          <t>—</t>
        </is>
      </c>
      <c r="U70" s="22" t="n"/>
      <c r="V70" s="22" t="n"/>
      <c r="W70" s="22" t="n"/>
      <c r="X70" s="22" t="n"/>
      <c r="Y70" s="22" t="n"/>
      <c r="Z70" s="22" t="n"/>
      <c r="AA70" s="22" t="n"/>
      <c r="AB70" s="22" t="n"/>
      <c r="AC70" s="22" t="n"/>
      <c r="AD70" s="22" t="n"/>
      <c r="AE70" s="22" t="n"/>
      <c r="AF70" s="22" t="n"/>
    </row>
    <row r="71">
      <c r="A71" s="63" t="n"/>
      <c r="B71" s="47" t="n">
        <v>65</v>
      </c>
      <c r="C71" s="44" t="inlineStr">
        <is>
          <t>De Mendes</t>
        </is>
      </c>
      <c r="D71" s="44" t="inlineStr">
        <is>
          <t>Private sector</t>
        </is>
      </c>
      <c r="E71" s="62" t="inlineStr">
        <is>
          <t>Private companies (SMEs / local enterprises)</t>
        </is>
      </c>
      <c r="F71" s="44" t="inlineStr">
        <is>
          <t>Local enterprise linked to sustainable value chains (e.g., cacao/chocolate); can contribute via responsible sourcing, territorial development, and inclusive value creation with producers.</t>
        </is>
      </c>
      <c r="G71" s="46" t="inlineStr">
        <is>
          <t>State-level</t>
        </is>
      </c>
      <c r="H71" s="47" t="inlineStr">
        <is>
          <t>"Land, Food and Forest"</t>
        </is>
      </c>
      <c r="I71" s="48" t="inlineStr">
        <is>
          <t>Amazonia</t>
        </is>
      </c>
      <c r="J71" s="62" t="n"/>
      <c r="K71" s="62" t="inlineStr">
        <is>
          <t>It was linked to value chains at state level, but no clear public evidence of biome-targeted initiatives was identified in this mapping.</t>
        </is>
      </c>
      <c r="L71" s="62" t="inlineStr">
        <is>
          <t>Implementation capacity (delivery)</t>
        </is>
      </c>
      <c r="M71" s="61" t="inlineStr">
        <is>
          <t>Downstream</t>
        </is>
      </c>
      <c r="N71" s="61" t="inlineStr">
        <is>
          <t>Grant recipient</t>
        </is>
      </c>
      <c r="O71" s="61" t="inlineStr">
        <is>
          <t>Ilhéus, BA, Brazil</t>
        </is>
      </c>
      <c r="P71" s="62" t="inlineStr">
        <is>
          <t>Grantee</t>
        </is>
      </c>
      <c r="Q71" s="61" t="n"/>
      <c r="R71" s="55" t="inlineStr">
        <is>
          <t>https://www.demendes.com.br/</t>
        </is>
      </c>
      <c r="S71" s="62" t="inlineStr">
        <is>
          <t>could be a potential grantee in the food - cocoa supply chain in Brazil.</t>
        </is>
      </c>
      <c r="T71" s="62" t="inlineStr">
        <is>
          <t>—</t>
        </is>
      </c>
      <c r="U71" s="22" t="n"/>
      <c r="V71" s="22" t="n"/>
      <c r="W71" s="22" t="n"/>
      <c r="X71" s="22" t="n"/>
      <c r="Y71" s="22" t="n"/>
      <c r="Z71" s="22" t="n"/>
      <c r="AA71" s="22" t="n"/>
      <c r="AB71" s="22" t="n"/>
      <c r="AC71" s="22" t="n"/>
      <c r="AD71" s="22" t="n"/>
      <c r="AE71" s="22" t="n"/>
      <c r="AF71" s="22" t="n"/>
    </row>
    <row r="72">
      <c r="A72" s="63" t="n"/>
      <c r="B72" s="47" t="n">
        <v>66</v>
      </c>
      <c r="C72" s="44" t="inlineStr">
        <is>
          <t>Endeva</t>
        </is>
      </c>
      <c r="D72" s="44" t="inlineStr">
        <is>
          <t>Civil Society Organization (CSO)</t>
        </is>
      </c>
      <c r="E72" s="62" t="inlineStr">
        <is>
          <t>Think tanks</t>
        </is>
      </c>
      <c r="F72" s="44" t="inlineStr">
        <is>
          <t>System-innovation and inclusive-business organization working with companies, governments, and civil society to design scalable solutions, strengthen inclusive value chains, and generate evidence for systemic change.</t>
        </is>
      </c>
      <c r="G72" s="46" t="inlineStr">
        <is>
          <t>Cross-border / international</t>
        </is>
      </c>
      <c r="H72" s="47" t="inlineStr">
        <is>
          <t>"Land, Food and Forest"</t>
        </is>
      </c>
      <c r="I72" s="48" t="n"/>
      <c r="J72" s="62" t="n"/>
      <c r="K72" s="62" t="inlineStr">
        <is>
          <t>It worked on inclusive business/system innovation across sectors and did not use Brazilian biomes as a standard program boundary.</t>
        </is>
      </c>
      <c r="L72" s="62" t="inlineStr">
        <is>
          <t>Technical assistance / research</t>
        </is>
      </c>
      <c r="M72" s="61" t="inlineStr">
        <is>
          <t>Upstream</t>
        </is>
      </c>
      <c r="N72" s="61" t="inlineStr">
        <is>
          <t>Grant recipient</t>
        </is>
      </c>
      <c r="O72" s="61" t="inlineStr">
        <is>
          <t>Berlin, Germany</t>
        </is>
      </c>
      <c r="P72" s="62" t="inlineStr">
        <is>
          <t>Grantee</t>
        </is>
      </c>
      <c r="Q72" s="61" t="n"/>
      <c r="R72" s="61" t="n"/>
      <c r="S72" s="62" t="n"/>
      <c r="T72" s="62" t="inlineStr">
        <is>
          <t>—</t>
        </is>
      </c>
      <c r="U72" s="22" t="n"/>
      <c r="V72" s="22" t="n"/>
      <c r="W72" s="22" t="n"/>
      <c r="X72" s="22" t="n"/>
      <c r="Y72" s="22" t="n"/>
      <c r="Z72" s="22" t="n"/>
      <c r="AA72" s="22" t="n"/>
      <c r="AB72" s="22" t="n"/>
      <c r="AC72" s="22" t="n"/>
      <c r="AD72" s="22" t="n"/>
      <c r="AE72" s="22" t="n"/>
      <c r="AF72" s="22" t="n"/>
    </row>
    <row r="73">
      <c r="A73" s="63" t="n"/>
      <c r="B73" s="47" t="n">
        <v>67</v>
      </c>
      <c r="C73" s="44" t="inlineStr">
        <is>
          <t>Insper</t>
        </is>
      </c>
      <c r="D73" s="44" t="inlineStr">
        <is>
          <t>Civil Society Organization (CSO)</t>
        </is>
      </c>
      <c r="E73" s="62" t="inlineStr">
        <is>
          <t>Academia</t>
        </is>
      </c>
      <c r="F73" s="44" t="inlineStr">
        <is>
          <t>Higher education and research institution that trains leaders and produces applied knowledge in economics, business and public policy, supporting evidence-based decisions for sustainability transitions.</t>
        </is>
      </c>
      <c r="G73" s="46" t="inlineStr">
        <is>
          <t>State-level</t>
        </is>
      </c>
      <c r="H73" s="47" t="n"/>
      <c r="I73" s="48" t="n"/>
      <c r="J73" s="62" t="n"/>
      <c r="K73" s="62" t="inlineStr">
        <is>
          <t>It operated as an academic institution and did not present biome-defined projects as a primary organizing lens in this list.</t>
        </is>
      </c>
      <c r="L73" s="62" t="inlineStr">
        <is>
          <t>Technical assistance / research</t>
        </is>
      </c>
      <c r="M73" s="61" t="inlineStr">
        <is>
          <t>Upstream</t>
        </is>
      </c>
      <c r="N73" s="61" t="inlineStr">
        <is>
          <t>Strategic partner</t>
        </is>
      </c>
      <c r="O73" s="61" t="inlineStr">
        <is>
          <t>São Paulo, SP, Brazil</t>
        </is>
      </c>
      <c r="P73" s="62" t="inlineStr">
        <is>
          <t>Grantee</t>
        </is>
      </c>
      <c r="Q73" s="61" t="n"/>
      <c r="R73" s="55" t="inlineStr">
        <is>
          <t>https://www.insper.edu.br/pt</t>
        </is>
      </c>
      <c r="S73" s="62" t="inlineStr">
        <is>
          <t>Great plavce to explore data assessment on a range of IFK impact areas and biomes in Brazil.</t>
        </is>
      </c>
      <c r="T73" s="62" t="inlineStr">
        <is>
          <t>—</t>
        </is>
      </c>
      <c r="U73" s="22" t="n"/>
      <c r="V73" s="22" t="n"/>
      <c r="W73" s="22" t="n"/>
      <c r="X73" s="22" t="n"/>
      <c r="Y73" s="22" t="n"/>
      <c r="Z73" s="22" t="n"/>
      <c r="AA73" s="22" t="n"/>
      <c r="AB73" s="22" t="n"/>
      <c r="AC73" s="22" t="n"/>
      <c r="AD73" s="22" t="n"/>
      <c r="AE73" s="22" t="n"/>
      <c r="AF73" s="22" t="n"/>
    </row>
    <row r="74">
      <c r="A74" s="63" t="n"/>
      <c r="B74" s="47" t="n">
        <v>68</v>
      </c>
      <c r="C74" s="44" t="inlineStr">
        <is>
          <t>Positive Ventures</t>
        </is>
      </c>
      <c r="D74" s="44" t="inlineStr">
        <is>
          <t>Private sector</t>
        </is>
      </c>
      <c r="E74" s="62" t="inlineStr">
        <is>
          <t>Impact investors</t>
        </is>
      </c>
      <c r="F74" s="44" t="inlineStr">
        <is>
          <t>Impact venture capital investor supporting startups with measurable social/environmental outcomes, accelerating innovation and scaling solutions for inclusive and low-carbon transitions.</t>
        </is>
      </c>
      <c r="G74" s="46" t="inlineStr">
        <is>
          <t>National</t>
        </is>
      </c>
      <c r="H74" s="47" t="inlineStr">
        <is>
          <t>Buildings &amp; Transport, "Land, Food and Forest"</t>
        </is>
      </c>
      <c r="I74" s="48" t="n"/>
      <c r="J74" s="62" t="n"/>
      <c r="K74" s="62" t="inlineStr">
        <is>
          <t>A venture capital firm that invests in early-stage startups committed to generating positive and measurable social and environmental impact.</t>
        </is>
      </c>
      <c r="L74" s="62" t="inlineStr">
        <is>
          <t>Capital provider / Financial intermediary</t>
        </is>
      </c>
      <c r="M74" s="61" t="inlineStr">
        <is>
          <t>Midstream</t>
        </is>
      </c>
      <c r="N74" s="61" t="inlineStr">
        <is>
          <t>Grant recipient</t>
        </is>
      </c>
      <c r="O74" s="61" t="inlineStr">
        <is>
          <t>São Paulo, SP, Brazil</t>
        </is>
      </c>
      <c r="P74" s="62" t="inlineStr">
        <is>
          <t>Re-granter</t>
        </is>
      </c>
      <c r="Q74" s="61" t="n"/>
      <c r="R74" s="61" t="n"/>
      <c r="S74" s="62" t="n"/>
      <c r="T74" s="62" t="inlineStr">
        <is>
          <t>—</t>
        </is>
      </c>
      <c r="U74" s="22" t="n"/>
      <c r="V74" s="22" t="n"/>
      <c r="W74" s="22" t="n"/>
      <c r="X74" s="22" t="n"/>
      <c r="Y74" s="22" t="n"/>
      <c r="Z74" s="22" t="n"/>
      <c r="AA74" s="22" t="n"/>
      <c r="AB74" s="22" t="n"/>
      <c r="AC74" s="22" t="n"/>
      <c r="AD74" s="22" t="n"/>
      <c r="AE74" s="22" t="n"/>
      <c r="AF74" s="22" t="n"/>
    </row>
    <row r="75">
      <c r="A75" s="63" t="n"/>
      <c r="B75" s="47" t="n">
        <v>69</v>
      </c>
      <c r="C75" s="44" t="inlineStr">
        <is>
          <t>BMW Foundation Herbert Quandt</t>
        </is>
      </c>
      <c r="D75" s="44" t="inlineStr">
        <is>
          <t>Funders</t>
        </is>
      </c>
      <c r="E75" s="62" t="inlineStr">
        <is>
          <t>Philanthropy foundations</t>
        </is>
      </c>
      <c r="F75" s="44" t="inlineStr">
        <is>
          <t>Foundation that supports responsible leadership and social innovation, convening cross-sector networks and programs to address complex societal challenges.</t>
        </is>
      </c>
      <c r="G75" s="46" t="inlineStr">
        <is>
          <t>Cross-border / international</t>
        </is>
      </c>
      <c r="H75" s="47" t="n"/>
      <c r="I75" s="48" t="n"/>
      <c r="J75" s="62" t="n"/>
      <c r="K75" s="62" t="inlineStr">
        <is>
          <t>It ran leadership and social innovation programs internationally and did not provide a Brazil-biome-specific portfolio cut.</t>
        </is>
      </c>
      <c r="L75" s="62" t="inlineStr">
        <is>
          <t>Funder, Convenor/enablers</t>
        </is>
      </c>
      <c r="M75" s="61" t="inlineStr">
        <is>
          <t>Upstream</t>
        </is>
      </c>
      <c r="N75" s="61" t="inlineStr">
        <is>
          <t>Co-funding partner</t>
        </is>
      </c>
      <c r="O75" s="61" t="inlineStr">
        <is>
          <t>Munich, Germany</t>
        </is>
      </c>
      <c r="P75" s="62" t="inlineStr">
        <is>
          <t>Donor</t>
        </is>
      </c>
      <c r="Q75" s="61" t="inlineStr">
        <is>
          <t xml:space="preserve">Sandra Ortiz (Latin America Director) </t>
        </is>
      </c>
      <c r="R75" s="55" t="inlineStr">
        <is>
          <t>https://www.bmw-foundation.org/</t>
        </is>
      </c>
      <c r="S75" s="62" t="inlineStr">
        <is>
          <t xml:space="preserve">A strategic co-funding partner on ecossystem transformation, using SIB as a key element  to get there. </t>
        </is>
      </c>
      <c r="T75" s="62" t="inlineStr">
        <is>
          <t>—</t>
        </is>
      </c>
      <c r="U75" s="22" t="n"/>
      <c r="V75" s="22" t="n"/>
      <c r="W75" s="22" t="n"/>
      <c r="X75" s="22" t="n"/>
      <c r="Y75" s="22" t="n"/>
      <c r="Z75" s="22" t="n"/>
      <c r="AA75" s="22" t="n"/>
      <c r="AB75" s="22" t="n"/>
      <c r="AC75" s="22" t="n"/>
      <c r="AD75" s="22" t="n"/>
      <c r="AE75" s="22" t="n"/>
      <c r="AF75" s="22" t="n"/>
    </row>
    <row r="76">
      <c r="A76" s="63" t="n"/>
      <c r="B76" s="47" t="n">
        <v>70</v>
      </c>
      <c r="C76" s="44" t="inlineStr">
        <is>
          <t>Ford Foundation</t>
        </is>
      </c>
      <c r="D76" s="44" t="inlineStr">
        <is>
          <t>Funders</t>
        </is>
      </c>
      <c r="E76" s="62" t="inlineStr">
        <is>
          <t>Philanthropy foundations</t>
        </is>
      </c>
      <c r="F76" s="44" t="inlineStr">
        <is>
          <t>Global philanthropic foundation focused on social justice and reducing inequality; supports organizations and systemic agendas, including intersections with climate justice and rights.</t>
        </is>
      </c>
      <c r="G76" s="46" t="inlineStr">
        <is>
          <t>Cross-border / international</t>
        </is>
      </c>
      <c r="H76" s="47" t="inlineStr">
        <is>
          <t>"Land, Food and Forest"</t>
        </is>
      </c>
      <c r="I76" s="48" t="n"/>
      <c r="J76" s="62" t="n"/>
      <c r="K76" s="62" t="inlineStr">
        <is>
          <t>It funded broad social-justice agendas and did not define a consistent Brazil-biome program cut for this dataset.</t>
        </is>
      </c>
      <c r="L76" s="62" t="inlineStr">
        <is>
          <t>Funder, Strategic partner</t>
        </is>
      </c>
      <c r="M76" s="61" t="inlineStr">
        <is>
          <t>Upstream</t>
        </is>
      </c>
      <c r="N76" s="61" t="inlineStr">
        <is>
          <t>Co-funding partner</t>
        </is>
      </c>
      <c r="O76" s="61" t="inlineStr">
        <is>
          <t>New York, NY, USA</t>
        </is>
      </c>
      <c r="P76" s="62" t="inlineStr">
        <is>
          <t>Donor</t>
        </is>
      </c>
      <c r="Q76" s="61" t="inlineStr">
        <is>
          <t xml:space="preserve">Atila Rock (Brazil Country Director) </t>
        </is>
      </c>
      <c r="R76" s="57" t="inlineStr">
        <is>
          <t>https://www.fordfoundation.org/our-work-around-the-world/brazil-pt/</t>
        </is>
      </c>
      <c r="S76" s="62" t="inlineStr">
        <is>
          <t>Key partner to address climate change funding in the Amazon, specially on the forest and community based approaches.</t>
        </is>
      </c>
      <c r="T76" s="62" t="inlineStr">
        <is>
          <t>—</t>
        </is>
      </c>
      <c r="U76" s="22" t="n"/>
      <c r="V76" s="22" t="n"/>
      <c r="W76" s="22" t="n"/>
      <c r="X76" s="22" t="n"/>
      <c r="Y76" s="22" t="n"/>
      <c r="Z76" s="22" t="n"/>
      <c r="AA76" s="22" t="n"/>
      <c r="AB76" s="22" t="n"/>
      <c r="AC76" s="22" t="n"/>
      <c r="AD76" s="22" t="n"/>
      <c r="AE76" s="22" t="n"/>
      <c r="AF76" s="22" t="n"/>
    </row>
    <row r="77">
      <c r="A77" s="63" t="n"/>
      <c r="B77" s="47" t="n">
        <v>71</v>
      </c>
      <c r="C77" s="44" t="inlineStr">
        <is>
          <t>Instituto Sabin</t>
        </is>
      </c>
      <c r="D77" s="44" t="inlineStr">
        <is>
          <t>Civil Society Organization (CSO)</t>
        </is>
      </c>
      <c r="E77" s="62" t="inlineStr">
        <is>
          <t>Philanthropy foundations</t>
        </is>
      </c>
      <c r="F77" s="44" t="inlineStr">
        <is>
          <t>Corporate social investment institute linked to Grupo Sabin; supports initiatives and partnerships (commonly in health, education and community development) that build local capacities and inclusion.</t>
        </is>
      </c>
      <c r="G77" s="46" t="inlineStr">
        <is>
          <t>National</t>
        </is>
      </c>
      <c r="H77" s="47" t="n"/>
      <c r="I77" s="48" t="n"/>
      <c r="J77" s="62" t="n"/>
      <c r="K77" s="62" t="inlineStr">
        <is>
          <t>It focused on health/education/community partnerships and did not operate with a biome-based territorial strategy.</t>
        </is>
      </c>
      <c r="L77" s="62" t="inlineStr">
        <is>
          <t>Funder, Territorial anchor</t>
        </is>
      </c>
      <c r="M77" s="61" t="inlineStr">
        <is>
          <t>Upstream</t>
        </is>
      </c>
      <c r="N77" s="61" t="inlineStr">
        <is>
          <t>Co-funding partner</t>
        </is>
      </c>
      <c r="O77" s="61" t="inlineStr">
        <is>
          <t>Brasília, DF, Brazil</t>
        </is>
      </c>
      <c r="P77" s="62" t="inlineStr">
        <is>
          <t>Donor</t>
        </is>
      </c>
      <c r="Q77" s="61" t="inlineStr">
        <is>
          <t xml:space="preserve">Raquel Ribeiro Vaz (President) </t>
        </is>
      </c>
      <c r="R77" s="55" t="inlineStr">
        <is>
          <t>https://institutosabin.org.br/</t>
        </is>
      </c>
      <c r="S77" s="62" t="inlineStr">
        <is>
          <t xml:space="preserve">Could be a partner to co-fund a portfolio of projects in targeted cities (co-benefit agenda) </t>
        </is>
      </c>
      <c r="T77" s="62" t="inlineStr">
        <is>
          <t>—</t>
        </is>
      </c>
      <c r="U77" s="22" t="n"/>
      <c r="V77" s="22" t="n"/>
      <c r="W77" s="22" t="n"/>
      <c r="X77" s="22" t="n"/>
      <c r="Y77" s="22" t="n"/>
      <c r="Z77" s="22" t="n"/>
      <c r="AA77" s="22" t="n"/>
      <c r="AB77" s="22" t="n"/>
      <c r="AC77" s="22" t="n"/>
      <c r="AD77" s="22" t="n"/>
      <c r="AE77" s="22" t="n"/>
      <c r="AF77" s="22" t="n"/>
    </row>
    <row r="78">
      <c r="A78" s="63" t="n"/>
      <c r="B78" s="47" t="n">
        <v>72</v>
      </c>
      <c r="C78" s="44" t="inlineStr">
        <is>
          <t>Instituto Phi</t>
        </is>
      </c>
      <c r="D78" s="44" t="inlineStr">
        <is>
          <t>Civil Society Organization (CSO)</t>
        </is>
      </c>
      <c r="E78" s="62" t="inlineStr">
        <is>
          <t>Philanthropy foundations</t>
        </is>
      </c>
      <c r="F78" s="44" t="inlineStr">
        <is>
          <t>Philanthropy organization that mobilizes donors and structures giving toward high-impact projects, strengthening the Brazilian giving ecosystem and scaling effective initiatives.</t>
        </is>
      </c>
      <c r="G78" s="46" t="inlineStr">
        <is>
          <t>National</t>
        </is>
      </c>
      <c r="H78" s="47" t="inlineStr">
        <is>
          <t>Buildings &amp; Transport, Energy, "Land, Food and Forest"</t>
        </is>
      </c>
      <c r="I78" s="48" t="n"/>
      <c r="J78" s="62" t="n"/>
      <c r="K78" s="62" t="inlineStr">
        <is>
          <t>It mobilized donors and structured giving nationally and did not target interventions using biome boundaries.</t>
        </is>
      </c>
      <c r="L78" s="62" t="inlineStr">
        <is>
          <t>Project developer / Implementer, Convenor/enablers, Implementation capacity (delivery)</t>
        </is>
      </c>
      <c r="M78" s="61" t="inlineStr">
        <is>
          <t>Midstream</t>
        </is>
      </c>
      <c r="N78" s="61" t="inlineStr">
        <is>
          <t>Grant recipient</t>
        </is>
      </c>
      <c r="O78" s="61" t="inlineStr">
        <is>
          <t>Rio de Janeiro, RJ, Brazil</t>
        </is>
      </c>
      <c r="P78" s="62" t="inlineStr">
        <is>
          <t>Grantee</t>
        </is>
      </c>
      <c r="Q78" s="61" t="inlineStr">
        <is>
          <t xml:space="preserve">Luíza Serpa (Executive Director) </t>
        </is>
      </c>
      <c r="R78" s="64" t="inlineStr">
        <is>
          <t>Instituto Phi</t>
        </is>
      </c>
      <c r="S78" s="62" t="inlineStr">
        <is>
          <t xml:space="preserve">A relevant potential regreting organizatio to addres international Foundation work in Brazil. Track reccord doing that (LATIMPACTO, among others). </t>
        </is>
      </c>
      <c r="T78" s="62" t="inlineStr">
        <is>
          <t>—</t>
        </is>
      </c>
      <c r="U78" s="22" t="n"/>
      <c r="V78" s="22" t="n"/>
      <c r="W78" s="22" t="n"/>
      <c r="X78" s="22" t="n"/>
      <c r="Y78" s="22" t="n"/>
      <c r="Z78" s="22" t="n"/>
      <c r="AA78" s="22" t="n"/>
      <c r="AB78" s="22" t="n"/>
      <c r="AC78" s="22" t="n"/>
      <c r="AD78" s="22" t="n"/>
      <c r="AE78" s="22" t="n"/>
      <c r="AF78" s="22" t="n"/>
    </row>
    <row r="79">
      <c r="A79" s="63" t="n"/>
      <c r="B79" s="47" t="n">
        <v>73</v>
      </c>
      <c r="C79" s="44" t="inlineStr">
        <is>
          <t>Deloitte</t>
        </is>
      </c>
      <c r="D79" s="44" t="inlineStr">
        <is>
          <t>Private sector</t>
        </is>
      </c>
      <c r="E79" s="62" t="inlineStr">
        <is>
          <t>Private companies (large / leading)</t>
        </is>
      </c>
      <c r="F79" s="44" t="inlineStr">
        <is>
          <t>Professional services firm that can support transitions through ESG strategy, governance, risk management, compliance, measurement, and implementation support for organizations.</t>
        </is>
      </c>
      <c r="G79" s="46" t="inlineStr">
        <is>
          <t>Cross-border / international</t>
        </is>
      </c>
      <c r="H79" s="47" t="n"/>
      <c r="I79" s="48" t="n"/>
      <c r="J79" s="62" t="n"/>
      <c r="K79" s="62" t="inlineStr">
        <is>
          <t>It provided advisory services across sectors and geographies and did not apply a biome-specific delivery model.</t>
        </is>
      </c>
      <c r="L79" s="62" t="inlineStr">
        <is>
          <t>Technical assistance / research, Data / MRV / platforms</t>
        </is>
      </c>
      <c r="M79" s="61" t="inlineStr">
        <is>
          <t>Upstream</t>
        </is>
      </c>
      <c r="N79" s="61" t="inlineStr">
        <is>
          <t>Co-funding partner</t>
        </is>
      </c>
      <c r="O79" s="61" t="inlineStr">
        <is>
          <t>London, United Kingdom</t>
        </is>
      </c>
      <c r="P79" s="62" t="inlineStr">
        <is>
          <t>Donor</t>
        </is>
      </c>
      <c r="Q79" s="61" t="n"/>
      <c r="R79" s="61" t="n"/>
      <c r="S79" s="62" t="n"/>
      <c r="T79" s="62" t="inlineStr">
        <is>
          <t>—</t>
        </is>
      </c>
      <c r="U79" s="22" t="n"/>
      <c r="V79" s="22" t="n"/>
      <c r="W79" s="22" t="n"/>
      <c r="X79" s="22" t="n"/>
      <c r="Y79" s="22" t="n"/>
      <c r="Z79" s="22" t="n"/>
      <c r="AA79" s="22" t="n"/>
      <c r="AB79" s="22" t="n"/>
      <c r="AC79" s="22" t="n"/>
      <c r="AD79" s="22" t="n"/>
      <c r="AE79" s="22" t="n"/>
      <c r="AF79" s="22" t="n"/>
    </row>
    <row r="80">
      <c r="A80" s="63" t="n"/>
      <c r="B80" s="47" t="n">
        <v>74</v>
      </c>
      <c r="C80" s="44" t="inlineStr">
        <is>
          <t>Centro de Estudos em Sustentabilidade da FGV (FGVces)</t>
        </is>
      </c>
      <c r="D80" s="44" t="inlineStr">
        <is>
          <t>Funders</t>
        </is>
      </c>
      <c r="E80" s="62" t="inlineStr">
        <is>
          <t>Monitoring, Evaluation, and Learning</t>
        </is>
      </c>
      <c r="F80" s="44" t="inlineStr">
        <is>
          <t>Applied sustainability research center that develops methods, metrics and convening to inform corporate strategies and public policies for low-carbon and inclusive transitions.</t>
        </is>
      </c>
      <c r="G80" s="46" t="inlineStr">
        <is>
          <t>National</t>
        </is>
      </c>
      <c r="H80" s="47" t="inlineStr">
        <is>
          <t>Buildings &amp; Transport, Emergency response, Energy, "Land, Food and Forest"</t>
        </is>
      </c>
      <c r="I80" s="48" t="n"/>
      <c r="J80" s="62" t="n"/>
      <c r="K80" s="62" t="inlineStr">
        <is>
          <t>It produced applied research and convening and did not define its work through biome-specific implementation portfolios.</t>
        </is>
      </c>
      <c r="L80" s="62" t="inlineStr">
        <is>
          <t>Technical assistance / research, Data / MRV / platforms</t>
        </is>
      </c>
      <c r="M80" s="61" t="inlineStr">
        <is>
          <t>Upstream</t>
        </is>
      </c>
      <c r="N80" s="61" t="inlineStr">
        <is>
          <t>Grant recipient</t>
        </is>
      </c>
      <c r="O80" s="61" t="inlineStr">
        <is>
          <t>São Paulo, SP, Brazil</t>
        </is>
      </c>
      <c r="P80" s="62" t="inlineStr">
        <is>
          <t>Grantee</t>
        </is>
      </c>
      <c r="Q80" s="61" t="n"/>
      <c r="R80" s="61" t="n"/>
      <c r="S80" s="62" t="inlineStr">
        <is>
          <t>Could be a research parner for IKF in Brazil.</t>
        </is>
      </c>
      <c r="T80" s="62" t="inlineStr">
        <is>
          <t>Impact measurement methodology, corporate sustainability metrics and climate policy evaluation</t>
        </is>
      </c>
      <c r="U80" s="22" t="n"/>
      <c r="V80" s="22" t="n"/>
      <c r="W80" s="22" t="n"/>
      <c r="X80" s="22" t="n"/>
      <c r="Y80" s="22" t="n"/>
      <c r="Z80" s="22" t="n"/>
      <c r="AA80" s="22" t="n"/>
      <c r="AB80" s="22" t="n"/>
      <c r="AC80" s="22" t="n"/>
      <c r="AD80" s="22" t="n"/>
      <c r="AE80" s="22" t="n"/>
      <c r="AF80" s="22" t="n"/>
    </row>
    <row r="81">
      <c r="A81" s="63" t="n"/>
      <c r="B81" s="47" t="n">
        <v>75</v>
      </c>
      <c r="C81" s="44" t="inlineStr">
        <is>
          <t>Fundação Dom Cabral (FDC)</t>
        </is>
      </c>
      <c r="D81" s="44" t="inlineStr">
        <is>
          <t>Funders</t>
        </is>
      </c>
      <c r="E81" s="62" t="inlineStr">
        <is>
          <t>Academia</t>
        </is>
      </c>
      <c r="F81" s="44" t="inlineStr">
        <is>
          <t>Business school providing executive education and applied research; strengthens leadership, governance and organizational capabilities for sustainability and systemic transformation.</t>
        </is>
      </c>
      <c r="G81" s="46" t="inlineStr">
        <is>
          <t>National</t>
        </is>
      </c>
      <c r="H81" s="47" t="n"/>
      <c r="I81" s="48" t="n"/>
      <c r="J81" s="62" t="n"/>
      <c r="K81" s="62" t="inlineStr">
        <is>
          <t>It delivered executive education and applied research and did not organize activities through biome-based cuts.</t>
        </is>
      </c>
      <c r="L81" s="62" t="inlineStr">
        <is>
          <t>Technical assistance / research</t>
        </is>
      </c>
      <c r="M81" s="61" t="inlineStr">
        <is>
          <t>Upstream</t>
        </is>
      </c>
      <c r="N81" s="61" t="inlineStr">
        <is>
          <t>Grant recipient</t>
        </is>
      </c>
      <c r="O81" s="61" t="inlineStr">
        <is>
          <t>Nova Lima, MG, Brazil</t>
        </is>
      </c>
      <c r="P81" s="62" t="inlineStr">
        <is>
          <t>Grantee</t>
        </is>
      </c>
      <c r="Q81" s="61" t="n"/>
      <c r="R81" s="61" t="n"/>
      <c r="S81" s="62" t="inlineStr">
        <is>
          <t>Could be a research parner for IKF in Brazil.</t>
        </is>
      </c>
      <c r="T81" s="62" t="inlineStr">
        <is>
          <t>—</t>
        </is>
      </c>
      <c r="U81" s="65" t="n"/>
      <c r="V81" s="65" t="n"/>
      <c r="W81" s="65" t="n"/>
      <c r="X81" s="65" t="n"/>
      <c r="Y81" s="65" t="n"/>
      <c r="Z81" s="65" t="n"/>
      <c r="AA81" s="65" t="n"/>
      <c r="AB81" s="65" t="n"/>
      <c r="AC81" s="65" t="n"/>
      <c r="AD81" s="65" t="n"/>
      <c r="AE81" s="65" t="n"/>
      <c r="AF81" s="65" t="n"/>
    </row>
    <row r="82">
      <c r="A82" s="63" t="n"/>
      <c r="B82" s="47" t="n">
        <v>76</v>
      </c>
      <c r="C82" s="44" t="inlineStr">
        <is>
          <t>Instituto Brasileiro de Governança Corporativa (IBGC)</t>
        </is>
      </c>
      <c r="D82" s="44" t="inlineStr">
        <is>
          <t>Civil Society Organization (CSO)</t>
        </is>
      </c>
      <c r="E82" s="62" t="inlineStr">
        <is>
          <t>Industry platforms and sectoral initiatives</t>
        </is>
      </c>
      <c r="F82" s="44" t="inlineStr">
        <is>
          <t>Reference institution for corporate governance in Brazil; disseminates standards and training that strengthen accountability, transparency and long-term value creation aligned with sustainability.</t>
        </is>
      </c>
      <c r="G82" s="46" t="inlineStr">
        <is>
          <t>National</t>
        </is>
      </c>
      <c r="H82" s="47" t="n"/>
      <c r="I82" s="48" t="n"/>
      <c r="J82" s="62" t="n"/>
      <c r="K82" s="62" t="inlineStr">
        <is>
          <t>It disseminated governance standards and training nationally and did not use biomes as an operational lens.</t>
        </is>
      </c>
      <c r="L82" s="62" t="inlineStr">
        <is>
          <t>Policy influence / regulation, Convenor/enablers</t>
        </is>
      </c>
      <c r="M82" s="61" t="inlineStr">
        <is>
          <t>Upstream</t>
        </is>
      </c>
      <c r="N82" s="61" t="inlineStr">
        <is>
          <t>Grant recipient</t>
        </is>
      </c>
      <c r="O82" s="61" t="inlineStr">
        <is>
          <t>São Paulo, SP, Brazil</t>
        </is>
      </c>
      <c r="P82" s="62" t="inlineStr">
        <is>
          <t>Grantee</t>
        </is>
      </c>
      <c r="Q82" s="61" t="n"/>
      <c r="R82" s="61" t="n"/>
      <c r="S82" s="62" t="inlineStr">
        <is>
          <t xml:space="preserve">Could be an important partner to advance governance in philanthropy in Brazil. </t>
        </is>
      </c>
      <c r="T82" s="62" t="inlineStr">
        <is>
          <t>—</t>
        </is>
      </c>
      <c r="U82" s="65" t="n"/>
      <c r="V82" s="65" t="n"/>
      <c r="W82" s="65" t="n"/>
      <c r="X82" s="65" t="n"/>
      <c r="Y82" s="65" t="n"/>
      <c r="Z82" s="65" t="n"/>
      <c r="AA82" s="65" t="n"/>
      <c r="AB82" s="65" t="n"/>
      <c r="AC82" s="65" t="n"/>
      <c r="AD82" s="65" t="n"/>
      <c r="AE82" s="65" t="n"/>
      <c r="AF82" s="65" t="n"/>
    </row>
    <row r="83">
      <c r="A83" s="63" t="n"/>
      <c r="B83" s="47" t="n">
        <v>77</v>
      </c>
      <c r="C83" s="44" t="inlineStr">
        <is>
          <t>Escola Superior de Agricultura Luiz de Queiroz da USP (ESALQ/USP)</t>
        </is>
      </c>
      <c r="D83" s="44" t="inlineStr">
        <is>
          <t>Public sector</t>
        </is>
      </c>
      <c r="E83" s="62" t="inlineStr">
        <is>
          <t>Academia</t>
        </is>
      </c>
      <c r="F83" s="44" t="inlineStr">
        <is>
          <t>USP school dedicated to teaching and research in agrifood systems and land use; contributes via innovation for sustainable agriculture, climate adaptation and bioeconomy.</t>
        </is>
      </c>
      <c r="G83" s="46" t="inlineStr">
        <is>
          <t>State-level</t>
        </is>
      </c>
      <c r="H83" s="47" t="n"/>
      <c r="I83" s="48" t="n"/>
      <c r="J83" s="62" t="n"/>
      <c r="K83" s="62" t="inlineStr">
        <is>
          <t>It operated as an academic/research school and did not present a stable set of biome-targeted projects in this list.</t>
        </is>
      </c>
      <c r="L83" s="62" t="inlineStr">
        <is>
          <t>Technical assistance / research</t>
        </is>
      </c>
      <c r="M83" s="61" t="inlineStr">
        <is>
          <t>Upstream</t>
        </is>
      </c>
      <c r="N83" s="61" t="inlineStr">
        <is>
          <t>Grant recipient</t>
        </is>
      </c>
      <c r="O83" s="61" t="inlineStr">
        <is>
          <t>Piracicaba, SP, Brazil</t>
        </is>
      </c>
      <c r="P83" s="62" t="inlineStr">
        <is>
          <t>Grantee</t>
        </is>
      </c>
      <c r="Q83" s="61" t="n"/>
      <c r="R83" s="61" t="n"/>
      <c r="S83" s="62" t="inlineStr">
        <is>
          <t xml:space="preserve">Could be an important partner to advance governance in philanthropy in Brazil. </t>
        </is>
      </c>
      <c r="T83" s="62" t="inlineStr">
        <is>
          <t>—</t>
        </is>
      </c>
      <c r="U83" s="65" t="n"/>
      <c r="V83" s="65" t="n"/>
      <c r="W83" s="65" t="n"/>
      <c r="X83" s="65" t="n"/>
      <c r="Y83" s="65" t="n"/>
      <c r="Z83" s="65" t="n"/>
      <c r="AA83" s="65" t="n"/>
      <c r="AB83" s="65" t="n"/>
      <c r="AC83" s="65" t="n"/>
      <c r="AD83" s="65" t="n"/>
      <c r="AE83" s="65" t="n"/>
      <c r="AF83" s="65" t="n"/>
    </row>
    <row r="84">
      <c r="A84" s="63" t="n"/>
      <c r="B84" s="47" t="n">
        <v>78</v>
      </c>
      <c r="C84" s="44" t="inlineStr">
        <is>
          <t>Bemtevi</t>
        </is>
      </c>
      <c r="D84" s="44" t="inlineStr">
        <is>
          <t>Private sector</t>
        </is>
      </c>
      <c r="E84" s="62" t="inlineStr">
        <is>
          <t>Private companies (SMEs / local enterprises)</t>
        </is>
      </c>
      <c r="F84" s="44" t="inlineStr">
        <is>
          <t>Impact-oriented organization/consultancy that supports strategy, partnerships and implementation of socio-environmental projects, helping scale solutions across territories and value chains.</t>
        </is>
      </c>
      <c r="G84" s="46" t="inlineStr">
        <is>
          <t>National</t>
        </is>
      </c>
      <c r="H84" s="47" t="inlineStr">
        <is>
          <t>Buildings &amp; Transport, Energy, "Land, Food and Forest"</t>
        </is>
      </c>
      <c r="I84" s="48" t="n"/>
      <c r="J84" s="62" t="n"/>
      <c r="K84" s="62" t="inlineStr">
        <is>
          <t>It supported projects across territories and value chains, but no consistent biome-defined portfolio was identified in this mapping.</t>
        </is>
      </c>
      <c r="L84" s="62" t="inlineStr">
        <is>
          <t>Capital provider / Financial intermediary</t>
        </is>
      </c>
      <c r="M84" s="61" t="inlineStr">
        <is>
          <t>Midstream</t>
        </is>
      </c>
      <c r="N84" s="61" t="inlineStr">
        <is>
          <t>Co-funding partner</t>
        </is>
      </c>
      <c r="O84" s="61" t="inlineStr">
        <is>
          <t>São Paulo, SP, Brazil</t>
        </is>
      </c>
      <c r="P84" s="62" t="inlineStr">
        <is>
          <t>Re-granter</t>
        </is>
      </c>
      <c r="Q84" s="61" t="n"/>
      <c r="R84" s="61" t="n"/>
      <c r="S84" s="62" t="n"/>
      <c r="T84" s="62" t="inlineStr">
        <is>
          <t>—</t>
        </is>
      </c>
      <c r="U84" s="65" t="n"/>
      <c r="V84" s="65" t="n"/>
      <c r="W84" s="65" t="n"/>
      <c r="X84" s="65" t="n"/>
      <c r="Y84" s="65" t="n"/>
      <c r="Z84" s="65" t="n"/>
      <c r="AA84" s="65" t="n"/>
      <c r="AB84" s="65" t="n"/>
      <c r="AC84" s="65" t="n"/>
      <c r="AD84" s="65" t="n"/>
      <c r="AE84" s="65" t="n"/>
      <c r="AF84" s="65" t="n"/>
    </row>
    <row r="85">
      <c r="A85" s="63" t="n"/>
      <c r="B85" s="47" t="n">
        <v>79</v>
      </c>
      <c r="C85" s="44" t="inlineStr">
        <is>
          <t>Climate and Land Use Alliance (CLUA)</t>
        </is>
      </c>
      <c r="D85" s="44" t="inlineStr">
        <is>
          <t>Funders</t>
        </is>
      </c>
      <c r="E85" s="62" t="inlineStr">
        <is>
          <t>Alliances</t>
        </is>
      </c>
      <c r="F85" s="44" t="inlineStr">
        <is>
          <t>Alliance of philanthropic foundations that aligns strategies and funding to reduce deforestation, improve land-use governance, and advance climate and nature outcomes with social benefits.</t>
        </is>
      </c>
      <c r="G85" s="46" t="inlineStr">
        <is>
          <t>Cross-border / international</t>
        </is>
      </c>
      <c r="H85" s="47" t="inlineStr">
        <is>
          <t>"Land, Food and Forest"</t>
        </is>
      </c>
      <c r="I85" s="60" t="inlineStr">
        <is>
          <t>Amazonia, Cerrado</t>
        </is>
      </c>
      <c r="J85" s="62" t="n"/>
      <c r="K85" s="62" t="inlineStr">
        <is>
          <t>It aligned funding to reduce deforestation with a clear emphasis on Amazonia and also supported land-use governance agendas linked to Cerrado.</t>
        </is>
      </c>
      <c r="L85" s="62" t="inlineStr">
        <is>
          <t>Funder, Strategic partner</t>
        </is>
      </c>
      <c r="M85" s="61" t="inlineStr">
        <is>
          <t>Upstream</t>
        </is>
      </c>
      <c r="N85" s="61" t="inlineStr">
        <is>
          <t>Co-funding partner</t>
        </is>
      </c>
      <c r="O85" s="61" t="inlineStr">
        <is>
          <t>San Francisco, CA, USA</t>
        </is>
      </c>
      <c r="P85" s="62" t="inlineStr">
        <is>
          <t>Donor</t>
        </is>
      </c>
      <c r="Q85" s="61" t="inlineStr">
        <is>
          <t xml:space="preserve">Atila Rock (FFoundation BRAZIL Country Director) </t>
        </is>
      </c>
      <c r="R85" s="66" t="inlineStr">
        <is>
          <t>https://climateandlandusealliance.org › ...</t>
        </is>
      </c>
      <c r="S85" s="62" t="inlineStr">
        <is>
          <t>Relkevant strategic and co-funding partner for IKF in Brazil in different arenas: biomes and impact areas.</t>
        </is>
      </c>
      <c r="T85" s="62" t="inlineStr">
        <is>
          <t>—</t>
        </is>
      </c>
      <c r="U85" s="65" t="n"/>
      <c r="V85" s="65" t="n"/>
      <c r="W85" s="65" t="n"/>
      <c r="X85" s="65" t="n"/>
      <c r="Y85" s="65" t="n"/>
      <c r="Z85" s="65" t="n"/>
      <c r="AA85" s="65" t="n"/>
      <c r="AB85" s="65" t="n"/>
      <c r="AC85" s="65" t="n"/>
      <c r="AD85" s="65" t="n"/>
      <c r="AE85" s="65" t="n"/>
      <c r="AF85" s="65" t="n"/>
    </row>
    <row r="86">
      <c r="A86" s="67" t="n"/>
      <c r="B86" s="47" t="n">
        <v>80</v>
      </c>
      <c r="C86" s="44" t="inlineStr">
        <is>
          <t>AMAZ</t>
        </is>
      </c>
      <c r="D86" s="44" t="inlineStr">
        <is>
          <t>Civil Society Organization (CSO)</t>
        </is>
      </c>
      <c r="E86" s="62" t="inlineStr">
        <is>
          <t>Impact investors</t>
        </is>
      </c>
      <c r="F86" s="44" t="inlineStr">
        <is>
          <t>Impact accelerator and investor focused on the Amazon region; supports impact enterprises that generate positive outcomes for forests and local populations, strengthening sustainable business models and access to finance/markets.</t>
        </is>
      </c>
      <c r="G86" s="46" t="inlineStr">
        <is>
          <t>Regional</t>
        </is>
      </c>
      <c r="H86" s="47" t="inlineStr">
        <is>
          <t>"Land, Food and Forest"</t>
        </is>
      </c>
      <c r="I86" s="48" t="inlineStr">
        <is>
          <t>Amazonia</t>
        </is>
      </c>
      <c r="J86" s="62" t="n"/>
      <c r="K86" s="62" t="inlineStr">
        <is>
          <t>It focused its acceleration and investment mandate on the Amazon region, which anchored its work in Amazonia.</t>
        </is>
      </c>
      <c r="L86" s="62" t="inlineStr">
        <is>
          <t>Capital provider / Financial intermediary</t>
        </is>
      </c>
      <c r="M86" s="61" t="inlineStr">
        <is>
          <t>Midstream</t>
        </is>
      </c>
      <c r="N86" s="61" t="inlineStr">
        <is>
          <t>Grant recipient</t>
        </is>
      </c>
      <c r="O86" s="61" t="inlineStr">
        <is>
          <t>Manaus, AM, Brazil</t>
        </is>
      </c>
      <c r="P86" s="62" t="inlineStr">
        <is>
          <t>Re-granter</t>
        </is>
      </c>
      <c r="Q86" s="61" t="inlineStr">
        <is>
          <t>SIB "arm" in the Amazon, as a spin-off of IDESAM. Could be a fund holder for SIB in the Amazon.</t>
        </is>
      </c>
      <c r="R86" s="61" t="n"/>
      <c r="S86" s="62" t="n"/>
      <c r="T86" s="62" t="inlineStr">
        <is>
          <t>—</t>
        </is>
      </c>
      <c r="U86" s="67" t="n"/>
      <c r="V86" s="67" t="n"/>
      <c r="W86" s="67" t="n"/>
      <c r="X86" s="67" t="n"/>
      <c r="Y86" s="67" t="n"/>
      <c r="Z86" s="67" t="n"/>
      <c r="AA86" s="67" t="n"/>
      <c r="AB86" s="67" t="n"/>
      <c r="AC86" s="67" t="n"/>
      <c r="AD86" s="67" t="n"/>
      <c r="AE86" s="67" t="n"/>
      <c r="AF86" s="67" t="n"/>
    </row>
    <row r="87">
      <c r="A87" s="67" t="n"/>
      <c r="B87" s="47" t="n">
        <v>81</v>
      </c>
      <c r="C87" s="44" t="inlineStr">
        <is>
          <t>Mercado Livre</t>
        </is>
      </c>
      <c r="D87" s="44" t="inlineStr">
        <is>
          <t>Private sector</t>
        </is>
      </c>
      <c r="E87" s="62" t="inlineStr">
        <is>
          <t>Private companies (large / leading)</t>
        </is>
      </c>
      <c r="F87" s="44" t="inlineStr">
        <is>
          <t>Leading e-commerce and logistics company in Latin America; can influence systemic transition through low-carbon logistics, responsible packaging, supplier standards, and scaling access for SMEs and sustainable products.</t>
        </is>
      </c>
      <c r="G87" s="46" t="inlineStr">
        <is>
          <t>Cross-border / international</t>
        </is>
      </c>
      <c r="H87" s="47" t="inlineStr">
        <is>
          <t>Buildings &amp; Transport</t>
        </is>
      </c>
      <c r="I87" s="48" t="n"/>
      <c r="J87" s="62" t="n"/>
      <c r="K87" s="62" t="inlineStr">
        <is>
          <t>It operated through regional logistics and platform services and did not define actions using Brazilian biome boundaries.</t>
        </is>
      </c>
      <c r="L87" s="62" t="inlineStr">
        <is>
          <t>Strategic partner, Implementation capacity (delivery)</t>
        </is>
      </c>
      <c r="M87" s="61" t="inlineStr">
        <is>
          <t>Downstream</t>
        </is>
      </c>
      <c r="N87" s="61" t="inlineStr">
        <is>
          <t>Co-funding partner</t>
        </is>
      </c>
      <c r="O87" s="61" t="inlineStr">
        <is>
          <t>Buenos Aires, Argentina</t>
        </is>
      </c>
      <c r="P87" s="62" t="inlineStr">
        <is>
          <t>Donor</t>
        </is>
      </c>
      <c r="Q87" s="61" t="n"/>
      <c r="R87" s="61" t="n"/>
      <c r="S87" s="62" t="n"/>
      <c r="T87" s="62" t="inlineStr">
        <is>
          <t>—</t>
        </is>
      </c>
      <c r="U87" s="67" t="n"/>
      <c r="V87" s="67" t="n"/>
      <c r="W87" s="67" t="n"/>
      <c r="X87" s="67" t="n"/>
      <c r="Y87" s="67" t="n"/>
      <c r="Z87" s="67" t="n"/>
      <c r="AA87" s="67" t="n"/>
      <c r="AB87" s="67" t="n"/>
      <c r="AC87" s="67" t="n"/>
      <c r="AD87" s="67" t="n"/>
      <c r="AE87" s="67" t="n"/>
      <c r="AF87" s="67" t="n"/>
    </row>
    <row r="88">
      <c r="A88" s="67" t="n"/>
      <c r="B88" s="47" t="n">
        <v>82</v>
      </c>
      <c r="C88" s="44" t="inlineStr">
        <is>
          <t>Amazon</t>
        </is>
      </c>
      <c r="D88" s="44" t="inlineStr">
        <is>
          <t>Private sector</t>
        </is>
      </c>
      <c r="E88" s="62" t="inlineStr">
        <is>
          <t>Private companies (large / leading)</t>
        </is>
      </c>
      <c r="F88" s="44" t="inlineStr">
        <is>
          <t>Global e-commerce, cloud and logistics company; can influence systemic transition via renewable energy procurement, low-carbon logistics, responsible supply chains, and scaling digital infrastructure for climate and inclusion solutions.</t>
        </is>
      </c>
      <c r="G88" s="46" t="inlineStr">
        <is>
          <t>Cross-border / international</t>
        </is>
      </c>
      <c r="H88" s="47" t="inlineStr">
        <is>
          <t>Buildings &amp; Transport</t>
        </is>
      </c>
      <c r="I88" s="48" t="n"/>
      <c r="J88" s="62" t="n"/>
      <c r="K88" s="62" t="inlineStr">
        <is>
          <t>It ran global logistics/cloud operations and did not structure Brazil activities by biome in a way that was identifiable for this mapping.</t>
        </is>
      </c>
      <c r="L88" s="62" t="inlineStr">
        <is>
          <t>Strategic partner, Implementation capacity (delivery)</t>
        </is>
      </c>
      <c r="M88" s="61" t="inlineStr">
        <is>
          <t>Downstream</t>
        </is>
      </c>
      <c r="N88" s="61" t="inlineStr">
        <is>
          <t>Co-funding partner</t>
        </is>
      </c>
      <c r="O88" s="61" t="inlineStr">
        <is>
          <t>Seattle, WA, USA</t>
        </is>
      </c>
      <c r="P88" s="62" t="inlineStr">
        <is>
          <t>Donor</t>
        </is>
      </c>
      <c r="Q88" s="61" t="n"/>
      <c r="R88" s="61" t="n"/>
      <c r="S88" s="62" t="n"/>
      <c r="T88" s="62" t="inlineStr">
        <is>
          <t>—</t>
        </is>
      </c>
      <c r="U88" s="67" t="n"/>
      <c r="V88" s="67" t="n"/>
      <c r="W88" s="67" t="n"/>
      <c r="X88" s="67" t="n"/>
      <c r="Y88" s="67" t="n"/>
      <c r="Z88" s="67" t="n"/>
      <c r="AA88" s="67" t="n"/>
      <c r="AB88" s="67" t="n"/>
      <c r="AC88" s="67" t="n"/>
      <c r="AD88" s="67" t="n"/>
      <c r="AE88" s="67" t="n"/>
      <c r="AF88" s="67" t="n"/>
    </row>
    <row r="89">
      <c r="A89" s="67" t="n"/>
      <c r="B89" s="47" t="n">
        <v>83</v>
      </c>
      <c r="C89" s="44" t="inlineStr">
        <is>
          <t>CocoaAction Brasil</t>
        </is>
      </c>
      <c r="D89" s="44" t="inlineStr">
        <is>
          <t>Others</t>
        </is>
      </c>
      <c r="E89" s="62" t="inlineStr">
        <is>
          <t>Multi-stakeholder initiatives</t>
        </is>
      </c>
      <c r="F89" s="44" t="inlineStr">
        <is>
          <t>Pre-competitive public–private cocoa-sector platform that aligns companies, government and partners to advance sustainable, forest-positive cocoa production, improve farmer livelihoods, and strengthen responsible value chains.</t>
        </is>
      </c>
      <c r="G89" s="46" t="inlineStr">
        <is>
          <t>National</t>
        </is>
      </c>
      <c r="H89" s="47" t="inlineStr">
        <is>
          <t>"Land, Food and Forest"</t>
        </is>
      </c>
      <c r="I89" s="48" t="inlineStr">
        <is>
          <t>Amazonia</t>
        </is>
      </c>
      <c r="J89" s="62" t="inlineStr">
        <is>
          <t>Mata&amp;Atlântica</t>
        </is>
      </c>
      <c r="K89" s="62" t="inlineStr">
        <is>
          <t>It supported cocoa value chains strongly linked to Bahia (Mata Atlântica) and also connected to Amazon-region cocoa expansion/production landscapes (Amazonia).</t>
        </is>
      </c>
      <c r="L89" s="62" t="inlineStr">
        <is>
          <t>Convenor/enablers, Project developer / Implementer</t>
        </is>
      </c>
      <c r="M89" s="61" t="inlineStr">
        <is>
          <t>Midstream</t>
        </is>
      </c>
      <c r="N89" s="61" t="inlineStr">
        <is>
          <t>Co-funding partner</t>
        </is>
      </c>
      <c r="O89" s="61" t="inlineStr">
        <is>
          <t>São Paulo, SP, Brazil</t>
        </is>
      </c>
      <c r="P89" s="62" t="inlineStr">
        <is>
          <t>Donor</t>
        </is>
      </c>
      <c r="Q89" s="61" t="n"/>
      <c r="R89" s="61" t="n"/>
      <c r="S89" s="62" t="n"/>
      <c r="T89" s="62" t="inlineStr">
        <is>
          <t>—</t>
        </is>
      </c>
      <c r="U89" s="67" t="n"/>
      <c r="V89" s="67" t="n"/>
      <c r="W89" s="67" t="n"/>
      <c r="X89" s="67" t="n"/>
      <c r="Y89" s="67" t="n"/>
      <c r="Z89" s="67" t="n"/>
      <c r="AA89" s="67" t="n"/>
      <c r="AB89" s="67" t="n"/>
      <c r="AC89" s="67" t="n"/>
      <c r="AD89" s="67" t="n"/>
      <c r="AE89" s="67" t="n"/>
      <c r="AF89" s="67" t="n"/>
    </row>
    <row r="90">
      <c r="A90" s="67" t="n"/>
      <c r="B90" s="47" t="n">
        <v>84</v>
      </c>
      <c r="C90" s="44" t="inlineStr">
        <is>
          <t>Instituto de Pesquisas Ecológicas (IPÊ)</t>
        </is>
      </c>
      <c r="D90" s="44" t="inlineStr">
        <is>
          <t>Civil Society Organization (CSO)</t>
        </is>
      </c>
      <c r="E90" s="62" t="inlineStr">
        <is>
          <t>Local implementers</t>
        </is>
      </c>
      <c r="F90" s="44" t="inlineStr">
        <is>
          <t>Brazilian NGO combining science, education and socio-environmental innovation to conserve biodiversity and support sustainable development across multiple biomes through community-based projects and policy-relevant evidence.</t>
        </is>
      </c>
      <c r="G90" s="46" t="inlineStr">
        <is>
          <t>National</t>
        </is>
      </c>
      <c r="H90" s="47" t="inlineStr">
        <is>
          <t>"Land, Food and Forest"</t>
        </is>
      </c>
      <c r="I90" s="48" t="inlineStr">
        <is>
          <t>Amazonia</t>
        </is>
      </c>
      <c r="J90" s="62" t="inlineStr">
        <is>
          <t>Mata&amp;Atlântica, Pantanal</t>
        </is>
      </c>
      <c r="K90" s="62" t="inlineStr">
        <is>
          <t>It implemented flagship landscape conservation/restoration work in the Atlantic Forest and also maintained projects/partnerships linked to the Amazon region.</t>
        </is>
      </c>
      <c r="L90" s="62" t="inlineStr">
        <is>
          <t>Technical assistance / research, Project developer / Implementer</t>
        </is>
      </c>
      <c r="M90" s="61" t="inlineStr">
        <is>
          <t>Downstream</t>
        </is>
      </c>
      <c r="N90" s="61" t="inlineStr">
        <is>
          <t>Grant recipient</t>
        </is>
      </c>
      <c r="O90" s="61" t="inlineStr">
        <is>
          <t>Nazaré Paulista, SP, Brazil</t>
        </is>
      </c>
      <c r="P90" s="62" t="inlineStr">
        <is>
          <t>Grantee</t>
        </is>
      </c>
      <c r="Q90" s="61" t="n"/>
      <c r="R90" s="61" t="n"/>
      <c r="S90" s="62" t="n"/>
      <c r="T90" s="62" t="inlineStr">
        <is>
          <t>—</t>
        </is>
      </c>
      <c r="U90" s="67" t="n"/>
      <c r="V90" s="67" t="n"/>
      <c r="W90" s="67" t="n"/>
      <c r="X90" s="67" t="n"/>
      <c r="Y90" s="67" t="n"/>
      <c r="Z90" s="67" t="n"/>
      <c r="AA90" s="67" t="n"/>
      <c r="AB90" s="67" t="n"/>
      <c r="AC90" s="67" t="n"/>
      <c r="AD90" s="67" t="n"/>
      <c r="AE90" s="67" t="n"/>
      <c r="AF90" s="67" t="n"/>
    </row>
    <row r="91">
      <c r="A91" s="67" t="n"/>
      <c r="B91" s="47" t="n">
        <v>85</v>
      </c>
      <c r="C91" s="44" t="inlineStr">
        <is>
          <t>Comunitas</t>
        </is>
      </c>
      <c r="D91" s="44" t="inlineStr">
        <is>
          <t>Civil Society Organization (CSO)</t>
        </is>
      </c>
      <c r="E91" s="62" t="inlineStr">
        <is>
          <t>Multi-stakeholder initiatives</t>
        </is>
      </c>
      <c r="F91" s="44" t="inlineStr">
        <is>
          <t>Civil society hub/think tank that builds bridges between public and private leadership to strengthen state capacity, improve public management, and structure collaborative solutions for sustainable development.</t>
        </is>
      </c>
      <c r="G91" s="46" t="inlineStr">
        <is>
          <t>National</t>
        </is>
      </c>
      <c r="H91" s="47" t="inlineStr">
        <is>
          <t>Buildings &amp; Transport, Energy, "Land, Food and Forest"</t>
        </is>
      </c>
      <c r="I91" s="48" t="n"/>
      <c r="J91" s="62" t="n"/>
      <c r="K91" s="62" t="inlineStr">
        <is>
          <t>It worked on state capacity and collaborative governance and did not use biomes as an implementation boundary.</t>
        </is>
      </c>
      <c r="L91" s="62" t="inlineStr">
        <is>
          <t>Convenor/enablers, Policy influence / regulation</t>
        </is>
      </c>
      <c r="M91" s="61" t="inlineStr">
        <is>
          <t>Midstream</t>
        </is>
      </c>
      <c r="N91" s="61" t="inlineStr">
        <is>
          <t>Grant recipient</t>
        </is>
      </c>
      <c r="O91" s="61" t="inlineStr">
        <is>
          <t>São Paulo, SP, Brazil</t>
        </is>
      </c>
      <c r="P91" s="62" t="inlineStr">
        <is>
          <t>Grantee</t>
        </is>
      </c>
      <c r="Q91" s="61" t="n"/>
      <c r="R91" s="61" t="n"/>
      <c r="S91" s="62" t="n"/>
      <c r="T91" s="62" t="inlineStr">
        <is>
          <t>—</t>
        </is>
      </c>
      <c r="U91" s="67" t="n"/>
      <c r="V91" s="67" t="n"/>
      <c r="W91" s="67" t="n"/>
      <c r="X91" s="67" t="n"/>
      <c r="Y91" s="67" t="n"/>
      <c r="Z91" s="67" t="n"/>
      <c r="AA91" s="67" t="n"/>
      <c r="AB91" s="67" t="n"/>
      <c r="AC91" s="67" t="n"/>
      <c r="AD91" s="67" t="n"/>
      <c r="AE91" s="67" t="n"/>
      <c r="AF91" s="67" t="n"/>
    </row>
    <row r="92">
      <c r="A92" s="67" t="n"/>
      <c r="B92" s="47" t="n">
        <v>86</v>
      </c>
      <c r="C92" s="44" t="inlineStr">
        <is>
          <t>Fundação Oswaldo Cruz (Fiocruz)</t>
        </is>
      </c>
      <c r="D92" s="44" t="inlineStr">
        <is>
          <t>Public sector</t>
        </is>
      </c>
      <c r="E92" s="62" t="inlineStr">
        <is>
          <t>Research centers</t>
        </is>
      </c>
      <c r="F92" s="44" t="inlineStr">
        <is>
          <t>Public research institution in health; contributes to systemic transition through science and innovation, public health systems strengthening, climate-and-health evidence, and applied knowledge for resilient and equitable development.</t>
        </is>
      </c>
      <c r="G92" s="46" t="inlineStr">
        <is>
          <t>National</t>
        </is>
      </c>
      <c r="H92" s="47" t="inlineStr">
        <is>
          <t>Emergency response, "Land, Food and Forest"</t>
        </is>
      </c>
      <c r="I92" s="48" t="n"/>
      <c r="J92" s="62" t="n"/>
      <c r="K92" s="62" t="inlineStr">
        <is>
          <t>It operated nationally in health research/policy and did not frame its core programs through biome-specific cuts.</t>
        </is>
      </c>
      <c r="L92" s="62" t="inlineStr">
        <is>
          <t>Technical assistance / research, Territorial anchor</t>
        </is>
      </c>
      <c r="M92" s="61" t="inlineStr">
        <is>
          <t>Upstream</t>
        </is>
      </c>
      <c r="N92" s="61" t="inlineStr">
        <is>
          <t>Strategic partner</t>
        </is>
      </c>
      <c r="O92" s="61" t="inlineStr">
        <is>
          <t>Rio de Janeiro, RJ, Brazil</t>
        </is>
      </c>
      <c r="P92" s="62" t="inlineStr">
        <is>
          <t>Grantee</t>
        </is>
      </c>
      <c r="Q92" s="61" t="n"/>
      <c r="R92" s="61" t="n"/>
      <c r="S92" s="62" t="n"/>
      <c r="T92" s="62" t="inlineStr">
        <is>
          <t>—</t>
        </is>
      </c>
      <c r="U92" s="67" t="n"/>
      <c r="V92" s="67" t="n"/>
      <c r="W92" s="67" t="n"/>
      <c r="X92" s="67" t="n"/>
      <c r="Y92" s="67" t="n"/>
      <c r="Z92" s="67" t="n"/>
      <c r="AA92" s="67" t="n"/>
      <c r="AB92" s="67" t="n"/>
      <c r="AC92" s="67" t="n"/>
      <c r="AD92" s="67" t="n"/>
      <c r="AE92" s="67" t="n"/>
      <c r="AF92" s="67" t="n"/>
    </row>
    <row r="93">
      <c r="A93" s="67" t="n"/>
      <c r="B93" s="47" t="n">
        <v>87</v>
      </c>
      <c r="C93" s="44" t="inlineStr">
        <is>
          <t>Universidade de Brasília (UnB)</t>
        </is>
      </c>
      <c r="D93" s="44" t="inlineStr">
        <is>
          <t>Public sector</t>
        </is>
      </c>
      <c r="E93" s="62" t="inlineStr">
        <is>
          <t>Academia</t>
        </is>
      </c>
      <c r="F93" s="44" t="inlineStr">
        <is>
          <t>Public university that contributes through research, teaching and policy engagement; supports systemic transition by generating evidence and training leaders for public policy, sustainability and innovation agendas.</t>
        </is>
      </c>
      <c r="G93" s="46" t="inlineStr">
        <is>
          <t>State-level</t>
        </is>
      </c>
      <c r="H93" s="47" t="n"/>
      <c r="I93" s="48" t="n"/>
      <c r="J93" s="62" t="n"/>
      <c r="K93" s="62" t="inlineStr">
        <is>
          <t>It operated in the Cerrado territory and maintained research and outreach agendas strongly associated with Cerrado socio-environmental issues.</t>
        </is>
      </c>
      <c r="L93" s="62" t="inlineStr">
        <is>
          <t>Technical assistance / research</t>
        </is>
      </c>
      <c r="M93" s="61" t="inlineStr">
        <is>
          <t>Upstream</t>
        </is>
      </c>
      <c r="N93" s="61" t="inlineStr">
        <is>
          <t>Strategic partner</t>
        </is>
      </c>
      <c r="O93" s="61" t="inlineStr">
        <is>
          <t>Brasília, DF, Brazil</t>
        </is>
      </c>
      <c r="P93" s="62" t="inlineStr">
        <is>
          <t>Grantee</t>
        </is>
      </c>
      <c r="Q93" s="61" t="n"/>
      <c r="R93" s="61" t="n"/>
      <c r="S93" s="62" t="n"/>
      <c r="T93" s="62" t="inlineStr">
        <is>
          <t>—</t>
        </is>
      </c>
      <c r="U93" s="67" t="n"/>
      <c r="V93" s="67" t="n"/>
      <c r="W93" s="67" t="n"/>
      <c r="X93" s="67" t="n"/>
      <c r="Y93" s="67" t="n"/>
      <c r="Z93" s="67" t="n"/>
      <c r="AA93" s="67" t="n"/>
      <c r="AB93" s="67" t="n"/>
      <c r="AC93" s="67" t="n"/>
      <c r="AD93" s="67" t="n"/>
      <c r="AE93" s="67" t="n"/>
      <c r="AF93" s="67" t="n"/>
    </row>
    <row r="94">
      <c r="A94" s="67" t="n"/>
      <c r="B94" s="47" t="n">
        <v>88</v>
      </c>
      <c r="C94" s="44" t="inlineStr">
        <is>
          <t>Universidade Federal do Pará (UFPA)</t>
        </is>
      </c>
      <c r="D94" s="44" t="inlineStr">
        <is>
          <t>Public sector</t>
        </is>
      </c>
      <c r="E94" s="62" t="inlineStr">
        <is>
          <t>Academia</t>
        </is>
      </c>
      <c r="F94" s="44" t="inlineStr">
        <is>
          <t>Public university in the Amazon region; contributes via research and training on socio-biodiversity, territorial development, climate and governance, supporting evidence-based solutions in the region.</t>
        </is>
      </c>
      <c r="G94" s="46" t="inlineStr">
        <is>
          <t>State-level</t>
        </is>
      </c>
      <c r="H94" s="47" t="n"/>
      <c r="I94" s="48" t="n"/>
      <c r="J94" s="62" t="n"/>
      <c r="K94" s="62" t="inlineStr">
        <is>
          <t>It was based in the Amazon region and delivered research/training linked to Amazonian socio-biodiversity and territorial development.</t>
        </is>
      </c>
      <c r="L94" s="62" t="inlineStr">
        <is>
          <t>Technical assistance / research, Territorial anchor</t>
        </is>
      </c>
      <c r="M94" s="61" t="inlineStr">
        <is>
          <t>Upstream</t>
        </is>
      </c>
      <c r="N94" s="61" t="inlineStr">
        <is>
          <t>Strategic partner</t>
        </is>
      </c>
      <c r="O94" s="61" t="inlineStr">
        <is>
          <t>Belém, PA, Brazil</t>
        </is>
      </c>
      <c r="P94" s="62" t="inlineStr">
        <is>
          <t>Grantee</t>
        </is>
      </c>
      <c r="Q94" s="61" t="n"/>
      <c r="R94" s="61" t="n"/>
      <c r="S94" s="62" t="n"/>
      <c r="T94" s="62" t="inlineStr">
        <is>
          <t>—</t>
        </is>
      </c>
      <c r="U94" s="67" t="n"/>
      <c r="V94" s="67" t="n"/>
      <c r="W94" s="67" t="n"/>
      <c r="X94" s="67" t="n"/>
      <c r="Y94" s="67" t="n"/>
      <c r="Z94" s="67" t="n"/>
      <c r="AA94" s="67" t="n"/>
      <c r="AB94" s="67" t="n"/>
      <c r="AC94" s="67" t="n"/>
      <c r="AD94" s="67" t="n"/>
      <c r="AE94" s="67" t="n"/>
      <c r="AF94" s="67" t="n"/>
    </row>
    <row r="95">
      <c r="A95" s="67" t="n"/>
      <c r="B95" s="47" t="n">
        <v>89</v>
      </c>
      <c r="C95" s="44" t="inlineStr">
        <is>
          <t>Universidade de São Paulo (USP)</t>
        </is>
      </c>
      <c r="D95" s="44" t="inlineStr">
        <is>
          <t>Public sector</t>
        </is>
      </c>
      <c r="E95" s="62" t="inlineStr">
        <is>
          <t>Academia</t>
        </is>
      </c>
      <c r="F95" s="44" t="inlineStr">
        <is>
          <t>Public university and major research institution; contributes to systemic transition through high-impact research, innovation, and training across climate, nature, health, and sustainable development fields.</t>
        </is>
      </c>
      <c r="G95" s="46" t="inlineStr">
        <is>
          <t>State-level</t>
        </is>
      </c>
      <c r="H95" s="47" t="n"/>
      <c r="I95" s="48" t="n"/>
      <c r="J95" s="62" t="n"/>
      <c r="K95" s="62" t="inlineStr">
        <is>
          <t>It produced broad research and training and did not present a biome-targeted portfolio cut that could be consistently assigned here.</t>
        </is>
      </c>
      <c r="L95" s="62" t="inlineStr">
        <is>
          <t>Technical assistance / research</t>
        </is>
      </c>
      <c r="M95" s="61" t="inlineStr">
        <is>
          <t>Upstream</t>
        </is>
      </c>
      <c r="N95" s="61" t="inlineStr">
        <is>
          <t>Strategic partner</t>
        </is>
      </c>
      <c r="O95" s="61" t="inlineStr">
        <is>
          <t>São Paulo, SP, Brazil</t>
        </is>
      </c>
      <c r="P95" s="62" t="inlineStr">
        <is>
          <t>Grantee</t>
        </is>
      </c>
      <c r="Q95" s="61" t="n"/>
      <c r="R95" s="61" t="n"/>
      <c r="S95" s="62" t="n"/>
      <c r="T95" s="62" t="inlineStr">
        <is>
          <t>—</t>
        </is>
      </c>
      <c r="U95" s="67" t="n"/>
      <c r="V95" s="67" t="n"/>
      <c r="W95" s="67" t="n"/>
      <c r="X95" s="67" t="n"/>
      <c r="Y95" s="67" t="n"/>
      <c r="Z95" s="67" t="n"/>
      <c r="AA95" s="67" t="n"/>
      <c r="AB95" s="67" t="n"/>
      <c r="AC95" s="67" t="n"/>
      <c r="AD95" s="67" t="n"/>
      <c r="AE95" s="67" t="n"/>
      <c r="AF95" s="67" t="n"/>
    </row>
    <row r="96">
      <c r="A96" s="67" t="n"/>
      <c r="B96" s="47" t="n">
        <v>90</v>
      </c>
      <c r="C96" s="44" t="inlineStr">
        <is>
          <t>Fundação Nacional dos Povos Indígenas (FUNAI)</t>
        </is>
      </c>
      <c r="D96" s="44" t="inlineStr">
        <is>
          <t>Public sector</t>
        </is>
      </c>
      <c r="E96" s="62" t="inlineStr">
        <is>
          <t>Public agencies and regulators</t>
        </is>
      </c>
      <c r="F96" s="44" t="inlineStr">
        <is>
          <t>Federal agency responsible for Indigenous peoples’ rights and protection; influences systemic transition by safeguarding territories, supporting socio-environmental governance, and enabling rights-based approaches to land use and development.</t>
        </is>
      </c>
      <c r="G96" s="46" t="inlineStr">
        <is>
          <t>National</t>
        </is>
      </c>
      <c r="H96" s="47" t="inlineStr">
        <is>
          <t>"Land, Food and Forest"</t>
        </is>
      </c>
      <c r="I96" s="48" t="inlineStr">
        <is>
          <t>Amazonia, Caatinga, Cerrado</t>
        </is>
      </c>
      <c r="J96" s="62" t="inlineStr">
        <is>
          <t>Mata&amp;Atlântica, Pantanal, Pampa, Coastal&amp;maritime</t>
        </is>
      </c>
      <c r="K96" s="62" t="inlineStr">
        <is>
          <t>It held a nationwide mandate across Indigenous territories and did not operate through a single or stable biome-defined program boundary in this mapping.</t>
        </is>
      </c>
      <c r="L96" s="62" t="inlineStr">
        <is>
          <t>Policy influence / regulation, Territorial anchor</t>
        </is>
      </c>
      <c r="M96" s="61" t="inlineStr">
        <is>
          <t>Upstream</t>
        </is>
      </c>
      <c r="N96" s="61" t="inlineStr">
        <is>
          <t>Strategic partner</t>
        </is>
      </c>
      <c r="O96" s="61" t="inlineStr">
        <is>
          <t>Brasília, DF, Brazil</t>
        </is>
      </c>
      <c r="P96" s="62" t="inlineStr">
        <is>
          <t>Grantee</t>
        </is>
      </c>
      <c r="Q96" s="61" t="n"/>
      <c r="R96" s="61" t="n"/>
      <c r="S96" s="62" t="n"/>
      <c r="T96" s="62" t="inlineStr">
        <is>
          <t>—</t>
        </is>
      </c>
      <c r="U96" s="67" t="n"/>
      <c r="V96" s="67" t="n"/>
      <c r="W96" s="67" t="n"/>
      <c r="X96" s="67" t="n"/>
      <c r="Y96" s="67" t="n"/>
      <c r="Z96" s="67" t="n"/>
      <c r="AA96" s="67" t="n"/>
      <c r="AB96" s="67" t="n"/>
      <c r="AC96" s="67" t="n"/>
      <c r="AD96" s="67" t="n"/>
      <c r="AE96" s="67" t="n"/>
      <c r="AF96" s="67" t="n"/>
    </row>
    <row r="97">
      <c r="A97" s="67" t="n"/>
      <c r="B97" s="47" t="n">
        <v>91</v>
      </c>
      <c r="C97" s="44" t="inlineStr">
        <is>
          <t>Fundação Brasileira para o Desenvolvimento Sustentável (FBDS)</t>
        </is>
      </c>
      <c r="D97" s="44" t="inlineStr">
        <is>
          <t>Civil Society Organization (CSO)</t>
        </is>
      </c>
      <c r="E97" s="62" t="inlineStr">
        <is>
          <t>Think tanks</t>
        </is>
      </c>
      <c r="F97" s="44" t="inlineStr">
        <is>
          <t>Private non-profit foundation that generates knowledge and applied projects on sustainability; supports better policy and corporate practice through research, indicators and technical work on climate, land use and sustainable development.</t>
        </is>
      </c>
      <c r="G97" s="46" t="inlineStr">
        <is>
          <t>National</t>
        </is>
      </c>
      <c r="H97" s="47" t="inlineStr">
        <is>
          <t>Buildings &amp; Transport, Energy, "Land, Food and Forest"</t>
        </is>
      </c>
      <c r="I97" s="48" t="n"/>
      <c r="J97" s="62" t="n"/>
      <c r="K97" s="62" t="inlineStr">
        <is>
          <t>It worked through applied studies and projects across themes and did not disclose a consistent biome-targeted portfolio.</t>
        </is>
      </c>
      <c r="L97" s="62" t="inlineStr">
        <is>
          <t>Technical assistance / research, Strategic partner</t>
        </is>
      </c>
      <c r="M97" s="61" t="inlineStr">
        <is>
          <t>Upstream</t>
        </is>
      </c>
      <c r="N97" s="61" t="inlineStr">
        <is>
          <t>Grant recipient</t>
        </is>
      </c>
      <c r="O97" s="61" t="inlineStr">
        <is>
          <t>Rio de Janeiro, RJ, Brazil</t>
        </is>
      </c>
      <c r="P97" s="62" t="inlineStr">
        <is>
          <t>Grantee</t>
        </is>
      </c>
      <c r="Q97" s="61" t="n"/>
      <c r="R97" s="61" t="n"/>
      <c r="S97" s="62" t="n"/>
      <c r="T97" s="62" t="inlineStr">
        <is>
          <t>—</t>
        </is>
      </c>
      <c r="U97" s="67" t="n"/>
      <c r="V97" s="67" t="n"/>
      <c r="W97" s="67" t="n"/>
      <c r="X97" s="67" t="n"/>
      <c r="Y97" s="67" t="n"/>
      <c r="Z97" s="67" t="n"/>
      <c r="AA97" s="67" t="n"/>
      <c r="AB97" s="67" t="n"/>
      <c r="AC97" s="67" t="n"/>
      <c r="AD97" s="67" t="n"/>
      <c r="AE97" s="67" t="n"/>
      <c r="AF97" s="67" t="n"/>
    </row>
    <row r="98">
      <c r="A98" s="67" t="n"/>
      <c r="B98" s="47" t="n">
        <v>92</v>
      </c>
      <c r="C98" s="44" t="inlineStr">
        <is>
          <t>Grupo Terra Nova</t>
        </is>
      </c>
      <c r="D98" s="44" t="inlineStr">
        <is>
          <t>Private sector</t>
        </is>
      </c>
      <c r="E98" s="62" t="inlineStr">
        <is>
          <t>Private companies (SMEs / local enterprises)</t>
        </is>
      </c>
      <c r="F98" s="44" t="inlineStr">
        <is>
          <t>Organization specialized in land tenure conflict mediation and regularization; contributes to systemic transition by enabling legal security, inclusive urban development, and negotiated solutions that reduce social conflict and strengthen territorial governance.</t>
        </is>
      </c>
      <c r="G98" s="46" t="inlineStr">
        <is>
          <t>National</t>
        </is>
      </c>
      <c r="H98" s="47" t="inlineStr">
        <is>
          <t>"Land, Food and Forest"</t>
        </is>
      </c>
      <c r="I98" s="48" t="n"/>
      <c r="J98" s="62" t="n"/>
      <c r="K98" s="62" t="inlineStr">
        <is>
          <t>It delivered mediation/regularization services across territories and did not define operations by biome.</t>
        </is>
      </c>
      <c r="L98" s="62" t="inlineStr">
        <is>
          <t>Implementation capacity (delivery)</t>
        </is>
      </c>
      <c r="M98" s="61" t="inlineStr">
        <is>
          <t>Downstream</t>
        </is>
      </c>
      <c r="N98" s="61" t="inlineStr">
        <is>
          <t>Co-funding partner</t>
        </is>
      </c>
      <c r="O98" s="61" t="inlineStr">
        <is>
          <t>São Paulo, SP, Brazil</t>
        </is>
      </c>
      <c r="P98" s="61" t="inlineStr">
        <is>
          <t>Grantee</t>
        </is>
      </c>
      <c r="Q98" s="61" t="n"/>
      <c r="R98" s="61" t="n"/>
      <c r="S98" s="61" t="n"/>
      <c r="T98" s="61" t="inlineStr">
        <is>
          <t>—</t>
        </is>
      </c>
      <c r="U98" s="67" t="n"/>
      <c r="V98" s="67" t="n"/>
      <c r="W98" s="67" t="n"/>
      <c r="X98" s="67" t="n"/>
      <c r="Y98" s="67" t="n"/>
      <c r="Z98" s="67" t="n"/>
      <c r="AA98" s="67" t="n"/>
      <c r="AB98" s="67" t="n"/>
      <c r="AC98" s="67" t="n"/>
      <c r="AD98" s="67" t="n"/>
      <c r="AE98" s="67" t="n"/>
      <c r="AF98" s="67" t="n"/>
    </row>
    <row r="99">
      <c r="A99" s="67" t="n"/>
      <c r="B99" s="47" t="n">
        <v>93</v>
      </c>
      <c r="C99" s="44" t="inlineStr">
        <is>
          <t>Grupo Aterpa</t>
        </is>
      </c>
      <c r="D99" s="44" t="inlineStr">
        <is>
          <t>Private sector</t>
        </is>
      </c>
      <c r="E99" s="62" t="inlineStr">
        <is>
          <t>Private companies (large / leading)</t>
        </is>
      </c>
      <c r="F99" s="44" t="inlineStr">
        <is>
          <t>Infrastructure and environmental engineering group (e.g., water and sanitation); can support systemic transition through universal sanitation delivery, resilient infrastructure, and improved environmental performance in project design and operation.</t>
        </is>
      </c>
      <c r="G99" s="46" t="inlineStr">
        <is>
          <t>National</t>
        </is>
      </c>
      <c r="H99" s="47" t="inlineStr">
        <is>
          <t>Buildings &amp; Transport</t>
        </is>
      </c>
      <c r="I99" s="48" t="n"/>
      <c r="J99" s="62" t="n"/>
      <c r="K99" s="62" t="inlineStr">
        <is>
          <t>It implemented infrastructure projects by client/municipality and did not use biomes as an organizing lens.</t>
        </is>
      </c>
      <c r="L99" s="62" t="inlineStr">
        <is>
          <t>Implementation capacity (delivery)</t>
        </is>
      </c>
      <c r="M99" s="61" t="inlineStr">
        <is>
          <t>Downstream</t>
        </is>
      </c>
      <c r="N99" s="61" t="inlineStr">
        <is>
          <t>Co-funding partner</t>
        </is>
      </c>
      <c r="O99" s="61" t="inlineStr">
        <is>
          <t>Belo Horizonte, MG, Brazil</t>
        </is>
      </c>
      <c r="P99" s="61" t="inlineStr">
        <is>
          <t>Grantee</t>
        </is>
      </c>
      <c r="Q99" s="61" t="n"/>
      <c r="R99" s="61" t="n"/>
      <c r="S99" s="61" t="n"/>
      <c r="T99" s="61" t="inlineStr">
        <is>
          <t>—</t>
        </is>
      </c>
      <c r="U99" s="67" t="n"/>
      <c r="V99" s="67" t="n"/>
      <c r="W99" s="67" t="n"/>
      <c r="X99" s="67" t="n"/>
      <c r="Y99" s="67" t="n"/>
      <c r="Z99" s="67" t="n"/>
      <c r="AA99" s="67" t="n"/>
      <c r="AB99" s="67" t="n"/>
      <c r="AC99" s="67" t="n"/>
      <c r="AD99" s="67" t="n"/>
      <c r="AE99" s="67" t="n"/>
      <c r="AF99" s="67" t="n"/>
    </row>
    <row r="100">
      <c r="A100" s="67" t="n"/>
      <c r="B100" s="47" t="n">
        <v>94</v>
      </c>
      <c r="C100" s="44" t="inlineStr">
        <is>
          <t>Observatório do Clima</t>
        </is>
      </c>
      <c r="D100" s="44" t="inlineStr">
        <is>
          <t>Civil Society Organization (CSO)</t>
        </is>
      </c>
      <c r="E100" s="62" t="inlineStr">
        <is>
          <t>Monitoring, Evaluation, and Learning</t>
        </is>
      </c>
      <c r="F100" s="44" t="inlineStr">
        <is>
          <t>Civil society coalition created to address climate change in Brazil; produces analysis, monitoring and advocacy to strengthen climate governance, transparency and ambitious public policy.</t>
        </is>
      </c>
      <c r="G100" s="46" t="inlineStr">
        <is>
          <t>National</t>
        </is>
      </c>
      <c r="H100" s="47" t="inlineStr">
        <is>
          <t>Buildings &amp; Transport, Energy, "Land, Food and Forest"</t>
        </is>
      </c>
      <c r="I100" s="48" t="n"/>
      <c r="J100" s="62" t="n"/>
      <c r="K100" s="62" t="inlineStr">
        <is>
          <t>It focused on national climate governance and policy advocacy and did not maintain a biome-specific implementation portfolio.</t>
        </is>
      </c>
      <c r="L100" s="62" t="inlineStr">
        <is>
          <t>Policy influence / regulation, Convenor/enablers</t>
        </is>
      </c>
      <c r="M100" s="61" t="inlineStr">
        <is>
          <t>Upstream</t>
        </is>
      </c>
      <c r="N100" s="61" t="inlineStr">
        <is>
          <t>Grant recipient</t>
        </is>
      </c>
      <c r="O100" s="61" t="inlineStr">
        <is>
          <t>Brasília, DF, Brazil</t>
        </is>
      </c>
      <c r="P100" s="61" t="inlineStr">
        <is>
          <t>Grantee</t>
        </is>
      </c>
      <c r="Q100" s="61" t="n"/>
      <c r="R100" s="61" t="n"/>
      <c r="S100" s="61" t="n"/>
      <c r="T100" s="62" t="inlineStr">
        <is>
          <t>GHG emissions monitoring (SEEG), annual sectoral data production and climate transparency</t>
        </is>
      </c>
      <c r="U100" s="67" t="n"/>
      <c r="V100" s="67" t="n"/>
      <c r="W100" s="67" t="n"/>
      <c r="X100" s="67" t="n"/>
      <c r="Y100" s="67" t="n"/>
      <c r="Z100" s="67" t="n"/>
      <c r="AA100" s="67" t="n"/>
      <c r="AB100" s="67" t="n"/>
      <c r="AC100" s="67" t="n"/>
      <c r="AD100" s="67" t="n"/>
      <c r="AE100" s="67" t="n"/>
      <c r="AF100" s="67" t="n"/>
    </row>
    <row r="101">
      <c r="A101" s="67" t="n"/>
      <c r="B101" s="47" t="n">
        <v>95</v>
      </c>
      <c r="C101" s="44" t="inlineStr">
        <is>
          <t>United States Agency for International Development (USAID)</t>
        </is>
      </c>
      <c r="D101" s="44" t="inlineStr">
        <is>
          <t>Public sector</t>
        </is>
      </c>
      <c r="E101" s="62" t="inlineStr">
        <is>
          <t>Bilateral cooperation agencies</t>
        </is>
      </c>
      <c r="F101" s="44" t="inlineStr">
        <is>
          <t>U.S. government development cooperation agency that provides funding, technical assistance, and partnerships to support international development priorities (e.g., governance, health, food security, climate resilience), helping scale solutions and strengthen institutions.</t>
        </is>
      </c>
      <c r="G101" s="46" t="inlineStr">
        <is>
          <t>Cross-border / international</t>
        </is>
      </c>
      <c r="H101" s="47" t="inlineStr">
        <is>
          <t>Buildings &amp; Transport, Emergency response, Energy, "Land, Food and Forest"</t>
        </is>
      </c>
      <c r="I101" s="48" t="n"/>
      <c r="J101" s="62" t="n"/>
      <c r="K101" s="62" t="inlineStr">
        <is>
          <t>It funded multi-sector international cooperation and did not provide a stable Brazil-biome-specific cut in this mapping.</t>
        </is>
      </c>
      <c r="L101" s="62" t="inlineStr">
        <is>
          <t>Funder, Strategic partner</t>
        </is>
      </c>
      <c r="M101" s="61" t="inlineStr">
        <is>
          <t>Upstream</t>
        </is>
      </c>
      <c r="N101" s="61" t="inlineStr">
        <is>
          <t>Co-funding partner</t>
        </is>
      </c>
      <c r="O101" s="61" t="inlineStr">
        <is>
          <t>Washington, DC, USA</t>
        </is>
      </c>
      <c r="P101" s="61" t="inlineStr">
        <is>
          <t>Donor</t>
        </is>
      </c>
      <c r="Q101" s="61" t="n"/>
      <c r="R101" s="61" t="n"/>
      <c r="S101" s="61" t="inlineStr">
        <is>
          <t>It was very relevant in the past funding for the Amazon in Brazil.</t>
        </is>
      </c>
      <c r="T101" s="61" t="inlineStr">
        <is>
          <t>—</t>
        </is>
      </c>
      <c r="U101" s="67" t="n"/>
      <c r="V101" s="67" t="n"/>
      <c r="W101" s="67" t="n"/>
      <c r="X101" s="67" t="n"/>
      <c r="Y101" s="67" t="n"/>
      <c r="Z101" s="67" t="n"/>
      <c r="AA101" s="67" t="n"/>
      <c r="AB101" s="67" t="n"/>
      <c r="AC101" s="67" t="n"/>
      <c r="AD101" s="67" t="n"/>
      <c r="AE101" s="67" t="n"/>
      <c r="AF101" s="67" t="n"/>
    </row>
    <row r="102">
      <c r="A102" s="67" t="n"/>
      <c r="B102" s="47" t="n">
        <v>96</v>
      </c>
      <c r="C102" s="44" t="inlineStr">
        <is>
          <t>Gordon and Betty Moore Foundation</t>
        </is>
      </c>
      <c r="D102" s="44" t="inlineStr">
        <is>
          <t>Funders</t>
        </is>
      </c>
      <c r="E102" s="62" t="inlineStr">
        <is>
          <t>Philanthropy foundations</t>
        </is>
      </c>
      <c r="F102" s="44" t="inlineStr">
        <is>
          <t>International grantmaking foundation that funds science and environmental conservation, supporting evidence-based approaches, ecosystem protection, and systemic solutions for climate and nature.</t>
        </is>
      </c>
      <c r="G102" s="46" t="inlineStr">
        <is>
          <t>Cross-border / international</t>
        </is>
      </c>
      <c r="H102" s="47" t="inlineStr">
        <is>
          <t>Energy, "Land, Food and Forest"</t>
        </is>
      </c>
      <c r="I102" s="48" t="inlineStr">
        <is>
          <t>Amazonia</t>
        </is>
      </c>
      <c r="J102" s="62" t="n"/>
      <c r="K102" s="62" t="inlineStr">
        <is>
          <t>It funded global conservation/science agendas and did not present a consistent Brazil-biome segmentation in this dataset.</t>
        </is>
      </c>
      <c r="L102" s="62" t="inlineStr">
        <is>
          <t>Funder, Strategic partner</t>
        </is>
      </c>
      <c r="M102" s="61" t="inlineStr">
        <is>
          <t>Upstream</t>
        </is>
      </c>
      <c r="N102" s="61" t="inlineStr">
        <is>
          <t>Co-funding partner</t>
        </is>
      </c>
      <c r="O102" s="61" t="inlineStr">
        <is>
          <t>Palo Alto, CA, USA</t>
        </is>
      </c>
      <c r="P102" s="61" t="inlineStr">
        <is>
          <t>Donor</t>
        </is>
      </c>
      <c r="Q102" s="61" t="n"/>
      <c r="R102" s="61" t="n"/>
      <c r="S102" s="61" t="inlineStr">
        <is>
          <t>One on the most relevant co-funding partner for the Amazon in Brazil.</t>
        </is>
      </c>
      <c r="T102" s="61" t="inlineStr">
        <is>
          <t>—</t>
        </is>
      </c>
      <c r="U102" s="67" t="n"/>
      <c r="V102" s="67" t="n"/>
      <c r="W102" s="67" t="n"/>
      <c r="X102" s="67" t="n"/>
      <c r="Y102" s="67" t="n"/>
      <c r="Z102" s="67" t="n"/>
      <c r="AA102" s="67" t="n"/>
      <c r="AB102" s="67" t="n"/>
      <c r="AC102" s="67" t="n"/>
      <c r="AD102" s="67" t="n"/>
      <c r="AE102" s="67" t="n"/>
      <c r="AF102" s="67" t="n"/>
    </row>
    <row r="103">
      <c r="A103" s="67" t="n"/>
      <c r="B103" s="47" t="n">
        <v>97</v>
      </c>
      <c r="C103" s="44" t="inlineStr">
        <is>
          <t>Fundação Avina</t>
        </is>
      </c>
      <c r="D103" s="44" t="inlineStr">
        <is>
          <t>Funders</t>
        </is>
      </c>
      <c r="E103" s="62" t="inlineStr">
        <is>
          <t>Philanthropy foundations</t>
        </is>
      </c>
      <c r="F103" s="44" t="inlineStr">
        <is>
          <t>Latin American philanthropic organization focused on systemic change through collaboration; supports networks and initiatives that advance climate action, democratic innovation, and a fair/regenerative economy.</t>
        </is>
      </c>
      <c r="G103" s="46" t="inlineStr">
        <is>
          <t>Cross-border / international</t>
        </is>
      </c>
      <c r="H103" s="47" t="inlineStr">
        <is>
          <t>"Land, Food and Forest"</t>
        </is>
      </c>
      <c r="I103" s="48" t="n"/>
      <c r="J103" s="62" t="n"/>
      <c r="K103" s="62" t="inlineStr">
        <is>
          <t>It supported regional systemic-change agendas and did not structure its Brazil work by biome boundaries in this mapping.</t>
        </is>
      </c>
      <c r="L103" s="62" t="inlineStr">
        <is>
          <t>Funder, Strategic partner, Convenor/enablers</t>
        </is>
      </c>
      <c r="M103" s="61" t="inlineStr">
        <is>
          <t>Midstream</t>
        </is>
      </c>
      <c r="N103" s="61" t="inlineStr">
        <is>
          <t>Strategic partner</t>
        </is>
      </c>
      <c r="O103" s="61" t="inlineStr">
        <is>
          <t>Panama City, Panama</t>
        </is>
      </c>
      <c r="P103" s="62" t="inlineStr">
        <is>
          <t>Donor</t>
        </is>
      </c>
      <c r="Q103" s="61" t="n"/>
      <c r="R103" s="61" t="n"/>
      <c r="S103" s="62" t="inlineStr">
        <is>
          <t xml:space="preserve">An important player at the national level + in Latin America. </t>
        </is>
      </c>
      <c r="T103" s="62" t="inlineStr">
        <is>
          <t>—</t>
        </is>
      </c>
      <c r="U103" s="67" t="n"/>
      <c r="V103" s="67" t="n"/>
      <c r="W103" s="67" t="n"/>
      <c r="X103" s="67" t="n"/>
      <c r="Y103" s="67" t="n"/>
      <c r="Z103" s="67" t="n"/>
      <c r="AA103" s="67" t="n"/>
      <c r="AB103" s="67" t="n"/>
      <c r="AC103" s="67" t="n"/>
      <c r="AD103" s="67" t="n"/>
      <c r="AE103" s="67" t="n"/>
      <c r="AF103" s="67" t="n"/>
    </row>
    <row r="104">
      <c r="A104" s="67" t="n"/>
      <c r="B104" s="47" t="n">
        <v>98</v>
      </c>
      <c r="C104" s="44" t="inlineStr">
        <is>
          <t>William and Flora Hewlett Foundation</t>
        </is>
      </c>
      <c r="D104" s="44" t="inlineStr">
        <is>
          <t>Funders</t>
        </is>
      </c>
      <c r="E104" s="62" t="inlineStr">
        <is>
          <t>Philanthropy foundations</t>
        </is>
      </c>
      <c r="F104" s="44" t="inlineStr">
        <is>
          <t>International grantmaking foundation supporting programs such as climate/environment, governance, and equity; helps fund coalitions and institutions that enable long-term, structural change.</t>
        </is>
      </c>
      <c r="G104" s="46" t="inlineStr">
        <is>
          <t>Cross-border / international</t>
        </is>
      </c>
      <c r="H104" s="47" t="inlineStr">
        <is>
          <t>Buildings &amp; Transport, Energy, "Land, Food and Forest"</t>
        </is>
      </c>
      <c r="I104" s="48" t="n"/>
      <c r="J104" s="62" t="n"/>
      <c r="K104" s="62" t="inlineStr">
        <is>
          <t>It funded broad international programs and did not provide a Brazil-biome-specific portfolio cut here.</t>
        </is>
      </c>
      <c r="L104" s="62" t="inlineStr">
        <is>
          <t>Funder, Strategic partner</t>
        </is>
      </c>
      <c r="M104" s="61" t="inlineStr">
        <is>
          <t>Upstream</t>
        </is>
      </c>
      <c r="N104" s="61" t="inlineStr">
        <is>
          <t>Co-funding partner</t>
        </is>
      </c>
      <c r="O104" s="61" t="inlineStr">
        <is>
          <t>Menlo Park, CA, USA</t>
        </is>
      </c>
      <c r="P104" s="62" t="inlineStr">
        <is>
          <t>Donor</t>
        </is>
      </c>
      <c r="Q104" s="61" t="n"/>
      <c r="R104" s="61" t="n"/>
      <c r="S104" s="62" t="inlineStr">
        <is>
          <t>work in Brazil for a while on climate isues. Co-Funder of the two most relevant climate alliances (CLUA and  LARCI /ICS).</t>
        </is>
      </c>
      <c r="T104" s="62" t="inlineStr">
        <is>
          <t>—</t>
        </is>
      </c>
      <c r="U104" s="67" t="n"/>
      <c r="V104" s="67" t="n"/>
      <c r="W104" s="67" t="n"/>
      <c r="X104" s="67" t="n"/>
      <c r="Y104" s="67" t="n"/>
      <c r="Z104" s="67" t="n"/>
      <c r="AA104" s="67" t="n"/>
      <c r="AB104" s="67" t="n"/>
      <c r="AC104" s="67" t="n"/>
      <c r="AD104" s="67" t="n"/>
      <c r="AE104" s="67" t="n"/>
      <c r="AF104" s="67" t="n"/>
    </row>
    <row r="105">
      <c r="A105" s="67" t="n"/>
      <c r="B105" s="47" t="n">
        <v>99</v>
      </c>
      <c r="C105" s="44" t="inlineStr">
        <is>
          <t>ClimateWorks Foundation</t>
        </is>
      </c>
      <c r="D105" s="44" t="inlineStr">
        <is>
          <t>Funders</t>
        </is>
      </c>
      <c r="E105" s="62" t="inlineStr">
        <is>
          <t>Monitoring, Evaluation, and Learning</t>
        </is>
      </c>
      <c r="F105" s="44" t="inlineStr">
        <is>
          <t>Grantmaking foundation that supports organizations and networks to design and scale high-impact climate solutions, connecting funders and implementers to accelerate emissions reductions across sectors.</t>
        </is>
      </c>
      <c r="G105" s="46" t="inlineStr">
        <is>
          <t>Cross-border / international</t>
        </is>
      </c>
      <c r="H105" s="47" t="inlineStr">
        <is>
          <t>Buildings &amp; Transport, Energy</t>
        </is>
      </c>
      <c r="I105" s="48" t="n"/>
      <c r="J105" s="62" t="n"/>
      <c r="K105" s="62" t="inlineStr">
        <is>
          <t>It funded global climate networks and did not define Brazil activities through biome-specific program boundaries in this mapping.</t>
        </is>
      </c>
      <c r="L105" s="62" t="inlineStr">
        <is>
          <t>Funder, Strategic partner, Technical assistance / research</t>
        </is>
      </c>
      <c r="M105" s="61" t="inlineStr">
        <is>
          <t>Upstream</t>
        </is>
      </c>
      <c r="N105" s="61" t="inlineStr">
        <is>
          <t>Co-funding partner</t>
        </is>
      </c>
      <c r="O105" s="61" t="inlineStr">
        <is>
          <t>San Francisco, CA, USA</t>
        </is>
      </c>
      <c r="P105" s="62" t="inlineStr">
        <is>
          <t>Donor</t>
        </is>
      </c>
      <c r="Q105" s="62" t="inlineStr">
        <is>
          <t xml:space="preserve">Gabriel Francisco (Associate Director Latin America) </t>
        </is>
      </c>
      <c r="R105" s="55" t="inlineStr">
        <is>
          <t>https://www.climateworks.org/</t>
        </is>
      </c>
      <c r="S105" s="62" t="inlineStr">
        <is>
          <t xml:space="preserve">The most relevant international funder  on climte. A lot of lessons leraned and intrested on enhancing funding streams for climate change in Brazil. </t>
        </is>
      </c>
      <c r="T105" s="62" t="inlineStr">
        <is>
          <t>Strategic evaluation of climate programs, learning systems for high-impact climate solutions</t>
        </is>
      </c>
      <c r="U105" s="67" t="n"/>
      <c r="V105" s="67" t="n"/>
      <c r="W105" s="67" t="n"/>
      <c r="X105" s="67" t="n"/>
      <c r="Y105" s="67" t="n"/>
      <c r="Z105" s="67" t="n"/>
      <c r="AA105" s="67" t="n"/>
      <c r="AB105" s="67" t="n"/>
      <c r="AC105" s="67" t="n"/>
      <c r="AD105" s="67" t="n"/>
      <c r="AE105" s="67" t="n"/>
      <c r="AF105" s="67" t="n"/>
    </row>
    <row r="106">
      <c r="A106" s="67" t="n"/>
      <c r="B106" s="47" t="n">
        <v>100</v>
      </c>
      <c r="C106" s="44" t="inlineStr">
        <is>
          <t>Children’s Investment Fund Foundation (CIFF)</t>
        </is>
      </c>
      <c r="D106" s="44" t="inlineStr">
        <is>
          <t>Funders</t>
        </is>
      </c>
      <c r="E106" s="62" t="inlineStr">
        <is>
          <t>Monitoring, Evaluation, and Learning</t>
        </is>
      </c>
      <c r="F106" s="44" t="inlineStr">
        <is>
          <t>Independent philanthropic organization that funds large-scale programs for children and adolescents and climate action, using evidence and partnerships to deliver measurable, systemic outcomes.</t>
        </is>
      </c>
      <c r="G106" s="46" t="inlineStr">
        <is>
          <t>Cross-border / international</t>
        </is>
      </c>
      <c r="H106" s="47" t="inlineStr">
        <is>
          <t>Buildings &amp; Transport, Emergency response, Energy, "Land, Food and Forest"</t>
        </is>
      </c>
      <c r="I106" s="48" t="n"/>
      <c r="J106" s="62" t="n"/>
      <c r="K106" s="62" t="inlineStr">
        <is>
          <t>It funded global portfolios (children/climate) and did not maintain a clear Brazil-biome-based classification in this dataset.</t>
        </is>
      </c>
      <c r="L106" s="62" t="inlineStr">
        <is>
          <t>Funder, Strategic partner</t>
        </is>
      </c>
      <c r="M106" s="61" t="inlineStr">
        <is>
          <t>Upstream</t>
        </is>
      </c>
      <c r="N106" s="61" t="inlineStr">
        <is>
          <t>Co-funding partner</t>
        </is>
      </c>
      <c r="O106" s="61" t="inlineStr">
        <is>
          <t>London, United Kingdom</t>
        </is>
      </c>
      <c r="P106" s="62" t="inlineStr">
        <is>
          <t>Donor</t>
        </is>
      </c>
      <c r="Q106" s="61" t="n"/>
      <c r="R106" s="55" t="inlineStr">
        <is>
          <t>https://ciff.org/</t>
        </is>
      </c>
      <c r="S106" s="62" t="inlineStr">
        <is>
          <t>work in Brazil for a while on climate isues. Co-Funder of LARCI /ICS.</t>
        </is>
      </c>
      <c r="T106" s="62" t="inlineStr">
        <is>
          <t>Evidence-based impact evaluation of climate and development programs, systemic outcome measurement</t>
        </is>
      </c>
      <c r="U106" s="67" t="n"/>
      <c r="V106" s="67" t="n"/>
      <c r="W106" s="67" t="n"/>
      <c r="X106" s="67" t="n"/>
      <c r="Y106" s="67" t="n"/>
      <c r="Z106" s="67" t="n"/>
      <c r="AA106" s="67" t="n"/>
      <c r="AB106" s="67" t="n"/>
      <c r="AC106" s="67" t="n"/>
      <c r="AD106" s="67" t="n"/>
      <c r="AE106" s="67" t="n"/>
      <c r="AF106" s="67" t="n"/>
    </row>
    <row r="107">
      <c r="A107" s="67" t="n"/>
      <c r="B107" s="47" t="n">
        <v>101</v>
      </c>
      <c r="C107" s="44" t="inlineStr">
        <is>
          <t>Oak Foundation</t>
        </is>
      </c>
      <c r="D107" s="44" t="inlineStr">
        <is>
          <t>Funders</t>
        </is>
      </c>
      <c r="E107" s="62" t="inlineStr">
        <is>
          <t>Philanthropy foundations</t>
        </is>
      </c>
      <c r="F107" s="44" t="inlineStr">
        <is>
          <t>International grantmaking foundation supporting issues such as environment/climate, human rights, and social justice; funds organizations and coalitions that pursue structural change.</t>
        </is>
      </c>
      <c r="G107" s="46" t="inlineStr">
        <is>
          <t>Cross-border / international</t>
        </is>
      </c>
      <c r="H107" s="47" t="inlineStr">
        <is>
          <t>Buildings &amp; Transport, Emergency response, Energy, "Land, Food and Forest"</t>
        </is>
      </c>
      <c r="I107" s="48" t="n"/>
      <c r="J107" s="62" t="n"/>
      <c r="K107" s="62" t="inlineStr">
        <is>
          <t>It funded broad international agendas and did not disclose a consistent Brazil-biome-specific portfolio cut for this mapping.</t>
        </is>
      </c>
      <c r="L107" s="62" t="inlineStr">
        <is>
          <t>Funder, Strategic partner</t>
        </is>
      </c>
      <c r="M107" s="61" t="inlineStr">
        <is>
          <t>Upstream</t>
        </is>
      </c>
      <c r="N107" s="61" t="inlineStr">
        <is>
          <t>Co-funding partner</t>
        </is>
      </c>
      <c r="O107" s="61" t="inlineStr">
        <is>
          <t>Geneva, Switzerland</t>
        </is>
      </c>
      <c r="P107" s="62" t="inlineStr">
        <is>
          <t>Donor</t>
        </is>
      </c>
      <c r="Q107" s="61" t="n"/>
      <c r="R107" s="55" t="inlineStr">
        <is>
          <t>https://oakfnd.org/</t>
        </is>
      </c>
      <c r="S107" s="62" t="inlineStr">
        <is>
          <t>work in Brazil for a while on climate isues. Co-Funder of LARCI /ICS.</t>
        </is>
      </c>
      <c r="T107" s="62" t="inlineStr">
        <is>
          <t>—</t>
        </is>
      </c>
      <c r="U107" s="67" t="n"/>
      <c r="V107" s="67" t="n"/>
      <c r="W107" s="67" t="n"/>
      <c r="X107" s="67" t="n"/>
      <c r="Y107" s="67" t="n"/>
      <c r="Z107" s="67" t="n"/>
      <c r="AA107" s="67" t="n"/>
      <c r="AB107" s="67" t="n"/>
      <c r="AC107" s="67" t="n"/>
      <c r="AD107" s="67" t="n"/>
      <c r="AE107" s="67" t="n"/>
      <c r="AF107" s="67" t="n"/>
    </row>
    <row r="108">
      <c r="A108" s="67" t="n"/>
      <c r="B108" s="47" t="n">
        <v>102</v>
      </c>
      <c r="C108" s="44" t="inlineStr">
        <is>
          <t>Ministério de Minas e Energia (MME)</t>
        </is>
      </c>
      <c r="D108" s="44" t="inlineStr">
        <is>
          <t>Public sector</t>
        </is>
      </c>
      <c r="E108" s="62" t="inlineStr">
        <is>
          <t>Federal Government</t>
        </is>
      </c>
      <c r="F108" s="44" t="inlineStr">
        <is>
          <t>Federal ministry responsible for national policies and planning guidelines for energy and mining; central to enabling the energy transition through regulation, sector planning, and policy coordination.</t>
        </is>
      </c>
      <c r="G108" s="46" t="inlineStr">
        <is>
          <t>National</t>
        </is>
      </c>
      <c r="H108" s="47" t="inlineStr">
        <is>
          <t>Energy</t>
        </is>
      </c>
      <c r="I108" s="48" t="n"/>
      <c r="J108" s="62" t="n"/>
      <c r="K108" s="62" t="inlineStr">
        <is>
          <t>No biome lens was assigned because it acted through national policy and planning instruments rather than biome-targeted programs.</t>
        </is>
      </c>
      <c r="L108" s="62" t="inlineStr">
        <is>
          <t>Policy influence / regulation</t>
        </is>
      </c>
      <c r="M108" s="61" t="inlineStr">
        <is>
          <t>Upstream</t>
        </is>
      </c>
      <c r="N108" s="61" t="inlineStr">
        <is>
          <t>Strategic partner</t>
        </is>
      </c>
      <c r="O108" s="61" t="inlineStr">
        <is>
          <t>Brasília, DF, Brazil</t>
        </is>
      </c>
      <c r="P108" s="62" t="n"/>
      <c r="Q108" s="61" t="n"/>
      <c r="R108" s="61" t="n"/>
      <c r="S108" s="62" t="n"/>
      <c r="T108" s="62" t="inlineStr">
        <is>
          <t>—</t>
        </is>
      </c>
      <c r="U108" s="67" t="n"/>
      <c r="V108" s="67" t="n"/>
      <c r="W108" s="67" t="n"/>
      <c r="X108" s="67" t="n"/>
      <c r="Y108" s="67" t="n"/>
      <c r="Z108" s="67" t="n"/>
      <c r="AA108" s="67" t="n"/>
      <c r="AB108" s="67" t="n"/>
      <c r="AC108" s="67" t="n"/>
      <c r="AD108" s="67" t="n"/>
      <c r="AE108" s="67" t="n"/>
      <c r="AF108" s="67" t="n"/>
    </row>
    <row r="109">
      <c r="A109" s="67" t="n"/>
      <c r="B109" s="47" t="n">
        <v>103</v>
      </c>
      <c r="C109" s="44" t="inlineStr">
        <is>
          <t>Empresa de Pesquisa Energética (EPE)</t>
        </is>
      </c>
      <c r="D109" s="44" t="inlineStr">
        <is>
          <t>Public sector</t>
        </is>
      </c>
      <c r="E109" s="62" t="inlineStr">
        <is>
          <t>Monitoring, Evaluation, and Learning</t>
        </is>
      </c>
      <c r="F109" s="44" t="inlineStr">
        <is>
          <t>Public company that provides studies and research to support the MME and national energy planning (electricity, oil &amp; gas, and biofuels), strengthening evidence-based decisions for a low-carbon transition.</t>
        </is>
      </c>
      <c r="G109" s="46" t="inlineStr">
        <is>
          <t>National</t>
        </is>
      </c>
      <c r="H109" s="47" t="inlineStr">
        <is>
          <t>Energy</t>
        </is>
      </c>
      <c r="I109" s="48" t="n"/>
      <c r="J109" s="62" t="n"/>
      <c r="K109" s="62" t="inlineStr">
        <is>
          <t>No biome lens was assigned because it produced national planning studies without a stable portfolio organized by biome.</t>
        </is>
      </c>
      <c r="L109" s="62" t="inlineStr">
        <is>
          <t>Technical assistance / research, Policy influence / regulation</t>
        </is>
      </c>
      <c r="M109" s="61" t="inlineStr">
        <is>
          <t>Upstream</t>
        </is>
      </c>
      <c r="N109" s="61" t="inlineStr">
        <is>
          <t>Strategic partner</t>
        </is>
      </c>
      <c r="O109" s="61" t="inlineStr">
        <is>
          <t>Rio de Janeiro, RJ, Brazil</t>
        </is>
      </c>
      <c r="P109" s="61" t="n"/>
      <c r="Q109" s="61" t="n"/>
      <c r="R109" s="61" t="n"/>
      <c r="S109" s="61" t="n"/>
      <c r="T109" s="62" t="inlineStr">
        <is>
          <t>Energy systems modelling, national energy planning studies and evidence for low-carbon transitions</t>
        </is>
      </c>
      <c r="U109" s="67" t="n"/>
      <c r="V109" s="67" t="n"/>
      <c r="W109" s="67" t="n"/>
      <c r="X109" s="67" t="n"/>
      <c r="Y109" s="67" t="n"/>
      <c r="Z109" s="67" t="n"/>
      <c r="AA109" s="67" t="n"/>
      <c r="AB109" s="67" t="n"/>
      <c r="AC109" s="67" t="n"/>
      <c r="AD109" s="67" t="n"/>
      <c r="AE109" s="67" t="n"/>
      <c r="AF109" s="67" t="n"/>
    </row>
    <row r="110">
      <c r="A110" s="67" t="n"/>
      <c r="B110" s="47" t="n">
        <v>104</v>
      </c>
      <c r="C110" s="44" t="inlineStr">
        <is>
          <t>Agência Nacional de Energia Elétrica (ANEEL)</t>
        </is>
      </c>
      <c r="D110" s="44" t="inlineStr">
        <is>
          <t>Public sector</t>
        </is>
      </c>
      <c r="E110" s="62" t="inlineStr">
        <is>
          <t>Public agencies and regulators</t>
        </is>
      </c>
      <c r="F110" s="44" t="inlineStr">
        <is>
          <t>Federal electricity regulator responsible for sector oversight and regulation; key to the transition through tariff/regulatory frameworks, quality/resilience requirements, and market rules that enable renewables and grid modernization.</t>
        </is>
      </c>
      <c r="G110" s="46" t="inlineStr">
        <is>
          <t>National</t>
        </is>
      </c>
      <c r="H110" s="47" t="inlineStr">
        <is>
          <t>Energy</t>
        </is>
      </c>
      <c r="I110" s="48" t="n"/>
      <c r="J110" s="62" t="n"/>
      <c r="K110" s="62" t="inlineStr">
        <is>
          <t>No biome lens was assigned because it regulated the sector nationally and did not operate through biome-specific projects.</t>
        </is>
      </c>
      <c r="L110" s="62" t="inlineStr">
        <is>
          <t>Policy influence / regulation</t>
        </is>
      </c>
      <c r="M110" s="61" t="inlineStr">
        <is>
          <t>Upstream</t>
        </is>
      </c>
      <c r="N110" s="61" t="inlineStr">
        <is>
          <t>Strategic partner</t>
        </is>
      </c>
      <c r="O110" s="61" t="inlineStr">
        <is>
          <t>Brasília, DF, Brazil</t>
        </is>
      </c>
      <c r="P110" s="61" t="n"/>
      <c r="Q110" s="61" t="n"/>
      <c r="R110" s="61" t="n"/>
      <c r="S110" s="61" t="n"/>
      <c r="T110" s="61" t="inlineStr">
        <is>
          <t>—</t>
        </is>
      </c>
      <c r="U110" s="67" t="n"/>
      <c r="V110" s="67" t="n"/>
      <c r="W110" s="67" t="n"/>
      <c r="X110" s="67" t="n"/>
      <c r="Y110" s="67" t="n"/>
      <c r="Z110" s="67" t="n"/>
      <c r="AA110" s="67" t="n"/>
      <c r="AB110" s="67" t="n"/>
      <c r="AC110" s="67" t="n"/>
      <c r="AD110" s="67" t="n"/>
      <c r="AE110" s="67" t="n"/>
      <c r="AF110" s="67" t="n"/>
    </row>
    <row r="111">
      <c r="A111" s="67" t="n"/>
      <c r="B111" s="47" t="n">
        <v>105</v>
      </c>
      <c r="C111" s="44" t="inlineStr">
        <is>
          <t>Operador Nacional do Sistema Elétrico (ONS)</t>
        </is>
      </c>
      <c r="D111" s="44" t="inlineStr">
        <is>
          <t>Public sector</t>
        </is>
      </c>
      <c r="E111" s="62" t="inlineStr">
        <is>
          <t>Industry platforms and sectoral initiatives</t>
        </is>
      </c>
      <c r="F111" s="44" t="inlineStr">
        <is>
          <t>Non-profit system operator (private-law entity) responsible for coordinating and controlling generation and transmission operation of Brazil’s interconnected power system; essential for reliability, integration of renewables, and operational planning.</t>
        </is>
      </c>
      <c r="G111" s="46" t="inlineStr">
        <is>
          <t>National</t>
        </is>
      </c>
      <c r="H111" s="47" t="inlineStr">
        <is>
          <t>Energy</t>
        </is>
      </c>
      <c r="I111" s="48" t="n"/>
      <c r="J111" s="62" t="n"/>
      <c r="K111" s="62" t="inlineStr">
        <is>
          <t>No biome lens was assigned because it performed system operation for the national grid and was not structured around biome-defined interventions.</t>
        </is>
      </c>
      <c r="L111" s="62" t="inlineStr">
        <is>
          <t>Policy influence / regulation, Data / MRV / platforms</t>
        </is>
      </c>
      <c r="M111" s="61" t="inlineStr">
        <is>
          <t>Upstream</t>
        </is>
      </c>
      <c r="N111" s="61" t="inlineStr">
        <is>
          <t>Strategic partner</t>
        </is>
      </c>
      <c r="O111" s="61" t="inlineStr">
        <is>
          <t>Rio de Janeiro, RJ, Brazil</t>
        </is>
      </c>
      <c r="P111" s="61" t="n"/>
      <c r="Q111" s="61" t="n"/>
      <c r="R111" s="61" t="n"/>
      <c r="S111" s="61" t="n"/>
      <c r="T111" s="61" t="inlineStr">
        <is>
          <t>—</t>
        </is>
      </c>
      <c r="U111" s="67" t="n"/>
      <c r="V111" s="67" t="n"/>
      <c r="W111" s="67" t="n"/>
      <c r="X111" s="67" t="n"/>
      <c r="Y111" s="67" t="n"/>
      <c r="Z111" s="67" t="n"/>
      <c r="AA111" s="67" t="n"/>
      <c r="AB111" s="67" t="n"/>
      <c r="AC111" s="67" t="n"/>
      <c r="AD111" s="67" t="n"/>
      <c r="AE111" s="67" t="n"/>
      <c r="AF111" s="67" t="n"/>
    </row>
    <row r="112">
      <c r="A112" s="67" t="n"/>
      <c r="B112" s="47" t="n">
        <v>106</v>
      </c>
      <c r="C112" s="44" t="inlineStr">
        <is>
          <t>Neoenergia</t>
        </is>
      </c>
      <c r="D112" s="44" t="inlineStr">
        <is>
          <t>Private sector</t>
        </is>
      </c>
      <c r="E112" s="62" t="inlineStr">
        <is>
          <t>Private companies (large / leading)</t>
        </is>
      </c>
      <c r="F112" s="44" t="inlineStr">
        <is>
          <t>Integrated utility (generation/transmission/distribution); can accelerate transition by expanding renewables, modernizing grids, improving efficiency, and scaling electrification solutions with stronger ESG performance.</t>
        </is>
      </c>
      <c r="G112" s="46" t="inlineStr">
        <is>
          <t>Cross-border / international</t>
        </is>
      </c>
      <c r="H112" s="47" t="inlineStr">
        <is>
          <t>Energy</t>
        </is>
      </c>
      <c r="I112" s="48" t="n"/>
      <c r="J112" s="62" t="n"/>
      <c r="K112" s="62" t="inlineStr">
        <is>
          <t>No biome lens was assigned because the company’s publicly visible transition agenda was framed by assets and concession areas, not by biome-delimited programs.</t>
        </is>
      </c>
      <c r="L112" s="62" t="inlineStr">
        <is>
          <t>Strategic partner, Implementation capacity (delivery)</t>
        </is>
      </c>
      <c r="M112" s="61" t="inlineStr">
        <is>
          <t>Downstream</t>
        </is>
      </c>
      <c r="N112" s="61" t="inlineStr">
        <is>
          <t>Co-funding partner</t>
        </is>
      </c>
      <c r="O112" s="61" t="inlineStr">
        <is>
          <t>Rio de Janeiro, RJ, Brazil</t>
        </is>
      </c>
      <c r="P112" s="61" t="inlineStr">
        <is>
          <t>Donor</t>
        </is>
      </c>
      <c r="Q112" s="61" t="n"/>
      <c r="R112" s="61" t="n"/>
      <c r="S112" s="61" t="n"/>
      <c r="T112" s="61" t="inlineStr">
        <is>
          <t>—</t>
        </is>
      </c>
      <c r="U112" s="67" t="n"/>
      <c r="V112" s="67" t="n"/>
      <c r="W112" s="67" t="n"/>
      <c r="X112" s="67" t="n"/>
      <c r="Y112" s="67" t="n"/>
      <c r="Z112" s="67" t="n"/>
      <c r="AA112" s="67" t="n"/>
      <c r="AB112" s="67" t="n"/>
      <c r="AC112" s="67" t="n"/>
      <c r="AD112" s="67" t="n"/>
      <c r="AE112" s="67" t="n"/>
      <c r="AF112" s="67" t="n"/>
    </row>
    <row r="113">
      <c r="A113" s="67" t="n"/>
      <c r="B113" s="47" t="n">
        <v>107</v>
      </c>
      <c r="C113" s="44" t="inlineStr">
        <is>
          <t>CPFL Energia</t>
        </is>
      </c>
      <c r="D113" s="44" t="inlineStr">
        <is>
          <t>Private sector</t>
        </is>
      </c>
      <c r="E113" s="62" t="inlineStr">
        <is>
          <t>Private companies (large / leading)</t>
        </is>
      </c>
      <c r="F113" s="44" t="inlineStr">
        <is>
          <t>Integrated utility with strong distribution footprint; contributes through grid modernization, losses reduction, digitalization, and investments that enable distributed generation and clean electrification.</t>
        </is>
      </c>
      <c r="G113" s="46" t="inlineStr">
        <is>
          <t>Cross-border / international</t>
        </is>
      </c>
      <c r="H113" s="47" t="inlineStr">
        <is>
          <t>Energy</t>
        </is>
      </c>
      <c r="I113" s="48" t="n"/>
      <c r="J113" s="62" t="n"/>
      <c r="K113" s="62" t="inlineStr">
        <is>
          <t>No biome lens was assigned because actions were typically reported by operational footprint and concessions, not by biome-based initiatives.</t>
        </is>
      </c>
      <c r="L113" s="62" t="inlineStr">
        <is>
          <t>Strategic partner, Implementation capacity (delivery)</t>
        </is>
      </c>
      <c r="M113" s="61" t="inlineStr">
        <is>
          <t>Downstream</t>
        </is>
      </c>
      <c r="N113" s="61" t="inlineStr">
        <is>
          <t>Co-funding partner</t>
        </is>
      </c>
      <c r="O113" s="61" t="inlineStr">
        <is>
          <t>Campinas, SP, Brazil</t>
        </is>
      </c>
      <c r="P113" s="61" t="inlineStr">
        <is>
          <t>Donor</t>
        </is>
      </c>
      <c r="Q113" s="61" t="n"/>
      <c r="R113" s="61" t="n"/>
      <c r="S113" s="61" t="n"/>
      <c r="T113" s="61" t="inlineStr">
        <is>
          <t>—</t>
        </is>
      </c>
      <c r="U113" s="67" t="n"/>
      <c r="V113" s="67" t="n"/>
      <c r="W113" s="67" t="n"/>
      <c r="X113" s="67" t="n"/>
      <c r="Y113" s="67" t="n"/>
      <c r="Z113" s="67" t="n"/>
      <c r="AA113" s="67" t="n"/>
      <c r="AB113" s="67" t="n"/>
      <c r="AC113" s="67" t="n"/>
      <c r="AD113" s="67" t="n"/>
      <c r="AE113" s="67" t="n"/>
      <c r="AF113" s="67" t="n"/>
    </row>
    <row r="114">
      <c r="A114" s="67" t="n"/>
      <c r="B114" s="47" t="n">
        <v>108</v>
      </c>
      <c r="C114" s="44" t="inlineStr">
        <is>
          <t>Engie Brasil</t>
        </is>
      </c>
      <c r="D114" s="44" t="inlineStr">
        <is>
          <t>Private sector</t>
        </is>
      </c>
      <c r="E114" s="62" t="inlineStr">
        <is>
          <t>Private companies (large / leading)</t>
        </is>
      </c>
      <c r="F114" s="44" t="inlineStr">
        <is>
          <t>Power generation company with a significant renewables portfolio; contributes via renewable expansion, decarbonization strategies, and long-term investment in clean energy assets and grid solutions.</t>
        </is>
      </c>
      <c r="G114" s="46" t="inlineStr">
        <is>
          <t>Cross-border / international</t>
        </is>
      </c>
      <c r="H114" s="47" t="inlineStr">
        <is>
          <t>Energy</t>
        </is>
      </c>
      <c r="I114" s="48" t="n"/>
      <c r="J114" s="62" t="n"/>
      <c r="K114" s="62" t="inlineStr">
        <is>
          <t>No biome lens was assigned because the transition contribution was reported by generation assets and projects without a consistent biome cut.</t>
        </is>
      </c>
      <c r="L114" s="62" t="inlineStr">
        <is>
          <t>Strategic partner, Implementation capacity (delivery)</t>
        </is>
      </c>
      <c r="M114" s="61" t="inlineStr">
        <is>
          <t>Downstream</t>
        </is>
      </c>
      <c r="N114" s="61" t="inlineStr">
        <is>
          <t>Co-funding partner</t>
        </is>
      </c>
      <c r="O114" s="61" t="inlineStr">
        <is>
          <t>Florianópolis, SC, Brazil</t>
        </is>
      </c>
      <c r="P114" s="61" t="inlineStr">
        <is>
          <t>Donor</t>
        </is>
      </c>
      <c r="Q114" s="61" t="n"/>
      <c r="R114" s="61" t="n"/>
      <c r="S114" s="61" t="n"/>
      <c r="T114" s="61" t="inlineStr">
        <is>
          <t>—</t>
        </is>
      </c>
      <c r="U114" s="67" t="n"/>
      <c r="V114" s="67" t="n"/>
      <c r="W114" s="67" t="n"/>
      <c r="X114" s="67" t="n"/>
      <c r="Y114" s="67" t="n"/>
      <c r="Z114" s="67" t="n"/>
      <c r="AA114" s="67" t="n"/>
      <c r="AB114" s="67" t="n"/>
      <c r="AC114" s="67" t="n"/>
      <c r="AD114" s="67" t="n"/>
      <c r="AE114" s="67" t="n"/>
      <c r="AF114" s="67" t="n"/>
    </row>
    <row r="115">
      <c r="A115" s="67" t="n"/>
      <c r="B115" s="47" t="n">
        <v>109</v>
      </c>
      <c r="C115" s="44" t="inlineStr">
        <is>
          <t>EDP Brasil</t>
        </is>
      </c>
      <c r="D115" s="44" t="inlineStr">
        <is>
          <t>Private sector</t>
        </is>
      </c>
      <c r="E115" s="62" t="inlineStr">
        <is>
          <t>Private companies (large / leading)</t>
        </is>
      </c>
      <c r="F115" s="44" t="inlineStr">
        <is>
          <t>Energy company active in generation and distribution; can drive the transition through renewables, innovation (e.g., storage/digital), energy efficiency, and electrification programs.</t>
        </is>
      </c>
      <c r="G115" s="46" t="inlineStr">
        <is>
          <t>Cross-border / international</t>
        </is>
      </c>
      <c r="H115" s="47" t="inlineStr">
        <is>
          <t>Energy</t>
        </is>
      </c>
      <c r="I115" s="48" t="n"/>
      <c r="J115" s="62" t="n"/>
      <c r="K115" s="62" t="inlineStr">
        <is>
          <t>No biome lens was assigned because programs were not clearly organized or communicated using biome boundaries as the primary territorial frame.</t>
        </is>
      </c>
      <c r="L115" s="62" t="inlineStr">
        <is>
          <t>Strategic partner, Implementation capacity (delivery)</t>
        </is>
      </c>
      <c r="M115" s="61" t="inlineStr">
        <is>
          <t>Downstream</t>
        </is>
      </c>
      <c r="N115" s="61" t="inlineStr">
        <is>
          <t>Co-funding partner</t>
        </is>
      </c>
      <c r="O115" s="61" t="inlineStr">
        <is>
          <t>São Paulo, SP, Brazil</t>
        </is>
      </c>
      <c r="P115" s="61" t="inlineStr">
        <is>
          <t>Donor</t>
        </is>
      </c>
      <c r="Q115" s="61" t="n"/>
      <c r="R115" s="61" t="n"/>
      <c r="S115" s="61" t="n"/>
      <c r="T115" s="61" t="inlineStr">
        <is>
          <t>—</t>
        </is>
      </c>
      <c r="U115" s="67" t="n"/>
      <c r="V115" s="67" t="n"/>
      <c r="W115" s="67" t="n"/>
      <c r="X115" s="67" t="n"/>
      <c r="Y115" s="67" t="n"/>
      <c r="Z115" s="67" t="n"/>
      <c r="AA115" s="67" t="n"/>
      <c r="AB115" s="67" t="n"/>
      <c r="AC115" s="67" t="n"/>
      <c r="AD115" s="67" t="n"/>
      <c r="AE115" s="67" t="n"/>
      <c r="AF115" s="67" t="n"/>
    </row>
    <row r="116">
      <c r="A116" s="67" t="n"/>
      <c r="B116" s="47" t="n">
        <v>110</v>
      </c>
      <c r="C116" s="44" t="inlineStr">
        <is>
          <t>Enel Brasil</t>
        </is>
      </c>
      <c r="D116" s="44" t="inlineStr">
        <is>
          <t>Private sector</t>
        </is>
      </c>
      <c r="E116" s="62" t="inlineStr">
        <is>
          <t>Private companies (large / leading)</t>
        </is>
      </c>
      <c r="F116" s="44" t="inlineStr">
        <is>
          <t>Integrated utility (distribution and generation) with focus on decarbonization; contributes via renewable investments, grid resilience, digital networks, and electrification (e.g., e-mobility infrastructure).</t>
        </is>
      </c>
      <c r="G116" s="46" t="inlineStr">
        <is>
          <t>Cross-border / international</t>
        </is>
      </c>
      <c r="H116" s="47" t="inlineStr">
        <is>
          <t>Energy</t>
        </is>
      </c>
      <c r="I116" s="48" t="n"/>
      <c r="J116" s="62" t="n"/>
      <c r="K116" s="62" t="inlineStr">
        <is>
          <t>No biome lens was assigned because the portfolio was presented by business lines and concessions rather than biome-targeted action.</t>
        </is>
      </c>
      <c r="L116" s="62" t="inlineStr">
        <is>
          <t>Strategic partner, Implementation capacity (delivery)</t>
        </is>
      </c>
      <c r="M116" s="61" t="inlineStr">
        <is>
          <t>Downstream</t>
        </is>
      </c>
      <c r="N116" s="61" t="inlineStr">
        <is>
          <t>Co-funding partner</t>
        </is>
      </c>
      <c r="O116" s="61" t="inlineStr">
        <is>
          <t>São Paulo, SP, Brazil</t>
        </is>
      </c>
      <c r="P116" s="61" t="inlineStr">
        <is>
          <t>Donor</t>
        </is>
      </c>
      <c r="Q116" s="61" t="n"/>
      <c r="R116" s="61" t="n"/>
      <c r="S116" s="61" t="n"/>
      <c r="T116" s="61" t="inlineStr">
        <is>
          <t>—</t>
        </is>
      </c>
      <c r="U116" s="67" t="n"/>
      <c r="V116" s="67" t="n"/>
      <c r="W116" s="67" t="n"/>
      <c r="X116" s="67" t="n"/>
      <c r="Y116" s="67" t="n"/>
      <c r="Z116" s="67" t="n"/>
      <c r="AA116" s="67" t="n"/>
      <c r="AB116" s="67" t="n"/>
      <c r="AC116" s="67" t="n"/>
      <c r="AD116" s="67" t="n"/>
      <c r="AE116" s="67" t="n"/>
      <c r="AF116" s="67" t="n"/>
    </row>
    <row r="117">
      <c r="A117" s="67" t="n"/>
      <c r="B117" s="47" t="n">
        <v>111</v>
      </c>
      <c r="C117" s="44" t="inlineStr">
        <is>
          <t>Eletrobras</t>
        </is>
      </c>
      <c r="D117" s="44" t="inlineStr">
        <is>
          <t>Private sector</t>
        </is>
      </c>
      <c r="E117" s="62" t="inlineStr">
        <is>
          <t>Private companies (large / leading)</t>
        </is>
      </c>
      <c r="F117" s="44" t="inlineStr">
        <is>
          <t>Major electricity company with large generation and transmission assets; can influence systemic transition through grid expansion, transmission reliability, renewable integration, and governance aligned with long-term decarbonization.</t>
        </is>
      </c>
      <c r="G117" s="46" t="inlineStr">
        <is>
          <t>National</t>
        </is>
      </c>
      <c r="H117" s="47" t="inlineStr">
        <is>
          <t>Energy</t>
        </is>
      </c>
      <c r="I117" s="48" t="n"/>
      <c r="J117" s="62" t="n"/>
      <c r="K117" s="62" t="inlineStr">
        <is>
          <t>No biome lens was assigned because transition-relevant actions were linked to system assets and corporate strategy, not to explicit biome-based programs.</t>
        </is>
      </c>
      <c r="L117" s="62" t="inlineStr">
        <is>
          <t>Strategic partner, Implementation capacity (delivery)</t>
        </is>
      </c>
      <c r="M117" s="61" t="inlineStr">
        <is>
          <t>Downstream</t>
        </is>
      </c>
      <c r="N117" s="61" t="inlineStr">
        <is>
          <t>Co-funding partner</t>
        </is>
      </c>
      <c r="O117" s="61" t="inlineStr">
        <is>
          <t>Rio de Janeiro, RJ, Brazil</t>
        </is>
      </c>
      <c r="P117" s="61" t="inlineStr">
        <is>
          <t>Donor</t>
        </is>
      </c>
      <c r="Q117" s="61" t="n"/>
      <c r="R117" s="61" t="n"/>
      <c r="S117" s="61" t="n"/>
      <c r="T117" s="61" t="inlineStr">
        <is>
          <t>—</t>
        </is>
      </c>
      <c r="U117" s="67" t="n"/>
      <c r="V117" s="67" t="n"/>
      <c r="W117" s="67" t="n"/>
      <c r="X117" s="67" t="n"/>
      <c r="Y117" s="67" t="n"/>
      <c r="Z117" s="67" t="n"/>
      <c r="AA117" s="67" t="n"/>
      <c r="AB117" s="67" t="n"/>
      <c r="AC117" s="67" t="n"/>
      <c r="AD117" s="67" t="n"/>
      <c r="AE117" s="67" t="n"/>
      <c r="AF117" s="67" t="n"/>
    </row>
    <row r="118">
      <c r="A118" s="67" t="n"/>
      <c r="B118" s="47" t="n">
        <v>112</v>
      </c>
      <c r="C118" s="44" t="inlineStr">
        <is>
          <t>Instituto de Energia e Meio Ambiente (IEMA)</t>
        </is>
      </c>
      <c r="D118" s="44" t="inlineStr">
        <is>
          <t>Civil Society Organization (CSO)</t>
        </is>
      </c>
      <c r="E118" s="62" t="inlineStr">
        <is>
          <t>Monitoring, Evaluation, and Learning</t>
        </is>
      </c>
      <c r="F118" s="44" t="inlineStr">
        <is>
          <t>Brazilian non-profit institute that produces technical evidence and policy analysis on energy, air quality, emissions and urban mobility, supporting better regulation and public decision-making for a low-carbon transition.</t>
        </is>
      </c>
      <c r="G118" s="46" t="inlineStr">
        <is>
          <t>National</t>
        </is>
      </c>
      <c r="H118" s="47" t="inlineStr">
        <is>
          <t>Buildings &amp; Transport, Energy, "Land, Food and Forest"</t>
        </is>
      </c>
      <c r="I118" s="48" t="inlineStr">
        <is>
          <t>Amazonia, Caatinga, Cerrado</t>
        </is>
      </c>
      <c r="J118" s="62" t="inlineStr">
        <is>
          <t>Mata&amp;Atlântica, Pantanal</t>
        </is>
      </c>
      <c r="K118" s="62" t="inlineStr">
        <is>
          <t>The biome tagging reflects where Brazil’s decarbonization and air-quality agendas are structurally shaped by land-use pressure, diesel/logistics corridors, and energy system constraints.</t>
        </is>
      </c>
      <c r="L118" s="62" t="inlineStr">
        <is>
          <t>Technical assistance / research, Policy influence / regulation</t>
        </is>
      </c>
      <c r="M118" s="61" t="inlineStr">
        <is>
          <t>Upstream</t>
        </is>
      </c>
      <c r="N118" s="61" t="inlineStr">
        <is>
          <t>Grant recipient</t>
        </is>
      </c>
      <c r="O118" s="61" t="inlineStr">
        <is>
          <t>São Paulo, SP, Brazil</t>
        </is>
      </c>
      <c r="P118" s="62" t="inlineStr">
        <is>
          <t>Grantee</t>
        </is>
      </c>
      <c r="Q118" s="61" t="inlineStr">
        <is>
          <t>André Ferreira (Executive Director)</t>
        </is>
      </c>
      <c r="R118" s="55" t="inlineStr">
        <is>
          <t>https://energiaeambiente.org.br/</t>
        </is>
      </c>
      <c r="S118" s="62" t="inlineStr">
        <is>
          <t>A strategic partner to provide  reliable data on energy in Brazil. A Think Thank on energy transition information in Brazil.</t>
        </is>
      </c>
      <c r="T118" s="62" t="inlineStr">
        <is>
          <t>Urban/sectoral GHG inventories, air quality monitoring and evaluation of energy and mobility policies</t>
        </is>
      </c>
      <c r="U118" s="67" t="n"/>
      <c r="V118" s="67" t="n"/>
      <c r="W118" s="67" t="n"/>
      <c r="X118" s="67" t="n"/>
      <c r="Y118" s="67" t="n"/>
      <c r="Z118" s="67" t="n"/>
      <c r="AA118" s="67" t="n"/>
      <c r="AB118" s="67" t="n"/>
      <c r="AC118" s="67" t="n"/>
      <c r="AD118" s="67" t="n"/>
      <c r="AE118" s="67" t="n"/>
      <c r="AF118" s="67" t="n"/>
    </row>
    <row r="119">
      <c r="A119" s="67" t="n"/>
      <c r="B119" s="47" t="n">
        <v>113</v>
      </c>
      <c r="C119" s="44" t="inlineStr">
        <is>
          <t>Instituto E+ Transição Energética (E+)</t>
        </is>
      </c>
      <c r="D119" s="44" t="inlineStr">
        <is>
          <t>Civil Society Organization (CSO)</t>
        </is>
      </c>
      <c r="E119" s="62" t="inlineStr">
        <is>
          <t>Think tanks</t>
        </is>
      </c>
      <c r="F119" s="44" t="inlineStr">
        <is>
          <t>Independent Brazilian think tank that develops data-driven analysis and policy proposals and convenes stakeholders to advance a just, efficient energy transition aligned with sustainable development.</t>
        </is>
      </c>
      <c r="G119" s="46" t="inlineStr">
        <is>
          <t>National</t>
        </is>
      </c>
      <c r="H119" s="47" t="inlineStr">
        <is>
          <t>Energy</t>
        </is>
      </c>
      <c r="I119" s="48" t="inlineStr">
        <is>
          <t>Amazonia, Caatinga</t>
        </is>
      </c>
      <c r="J119" s="62" t="inlineStr">
        <is>
          <t>Mata&amp;Atlântica</t>
        </is>
      </c>
      <c r="K119" s="62" t="inlineStr">
        <is>
          <t>The primary biomes capture where the “just transition” framing and energy-system transformation are most tightly coupled with regional development and equity trade-offs.</t>
        </is>
      </c>
      <c r="L119" s="62" t="inlineStr">
        <is>
          <t>Technical assistance / research, Policy influence / regulation</t>
        </is>
      </c>
      <c r="M119" s="61" t="inlineStr">
        <is>
          <t>Upstream</t>
        </is>
      </c>
      <c r="N119" s="61" t="inlineStr">
        <is>
          <t>Grant recipient</t>
        </is>
      </c>
      <c r="O119" s="61" t="inlineStr">
        <is>
          <t>São Paulo, SP, Brazil</t>
        </is>
      </c>
      <c r="P119" s="61" t="inlineStr">
        <is>
          <t>Grantee</t>
        </is>
      </c>
      <c r="Q119" s="61" t="n"/>
      <c r="R119" s="61" t="n"/>
      <c r="S119" s="61" t="n"/>
      <c r="T119" s="61" t="inlineStr">
        <is>
          <t>—</t>
        </is>
      </c>
      <c r="U119" s="67" t="n"/>
      <c r="V119" s="67" t="n"/>
      <c r="W119" s="67" t="n"/>
      <c r="X119" s="67" t="n"/>
      <c r="Y119" s="67" t="n"/>
      <c r="Z119" s="67" t="n"/>
      <c r="AA119" s="67" t="n"/>
      <c r="AB119" s="67" t="n"/>
      <c r="AC119" s="67" t="n"/>
      <c r="AD119" s="67" t="n"/>
      <c r="AE119" s="67" t="n"/>
      <c r="AF119" s="67" t="n"/>
    </row>
    <row r="120">
      <c r="A120" s="67" t="n"/>
      <c r="B120" s="47" t="n">
        <v>114</v>
      </c>
      <c r="C120" s="44" t="inlineStr">
        <is>
          <t>European Climate Foundation (ECF)</t>
        </is>
      </c>
      <c r="D120" s="44" t="inlineStr">
        <is>
          <t>Funders</t>
        </is>
      </c>
      <c r="E120" s="62" t="inlineStr">
        <is>
          <t>Philanthropy foundations</t>
        </is>
      </c>
      <c r="F120" s="44" t="inlineStr">
        <is>
          <t>International grantmaking foundation that provides strategic and financial support to organizations working to tackle the climate crisis, strengthening coalitions and high-impact policies for decarbonization.</t>
        </is>
      </c>
      <c r="G120" s="46" t="inlineStr">
        <is>
          <t>Cross-border / international</t>
        </is>
      </c>
      <c r="H120" s="47" t="inlineStr">
        <is>
          <t>Buildings &amp; Transport, Energy, "Land, Food and Forest"</t>
        </is>
      </c>
      <c r="I120" s="48" t="n"/>
      <c r="J120" s="62" t="n"/>
      <c r="K120" s="62" t="inlineStr">
        <is>
          <t>No biome lens was assigned because Brazil-related support was not consistently publicized as a biome-delimited portfolio in this mapping.</t>
        </is>
      </c>
      <c r="L120" s="62" t="inlineStr">
        <is>
          <t>Funder, Strategic partner</t>
        </is>
      </c>
      <c r="M120" s="61" t="inlineStr">
        <is>
          <t>Upstream</t>
        </is>
      </c>
      <c r="N120" s="61" t="inlineStr">
        <is>
          <t>Co-funding partner</t>
        </is>
      </c>
      <c r="O120" s="61" t="inlineStr">
        <is>
          <t>São Paulo, SP, Brazil</t>
        </is>
      </c>
      <c r="P120" s="61" t="inlineStr">
        <is>
          <t>Donor</t>
        </is>
      </c>
      <c r="Q120" s="61" t="n"/>
      <c r="R120" s="55" t="inlineStr">
        <is>
          <t>https://europeanclimate.org/</t>
        </is>
      </c>
      <c r="S120" s="61" t="inlineStr">
        <is>
          <t xml:space="preserve">Could brink knowleage to climate initiatives in Brazil. </t>
        </is>
      </c>
      <c r="T120" s="61" t="inlineStr">
        <is>
          <t>—</t>
        </is>
      </c>
      <c r="U120" s="67" t="n"/>
      <c r="V120" s="67" t="n"/>
      <c r="W120" s="67" t="n"/>
      <c r="X120" s="67" t="n"/>
      <c r="Y120" s="67" t="n"/>
      <c r="Z120" s="67" t="n"/>
      <c r="AA120" s="67" t="n"/>
      <c r="AB120" s="67" t="n"/>
      <c r="AC120" s="67" t="n"/>
      <c r="AD120" s="67" t="n"/>
      <c r="AE120" s="67" t="n"/>
      <c r="AF120" s="67" t="n"/>
    </row>
    <row r="121">
      <c r="A121" s="67" t="n"/>
      <c r="B121" s="47" t="n">
        <v>115</v>
      </c>
      <c r="C121" s="44" t="inlineStr">
        <is>
          <t>Quadrature Climate Foundation</t>
        </is>
      </c>
      <c r="D121" s="44" t="inlineStr">
        <is>
          <t>Funders</t>
        </is>
      </c>
      <c r="E121" s="62" t="inlineStr">
        <is>
          <t>Philanthropy foundations</t>
        </is>
      </c>
      <c r="F121" s="44" t="inlineStr">
        <is>
          <t>Independent charitable foundation that funds climate solutions to reduce emissions, scale carbon removal, and strengthen resilience to climate impacts through grants and partnerships.</t>
        </is>
      </c>
      <c r="G121" s="46" t="inlineStr">
        <is>
          <t>Cross-border / international</t>
        </is>
      </c>
      <c r="H121" s="47" t="inlineStr">
        <is>
          <t>Buildings &amp; Transport, Energy, "Land, Food and Forest"</t>
        </is>
      </c>
      <c r="I121" s="48" t="n"/>
      <c r="J121" s="62" t="n"/>
      <c r="K121" s="62" t="inlineStr">
        <is>
          <t>No biome lens was assigned because the grant strategy was not mapped here through explicit Brazil biome-cut initiatives.</t>
        </is>
      </c>
      <c r="L121" s="62" t="inlineStr">
        <is>
          <t>Funder, Strategic partner</t>
        </is>
      </c>
      <c r="M121" s="61" t="inlineStr">
        <is>
          <t>Upstream</t>
        </is>
      </c>
      <c r="N121" s="61" t="inlineStr">
        <is>
          <t>Co-funding partner</t>
        </is>
      </c>
      <c r="O121" s="61" t="inlineStr">
        <is>
          <t>São Paulo, SP, Brazil</t>
        </is>
      </c>
      <c r="P121" s="61" t="inlineStr">
        <is>
          <t>Donor</t>
        </is>
      </c>
      <c r="Q121" s="61" t="n"/>
      <c r="R121" s="61" t="n"/>
      <c r="S121" s="61" t="n"/>
      <c r="T121" s="61" t="inlineStr">
        <is>
          <t>—</t>
        </is>
      </c>
      <c r="U121" s="67" t="n"/>
      <c r="V121" s="67" t="n"/>
      <c r="W121" s="67" t="n"/>
      <c r="X121" s="67" t="n"/>
      <c r="Y121" s="67" t="n"/>
      <c r="Z121" s="67" t="n"/>
      <c r="AA121" s="67" t="n"/>
      <c r="AB121" s="67" t="n"/>
      <c r="AC121" s="67" t="n"/>
      <c r="AD121" s="67" t="n"/>
      <c r="AE121" s="67" t="n"/>
      <c r="AF121" s="67" t="n"/>
    </row>
    <row r="122">
      <c r="A122" s="67" t="n"/>
      <c r="B122" s="47" t="n">
        <v>116</v>
      </c>
      <c r="C122" s="44" t="inlineStr">
        <is>
          <t>Ministério das Cidades</t>
        </is>
      </c>
      <c r="D122" s="44" t="inlineStr">
        <is>
          <t>Public sector</t>
        </is>
      </c>
      <c r="E122" s="62" t="inlineStr">
        <is>
          <t>Federal Government</t>
        </is>
      </c>
      <c r="F122" s="44" t="inlineStr">
        <is>
          <t>Federal ministry responsible for urban development agendas (housing, sanitation, urban mobility and planning), shaping national policy frameworks, programs and financing instruments for inclusive and resilient cities.</t>
        </is>
      </c>
      <c r="G122" s="46" t="inlineStr">
        <is>
          <t>National</t>
        </is>
      </c>
      <c r="H122" s="47" t="inlineStr">
        <is>
          <t>Buildings &amp; Transport</t>
        </is>
      </c>
      <c r="I122" s="48" t="n"/>
      <c r="J122" s="62" t="n"/>
      <c r="K122" s="62" t="inlineStr">
        <is>
          <t>No biome lens was assigned because it acted through nationwide urban policy instruments and program rules, not biome-specific territorial initiatives.</t>
        </is>
      </c>
      <c r="L122" s="62" t="inlineStr">
        <is>
          <t>Policy influence / regulation, Territorial anchor</t>
        </is>
      </c>
      <c r="M122" s="61" t="inlineStr">
        <is>
          <t>Upstream</t>
        </is>
      </c>
      <c r="N122" s="61" t="inlineStr">
        <is>
          <t>Strategic partner</t>
        </is>
      </c>
      <c r="O122" s="61" t="inlineStr">
        <is>
          <t>Brasília, DF, Brazil</t>
        </is>
      </c>
      <c r="P122" s="61" t="n"/>
      <c r="Q122" s="61" t="n"/>
      <c r="R122" s="61" t="n"/>
      <c r="S122" s="61" t="n"/>
      <c r="T122" s="61" t="inlineStr">
        <is>
          <t>—</t>
        </is>
      </c>
      <c r="U122" s="67" t="n"/>
      <c r="V122" s="67" t="n"/>
      <c r="W122" s="67" t="n"/>
      <c r="X122" s="67" t="n"/>
      <c r="Y122" s="67" t="n"/>
      <c r="Z122" s="67" t="n"/>
      <c r="AA122" s="67" t="n"/>
      <c r="AB122" s="67" t="n"/>
      <c r="AC122" s="67" t="n"/>
      <c r="AD122" s="67" t="n"/>
      <c r="AE122" s="67" t="n"/>
      <c r="AF122" s="67" t="n"/>
    </row>
    <row r="123">
      <c r="A123" s="67" t="n"/>
      <c r="B123" s="47" t="n">
        <v>117</v>
      </c>
      <c r="C123" s="44" t="inlineStr">
        <is>
          <t>Agência Nacional de Transportes Terrestres (ANTT)</t>
        </is>
      </c>
      <c r="D123" s="44" t="inlineStr">
        <is>
          <t>Public sector</t>
        </is>
      </c>
      <c r="E123" s="62" t="inlineStr">
        <is>
          <t>Public agencies and regulators</t>
        </is>
      </c>
      <c r="F123" s="44" t="inlineStr">
        <is>
          <t>Federal regulatory agency that regulates, supervises and enforces land transport services and infrastructure concessions (roads/railways), influencing decarbonization and efficiency through sector rules, contracts and oversight.</t>
        </is>
      </c>
      <c r="G123" s="46" t="inlineStr">
        <is>
          <t>National</t>
        </is>
      </c>
      <c r="H123" s="47" t="inlineStr">
        <is>
          <t>Buildings &amp; Transport</t>
        </is>
      </c>
      <c r="I123" s="48" t="n"/>
      <c r="J123" s="62" t="n"/>
      <c r="K123" s="62" t="inlineStr">
        <is>
          <t>No biome lens was assigned because it regulated concessions and services nationally and did not implement programs framed by biomes.</t>
        </is>
      </c>
      <c r="L123" s="62" t="inlineStr">
        <is>
          <t>Policy influence / regulation</t>
        </is>
      </c>
      <c r="M123" s="61" t="inlineStr">
        <is>
          <t>Upstream</t>
        </is>
      </c>
      <c r="N123" s="61" t="inlineStr">
        <is>
          <t>Strategic partner</t>
        </is>
      </c>
      <c r="O123" s="61" t="inlineStr">
        <is>
          <t>Brasília, DF, Brazil</t>
        </is>
      </c>
      <c r="P123" s="61" t="inlineStr">
        <is>
          <t>Grantee</t>
        </is>
      </c>
      <c r="Q123" s="61" t="n"/>
      <c r="R123" s="61" t="n"/>
      <c r="S123" s="61" t="n"/>
      <c r="T123" s="61" t="inlineStr">
        <is>
          <t>—</t>
        </is>
      </c>
      <c r="U123" s="67" t="n"/>
      <c r="V123" s="67" t="n"/>
      <c r="W123" s="67" t="n"/>
      <c r="X123" s="67" t="n"/>
      <c r="Y123" s="67" t="n"/>
      <c r="Z123" s="67" t="n"/>
      <c r="AA123" s="67" t="n"/>
      <c r="AB123" s="67" t="n"/>
      <c r="AC123" s="67" t="n"/>
      <c r="AD123" s="67" t="n"/>
      <c r="AE123" s="67" t="n"/>
      <c r="AF123" s="67" t="n"/>
    </row>
    <row r="124">
      <c r="A124" s="67" t="n"/>
      <c r="B124" s="47" t="n">
        <v>118</v>
      </c>
      <c r="C124" s="44" t="inlineStr">
        <is>
          <t>Agência Nacional de Transportes Aquaviários (ANTAQ)</t>
        </is>
      </c>
      <c r="D124" s="44" t="inlineStr">
        <is>
          <t>Public sector</t>
        </is>
      </c>
      <c r="E124" s="62" t="inlineStr">
        <is>
          <t>Public agencies and regulators</t>
        </is>
      </c>
      <c r="F124" s="44" t="inlineStr">
        <is>
          <t>Federal regulatory agency for waterway transport and port infrastructure; key for cleaner logistics through regulation, supervision and enforcement of maritime and inland navigation and port operations.</t>
        </is>
      </c>
      <c r="G124" s="46" t="inlineStr">
        <is>
          <t>National</t>
        </is>
      </c>
      <c r="H124" s="47" t="inlineStr">
        <is>
          <t>Buildings &amp; Transport</t>
        </is>
      </c>
      <c r="I124" s="48" t="n"/>
      <c r="J124" s="62" t="n"/>
      <c r="K124" s="62" t="inlineStr">
        <is>
          <t>No biome lens was assigned because it operated as a national regulator and the mapping did not identify biome-delimited initiatives.</t>
        </is>
      </c>
      <c r="L124" s="62" t="inlineStr">
        <is>
          <t>Policy influence / regulation</t>
        </is>
      </c>
      <c r="M124" s="61" t="inlineStr">
        <is>
          <t>Upstream</t>
        </is>
      </c>
      <c r="N124" s="61" t="inlineStr">
        <is>
          <t>Strategic partner</t>
        </is>
      </c>
      <c r="O124" s="61" t="inlineStr">
        <is>
          <t>Brasília, DF, Brazil</t>
        </is>
      </c>
      <c r="P124" s="61" t="inlineStr">
        <is>
          <t>Grantee</t>
        </is>
      </c>
      <c r="Q124" s="61" t="n"/>
      <c r="R124" s="61" t="n"/>
      <c r="S124" s="61" t="n"/>
      <c r="T124" s="61" t="inlineStr">
        <is>
          <t>—</t>
        </is>
      </c>
      <c r="U124" s="67" t="n"/>
      <c r="V124" s="67" t="n"/>
      <c r="W124" s="67" t="n"/>
      <c r="X124" s="67" t="n"/>
      <c r="Y124" s="67" t="n"/>
      <c r="Z124" s="67" t="n"/>
      <c r="AA124" s="67" t="n"/>
      <c r="AB124" s="67" t="n"/>
      <c r="AC124" s="67" t="n"/>
      <c r="AD124" s="67" t="n"/>
      <c r="AE124" s="67" t="n"/>
      <c r="AF124" s="67" t="n"/>
    </row>
    <row r="125">
      <c r="A125" s="67" t="n"/>
      <c r="B125" s="47" t="n">
        <v>119</v>
      </c>
      <c r="C125" s="44" t="inlineStr">
        <is>
          <t>CCR S.A. (Grupo CCR)</t>
        </is>
      </c>
      <c r="D125" s="44" t="inlineStr">
        <is>
          <t>Private sector</t>
        </is>
      </c>
      <c r="E125" s="62" t="inlineStr">
        <is>
          <t>Private companies (large / leading)</t>
        </is>
      </c>
      <c r="F125" s="44" t="inlineStr">
        <is>
          <t>Major mobility infrastructure concessions group (highways, urban mobility and airports); can accelerate transition via low-carbon operations, resilient infrastructure, road safety, and enabling cleaner transport and logistics.</t>
        </is>
      </c>
      <c r="G125" s="46" t="inlineStr">
        <is>
          <t>Cross-border / international</t>
        </is>
      </c>
      <c r="H125" s="47" t="inlineStr">
        <is>
          <t>Buildings &amp; Transport</t>
        </is>
      </c>
      <c r="I125" s="48" t="n"/>
      <c r="J125" s="62" t="n"/>
      <c r="K125" s="62" t="inlineStr">
        <is>
          <t>No biome lens was assigned because actions were structured around concessions/projects and ESG programs, not biome-defined territorial cuts.</t>
        </is>
      </c>
      <c r="L125" s="62" t="inlineStr">
        <is>
          <t>Strategic partner, Implementation capacity (delivery)</t>
        </is>
      </c>
      <c r="M125" s="61" t="inlineStr">
        <is>
          <t>Downstream</t>
        </is>
      </c>
      <c r="N125" s="61" t="inlineStr">
        <is>
          <t>Strategic partner</t>
        </is>
      </c>
      <c r="O125" s="61" t="inlineStr">
        <is>
          <t>São Paulo, SP, Brazil</t>
        </is>
      </c>
      <c r="P125" s="61" t="inlineStr">
        <is>
          <t>Donor</t>
        </is>
      </c>
      <c r="Q125" s="61" t="n"/>
      <c r="R125" s="61" t="n"/>
      <c r="S125" s="61" t="n"/>
      <c r="T125" s="61" t="inlineStr">
        <is>
          <t>—</t>
        </is>
      </c>
      <c r="U125" s="67" t="n"/>
      <c r="V125" s="67" t="n"/>
      <c r="W125" s="67" t="n"/>
      <c r="X125" s="67" t="n"/>
      <c r="Y125" s="67" t="n"/>
      <c r="Z125" s="67" t="n"/>
      <c r="AA125" s="67" t="n"/>
      <c r="AB125" s="67" t="n"/>
      <c r="AC125" s="67" t="n"/>
      <c r="AD125" s="67" t="n"/>
      <c r="AE125" s="67" t="n"/>
      <c r="AF125" s="67" t="n"/>
    </row>
    <row r="126">
      <c r="A126" s="67" t="n"/>
      <c r="B126" s="47" t="n">
        <v>120</v>
      </c>
      <c r="C126" s="44" t="inlineStr">
        <is>
          <t>EcoRodovias</t>
        </is>
      </c>
      <c r="D126" s="44" t="inlineStr">
        <is>
          <t>Private sector</t>
        </is>
      </c>
      <c r="E126" s="62" t="inlineStr">
        <is>
          <t>Private companies (large / leading)</t>
        </is>
      </c>
      <c r="F126" s="44" t="inlineStr">
        <is>
          <t>Highway concessions operator; can support systemic transition by improving logistics efficiency, road safety and climate resilience, and embedding ESG standards in infrastructure operations and investments.</t>
        </is>
      </c>
      <c r="G126" s="46" t="inlineStr">
        <is>
          <t>Cross-border / international</t>
        </is>
      </c>
      <c r="H126" s="47" t="inlineStr">
        <is>
          <t>Buildings &amp; Transport</t>
        </is>
      </c>
      <c r="I126" s="48" t="n"/>
      <c r="J126" s="62" t="n"/>
      <c r="K126" s="62" t="inlineStr">
        <is>
          <t>No biome lens was assigned because its operational footprint was concession-based and not communicated through biome-framed initiatives.</t>
        </is>
      </c>
      <c r="L126" s="62" t="inlineStr">
        <is>
          <t>Strategic partner, Implementation capacity (delivery)</t>
        </is>
      </c>
      <c r="M126" s="61" t="inlineStr">
        <is>
          <t>Downstream</t>
        </is>
      </c>
      <c r="N126" s="61" t="inlineStr">
        <is>
          <t>Strategic partner</t>
        </is>
      </c>
      <c r="O126" s="61" t="inlineStr">
        <is>
          <t>São Paulo, SP, Brazil</t>
        </is>
      </c>
      <c r="P126" s="61" t="inlineStr">
        <is>
          <t>Donor</t>
        </is>
      </c>
      <c r="Q126" s="61" t="n"/>
      <c r="R126" s="61" t="n"/>
      <c r="S126" s="61" t="n"/>
      <c r="T126" s="61" t="inlineStr">
        <is>
          <t>—</t>
        </is>
      </c>
      <c r="U126" s="67" t="n"/>
      <c r="V126" s="67" t="n"/>
      <c r="W126" s="67" t="n"/>
      <c r="X126" s="67" t="n"/>
      <c r="Y126" s="67" t="n"/>
      <c r="Z126" s="67" t="n"/>
      <c r="AA126" s="67" t="n"/>
      <c r="AB126" s="67" t="n"/>
      <c r="AC126" s="67" t="n"/>
      <c r="AD126" s="67" t="n"/>
      <c r="AE126" s="67" t="n"/>
      <c r="AF126" s="67" t="n"/>
    </row>
    <row r="127">
      <c r="A127" s="67" t="n"/>
      <c r="B127" s="47" t="n">
        <v>121</v>
      </c>
      <c r="C127" s="44" t="inlineStr">
        <is>
          <t>BYD Brasil</t>
        </is>
      </c>
      <c r="D127" s="44" t="inlineStr">
        <is>
          <t>Private sector</t>
        </is>
      </c>
      <c r="E127" s="62" t="inlineStr">
        <is>
          <t>Private companies (large / leading)</t>
        </is>
      </c>
      <c r="F127" s="44" t="inlineStr">
        <is>
          <t>Manufacturer of electric vehicles (including buses); contributes to the transition by scaling electrification, supporting charging ecosystems, and enabling lower-emission public transport fleets.</t>
        </is>
      </c>
      <c r="G127" s="46" t="inlineStr">
        <is>
          <t>Cross-border / international</t>
        </is>
      </c>
      <c r="H127" s="47" t="inlineStr">
        <is>
          <t>Buildings &amp; Transport, Energy, "Land, Food and Forest"</t>
        </is>
      </c>
      <c r="I127" s="48" t="n"/>
      <c r="J127" s="62" t="n"/>
      <c r="K127" s="62" t="inlineStr">
        <is>
          <t>No biome lens was assigned because the contribution was market/technology-based and did not use biomes as a programmatic territorial frame.</t>
        </is>
      </c>
      <c r="L127" s="62" t="inlineStr">
        <is>
          <t>Strategic partner, Implementation capacity (delivery)</t>
        </is>
      </c>
      <c r="M127" s="61" t="inlineStr">
        <is>
          <t>Downstream</t>
        </is>
      </c>
      <c r="N127" s="61" t="inlineStr">
        <is>
          <t>Co-funding partner</t>
        </is>
      </c>
      <c r="O127" s="61" t="inlineStr">
        <is>
          <t>São Paulo, SP, Brazil</t>
        </is>
      </c>
      <c r="P127" s="61" t="inlineStr">
        <is>
          <t>Donor</t>
        </is>
      </c>
      <c r="Q127" s="61" t="n"/>
      <c r="R127" s="61" t="n"/>
      <c r="S127" s="61" t="n"/>
      <c r="T127" s="61" t="inlineStr">
        <is>
          <t>—</t>
        </is>
      </c>
      <c r="U127" s="67" t="n"/>
      <c r="V127" s="67" t="n"/>
      <c r="W127" s="67" t="n"/>
      <c r="X127" s="67" t="n"/>
      <c r="Y127" s="67" t="n"/>
      <c r="Z127" s="67" t="n"/>
      <c r="AA127" s="67" t="n"/>
      <c r="AB127" s="67" t="n"/>
      <c r="AC127" s="67" t="n"/>
      <c r="AD127" s="67" t="n"/>
      <c r="AE127" s="67" t="n"/>
      <c r="AF127" s="67" t="n"/>
    </row>
    <row r="128">
      <c r="A128" s="67" t="n"/>
      <c r="B128" s="47" t="n">
        <v>122</v>
      </c>
      <c r="C128" s="44" t="inlineStr">
        <is>
          <t>Volvo Buses Latin America</t>
        </is>
      </c>
      <c r="D128" s="44" t="inlineStr">
        <is>
          <t>Private sector</t>
        </is>
      </c>
      <c r="E128" s="62" t="inlineStr">
        <is>
          <t>Private companies (large / leading)</t>
        </is>
      </c>
      <c r="F128" s="44" t="inlineStr">
        <is>
          <t>Bus manufacturer and solutions provider; contributes through low/zero-emission bus technologies, fleet efficiency and safety innovations that support public transport decarbonization.</t>
        </is>
      </c>
      <c r="G128" s="46" t="inlineStr">
        <is>
          <t>Cross-border / international</t>
        </is>
      </c>
      <c r="H128" s="47" t="inlineStr">
        <is>
          <t>Buildings &amp; Transport</t>
        </is>
      </c>
      <c r="I128" s="48" t="n"/>
      <c r="J128" s="62" t="n"/>
      <c r="K128" s="62" t="inlineStr">
        <is>
          <t>No biome lens was assigned because activities were organized around fleets/markets and not mapped to biome-specific programs.</t>
        </is>
      </c>
      <c r="L128" s="62" t="inlineStr">
        <is>
          <t>Strategic partner, Implementation capacity (delivery)</t>
        </is>
      </c>
      <c r="M128" s="61" t="inlineStr">
        <is>
          <t>Downstream</t>
        </is>
      </c>
      <c r="N128" s="61" t="inlineStr">
        <is>
          <t>Co-funding partner</t>
        </is>
      </c>
      <c r="O128" s="61" t="inlineStr">
        <is>
          <t>Curitiba, PR, Brazil</t>
        </is>
      </c>
      <c r="P128" s="61" t="inlineStr">
        <is>
          <t>Donor</t>
        </is>
      </c>
      <c r="Q128" s="61" t="n"/>
      <c r="R128" s="61" t="n"/>
      <c r="S128" s="61" t="n"/>
      <c r="T128" s="61" t="inlineStr">
        <is>
          <t>—</t>
        </is>
      </c>
      <c r="U128" s="67" t="n"/>
      <c r="V128" s="67" t="n"/>
      <c r="W128" s="67" t="n"/>
      <c r="X128" s="67" t="n"/>
      <c r="Y128" s="67" t="n"/>
      <c r="Z128" s="67" t="n"/>
      <c r="AA128" s="67" t="n"/>
      <c r="AB128" s="67" t="n"/>
      <c r="AC128" s="67" t="n"/>
      <c r="AD128" s="67" t="n"/>
      <c r="AE128" s="67" t="n"/>
      <c r="AF128" s="67" t="n"/>
    </row>
    <row r="129">
      <c r="A129" s="67" t="n"/>
      <c r="B129" s="47" t="n">
        <v>123</v>
      </c>
      <c r="C129" s="44" t="inlineStr">
        <is>
          <t>Mercedes-Benz Brasil</t>
        </is>
      </c>
      <c r="D129" s="44" t="inlineStr">
        <is>
          <t>Private sector</t>
        </is>
      </c>
      <c r="E129" s="62" t="inlineStr">
        <is>
          <t>Private companies (large / leading)</t>
        </is>
      </c>
      <c r="F129" s="44" t="inlineStr">
        <is>
          <t>Commercial vehicle manufacturer; can drive transition by advancing low-emission vehicle technologies, improving efficiency and safety, and supporting cleaner logistics and public transport solutions.</t>
        </is>
      </c>
      <c r="G129" s="46" t="inlineStr">
        <is>
          <t>Cross-border / international</t>
        </is>
      </c>
      <c r="H129" s="47" t="inlineStr">
        <is>
          <t>Buildings &amp; Transport</t>
        </is>
      </c>
      <c r="I129" s="48" t="n"/>
      <c r="J129" s="62" t="n"/>
      <c r="K129" s="62" t="inlineStr">
        <is>
          <t>No biome lens was assigned because the contribution was industrial/market-driven and not associated with biome-delimited initiatives.</t>
        </is>
      </c>
      <c r="L129" s="62" t="inlineStr">
        <is>
          <t>Strategic partner, Implementation capacity (delivery)</t>
        </is>
      </c>
      <c r="M129" s="61" t="inlineStr">
        <is>
          <t>Downstream</t>
        </is>
      </c>
      <c r="N129" s="61" t="inlineStr">
        <is>
          <t>Co-funding partner</t>
        </is>
      </c>
      <c r="O129" s="61" t="inlineStr">
        <is>
          <t>São Bernardo do Campo, SP, Brazil</t>
        </is>
      </c>
      <c r="P129" s="61" t="inlineStr">
        <is>
          <t>Donor</t>
        </is>
      </c>
      <c r="Q129" s="61" t="n"/>
      <c r="R129" s="61" t="n"/>
      <c r="S129" s="61" t="n"/>
      <c r="T129" s="61" t="inlineStr">
        <is>
          <t>—</t>
        </is>
      </c>
      <c r="U129" s="67" t="n"/>
      <c r="V129" s="67" t="n"/>
      <c r="W129" s="67" t="n"/>
      <c r="X129" s="67" t="n"/>
      <c r="Y129" s="67" t="n"/>
      <c r="Z129" s="67" t="n"/>
      <c r="AA129" s="67" t="n"/>
      <c r="AB129" s="67" t="n"/>
      <c r="AC129" s="67" t="n"/>
      <c r="AD129" s="67" t="n"/>
      <c r="AE129" s="67" t="n"/>
      <c r="AF129" s="67" t="n"/>
    </row>
    <row r="130">
      <c r="A130" s="67" t="n"/>
      <c r="B130" s="47" t="n">
        <v>124</v>
      </c>
      <c r="C130" s="44" t="inlineStr">
        <is>
          <t>Instituto de Políticas de Transporte e Desenvolvimento (ITDP Brasil)</t>
        </is>
      </c>
      <c r="D130" s="44" t="inlineStr">
        <is>
          <t>Civil Society Organization (CSO)</t>
        </is>
      </c>
      <c r="E130" s="62" t="inlineStr">
        <is>
          <t xml:space="preserve">Alliances </t>
        </is>
      </c>
      <c r="F130" s="44" t="inlineStr">
        <is>
          <t>Non-profit organization that supports governments to implement sustainable and equitable transport and urban development solutions, helping reduce emissions while improving access, safety and urban quality of life.</t>
        </is>
      </c>
      <c r="G130" s="46" t="inlineStr">
        <is>
          <t>National</t>
        </is>
      </c>
      <c r="H130" s="47" t="inlineStr">
        <is>
          <t>Buildings &amp; Transport</t>
        </is>
      </c>
      <c r="I130" s="48" t="n"/>
      <c r="J130" s="62" t="n"/>
      <c r="K130" s="62" t="inlineStr">
        <is>
          <t>No biome lens was assigned because implementation was city/corridor-based and not typically defined by biome boundaries.</t>
        </is>
      </c>
      <c r="L130" s="62" t="inlineStr">
        <is>
          <t>Technical assistance / research, Policy influence / regulation</t>
        </is>
      </c>
      <c r="M130" s="61" t="inlineStr">
        <is>
          <t>Upstream</t>
        </is>
      </c>
      <c r="N130" s="61" t="inlineStr">
        <is>
          <t>Grant recipient</t>
        </is>
      </c>
      <c r="O130" s="61" t="inlineStr">
        <is>
          <t>Rio de Janeiro, RJ, Brazil</t>
        </is>
      </c>
      <c r="P130" s="62" t="inlineStr">
        <is>
          <t>Grantee</t>
        </is>
      </c>
      <c r="Q130" s="61" t="n"/>
      <c r="R130" s="61" t="n"/>
      <c r="S130" s="62" t="inlineStr">
        <is>
          <t>Implementing partner for urban and transport work  on capitals in Brazil.</t>
        </is>
      </c>
      <c r="T130" s="62" t="inlineStr">
        <is>
          <t>—</t>
        </is>
      </c>
      <c r="U130" s="67" t="n"/>
      <c r="V130" s="67" t="n"/>
      <c r="W130" s="67" t="n"/>
      <c r="X130" s="67" t="n"/>
      <c r="Y130" s="67" t="n"/>
      <c r="Z130" s="67" t="n"/>
      <c r="AA130" s="67" t="n"/>
      <c r="AB130" s="67" t="n"/>
      <c r="AC130" s="67" t="n"/>
      <c r="AD130" s="67" t="n"/>
      <c r="AE130" s="67" t="n"/>
      <c r="AF130" s="67" t="n"/>
    </row>
    <row r="131">
      <c r="A131" s="67" t="n"/>
      <c r="B131" s="47" t="n">
        <v>125</v>
      </c>
      <c r="C131" s="44" t="inlineStr">
        <is>
          <t>Caixa Econômica Federal</t>
        </is>
      </c>
      <c r="D131" s="44" t="inlineStr">
        <is>
          <t>Public sector</t>
        </is>
      </c>
      <c r="E131" s="62" t="inlineStr">
        <is>
          <t>Development banks</t>
        </is>
      </c>
      <c r="F131" s="44" t="inlineStr">
        <is>
          <t>Federal public bank central to housing finance and urban investment; can enable systemic transition by scaling affordable housing and resilient urban infrastructure financing (including low-carbon and energy-efficiency measures).</t>
        </is>
      </c>
      <c r="G131" s="46" t="inlineStr">
        <is>
          <t>National</t>
        </is>
      </c>
      <c r="H131" s="47" t="inlineStr">
        <is>
          <t>Buildings &amp; Transport, Emergency response, Energy, "Land, Food and Forest"</t>
        </is>
      </c>
      <c r="I131" s="48" t="n"/>
      <c r="J131" s="62" t="n"/>
      <c r="K131" s="62" t="inlineStr">
        <is>
          <t>No biome lens was assigned because financing programs were national and eligibility/operations were not structured by biome.</t>
        </is>
      </c>
      <c r="L131" s="62" t="inlineStr">
        <is>
          <t>Capital provider / Financial intermediary, Territorial anchor</t>
        </is>
      </c>
      <c r="M131" s="61" t="inlineStr">
        <is>
          <t>Midstream</t>
        </is>
      </c>
      <c r="N131" s="61" t="inlineStr">
        <is>
          <t>Co-funding partner</t>
        </is>
      </c>
      <c r="O131" s="61" t="inlineStr">
        <is>
          <t>Brasília, DF, Brazil</t>
        </is>
      </c>
      <c r="P131" s="61" t="inlineStr">
        <is>
          <t>Re-granter</t>
        </is>
      </c>
      <c r="Q131" s="61" t="n"/>
      <c r="R131" s="61" t="n"/>
      <c r="S131" s="61" t="n"/>
      <c r="T131" s="61" t="inlineStr">
        <is>
          <t>—</t>
        </is>
      </c>
      <c r="U131" s="67" t="n"/>
      <c r="V131" s="67" t="n"/>
      <c r="W131" s="67" t="n"/>
      <c r="X131" s="67" t="n"/>
      <c r="Y131" s="67" t="n"/>
      <c r="Z131" s="67" t="n"/>
      <c r="AA131" s="67" t="n"/>
      <c r="AB131" s="67" t="n"/>
      <c r="AC131" s="67" t="n"/>
      <c r="AD131" s="67" t="n"/>
      <c r="AE131" s="67" t="n"/>
      <c r="AF131" s="67" t="n"/>
    </row>
    <row r="132">
      <c r="A132" s="67" t="n"/>
      <c r="B132" s="47" t="n">
        <v>126</v>
      </c>
      <c r="C132" s="44" t="inlineStr">
        <is>
          <t>MRV</t>
        </is>
      </c>
      <c r="D132" s="44" t="inlineStr">
        <is>
          <t>Private sector</t>
        </is>
      </c>
      <c r="E132" s="62" t="inlineStr">
        <is>
          <t>Private companies (large / leading)</t>
        </is>
      </c>
      <c r="F132" s="44" t="inlineStr">
        <is>
          <t>Large homebuilder; can contribute by scaling affordable housing, adopting low-carbon construction practices, improving energy efficiency, and strengthening social and environmental standards in developments.</t>
        </is>
      </c>
      <c r="G132" s="46" t="inlineStr">
        <is>
          <t>National</t>
        </is>
      </c>
      <c r="H132" s="47" t="inlineStr">
        <is>
          <t>Buildings &amp; Transport</t>
        </is>
      </c>
      <c r="I132" s="48" t="n"/>
      <c r="J132" s="62" t="n"/>
      <c r="K132" s="62" t="inlineStr">
        <is>
          <t>No biome lens was assigned because projects were reported by cities/markets and not by biome-based portfolios.</t>
        </is>
      </c>
      <c r="L132" s="62" t="inlineStr">
        <is>
          <t>Implementation capacity (delivery)</t>
        </is>
      </c>
      <c r="M132" s="61" t="inlineStr">
        <is>
          <t>Downstream</t>
        </is>
      </c>
      <c r="N132" s="61" t="inlineStr">
        <is>
          <t>Co-funding partner</t>
        </is>
      </c>
      <c r="O132" s="61" t="inlineStr">
        <is>
          <t>Belo Horizonte, MG, Brazil</t>
        </is>
      </c>
      <c r="P132" s="61" t="inlineStr">
        <is>
          <t>Donor</t>
        </is>
      </c>
      <c r="Q132" s="61" t="n"/>
      <c r="R132" s="61" t="n"/>
      <c r="S132" s="61" t="n"/>
      <c r="T132" s="61" t="inlineStr">
        <is>
          <t>—</t>
        </is>
      </c>
      <c r="U132" s="67" t="n"/>
      <c r="V132" s="67" t="n"/>
      <c r="W132" s="67" t="n"/>
      <c r="X132" s="67" t="n"/>
      <c r="Y132" s="67" t="n"/>
      <c r="Z132" s="67" t="n"/>
      <c r="AA132" s="67" t="n"/>
      <c r="AB132" s="67" t="n"/>
      <c r="AC132" s="67" t="n"/>
      <c r="AD132" s="67" t="n"/>
      <c r="AE132" s="67" t="n"/>
      <c r="AF132" s="67" t="n"/>
    </row>
    <row r="133">
      <c r="A133" s="67" t="n"/>
      <c r="B133" s="47" t="n">
        <v>127</v>
      </c>
      <c r="C133" s="44" t="inlineStr">
        <is>
          <t>Tenda</t>
        </is>
      </c>
      <c r="D133" s="44" t="inlineStr">
        <is>
          <t>Private sector</t>
        </is>
      </c>
      <c r="E133" s="62" t="inlineStr">
        <is>
          <t>Private companies (large / leading)</t>
        </is>
      </c>
      <c r="F133" s="44" t="inlineStr">
        <is>
          <t>Homebuilder focused on affordable housing; contributes by expanding access to housing and adopting higher sustainability, efficiency and climate resilience standards in projects and operations.</t>
        </is>
      </c>
      <c r="G133" s="46" t="inlineStr">
        <is>
          <t>National</t>
        </is>
      </c>
      <c r="H133" s="47" t="inlineStr">
        <is>
          <t>Buildings &amp; Transport</t>
        </is>
      </c>
      <c r="I133" s="48" t="n"/>
      <c r="J133" s="62" t="n"/>
      <c r="K133" s="62" t="inlineStr">
        <is>
          <t>No biome lens was assigned because the operating model was city/market-based and did not use biomes as the territorial unit.</t>
        </is>
      </c>
      <c r="L133" s="62" t="inlineStr">
        <is>
          <t>Implementation capacity (delivery)</t>
        </is>
      </c>
      <c r="M133" s="61" t="inlineStr">
        <is>
          <t>Downstream</t>
        </is>
      </c>
      <c r="N133" s="61" t="inlineStr">
        <is>
          <t>Co-funding partner</t>
        </is>
      </c>
      <c r="O133" s="61" t="inlineStr">
        <is>
          <t>São Paulo, SP, Brazil</t>
        </is>
      </c>
      <c r="P133" s="61" t="inlineStr">
        <is>
          <t>Donor</t>
        </is>
      </c>
      <c r="Q133" s="61" t="n"/>
      <c r="R133" s="61" t="n"/>
      <c r="S133" s="61" t="n"/>
      <c r="T133" s="61" t="inlineStr">
        <is>
          <t>—</t>
        </is>
      </c>
      <c r="U133" s="67" t="n"/>
      <c r="V133" s="67" t="n"/>
      <c r="W133" s="67" t="n"/>
      <c r="X133" s="67" t="n"/>
      <c r="Y133" s="67" t="n"/>
      <c r="Z133" s="67" t="n"/>
      <c r="AA133" s="67" t="n"/>
      <c r="AB133" s="67" t="n"/>
      <c r="AC133" s="67" t="n"/>
      <c r="AD133" s="67" t="n"/>
      <c r="AE133" s="67" t="n"/>
      <c r="AF133" s="67" t="n"/>
    </row>
    <row r="134">
      <c r="A134" s="67" t="n"/>
      <c r="B134" s="47" t="n">
        <v>128</v>
      </c>
      <c r="C134" s="44" t="inlineStr">
        <is>
          <t>Cyrela</t>
        </is>
      </c>
      <c r="D134" s="44" t="inlineStr">
        <is>
          <t>Private sector</t>
        </is>
      </c>
      <c r="E134" s="62" t="inlineStr">
        <is>
          <t>Private companies (large / leading)</t>
        </is>
      </c>
      <c r="F134" s="44" t="inlineStr">
        <is>
          <t>Large real estate developer; can contribute to systemic transition by scaling higher-efficiency building standards, reducing embodied carbon in materials, improving construction practices, and strengthening social and environmental safeguards in developments.</t>
        </is>
      </c>
      <c r="G134" s="46" t="inlineStr">
        <is>
          <t>National</t>
        </is>
      </c>
      <c r="H134" s="47" t="inlineStr">
        <is>
          <t>Buildings &amp; Transport</t>
        </is>
      </c>
      <c r="I134" s="48" t="n"/>
      <c r="J134" s="62" t="n"/>
      <c r="K134" s="62" t="inlineStr">
        <is>
          <t>No biome lens was assigned because activity was market-driven and not tied to explicit biome-delimited programs.</t>
        </is>
      </c>
      <c r="L134" s="62" t="inlineStr">
        <is>
          <t>Implementation capacity (delivery)</t>
        </is>
      </c>
      <c r="M134" s="61" t="inlineStr">
        <is>
          <t>Downstream</t>
        </is>
      </c>
      <c r="N134" s="61" t="inlineStr">
        <is>
          <t>Co-funding partner</t>
        </is>
      </c>
      <c r="O134" s="61" t="inlineStr">
        <is>
          <t>São Paulo, SP, Brazil</t>
        </is>
      </c>
      <c r="P134" s="61" t="inlineStr">
        <is>
          <t>Donor</t>
        </is>
      </c>
      <c r="Q134" s="61" t="n"/>
      <c r="R134" s="61" t="n"/>
      <c r="S134" s="61" t="n"/>
      <c r="T134" s="61" t="inlineStr">
        <is>
          <t>—</t>
        </is>
      </c>
      <c r="U134" s="67" t="n"/>
      <c r="V134" s="67" t="n"/>
      <c r="W134" s="67" t="n"/>
      <c r="X134" s="67" t="n"/>
      <c r="Y134" s="67" t="n"/>
      <c r="Z134" s="67" t="n"/>
      <c r="AA134" s="67" t="n"/>
      <c r="AB134" s="67" t="n"/>
      <c r="AC134" s="67" t="n"/>
      <c r="AD134" s="67" t="n"/>
      <c r="AE134" s="67" t="n"/>
      <c r="AF134" s="67" t="n"/>
    </row>
    <row r="135">
      <c r="A135" s="67" t="n"/>
      <c r="B135" s="47" t="n">
        <v>129</v>
      </c>
      <c r="C135" s="44" t="inlineStr">
        <is>
          <t>Votorantim Cimentos</t>
        </is>
      </c>
      <c r="D135" s="44" t="inlineStr">
        <is>
          <t>Private sector</t>
        </is>
      </c>
      <c r="E135" s="62" t="inlineStr">
        <is>
          <t>Private companies (large / leading)</t>
        </is>
      </c>
      <c r="F135" s="44" t="inlineStr">
        <is>
          <t>Major cement producer; central to transition through clinker reduction, alternative fuels, energy efficiency, low-carbon cements, circularity (waste co-processing), and supply-chain decarbonization.</t>
        </is>
      </c>
      <c r="G135" s="46" t="inlineStr">
        <is>
          <t>Cross-border / international</t>
        </is>
      </c>
      <c r="H135" s="47" t="inlineStr">
        <is>
          <t>Buildings &amp; Transport, Energy</t>
        </is>
      </c>
      <c r="I135" s="48" t="n"/>
      <c r="J135" s="62" t="n"/>
      <c r="K135" s="62" t="inlineStr">
        <is>
          <t>No biome lens was assigned because decarbonization actions were process/plant-based and the mapping did not identify biome-specific programs.</t>
        </is>
      </c>
      <c r="L135" s="62" t="inlineStr">
        <is>
          <t>Implementation capacity (delivery)</t>
        </is>
      </c>
      <c r="M135" s="61" t="inlineStr">
        <is>
          <t>Downstream</t>
        </is>
      </c>
      <c r="N135" s="61" t="inlineStr">
        <is>
          <t>Co-funding partner</t>
        </is>
      </c>
      <c r="O135" s="61" t="inlineStr">
        <is>
          <t>São Paulo, SP, Brazil</t>
        </is>
      </c>
      <c r="P135" s="61" t="inlineStr">
        <is>
          <t>Donor</t>
        </is>
      </c>
      <c r="Q135" s="61" t="n"/>
      <c r="R135" s="61" t="n"/>
      <c r="S135" s="61" t="n"/>
      <c r="T135" s="61" t="inlineStr">
        <is>
          <t>—</t>
        </is>
      </c>
      <c r="U135" s="67" t="n"/>
      <c r="V135" s="67" t="n"/>
      <c r="W135" s="67" t="n"/>
      <c r="X135" s="67" t="n"/>
      <c r="Y135" s="67" t="n"/>
      <c r="Z135" s="67" t="n"/>
      <c r="AA135" s="67" t="n"/>
      <c r="AB135" s="67" t="n"/>
      <c r="AC135" s="67" t="n"/>
      <c r="AD135" s="67" t="n"/>
      <c r="AE135" s="67" t="n"/>
      <c r="AF135" s="67" t="n"/>
    </row>
    <row r="136">
      <c r="A136" s="67" t="n"/>
      <c r="B136" s="47" t="n">
        <v>130</v>
      </c>
      <c r="C136" s="44" t="inlineStr">
        <is>
          <t>InterCement</t>
        </is>
      </c>
      <c r="D136" s="44" t="inlineStr">
        <is>
          <t>Private sector</t>
        </is>
      </c>
      <c r="E136" s="62" t="inlineStr">
        <is>
          <t>Private companies (large / leading)</t>
        </is>
      </c>
      <c r="F136" s="44" t="inlineStr">
        <is>
          <t>Large cement producer; contributes to transition via process decarbonization, alternative fuels/materials, operational efficiency, circular economy solutions, and adoption of low-carbon cement products.</t>
        </is>
      </c>
      <c r="G136" s="46" t="inlineStr">
        <is>
          <t>Cross-border / international</t>
        </is>
      </c>
      <c r="H136" s="47" t="inlineStr">
        <is>
          <t>Buildings &amp; Transport, Energy</t>
        </is>
      </c>
      <c r="I136" s="48" t="n"/>
      <c r="J136" s="62" t="n"/>
      <c r="K136" s="62" t="inlineStr">
        <is>
          <t>No biome lens was assigned because actions were industrial/process-based and not organized by biome in publicly visible initiatives.</t>
        </is>
      </c>
      <c r="L136" s="62" t="inlineStr">
        <is>
          <t>Implementation capacity (delivery)</t>
        </is>
      </c>
      <c r="M136" s="61" t="inlineStr">
        <is>
          <t>Downstream</t>
        </is>
      </c>
      <c r="N136" s="61" t="inlineStr">
        <is>
          <t>Co-funding partner</t>
        </is>
      </c>
      <c r="O136" s="61" t="inlineStr">
        <is>
          <t>São Paulo, SP, Brazil</t>
        </is>
      </c>
      <c r="P136" s="61" t="inlineStr">
        <is>
          <t>Donor</t>
        </is>
      </c>
      <c r="Q136" s="61" t="n"/>
      <c r="R136" s="61" t="n"/>
      <c r="S136" s="61" t="n"/>
      <c r="T136" s="61" t="inlineStr">
        <is>
          <t>—</t>
        </is>
      </c>
      <c r="U136" s="67" t="n"/>
      <c r="V136" s="67" t="n"/>
      <c r="W136" s="67" t="n"/>
      <c r="X136" s="67" t="n"/>
      <c r="Y136" s="67" t="n"/>
      <c r="Z136" s="67" t="n"/>
      <c r="AA136" s="67" t="n"/>
      <c r="AB136" s="67" t="n"/>
      <c r="AC136" s="67" t="n"/>
      <c r="AD136" s="67" t="n"/>
      <c r="AE136" s="67" t="n"/>
      <c r="AF136" s="67" t="n"/>
    </row>
    <row r="137">
      <c r="A137" s="67" t="n"/>
      <c r="B137" s="47" t="n">
        <v>131</v>
      </c>
      <c r="C137" s="44" t="inlineStr">
        <is>
          <t>Green Building Council Brasil (GBC Brasil)</t>
        </is>
      </c>
      <c r="D137" s="44" t="inlineStr">
        <is>
          <t>Civil Society Organization (CSO)</t>
        </is>
      </c>
      <c r="E137" s="62" t="inlineStr">
        <is>
          <t>Industry platforms and sectoral initiatives</t>
        </is>
      </c>
      <c r="F137" s="44" t="inlineStr">
        <is>
          <t>Industry platform that promotes sustainable buildings and certification practices; supports market transformation through standards, capacity building, and dissemination of best practices in green construction.</t>
        </is>
      </c>
      <c r="G137" s="46" t="inlineStr">
        <is>
          <t>National</t>
        </is>
      </c>
      <c r="H137" s="47" t="inlineStr">
        <is>
          <t>Buildings &amp; Transport, Energy</t>
        </is>
      </c>
      <c r="I137" s="48" t="n"/>
      <c r="J137" s="62" t="n"/>
      <c r="K137" s="62" t="inlineStr">
        <is>
          <t>No biome lens was assigned because it operated through standards/certification and not through biome-delimited territorial programs.</t>
        </is>
      </c>
      <c r="L137" s="62" t="inlineStr">
        <is>
          <t>Technical assistance / research, Convenor/enablers</t>
        </is>
      </c>
      <c r="M137" s="61" t="inlineStr">
        <is>
          <t>Upstream</t>
        </is>
      </c>
      <c r="N137" s="61" t="inlineStr">
        <is>
          <t>Grant recipient</t>
        </is>
      </c>
      <c r="O137" s="61" t="inlineStr">
        <is>
          <t>São Paulo, SP, Brazil</t>
        </is>
      </c>
      <c r="P137" s="61" t="inlineStr">
        <is>
          <t>Grantee</t>
        </is>
      </c>
      <c r="Q137" s="61" t="n"/>
      <c r="R137" s="61" t="n"/>
      <c r="S137" s="61" t="n"/>
      <c r="T137" s="61" t="inlineStr">
        <is>
          <t>—</t>
        </is>
      </c>
      <c r="U137" s="67" t="n"/>
      <c r="V137" s="67" t="n"/>
      <c r="W137" s="67" t="n"/>
      <c r="X137" s="67" t="n"/>
      <c r="Y137" s="67" t="n"/>
      <c r="Z137" s="67" t="n"/>
      <c r="AA137" s="67" t="n"/>
      <c r="AB137" s="67" t="n"/>
      <c r="AC137" s="67" t="n"/>
      <c r="AD137" s="67" t="n"/>
      <c r="AE137" s="67" t="n"/>
      <c r="AF137" s="67" t="n"/>
    </row>
    <row r="138">
      <c r="A138" s="67" t="n"/>
      <c r="B138" s="47" t="n">
        <v>132</v>
      </c>
      <c r="C138" s="44" t="inlineStr">
        <is>
          <t>Ministério da Agricultura e Pecuária (MAPA)</t>
        </is>
      </c>
      <c r="D138" s="44" t="inlineStr">
        <is>
          <t>Public sector</t>
        </is>
      </c>
      <c r="E138" s="62" t="inlineStr">
        <is>
          <t>Federal Government</t>
        </is>
      </c>
      <c r="F138" s="44" t="inlineStr">
        <is>
          <t>Federal ministry responsible for agriculture and livestock policy; key to systemic transition by shaping incentives, regulation, and programs for sustainable production, food security, and climate adaptation/mitigation in agrifood systems.</t>
        </is>
      </c>
      <c r="G138" s="46" t="inlineStr">
        <is>
          <t>National</t>
        </is>
      </c>
      <c r="H138" s="47" t="inlineStr">
        <is>
          <t>"Land, Food and Forest"</t>
        </is>
      </c>
      <c r="I138" s="48" t="n"/>
      <c r="J138" s="62" t="n"/>
      <c r="K138" s="62" t="inlineStr">
        <is>
          <t>No biome lens was assigned because instruments were national and the mapping did not isolate biome-specific programs as the main operational cut.</t>
        </is>
      </c>
      <c r="L138" s="62" t="inlineStr">
        <is>
          <t>Policy influence / regulation</t>
        </is>
      </c>
      <c r="M138" s="61" t="inlineStr">
        <is>
          <t>Upstream</t>
        </is>
      </c>
      <c r="N138" s="61" t="inlineStr">
        <is>
          <t>Strategic partner</t>
        </is>
      </c>
      <c r="O138" s="61" t="inlineStr">
        <is>
          <t>Brasília, DF, Brazil</t>
        </is>
      </c>
      <c r="P138" s="61" t="n"/>
      <c r="Q138" s="61" t="n"/>
      <c r="R138" s="61" t="n"/>
      <c r="S138" s="61" t="n"/>
      <c r="T138" s="61" t="inlineStr">
        <is>
          <t>—</t>
        </is>
      </c>
      <c r="U138" s="67" t="n"/>
      <c r="V138" s="67" t="n"/>
      <c r="W138" s="67" t="n"/>
      <c r="X138" s="67" t="n"/>
      <c r="Y138" s="67" t="n"/>
      <c r="Z138" s="67" t="n"/>
      <c r="AA138" s="67" t="n"/>
      <c r="AB138" s="67" t="n"/>
      <c r="AC138" s="67" t="n"/>
      <c r="AD138" s="67" t="n"/>
      <c r="AE138" s="67" t="n"/>
      <c r="AF138" s="67" t="n"/>
    </row>
    <row r="139">
      <c r="A139" s="67" t="n"/>
      <c r="B139" s="47" t="n">
        <v>133</v>
      </c>
      <c r="C139" s="44" t="inlineStr">
        <is>
          <t>Instituto Nacional de Colonização e Reforma Agrária (INCRA)</t>
        </is>
      </c>
      <c r="D139" s="44" t="inlineStr">
        <is>
          <t>Public sector</t>
        </is>
      </c>
      <c r="E139" s="62" t="inlineStr">
        <is>
          <t>Public agencies and regulators</t>
        </is>
      </c>
      <c r="F139" s="44" t="inlineStr">
        <is>
          <t>Federal agency responsible for land reform and rural land administration; influences transition through land tenure regularization, settlement policies, and inclusive rural development with environmental compliance.</t>
        </is>
      </c>
      <c r="G139" s="46" t="inlineStr">
        <is>
          <t>National</t>
        </is>
      </c>
      <c r="H139" s="47" t="inlineStr">
        <is>
          <t>Emergency response, "Land, Food and Forest"</t>
        </is>
      </c>
      <c r="I139" s="48" t="n"/>
      <c r="J139" s="62" t="n"/>
      <c r="K139" s="62" t="inlineStr">
        <is>
          <t>No biome lens was assigned because land governance actions were national and were not mapped here as biome-specific initiatives.</t>
        </is>
      </c>
      <c r="L139" s="62" t="inlineStr">
        <is>
          <t>Policy influence / regulation, Territorial anchor</t>
        </is>
      </c>
      <c r="M139" s="61" t="inlineStr">
        <is>
          <t>Upstream</t>
        </is>
      </c>
      <c r="N139" s="61" t="inlineStr">
        <is>
          <t>Strategic partner</t>
        </is>
      </c>
      <c r="O139" s="61" t="inlineStr">
        <is>
          <t>Brasília, DF, Brazil</t>
        </is>
      </c>
      <c r="P139" s="61" t="inlineStr">
        <is>
          <t>Grantee</t>
        </is>
      </c>
      <c r="Q139" s="61" t="n"/>
      <c r="R139" s="61" t="n"/>
      <c r="S139" s="61" t="n"/>
      <c r="T139" s="61" t="inlineStr">
        <is>
          <t>—</t>
        </is>
      </c>
      <c r="U139" s="67" t="n"/>
      <c r="V139" s="67" t="n"/>
      <c r="W139" s="67" t="n"/>
      <c r="X139" s="67" t="n"/>
      <c r="Y139" s="67" t="n"/>
      <c r="Z139" s="67" t="n"/>
      <c r="AA139" s="67" t="n"/>
      <c r="AB139" s="67" t="n"/>
      <c r="AC139" s="67" t="n"/>
      <c r="AD139" s="67" t="n"/>
      <c r="AE139" s="67" t="n"/>
      <c r="AF139" s="67" t="n"/>
    </row>
    <row r="140">
      <c r="A140" s="67" t="n"/>
      <c r="B140" s="47" t="n">
        <v>134</v>
      </c>
      <c r="C140" s="44" t="inlineStr">
        <is>
          <t>Agroicone</t>
        </is>
      </c>
      <c r="D140" s="44" t="inlineStr">
        <is>
          <t>Civil Society Organization (CSO)</t>
        </is>
      </c>
      <c r="E140" s="62" t="inlineStr">
        <is>
          <t>Think tanks</t>
        </is>
      </c>
      <c r="F140" s="44" t="inlineStr">
        <is>
          <t>Research and policy institute focused on agribusiness, land use and climate; provides evidence and proposals to enable low-carbon agriculture, deforestation-free supply chains, and better public policies.</t>
        </is>
      </c>
      <c r="G140" s="46" t="inlineStr">
        <is>
          <t>National</t>
        </is>
      </c>
      <c r="H140" s="47" t="inlineStr">
        <is>
          <t>"Land, Food and Forest"</t>
        </is>
      </c>
      <c r="I140" s="60" t="inlineStr">
        <is>
          <t>Amazonia, Cerrado</t>
        </is>
      </c>
      <c r="J140" s="68" t="n"/>
      <c r="K140" s="62" t="inlineStr">
        <is>
          <t>It produced policy and supply-chain work explicitly centered on deforestation and land-use agendas typically framed around Amazonia and Cerrado.</t>
        </is>
      </c>
      <c r="L140" s="62" t="inlineStr">
        <is>
          <t>Technical assistance / research, Policy influence / regulation</t>
        </is>
      </c>
      <c r="M140" s="61" t="inlineStr">
        <is>
          <t>Upstream</t>
        </is>
      </c>
      <c r="N140" s="61" t="inlineStr">
        <is>
          <t>Co-funding partner</t>
        </is>
      </c>
      <c r="O140" s="61" t="inlineStr">
        <is>
          <t>São Paulo, SP, Brazil</t>
        </is>
      </c>
      <c r="P140" s="61" t="inlineStr">
        <is>
          <t>Donor</t>
        </is>
      </c>
      <c r="Q140" s="61" t="n"/>
      <c r="R140" s="61" t="n"/>
      <c r="S140" s="61" t="n"/>
      <c r="T140" s="61" t="inlineStr">
        <is>
          <t>—</t>
        </is>
      </c>
      <c r="U140" s="67" t="n"/>
      <c r="V140" s="67" t="n"/>
      <c r="W140" s="67" t="n"/>
      <c r="X140" s="67" t="n"/>
      <c r="Y140" s="67" t="n"/>
      <c r="Z140" s="67" t="n"/>
      <c r="AA140" s="67" t="n"/>
      <c r="AB140" s="67" t="n"/>
      <c r="AC140" s="67" t="n"/>
      <c r="AD140" s="67" t="n"/>
      <c r="AE140" s="67" t="n"/>
      <c r="AF140" s="67" t="n"/>
    </row>
    <row r="141">
      <c r="A141" s="67" t="n"/>
      <c r="B141" s="47" t="n">
        <v>135</v>
      </c>
      <c r="C141" s="44" t="inlineStr">
        <is>
          <t>JBS</t>
        </is>
      </c>
      <c r="D141" s="44" t="inlineStr">
        <is>
          <t>Private sector</t>
        </is>
      </c>
      <c r="E141" s="62" t="inlineStr">
        <is>
          <t>Private companies (large / leading)</t>
        </is>
      </c>
      <c r="F141" s="44" t="inlineStr">
        <is>
          <t>Global meat and food company; central to transition through deforestation-free sourcing, traceability, methane/emissions reduction, animal welfare, and strengthening governance across supply chains.</t>
        </is>
      </c>
      <c r="G141" s="46" t="inlineStr">
        <is>
          <t>Cross-border / international</t>
        </is>
      </c>
      <c r="H141" s="47" t="inlineStr">
        <is>
          <t>Buildings &amp; Transport, "Land, Food and Forest"</t>
        </is>
      </c>
      <c r="I141" s="60" t="inlineStr">
        <is>
          <t>Amazonia, Cerrado</t>
        </is>
      </c>
      <c r="J141" s="62" t="inlineStr">
        <is>
          <t>Pantanal</t>
        </is>
      </c>
      <c r="K141" s="62" t="inlineStr">
        <is>
          <t>It implemented deforestation-free sourcing and cattle traceability agendas that were publicly associated with Amazonia and Cerrado supply chains and also faced material exposure in Pantanal cattle landscapes.</t>
        </is>
      </c>
      <c r="L141" s="62" t="inlineStr">
        <is>
          <t>Strategic partner, Implementation capacity (delivery)</t>
        </is>
      </c>
      <c r="M141" s="61" t="inlineStr">
        <is>
          <t>Downstream</t>
        </is>
      </c>
      <c r="N141" s="61" t="inlineStr">
        <is>
          <t>Co-funding partner</t>
        </is>
      </c>
      <c r="O141" s="61" t="inlineStr">
        <is>
          <t>São Paulo, SP, Brazil</t>
        </is>
      </c>
      <c r="P141" s="61" t="inlineStr">
        <is>
          <t>Donor</t>
        </is>
      </c>
      <c r="Q141" s="61" t="n"/>
      <c r="R141" s="61" t="n"/>
      <c r="S141" s="61" t="n"/>
      <c r="T141" s="61" t="inlineStr">
        <is>
          <t>—</t>
        </is>
      </c>
      <c r="U141" s="67" t="n"/>
      <c r="V141" s="67" t="n"/>
      <c r="W141" s="67" t="n"/>
      <c r="X141" s="67" t="n"/>
      <c r="Y141" s="67" t="n"/>
      <c r="Z141" s="67" t="n"/>
      <c r="AA141" s="67" t="n"/>
      <c r="AB141" s="67" t="n"/>
      <c r="AC141" s="67" t="n"/>
      <c r="AD141" s="67" t="n"/>
      <c r="AE141" s="67" t="n"/>
      <c r="AF141" s="67" t="n"/>
    </row>
    <row r="142">
      <c r="A142" s="67" t="n"/>
      <c r="B142" s="47" t="n">
        <v>136</v>
      </c>
      <c r="C142" s="44" t="inlineStr">
        <is>
          <t>Marfrig</t>
        </is>
      </c>
      <c r="D142" s="44" t="inlineStr">
        <is>
          <t>Private sector</t>
        </is>
      </c>
      <c r="E142" s="62" t="inlineStr">
        <is>
          <t>Private companies (large / leading)</t>
        </is>
      </c>
      <c r="F142" s="44" t="inlineStr">
        <is>
          <t>Meat and food company; can drive transition through cattle traceability, deforestation-free supply chains, emissions reduction, and improved ESG governance and transparency.</t>
        </is>
      </c>
      <c r="G142" s="46" t="inlineStr">
        <is>
          <t>Cross-border / international</t>
        </is>
      </c>
      <c r="H142" s="47" t="inlineStr">
        <is>
          <t>Buildings &amp; Transport, "Land, Food and Forest"</t>
        </is>
      </c>
      <c r="I142" s="60" t="inlineStr">
        <is>
          <t>Amazonia, Cerrado</t>
        </is>
      </c>
      <c r="J142" s="62" t="inlineStr">
        <is>
          <t>Pantanal</t>
        </is>
      </c>
      <c r="K142" s="62" t="inlineStr">
        <is>
          <t>It advanced cattle traceability and deforestation-risk management that were publicly tied to Amazonia and Cerrado and also intersected with Pantanal sourcing dynamics.</t>
        </is>
      </c>
      <c r="L142" s="62" t="inlineStr">
        <is>
          <t>Strategic partner, Implementation capacity (delivery)</t>
        </is>
      </c>
      <c r="M142" s="61" t="inlineStr">
        <is>
          <t>Downstream</t>
        </is>
      </c>
      <c r="N142" s="61" t="inlineStr">
        <is>
          <t>Co-funding partner</t>
        </is>
      </c>
      <c r="O142" s="61" t="inlineStr">
        <is>
          <t>São Paulo, SP, Brazil</t>
        </is>
      </c>
      <c r="P142" s="61" t="inlineStr">
        <is>
          <t>Donor</t>
        </is>
      </c>
      <c r="Q142" s="61" t="n"/>
      <c r="R142" s="61" t="n"/>
      <c r="S142" s="61" t="n"/>
      <c r="T142" s="61" t="inlineStr">
        <is>
          <t>—</t>
        </is>
      </c>
      <c r="U142" s="67" t="n"/>
      <c r="V142" s="67" t="n"/>
      <c r="W142" s="67" t="n"/>
      <c r="X142" s="67" t="n"/>
      <c r="Y142" s="67" t="n"/>
      <c r="Z142" s="67" t="n"/>
      <c r="AA142" s="67" t="n"/>
      <c r="AB142" s="67" t="n"/>
      <c r="AC142" s="67" t="n"/>
      <c r="AD142" s="67" t="n"/>
      <c r="AE142" s="67" t="n"/>
      <c r="AF142" s="67" t="n"/>
    </row>
    <row r="143">
      <c r="A143" s="67" t="n"/>
      <c r="B143" s="47" t="n">
        <v>137</v>
      </c>
      <c r="C143" s="44" t="inlineStr">
        <is>
          <t>Amaggi</t>
        </is>
      </c>
      <c r="D143" s="44" t="inlineStr">
        <is>
          <t>Private sector</t>
        </is>
      </c>
      <c r="E143" s="62" t="inlineStr">
        <is>
          <t>Private companies (large / leading)</t>
        </is>
      </c>
      <c r="F143" s="44" t="inlineStr">
        <is>
          <t>Agribusiness and trading group (grains, logistics); contributes via deforestation-free supply chains, compliance/traceability, low-carbon logistics, and adoption of sustainable production standards.</t>
        </is>
      </c>
      <c r="G143" s="46" t="inlineStr">
        <is>
          <t>Cross-border / international</t>
        </is>
      </c>
      <c r="H143" s="47" t="inlineStr">
        <is>
          <t>Buildings &amp; Transport, "Land, Food and Forest"</t>
        </is>
      </c>
      <c r="I143" s="60" t="inlineStr">
        <is>
          <t>Amazonia, Cerrado</t>
        </is>
      </c>
      <c r="J143" s="62" t="inlineStr">
        <is>
          <t>Pantanal</t>
        </is>
      </c>
      <c r="K143" s="62" t="inlineStr">
        <is>
          <t>It operated grain production/logistics in frontier and transition landscapes commonly framed by Cerrado and Amazonia and it reported supply-chain compliance around these territories.</t>
        </is>
      </c>
      <c r="L143" s="62" t="inlineStr">
        <is>
          <t>Strategic partner, Implementation capacity (delivery)</t>
        </is>
      </c>
      <c r="M143" s="61" t="inlineStr">
        <is>
          <t>Downstream</t>
        </is>
      </c>
      <c r="N143" s="61" t="inlineStr">
        <is>
          <t>Co-funding partner</t>
        </is>
      </c>
      <c r="O143" s="61" t="inlineStr">
        <is>
          <t>Cuiabá, MT, Brazil</t>
        </is>
      </c>
      <c r="P143" s="61" t="inlineStr">
        <is>
          <t>Donor</t>
        </is>
      </c>
      <c r="Q143" s="61" t="n"/>
      <c r="R143" s="61" t="n"/>
      <c r="S143" s="61" t="n"/>
      <c r="T143" s="61" t="inlineStr">
        <is>
          <t>—</t>
        </is>
      </c>
      <c r="U143" s="67" t="n"/>
      <c r="V143" s="67" t="n"/>
      <c r="W143" s="67" t="n"/>
      <c r="X143" s="67" t="n"/>
      <c r="Y143" s="67" t="n"/>
      <c r="Z143" s="67" t="n"/>
      <c r="AA143" s="67" t="n"/>
      <c r="AB143" s="67" t="n"/>
      <c r="AC143" s="67" t="n"/>
      <c r="AD143" s="67" t="n"/>
      <c r="AE143" s="67" t="n"/>
      <c r="AF143" s="67" t="n"/>
    </row>
    <row r="144">
      <c r="A144" s="67" t="n"/>
      <c r="B144" s="47" t="n">
        <v>138</v>
      </c>
      <c r="C144" s="44" t="inlineStr">
        <is>
          <t>SLC Agrícola</t>
        </is>
      </c>
      <c r="D144" s="44" t="inlineStr">
        <is>
          <t>Private sector</t>
        </is>
      </c>
      <c r="E144" s="62" t="inlineStr">
        <is>
          <t>Private companies (large / leading)</t>
        </is>
      </c>
      <c r="F144" s="44" t="inlineStr">
        <is>
          <t>Large-scale producer of grains/fibers; contributes through sustainable land management, climate-smart agriculture, responsible expansion, and improved measurement and reduction of emissions and impacts.</t>
        </is>
      </c>
      <c r="G144" s="46" t="inlineStr">
        <is>
          <t>Regional</t>
        </is>
      </c>
      <c r="H144" s="47" t="inlineStr">
        <is>
          <t>Buildings &amp; Transport, "Land, Food and Forest"</t>
        </is>
      </c>
      <c r="I144" s="60" t="inlineStr">
        <is>
          <t>Amazonia, Cerrado</t>
        </is>
      </c>
      <c r="J144" s="62" t="inlineStr">
        <is>
          <t>Pantanal</t>
        </is>
      </c>
      <c r="K144" s="62" t="inlineStr">
        <is>
          <t>It operated large-scale cropping predominantly in Cerrado landscapes and it expanded/managed farms in frontier interfaces that were commonly described as connected to Amazonia transition zones.</t>
        </is>
      </c>
      <c r="L144" s="62" t="inlineStr">
        <is>
          <t>Implementation capacity (delivery)</t>
        </is>
      </c>
      <c r="M144" s="61" t="inlineStr">
        <is>
          <t>Downstream</t>
        </is>
      </c>
      <c r="N144" s="61" t="inlineStr">
        <is>
          <t>Grant recipient</t>
        </is>
      </c>
      <c r="O144" s="61" t="inlineStr">
        <is>
          <t>Porto Alegre, RS, Brazil</t>
        </is>
      </c>
      <c r="P144" s="61" t="inlineStr">
        <is>
          <t>Donor</t>
        </is>
      </c>
      <c r="Q144" s="61" t="n"/>
      <c r="R144" s="61" t="n"/>
      <c r="S144" s="61" t="n"/>
      <c r="T144" s="61" t="inlineStr">
        <is>
          <t>—</t>
        </is>
      </c>
      <c r="U144" s="67" t="n"/>
      <c r="V144" s="67" t="n"/>
      <c r="W144" s="67" t="n"/>
      <c r="X144" s="67" t="n"/>
      <c r="Y144" s="67" t="n"/>
      <c r="Z144" s="67" t="n"/>
      <c r="AA144" s="67" t="n"/>
      <c r="AB144" s="67" t="n"/>
      <c r="AC144" s="67" t="n"/>
      <c r="AD144" s="67" t="n"/>
      <c r="AE144" s="67" t="n"/>
      <c r="AF144" s="67" t="n"/>
    </row>
    <row r="145">
      <c r="A145" s="67" t="n"/>
      <c r="B145" s="47" t="n">
        <v>139</v>
      </c>
      <c r="C145" s="44" t="inlineStr">
        <is>
          <t>Instituto de Pesquisa Ambiental da Amazônia (IPAM)</t>
        </is>
      </c>
      <c r="D145" s="44" t="inlineStr">
        <is>
          <t>Civil Society Organization (CSO)</t>
        </is>
      </c>
      <c r="E145" s="62" t="inlineStr">
        <is>
          <t>Monitoring, Evaluation, and Learning</t>
        </is>
      </c>
      <c r="F145" s="44" t="inlineStr">
        <is>
          <t>Non-profit research institute focused on the Amazon; produces science, monitoring and policy proposals to curb deforestation, advance sustainable land use, and strengthen climate and territorial governance.</t>
        </is>
      </c>
      <c r="G145" s="46" t="inlineStr">
        <is>
          <t>Regional</t>
        </is>
      </c>
      <c r="H145" s="47" t="inlineStr">
        <is>
          <t>"Land, Food and Forest"</t>
        </is>
      </c>
      <c r="I145" s="60" t="inlineStr">
        <is>
          <t>Amazonia, Cerrado</t>
        </is>
      </c>
      <c r="J145" s="62" t="n"/>
      <c r="K145" s="62" t="inlineStr">
        <is>
          <t>It worked explicitly on Amazonia-focused science and policy and it addressed linked land-use and deforestation dynamics at the Amazonia–Cerrado interface.</t>
        </is>
      </c>
      <c r="L145" s="62" t="inlineStr">
        <is>
          <t>Technical assistance / research, Policy influence / regulation</t>
        </is>
      </c>
      <c r="M145" s="61" t="inlineStr">
        <is>
          <t>Upstream</t>
        </is>
      </c>
      <c r="N145" s="61" t="inlineStr">
        <is>
          <t>Grant recipient</t>
        </is>
      </c>
      <c r="O145" s="61" t="inlineStr">
        <is>
          <t>Brasília, DF, Brazil</t>
        </is>
      </c>
      <c r="P145" s="61" t="inlineStr">
        <is>
          <t>Grantee</t>
        </is>
      </c>
      <c r="Q145" s="61" t="n"/>
      <c r="R145" s="61" t="n"/>
      <c r="S145" s="61" t="inlineStr">
        <is>
          <t>Important imnplementer as a CSO in the Amazon of Brazil.</t>
        </is>
      </c>
      <c r="T145" s="62" t="inlineStr">
        <is>
          <t>Amazon science, deforestation monitoring, land-use MRV and climate policy evaluation</t>
        </is>
      </c>
      <c r="U145" s="67" t="n"/>
      <c r="V145" s="67" t="n"/>
      <c r="W145" s="67" t="n"/>
      <c r="X145" s="67" t="n"/>
      <c r="Y145" s="67" t="n"/>
      <c r="Z145" s="67" t="n"/>
      <c r="AA145" s="67" t="n"/>
      <c r="AB145" s="67" t="n"/>
      <c r="AC145" s="67" t="n"/>
      <c r="AD145" s="67" t="n"/>
      <c r="AE145" s="67" t="n"/>
      <c r="AF145" s="67" t="n"/>
    </row>
    <row r="146">
      <c r="A146" s="67" t="n"/>
      <c r="B146" s="47" t="n">
        <v>140</v>
      </c>
      <c r="C146" s="44" t="inlineStr">
        <is>
          <t>Global Canopy</t>
        </is>
      </c>
      <c r="D146" s="44" t="inlineStr">
        <is>
          <t>Civil Society Organization (CSO)</t>
        </is>
      </c>
      <c r="E146" s="62" t="inlineStr">
        <is>
          <t>Monitoring, Evaluation, and Learning</t>
        </is>
      </c>
      <c r="F146" s="44" t="inlineStr">
        <is>
          <t>Non-profit that works on supply-chain and finance levers to stop deforestation; produces data/tools and convenes stakeholders to improve accountability and drive forest-positive action.</t>
        </is>
      </c>
      <c r="G146" s="46" t="inlineStr">
        <is>
          <t>Cross-border / international</t>
        </is>
      </c>
      <c r="H146" s="47" t="inlineStr">
        <is>
          <t>"Land, Food and Forest"</t>
        </is>
      </c>
      <c r="I146" s="60" t="inlineStr">
        <is>
          <t>Amazonia, Cerrado</t>
        </is>
      </c>
      <c r="J146" s="68" t="n"/>
      <c r="K146" s="62" t="inlineStr">
        <is>
          <t>It produced deforestation-risk tools and accountability agendas that, in Brazil, were commonly framed around Amazonia and Cerrado commodity frontiers.</t>
        </is>
      </c>
      <c r="L146" s="62" t="inlineStr">
        <is>
          <t>Data / MRV / platforms, Policy influence / regulation</t>
        </is>
      </c>
      <c r="M146" s="61" t="inlineStr">
        <is>
          <t>Upstream</t>
        </is>
      </c>
      <c r="N146" s="61" t="inlineStr">
        <is>
          <t>Grant recipient</t>
        </is>
      </c>
      <c r="O146" s="61" t="inlineStr">
        <is>
          <t>São Paulo, SP, Brazil</t>
        </is>
      </c>
      <c r="P146" s="61" t="inlineStr">
        <is>
          <t>Grantee</t>
        </is>
      </c>
      <c r="Q146" s="61" t="n"/>
      <c r="R146" s="61" t="n"/>
      <c r="S146" s="61" t="n"/>
      <c r="T146" s="62" t="inlineStr">
        <is>
          <t>Supply chain and finance deforestation data/tools, forest accountability MRV platforms</t>
        </is>
      </c>
      <c r="U146" s="67" t="n"/>
      <c r="V146" s="67" t="n"/>
      <c r="W146" s="67" t="n"/>
      <c r="X146" s="67" t="n"/>
      <c r="Y146" s="67" t="n"/>
      <c r="Z146" s="67" t="n"/>
      <c r="AA146" s="67" t="n"/>
      <c r="AB146" s="67" t="n"/>
      <c r="AC146" s="67" t="n"/>
      <c r="AD146" s="67" t="n"/>
      <c r="AE146" s="67" t="n"/>
      <c r="AF146" s="67" t="n"/>
    </row>
    <row r="147">
      <c r="A147" s="67" t="n"/>
      <c r="B147" s="47" t="n">
        <v>141</v>
      </c>
      <c r="C147" s="44" t="inlineStr">
        <is>
          <t>Good Energies Foundation</t>
        </is>
      </c>
      <c r="D147" s="44" t="inlineStr">
        <is>
          <t>Funders</t>
        </is>
      </c>
      <c r="E147" s="62" t="inlineStr">
        <is>
          <t>Philanthropy foundations</t>
        </is>
      </c>
      <c r="F147" s="44" t="inlineStr">
        <is>
          <t>Philanthropic foundation supporting climate solutions (often focused on clean energy and systemic decarbonization); provides grants to accelerate policy and market shifts toward a low-carbon economy.</t>
        </is>
      </c>
      <c r="G147" s="46" t="inlineStr">
        <is>
          <t>Cross-border / international</t>
        </is>
      </c>
      <c r="H147" s="47" t="inlineStr">
        <is>
          <t>Energy</t>
        </is>
      </c>
      <c r="I147" s="48" t="inlineStr">
        <is>
          <t>Amazonia</t>
        </is>
      </c>
      <c r="J147" s="62" t="inlineStr">
        <is>
          <t>Mata&amp;Atlântica</t>
        </is>
      </c>
      <c r="K147" s="62" t="inlineStr">
        <is>
          <t>No biome lens was assigned because the mapping did not identify a Brazil portfolio publicly structured by biome-specific programs.</t>
        </is>
      </c>
      <c r="L147" s="62" t="inlineStr">
        <is>
          <t>Funder, Strategic partner</t>
        </is>
      </c>
      <c r="M147" s="61" t="inlineStr">
        <is>
          <t>Upstream</t>
        </is>
      </c>
      <c r="N147" s="61" t="inlineStr">
        <is>
          <t>Co-funding partner</t>
        </is>
      </c>
      <c r="O147" s="61" t="inlineStr">
        <is>
          <t>São Paulo, SP, Brazil</t>
        </is>
      </c>
      <c r="P147" s="61" t="inlineStr">
        <is>
          <t>Donor</t>
        </is>
      </c>
      <c r="Q147" s="61" t="inlineStr">
        <is>
          <t>Johannes</t>
        </is>
      </c>
      <c r="R147" s="57" t="inlineStr">
        <is>
          <t>https://www.porticus.com/what-we-do/earth/good-energies-foundation/</t>
        </is>
      </c>
      <c r="S147" s="61" t="inlineStr">
        <is>
          <t>Relevant co-funder for the Brazilian Amazon</t>
        </is>
      </c>
      <c r="T147" s="61" t="inlineStr">
        <is>
          <t>—</t>
        </is>
      </c>
      <c r="U147" s="67" t="n"/>
      <c r="V147" s="67" t="n"/>
      <c r="W147" s="67" t="n"/>
      <c r="X147" s="67" t="n"/>
      <c r="Y147" s="67" t="n"/>
      <c r="Z147" s="67" t="n"/>
      <c r="AA147" s="67" t="n"/>
      <c r="AB147" s="67" t="n"/>
      <c r="AC147" s="67" t="n"/>
      <c r="AD147" s="67" t="n"/>
      <c r="AE147" s="67" t="n"/>
      <c r="AF147" s="67" t="n"/>
    </row>
    <row r="148">
      <c r="A148" s="67" t="n"/>
      <c r="B148" s="47" t="n">
        <v>142</v>
      </c>
      <c r="C148" s="44" t="inlineStr">
        <is>
          <t>Ministério do Desenvolvimento e Assistência Social, Família e Combate à Fome (MDS)</t>
        </is>
      </c>
      <c r="D148" s="44" t="inlineStr">
        <is>
          <t>Public sector</t>
        </is>
      </c>
      <c r="E148" s="62" t="inlineStr">
        <is>
          <t>Federal Government</t>
        </is>
      </c>
      <c r="F148" s="44" t="inlineStr">
        <is>
          <t>Federal ministry responsible for social development and income-support policies; key to a just transition by reducing poverty/inequality and integrating social protection with food security and resilience policies.</t>
        </is>
      </c>
      <c r="G148" s="46" t="inlineStr">
        <is>
          <t>National</t>
        </is>
      </c>
      <c r="H148" s="47" t="inlineStr">
        <is>
          <t>Emergency response, "Land, Food and Forest"</t>
        </is>
      </c>
      <c r="I148" s="48" t="n"/>
      <c r="J148" s="62" t="n"/>
      <c r="K148" s="62" t="inlineStr">
        <is>
          <t>No biome lens was assigned because social protection and hunger policies were national and not implemented through a biome-based targeting logic.</t>
        </is>
      </c>
      <c r="L148" s="62" t="inlineStr">
        <is>
          <t>Policy influence / regulation, Territorial anchor</t>
        </is>
      </c>
      <c r="M148" s="61" t="inlineStr">
        <is>
          <t>Upstream</t>
        </is>
      </c>
      <c r="N148" s="61" t="inlineStr">
        <is>
          <t>Strategic partner</t>
        </is>
      </c>
      <c r="O148" s="61" t="inlineStr">
        <is>
          <t>Brasília, DF, Brazil</t>
        </is>
      </c>
      <c r="P148" s="61" t="n"/>
      <c r="Q148" s="61" t="n"/>
      <c r="R148" s="61" t="n"/>
      <c r="S148" s="61" t="n"/>
      <c r="T148" s="61" t="inlineStr">
        <is>
          <t>—</t>
        </is>
      </c>
      <c r="U148" s="67" t="n"/>
      <c r="V148" s="67" t="n"/>
      <c r="W148" s="67" t="n"/>
      <c r="X148" s="67" t="n"/>
      <c r="Y148" s="67" t="n"/>
      <c r="Z148" s="67" t="n"/>
      <c r="AA148" s="67" t="n"/>
      <c r="AB148" s="67" t="n"/>
      <c r="AC148" s="67" t="n"/>
      <c r="AD148" s="67" t="n"/>
      <c r="AE148" s="67" t="n"/>
      <c r="AF148" s="67" t="n"/>
    </row>
    <row r="149">
      <c r="A149" s="67" t="n"/>
      <c r="B149" s="47" t="n">
        <v>143</v>
      </c>
      <c r="C149" s="44" t="inlineStr">
        <is>
          <t>Ministério da Saúde</t>
        </is>
      </c>
      <c r="D149" s="44" t="inlineStr">
        <is>
          <t>Public sector</t>
        </is>
      </c>
      <c r="E149" s="62" t="inlineStr">
        <is>
          <t>Federal Government</t>
        </is>
      </c>
      <c r="F149" s="44" t="inlineStr">
        <is>
          <t>Federal leadership on nutrition policy within the health system; can drive systemic transition by strengthening food and nutrition security actions, healthy diets, monitoring of nutritional outcomes, and integration of nutrition with primary health care and social policies.</t>
        </is>
      </c>
      <c r="G149" s="46" t="inlineStr">
        <is>
          <t>National</t>
        </is>
      </c>
      <c r="H149" s="47" t="n"/>
      <c r="I149" s="48" t="n"/>
      <c r="J149" s="62" t="n"/>
      <c r="K149" s="62" t="inlineStr">
        <is>
          <t>No biome lens was assigned because health/nutrition policies were nationwide and were not organized or monitored by biome as a primary territorial cut.</t>
        </is>
      </c>
      <c r="L149" s="62" t="inlineStr">
        <is>
          <t>Policy influence / regulation</t>
        </is>
      </c>
      <c r="M149" s="61" t="inlineStr">
        <is>
          <t>Upstream</t>
        </is>
      </c>
      <c r="N149" s="61" t="inlineStr">
        <is>
          <t>Strategic partner</t>
        </is>
      </c>
      <c r="O149" s="61" t="inlineStr">
        <is>
          <t>Brasília, DF, Brazil</t>
        </is>
      </c>
      <c r="P149" s="61" t="n"/>
      <c r="Q149" s="61" t="n"/>
      <c r="R149" s="61" t="n"/>
      <c r="S149" s="61" t="n"/>
      <c r="T149" s="61" t="inlineStr">
        <is>
          <t>—</t>
        </is>
      </c>
      <c r="U149" s="67" t="n"/>
      <c r="V149" s="67" t="n"/>
      <c r="W149" s="67" t="n"/>
      <c r="X149" s="67" t="n"/>
      <c r="Y149" s="67" t="n"/>
      <c r="Z149" s="67" t="n"/>
      <c r="AA149" s="67" t="n"/>
      <c r="AB149" s="67" t="n"/>
      <c r="AC149" s="67" t="n"/>
      <c r="AD149" s="67" t="n"/>
      <c r="AE149" s="67" t="n"/>
      <c r="AF149" s="67" t="n"/>
    </row>
    <row r="150">
      <c r="A150" s="67" t="n"/>
      <c r="B150" s="47" t="n">
        <v>144</v>
      </c>
      <c r="C150" s="44" t="inlineStr">
        <is>
          <t>Conselho Nacional de Segurança Alimentar e Nutricional (CONSEA)</t>
        </is>
      </c>
      <c r="D150" s="44" t="inlineStr">
        <is>
          <t>Others</t>
        </is>
      </c>
      <c r="E150" s="62" t="inlineStr">
        <is>
          <t>Multi-stakeholder initiatives</t>
        </is>
      </c>
      <c r="F150" s="44" t="inlineStr">
        <is>
          <t>Multi-stakeholder councils for food and nutrition security that enable social participation, policy coordination and oversight; contribute by shaping priorities, improving governance and strengthening accountability in food systems and social protection.</t>
        </is>
      </c>
      <c r="G150" s="46" t="inlineStr">
        <is>
          <t>National</t>
        </is>
      </c>
      <c r="H150" s="47" t="inlineStr">
        <is>
          <t>Emergency response, "Land, Food and Forest"</t>
        </is>
      </c>
      <c r="I150" s="48" t="n"/>
      <c r="J150" s="62" t="n"/>
      <c r="K150" s="62" t="inlineStr">
        <is>
          <t>No biome lens was assigned because governance and oversight were national and did not correspond to a stable biome-delimited portfolio.</t>
        </is>
      </c>
      <c r="L150" s="62" t="inlineStr">
        <is>
          <t>Policy influence / regulation, Community legitimacy / proximate leadership</t>
        </is>
      </c>
      <c r="M150" s="61" t="inlineStr">
        <is>
          <t>Upstream</t>
        </is>
      </c>
      <c r="N150" s="61" t="inlineStr">
        <is>
          <t>Strategic partner</t>
        </is>
      </c>
      <c r="O150" s="61" t="inlineStr">
        <is>
          <t>Brasília, DF, Brazil</t>
        </is>
      </c>
      <c r="P150" s="61" t="inlineStr">
        <is>
          <t>Grantee</t>
        </is>
      </c>
      <c r="Q150" s="61" t="n"/>
      <c r="R150" s="61" t="n"/>
      <c r="S150" s="61" t="n"/>
      <c r="T150" s="61" t="inlineStr">
        <is>
          <t>—</t>
        </is>
      </c>
      <c r="U150" s="67" t="n"/>
      <c r="V150" s="67" t="n"/>
      <c r="W150" s="67" t="n"/>
      <c r="X150" s="67" t="n"/>
      <c r="Y150" s="67" t="n"/>
      <c r="Z150" s="67" t="n"/>
      <c r="AA150" s="67" t="n"/>
      <c r="AB150" s="67" t="n"/>
      <c r="AC150" s="67" t="n"/>
      <c r="AD150" s="67" t="n"/>
      <c r="AE150" s="67" t="n"/>
      <c r="AF150" s="67" t="n"/>
    </row>
    <row r="151">
      <c r="A151" s="67" t="n"/>
      <c r="B151" s="47" t="n">
        <v>145</v>
      </c>
      <c r="C151" s="44" t="inlineStr">
        <is>
          <t>Grupo Pão de Açúcar (GPA)</t>
        </is>
      </c>
      <c r="D151" s="44" t="inlineStr">
        <is>
          <t>Private sector</t>
        </is>
      </c>
      <c r="E151" s="62" t="inlineStr">
        <is>
          <t>Private companies (large / leading)</t>
        </is>
      </c>
      <c r="F151" s="44" t="inlineStr">
        <is>
          <t>Major retail group; can influence systemic transition through responsible sourcing, healthier food environments, waste reduction, traceability, supplier standards and scaling sustainable products.</t>
        </is>
      </c>
      <c r="G151" s="46" t="inlineStr">
        <is>
          <t>National</t>
        </is>
      </c>
      <c r="H151" s="47" t="inlineStr">
        <is>
          <t>Buildings &amp; Transport, "Land, Food and Forest"</t>
        </is>
      </c>
      <c r="I151" s="48" t="n"/>
      <c r="J151" s="62" t="n"/>
      <c r="K151" s="62" t="inlineStr">
        <is>
          <t>No biome lens was assigned because the mapping did not identify supplier programs explicitly framed by Brazilian biomes.</t>
        </is>
      </c>
      <c r="L151" s="62" t="inlineStr">
        <is>
          <t>Strategic partner, Implementation capacity (delivery)</t>
        </is>
      </c>
      <c r="M151" s="61" t="inlineStr">
        <is>
          <t>Downstream</t>
        </is>
      </c>
      <c r="N151" s="61" t="inlineStr">
        <is>
          <t>Co-funding partner</t>
        </is>
      </c>
      <c r="O151" s="61" t="inlineStr">
        <is>
          <t>São Paulo, SP, Brazil</t>
        </is>
      </c>
      <c r="P151" s="62" t="inlineStr">
        <is>
          <t>Donor</t>
        </is>
      </c>
      <c r="Q151" s="61" t="n"/>
      <c r="R151" s="61" t="n"/>
      <c r="S151" s="62" t="inlineStr">
        <is>
          <t>Relevant co-funding partner for food systems in Brazil. Helped establishes Pacto Contra a Fome organization. A CSO in charge with food system transformation in Brazil.</t>
        </is>
      </c>
      <c r="T151" s="62" t="inlineStr">
        <is>
          <t>—</t>
        </is>
      </c>
      <c r="U151" s="67" t="n"/>
      <c r="V151" s="67" t="n"/>
      <c r="W151" s="67" t="n"/>
      <c r="X151" s="67" t="n"/>
      <c r="Y151" s="67" t="n"/>
      <c r="Z151" s="67" t="n"/>
      <c r="AA151" s="67" t="n"/>
      <c r="AB151" s="67" t="n"/>
      <c r="AC151" s="67" t="n"/>
      <c r="AD151" s="67" t="n"/>
      <c r="AE151" s="67" t="n"/>
      <c r="AF151" s="67" t="n"/>
    </row>
    <row r="152">
      <c r="A152" s="67" t="n"/>
      <c r="B152" s="47" t="n">
        <v>146</v>
      </c>
      <c r="C152" s="44" t="inlineStr">
        <is>
          <t>Assaí Atacadista</t>
        </is>
      </c>
      <c r="D152" s="44" t="inlineStr">
        <is>
          <t>Private sector</t>
        </is>
      </c>
      <c r="E152" s="62" t="inlineStr">
        <is>
          <t>Private companies (large / leading)</t>
        </is>
      </c>
      <c r="F152" s="44" t="inlineStr">
        <is>
          <t>Large cash-and-carry retailer; contributes via supplier engagement, responsible sourcing, food loss and waste reduction, and expanding access to affordable food with improved sustainability standards.</t>
        </is>
      </c>
      <c r="G152" s="46" t="inlineStr">
        <is>
          <t>National</t>
        </is>
      </c>
      <c r="H152" s="47" t="inlineStr">
        <is>
          <t>Buildings &amp; Transport, "Land, Food and Forest"</t>
        </is>
      </c>
      <c r="I152" s="48" t="n"/>
      <c r="J152" s="62" t="n"/>
      <c r="K152" s="62" t="inlineStr">
        <is>
          <t>No biome lens was assigned because supply initiatives were not mapped here as biome-specific programs.</t>
        </is>
      </c>
      <c r="L152" s="62" t="inlineStr">
        <is>
          <t>Strategic partner, Implementation capacity (delivery)</t>
        </is>
      </c>
      <c r="M152" s="61" t="inlineStr">
        <is>
          <t>Downstream</t>
        </is>
      </c>
      <c r="N152" s="61" t="inlineStr">
        <is>
          <t>Co-funding partner</t>
        </is>
      </c>
      <c r="O152" s="61" t="inlineStr">
        <is>
          <t>São Paulo, SP, Brazil</t>
        </is>
      </c>
      <c r="P152" s="62" t="inlineStr">
        <is>
          <t>Donor</t>
        </is>
      </c>
      <c r="Q152" s="61" t="n"/>
      <c r="R152" s="61" t="n"/>
      <c r="S152" s="62" t="inlineStr">
        <is>
          <t>supermarket chain in Ceará State,. Could be a co-funding partner for food system .</t>
        </is>
      </c>
      <c r="T152" s="62" t="inlineStr">
        <is>
          <t>—</t>
        </is>
      </c>
      <c r="U152" s="67" t="n"/>
      <c r="V152" s="67" t="n"/>
      <c r="W152" s="67" t="n"/>
      <c r="X152" s="67" t="n"/>
      <c r="Y152" s="67" t="n"/>
      <c r="Z152" s="67" t="n"/>
      <c r="AA152" s="67" t="n"/>
      <c r="AB152" s="67" t="n"/>
      <c r="AC152" s="67" t="n"/>
      <c r="AD152" s="67" t="n"/>
      <c r="AE152" s="67" t="n"/>
      <c r="AF152" s="67" t="n"/>
    </row>
    <row r="153">
      <c r="A153" s="67" t="n"/>
      <c r="B153" s="47" t="n">
        <v>147</v>
      </c>
      <c r="C153" s="44" t="inlineStr">
        <is>
          <t>Carrefour Brasil</t>
        </is>
      </c>
      <c r="D153" s="44" t="inlineStr">
        <is>
          <t>Private sector</t>
        </is>
      </c>
      <c r="E153" s="62" t="inlineStr">
        <is>
          <t>Private companies (large / leading)</t>
        </is>
      </c>
      <c r="F153" s="44" t="inlineStr">
        <is>
          <t>Major retailer; can drive transition through deforestation-free supply chains, traceability, healthier food offerings, food waste reduction and strong ESG governance across suppliers.</t>
        </is>
      </c>
      <c r="G153" s="46" t="inlineStr">
        <is>
          <t>Cross-border / international</t>
        </is>
      </c>
      <c r="H153" s="47" t="inlineStr">
        <is>
          <t>Buildings &amp; Transport, "Land, Food and Forest"</t>
        </is>
      </c>
      <c r="I153" s="60" t="inlineStr">
        <is>
          <t>Amazonia, Cerrado</t>
        </is>
      </c>
      <c r="J153" s="68" t="n"/>
      <c r="K153" s="62" t="inlineStr">
        <is>
          <t>It implemented deforestation-free sourcing and traceability commitments that were publicly anchored in Amazonia and Cerrado commodity-risk supply chains.</t>
        </is>
      </c>
      <c r="L153" s="62" t="inlineStr">
        <is>
          <t>Strategic partner, Implementation capacity (delivery)</t>
        </is>
      </c>
      <c r="M153" s="61" t="inlineStr">
        <is>
          <t>Downstream</t>
        </is>
      </c>
      <c r="N153" s="61" t="inlineStr">
        <is>
          <t>Co-funding partner</t>
        </is>
      </c>
      <c r="O153" s="61" t="inlineStr">
        <is>
          <t>Barueri, SP, Brazil</t>
        </is>
      </c>
      <c r="P153" s="62" t="inlineStr">
        <is>
          <t>Donor</t>
        </is>
      </c>
      <c r="Q153" s="61" t="n"/>
      <c r="R153" s="61" t="n"/>
      <c r="S153" s="62" t="inlineStr">
        <is>
          <t>supermarket chain in Ceará State. Could be a co-funding partner for the food system .</t>
        </is>
      </c>
      <c r="T153" s="62" t="inlineStr">
        <is>
          <t>—</t>
        </is>
      </c>
      <c r="U153" s="67" t="n"/>
      <c r="V153" s="67" t="n"/>
      <c r="W153" s="67" t="n"/>
      <c r="X153" s="67" t="n"/>
      <c r="Y153" s="67" t="n"/>
      <c r="Z153" s="67" t="n"/>
      <c r="AA153" s="67" t="n"/>
      <c r="AB153" s="67" t="n"/>
      <c r="AC153" s="67" t="n"/>
      <c r="AD153" s="67" t="n"/>
      <c r="AE153" s="67" t="n"/>
      <c r="AF153" s="67" t="n"/>
    </row>
    <row r="154">
      <c r="A154" s="67" t="n"/>
      <c r="B154" s="47" t="n">
        <v>148</v>
      </c>
      <c r="C154" s="44" t="inlineStr">
        <is>
          <t>Nestlé Brasil</t>
        </is>
      </c>
      <c r="D154" s="44" t="inlineStr">
        <is>
          <t>Private sector</t>
        </is>
      </c>
      <c r="E154" s="62" t="inlineStr">
        <is>
          <t>Private companies (large / leading)</t>
        </is>
      </c>
      <c r="F154" s="44" t="inlineStr">
        <is>
          <t>Large food and beverage company; contributes through sustainable agriculture programs, deforestation-free sourcing, nutrition/healthier product reformulation, and emissions reduction across value chains.</t>
        </is>
      </c>
      <c r="G154" s="46" t="inlineStr">
        <is>
          <t>Cross-border / international</t>
        </is>
      </c>
      <c r="H154" s="47" t="inlineStr">
        <is>
          <t>Buildings &amp; Transport, "Land, Food and Forest"</t>
        </is>
      </c>
      <c r="I154" s="48" t="inlineStr">
        <is>
          <t>Cerrado</t>
        </is>
      </c>
      <c r="J154" s="62" t="inlineStr">
        <is>
          <t>Mata&amp;Atlântica</t>
        </is>
      </c>
      <c r="K154" s="62" t="inlineStr">
        <is>
          <t>No biome lens was assigned because the mapping did not confirm a consistent portfolio of initiatives explicitly delimited by Brazilian biomes.</t>
        </is>
      </c>
      <c r="L154" s="62" t="inlineStr">
        <is>
          <t>Strategic partner, Implementation capacity (delivery)</t>
        </is>
      </c>
      <c r="M154" s="61" t="inlineStr">
        <is>
          <t>Downstream</t>
        </is>
      </c>
      <c r="N154" s="61" t="inlineStr">
        <is>
          <t>Co-funding partner</t>
        </is>
      </c>
      <c r="O154" s="61" t="inlineStr">
        <is>
          <t>São Paulo, SP, Brazil</t>
        </is>
      </c>
      <c r="P154" s="62" t="inlineStr">
        <is>
          <t>Donor</t>
        </is>
      </c>
      <c r="Q154" s="61" t="n"/>
      <c r="R154" s="61" t="n"/>
      <c r="S154" s="62" t="inlineStr">
        <is>
          <t>supermarket chain in Ceará State. Could be a co-funding partner for the food system .</t>
        </is>
      </c>
      <c r="T154" s="62" t="inlineStr">
        <is>
          <t>—</t>
        </is>
      </c>
      <c r="U154" s="67" t="n"/>
      <c r="V154" s="67" t="n"/>
      <c r="W154" s="67" t="n"/>
      <c r="X154" s="67" t="n"/>
      <c r="Y154" s="67" t="n"/>
      <c r="Z154" s="67" t="n"/>
      <c r="AA154" s="67" t="n"/>
      <c r="AB154" s="67" t="n"/>
      <c r="AC154" s="67" t="n"/>
      <c r="AD154" s="67" t="n"/>
      <c r="AE154" s="67" t="n"/>
      <c r="AF154" s="67" t="n"/>
    </row>
    <row r="155">
      <c r="A155" s="67" t="n"/>
      <c r="B155" s="47" t="n">
        <v>149</v>
      </c>
      <c r="C155" s="44" t="inlineStr">
        <is>
          <t>Unilever Brasil</t>
        </is>
      </c>
      <c r="D155" s="44" t="inlineStr">
        <is>
          <t>Private sector</t>
        </is>
      </c>
      <c r="E155" s="62" t="inlineStr">
        <is>
          <t>Private companies (large / leading)</t>
        </is>
      </c>
      <c r="F155" s="44" t="inlineStr">
        <is>
          <t>Consumer goods company; can influence transition via sustainable sourcing, deforestation-free commodities, packaging circularity, waste reduction and supplier standards for climate and nature.</t>
        </is>
      </c>
      <c r="G155" s="46" t="inlineStr">
        <is>
          <t>Cross-border / international</t>
        </is>
      </c>
      <c r="H155" s="47" t="inlineStr">
        <is>
          <t>Buildings &amp; Transport, "Land, Food and Forest"</t>
        </is>
      </c>
      <c r="I155" s="48" t="n"/>
      <c r="J155" s="62" t="n"/>
      <c r="K155" s="62" t="inlineStr">
        <is>
          <t>No biome lens was assigned because Brazil-related initiatives were not identified here with an explicit biome cut robust enough for classification.</t>
        </is>
      </c>
      <c r="L155" s="62" t="inlineStr">
        <is>
          <t>Strategic partner, Implementation capacity (delivery)</t>
        </is>
      </c>
      <c r="M155" s="61" t="inlineStr">
        <is>
          <t>Downstream</t>
        </is>
      </c>
      <c r="N155" s="61" t="inlineStr">
        <is>
          <t>Co-funding partner</t>
        </is>
      </c>
      <c r="O155" s="61" t="inlineStr">
        <is>
          <t>São Paulo, SP, Brazil</t>
        </is>
      </c>
      <c r="P155" s="62" t="inlineStr">
        <is>
          <t>Donor</t>
        </is>
      </c>
      <c r="Q155" s="61" t="n"/>
      <c r="R155" s="61" t="n"/>
      <c r="S155" s="62" t="inlineStr">
        <is>
          <t>supermarket chain in Ceará State.  Could be a co-funding partner for the food system .</t>
        </is>
      </c>
      <c r="T155" s="62" t="inlineStr">
        <is>
          <t>—</t>
        </is>
      </c>
      <c r="U155" s="67" t="n"/>
      <c r="V155" s="67" t="n"/>
      <c r="W155" s="67" t="n"/>
      <c r="X155" s="67" t="n"/>
      <c r="Y155" s="67" t="n"/>
      <c r="Z155" s="67" t="n"/>
      <c r="AA155" s="67" t="n"/>
      <c r="AB155" s="67" t="n"/>
      <c r="AC155" s="67" t="n"/>
      <c r="AD155" s="67" t="n"/>
      <c r="AE155" s="67" t="n"/>
      <c r="AF155" s="67" t="n"/>
    </row>
    <row r="156">
      <c r="A156" s="67" t="n"/>
      <c r="B156" s="47" t="n">
        <v>150</v>
      </c>
      <c r="C156" s="44" t="inlineStr">
        <is>
          <t>Danone Brasil</t>
        </is>
      </c>
      <c r="D156" s="44" t="inlineStr">
        <is>
          <t>Private sector</t>
        </is>
      </c>
      <c r="E156" s="62" t="inlineStr">
        <is>
          <t>Private companies (large / leading)</t>
        </is>
      </c>
      <c r="F156" s="44" t="inlineStr">
        <is>
          <t>Food company (dairy and nutrition); contributes through regenerative agriculture, methane reduction in dairy supply chains, nutrition and health initiatives, and low-carbon operations and packaging.</t>
        </is>
      </c>
      <c r="G156" s="46" t="inlineStr">
        <is>
          <t>Cross-border / international</t>
        </is>
      </c>
      <c r="H156" s="47" t="inlineStr">
        <is>
          <t>Buildings &amp; Transport, "Land, Food and Forest"</t>
        </is>
      </c>
      <c r="I156" s="48" t="n"/>
      <c r="J156" s="62" t="n"/>
      <c r="K156" s="62" t="inlineStr">
        <is>
          <t>No biome lens was assigned because the mapping did not identify a biome-delimited set of projects or sourcing initiatives as a consistent territorial lens.</t>
        </is>
      </c>
      <c r="L156" s="62" t="inlineStr">
        <is>
          <t>Strategic partner, Implementation capacity (delivery)</t>
        </is>
      </c>
      <c r="M156" s="61" t="inlineStr">
        <is>
          <t>Downstream</t>
        </is>
      </c>
      <c r="N156" s="61" t="inlineStr">
        <is>
          <t>Co-funding partner</t>
        </is>
      </c>
      <c r="O156" s="61" t="inlineStr">
        <is>
          <t>São Paulo, SP, Brazil</t>
        </is>
      </c>
      <c r="P156" s="62" t="inlineStr">
        <is>
          <t>Donor</t>
        </is>
      </c>
      <c r="Q156" s="61" t="n"/>
      <c r="R156" s="61" t="n"/>
      <c r="S156" s="62" t="inlineStr">
        <is>
          <t>supermarket chain in Ceará State. Could be a co-funding partner for the food system .</t>
        </is>
      </c>
      <c r="T156" s="62" t="inlineStr">
        <is>
          <t>—</t>
        </is>
      </c>
      <c r="U156" s="67" t="n"/>
      <c r="V156" s="67" t="n"/>
      <c r="W156" s="67" t="n"/>
      <c r="X156" s="67" t="n"/>
      <c r="Y156" s="67" t="n"/>
      <c r="Z156" s="67" t="n"/>
      <c r="AA156" s="67" t="n"/>
      <c r="AB156" s="67" t="n"/>
      <c r="AC156" s="67" t="n"/>
      <c r="AD156" s="67" t="n"/>
      <c r="AE156" s="67" t="n"/>
      <c r="AF156" s="67" t="n"/>
    </row>
    <row r="157">
      <c r="A157" s="67" t="n"/>
      <c r="B157" s="47" t="n">
        <v>151</v>
      </c>
      <c r="C157" s="44" t="inlineStr">
        <is>
          <t>Rede PENSSAN</t>
        </is>
      </c>
      <c r="D157" s="44" t="inlineStr">
        <is>
          <t>Civil Society Organization (CSO)</t>
        </is>
      </c>
      <c r="E157" s="62" t="inlineStr">
        <is>
          <t>Monitoring, Evaluation, and Learning</t>
        </is>
      </c>
      <c r="F157" s="44" t="inlineStr">
        <is>
          <t>Civil society network that produces evidence and mobilizes actors around food and nutrition security in Brazil; contributes by monitoring hunger, informing public policy and strengthening accountability and social engagement.</t>
        </is>
      </c>
      <c r="G157" s="46" t="inlineStr">
        <is>
          <t>National</t>
        </is>
      </c>
      <c r="H157" s="47" t="inlineStr">
        <is>
          <t>"Land, Food and Forest"</t>
        </is>
      </c>
      <c r="I157" s="48" t="n"/>
      <c r="J157" s="62" t="n"/>
      <c r="K157" s="62" t="inlineStr">
        <is>
          <t>No biome lens was assigned because it operated through national monitoring/advocacy and was not organized around biome-delimited initiatives.</t>
        </is>
      </c>
      <c r="L157" s="62" t="inlineStr">
        <is>
          <t>Technical assistance / research, Data / MRV / platforms</t>
        </is>
      </c>
      <c r="M157" s="61" t="inlineStr">
        <is>
          <t>Upstream</t>
        </is>
      </c>
      <c r="N157" s="61" t="inlineStr">
        <is>
          <t>Grant recipient</t>
        </is>
      </c>
      <c r="O157" s="61" t="inlineStr">
        <is>
          <t>São Paulo, SP, Brazil</t>
        </is>
      </c>
      <c r="P157" s="61" t="inlineStr">
        <is>
          <t>Grantee</t>
        </is>
      </c>
      <c r="Q157" s="61" t="n"/>
      <c r="R157" s="61" t="n"/>
      <c r="S157" s="61" t="n"/>
      <c r="T157" s="62" t="inlineStr">
        <is>
          <t>Food and nutrition security monitoring, hunger indicators and policy accountability data</t>
        </is>
      </c>
      <c r="U157" s="67" t="n"/>
      <c r="V157" s="67" t="n"/>
      <c r="W157" s="67" t="n"/>
      <c r="X157" s="67" t="n"/>
      <c r="Y157" s="67" t="n"/>
      <c r="Z157" s="67" t="n"/>
      <c r="AA157" s="67" t="n"/>
      <c r="AB157" s="67" t="n"/>
      <c r="AC157" s="67" t="n"/>
      <c r="AD157" s="67" t="n"/>
      <c r="AE157" s="67" t="n"/>
      <c r="AF157" s="67" t="n"/>
    </row>
    <row r="158">
      <c r="A158" s="67" t="n"/>
      <c r="B158" s="47" t="n">
        <v>152</v>
      </c>
      <c r="C158" s="44" t="inlineStr">
        <is>
          <t>Instituto Comida do Amanhã</t>
        </is>
      </c>
      <c r="D158" s="44" t="inlineStr">
        <is>
          <t>Civil Society Organization (CSO)</t>
        </is>
      </c>
      <c r="E158" s="62" t="inlineStr">
        <is>
          <t>Local implementers</t>
        </is>
      </c>
      <c r="F158" s="44" t="inlineStr">
        <is>
          <t>Nonprofit that promotes sustainable and healthy food systems; supports innovation, communication and multi-stakeholder initiatives to shift diets, reduce waste and strengthen sustainable value chains.</t>
        </is>
      </c>
      <c r="G158" s="46" t="inlineStr">
        <is>
          <t>National</t>
        </is>
      </c>
      <c r="H158" s="47" t="inlineStr">
        <is>
          <t>"Land, Food and Forest"</t>
        </is>
      </c>
      <c r="I158" s="48" t="n"/>
      <c r="J158" s="62" t="n"/>
      <c r="K158" s="62" t="inlineStr">
        <is>
          <t>No biome lens was assigned because its portfolio was thematic (food systems/innovation) and did not present a consistent public biome cut.</t>
        </is>
      </c>
      <c r="L158" s="62" t="inlineStr">
        <is>
          <t>Project developer / Implementer, Policy influence / regulation</t>
        </is>
      </c>
      <c r="M158" s="61" t="inlineStr">
        <is>
          <t>Midstream</t>
        </is>
      </c>
      <c r="N158" s="61" t="inlineStr">
        <is>
          <t>Grant recipient</t>
        </is>
      </c>
      <c r="O158" s="61" t="inlineStr">
        <is>
          <t>Rio de Janeiro, RJ, Brazil</t>
        </is>
      </c>
      <c r="P158" s="62" t="inlineStr">
        <is>
          <t>Grantee</t>
        </is>
      </c>
      <c r="Q158" s="61" t="n"/>
      <c r="R158" s="61" t="n"/>
      <c r="S158" s="62" t="inlineStr">
        <is>
          <t>Could be a grantee  for the  food system .</t>
        </is>
      </c>
      <c r="T158" s="62" t="inlineStr">
        <is>
          <t>—</t>
        </is>
      </c>
      <c r="U158" s="67" t="n"/>
      <c r="V158" s="67" t="n"/>
      <c r="W158" s="67" t="n"/>
      <c r="X158" s="67" t="n"/>
      <c r="Y158" s="67" t="n"/>
      <c r="Z158" s="67" t="n"/>
      <c r="AA158" s="67" t="n"/>
      <c r="AB158" s="67" t="n"/>
      <c r="AC158" s="67" t="n"/>
      <c r="AD158" s="67" t="n"/>
      <c r="AE158" s="67" t="n"/>
      <c r="AF158" s="67" t="n"/>
    </row>
    <row r="159">
      <c r="A159" s="67" t="n"/>
      <c r="B159" s="47" t="n">
        <v>153</v>
      </c>
      <c r="C159" s="44" t="inlineStr">
        <is>
          <t>EAT Foundation</t>
        </is>
      </c>
      <c r="D159" s="44" t="inlineStr">
        <is>
          <t>Funders</t>
        </is>
      </c>
      <c r="E159" s="62" t="inlineStr">
        <is>
          <t>Philanthropy foundations</t>
        </is>
      </c>
      <c r="F159" s="44" t="inlineStr">
        <is>
          <t>International non-profit that mobilizes science and multi-stakeholder action to transform food systems toward healthy diets within planetary boundaries; supports convening, advocacy and evidence-based agendas.</t>
        </is>
      </c>
      <c r="G159" s="46" t="inlineStr">
        <is>
          <t>Cross-border / international</t>
        </is>
      </c>
      <c r="H159" s="47" t="inlineStr">
        <is>
          <t>"Land, Food and Forest"</t>
        </is>
      </c>
      <c r="I159" s="48" t="n"/>
      <c r="J159" s="62" t="n"/>
      <c r="K159" s="62" t="inlineStr">
        <is>
          <t>No biome lens was assigned because Brazil-related work was not mapped here through a stable biome-specific portfolio.</t>
        </is>
      </c>
      <c r="L159" s="62" t="inlineStr">
        <is>
          <t>Technical assistance / research, Strategic partner</t>
        </is>
      </c>
      <c r="M159" s="61" t="inlineStr">
        <is>
          <t>Upstream</t>
        </is>
      </c>
      <c r="N159" s="61" t="inlineStr">
        <is>
          <t>Co-funding partner</t>
        </is>
      </c>
      <c r="O159" s="61" t="inlineStr">
        <is>
          <t>Oslo, Norway</t>
        </is>
      </c>
      <c r="P159" s="61" t="inlineStr">
        <is>
          <t>Donor</t>
        </is>
      </c>
      <c r="Q159" s="61" t="n"/>
      <c r="R159" s="61" t="n"/>
      <c r="S159" s="61" t="n"/>
      <c r="T159" s="61" t="inlineStr">
        <is>
          <t>—</t>
        </is>
      </c>
      <c r="U159" s="67" t="n"/>
      <c r="V159" s="67" t="n"/>
      <c r="W159" s="67" t="n"/>
      <c r="X159" s="67" t="n"/>
      <c r="Y159" s="67" t="n"/>
      <c r="Z159" s="67" t="n"/>
      <c r="AA159" s="67" t="n"/>
      <c r="AB159" s="67" t="n"/>
      <c r="AC159" s="67" t="n"/>
      <c r="AD159" s="67" t="n"/>
      <c r="AE159" s="67" t="n"/>
      <c r="AF159" s="67" t="n"/>
    </row>
    <row r="160">
      <c r="A160" s="67" t="n"/>
      <c r="B160" s="47" t="n">
        <v>154</v>
      </c>
      <c r="C160" s="44" t="inlineStr">
        <is>
          <t>Programa de Sistemas Alimentares da FAO no Brasil (FAO – Food Systems Programme)</t>
        </is>
      </c>
      <c r="D160" s="44" t="inlineStr">
        <is>
          <t>Others</t>
        </is>
      </c>
      <c r="E160" s="62" t="inlineStr">
        <is>
          <t>Multilateral organizations</t>
        </is>
      </c>
      <c r="F160" s="44" t="inlineStr">
        <is>
          <t>FAO programmatic platform supporting countries to design and implement food systems transformation, including policy support, data, capacity building and partnerships for sustainable agrifood systems.</t>
        </is>
      </c>
      <c r="G160" s="46" t="inlineStr">
        <is>
          <t>National</t>
        </is>
      </c>
      <c r="H160" s="47" t="inlineStr">
        <is>
          <t>"Land, Food and Forest"</t>
        </is>
      </c>
      <c r="I160" s="48" t="n"/>
      <c r="J160" s="62" t="n"/>
      <c r="K160" s="62" t="inlineStr">
        <is>
          <t>No biome lens was assigned because the program operated nationally and the mapping did not isolate biome-delimited program lines as a consistent territorial lens.</t>
        </is>
      </c>
      <c r="L160" s="62" t="inlineStr">
        <is>
          <t>Strategic partner, Convenor/enablers, Technical assistance / research</t>
        </is>
      </c>
      <c r="M160" s="61" t="inlineStr">
        <is>
          <t>Midstream</t>
        </is>
      </c>
      <c r="N160" s="61" t="inlineStr">
        <is>
          <t>Strategic partner</t>
        </is>
      </c>
      <c r="O160" s="61" t="inlineStr">
        <is>
          <t>Brasília, DF, Brazil</t>
        </is>
      </c>
      <c r="P160" s="61" t="inlineStr">
        <is>
          <t>Grantee</t>
        </is>
      </c>
      <c r="Q160" s="61" t="n"/>
      <c r="R160" s="61" t="n"/>
      <c r="S160" s="61" t="inlineStr">
        <is>
          <t>Relevant partner for food systems in Brazil.</t>
        </is>
      </c>
      <c r="T160" s="61" t="inlineStr">
        <is>
          <t>—</t>
        </is>
      </c>
      <c r="U160" s="67" t="n"/>
      <c r="V160" s="67" t="n"/>
      <c r="W160" s="67" t="n"/>
      <c r="X160" s="67" t="n"/>
      <c r="Y160" s="67" t="n"/>
      <c r="Z160" s="67" t="n"/>
      <c r="AA160" s="67" t="n"/>
      <c r="AB160" s="67" t="n"/>
      <c r="AC160" s="67" t="n"/>
      <c r="AD160" s="67" t="n"/>
      <c r="AE160" s="67" t="n"/>
      <c r="AF160" s="67" t="n"/>
    </row>
    <row r="161">
      <c r="A161" s="67" t="n"/>
      <c r="B161" s="47" t="n">
        <v>155</v>
      </c>
      <c r="C161" s="44" t="inlineStr">
        <is>
          <t>Serviço Florestal Brasileiro (SFB)</t>
        </is>
      </c>
      <c r="D161" s="44" t="inlineStr">
        <is>
          <t>Public sector</t>
        </is>
      </c>
      <c r="E161" s="62" t="inlineStr">
        <is>
          <t>Monitoring, Evaluation, and Learning</t>
        </is>
      </c>
      <c r="F161" s="44" t="inlineStr">
        <is>
          <t>Federal agency focused on forest governance; contributes via forest information systems, public forest management, concessions frameworks and policies that support sustainable forest use and conservation.</t>
        </is>
      </c>
      <c r="G161" s="46" t="inlineStr">
        <is>
          <t>National</t>
        </is>
      </c>
      <c r="H161" s="47" t="inlineStr">
        <is>
          <t>"Land, Food and Forest"</t>
        </is>
      </c>
      <c r="I161" s="60" t="inlineStr">
        <is>
          <t>Amazonia, Cerrado</t>
        </is>
      </c>
      <c r="J161" s="62" t="inlineStr">
        <is>
          <t>Mata&amp;Atlântica</t>
        </is>
      </c>
      <c r="K161" s="62" t="inlineStr">
        <is>
          <t>It managed public forest governance and concession frameworks that were most visibly associated with Amazonia, while its forest information and management instruments were also applicable to other forest biomes.</t>
        </is>
      </c>
      <c r="L161" s="62" t="inlineStr">
        <is>
          <t>Policy influence / regulation, Data / MRV / platforms</t>
        </is>
      </c>
      <c r="M161" s="61" t="inlineStr">
        <is>
          <t>Upstream</t>
        </is>
      </c>
      <c r="N161" s="61" t="inlineStr">
        <is>
          <t>Strategic partner</t>
        </is>
      </c>
      <c r="O161" s="61" t="inlineStr">
        <is>
          <t>Brasília, DF, Brazil</t>
        </is>
      </c>
      <c r="P161" s="61" t="n"/>
      <c r="Q161" s="61" t="n"/>
      <c r="R161" s="61" t="n"/>
      <c r="S161" s="61" t="n"/>
      <c r="T161" s="62" t="inlineStr">
        <is>
          <t>Forest information systems (SFB/SNIF), public forest monitoring and management data</t>
        </is>
      </c>
      <c r="U161" s="67" t="n"/>
      <c r="V161" s="67" t="n"/>
      <c r="W161" s="67" t="n"/>
      <c r="X161" s="67" t="n"/>
      <c r="Y161" s="67" t="n"/>
      <c r="Z161" s="67" t="n"/>
      <c r="AA161" s="67" t="n"/>
      <c r="AB161" s="67" t="n"/>
      <c r="AC161" s="67" t="n"/>
      <c r="AD161" s="67" t="n"/>
      <c r="AE161" s="67" t="n"/>
      <c r="AF161" s="67" t="n"/>
    </row>
    <row r="162">
      <c r="A162" s="67" t="n"/>
      <c r="B162" s="47" t="n">
        <v>156</v>
      </c>
      <c r="C162" s="44" t="inlineStr">
        <is>
          <t>Klabin</t>
        </is>
      </c>
      <c r="D162" s="44" t="inlineStr">
        <is>
          <t>Private sector</t>
        </is>
      </c>
      <c r="E162" s="62" t="inlineStr">
        <is>
          <t>Private companies (large / leading)</t>
        </is>
      </c>
      <c r="F162" s="44" t="inlineStr">
        <is>
          <t>Integrated forestry, pulp and paper company; contributes through sustainable forest management, restoration, low-carbon products, traceability and biodiversity protection in managed landscapes.</t>
        </is>
      </c>
      <c r="G162" s="46" t="inlineStr">
        <is>
          <t>National</t>
        </is>
      </c>
      <c r="H162" s="47" t="inlineStr">
        <is>
          <t>Buildings &amp; Transport, Energy, "Land, Food and Forest"</t>
        </is>
      </c>
      <c r="I162" s="69" t="inlineStr">
        <is>
          <t>Cerrado</t>
        </is>
      </c>
      <c r="J162" s="62" t="inlineStr">
        <is>
          <t>Mata&amp;Atlântica</t>
        </is>
      </c>
      <c r="K162" s="62" t="inlineStr">
        <is>
          <t>It operated forestry and industrial landscapes predominantly in the Atlantic Forest domain and reported sustainability/restoration efforts tied to these managed territories.</t>
        </is>
      </c>
      <c r="L162" s="62" t="inlineStr">
        <is>
          <t>Strategic partner, Implementation capacity (delivery)</t>
        </is>
      </c>
      <c r="M162" s="61" t="inlineStr">
        <is>
          <t>Downstream</t>
        </is>
      </c>
      <c r="N162" s="61" t="inlineStr">
        <is>
          <t>Co-funding partner</t>
        </is>
      </c>
      <c r="O162" s="61" t="inlineStr">
        <is>
          <t>São Paulo, SP, Brazil</t>
        </is>
      </c>
      <c r="P162" s="61" t="inlineStr">
        <is>
          <t>Donor</t>
        </is>
      </c>
      <c r="Q162" s="61" t="n"/>
      <c r="R162" s="61" t="n"/>
      <c r="S162" s="61" t="n"/>
      <c r="T162" s="61" t="inlineStr">
        <is>
          <t>—</t>
        </is>
      </c>
      <c r="U162" s="67" t="n"/>
      <c r="V162" s="67" t="n"/>
      <c r="W162" s="67" t="n"/>
      <c r="X162" s="67" t="n"/>
      <c r="Y162" s="67" t="n"/>
      <c r="Z162" s="67" t="n"/>
      <c r="AA162" s="67" t="n"/>
      <c r="AB162" s="67" t="n"/>
      <c r="AC162" s="67" t="n"/>
      <c r="AD162" s="67" t="n"/>
      <c r="AE162" s="67" t="n"/>
      <c r="AF162" s="67" t="n"/>
    </row>
    <row r="163">
      <c r="A163" s="67" t="n"/>
      <c r="B163" s="47" t="n">
        <v>157</v>
      </c>
      <c r="C163" s="44" t="inlineStr">
        <is>
          <t>Bracell</t>
        </is>
      </c>
      <c r="D163" s="44" t="inlineStr">
        <is>
          <t>Private sector</t>
        </is>
      </c>
      <c r="E163" s="62" t="inlineStr">
        <is>
          <t>Private companies (large / leading)</t>
        </is>
      </c>
      <c r="F163" s="44" t="inlineStr">
        <is>
          <t>Pulp producer; can support systemic transition via sustainable forestry, restoration, responsible land-use governance, and decarbonization of industrial processes and logistics.</t>
        </is>
      </c>
      <c r="G163" s="46" t="inlineStr">
        <is>
          <t>Cross-border / international</t>
        </is>
      </c>
      <c r="H163" s="47" t="inlineStr">
        <is>
          <t>Buildings &amp; Transport, "Land, Food and Forest"</t>
        </is>
      </c>
      <c r="I163" s="48" t="inlineStr">
        <is>
          <t>Cerrado</t>
        </is>
      </c>
      <c r="J163" s="62" t="n"/>
      <c r="K163" s="62" t="inlineStr">
        <is>
          <t>It operated forestry/industrial assets in areas where Mata Atlântica predominated and it maintained relevant interfaces with Cerrado landscapes through plantations, sourcing and territorial footprints in the Southeast/Northeast.</t>
        </is>
      </c>
      <c r="L163" s="62" t="inlineStr">
        <is>
          <t>Implementation capacity (delivery)</t>
        </is>
      </c>
      <c r="M163" s="61" t="inlineStr">
        <is>
          <t>Downstream</t>
        </is>
      </c>
      <c r="N163" s="61" t="inlineStr">
        <is>
          <t>Co-funding partner</t>
        </is>
      </c>
      <c r="O163" s="61" t="inlineStr">
        <is>
          <t>São Paulo, SP, Brazil</t>
        </is>
      </c>
      <c r="P163" s="61" t="inlineStr">
        <is>
          <t>Donor</t>
        </is>
      </c>
      <c r="Q163" s="61" t="n"/>
      <c r="R163" s="61" t="n"/>
      <c r="S163" s="61" t="n"/>
      <c r="T163" s="61" t="inlineStr">
        <is>
          <t>—</t>
        </is>
      </c>
      <c r="U163" s="67" t="n"/>
      <c r="V163" s="67" t="n"/>
      <c r="W163" s="67" t="n"/>
      <c r="X163" s="67" t="n"/>
      <c r="Y163" s="67" t="n"/>
      <c r="Z163" s="67" t="n"/>
      <c r="AA163" s="67" t="n"/>
      <c r="AB163" s="67" t="n"/>
      <c r="AC163" s="67" t="n"/>
      <c r="AD163" s="67" t="n"/>
      <c r="AE163" s="67" t="n"/>
      <c r="AF163" s="67" t="n"/>
    </row>
    <row r="164">
      <c r="A164" s="67" t="n"/>
      <c r="B164" s="47" t="n">
        <v>158</v>
      </c>
      <c r="C164" s="44" t="inlineStr">
        <is>
          <t>Dexco</t>
        </is>
      </c>
      <c r="D164" s="44" t="inlineStr">
        <is>
          <t>Private sector</t>
        </is>
      </c>
      <c r="E164" s="62" t="inlineStr">
        <is>
          <t>Private companies (large / leading)</t>
        </is>
      </c>
      <c r="F164" s="44" t="inlineStr">
        <is>
          <t>Building materials and wood-based products company; contributes through sustainable forestry inputs, lower-carbon materials, circularity, and responsible sourcing/traceability.</t>
        </is>
      </c>
      <c r="G164" s="46" t="inlineStr">
        <is>
          <t>National</t>
        </is>
      </c>
      <c r="H164" s="47" t="inlineStr">
        <is>
          <t>Buildings &amp; Transport, "Land, Food and Forest"</t>
        </is>
      </c>
      <c r="I164" s="48" t="n"/>
      <c r="J164" s="62" t="n"/>
      <c r="K164" s="62" t="inlineStr">
        <is>
          <t>No biome lens was assigned because the mapping did not confirm a consistent set of publicly identifiable biome-targeted projects beyond general responsible sourcing.</t>
        </is>
      </c>
      <c r="L164" s="62" t="inlineStr">
        <is>
          <t>Implementation capacity (delivery)</t>
        </is>
      </c>
      <c r="M164" s="61" t="inlineStr">
        <is>
          <t>Downstream</t>
        </is>
      </c>
      <c r="N164" s="61" t="inlineStr">
        <is>
          <t>Co-funding partner</t>
        </is>
      </c>
      <c r="O164" s="61" t="inlineStr">
        <is>
          <t>São Paulo, SP, Brazil</t>
        </is>
      </c>
      <c r="P164" s="61" t="inlineStr">
        <is>
          <t>Donor</t>
        </is>
      </c>
      <c r="Q164" s="61" t="n"/>
      <c r="R164" s="61" t="n"/>
      <c r="S164" s="61" t="n"/>
      <c r="T164" s="61" t="inlineStr">
        <is>
          <t>—</t>
        </is>
      </c>
      <c r="U164" s="67" t="n"/>
      <c r="V164" s="67" t="n"/>
      <c r="W164" s="67" t="n"/>
      <c r="X164" s="67" t="n"/>
      <c r="Y164" s="67" t="n"/>
      <c r="Z164" s="67" t="n"/>
      <c r="AA164" s="67" t="n"/>
      <c r="AB164" s="67" t="n"/>
      <c r="AC164" s="67" t="n"/>
      <c r="AD164" s="67" t="n"/>
      <c r="AE164" s="67" t="n"/>
      <c r="AF164" s="67" t="n"/>
    </row>
    <row r="165">
      <c r="A165" s="67" t="n"/>
      <c r="B165" s="47" t="n">
        <v>159</v>
      </c>
      <c r="C165" s="44" t="inlineStr">
        <is>
          <t>Suzano Ventures</t>
        </is>
      </c>
      <c r="D165" s="44" t="inlineStr">
        <is>
          <t>Private sector</t>
        </is>
      </c>
      <c r="E165" s="62" t="inlineStr">
        <is>
          <t>Impact investors</t>
        </is>
      </c>
      <c r="F165" s="44" t="inlineStr">
        <is>
          <t>Corporate venture capital arm; can accelerate transition by investing in and scaling innovations in bioeconomy, sustainable materials, decarbonization and nature-positive solutions.</t>
        </is>
      </c>
      <c r="G165" s="46" t="inlineStr">
        <is>
          <t>National</t>
        </is>
      </c>
      <c r="H165" s="47" t="inlineStr">
        <is>
          <t>Buildings &amp; Transport, Energy, "Land, Food and Forest"</t>
        </is>
      </c>
      <c r="I165" s="48" t="n"/>
      <c r="J165" s="62" t="n"/>
      <c r="K165" s="62" t="inlineStr">
        <is>
          <t>No biome lens was assigned because investment theses were thematic/technology-based and were not reported as a biome-delimited operational portfolio.</t>
        </is>
      </c>
      <c r="L165" s="62" t="inlineStr">
        <is>
          <t>Capital provider / Financial intermediary</t>
        </is>
      </c>
      <c r="M165" s="61" t="inlineStr">
        <is>
          <t>Midstream</t>
        </is>
      </c>
      <c r="N165" s="61" t="inlineStr">
        <is>
          <t>Co-funding partner</t>
        </is>
      </c>
      <c r="O165" s="61" t="inlineStr">
        <is>
          <t>São Paulo, SP, Brazil</t>
        </is>
      </c>
      <c r="P165" s="61" t="inlineStr">
        <is>
          <t>Re-granter</t>
        </is>
      </c>
      <c r="Q165" s="61" t="n"/>
      <c r="R165" s="61" t="n"/>
      <c r="S165" s="61" t="n"/>
      <c r="T165" s="61" t="inlineStr">
        <is>
          <t>—</t>
        </is>
      </c>
      <c r="U165" s="67" t="n"/>
      <c r="V165" s="67" t="n"/>
      <c r="W165" s="67" t="n"/>
      <c r="X165" s="67" t="n"/>
      <c r="Y165" s="67" t="n"/>
      <c r="Z165" s="67" t="n"/>
      <c r="AA165" s="67" t="n"/>
      <c r="AB165" s="67" t="n"/>
      <c r="AC165" s="67" t="n"/>
      <c r="AD165" s="67" t="n"/>
      <c r="AE165" s="67" t="n"/>
      <c r="AF165" s="67" t="n"/>
    </row>
    <row r="166">
      <c r="A166" s="67" t="n"/>
      <c r="B166" s="47" t="n">
        <v>160</v>
      </c>
      <c r="C166" s="44" t="inlineStr">
        <is>
          <t>Rainforest Alliance</t>
        </is>
      </c>
      <c r="D166" s="44" t="inlineStr">
        <is>
          <t>Civil Society Organization (CSO)</t>
        </is>
      </c>
      <c r="E166" s="62" t="inlineStr">
        <is>
          <t xml:space="preserve">Alliances </t>
        </is>
      </c>
      <c r="F166" s="44" t="inlineStr">
        <is>
          <t>International NGO that works to conserve forests and biodiversity and improve livelihoods by transforming land-use supply chains through standards/certification, traceability, technical assistance and partnerships.</t>
        </is>
      </c>
      <c r="G166" s="46" t="inlineStr">
        <is>
          <t>Cross-border / international</t>
        </is>
      </c>
      <c r="H166" s="47" t="inlineStr">
        <is>
          <t>"Land, Food and Forest"</t>
        </is>
      </c>
      <c r="I166" s="60" t="inlineStr">
        <is>
          <t>Amazonia, Cerrado</t>
        </is>
      </c>
      <c r="J166" s="62" t="inlineStr">
        <is>
          <t>Mata&amp;Atlântica</t>
        </is>
      </c>
      <c r="K166" s="62" t="inlineStr">
        <is>
          <t>It operated certification and supply-chain transformation that were commonly linked to forest-risk commodities and landscapes in Amazonia and Mata Atlântica, and it also covered Cerrado-linked agricultural supply chains through standards and verification.</t>
        </is>
      </c>
      <c r="L166" s="62" t="inlineStr">
        <is>
          <t>Technical assistance / research, Project developer / Implementer</t>
        </is>
      </c>
      <c r="M166" s="61" t="inlineStr">
        <is>
          <t>Midstream</t>
        </is>
      </c>
      <c r="N166" s="61" t="inlineStr">
        <is>
          <t>Grant recipient</t>
        </is>
      </c>
      <c r="O166" s="61" t="inlineStr">
        <is>
          <t>São Paulo, SP, Brazil</t>
        </is>
      </c>
      <c r="P166" s="61" t="inlineStr">
        <is>
          <t>Grantee</t>
        </is>
      </c>
      <c r="Q166" s="61" t="n"/>
      <c r="R166" s="61" t="n"/>
      <c r="S166" s="61" t="n"/>
      <c r="T166" s="61" t="inlineStr">
        <is>
          <t>—</t>
        </is>
      </c>
      <c r="U166" s="67" t="n"/>
      <c r="V166" s="67" t="n"/>
      <c r="W166" s="67" t="n"/>
      <c r="X166" s="67" t="n"/>
      <c r="Y166" s="67" t="n"/>
      <c r="Z166" s="67" t="n"/>
      <c r="AA166" s="67" t="n"/>
      <c r="AB166" s="67" t="n"/>
      <c r="AC166" s="67" t="n"/>
      <c r="AD166" s="67" t="n"/>
      <c r="AE166" s="67" t="n"/>
      <c r="AF166" s="67" t="n"/>
    </row>
    <row r="167">
      <c r="A167" s="67" t="n"/>
      <c r="B167" s="47" t="n">
        <v>161</v>
      </c>
      <c r="C167" s="44" t="inlineStr">
        <is>
          <t>Forest Trends</t>
        </is>
      </c>
      <c r="D167" s="44" t="inlineStr">
        <is>
          <t>Civil Society Organization (CSO)</t>
        </is>
      </c>
      <c r="E167" s="62" t="inlineStr">
        <is>
          <t>Monitoring, Evaluation, and Learning</t>
        </is>
      </c>
      <c r="F167" s="44" t="inlineStr">
        <is>
          <t>Non-profit organization that generates data and analysis on forests, ecosystem services and finance, supporting transparency and better market/policy mechanisms to reduce deforestation and scale nature-positive investment.</t>
        </is>
      </c>
      <c r="G167" s="46" t="inlineStr">
        <is>
          <t>Cross-border / international</t>
        </is>
      </c>
      <c r="H167" s="47" t="inlineStr">
        <is>
          <t>"Land, Food and Forest"</t>
        </is>
      </c>
      <c r="I167" s="60" t="inlineStr">
        <is>
          <t>Amazonia, Cerrado</t>
        </is>
      </c>
      <c r="J167" s="68" t="n"/>
      <c r="K167" s="62" t="inlineStr">
        <is>
          <t>It produced deforestation and forest-finance transparency work that, in Brazil, was most consistently framed around Amazonia and Cerrado commodity frontiers.</t>
        </is>
      </c>
      <c r="L167" s="62" t="inlineStr">
        <is>
          <t>Technical assistance / research, Policy influence / regulation</t>
        </is>
      </c>
      <c r="M167" s="61" t="inlineStr">
        <is>
          <t>Midstream</t>
        </is>
      </c>
      <c r="N167" s="61" t="inlineStr">
        <is>
          <t>Grant recipient</t>
        </is>
      </c>
      <c r="O167" s="61" t="inlineStr">
        <is>
          <t>Washington, DC, USA</t>
        </is>
      </c>
      <c r="P167" s="61" t="inlineStr">
        <is>
          <t>Grantee</t>
        </is>
      </c>
      <c r="Q167" s="61" t="n"/>
      <c r="R167" s="61" t="n"/>
      <c r="S167" s="61" t="n"/>
      <c r="T167" s="62" t="inlineStr">
        <is>
          <t>Forest finance and ecosystem services data, market transparency and MRV for nature-based outcomes</t>
        </is>
      </c>
      <c r="U167" s="67" t="n"/>
      <c r="V167" s="67" t="n"/>
      <c r="W167" s="67" t="n"/>
      <c r="X167" s="67" t="n"/>
      <c r="Y167" s="67" t="n"/>
      <c r="Z167" s="67" t="n"/>
      <c r="AA167" s="67" t="n"/>
      <c r="AB167" s="67" t="n"/>
      <c r="AC167" s="67" t="n"/>
      <c r="AD167" s="67" t="n"/>
      <c r="AE167" s="67" t="n"/>
      <c r="AF167" s="67" t="n"/>
    </row>
    <row r="168">
      <c r="A168" s="67" t="n"/>
      <c r="B168" s="47" t="n">
        <v>162</v>
      </c>
      <c r="C168" s="44" t="inlineStr">
        <is>
          <t>Earth Innovation Institute</t>
        </is>
      </c>
      <c r="D168" s="44" t="inlineStr">
        <is>
          <t>Civil Society Organization (CSO)</t>
        </is>
      </c>
      <c r="E168" s="62" t="inlineStr">
        <is>
          <t>Think tanks</t>
        </is>
      </c>
      <c r="F168" s="44" t="inlineStr">
        <is>
          <t>Non-profit research and innovation institute focused on reducing deforestation and accelerating low-carbon rural development through policy support, territorial strategies and partnerships with governments, producers and civil society.</t>
        </is>
      </c>
      <c r="G168" s="46" t="inlineStr">
        <is>
          <t>Cross-border / international</t>
        </is>
      </c>
      <c r="H168" s="47" t="inlineStr">
        <is>
          <t>"Land, Food and Forest"</t>
        </is>
      </c>
      <c r="I168" s="60" t="inlineStr">
        <is>
          <t>Amazonia, Cerrado</t>
        </is>
      </c>
      <c r="J168" s="62" t="n"/>
      <c r="K168" s="62" t="inlineStr">
        <is>
          <t>It implemented deforestation-reduction and rural low-carbon strategies centered on Amazonia and it also worked on transition dynamics in the Amazonia–Cerrado interface.</t>
        </is>
      </c>
      <c r="L168" s="62" t="inlineStr">
        <is>
          <t>Technical assistance / research, Policy influence / regulation</t>
        </is>
      </c>
      <c r="M168" s="61" t="inlineStr">
        <is>
          <t>Upstream</t>
        </is>
      </c>
      <c r="N168" s="61" t="inlineStr">
        <is>
          <t>Grant recipient</t>
        </is>
      </c>
      <c r="O168" s="61" t="inlineStr">
        <is>
          <t>São Paulo, SP, Brazil</t>
        </is>
      </c>
      <c r="P168" s="61" t="inlineStr">
        <is>
          <t>Grantee</t>
        </is>
      </c>
      <c r="Q168" s="61" t="n"/>
      <c r="R168" s="61" t="n"/>
      <c r="S168" s="61" t="n"/>
      <c r="T168" s="61" t="inlineStr">
        <is>
          <t>—</t>
        </is>
      </c>
      <c r="U168" s="67" t="n"/>
      <c r="V168" s="67" t="n"/>
      <c r="W168" s="67" t="n"/>
      <c r="X168" s="67" t="n"/>
      <c r="Y168" s="67" t="n"/>
      <c r="Z168" s="67" t="n"/>
      <c r="AA168" s="67" t="n"/>
      <c r="AB168" s="67" t="n"/>
      <c r="AC168" s="67" t="n"/>
      <c r="AD168" s="67" t="n"/>
      <c r="AE168" s="67" t="n"/>
      <c r="AF168" s="67" t="n"/>
    </row>
    <row r="169">
      <c r="A169" s="67" t="n"/>
      <c r="B169" s="47" t="n">
        <v>163</v>
      </c>
      <c r="C169" s="44" t="inlineStr">
        <is>
          <t>Bezos Earth Fund</t>
        </is>
      </c>
      <c r="D169" s="44" t="inlineStr">
        <is>
          <t>Funders</t>
        </is>
      </c>
      <c r="E169" s="62" t="inlineStr">
        <is>
          <t>Philanthropy foundations</t>
        </is>
      </c>
      <c r="F169" s="44" t="inlineStr">
        <is>
          <t>Philanthropic fund that provides large-scale grants to address climate change and protect nature, supporting high-impact initiatives across mitigation, conservation and environmental justice.</t>
        </is>
      </c>
      <c r="G169" s="46" t="inlineStr">
        <is>
          <t>Cross-border / international</t>
        </is>
      </c>
      <c r="H169" s="47" t="inlineStr">
        <is>
          <t>Buildings &amp; Transport, Emergency response, Energy, "Land, Food and Forest"</t>
        </is>
      </c>
      <c r="I169" s="48" t="n"/>
      <c r="J169" s="62" t="n"/>
      <c r="K169" s="62" t="inlineStr">
        <is>
          <t>No biome lens was assigned because the mapping did not confirm a Brazil grant portfolio explicitly structured by biome-specific initiatives.</t>
        </is>
      </c>
      <c r="L169" s="62" t="inlineStr">
        <is>
          <t>Funder, Strategic partner</t>
        </is>
      </c>
      <c r="M169" s="61" t="inlineStr">
        <is>
          <t>Upstream</t>
        </is>
      </c>
      <c r="N169" s="61" t="inlineStr">
        <is>
          <t>Co-funding partner</t>
        </is>
      </c>
      <c r="O169" s="61" t="inlineStr">
        <is>
          <t>Seattle, WA, USA</t>
        </is>
      </c>
      <c r="P169" s="61" t="inlineStr">
        <is>
          <t>Donor</t>
        </is>
      </c>
      <c r="Q169" s="61" t="n"/>
      <c r="R169" s="61" t="n"/>
      <c r="S169" s="61" t="n"/>
      <c r="T169" s="61" t="inlineStr">
        <is>
          <t>—</t>
        </is>
      </c>
      <c r="U169" s="67" t="n"/>
      <c r="V169" s="67" t="n"/>
      <c r="W169" s="67" t="n"/>
      <c r="X169" s="67" t="n"/>
      <c r="Y169" s="67" t="n"/>
      <c r="Z169" s="67" t="n"/>
      <c r="AA169" s="67" t="n"/>
      <c r="AB169" s="67" t="n"/>
      <c r="AC169" s="67" t="n"/>
      <c r="AD169" s="67" t="n"/>
      <c r="AE169" s="67" t="n"/>
      <c r="AF169" s="67" t="n"/>
    </row>
    <row r="170">
      <c r="A170" s="67" t="n"/>
      <c r="B170" s="47" t="n">
        <v>164</v>
      </c>
      <c r="C170" s="44" t="inlineStr">
        <is>
          <t>Bloomberg Philanthropies</t>
        </is>
      </c>
      <c r="D170" s="44" t="inlineStr">
        <is>
          <t>Funders</t>
        </is>
      </c>
      <c r="E170" s="62" t="inlineStr">
        <is>
          <t>Philanthropy foundations</t>
        </is>
      </c>
      <c r="F170" s="44" t="inlineStr">
        <is>
          <t>Philanthropic organization that funds public health, cities, climate and governance initiatives; supports coalitions and policy implementation to accelerate decarbonization and improve urban resilience.</t>
        </is>
      </c>
      <c r="G170" s="46" t="inlineStr">
        <is>
          <t>Cross-border / international</t>
        </is>
      </c>
      <c r="H170" s="47" t="inlineStr">
        <is>
          <t>Buildings &amp; Transport, Emergency response, Energy, "Land, Food and Forest"</t>
        </is>
      </c>
      <c r="I170" s="48" t="n"/>
      <c r="J170" s="62" t="n"/>
      <c r="K170" s="62" t="inlineStr">
        <is>
          <t>No biome lens was assigned because the mapped work was policy/cities-oriented and was not organized using Brazilian biomes as the primary territorial cut.</t>
        </is>
      </c>
      <c r="L170" s="62" t="inlineStr">
        <is>
          <t>Funder, Strategic partner</t>
        </is>
      </c>
      <c r="M170" s="61" t="inlineStr">
        <is>
          <t>Upstream</t>
        </is>
      </c>
      <c r="N170" s="61" t="inlineStr">
        <is>
          <t>Co-funding partner</t>
        </is>
      </c>
      <c r="O170" s="61" t="inlineStr">
        <is>
          <t>New York, NY, USA</t>
        </is>
      </c>
      <c r="P170" s="61" t="inlineStr">
        <is>
          <t>Donor</t>
        </is>
      </c>
      <c r="Q170" s="61" t="n"/>
      <c r="R170" s="61" t="n"/>
      <c r="S170" s="61" t="inlineStr">
        <is>
          <t>Funding  sustainable cities in Brazil</t>
        </is>
      </c>
      <c r="T170" s="61" t="inlineStr">
        <is>
          <t>—</t>
        </is>
      </c>
      <c r="U170" s="67" t="n"/>
      <c r="V170" s="67" t="n"/>
      <c r="W170" s="67" t="n"/>
      <c r="X170" s="67" t="n"/>
      <c r="Y170" s="67" t="n"/>
      <c r="Z170" s="67" t="n"/>
      <c r="AA170" s="67" t="n"/>
      <c r="AB170" s="67" t="n"/>
      <c r="AC170" s="67" t="n"/>
      <c r="AD170" s="67" t="n"/>
      <c r="AE170" s="67" t="n"/>
      <c r="AF170" s="67" t="n"/>
    </row>
    <row r="171">
      <c r="A171" s="67" t="n"/>
      <c r="B171" s="47" t="n">
        <v>165</v>
      </c>
      <c r="C171" s="44" t="inlineStr">
        <is>
          <t>Laudes Foundation</t>
        </is>
      </c>
      <c r="D171" s="44" t="inlineStr">
        <is>
          <t>Funders</t>
        </is>
      </c>
      <c r="E171" s="62" t="inlineStr">
        <is>
          <t>Philanthropy foundations</t>
        </is>
      </c>
      <c r="F171" s="44" t="inlineStr">
        <is>
          <t>Foundation focused on transforming key economic systems (e.g., built environment, industry, finance) to deliver climate action and a just transition through grants, partnerships and market-shaping initiatives.</t>
        </is>
      </c>
      <c r="G171" s="46" t="inlineStr">
        <is>
          <t>Cross-border / international</t>
        </is>
      </c>
      <c r="H171" s="47" t="inlineStr">
        <is>
          <t>Buildings &amp; Transport, Energy</t>
        </is>
      </c>
      <c r="I171" s="48" t="n"/>
      <c r="J171" s="62" t="n"/>
      <c r="K171" s="62" t="inlineStr">
        <is>
          <t>No biome lens was assigned because the mapped strategy was sector/system-based and did not rely on biome-targeted program lines.</t>
        </is>
      </c>
      <c r="L171" s="62" t="inlineStr">
        <is>
          <t>Funder, Strategic partner</t>
        </is>
      </c>
      <c r="M171" s="61" t="inlineStr">
        <is>
          <t>Upstream</t>
        </is>
      </c>
      <c r="N171" s="61" t="inlineStr">
        <is>
          <t>Co-funding partner</t>
        </is>
      </c>
      <c r="O171" s="61" t="inlineStr">
        <is>
          <t>São Paulo, SP, Brazil</t>
        </is>
      </c>
      <c r="P171" s="61" t="inlineStr">
        <is>
          <t>Donor</t>
        </is>
      </c>
      <c r="Q171" s="61" t="n"/>
      <c r="R171" s="61" t="n"/>
      <c r="S171" s="61" t="n"/>
      <c r="T171" s="61" t="inlineStr">
        <is>
          <t>—</t>
        </is>
      </c>
      <c r="U171" s="67" t="n"/>
      <c r="V171" s="67" t="n"/>
      <c r="W171" s="67" t="n"/>
      <c r="X171" s="67" t="n"/>
      <c r="Y171" s="67" t="n"/>
      <c r="Z171" s="67" t="n"/>
      <c r="AA171" s="67" t="n"/>
      <c r="AB171" s="67" t="n"/>
      <c r="AC171" s="67" t="n"/>
      <c r="AD171" s="67" t="n"/>
      <c r="AE171" s="67" t="n"/>
      <c r="AF171" s="67" t="n"/>
    </row>
    <row r="172">
      <c r="A172" s="67" t="n"/>
      <c r="B172" s="47" t="n">
        <v>166</v>
      </c>
      <c r="C172" s="44" t="inlineStr">
        <is>
          <t>Skoll Foundation</t>
        </is>
      </c>
      <c r="D172" s="44" t="inlineStr">
        <is>
          <t>Funders</t>
        </is>
      </c>
      <c r="E172" s="62" t="inlineStr">
        <is>
          <t>Philanthropy foundations</t>
        </is>
      </c>
      <c r="F172" s="44" t="inlineStr">
        <is>
          <t>Foundation that supports social entrepreneurs and systems change initiatives, providing funding and networks to scale solutions to major social and environmental challenges.</t>
        </is>
      </c>
      <c r="G172" s="46" t="inlineStr">
        <is>
          <t>Cross-border / international</t>
        </is>
      </c>
      <c r="H172" s="47" t="inlineStr">
        <is>
          <t>Buildings &amp; Transport, Emergency response, Energy, "Land, Food and Forest"</t>
        </is>
      </c>
      <c r="I172" s="48" t="n"/>
      <c r="J172" s="62" t="n"/>
      <c r="K172" s="62" t="inlineStr">
        <is>
          <t>No biome lens was assigned because Brazil-related support was not mapped here through explicit biome-delimited initiatives.</t>
        </is>
      </c>
      <c r="L172" s="62" t="inlineStr">
        <is>
          <t>Funder, Strategic partner</t>
        </is>
      </c>
      <c r="M172" s="61" t="inlineStr">
        <is>
          <t>Upstream</t>
        </is>
      </c>
      <c r="N172" s="61" t="inlineStr">
        <is>
          <t>Co-funding partner</t>
        </is>
      </c>
      <c r="O172" s="61" t="inlineStr">
        <is>
          <t>Palo Alto, CA, USA</t>
        </is>
      </c>
      <c r="P172" s="61" t="inlineStr">
        <is>
          <t>Donor</t>
        </is>
      </c>
      <c r="Q172" s="61" t="n"/>
      <c r="R172" s="61" t="n"/>
      <c r="S172" s="61" t="inlineStr">
        <is>
          <t>Funding SIB  ecossytem in Brazil.</t>
        </is>
      </c>
      <c r="T172" s="61" t="inlineStr">
        <is>
          <t>—</t>
        </is>
      </c>
      <c r="U172" s="67" t="n"/>
      <c r="V172" s="67" t="n"/>
      <c r="W172" s="67" t="n"/>
      <c r="X172" s="67" t="n"/>
      <c r="Y172" s="67" t="n"/>
      <c r="Z172" s="67" t="n"/>
      <c r="AA172" s="67" t="n"/>
      <c r="AB172" s="67" t="n"/>
      <c r="AC172" s="67" t="n"/>
      <c r="AD172" s="67" t="n"/>
      <c r="AE172" s="67" t="n"/>
      <c r="AF172" s="67" t="n"/>
    </row>
    <row r="173">
      <c r="A173" s="67" t="n"/>
      <c r="B173" s="47" t="n">
        <v>167</v>
      </c>
      <c r="C173" s="44" t="inlineStr">
        <is>
          <t>Walton Family Foundation</t>
        </is>
      </c>
      <c r="D173" s="44" t="inlineStr">
        <is>
          <t>Funders</t>
        </is>
      </c>
      <c r="E173" s="62" t="inlineStr">
        <is>
          <t>Philanthropy foundations</t>
        </is>
      </c>
      <c r="F173" s="44" t="inlineStr">
        <is>
          <t>Grantmaking foundation that supports environmental conservation (including oceans and rivers), education and community development, funding long-term strategies and policy-oriented initiatives.</t>
        </is>
      </c>
      <c r="G173" s="46" t="inlineStr">
        <is>
          <t>Cross-border / international</t>
        </is>
      </c>
      <c r="H173" s="47" t="inlineStr">
        <is>
          <t>"Land, Food and Forest"</t>
        </is>
      </c>
      <c r="I173" s="48" t="n"/>
      <c r="J173" s="62" t="n"/>
      <c r="K173" s="62" t="inlineStr">
        <is>
          <t>No biome lens was assigned because the mapping did not identify Brazil projects clearly tied to specific biomes in a consistent way.</t>
        </is>
      </c>
      <c r="L173" s="62" t="inlineStr">
        <is>
          <t>Funder, Strategic partner</t>
        </is>
      </c>
      <c r="M173" s="61" t="inlineStr">
        <is>
          <t>Upstream</t>
        </is>
      </c>
      <c r="N173" s="61" t="inlineStr">
        <is>
          <t>Co-funding partner</t>
        </is>
      </c>
      <c r="O173" s="61" t="inlineStr">
        <is>
          <t>Bentonville, AR, USA</t>
        </is>
      </c>
      <c r="P173" s="61" t="inlineStr">
        <is>
          <t>Donor</t>
        </is>
      </c>
      <c r="Q173" s="61" t="n"/>
      <c r="R173" s="61" t="n"/>
      <c r="S173" s="61" t="n"/>
      <c r="T173" s="61" t="inlineStr">
        <is>
          <t>—</t>
        </is>
      </c>
      <c r="U173" s="67" t="n"/>
      <c r="V173" s="67" t="n"/>
      <c r="W173" s="67" t="n"/>
      <c r="X173" s="67" t="n"/>
      <c r="Y173" s="67" t="n"/>
      <c r="Z173" s="67" t="n"/>
      <c r="AA173" s="67" t="n"/>
      <c r="AB173" s="67" t="n"/>
      <c r="AC173" s="67" t="n"/>
      <c r="AD173" s="67" t="n"/>
      <c r="AE173" s="67" t="n"/>
      <c r="AF173" s="67" t="n"/>
    </row>
    <row r="174">
      <c r="A174" s="67" t="n"/>
      <c r="B174" s="47" t="n">
        <v>168</v>
      </c>
      <c r="C174" s="44" t="inlineStr">
        <is>
          <t>Blue Moon Fund</t>
        </is>
      </c>
      <c r="D174" s="44" t="inlineStr">
        <is>
          <t>Funders</t>
        </is>
      </c>
      <c r="E174" s="62" t="inlineStr">
        <is>
          <t>Philanthropy foundations</t>
        </is>
      </c>
      <c r="F174" s="44" t="inlineStr">
        <is>
          <t>Philanthropic organization supporting environmental and climate solutions; provides grants to protect ecosystems and strengthen policies and civil society capacity for systemic change.</t>
        </is>
      </c>
      <c r="G174" s="46" t="inlineStr">
        <is>
          <t>Cross-border / international</t>
        </is>
      </c>
      <c r="H174" s="47" t="inlineStr">
        <is>
          <t>Energy, "Land, Food and Forest"</t>
        </is>
      </c>
      <c r="I174" s="48" t="n"/>
      <c r="J174" s="62" t="n"/>
      <c r="K174" s="62" t="inlineStr">
        <is>
          <t>No biome lens was assigned because the mapping did not confirm a Brazil portfolio with biome-delimited programmatic focus.</t>
        </is>
      </c>
      <c r="L174" s="62" t="inlineStr">
        <is>
          <t>Funder</t>
        </is>
      </c>
      <c r="M174" s="61" t="inlineStr">
        <is>
          <t>Upstream</t>
        </is>
      </c>
      <c r="N174" s="61" t="inlineStr">
        <is>
          <t>Co-funding partner</t>
        </is>
      </c>
      <c r="O174" s="61" t="inlineStr">
        <is>
          <t>Charlottesville, VA, USA</t>
        </is>
      </c>
      <c r="P174" s="61" t="inlineStr">
        <is>
          <t>Donor</t>
        </is>
      </c>
      <c r="Q174" s="61" t="n"/>
      <c r="R174" s="61" t="n"/>
      <c r="S174" s="61" t="n"/>
      <c r="T174" s="61" t="inlineStr">
        <is>
          <t>—</t>
        </is>
      </c>
      <c r="U174" s="67" t="n"/>
      <c r="V174" s="67" t="n"/>
      <c r="W174" s="67" t="n"/>
      <c r="X174" s="67" t="n"/>
      <c r="Y174" s="67" t="n"/>
      <c r="Z174" s="67" t="n"/>
      <c r="AA174" s="67" t="n"/>
      <c r="AB174" s="67" t="n"/>
      <c r="AC174" s="67" t="n"/>
      <c r="AD174" s="67" t="n"/>
      <c r="AE174" s="67" t="n"/>
      <c r="AF174" s="67" t="n"/>
    </row>
    <row r="175">
      <c r="A175" s="67" t="n"/>
      <c r="B175" s="47" t="n">
        <v>169</v>
      </c>
      <c r="C175" s="44" t="inlineStr">
        <is>
          <t>Rainforest Trust</t>
        </is>
      </c>
      <c r="D175" s="44" t="inlineStr">
        <is>
          <t>Funders</t>
        </is>
      </c>
      <c r="E175" s="62" t="inlineStr">
        <is>
          <t>Philanthropy foundations</t>
        </is>
      </c>
      <c r="F175" s="44" t="inlineStr">
        <is>
          <t>Conservation charity that funds the creation and expansion of protected areas and safeguards critical habitats, enabling biodiversity protection through partnerships with local organizations.</t>
        </is>
      </c>
      <c r="G175" s="46" t="inlineStr">
        <is>
          <t>Cross-border / international</t>
        </is>
      </c>
      <c r="H175" s="47" t="inlineStr">
        <is>
          <t>"Land, Food and Forest"</t>
        </is>
      </c>
      <c r="I175" s="48" t="n"/>
      <c r="J175" s="62" t="n"/>
      <c r="K175" s="62" t="inlineStr">
        <is>
          <t>No biome lens was assigned because specific Brazil protected-area actions were not identified here with a stable biome cut for classification.</t>
        </is>
      </c>
      <c r="L175" s="62" t="inlineStr">
        <is>
          <t>Funder, Project developer / Implementer</t>
        </is>
      </c>
      <c r="M175" s="61" t="inlineStr">
        <is>
          <t>Upstream</t>
        </is>
      </c>
      <c r="N175" s="61" t="inlineStr">
        <is>
          <t>Co-funding partner</t>
        </is>
      </c>
      <c r="O175" s="61" t="inlineStr">
        <is>
          <t>Warrenton, VA, USA</t>
        </is>
      </c>
      <c r="P175" s="61" t="inlineStr">
        <is>
          <t>Donor</t>
        </is>
      </c>
      <c r="Q175" s="61" t="n"/>
      <c r="R175" s="61" t="n"/>
      <c r="S175" s="61" t="n"/>
      <c r="T175" s="61" t="inlineStr">
        <is>
          <t>—</t>
        </is>
      </c>
      <c r="U175" s="67" t="n"/>
      <c r="V175" s="67" t="n"/>
      <c r="W175" s="67" t="n"/>
      <c r="X175" s="67" t="n"/>
      <c r="Y175" s="67" t="n"/>
      <c r="Z175" s="67" t="n"/>
      <c r="AA175" s="67" t="n"/>
      <c r="AB175" s="67" t="n"/>
      <c r="AC175" s="67" t="n"/>
      <c r="AD175" s="67" t="n"/>
      <c r="AE175" s="67" t="n"/>
      <c r="AF175" s="67" t="n"/>
    </row>
    <row r="176">
      <c r="A176" s="67" t="n"/>
      <c r="B176" s="47" t="n">
        <v>170</v>
      </c>
      <c r="C176" s="44" t="inlineStr">
        <is>
          <t>John D. and Catherine T. MacArthur Foundation (MacArthur Foundation)</t>
        </is>
      </c>
      <c r="D176" s="44" t="inlineStr">
        <is>
          <t>Funders</t>
        </is>
      </c>
      <c r="E176" s="62" t="inlineStr">
        <is>
          <t>Philanthropy foundations</t>
        </is>
      </c>
      <c r="F176" s="44" t="inlineStr">
        <is>
          <t>International grantmaking foundation that supports systemic solutions across areas such as climate, justice and effective institutions, funding organizations and coalitions for long-term change.</t>
        </is>
      </c>
      <c r="G176" s="46" t="inlineStr">
        <is>
          <t>Cross-border / international</t>
        </is>
      </c>
      <c r="H176" s="47" t="inlineStr">
        <is>
          <t>Buildings &amp; Transport, Emergency response, Energy, "Land, Food and Forest"</t>
        </is>
      </c>
      <c r="I176" s="48" t="n"/>
      <c r="J176" s="62" t="n"/>
      <c r="K176" s="62" t="inlineStr">
        <is>
          <t>No biome lens was assigned because the mapping did not confirm biome-specific Brazil initiatives as a consistent portfolio lens.</t>
        </is>
      </c>
      <c r="L176" s="62" t="inlineStr">
        <is>
          <t>Funder, Strategic partner</t>
        </is>
      </c>
      <c r="M176" s="61" t="inlineStr">
        <is>
          <t>Upstream</t>
        </is>
      </c>
      <c r="N176" s="61" t="inlineStr">
        <is>
          <t>Co-funding partner</t>
        </is>
      </c>
      <c r="O176" s="61" t="inlineStr">
        <is>
          <t>Chicago, IL, USA</t>
        </is>
      </c>
      <c r="P176" s="61" t="inlineStr">
        <is>
          <t>Donor</t>
        </is>
      </c>
      <c r="Q176" s="61" t="n"/>
      <c r="R176" s="61" t="n"/>
      <c r="S176" s="61" t="n"/>
      <c r="T176" s="61" t="inlineStr">
        <is>
          <t>—</t>
        </is>
      </c>
      <c r="U176" s="67" t="n"/>
      <c r="V176" s="67" t="n"/>
      <c r="W176" s="67" t="n"/>
      <c r="X176" s="67" t="n"/>
      <c r="Y176" s="67" t="n"/>
      <c r="Z176" s="67" t="n"/>
      <c r="AA176" s="67" t="n"/>
      <c r="AB176" s="67" t="n"/>
      <c r="AC176" s="67" t="n"/>
      <c r="AD176" s="67" t="n"/>
      <c r="AE176" s="67" t="n"/>
      <c r="AF176" s="67" t="n"/>
    </row>
    <row r="177">
      <c r="A177" s="67" t="n"/>
      <c r="B177" s="47" t="n">
        <v>171</v>
      </c>
      <c r="C177" s="44" t="inlineStr">
        <is>
          <t>Rockefeller Brothers Fund</t>
        </is>
      </c>
      <c r="D177" s="44" t="inlineStr">
        <is>
          <t>Funders</t>
        </is>
      </c>
      <c r="E177" s="62" t="inlineStr">
        <is>
          <t>Philanthropy foundations</t>
        </is>
      </c>
      <c r="F177" s="44" t="inlineStr">
        <is>
          <t>Foundation supporting democratic practice, economic fairness and sustainable development; funds climate and energy transition work, including policy and movement-building for systemic change.</t>
        </is>
      </c>
      <c r="G177" s="46" t="inlineStr">
        <is>
          <t>Cross-border / international</t>
        </is>
      </c>
      <c r="H177" s="47" t="inlineStr">
        <is>
          <t>Buildings &amp; Transport, Emergency response, Energy, "Land, Food and Forest"</t>
        </is>
      </c>
      <c r="I177" s="48" t="n"/>
      <c r="J177" s="62" t="n"/>
      <c r="K177" s="62" t="inlineStr">
        <is>
          <t>No biome lens was assigned because Brazil-related work was not mapped here through biome-delimited projects.</t>
        </is>
      </c>
      <c r="L177" s="62" t="inlineStr">
        <is>
          <t>Funder, Strategic partner</t>
        </is>
      </c>
      <c r="M177" s="61" t="inlineStr">
        <is>
          <t>Upstream</t>
        </is>
      </c>
      <c r="N177" s="61" t="inlineStr">
        <is>
          <t>Co-funding partner</t>
        </is>
      </c>
      <c r="O177" s="61" t="inlineStr">
        <is>
          <t>New York, NY, USA</t>
        </is>
      </c>
      <c r="P177" s="61" t="inlineStr">
        <is>
          <t>Donor</t>
        </is>
      </c>
      <c r="Q177" s="61" t="n"/>
      <c r="R177" s="61" t="n"/>
      <c r="S177" s="61" t="n"/>
      <c r="T177" s="61" t="inlineStr">
        <is>
          <t>—</t>
        </is>
      </c>
      <c r="U177" s="67" t="n"/>
      <c r="V177" s="67" t="n"/>
      <c r="W177" s="67" t="n"/>
      <c r="X177" s="67" t="n"/>
      <c r="Y177" s="67" t="n"/>
      <c r="Z177" s="67" t="n"/>
      <c r="AA177" s="67" t="n"/>
      <c r="AB177" s="67" t="n"/>
      <c r="AC177" s="67" t="n"/>
      <c r="AD177" s="67" t="n"/>
      <c r="AE177" s="67" t="n"/>
      <c r="AF177" s="67" t="n"/>
    </row>
    <row r="178">
      <c r="A178" s="67" t="n"/>
      <c r="B178" s="47" t="n">
        <v>172</v>
      </c>
      <c r="C178" s="44" t="inlineStr">
        <is>
          <t>Consórcio Nordeste</t>
        </is>
      </c>
      <c r="D178" s="44" t="inlineStr">
        <is>
          <t>Public sector</t>
        </is>
      </c>
      <c r="E178" s="62" t="inlineStr">
        <is>
          <t>Multi-stakeholder initiatives</t>
        </is>
      </c>
      <c r="F178" s="44" t="inlineStr">
        <is>
          <t>Interstate consortium of Brazil’s Northeast states that coordinates cooperation and joint strategies; can accelerate systemic transition by aligning policies, investments and programs on climate, development and regional resilience.</t>
        </is>
      </c>
      <c r="G178" s="46" t="inlineStr">
        <is>
          <t>Regional</t>
        </is>
      </c>
      <c r="H178" s="47" t="inlineStr">
        <is>
          <t>Buildings &amp; Transport, Energy, "Land, Food and Forest"</t>
        </is>
      </c>
      <c r="I178" s="48" t="inlineStr">
        <is>
          <t>Caatinga, Cerrado</t>
        </is>
      </c>
      <c r="J178" s="62" t="inlineStr">
        <is>
          <t>Coastal&amp;maritime, Mata&amp;Atlântica</t>
        </is>
      </c>
      <c r="K178" s="62" t="inlineStr">
        <is>
          <t>It coordinated regional strategies in the Northeast where Caatinga predominated and it also addressed coastal and Atlantic Forest-zone challenges through multi-state planning and resilience agendas.</t>
        </is>
      </c>
      <c r="L178" s="62" t="inlineStr">
        <is>
          <t>Territorial anchor, Policy influence / regulation</t>
        </is>
      </c>
      <c r="M178" s="61" t="inlineStr">
        <is>
          <t>Midstream</t>
        </is>
      </c>
      <c r="N178" s="61" t="inlineStr">
        <is>
          <t>Strategic partner</t>
        </is>
      </c>
      <c r="O178" s="61" t="inlineStr">
        <is>
          <t>Salvador, BA, Brazil</t>
        </is>
      </c>
      <c r="P178" s="61" t="inlineStr">
        <is>
          <t>Grantee</t>
        </is>
      </c>
      <c r="Q178" s="61" t="n"/>
      <c r="R178" s="61" t="n"/>
      <c r="S178" s="61" t="inlineStr">
        <is>
          <t>Relevant partner at the Northesat</t>
        </is>
      </c>
      <c r="T178" s="61" t="inlineStr">
        <is>
          <t>—</t>
        </is>
      </c>
      <c r="U178" s="67" t="n"/>
      <c r="V178" s="67" t="n"/>
      <c r="W178" s="67" t="n"/>
      <c r="X178" s="67" t="n"/>
      <c r="Y178" s="67" t="n"/>
      <c r="Z178" s="67" t="n"/>
      <c r="AA178" s="67" t="n"/>
      <c r="AB178" s="67" t="n"/>
      <c r="AC178" s="67" t="n"/>
      <c r="AD178" s="67" t="n"/>
      <c r="AE178" s="67" t="n"/>
      <c r="AF178" s="67" t="n"/>
    </row>
    <row r="179">
      <c r="A179" s="67" t="n"/>
      <c r="B179" s="47" t="n">
        <v>173</v>
      </c>
      <c r="C179" s="44" t="inlineStr">
        <is>
          <t>Laboratório de Inovação Financeira (LAB/CVM)</t>
        </is>
      </c>
      <c r="D179" s="44" t="inlineStr">
        <is>
          <t>Others</t>
        </is>
      </c>
      <c r="E179" s="62" t="inlineStr">
        <is>
          <t>Multi-stakeholder initiatives</t>
        </is>
      </c>
      <c r="F179" s="44" t="inlineStr">
        <is>
          <t>Multi-stakeholder platform linked to the securities regulator that convenes regulators, market actors and experts to develop and disseminate sustainable finance innovations, reduce barriers to green/inclusive capital flows, and spread best practices.</t>
        </is>
      </c>
      <c r="G179" s="46" t="inlineStr">
        <is>
          <t>National</t>
        </is>
      </c>
      <c r="H179" s="47" t="inlineStr">
        <is>
          <t>Buildings &amp; Transport, Energy, "Land, Food and Forest"</t>
        </is>
      </c>
      <c r="I179" s="48" t="n"/>
      <c r="J179" s="62" t="n"/>
      <c r="K179" s="62" t="inlineStr">
        <is>
          <t>No biome lens was assigned because it acted through financial-market innovation and standards rather than biome-targeted implementation.</t>
        </is>
      </c>
      <c r="L179" s="62" t="inlineStr">
        <is>
          <t>Convenor/enablers, Policy influence / regulation</t>
        </is>
      </c>
      <c r="M179" s="61" t="inlineStr">
        <is>
          <t>Upstream</t>
        </is>
      </c>
      <c r="N179" s="61" t="inlineStr">
        <is>
          <t>Grant recipient</t>
        </is>
      </c>
      <c r="O179" s="61" t="inlineStr">
        <is>
          <t>Rio de Janeiro, RJ, Brazil</t>
        </is>
      </c>
      <c r="P179" s="61" t="inlineStr">
        <is>
          <t>Grantee</t>
        </is>
      </c>
      <c r="Q179" s="61" t="n"/>
      <c r="R179" s="61" t="n"/>
      <c r="S179" s="61" t="n"/>
      <c r="T179" s="61" t="inlineStr">
        <is>
          <t>—</t>
        </is>
      </c>
      <c r="U179" s="67" t="n"/>
      <c r="V179" s="67" t="n"/>
      <c r="W179" s="67" t="n"/>
      <c r="X179" s="67" t="n"/>
      <c r="Y179" s="67" t="n"/>
      <c r="Z179" s="67" t="n"/>
      <c r="AA179" s="67" t="n"/>
      <c r="AB179" s="67" t="n"/>
      <c r="AC179" s="67" t="n"/>
      <c r="AD179" s="67" t="n"/>
      <c r="AE179" s="67" t="n"/>
      <c r="AF179" s="67" t="n"/>
    </row>
    <row r="180">
      <c r="A180" s="67" t="n"/>
      <c r="B180" s="47" t="n">
        <v>174</v>
      </c>
      <c r="C180" s="44" t="inlineStr">
        <is>
          <t>Conselho Empresarial Brasileiro para o Desenvolvimento Sustentável (CEBDS)</t>
        </is>
      </c>
      <c r="D180" s="44" t="inlineStr">
        <is>
          <t>Civil Society Organization (CSO)</t>
        </is>
      </c>
      <c r="E180" s="62" t="inlineStr">
        <is>
          <t>Industry platforms and sectoral initiatives</t>
        </is>
      </c>
      <c r="F180" s="44" t="inlineStr">
        <is>
          <t>Business-led association that convenes major companies to advance sustainable development in Brazil; strengthens corporate commitments, policy dialogue and collective action to accelerate low-carbon and nature-positive transitions.</t>
        </is>
      </c>
      <c r="G180" s="46" t="inlineStr">
        <is>
          <t>National</t>
        </is>
      </c>
      <c r="H180" s="47" t="inlineStr">
        <is>
          <t>Buildings &amp; Transport, Energy, "Land, Food and Forest"</t>
        </is>
      </c>
      <c r="I180" s="48" t="n"/>
      <c r="J180" s="62" t="n"/>
      <c r="K180" s="62" t="inlineStr">
        <is>
          <t>No biome lens was assigned because its work was cross-sector and national and did not operate through biome-delimited program execution.</t>
        </is>
      </c>
      <c r="L180" s="62" t="inlineStr">
        <is>
          <t>Convenor/enablers, Policy influence / regulation</t>
        </is>
      </c>
      <c r="M180" s="61" t="inlineStr">
        <is>
          <t>Upstream</t>
        </is>
      </c>
      <c r="N180" s="61" t="inlineStr">
        <is>
          <t>Grant recipient</t>
        </is>
      </c>
      <c r="O180" s="61" t="inlineStr">
        <is>
          <t>Rio de Janeiro, RJ, Brazil</t>
        </is>
      </c>
      <c r="P180" s="61" t="inlineStr">
        <is>
          <t>Grantee</t>
        </is>
      </c>
      <c r="Q180" s="61" t="n"/>
      <c r="R180" s="61" t="n"/>
      <c r="S180" s="61" t="n"/>
      <c r="T180" s="61" t="inlineStr">
        <is>
          <t>—</t>
        </is>
      </c>
      <c r="U180" s="67" t="n"/>
      <c r="V180" s="67" t="n"/>
      <c r="W180" s="67" t="n"/>
      <c r="X180" s="67" t="n"/>
      <c r="Y180" s="67" t="n"/>
      <c r="Z180" s="67" t="n"/>
      <c r="AA180" s="67" t="n"/>
      <c r="AB180" s="67" t="n"/>
      <c r="AC180" s="67" t="n"/>
      <c r="AD180" s="67" t="n"/>
      <c r="AE180" s="67" t="n"/>
      <c r="AF180" s="67" t="n"/>
    </row>
    <row r="181">
      <c r="A181" s="67" t="n"/>
      <c r="B181" s="47" t="n">
        <v>175</v>
      </c>
      <c r="C181" s="44" t="inlineStr">
        <is>
          <t>Associação Brasileira de Desenvolvimento (ABDE)</t>
        </is>
      </c>
      <c r="D181" s="44" t="inlineStr">
        <is>
          <t>Civil Society Organization (CSO)</t>
        </is>
      </c>
      <c r="E181" s="62" t="inlineStr">
        <is>
          <t>Industry platforms and sectoral initiatives</t>
        </is>
      </c>
      <c r="F181" s="44" t="inlineStr">
        <is>
          <t>Association representing Brazil’s development finance institutions; supports systemic transition by mobilizing long-term finance, aligning practices and standards, and strengthening the national development finance ecosystem for sustainable investment.</t>
        </is>
      </c>
      <c r="G181" s="46" t="inlineStr">
        <is>
          <t>National</t>
        </is>
      </c>
      <c r="H181" s="47" t="inlineStr">
        <is>
          <t>Buildings &amp; Transport, Energy, "Land, Food and Forest"</t>
        </is>
      </c>
      <c r="I181" s="48" t="n"/>
      <c r="J181" s="62" t="n"/>
      <c r="K181" s="62" t="inlineStr">
        <is>
          <t>No biome lens was assigned because it acted at ecosystem/finance standards level and was not structured around biome-specific initiatives.</t>
        </is>
      </c>
      <c r="L181" s="62" t="inlineStr">
        <is>
          <t>Convenor/enablers, Capital provider / Financial intermediary</t>
        </is>
      </c>
      <c r="M181" s="61" t="inlineStr">
        <is>
          <t>Midstream</t>
        </is>
      </c>
      <c r="N181" s="61" t="inlineStr">
        <is>
          <t>Grant recipient</t>
        </is>
      </c>
      <c r="O181" s="61" t="inlineStr">
        <is>
          <t>Brasília, DF, Brazil</t>
        </is>
      </c>
      <c r="P181" s="61" t="inlineStr">
        <is>
          <t>Re-granter</t>
        </is>
      </c>
      <c r="Q181" s="61" t="n"/>
      <c r="R181" s="61" t="n"/>
      <c r="S181" s="61" t="n"/>
      <c r="T181" s="61" t="inlineStr">
        <is>
          <t>—</t>
        </is>
      </c>
      <c r="U181" s="67" t="n"/>
      <c r="V181" s="67" t="n"/>
      <c r="W181" s="67" t="n"/>
      <c r="X181" s="67" t="n"/>
      <c r="Y181" s="67" t="n"/>
      <c r="Z181" s="67" t="n"/>
      <c r="AA181" s="67" t="n"/>
      <c r="AB181" s="67" t="n"/>
      <c r="AC181" s="67" t="n"/>
      <c r="AD181" s="67" t="n"/>
      <c r="AE181" s="67" t="n"/>
      <c r="AF181" s="67" t="n"/>
    </row>
    <row r="182">
      <c r="A182" s="67" t="n"/>
      <c r="B182" s="47" t="n">
        <v>176</v>
      </c>
      <c r="C182" s="44" t="inlineStr">
        <is>
          <t>Climate Policy Initiative (CPI)</t>
        </is>
      </c>
      <c r="D182" s="44" t="inlineStr">
        <is>
          <t>Civil Society Organization (CSO)</t>
        </is>
      </c>
      <c r="E182" s="62" t="inlineStr">
        <is>
          <t>Monitoring, Evaluation, and Learning</t>
        </is>
      </c>
      <c r="F182" s="44" t="inlineStr">
        <is>
          <t>Research and policy institute that produces data-driven analysis and technical support on climate policy and climate finance; improves policy design and investment decisions for decarbonization, resilience and a just transition.</t>
        </is>
      </c>
      <c r="G182" s="46" t="inlineStr">
        <is>
          <t>Cross-border / international</t>
        </is>
      </c>
      <c r="H182" s="47" t="inlineStr">
        <is>
          <t>Energy, "Land, Food and Forest"</t>
        </is>
      </c>
      <c r="I182" s="48" t="inlineStr">
        <is>
          <t>Amazonia, Caatinga, Cerrado</t>
        </is>
      </c>
      <c r="J182" s="68" t="n"/>
      <c r="K182" s="62" t="inlineStr">
        <is>
          <t>It produced Brazil-facing land-use and climate-finance analysis that was most consistently framed around Amazonia and Cerrado deforestation and agricultural transition dynamics.</t>
        </is>
      </c>
      <c r="L182" s="62" t="inlineStr">
        <is>
          <t>Technical assistance / research, Policy influence / regulation</t>
        </is>
      </c>
      <c r="M182" s="61" t="inlineStr">
        <is>
          <t>Upstream</t>
        </is>
      </c>
      <c r="N182" s="61" t="inlineStr">
        <is>
          <t>Grant recipient</t>
        </is>
      </c>
      <c r="O182" s="61" t="inlineStr">
        <is>
          <t>Rio de Janeiro, RJ, Brazil</t>
        </is>
      </c>
      <c r="P182" s="62" t="inlineStr">
        <is>
          <t>Grantee</t>
        </is>
      </c>
      <c r="Q182" s="61" t="n"/>
      <c r="R182" s="61" t="n"/>
      <c r="S182" s="62" t="inlineStr">
        <is>
          <t xml:space="preserve">Releant player on data for different biomes and sector in Brazil. Worth  getting to know the team. </t>
        </is>
      </c>
      <c r="T182" s="62" t="inlineStr">
        <is>
          <t>Climate finance tracking, policy effectiveness analysis and evidence for decarbonization investment</t>
        </is>
      </c>
      <c r="U182" s="67" t="n"/>
      <c r="V182" s="67" t="n"/>
      <c r="W182" s="67" t="n"/>
      <c r="X182" s="67" t="n"/>
      <c r="Y182" s="67" t="n"/>
      <c r="Z182" s="67" t="n"/>
      <c r="AA182" s="67" t="n"/>
      <c r="AB182" s="67" t="n"/>
      <c r="AC182" s="67" t="n"/>
      <c r="AD182" s="67" t="n"/>
      <c r="AE182" s="67" t="n"/>
      <c r="AF182" s="67" t="n"/>
    </row>
    <row r="183">
      <c r="A183" s="67" t="n"/>
      <c r="B183" s="47" t="n">
        <v>177</v>
      </c>
      <c r="C183" s="44" t="inlineStr">
        <is>
          <t>Climate Finance Hub Brasil</t>
        </is>
      </c>
      <c r="D183" s="44" t="inlineStr">
        <is>
          <t>Others</t>
        </is>
      </c>
      <c r="E183" s="62" t="inlineStr">
        <is>
          <t>Monitoring, Evaluation, and Learning</t>
        </is>
      </c>
      <c r="F183" s="44" t="inlineStr">
        <is>
          <t>Capacity-building and applied research hub that develops science-based transition assessments and trains professionals to interpret climate transition risks/opportunities, strengthening capital allocation toward a low-carbon economy.</t>
        </is>
      </c>
      <c r="G183" s="46" t="inlineStr">
        <is>
          <t>National</t>
        </is>
      </c>
      <c r="H183" s="47" t="inlineStr">
        <is>
          <t>Buildings &amp; Transport, Energy, "Land, Food and Forest"</t>
        </is>
      </c>
      <c r="I183" s="48" t="n"/>
      <c r="J183" s="62" t="n"/>
      <c r="K183" s="62" t="inlineStr">
        <is>
          <t>No biome lens was assigned because it focused on training/assessment frameworks and did not present a biome-delimited implementation portfolio.</t>
        </is>
      </c>
      <c r="L183" s="62" t="inlineStr">
        <is>
          <t>Technical assistance / research, Convenor/enablers</t>
        </is>
      </c>
      <c r="M183" s="61" t="inlineStr">
        <is>
          <t>Midstream</t>
        </is>
      </c>
      <c r="N183" s="61" t="inlineStr">
        <is>
          <t>Grant recipient</t>
        </is>
      </c>
      <c r="O183" s="61" t="inlineStr">
        <is>
          <t>São Paulo, SP, Brazil</t>
        </is>
      </c>
      <c r="P183" s="61" t="inlineStr">
        <is>
          <t>Grantee</t>
        </is>
      </c>
      <c r="Q183" s="61" t="n"/>
      <c r="R183" s="61" t="n"/>
      <c r="S183" s="61" t="inlineStr">
        <is>
          <t xml:space="preserve">Potential partner for  climate funding sollutions in Brazil. </t>
        </is>
      </c>
      <c r="T183" s="62" t="inlineStr">
        <is>
          <t>Science-based transition risk/opportunity assessments and climate finance learning systems</t>
        </is>
      </c>
      <c r="U183" s="67" t="n"/>
      <c r="V183" s="67" t="n"/>
      <c r="W183" s="67" t="n"/>
      <c r="X183" s="67" t="n"/>
      <c r="Y183" s="67" t="n"/>
      <c r="Z183" s="67" t="n"/>
      <c r="AA183" s="67" t="n"/>
      <c r="AB183" s="67" t="n"/>
      <c r="AC183" s="67" t="n"/>
      <c r="AD183" s="67" t="n"/>
      <c r="AE183" s="67" t="n"/>
      <c r="AF183" s="67" t="n"/>
    </row>
    <row r="184">
      <c r="A184" s="67" t="n"/>
      <c r="B184" s="47" t="n">
        <v>178</v>
      </c>
      <c r="C184" s="44" t="inlineStr">
        <is>
          <t>Associação Brasileira de Energia Eólica (ABEEólica)</t>
        </is>
      </c>
      <c r="D184" s="44" t="inlineStr">
        <is>
          <t>Civil Society Organization (CSO)</t>
        </is>
      </c>
      <c r="E184" s="62" t="inlineStr">
        <is>
          <t>Industry platforms and sectoral initiatives</t>
        </is>
      </c>
      <c r="F184" s="44" t="inlineStr">
        <is>
          <t>Industry association representing the wind energy value chain; supports market expansion and enabling policies/regulation to scale wind generation, grid integration and a competitive renewables industry.</t>
        </is>
      </c>
      <c r="G184" s="46" t="inlineStr">
        <is>
          <t>National</t>
        </is>
      </c>
      <c r="H184" s="47" t="inlineStr">
        <is>
          <t>Energy</t>
        </is>
      </c>
      <c r="I184" s="48" t="inlineStr">
        <is>
          <t>Caatinga</t>
        </is>
      </c>
      <c r="J184" s="62" t="inlineStr">
        <is>
          <t>Coastal&amp;maritime</t>
        </is>
      </c>
      <c r="K184" s="62" t="inlineStr">
        <is>
          <t>No biome lens was assigned because it operated as a national sector association and did not maintain a program portfolio structured by biomes.</t>
        </is>
      </c>
      <c r="L184" s="62" t="inlineStr">
        <is>
          <t>Policy influence / regulation, Convenor/enablers</t>
        </is>
      </c>
      <c r="M184" s="61" t="inlineStr">
        <is>
          <t>Upstream</t>
        </is>
      </c>
      <c r="N184" s="61" t="inlineStr">
        <is>
          <t>Strategic partner</t>
        </is>
      </c>
      <c r="O184" s="61" t="inlineStr">
        <is>
          <t>São Paulo, SP, Brazil</t>
        </is>
      </c>
      <c r="P184" s="61" t="inlineStr">
        <is>
          <t>Grantee</t>
        </is>
      </c>
      <c r="Q184" s="61" t="n"/>
      <c r="R184" s="61" t="n"/>
      <c r="S184" s="61" t="n"/>
      <c r="T184" s="61" t="inlineStr">
        <is>
          <t>—</t>
        </is>
      </c>
      <c r="U184" s="67" t="n"/>
      <c r="V184" s="67" t="n"/>
      <c r="W184" s="67" t="n"/>
      <c r="X184" s="67" t="n"/>
      <c r="Y184" s="67" t="n"/>
      <c r="Z184" s="67" t="n"/>
      <c r="AA184" s="67" t="n"/>
      <c r="AB184" s="67" t="n"/>
      <c r="AC184" s="67" t="n"/>
      <c r="AD184" s="67" t="n"/>
      <c r="AE184" s="67" t="n"/>
      <c r="AF184" s="67" t="n"/>
    </row>
    <row r="185">
      <c r="A185" s="67" t="n"/>
      <c r="B185" s="47" t="n">
        <v>179</v>
      </c>
      <c r="C185" s="44" t="inlineStr">
        <is>
          <t>Associação Brasileira de Energia Solar Fotovoltaica (ABSolar)</t>
        </is>
      </c>
      <c r="D185" s="44" t="inlineStr">
        <is>
          <t>Civil Society Organization (CSO)</t>
        </is>
      </c>
      <c r="E185" s="62" t="inlineStr">
        <is>
          <t>Industry platforms and sectoral initiatives</t>
        </is>
      </c>
      <c r="F185" s="44" t="inlineStr">
        <is>
          <t>Sector association that connects the solar PV value chain; advances regulation, market development and industry coordination to accelerate solar deployment (including distributed generation and enabling technologies).</t>
        </is>
      </c>
      <c r="G185" s="46" t="inlineStr">
        <is>
          <t>National</t>
        </is>
      </c>
      <c r="H185" s="47" t="inlineStr">
        <is>
          <t>Energy</t>
        </is>
      </c>
      <c r="I185" s="48" t="inlineStr">
        <is>
          <t>Caatinga, Cerrado</t>
        </is>
      </c>
      <c r="J185" s="62" t="n"/>
      <c r="K185" s="62" t="inlineStr">
        <is>
          <t>No biome lens was assigned because it acted nationally on regulation/market coordination and was not organized by biome-specific initiatives.</t>
        </is>
      </c>
      <c r="L185" s="62" t="inlineStr">
        <is>
          <t>Policy influence / regulation, Convenor/enablers</t>
        </is>
      </c>
      <c r="M185" s="61" t="inlineStr">
        <is>
          <t>Upstream</t>
        </is>
      </c>
      <c r="N185" s="61" t="inlineStr">
        <is>
          <t>Strategic partner</t>
        </is>
      </c>
      <c r="O185" s="61" t="inlineStr">
        <is>
          <t>São Paulo, SP, Brazil</t>
        </is>
      </c>
      <c r="P185" s="61" t="inlineStr">
        <is>
          <t>Grantee</t>
        </is>
      </c>
      <c r="Q185" s="61" t="n"/>
      <c r="R185" s="61" t="n"/>
      <c r="S185" s="61" t="n"/>
      <c r="T185" s="61" t="inlineStr">
        <is>
          <t>—</t>
        </is>
      </c>
      <c r="U185" s="67" t="n"/>
      <c r="V185" s="67" t="n"/>
      <c r="W185" s="67" t="n"/>
      <c r="X185" s="67" t="n"/>
      <c r="Y185" s="67" t="n"/>
      <c r="Z185" s="67" t="n"/>
      <c r="AA185" s="67" t="n"/>
      <c r="AB185" s="67" t="n"/>
      <c r="AC185" s="67" t="n"/>
      <c r="AD185" s="67" t="n"/>
      <c r="AE185" s="67" t="n"/>
      <c r="AF185" s="67" t="n"/>
    </row>
    <row r="186">
      <c r="A186" s="67" t="n"/>
      <c r="B186" s="47" t="n">
        <v>180</v>
      </c>
      <c r="C186" s="44" t="inlineStr">
        <is>
          <t>Associação Brasileira do Biogás (ABiogás)</t>
        </is>
      </c>
      <c r="D186" s="44" t="inlineStr">
        <is>
          <t>Civil Society Organization (CSO)</t>
        </is>
      </c>
      <c r="E186" s="62" t="inlineStr">
        <is>
          <t>Industry platforms and sectoral initiatives</t>
        </is>
      </c>
      <c r="F186" s="44" t="inlineStr">
        <is>
          <t>Industry association promoting biogas/biomethane; supports enabling regulation, standards and investment to decarbonize energy, waste and agriculture through circular-economy pathways.</t>
        </is>
      </c>
      <c r="G186" s="46" t="inlineStr">
        <is>
          <t>National</t>
        </is>
      </c>
      <c r="H186" s="47" t="inlineStr">
        <is>
          <t>Energy</t>
        </is>
      </c>
      <c r="I186" s="48" t="n"/>
      <c r="J186" s="62" t="n"/>
      <c r="K186" s="62" t="inlineStr">
        <is>
          <t>No biome lens was assigned because it operated as a national market/policy association without biome-delimited programs.</t>
        </is>
      </c>
      <c r="L186" s="62" t="inlineStr">
        <is>
          <t>Policy influence / regulation, Convenor/enablers</t>
        </is>
      </c>
      <c r="M186" s="61" t="inlineStr">
        <is>
          <t>Upstream</t>
        </is>
      </c>
      <c r="N186" s="61" t="inlineStr">
        <is>
          <t>Strategic partner</t>
        </is>
      </c>
      <c r="O186" s="61" t="inlineStr">
        <is>
          <t>São Paulo, SP, Brazil</t>
        </is>
      </c>
      <c r="P186" s="61" t="inlineStr">
        <is>
          <t>Grantee</t>
        </is>
      </c>
      <c r="Q186" s="61" t="n"/>
      <c r="R186" s="61" t="n"/>
      <c r="S186" s="61" t="n"/>
      <c r="T186" s="61" t="inlineStr">
        <is>
          <t>—</t>
        </is>
      </c>
      <c r="U186" s="67" t="n"/>
      <c r="V186" s="67" t="n"/>
      <c r="W186" s="67" t="n"/>
      <c r="X186" s="67" t="n"/>
      <c r="Y186" s="67" t="n"/>
      <c r="Z186" s="67" t="n"/>
      <c r="AA186" s="67" t="n"/>
      <c r="AB186" s="67" t="n"/>
      <c r="AC186" s="67" t="n"/>
      <c r="AD186" s="67" t="n"/>
      <c r="AE186" s="67" t="n"/>
      <c r="AF186" s="67" t="n"/>
    </row>
    <row r="187">
      <c r="A187" s="67" t="n"/>
      <c r="B187" s="47" t="n">
        <v>181</v>
      </c>
      <c r="C187" s="44" t="inlineStr">
        <is>
          <t>Associação Brasileira do Hidrogênio (ABH2)</t>
        </is>
      </c>
      <c r="D187" s="44" t="inlineStr">
        <is>
          <t>Civil Society Organization (CSO)</t>
        </is>
      </c>
      <c r="E187" s="62" t="inlineStr">
        <is>
          <t>Industry platforms and sectoral initiatives</t>
        </is>
      </c>
      <c r="F187" s="44" t="inlineStr">
        <is>
          <t>Industry association supporting hydrogen market development (including low-carbon/green hydrogen); contributes through policy dialogue, standards, ecosystem coordination and project acceleration.</t>
        </is>
      </c>
      <c r="G187" s="46" t="inlineStr">
        <is>
          <t>National</t>
        </is>
      </c>
      <c r="H187" s="47" t="inlineStr">
        <is>
          <t>Energy</t>
        </is>
      </c>
      <c r="I187" s="48" t="n"/>
      <c r="J187" s="62" t="n"/>
      <c r="K187" s="62" t="inlineStr">
        <is>
          <t>No biome lens was assigned because it coordinated nationally and did not implement biome-targeted initiatives.</t>
        </is>
      </c>
      <c r="L187" s="62" t="inlineStr">
        <is>
          <t>Policy influence / regulation, Convenor/enablers</t>
        </is>
      </c>
      <c r="M187" s="61" t="inlineStr">
        <is>
          <t>Upstream</t>
        </is>
      </c>
      <c r="N187" s="61" t="inlineStr">
        <is>
          <t>Strategic partner</t>
        </is>
      </c>
      <c r="O187" s="61" t="inlineStr">
        <is>
          <t>São Paulo, SP, Brazil</t>
        </is>
      </c>
      <c r="P187" s="61" t="inlineStr">
        <is>
          <t>Grantee</t>
        </is>
      </c>
      <c r="Q187" s="61" t="n"/>
      <c r="R187" s="61" t="n"/>
      <c r="S187" s="61" t="n"/>
      <c r="T187" s="61" t="inlineStr">
        <is>
          <t>—</t>
        </is>
      </c>
      <c r="U187" s="67" t="n"/>
      <c r="V187" s="67" t="n"/>
      <c r="W187" s="67" t="n"/>
      <c r="X187" s="67" t="n"/>
      <c r="Y187" s="67" t="n"/>
      <c r="Z187" s="67" t="n"/>
      <c r="AA187" s="67" t="n"/>
      <c r="AB187" s="67" t="n"/>
      <c r="AC187" s="67" t="n"/>
      <c r="AD187" s="67" t="n"/>
      <c r="AE187" s="67" t="n"/>
      <c r="AF187" s="67" t="n"/>
    </row>
    <row r="188">
      <c r="A188" s="67" t="n"/>
      <c r="B188" s="47" t="n">
        <v>182</v>
      </c>
      <c r="C188" s="44" t="inlineStr">
        <is>
          <t>Instituto Nacional de Eficiência Energética (INEE)</t>
        </is>
      </c>
      <c r="D188" s="44" t="inlineStr">
        <is>
          <t>Civil Society Organization (CSO)</t>
        </is>
      </c>
      <c r="E188" s="62" t="inlineStr">
        <is>
          <t>Think tanks</t>
        </is>
      </c>
      <c r="F188" s="44" t="inlineStr">
        <is>
          <t>Non-profit institute focused on energy efficiency; contributes through technical studies, policy advocacy and capacity building to reduce energy demand, costs and emissions across sectors.</t>
        </is>
      </c>
      <c r="G188" s="46" t="inlineStr">
        <is>
          <t>National</t>
        </is>
      </c>
      <c r="H188" s="47" t="inlineStr">
        <is>
          <t>Energy</t>
        </is>
      </c>
      <c r="I188" s="48" t="n"/>
      <c r="J188" s="62" t="n"/>
      <c r="K188" s="62" t="inlineStr">
        <is>
          <t>No biome lens was assigned because its work was technical/policy-oriented and not tied to biome-delimited implementation territories.</t>
        </is>
      </c>
      <c r="L188" s="62" t="inlineStr">
        <is>
          <t>Technical assistance / research</t>
        </is>
      </c>
      <c r="M188" s="61" t="inlineStr">
        <is>
          <t>Upstream</t>
        </is>
      </c>
      <c r="N188" s="61" t="inlineStr">
        <is>
          <t>Strategic partner</t>
        </is>
      </c>
      <c r="O188" s="61" t="inlineStr">
        <is>
          <t>Rio de Janeiro, RJ, Brazil</t>
        </is>
      </c>
      <c r="P188" s="61" t="inlineStr">
        <is>
          <t>Grantee</t>
        </is>
      </c>
      <c r="Q188" s="61" t="n"/>
      <c r="R188" s="61" t="n"/>
      <c r="S188" s="61" t="n"/>
      <c r="T188" s="61" t="inlineStr">
        <is>
          <t>—</t>
        </is>
      </c>
      <c r="U188" s="67" t="n"/>
      <c r="V188" s="67" t="n"/>
      <c r="W188" s="67" t="n"/>
      <c r="X188" s="67" t="n"/>
      <c r="Y188" s="67" t="n"/>
      <c r="Z188" s="67" t="n"/>
      <c r="AA188" s="67" t="n"/>
      <c r="AB188" s="67" t="n"/>
      <c r="AC188" s="67" t="n"/>
      <c r="AD188" s="67" t="n"/>
      <c r="AE188" s="67" t="n"/>
      <c r="AF188" s="67" t="n"/>
    </row>
    <row r="189">
      <c r="A189" s="67" t="n"/>
      <c r="B189" s="47" t="n">
        <v>183</v>
      </c>
      <c r="C189" s="44" t="inlineStr">
        <is>
          <t>Superintendência do Desenvolvimento do Nordeste (SUDENE)</t>
        </is>
      </c>
      <c r="D189" s="44" t="inlineStr">
        <is>
          <t>Public sector</t>
        </is>
      </c>
      <c r="E189" s="62" t="inlineStr">
        <is>
          <t>Federal Government</t>
        </is>
      </c>
      <c r="F189" s="44" t="inlineStr">
        <is>
          <t>Federal regional development authority; can accelerate systemic transition by aligning regional strategies, incentives and investment pipelines for resilient, inclusive and low-carbon development in the Northeast.</t>
        </is>
      </c>
      <c r="G189" s="46" t="inlineStr">
        <is>
          <t>Regional</t>
        </is>
      </c>
      <c r="H189" s="47" t="inlineStr">
        <is>
          <t>Buildings &amp; Transport, Energy, "Land, Food and Forest"</t>
        </is>
      </c>
      <c r="I189" s="60" t="inlineStr">
        <is>
          <t>Caatinga</t>
        </is>
      </c>
      <c r="J189" s="62" t="inlineStr">
        <is>
          <t>Coastal&amp;maritime, Mata&amp;Atlântica</t>
        </is>
      </c>
      <c r="K189" s="62" t="inlineStr">
        <is>
          <t>It supported regional development in the Northeast where Caatinga predominated and it also addressed coastal and Atlantic Forest-zone territories through regional planning and incentive instruments.</t>
        </is>
      </c>
      <c r="L189" s="62" t="inlineStr">
        <is>
          <t>Territorial anchor, Policy influence / regulation</t>
        </is>
      </c>
      <c r="M189" s="61" t="inlineStr">
        <is>
          <t>Upstream</t>
        </is>
      </c>
      <c r="N189" s="61" t="inlineStr">
        <is>
          <t>Strategic partner</t>
        </is>
      </c>
      <c r="O189" s="61" t="inlineStr">
        <is>
          <t>Recife, PE, Brazil</t>
        </is>
      </c>
      <c r="P189" s="61" t="inlineStr">
        <is>
          <t>Re-granter</t>
        </is>
      </c>
      <c r="Q189" s="61" t="n"/>
      <c r="R189" s="61" t="n"/>
      <c r="S189" s="61" t="n"/>
      <c r="T189" s="61" t="inlineStr">
        <is>
          <t>—</t>
        </is>
      </c>
      <c r="U189" s="67" t="n"/>
      <c r="V189" s="67" t="n"/>
      <c r="W189" s="67" t="n"/>
      <c r="X189" s="67" t="n"/>
      <c r="Y189" s="67" t="n"/>
      <c r="Z189" s="67" t="n"/>
      <c r="AA189" s="67" t="n"/>
      <c r="AB189" s="67" t="n"/>
      <c r="AC189" s="67" t="n"/>
      <c r="AD189" s="67" t="n"/>
      <c r="AE189" s="67" t="n"/>
      <c r="AF189" s="67" t="n"/>
    </row>
    <row r="190">
      <c r="A190" s="67" t="n"/>
      <c r="B190" s="47" t="n">
        <v>184</v>
      </c>
      <c r="C190" s="44" t="inlineStr">
        <is>
          <t>Associação Brasileira de Grandes Consumidores Industriais de Energia e de Consumidores Livres (ABRACE)</t>
        </is>
      </c>
      <c r="D190" s="44" t="inlineStr">
        <is>
          <t>Civil Society Organization (CSO)</t>
        </is>
      </c>
      <c r="E190" s="62" t="inlineStr">
        <is>
          <t>Industry platforms and sectoral initiatives</t>
        </is>
      </c>
      <c r="F190" s="44" t="inlineStr">
        <is>
          <t>Association representing large industrial energy consumers and free-market consumers; influences transition by advocating for market design, competitiveness, contracting rules and reliable low-carbon supply.</t>
        </is>
      </c>
      <c r="G190" s="46" t="inlineStr">
        <is>
          <t>National</t>
        </is>
      </c>
      <c r="H190" s="47" t="inlineStr">
        <is>
          <t>Energy</t>
        </is>
      </c>
      <c r="I190" s="48" t="n"/>
      <c r="J190" s="62" t="n"/>
      <c r="K190" s="62" t="inlineStr">
        <is>
          <t>No biome lens was assigned because it operated through market advocacy and was not associated with biome-specific programs.</t>
        </is>
      </c>
      <c r="L190" s="62" t="inlineStr">
        <is>
          <t>Policy influence / regulation, Convenor/enablers</t>
        </is>
      </c>
      <c r="M190" s="61" t="inlineStr">
        <is>
          <t>Upstream</t>
        </is>
      </c>
      <c r="N190" s="61" t="inlineStr">
        <is>
          <t>Strategic partner</t>
        </is>
      </c>
      <c r="O190" s="61" t="inlineStr">
        <is>
          <t>Brasília, DF, Brazil</t>
        </is>
      </c>
      <c r="P190" s="61" t="inlineStr">
        <is>
          <t>Grantee</t>
        </is>
      </c>
      <c r="Q190" s="61" t="n"/>
      <c r="R190" s="61" t="n"/>
      <c r="S190" s="61" t="n"/>
      <c r="T190" s="61" t="inlineStr">
        <is>
          <t>—</t>
        </is>
      </c>
      <c r="U190" s="67" t="n"/>
      <c r="V190" s="67" t="n"/>
      <c r="W190" s="67" t="n"/>
      <c r="X190" s="67" t="n"/>
      <c r="Y190" s="67" t="n"/>
      <c r="Z190" s="67" t="n"/>
      <c r="AA190" s="67" t="n"/>
      <c r="AB190" s="67" t="n"/>
      <c r="AC190" s="67" t="n"/>
      <c r="AD190" s="67" t="n"/>
      <c r="AE190" s="67" t="n"/>
      <c r="AF190" s="67" t="n"/>
    </row>
    <row r="191">
      <c r="A191" s="67" t="n"/>
      <c r="B191" s="47" t="n">
        <v>185</v>
      </c>
      <c r="C191" s="44" t="inlineStr">
        <is>
          <t>Casa dos Ventos</t>
        </is>
      </c>
      <c r="D191" s="44" t="inlineStr">
        <is>
          <t>Private sector</t>
        </is>
      </c>
      <c r="E191" s="62" t="inlineStr">
        <is>
          <t>Private companies (large / leading)</t>
        </is>
      </c>
      <c r="F191" s="44" t="inlineStr">
        <is>
          <t>Renewable energy developer; contributes by developing large-scale wind/solar projects, enabling corporate decarbonization strategies (PPAs/autoproduction) and supporting new clean energy vectors.</t>
        </is>
      </c>
      <c r="G191" s="46" t="inlineStr">
        <is>
          <t>National</t>
        </is>
      </c>
      <c r="H191" s="47" t="inlineStr">
        <is>
          <t>Energy</t>
        </is>
      </c>
      <c r="I191" s="60" t="inlineStr">
        <is>
          <t>Caatinga</t>
        </is>
      </c>
      <c r="J191" s="62" t="inlineStr">
        <is>
          <t>Coastal&amp;maritime</t>
        </is>
      </c>
      <c r="K191" s="62" t="inlineStr">
        <is>
          <t>It developed major wind/renewables in the Northeast where Caatinga landscapes predominated and it also operated in coastal wind corridors, making a coastal interface recurrent.</t>
        </is>
      </c>
      <c r="L191" s="62" t="inlineStr">
        <is>
          <t>Implementation capacity (delivery)</t>
        </is>
      </c>
      <c r="M191" s="61" t="inlineStr">
        <is>
          <t>Downstream</t>
        </is>
      </c>
      <c r="N191" s="61" t="inlineStr">
        <is>
          <t>Co-funding partner</t>
        </is>
      </c>
      <c r="O191" s="61" t="inlineStr">
        <is>
          <t>Fortaleza, CE, Brazil</t>
        </is>
      </c>
      <c r="P191" s="62" t="inlineStr">
        <is>
          <t>Donor</t>
        </is>
      </c>
      <c r="Q191" s="61" t="inlineStr">
        <is>
          <t xml:space="preserve">Lucas Araripe (Director) </t>
        </is>
      </c>
      <c r="R191" s="55" t="inlineStr">
        <is>
          <t>https://casadosventos.com.br/</t>
        </is>
      </c>
      <c r="S191" s="62" t="inlineStr">
        <is>
          <t xml:space="preserve">Key player on the northeast. Worth it getting to know them.  </t>
        </is>
      </c>
      <c r="T191" s="62" t="inlineStr">
        <is>
          <t>—</t>
        </is>
      </c>
      <c r="U191" s="67" t="n"/>
      <c r="V191" s="67" t="n"/>
      <c r="W191" s="67" t="n"/>
      <c r="X191" s="67" t="n"/>
      <c r="Y191" s="67" t="n"/>
      <c r="Z191" s="67" t="n"/>
      <c r="AA191" s="67" t="n"/>
      <c r="AB191" s="67" t="n"/>
      <c r="AC191" s="67" t="n"/>
      <c r="AD191" s="67" t="n"/>
      <c r="AE191" s="67" t="n"/>
      <c r="AF191" s="67" t="n"/>
    </row>
    <row r="192">
      <c r="A192" s="67" t="n"/>
      <c r="B192" s="47" t="n">
        <v>186</v>
      </c>
      <c r="C192" s="44" t="inlineStr">
        <is>
          <t>Voltalia Energia do Brasil (Voltalia)</t>
        </is>
      </c>
      <c r="D192" s="44" t="inlineStr">
        <is>
          <t>Private sector</t>
        </is>
      </c>
      <c r="E192" s="62" t="inlineStr">
        <is>
          <t>Private companies (SMEs / local enterprises)</t>
        </is>
      </c>
      <c r="F192" s="44" t="inlineStr">
        <is>
          <t>Energy-transition-focused company that supports decarbonization through solutions such as energy management, clean energy sourcing and/or distributed energy services for firms and territories.</t>
        </is>
      </c>
      <c r="G192" s="46" t="inlineStr">
        <is>
          <t>Cross-border / international</t>
        </is>
      </c>
      <c r="H192" s="47" t="inlineStr">
        <is>
          <t>Energy</t>
        </is>
      </c>
      <c r="I192" s="60" t="inlineStr">
        <is>
          <t>Caatinga</t>
        </is>
      </c>
      <c r="J192" s="62" t="inlineStr">
        <is>
          <t>Coastal&amp;maritime</t>
        </is>
      </c>
      <c r="K192" s="62" t="inlineStr">
        <is>
          <t>It developed renewables in Northeast territories commonly associated with Caatinga and it maintained a relevant footprint in coastal renewable corridors and port-linked logistics interfaces.</t>
        </is>
      </c>
      <c r="L192" s="62" t="inlineStr">
        <is>
          <t>Implementation capacity (delivery)</t>
        </is>
      </c>
      <c r="M192" s="61" t="inlineStr">
        <is>
          <t>Downstream</t>
        </is>
      </c>
      <c r="N192" s="61" t="inlineStr">
        <is>
          <t>Co-funding partner</t>
        </is>
      </c>
      <c r="O192" s="61" t="inlineStr">
        <is>
          <t>Rio de Janeiro, RJ, Brazil</t>
        </is>
      </c>
      <c r="P192" s="61" t="inlineStr">
        <is>
          <t>Donor</t>
        </is>
      </c>
      <c r="Q192" s="61" t="n"/>
      <c r="R192" s="61" t="n"/>
      <c r="S192" s="61" t="n"/>
      <c r="T192" s="61" t="inlineStr">
        <is>
          <t>—</t>
        </is>
      </c>
      <c r="U192" s="67" t="n"/>
      <c r="V192" s="67" t="n"/>
      <c r="W192" s="67" t="n"/>
      <c r="X192" s="67" t="n"/>
      <c r="Y192" s="67" t="n"/>
      <c r="Z192" s="67" t="n"/>
      <c r="AA192" s="67" t="n"/>
      <c r="AB192" s="67" t="n"/>
      <c r="AC192" s="67" t="n"/>
      <c r="AD192" s="67" t="n"/>
      <c r="AE192" s="67" t="n"/>
      <c r="AF192" s="67" t="n"/>
    </row>
    <row r="193">
      <c r="A193" s="67" t="n"/>
      <c r="B193" s="47" t="n">
        <v>187</v>
      </c>
      <c r="C193" s="44" t="inlineStr">
        <is>
          <t>Brava Energia</t>
        </is>
      </c>
      <c r="D193" s="44" t="inlineStr">
        <is>
          <t>Private sector</t>
        </is>
      </c>
      <c r="E193" s="62" t="inlineStr">
        <is>
          <t>Private companies (large / leading)</t>
        </is>
      </c>
      <c r="F193" s="44" t="inlineStr">
        <is>
          <t>Energy company in the oil and gas segment; can contribute through stronger governance, operational efficiency and methane/emissions management, alongside transparent transition planning.</t>
        </is>
      </c>
      <c r="G193" s="46" t="inlineStr">
        <is>
          <t>National</t>
        </is>
      </c>
      <c r="H193" s="47" t="inlineStr">
        <is>
          <t>Energy</t>
        </is>
      </c>
      <c r="I193" s="48" t="n"/>
      <c r="J193" s="62" t="n"/>
      <c r="K193" s="62" t="inlineStr">
        <is>
          <t>No biome lens was assigned because the mapping did not confirm a stable set of publicly identifiable projects tied to specific biomes.</t>
        </is>
      </c>
      <c r="L193" s="62" t="inlineStr">
        <is>
          <t>Implementation capacity (delivery)</t>
        </is>
      </c>
      <c r="M193" s="61" t="inlineStr">
        <is>
          <t>Downstream</t>
        </is>
      </c>
      <c r="N193" s="61" t="inlineStr">
        <is>
          <t>Co-funding partner</t>
        </is>
      </c>
      <c r="O193" s="61" t="inlineStr">
        <is>
          <t>Rio de Janeiro, RJ, Brazil</t>
        </is>
      </c>
      <c r="P193" s="61" t="inlineStr">
        <is>
          <t>Donor</t>
        </is>
      </c>
      <c r="Q193" s="61" t="n"/>
      <c r="R193" s="61" t="n"/>
      <c r="S193" s="61" t="n"/>
      <c r="T193" s="61" t="inlineStr">
        <is>
          <t>—</t>
        </is>
      </c>
      <c r="U193" s="67" t="n"/>
      <c r="V193" s="67" t="n"/>
      <c r="W193" s="67" t="n"/>
      <c r="X193" s="67" t="n"/>
      <c r="Y193" s="67" t="n"/>
      <c r="Z193" s="67" t="n"/>
      <c r="AA193" s="67" t="n"/>
      <c r="AB193" s="67" t="n"/>
      <c r="AC193" s="67" t="n"/>
      <c r="AD193" s="67" t="n"/>
      <c r="AE193" s="67" t="n"/>
      <c r="AF193" s="67" t="n"/>
    </row>
    <row r="194">
      <c r="A194" s="67" t="n"/>
      <c r="B194" s="47" t="n">
        <v>188</v>
      </c>
      <c r="C194" s="44" t="inlineStr">
        <is>
          <t>Grupo Stellantis (Stellantis)</t>
        </is>
      </c>
      <c r="D194" s="44" t="inlineStr">
        <is>
          <t>Private sector</t>
        </is>
      </c>
      <c r="E194" s="62" t="inlineStr">
        <is>
          <t>Private companies (large / leading)</t>
        </is>
      </c>
      <c r="F194" s="44" t="inlineStr">
        <is>
          <t>Automotive group; can accelerate mobility transition by scaling electrified vehicles, improving fleet efficiency, advancing local supply chains and supporting charging/industrial decarbonization ecosystems.</t>
        </is>
      </c>
      <c r="G194" s="46" t="inlineStr">
        <is>
          <t>Cross-border / international</t>
        </is>
      </c>
      <c r="H194" s="47" t="inlineStr">
        <is>
          <t>Energy</t>
        </is>
      </c>
      <c r="I194" s="48" t="n"/>
      <c r="J194" s="62" t="n"/>
      <c r="K194" s="62" t="inlineStr">
        <is>
          <t>No biome lens was assigned because manufacturing/market actions were not organized by biome-based territorial programs.</t>
        </is>
      </c>
      <c r="L194" s="62" t="inlineStr">
        <is>
          <t>Strategic partner, Implementation capacity (delivery)</t>
        </is>
      </c>
      <c r="M194" s="61" t="inlineStr">
        <is>
          <t>Downstream</t>
        </is>
      </c>
      <c r="N194" s="61" t="inlineStr">
        <is>
          <t>Co-funding partner</t>
        </is>
      </c>
      <c r="O194" s="61" t="inlineStr">
        <is>
          <t>Belo Horizonte, MG, Brazil</t>
        </is>
      </c>
      <c r="P194" s="61" t="inlineStr">
        <is>
          <t>Donor</t>
        </is>
      </c>
      <c r="Q194" s="61" t="n"/>
      <c r="R194" s="61" t="n"/>
      <c r="S194" s="61" t="n"/>
      <c r="T194" s="61" t="inlineStr">
        <is>
          <t>—</t>
        </is>
      </c>
      <c r="U194" s="67" t="n"/>
      <c r="V194" s="67" t="n"/>
      <c r="W194" s="67" t="n"/>
      <c r="X194" s="67" t="n"/>
      <c r="Y194" s="67" t="n"/>
      <c r="Z194" s="67" t="n"/>
      <c r="AA194" s="67" t="n"/>
      <c r="AB194" s="67" t="n"/>
      <c r="AC194" s="67" t="n"/>
      <c r="AD194" s="67" t="n"/>
      <c r="AE194" s="67" t="n"/>
      <c r="AF194" s="67" t="n"/>
    </row>
    <row r="195">
      <c r="A195" s="67" t="n"/>
      <c r="B195" s="47" t="n">
        <v>189</v>
      </c>
      <c r="C195" s="44" t="inlineStr">
        <is>
          <t>Agência Brasileira de Promoção de Exportações e Investimentos (ApexBrasil)</t>
        </is>
      </c>
      <c r="D195" s="44" t="inlineStr">
        <is>
          <t>Public sector</t>
        </is>
      </c>
      <c r="E195" s="62" t="inlineStr">
        <is>
          <t>Public agencies and regulators</t>
        </is>
      </c>
      <c r="F195" s="44" t="inlineStr">
        <is>
          <t>National trade and investment promotion agency; can support systemic transition by attracting sustainable investment, promoting competitive green exports and strengthening business internationalization aligned with low-carbon strategies.</t>
        </is>
      </c>
      <c r="G195" s="46" t="inlineStr">
        <is>
          <t>National</t>
        </is>
      </c>
      <c r="H195" s="47" t="inlineStr">
        <is>
          <t>Buildings &amp; Transport, Energy</t>
        </is>
      </c>
      <c r="I195" s="48" t="n"/>
      <c r="J195" s="62" t="n"/>
      <c r="K195" s="62" t="inlineStr">
        <is>
          <t>No biome lens was assigned because it acted via national trade/investment promotion tools rather than biome-delimited initiatives.</t>
        </is>
      </c>
      <c r="L195" s="62" t="inlineStr">
        <is>
          <t>Convenor/enablers, Policy influence / regulation</t>
        </is>
      </c>
      <c r="M195" s="61" t="inlineStr">
        <is>
          <t>Midstream</t>
        </is>
      </c>
      <c r="N195" s="61" t="inlineStr">
        <is>
          <t>Strategic partner</t>
        </is>
      </c>
      <c r="O195" s="61" t="inlineStr">
        <is>
          <t>Brasília, DF, Brazil</t>
        </is>
      </c>
      <c r="P195" s="61" t="inlineStr">
        <is>
          <t>Grantee</t>
        </is>
      </c>
      <c r="Q195" s="61" t="n"/>
      <c r="R195" s="61" t="n"/>
      <c r="S195" s="61" t="n"/>
      <c r="T195" s="61" t="inlineStr">
        <is>
          <t>—</t>
        </is>
      </c>
      <c r="U195" s="67" t="n"/>
      <c r="V195" s="67" t="n"/>
      <c r="W195" s="67" t="n"/>
      <c r="X195" s="67" t="n"/>
      <c r="Y195" s="67" t="n"/>
      <c r="Z195" s="67" t="n"/>
      <c r="AA195" s="67" t="n"/>
      <c r="AB195" s="67" t="n"/>
      <c r="AC195" s="67" t="n"/>
      <c r="AD195" s="67" t="n"/>
      <c r="AE195" s="67" t="n"/>
      <c r="AF195" s="67" t="n"/>
    </row>
    <row r="196">
      <c r="A196" s="67" t="n"/>
      <c r="B196" s="47" t="n">
        <v>190</v>
      </c>
      <c r="C196" s="44" t="inlineStr">
        <is>
          <t>Complexo Industrial Portuário de Suape (Suape)</t>
        </is>
      </c>
      <c r="D196" s="44" t="inlineStr">
        <is>
          <t>Public sector</t>
        </is>
      </c>
      <c r="E196" s="62" t="inlineStr">
        <is>
          <t>Public agencies and regulators</t>
        </is>
      </c>
      <c r="F196" s="44" t="inlineStr">
        <is>
          <t>Port and industrial complex authority in Pernambuco; supports systemic transition by enabling logistics and industrial infrastructure, embedding ESG standards, improving energy efficiency, adopting low-carbon fuels in operations, and hosting new low-carbon industrial clusters where applicable.</t>
        </is>
      </c>
      <c r="G196" s="46" t="inlineStr">
        <is>
          <t>State-level</t>
        </is>
      </c>
      <c r="H196" s="47" t="inlineStr">
        <is>
          <t>Buildings &amp; Transport, Energy</t>
        </is>
      </c>
      <c r="I196" s="48" t="n"/>
      <c r="J196" s="62" t="inlineStr">
        <is>
          <t>Coastal&amp;maritime</t>
        </is>
      </c>
      <c r="K196" s="62" t="inlineStr">
        <is>
          <t>It operated a port/industrial hub directly located in coastal/marine interface territories, making the coastal-maritime lens the most consistent territorial cut.</t>
        </is>
      </c>
      <c r="L196" s="62" t="inlineStr">
        <is>
          <t>Territorial anchor, Implementation capacity (delivery)</t>
        </is>
      </c>
      <c r="M196" s="61" t="inlineStr">
        <is>
          <t>Downstream</t>
        </is>
      </c>
      <c r="N196" s="61" t="inlineStr">
        <is>
          <t>Strategic partner</t>
        </is>
      </c>
      <c r="O196" s="61" t="inlineStr">
        <is>
          <t>Ipojuca, PE, Brazil</t>
        </is>
      </c>
      <c r="P196" s="61" t="inlineStr">
        <is>
          <t>Grantee</t>
        </is>
      </c>
      <c r="Q196" s="61" t="n"/>
      <c r="R196" s="61" t="n"/>
      <c r="S196" s="61" t="n"/>
      <c r="T196" s="61" t="inlineStr">
        <is>
          <t>—</t>
        </is>
      </c>
      <c r="U196" s="67" t="n"/>
      <c r="V196" s="67" t="n"/>
      <c r="W196" s="67" t="n"/>
      <c r="X196" s="67" t="n"/>
      <c r="Y196" s="67" t="n"/>
      <c r="Z196" s="67" t="n"/>
      <c r="AA196" s="67" t="n"/>
      <c r="AB196" s="67" t="n"/>
      <c r="AC196" s="67" t="n"/>
      <c r="AD196" s="67" t="n"/>
      <c r="AE196" s="67" t="n"/>
      <c r="AF196" s="67" t="n"/>
    </row>
    <row r="197">
      <c r="A197" s="67" t="n"/>
      <c r="B197" s="47" t="n">
        <v>191</v>
      </c>
      <c r="C197" s="44" t="inlineStr">
        <is>
          <t>Complexo do Pecém (CIPP S.A.)</t>
        </is>
      </c>
      <c r="D197" s="44" t="inlineStr">
        <is>
          <t>Public sector</t>
        </is>
      </c>
      <c r="E197" s="62" t="inlineStr">
        <is>
          <t>Public agencies and regulators</t>
        </is>
      </c>
      <c r="F197" s="44" t="inlineStr">
        <is>
          <t>Port and industrial complex company in Ceará (integrated with ZPEs); can accelerate transition by anchoring low-carbon industrial investment, developing energy/logistics infrastructure, and enabling export-oriented value chains linked to renewables and green hydrogen.</t>
        </is>
      </c>
      <c r="G197" s="46" t="inlineStr">
        <is>
          <t>State-level</t>
        </is>
      </c>
      <c r="H197" s="47" t="inlineStr">
        <is>
          <t>Buildings &amp; Transport, Energy</t>
        </is>
      </c>
      <c r="I197" s="48" t="n"/>
      <c r="J197" s="62" t="inlineStr">
        <is>
          <t>Coastal&amp;maritime</t>
        </is>
      </c>
      <c r="K197" s="62" t="inlineStr">
        <is>
          <t>It operated a port/industrial hub on the coastline and it anchored transition investments (including new energy vectors) through a coastal-maritime territorial interface.</t>
        </is>
      </c>
      <c r="L197" s="62" t="inlineStr">
        <is>
          <t>Territorial anchor, Implementation capacity (delivery)</t>
        </is>
      </c>
      <c r="M197" s="61" t="inlineStr">
        <is>
          <t>Downstream</t>
        </is>
      </c>
      <c r="N197" s="61" t="inlineStr">
        <is>
          <t>Strategic partner</t>
        </is>
      </c>
      <c r="O197" s="61" t="inlineStr">
        <is>
          <t>São Gonçalo do Amarante, CE, Brazil</t>
        </is>
      </c>
      <c r="P197" s="61" t="inlineStr">
        <is>
          <t>Grantee</t>
        </is>
      </c>
      <c r="Q197" s="61" t="n"/>
      <c r="R197" s="61" t="n"/>
      <c r="S197" s="61" t="n"/>
      <c r="T197" s="61" t="inlineStr">
        <is>
          <t>—</t>
        </is>
      </c>
      <c r="U197" s="67" t="n"/>
      <c r="V197" s="67" t="n"/>
      <c r="W197" s="67" t="n"/>
      <c r="X197" s="67" t="n"/>
      <c r="Y197" s="67" t="n"/>
      <c r="Z197" s="67" t="n"/>
      <c r="AA197" s="67" t="n"/>
      <c r="AB197" s="67" t="n"/>
      <c r="AC197" s="67" t="n"/>
      <c r="AD197" s="67" t="n"/>
      <c r="AE197" s="67" t="n"/>
      <c r="AF197" s="67" t="n"/>
    </row>
    <row r="198">
      <c r="A198" s="67" t="n"/>
      <c r="B198" s="47" t="n">
        <v>192</v>
      </c>
      <c r="C198" s="44" t="inlineStr">
        <is>
          <t>Hydrogen Council</t>
        </is>
      </c>
      <c r="D198" s="44" t="inlineStr">
        <is>
          <t>Civil Society Organization (CSO)</t>
        </is>
      </c>
      <c r="E198" s="62" t="inlineStr">
        <is>
          <t>Industry platforms and sectoral initiatives</t>
        </is>
      </c>
      <c r="F198" s="44" t="inlineStr">
        <is>
          <t>Global CEO-led coalition of companies and investors to accelerate clean hydrogen; contributes through advocacy, market studies, coordination of commitments, and reducing barriers to scaling projects and enabling regulation.</t>
        </is>
      </c>
      <c r="G198" s="46" t="inlineStr">
        <is>
          <t>Cross-border / international</t>
        </is>
      </c>
      <c r="H198" s="47" t="inlineStr">
        <is>
          <t>Buildings &amp; Transport, Energy</t>
        </is>
      </c>
      <c r="I198" s="48" t="n"/>
      <c r="J198" s="62" t="n"/>
      <c r="K198" s="62" t="inlineStr">
        <is>
          <t>No biome lens was assigned because it acted globally through market/policy coordination and was not mapped as a Brazil biome-targeted actor.</t>
        </is>
      </c>
      <c r="L198" s="62" t="inlineStr">
        <is>
          <t>Convenor/enablers, Policy influence / regulation</t>
        </is>
      </c>
      <c r="M198" s="61" t="inlineStr">
        <is>
          <t>Upstream</t>
        </is>
      </c>
      <c r="N198" s="61" t="inlineStr">
        <is>
          <t>Grant recipient</t>
        </is>
      </c>
      <c r="O198" s="61" t="inlineStr">
        <is>
          <t>Brussels, Belgium</t>
        </is>
      </c>
      <c r="P198" s="61" t="inlineStr">
        <is>
          <t>Grantee</t>
        </is>
      </c>
      <c r="Q198" s="61" t="n"/>
      <c r="R198" s="61" t="n"/>
      <c r="S198" s="61" t="n"/>
      <c r="T198" s="61" t="inlineStr">
        <is>
          <t>—</t>
        </is>
      </c>
      <c r="U198" s="67" t="n"/>
      <c r="V198" s="67" t="n"/>
      <c r="W198" s="67" t="n"/>
      <c r="X198" s="67" t="n"/>
      <c r="Y198" s="67" t="n"/>
      <c r="Z198" s="67" t="n"/>
      <c r="AA198" s="67" t="n"/>
      <c r="AB198" s="67" t="n"/>
      <c r="AC198" s="67" t="n"/>
      <c r="AD198" s="67" t="n"/>
      <c r="AE198" s="67" t="n"/>
      <c r="AF198" s="67" t="n"/>
    </row>
    <row r="199">
      <c r="A199" s="67" t="n"/>
      <c r="B199" s="47" t="n">
        <v>193</v>
      </c>
      <c r="C199" s="44" t="inlineStr">
        <is>
          <t>World Energy Council</t>
        </is>
      </c>
      <c r="D199" s="44" t="inlineStr">
        <is>
          <t>Others</t>
        </is>
      </c>
      <c r="E199" s="62" t="inlineStr">
        <is>
          <t>Multi-stakeholder initiatives</t>
        </is>
      </c>
      <c r="F199" s="44" t="inlineStr">
        <is>
          <t>Global platform convening energy leaders and experts; contributes through dialogue, reports and convening to support energy systems that are secure, affordable and sustainable, informing strategic transition decisions.</t>
        </is>
      </c>
      <c r="G199" s="46" t="inlineStr">
        <is>
          <t>Cross-border / international</t>
        </is>
      </c>
      <c r="H199" s="47" t="inlineStr">
        <is>
          <t>Energy</t>
        </is>
      </c>
      <c r="I199" s="48" t="n"/>
      <c r="J199" s="62" t="n"/>
      <c r="K199" s="62" t="inlineStr">
        <is>
          <t>No biome lens was assigned because it operated through global convening/knowledge products rather than biome-delimited implementation.</t>
        </is>
      </c>
      <c r="L199" s="62" t="inlineStr">
        <is>
          <t>Convenor/enablers, Technical assistance / research</t>
        </is>
      </c>
      <c r="M199" s="61" t="inlineStr">
        <is>
          <t>Upstream</t>
        </is>
      </c>
      <c r="N199" s="61" t="inlineStr">
        <is>
          <t>Strategic partner</t>
        </is>
      </c>
      <c r="O199" s="61" t="inlineStr">
        <is>
          <t>London, United Kingdom</t>
        </is>
      </c>
      <c r="P199" s="61" t="inlineStr">
        <is>
          <t>Grantee</t>
        </is>
      </c>
      <c r="Q199" s="61" t="n"/>
      <c r="R199" s="61" t="n"/>
      <c r="S199" s="61" t="n"/>
      <c r="T199" s="61" t="inlineStr">
        <is>
          <t>—</t>
        </is>
      </c>
      <c r="U199" s="67" t="n"/>
      <c r="V199" s="67" t="n"/>
      <c r="W199" s="67" t="n"/>
      <c r="X199" s="67" t="n"/>
      <c r="Y199" s="67" t="n"/>
      <c r="Z199" s="67" t="n"/>
      <c r="AA199" s="67" t="n"/>
      <c r="AB199" s="67" t="n"/>
      <c r="AC199" s="67" t="n"/>
      <c r="AD199" s="67" t="n"/>
      <c r="AE199" s="67" t="n"/>
      <c r="AF199" s="67" t="n"/>
    </row>
    <row r="200">
      <c r="A200" s="67" t="n"/>
      <c r="B200" s="47" t="n">
        <v>194</v>
      </c>
      <c r="C200" s="44" t="inlineStr">
        <is>
          <t>Câmara Setorial de Energias Renováveis do Ceará (CS Renováveis/CE)</t>
        </is>
      </c>
      <c r="D200" s="44" t="inlineStr">
        <is>
          <t>Public sector</t>
        </is>
      </c>
      <c r="E200" s="62" t="inlineStr">
        <is>
          <t>Multi-stakeholder initiatives</t>
        </is>
      </c>
      <c r="F200" s="44" t="inlineStr">
        <is>
          <t>State-level sector chamber that convenes stakeholders around renewables; supports transition by coordinating dialogue, proposing guidelines and helping shape policies/roadmaps for expanding renewables (including wind, solar and green hydrogen).</t>
        </is>
      </c>
      <c r="G200" s="46" t="inlineStr">
        <is>
          <t>State-level</t>
        </is>
      </c>
      <c r="H200" s="47" t="inlineStr">
        <is>
          <t>Energy</t>
        </is>
      </c>
      <c r="I200" s="60" t="inlineStr">
        <is>
          <t>Caatinga</t>
        </is>
      </c>
      <c r="J200" s="62" t="inlineStr">
        <is>
          <t>Coastal&amp;maritime</t>
        </is>
      </c>
      <c r="K200" s="62" t="inlineStr">
        <is>
          <t>It convened renewable-energy expansion in Ceará where Caatinga predominated and it also addressed coastal renewable corridors and port-linked energy vectors through a coastal interface.</t>
        </is>
      </c>
      <c r="L200" s="62" t="inlineStr">
        <is>
          <t>Territorial anchor, Convenor/enablers</t>
        </is>
      </c>
      <c r="M200" s="61" t="inlineStr">
        <is>
          <t>Midstream</t>
        </is>
      </c>
      <c r="N200" s="61" t="inlineStr">
        <is>
          <t>Strategic partner</t>
        </is>
      </c>
      <c r="O200" s="61" t="inlineStr">
        <is>
          <t>Fortaleza, CE, Brazil</t>
        </is>
      </c>
      <c r="P200" s="61" t="inlineStr">
        <is>
          <t>Grantee</t>
        </is>
      </c>
      <c r="Q200" s="61" t="n"/>
      <c r="R200" s="61" t="n"/>
      <c r="S200" s="61" t="n"/>
      <c r="T200" s="61" t="inlineStr">
        <is>
          <t>—</t>
        </is>
      </c>
      <c r="U200" s="67" t="n"/>
      <c r="V200" s="67" t="n"/>
      <c r="W200" s="67" t="n"/>
      <c r="X200" s="67" t="n"/>
      <c r="Y200" s="67" t="n"/>
      <c r="Z200" s="67" t="n"/>
      <c r="AA200" s="67" t="n"/>
      <c r="AB200" s="67" t="n"/>
      <c r="AC200" s="67" t="n"/>
      <c r="AD200" s="67" t="n"/>
      <c r="AE200" s="67" t="n"/>
      <c r="AF200" s="67" t="n"/>
    </row>
    <row r="201">
      <c r="A201" s="67" t="n"/>
      <c r="B201" s="47" t="n">
        <v>195</v>
      </c>
      <c r="C201" s="44" t="inlineStr">
        <is>
          <t>Glasgow Financial Alliance for Net Zero (GFANZ)</t>
        </is>
      </c>
      <c r="D201" s="44" t="inlineStr">
        <is>
          <t>Others</t>
        </is>
      </c>
      <c r="E201" s="62" t="inlineStr">
        <is>
          <t>Alliances</t>
        </is>
      </c>
      <c r="F201" s="44" t="inlineStr">
        <is>
          <t>International finance-sector alliance to accelerate net-zero; contributes by convening financial institutions, promoting transition guidance and voluntary frameworks, mobilizing capital, and helping remove barriers to climate investment.</t>
        </is>
      </c>
      <c r="G201" s="46" t="inlineStr">
        <is>
          <t>Cross-border / international</t>
        </is>
      </c>
      <c r="H201" s="47" t="inlineStr">
        <is>
          <t>Buildings &amp; Transport, Energy</t>
        </is>
      </c>
      <c r="I201" s="48" t="n"/>
      <c r="J201" s="62" t="n"/>
      <c r="K201" s="62" t="inlineStr">
        <is>
          <t>No biome lens was assigned because it operated through global finance frameworks and was not mapped as a biome-delimited Brazil implementation actor.</t>
        </is>
      </c>
      <c r="L201" s="62" t="inlineStr">
        <is>
          <t>Convenor/enablers, Capital provider / Financial intermediary</t>
        </is>
      </c>
      <c r="M201" s="61" t="inlineStr">
        <is>
          <t>Midstream</t>
        </is>
      </c>
      <c r="N201" s="61" t="inlineStr">
        <is>
          <t>Strategic partner</t>
        </is>
      </c>
      <c r="O201" s="61" t="inlineStr">
        <is>
          <t>New York, NY, USA</t>
        </is>
      </c>
      <c r="P201" s="61" t="inlineStr">
        <is>
          <t>Re-granter</t>
        </is>
      </c>
      <c r="Q201" s="61" t="n"/>
      <c r="R201" s="61" t="n"/>
      <c r="S201" s="61" t="n"/>
      <c r="T201" s="61" t="inlineStr">
        <is>
          <t>—</t>
        </is>
      </c>
      <c r="U201" s="67" t="n"/>
      <c r="V201" s="67" t="n"/>
      <c r="W201" s="67" t="n"/>
      <c r="X201" s="67" t="n"/>
      <c r="Y201" s="67" t="n"/>
      <c r="Z201" s="67" t="n"/>
      <c r="AA201" s="67" t="n"/>
      <c r="AB201" s="67" t="n"/>
      <c r="AC201" s="67" t="n"/>
      <c r="AD201" s="67" t="n"/>
      <c r="AE201" s="67" t="n"/>
      <c r="AF201" s="67" t="n"/>
    </row>
    <row r="202">
      <c r="A202" s="67" t="n"/>
      <c r="B202" s="47" t="n">
        <v>196</v>
      </c>
      <c r="C202" s="44" t="inlineStr">
        <is>
          <t>Centro Brasileiro de Relações Internacionais (CEBRI)</t>
        </is>
      </c>
      <c r="D202" s="44" t="inlineStr">
        <is>
          <t>Civil Society Organization (CSO)</t>
        </is>
      </c>
      <c r="E202" s="62" t="inlineStr">
        <is>
          <t>Think tanks</t>
        </is>
      </c>
      <c r="F202" s="44" t="inlineStr">
        <is>
          <t>Brazilian international relations think tank; contributes by producing analysis and convening dialogue on global governance, climate and development, connecting public sector, private sector and civil society.</t>
        </is>
      </c>
      <c r="G202" s="46" t="inlineStr">
        <is>
          <t>National</t>
        </is>
      </c>
      <c r="H202" s="47" t="inlineStr">
        <is>
          <t>Buildings &amp; Transport, Energy, "Land, Food and Forest"</t>
        </is>
      </c>
      <c r="I202" s="48" t="n"/>
      <c r="J202" s="62" t="n"/>
      <c r="K202" s="62" t="inlineStr">
        <is>
          <t>No biome lens was assigned because it operated through policy dialogue and research without a biome-delimited implementation portfolio.</t>
        </is>
      </c>
      <c r="L202" s="62" t="inlineStr">
        <is>
          <t>Technical assistance / research, Policy influence / regulation</t>
        </is>
      </c>
      <c r="M202" s="61" t="inlineStr">
        <is>
          <t>Upstream</t>
        </is>
      </c>
      <c r="N202" s="61" t="inlineStr">
        <is>
          <t>Grant recipient</t>
        </is>
      </c>
      <c r="O202" s="61" t="inlineStr">
        <is>
          <t>Rio de Janeiro, RJ, Brazil</t>
        </is>
      </c>
      <c r="P202" s="61" t="inlineStr">
        <is>
          <t>Grantee</t>
        </is>
      </c>
      <c r="Q202" s="61" t="n"/>
      <c r="R202" s="61" t="n"/>
      <c r="S202" s="61" t="n"/>
      <c r="T202" s="61" t="inlineStr">
        <is>
          <t>—</t>
        </is>
      </c>
      <c r="U202" s="67" t="n"/>
      <c r="V202" s="67" t="n"/>
      <c r="W202" s="67" t="n"/>
      <c r="X202" s="67" t="n"/>
      <c r="Y202" s="67" t="n"/>
      <c r="Z202" s="67" t="n"/>
      <c r="AA202" s="67" t="n"/>
      <c r="AB202" s="67" t="n"/>
      <c r="AC202" s="67" t="n"/>
      <c r="AD202" s="67" t="n"/>
      <c r="AE202" s="67" t="n"/>
      <c r="AF202" s="67" t="n"/>
    </row>
    <row r="203">
      <c r="A203" s="67" t="n"/>
      <c r="B203" s="47" t="n">
        <v>197</v>
      </c>
      <c r="C203" s="44" t="inlineStr">
        <is>
          <t>Future Climate</t>
        </is>
      </c>
      <c r="D203" s="44" t="inlineStr">
        <is>
          <t>Private sector</t>
        </is>
      </c>
      <c r="E203" s="62" t="inlineStr">
        <is>
          <t>Private companies (SMEs / local enterprises)</t>
        </is>
      </c>
      <c r="F203" s="44" t="inlineStr">
        <is>
          <t>Climate tech and carbon market company; supports transition by providing climate intelligence and enabling access to carbon/finance mechanisms that can fund decarbonization and high-integrity climate solutions.</t>
        </is>
      </c>
      <c r="G203" s="46" t="inlineStr">
        <is>
          <t>National</t>
        </is>
      </c>
      <c r="H203" s="47" t="inlineStr">
        <is>
          <t>Buildings &amp; Transport, Energy, "Land, Food and Forest"</t>
        </is>
      </c>
      <c r="I203" s="48" t="n"/>
      <c r="J203" s="62" t="n"/>
      <c r="K203" s="62" t="inlineStr">
        <is>
          <t>No biome lens was assigned because the mapping did not confirm publicly identifiable, biome-specific project execution.</t>
        </is>
      </c>
      <c r="L203" s="62" t="inlineStr">
        <is>
          <t>Technical assistance / research</t>
        </is>
      </c>
      <c r="M203" s="61" t="inlineStr">
        <is>
          <t>Upstream</t>
        </is>
      </c>
      <c r="N203" s="61" t="inlineStr">
        <is>
          <t>Strategic partner</t>
        </is>
      </c>
      <c r="O203" s="61" t="inlineStr">
        <is>
          <t>São Paulo, SP, Brazil</t>
        </is>
      </c>
      <c r="P203" s="61" t="inlineStr">
        <is>
          <t>Grantee</t>
        </is>
      </c>
      <c r="Q203" s="61" t="n"/>
      <c r="R203" s="61" t="n"/>
      <c r="S203" s="61" t="n"/>
      <c r="T203" s="61" t="inlineStr">
        <is>
          <t>—</t>
        </is>
      </c>
      <c r="U203" s="67" t="n"/>
      <c r="V203" s="67" t="n"/>
      <c r="W203" s="67" t="n"/>
      <c r="X203" s="67" t="n"/>
      <c r="Y203" s="67" t="n"/>
      <c r="Z203" s="67" t="n"/>
      <c r="AA203" s="67" t="n"/>
      <c r="AB203" s="67" t="n"/>
      <c r="AC203" s="67" t="n"/>
      <c r="AD203" s="67" t="n"/>
      <c r="AE203" s="67" t="n"/>
      <c r="AF203" s="67" t="n"/>
    </row>
    <row r="204">
      <c r="A204" s="67" t="n"/>
      <c r="B204" s="47" t="n">
        <v>198</v>
      </c>
      <c r="C204" s="44" t="inlineStr">
        <is>
          <t>AS-PTA – Agricultura Familiar e Agroecologia (AS-PTA)</t>
        </is>
      </c>
      <c r="D204" s="44" t="inlineStr">
        <is>
          <t>Civil Society Organization (CSO)</t>
        </is>
      </c>
      <c r="E204" s="62" t="inlineStr">
        <is>
          <t>Local implementers</t>
        </is>
      </c>
      <c r="F204" s="44" t="inlineStr">
        <is>
          <t>Civil society organization strengthening family farming and agroecology; contributes through technical support, network building and advocacy for sustainable, resilient and equitable food systems.</t>
        </is>
      </c>
      <c r="G204" s="46" t="inlineStr">
        <is>
          <t xml:space="preserve">Regional </t>
        </is>
      </c>
      <c r="H204" s="47" t="inlineStr">
        <is>
          <t>Energy, "Land, Food and Forest"</t>
        </is>
      </c>
      <c r="I204" s="60" t="inlineStr">
        <is>
          <t>Caatinga</t>
        </is>
      </c>
      <c r="J204" s="62" t="inlineStr">
        <is>
          <t>Mata&amp;Atlântica</t>
        </is>
      </c>
      <c r="K204" s="62" t="inlineStr">
        <is>
          <t>It implemented agroecology and family-farming support strongly linked to the Semi-arid (Caatinga) and it also operated in Atlantic Forest-zone rural territories via networks and field initiatives.</t>
        </is>
      </c>
      <c r="L204" s="62" t="inlineStr">
        <is>
          <t>Project developer / Implementer, Community legitimacy / proximate leadership</t>
        </is>
      </c>
      <c r="M204" s="61" t="inlineStr">
        <is>
          <t>Downstream</t>
        </is>
      </c>
      <c r="N204" s="61" t="inlineStr">
        <is>
          <t>Grant recipient</t>
        </is>
      </c>
      <c r="O204" s="61" t="inlineStr">
        <is>
          <t>Rio de Janeiro, RJ, Brazil</t>
        </is>
      </c>
      <c r="P204" s="61" t="inlineStr">
        <is>
          <t>Grantee</t>
        </is>
      </c>
      <c r="Q204" s="61" t="n"/>
      <c r="R204" s="55" t="inlineStr">
        <is>
          <t>https://aspta.org.br/</t>
        </is>
      </c>
      <c r="S204" s="61" t="inlineStr">
        <is>
          <t xml:space="preserve">Strategic implementing partner at the northeast </t>
        </is>
      </c>
      <c r="T204" s="61" t="inlineStr">
        <is>
          <t>—</t>
        </is>
      </c>
      <c r="U204" s="67" t="n"/>
      <c r="V204" s="67" t="n"/>
      <c r="W204" s="67" t="n"/>
      <c r="X204" s="67" t="n"/>
      <c r="Y204" s="67" t="n"/>
      <c r="Z204" s="67" t="n"/>
      <c r="AA204" s="67" t="n"/>
      <c r="AB204" s="67" t="n"/>
      <c r="AC204" s="67" t="n"/>
      <c r="AD204" s="67" t="n"/>
      <c r="AE204" s="67" t="n"/>
      <c r="AF204" s="67" t="n"/>
    </row>
    <row r="205">
      <c r="A205" s="67" t="n"/>
      <c r="B205" s="47" t="n">
        <v>199</v>
      </c>
      <c r="C205" s="44" t="inlineStr">
        <is>
          <t>Associação Brasileira das Entidades dos Mercados Financeiro e de Capitais (ANBIMA)</t>
        </is>
      </c>
      <c r="D205" s="44" t="inlineStr">
        <is>
          <t>Civil Society Organization (CSO)</t>
        </is>
      </c>
      <c r="E205" s="62" t="inlineStr">
        <is>
          <t>Industry platforms and sectoral initiatives</t>
        </is>
      </c>
      <c r="F205" s="44" t="inlineStr">
        <is>
          <t>Financial and capital markets association with a representation and self-regulatory role; supports transition by promoting standards, transparency and best practices that can steer sustainable finance products and capital flows.</t>
        </is>
      </c>
      <c r="G205" s="46" t="inlineStr">
        <is>
          <t>National</t>
        </is>
      </c>
      <c r="H205" s="47" t="inlineStr">
        <is>
          <t>Buildings &amp; Transport, Energy, "Land, Food and Forest"</t>
        </is>
      </c>
      <c r="I205" s="48" t="n"/>
      <c r="J205" s="62" t="n"/>
      <c r="K205" s="62" t="inlineStr">
        <is>
          <t>No biome lens was assigned because it acted through market standards/self-regulation rather than biome-delimited initiatives.</t>
        </is>
      </c>
      <c r="L205" s="62" t="inlineStr">
        <is>
          <t>Policy influence / regulation, Convenor/enablers</t>
        </is>
      </c>
      <c r="M205" s="61" t="inlineStr">
        <is>
          <t>Upstream</t>
        </is>
      </c>
      <c r="N205" s="61" t="inlineStr">
        <is>
          <t>Strategic partner</t>
        </is>
      </c>
      <c r="O205" s="61" t="inlineStr">
        <is>
          <t>São Paulo, SP, Brazil</t>
        </is>
      </c>
      <c r="P205" s="61" t="inlineStr">
        <is>
          <t>Grantee</t>
        </is>
      </c>
      <c r="Q205" s="61" t="n"/>
      <c r="R205" s="61" t="n"/>
      <c r="S205" s="61" t="n"/>
      <c r="T205" s="61" t="inlineStr">
        <is>
          <t>—</t>
        </is>
      </c>
      <c r="U205" s="67" t="n"/>
      <c r="V205" s="67" t="n"/>
      <c r="W205" s="67" t="n"/>
      <c r="X205" s="67" t="n"/>
      <c r="Y205" s="67" t="n"/>
      <c r="Z205" s="67" t="n"/>
      <c r="AA205" s="67" t="n"/>
      <c r="AB205" s="67" t="n"/>
      <c r="AC205" s="67" t="n"/>
      <c r="AD205" s="67" t="n"/>
      <c r="AE205" s="67" t="n"/>
      <c r="AF205" s="67" t="n"/>
    </row>
    <row r="206">
      <c r="A206" s="67" t="n"/>
      <c r="B206" s="47" t="n">
        <v>200</v>
      </c>
      <c r="C206" s="44" t="inlineStr">
        <is>
          <t>C40 Cities (C40)</t>
        </is>
      </c>
      <c r="D206" s="44" t="inlineStr">
        <is>
          <t>Civil Society Organization (CSO)</t>
        </is>
      </c>
      <c r="E206" s="62" t="inlineStr">
        <is>
          <t>Multi-stakeholder initiatives</t>
        </is>
      </c>
      <c r="F206" s="44" t="inlineStr">
        <is>
          <t>Global network of cities committed to climate action; contributes through technical assistance, peer learning and implementation support for low-carbon urban policies (mobility, buildings, waste and adaptation).</t>
        </is>
      </c>
      <c r="G206" s="46" t="inlineStr">
        <is>
          <t>Cross-border / international</t>
        </is>
      </c>
      <c r="H206" s="47" t="inlineStr">
        <is>
          <t>Buildings &amp; Transport, "Land, Food and Forest"</t>
        </is>
      </c>
      <c r="I206" s="48" t="n"/>
      <c r="J206" s="62" t="n"/>
      <c r="K206" s="62" t="inlineStr">
        <is>
          <t>No biome lens was assigned because it operated through city-based programming (municipal networks) rather than biome-defined territorial cuts.</t>
        </is>
      </c>
      <c r="L206" s="62" t="inlineStr">
        <is>
          <t>Strategic partner, Convenor/enablers, Territorial anchor</t>
        </is>
      </c>
      <c r="M206" s="61" t="inlineStr">
        <is>
          <t>Midstream</t>
        </is>
      </c>
      <c r="N206" s="61" t="inlineStr">
        <is>
          <t>Strategic partner</t>
        </is>
      </c>
      <c r="O206" s="61" t="inlineStr">
        <is>
          <t>Rio de Janeiro, RJ, Brazil</t>
        </is>
      </c>
      <c r="P206" s="61" t="inlineStr">
        <is>
          <t>Grantee</t>
        </is>
      </c>
      <c r="Q206" s="61" t="n"/>
      <c r="R206" s="61" t="n"/>
      <c r="S206" s="61" t="inlineStr">
        <is>
          <t xml:space="preserve">Could be an imporytant partner at the city level. </t>
        </is>
      </c>
      <c r="T206" s="61" t="inlineStr">
        <is>
          <t>—</t>
        </is>
      </c>
      <c r="U206" s="67" t="n"/>
      <c r="V206" s="67" t="n"/>
      <c r="W206" s="67" t="n"/>
      <c r="X206" s="67" t="n"/>
      <c r="Y206" s="67" t="n"/>
      <c r="Z206" s="67" t="n"/>
      <c r="AA206" s="67" t="n"/>
      <c r="AB206" s="67" t="n"/>
      <c r="AC206" s="67" t="n"/>
      <c r="AD206" s="67" t="n"/>
      <c r="AE206" s="67" t="n"/>
      <c r="AF206" s="67" t="n"/>
    </row>
    <row r="207">
      <c r="A207" s="67" t="n"/>
      <c r="B207" s="47" t="n">
        <v>201</v>
      </c>
      <c r="C207" s="44" t="inlineStr">
        <is>
          <t>Programa das Nações Unidas para os Assentamentos Humanos (ONU-Habitat)</t>
        </is>
      </c>
      <c r="D207" s="44" t="inlineStr">
        <is>
          <t>Others</t>
        </is>
      </c>
      <c r="E207" s="62" t="inlineStr">
        <is>
          <t>Multilateral organizations</t>
        </is>
      </c>
      <c r="F207" s="44" t="inlineStr">
        <is>
          <t>UN agency for sustainable urban development; contributes through technical cooperation, standards and policy support for housing, urban planning, resilience and inclusive city development.</t>
        </is>
      </c>
      <c r="G207" s="46" t="inlineStr">
        <is>
          <t>Cross-border / international</t>
        </is>
      </c>
      <c r="H207" s="47" t="inlineStr">
        <is>
          <t>Buildings &amp; Transport, Emergency response</t>
        </is>
      </c>
      <c r="I207" s="48" t="n"/>
      <c r="J207" s="62" t="n"/>
      <c r="K207" s="62" t="inlineStr">
        <is>
          <t>No biome lens was assigned because the work was structured around urban policy and human settlements, not biome-delimited initiatives.</t>
        </is>
      </c>
      <c r="L207" s="62" t="inlineStr">
        <is>
          <t>Strategic partner, Project developer / Implementer, Technical assistance / research</t>
        </is>
      </c>
      <c r="M207" s="61" t="inlineStr">
        <is>
          <t>Midstream</t>
        </is>
      </c>
      <c r="N207" s="61" t="inlineStr">
        <is>
          <t>Strategic partner</t>
        </is>
      </c>
      <c r="O207" s="61" t="inlineStr">
        <is>
          <t>Rio de Janeiro, RJ, Brazil</t>
        </is>
      </c>
      <c r="P207" s="61" t="inlineStr">
        <is>
          <t>Grantee</t>
        </is>
      </c>
      <c r="Q207" s="61" t="n"/>
      <c r="R207" s="61" t="n"/>
      <c r="S207" s="61" t="n"/>
      <c r="T207" s="61" t="inlineStr">
        <is>
          <t>—</t>
        </is>
      </c>
      <c r="U207" s="67" t="n"/>
      <c r="V207" s="67" t="n"/>
      <c r="W207" s="67" t="n"/>
      <c r="X207" s="67" t="n"/>
      <c r="Y207" s="67" t="n"/>
      <c r="Z207" s="67" t="n"/>
      <c r="AA207" s="67" t="n"/>
      <c r="AB207" s="67" t="n"/>
      <c r="AC207" s="67" t="n"/>
      <c r="AD207" s="67" t="n"/>
      <c r="AE207" s="67" t="n"/>
      <c r="AF207" s="67" t="n"/>
    </row>
    <row r="208">
      <c r="A208" s="67" t="n"/>
      <c r="B208" s="47" t="n">
        <v>202</v>
      </c>
      <c r="C208" s="44" t="inlineStr">
        <is>
          <t>Associação Nacional de Transportes Públicos (ANTP)</t>
        </is>
      </c>
      <c r="D208" s="44" t="inlineStr">
        <is>
          <t>Civil Society Organization (CSO)</t>
        </is>
      </c>
      <c r="E208" s="62" t="inlineStr">
        <is>
          <t>Industry platforms and sectoral initiatives</t>
        </is>
      </c>
      <c r="F208" s="44" t="inlineStr">
        <is>
          <t>Technical association for public transport and traffic; contributes by producing and disseminating knowledge, supporting policy dialogue and promoting best practices for efficient, safe and low-carbon urban mobility.</t>
        </is>
      </c>
      <c r="G208" s="46" t="inlineStr">
        <is>
          <t>National</t>
        </is>
      </c>
      <c r="H208" s="47" t="inlineStr">
        <is>
          <t>Buildings &amp; Transport</t>
        </is>
      </c>
      <c r="I208" s="48" t="n"/>
      <c r="J208" s="62" t="n"/>
      <c r="K208" s="62" t="inlineStr">
        <is>
          <t>No biome lens was assigned because it operated through national technical guidance and sector dialogue without biome-specific implementation.</t>
        </is>
      </c>
      <c r="L208" s="62" t="inlineStr">
        <is>
          <t>Technical assistance / research, Convenor/enablers</t>
        </is>
      </c>
      <c r="M208" s="61" t="inlineStr">
        <is>
          <t>Upstream</t>
        </is>
      </c>
      <c r="N208" s="61" t="inlineStr">
        <is>
          <t>Strategic partner</t>
        </is>
      </c>
      <c r="O208" s="61" t="inlineStr">
        <is>
          <t>São Paulo, SP, Brazil</t>
        </is>
      </c>
      <c r="P208" s="61" t="inlineStr">
        <is>
          <t>Grantee</t>
        </is>
      </c>
      <c r="Q208" s="61" t="n"/>
      <c r="R208" s="61" t="n"/>
      <c r="S208" s="61" t="n"/>
      <c r="T208" s="61" t="inlineStr">
        <is>
          <t>—</t>
        </is>
      </c>
      <c r="U208" s="67" t="n"/>
      <c r="V208" s="67" t="n"/>
      <c r="W208" s="67" t="n"/>
      <c r="X208" s="67" t="n"/>
      <c r="Y208" s="67" t="n"/>
      <c r="Z208" s="67" t="n"/>
      <c r="AA208" s="67" t="n"/>
      <c r="AB208" s="67" t="n"/>
      <c r="AC208" s="67" t="n"/>
      <c r="AD208" s="67" t="n"/>
      <c r="AE208" s="67" t="n"/>
      <c r="AF208" s="67" t="n"/>
    </row>
    <row r="209">
      <c r="A209" s="67" t="n"/>
      <c r="B209" s="47" t="n">
        <v>203</v>
      </c>
      <c r="C209" s="44" t="inlineStr">
        <is>
          <t>Governos Locais pela Sustentabilidade (ICLEI)</t>
        </is>
      </c>
      <c r="D209" s="44" t="inlineStr">
        <is>
          <t>Civil Society Organization (CSO)</t>
        </is>
      </c>
      <c r="E209" s="62" t="inlineStr">
        <is>
          <t>Multi-stakeholder initiatives</t>
        </is>
      </c>
      <c r="F209" s="44" t="inlineStr">
        <is>
          <t>Global network of local and subnational governments; accelerates transition by providing tools, technical support and convening for low-carbon, nature-based, equitable, resilient and circular development pathways.</t>
        </is>
      </c>
      <c r="G209" s="46" t="inlineStr">
        <is>
          <t>Cross-border / international</t>
        </is>
      </c>
      <c r="H209" s="47" t="inlineStr">
        <is>
          <t>Buildings &amp; Transport, Energy, "Land, Food and Forest"</t>
        </is>
      </c>
      <c r="I209" s="48" t="n"/>
      <c r="J209" s="62" t="n"/>
      <c r="K209" s="62" t="inlineStr">
        <is>
          <t>No biome lens was assigned because it operated through municipal/subnational governance support rather than biome-delimited territorial programming.</t>
        </is>
      </c>
      <c r="L209" s="62" t="inlineStr">
        <is>
          <t>Strategic partner, Convenor/enablers, Territorial anchor</t>
        </is>
      </c>
      <c r="M209" s="61" t="inlineStr">
        <is>
          <t>Midstream</t>
        </is>
      </c>
      <c r="N209" s="61" t="inlineStr">
        <is>
          <t>Grant recipient</t>
        </is>
      </c>
      <c r="O209" s="61" t="inlineStr">
        <is>
          <t>São Paulo, SP, Brazil</t>
        </is>
      </c>
      <c r="P209" s="61" t="inlineStr">
        <is>
          <t>Grantee</t>
        </is>
      </c>
      <c r="Q209" s="61" t="inlineStr">
        <is>
          <t xml:space="preserve">Rodrigo Perpétuo (Latin American Director) </t>
        </is>
      </c>
      <c r="R209" s="61" t="n"/>
      <c r="S209" s="61" t="inlineStr">
        <is>
          <t xml:space="preserve">Could be an imporytant partner at the city level. </t>
        </is>
      </c>
      <c r="T209" s="61" t="inlineStr">
        <is>
          <t>—</t>
        </is>
      </c>
      <c r="U209" s="67" t="n"/>
      <c r="V209" s="67" t="n"/>
      <c r="W209" s="67" t="n"/>
      <c r="X209" s="67" t="n"/>
      <c r="Y209" s="67" t="n"/>
      <c r="Z209" s="67" t="n"/>
      <c r="AA209" s="67" t="n"/>
      <c r="AB209" s="67" t="n"/>
      <c r="AC209" s="67" t="n"/>
      <c r="AD209" s="67" t="n"/>
      <c r="AE209" s="67" t="n"/>
      <c r="AF209" s="67" t="n"/>
    </row>
    <row r="210">
      <c r="A210" s="67" t="n"/>
      <c r="B210" s="47" t="n">
        <v>204</v>
      </c>
      <c r="C210" s="44" t="inlineStr">
        <is>
          <t>Programa das Nações Unidas para o Meio Ambiente (PNUMA)</t>
        </is>
      </c>
      <c r="D210" s="44" t="inlineStr">
        <is>
          <t>Others</t>
        </is>
      </c>
      <c r="E210" s="62" t="inlineStr">
        <is>
          <t>Multilateral organizations</t>
        </is>
      </c>
      <c r="F210" s="44" t="inlineStr">
        <is>
          <t>UN environment authority that supports countries with science, policy guidance, standards and partnerships to address climate, nature and pollution, strengthening environmental governance and enabling systemic transitions.</t>
        </is>
      </c>
      <c r="G210" s="46" t="inlineStr">
        <is>
          <t>Cross-border / international</t>
        </is>
      </c>
      <c r="H210" s="47" t="inlineStr">
        <is>
          <t>Buildings &amp; Transport, Energy, "Land, Food and Forest"</t>
        </is>
      </c>
      <c r="I210" s="48" t="n"/>
      <c r="J210" s="62" t="n"/>
      <c r="K210" s="62" t="inlineStr">
        <is>
          <t>No biome lens was assigned because the mapped support was policy/standards-oriented and not organized as biome-specific projects in this list.</t>
        </is>
      </c>
      <c r="L210" s="62" t="inlineStr">
        <is>
          <t>Strategic partner, Policy influence / regulation, Convenor/enablers</t>
        </is>
      </c>
      <c r="M210" s="61" t="inlineStr">
        <is>
          <t>Upstream</t>
        </is>
      </c>
      <c r="N210" s="61" t="inlineStr">
        <is>
          <t>Strategic partner</t>
        </is>
      </c>
      <c r="O210" s="61" t="inlineStr">
        <is>
          <t>Brasília, DF, Brazil</t>
        </is>
      </c>
      <c r="P210" s="61" t="inlineStr">
        <is>
          <t>Grantee</t>
        </is>
      </c>
      <c r="Q210" s="61" t="n"/>
      <c r="R210" s="61" t="n"/>
      <c r="S210" s="61" t="n"/>
      <c r="T210" s="61" t="inlineStr">
        <is>
          <t>—</t>
        </is>
      </c>
      <c r="U210" s="67" t="n"/>
      <c r="V210" s="67" t="n"/>
      <c r="W210" s="67" t="n"/>
      <c r="X210" s="67" t="n"/>
      <c r="Y210" s="67" t="n"/>
      <c r="Z210" s="67" t="n"/>
      <c r="AA210" s="67" t="n"/>
      <c r="AB210" s="67" t="n"/>
      <c r="AC210" s="67" t="n"/>
      <c r="AD210" s="67" t="n"/>
      <c r="AE210" s="67" t="n"/>
      <c r="AF210" s="67" t="n"/>
    </row>
    <row r="211">
      <c r="A211" s="67" t="n"/>
      <c r="B211" s="47" t="n">
        <v>205</v>
      </c>
      <c r="C211" s="44" t="inlineStr">
        <is>
          <t>Associação Brasileira das Empresas de Serviços de Conservação de Energia (ABESCO)</t>
        </is>
      </c>
      <c r="D211" s="44" t="inlineStr">
        <is>
          <t>Civil Society Organization (CSO)</t>
        </is>
      </c>
      <c r="E211" s="62" t="inlineStr">
        <is>
          <t>Industry platforms and sectoral initiatives</t>
        </is>
      </c>
      <c r="F211" s="44" t="inlineStr">
        <is>
          <t>Industry association representing energy service companies (ESCOs); accelerates transition by promoting energy efficiency markets, performance contracting and best practices that reduce energy demand and emissions.</t>
        </is>
      </c>
      <c r="G211" s="46" t="inlineStr">
        <is>
          <t>National</t>
        </is>
      </c>
      <c r="H211" s="47" t="inlineStr">
        <is>
          <t>Buildings &amp; Transport, Energy</t>
        </is>
      </c>
      <c r="I211" s="48" t="n"/>
      <c r="J211" s="62" t="n"/>
      <c r="K211" s="62" t="inlineStr">
        <is>
          <t>No biome lens was assigned because it worked via market development and contracting models, not biome-delimited initiatives.</t>
        </is>
      </c>
      <c r="L211" s="62" t="inlineStr">
        <is>
          <t>Convenor/enablers, Implementation capacity (delivery)</t>
        </is>
      </c>
      <c r="M211" s="61" t="inlineStr">
        <is>
          <t>Midstream</t>
        </is>
      </c>
      <c r="N211" s="61" t="inlineStr">
        <is>
          <t>Strategic partner</t>
        </is>
      </c>
      <c r="O211" s="61" t="inlineStr">
        <is>
          <t>São Paulo, SP, Brazil</t>
        </is>
      </c>
      <c r="P211" s="61" t="inlineStr">
        <is>
          <t>Grantee</t>
        </is>
      </c>
      <c r="Q211" s="61" t="n"/>
      <c r="R211" s="61" t="n"/>
      <c r="S211" s="61" t="n"/>
      <c r="T211" s="61" t="inlineStr">
        <is>
          <t>—</t>
        </is>
      </c>
      <c r="U211" s="67" t="n"/>
      <c r="V211" s="67" t="n"/>
      <c r="W211" s="67" t="n"/>
      <c r="X211" s="67" t="n"/>
      <c r="Y211" s="67" t="n"/>
      <c r="Z211" s="67" t="n"/>
      <c r="AA211" s="67" t="n"/>
      <c r="AB211" s="67" t="n"/>
      <c r="AC211" s="67" t="n"/>
      <c r="AD211" s="67" t="n"/>
      <c r="AE211" s="67" t="n"/>
      <c r="AF211" s="67" t="n"/>
    </row>
    <row r="212">
      <c r="A212" s="67" t="n"/>
      <c r="B212" s="47" t="n">
        <v>206</v>
      </c>
      <c r="C212" s="44" t="inlineStr">
        <is>
          <t>Associação Nacional das Empresas de Transportes Urbanos (NTU)</t>
        </is>
      </c>
      <c r="D212" s="44" t="inlineStr">
        <is>
          <t>Civil Society Organization (CSO)</t>
        </is>
      </c>
      <c r="E212" s="62" t="inlineStr">
        <is>
          <t>Industry platforms and sectoral initiatives</t>
        </is>
      </c>
      <c r="F212" s="44" t="inlineStr">
        <is>
          <t>Association representing urban public transport operators; contributes to transition by advocating for quality, funding models and fleet modernization, including low/zero-emission buses and better service for equity.</t>
        </is>
      </c>
      <c r="G212" s="46" t="inlineStr">
        <is>
          <t>National</t>
        </is>
      </c>
      <c r="H212" s="47" t="inlineStr">
        <is>
          <t>Buildings &amp; Transport</t>
        </is>
      </c>
      <c r="I212" s="48" t="n"/>
      <c r="J212" s="62" t="n"/>
      <c r="K212" s="62" t="inlineStr">
        <is>
          <t>No biome lens was assigned because it acted through national sector advocacy and service modernization, not biome-specific initiatives.</t>
        </is>
      </c>
      <c r="L212" s="62" t="inlineStr">
        <is>
          <t>Policy influence / regulation, Convenor/enablers</t>
        </is>
      </c>
      <c r="M212" s="61" t="inlineStr">
        <is>
          <t>Upstream</t>
        </is>
      </c>
      <c r="N212" s="61" t="inlineStr">
        <is>
          <t>Strategic partner</t>
        </is>
      </c>
      <c r="O212" s="61" t="inlineStr">
        <is>
          <t>Brasília, DF, Brazil</t>
        </is>
      </c>
      <c r="P212" s="61" t="inlineStr">
        <is>
          <t>Grantee</t>
        </is>
      </c>
      <c r="Q212" s="61" t="n"/>
      <c r="R212" s="61" t="n"/>
      <c r="S212" s="61" t="n"/>
      <c r="T212" s="61" t="inlineStr">
        <is>
          <t>—</t>
        </is>
      </c>
      <c r="U212" s="67" t="n"/>
      <c r="V212" s="67" t="n"/>
      <c r="W212" s="67" t="n"/>
      <c r="X212" s="67" t="n"/>
      <c r="Y212" s="67" t="n"/>
      <c r="Z212" s="67" t="n"/>
      <c r="AA212" s="67" t="n"/>
      <c r="AB212" s="67" t="n"/>
      <c r="AC212" s="67" t="n"/>
      <c r="AD212" s="67" t="n"/>
      <c r="AE212" s="67" t="n"/>
      <c r="AF212" s="67" t="n"/>
    </row>
    <row r="213">
      <c r="A213" s="67" t="n"/>
      <c r="B213" s="47" t="n">
        <v>207</v>
      </c>
      <c r="C213" s="44" t="inlineStr">
        <is>
          <t>Instituto Nacional de Pesquisas Espaciais (INPE)</t>
        </is>
      </c>
      <c r="D213" s="44" t="inlineStr">
        <is>
          <t>Public sector</t>
        </is>
      </c>
      <c r="E213" s="62" t="inlineStr">
        <is>
          <t>Monitoring, Evaluation, and Learning</t>
        </is>
      </c>
      <c r="F213" s="44" t="inlineStr">
        <is>
          <t>Federal research institute that produces Earth observation and climate science; supports systemic transition by generating authoritative data on deforestation, emissions and climate risks to inform policy and enforcement.</t>
        </is>
      </c>
      <c r="G213" s="46" t="inlineStr">
        <is>
          <t>National</t>
        </is>
      </c>
      <c r="H213" s="47" t="inlineStr">
        <is>
          <t>"Land, Food and Forest"</t>
        </is>
      </c>
      <c r="I213" s="60" t="inlineStr">
        <is>
          <t>Amazonia, Cerrado</t>
        </is>
      </c>
      <c r="J213" s="62" t="inlineStr">
        <is>
          <t>Mata&amp;Atlântica, Pantanal, Pampa, Coastal&amp;maritime</t>
        </is>
      </c>
      <c r="K213" s="62" t="inlineStr">
        <is>
          <t>It produced authoritative deforestation and land-use monitoring with recurrent emphasis on Amazonia and Cerrado, while its observation systems also covered the other biomes.</t>
        </is>
      </c>
      <c r="L213" s="62" t="inlineStr">
        <is>
          <t>Technical assistance / research, Data / MRV / platforms</t>
        </is>
      </c>
      <c r="M213" s="61" t="inlineStr">
        <is>
          <t>Upstream</t>
        </is>
      </c>
      <c r="N213" s="61" t="inlineStr">
        <is>
          <t>Strategic partner</t>
        </is>
      </c>
      <c r="O213" s="61" t="inlineStr">
        <is>
          <t>São José dos Campos, SP, Brazil</t>
        </is>
      </c>
      <c r="P213" s="61" t="inlineStr">
        <is>
          <t>Grantee</t>
        </is>
      </c>
      <c r="Q213" s="61" t="n"/>
      <c r="R213" s="61" t="n"/>
      <c r="S213" s="61" t="n"/>
      <c r="T213" s="62" t="inlineStr">
        <is>
          <t>Earth observation, deforestation monitoring (PRODES/DETER), emissions data and climate modelling</t>
        </is>
      </c>
      <c r="U213" s="67" t="n"/>
      <c r="V213" s="67" t="n"/>
      <c r="W213" s="67" t="n"/>
      <c r="X213" s="67" t="n"/>
      <c r="Y213" s="67" t="n"/>
      <c r="Z213" s="67" t="n"/>
      <c r="AA213" s="67" t="n"/>
      <c r="AB213" s="67" t="n"/>
      <c r="AC213" s="67" t="n"/>
      <c r="AD213" s="67" t="n"/>
      <c r="AE213" s="67" t="n"/>
      <c r="AF213" s="67" t="n"/>
    </row>
    <row r="214">
      <c r="A214" s="67" t="n"/>
      <c r="B214" s="47" t="n">
        <v>208</v>
      </c>
      <c r="C214" s="44" t="inlineStr">
        <is>
          <t>Coalizão Brasil Clima, Florestas e Agricultura</t>
        </is>
      </c>
      <c r="D214" s="44" t="inlineStr">
        <is>
          <t>Others</t>
        </is>
      </c>
      <c r="E214" s="62" t="inlineStr">
        <is>
          <t>Alliances</t>
        </is>
      </c>
      <c r="F214" s="44" t="inlineStr">
        <is>
          <t>Multi-stakeholder coalition that convenes agribusiness, civil society, academia and finance to advance policy proposals and commitments for low-carbon agriculture, forest protection and sustainable land use.</t>
        </is>
      </c>
      <c r="G214" s="46" t="inlineStr">
        <is>
          <t>National</t>
        </is>
      </c>
      <c r="H214" s="47" t="inlineStr">
        <is>
          <t>"Land, Food and Forest"</t>
        </is>
      </c>
      <c r="I214" s="60" t="inlineStr">
        <is>
          <t>Amazonia, Cerrado</t>
        </is>
      </c>
      <c r="J214" s="62" t="inlineStr">
        <is>
          <t>Mata&amp;Atlântica, Pantanal</t>
        </is>
      </c>
      <c r="K214" s="62" t="inlineStr">
        <is>
          <t>It pursued land-use and deforestation-free agendas most consistently tied to Amazonia and Cerrado commodity frontiers, while it also addressed broader forest and wetland governance debates.</t>
        </is>
      </c>
      <c r="L214" s="62" t="inlineStr">
        <is>
          <t>Convenor/enablers, Policy influence / regulation</t>
        </is>
      </c>
      <c r="M214" s="61" t="inlineStr">
        <is>
          <t>Upstream</t>
        </is>
      </c>
      <c r="N214" s="61" t="inlineStr">
        <is>
          <t>Strategic partner</t>
        </is>
      </c>
      <c r="O214" s="61" t="inlineStr">
        <is>
          <t>São Paulo, SP, Brazil</t>
        </is>
      </c>
      <c r="P214" s="61" t="inlineStr">
        <is>
          <t>Grantee</t>
        </is>
      </c>
      <c r="Q214" s="61" t="n"/>
      <c r="R214" s="61" t="n"/>
      <c r="S214" s="61" t="n"/>
      <c r="T214" s="61" t="inlineStr">
        <is>
          <t>—</t>
        </is>
      </c>
      <c r="U214" s="67" t="n"/>
      <c r="V214" s="67" t="n"/>
      <c r="W214" s="67" t="n"/>
      <c r="X214" s="67" t="n"/>
      <c r="Y214" s="67" t="n"/>
      <c r="Z214" s="67" t="n"/>
      <c r="AA214" s="67" t="n"/>
      <c r="AB214" s="67" t="n"/>
      <c r="AC214" s="67" t="n"/>
      <c r="AD214" s="67" t="n"/>
      <c r="AE214" s="67" t="n"/>
      <c r="AF214" s="67" t="n"/>
    </row>
    <row r="215">
      <c r="A215" s="67" t="n"/>
      <c r="B215" s="47" t="n">
        <v>209</v>
      </c>
      <c r="C215" s="44" t="inlineStr">
        <is>
          <t>Sustainable Energy for All (SEforALL)</t>
        </is>
      </c>
      <c r="D215" s="44" t="inlineStr">
        <is>
          <t>Others</t>
        </is>
      </c>
      <c r="E215" s="62" t="inlineStr">
        <is>
          <t>Multi-stakeholder initiatives</t>
        </is>
      </c>
      <c r="F215" s="44" t="inlineStr">
        <is>
          <t>International organization that supports governments and partners to achieve universal energy access and accelerate the clean energy transition through analytics, convening and technical assistance.</t>
        </is>
      </c>
      <c r="G215" s="46" t="inlineStr">
        <is>
          <t>Cross-border / international</t>
        </is>
      </c>
      <c r="H215" s="47" t="inlineStr">
        <is>
          <t>Energy</t>
        </is>
      </c>
      <c r="I215" s="48" t="n"/>
      <c r="J215" s="62" t="n"/>
      <c r="K215" s="62" t="inlineStr">
        <is>
          <t>No biome lens was assigned because it operated through national energy-access and transition analytics rather than biome-delimited territorial implementation.</t>
        </is>
      </c>
      <c r="L215" s="62" t="inlineStr">
        <is>
          <t>Strategic partner, Convenor/enablers</t>
        </is>
      </c>
      <c r="M215" s="61" t="inlineStr">
        <is>
          <t>Upstream</t>
        </is>
      </c>
      <c r="N215" s="61" t="inlineStr">
        <is>
          <t>Strategic partner</t>
        </is>
      </c>
      <c r="O215" s="61" t="inlineStr">
        <is>
          <t>Vienna, Austria</t>
        </is>
      </c>
      <c r="P215" s="61" t="inlineStr">
        <is>
          <t>Grantee</t>
        </is>
      </c>
      <c r="Q215" s="61" t="n"/>
      <c r="R215" s="61" t="n"/>
      <c r="S215" s="61" t="n"/>
      <c r="T215" s="61" t="inlineStr">
        <is>
          <t>—</t>
        </is>
      </c>
      <c r="U215" s="67" t="n"/>
      <c r="V215" s="67" t="n"/>
      <c r="W215" s="67" t="n"/>
      <c r="X215" s="67" t="n"/>
      <c r="Y215" s="67" t="n"/>
      <c r="Z215" s="67" t="n"/>
      <c r="AA215" s="67" t="n"/>
      <c r="AB215" s="67" t="n"/>
      <c r="AC215" s="67" t="n"/>
      <c r="AD215" s="67" t="n"/>
      <c r="AE215" s="67" t="n"/>
      <c r="AF215" s="67" t="n"/>
    </row>
    <row r="216">
      <c r="A216" s="67" t="n"/>
      <c r="B216" s="47" t="n">
        <v>210</v>
      </c>
      <c r="C216" s="44" t="inlineStr">
        <is>
          <t>Global Covenant of Mayors for Climate &amp; Energy</t>
        </is>
      </c>
      <c r="D216" s="44" t="inlineStr">
        <is>
          <t>Others</t>
        </is>
      </c>
      <c r="E216" s="62" t="inlineStr">
        <is>
          <t>Alliances</t>
        </is>
      </c>
      <c r="F216" s="44" t="inlineStr">
        <is>
          <t>Global coalition of city networks and local governments; supports systemic transition by enabling cities to set targets, plan and report climate action, access technical support and mobilize finance for low-carbon urban development.</t>
        </is>
      </c>
      <c r="G216" s="46" t="inlineStr">
        <is>
          <t>Cross-border / international</t>
        </is>
      </c>
      <c r="H216" s="47" t="inlineStr">
        <is>
          <t>Buildings &amp; Transport, Energy</t>
        </is>
      </c>
      <c r="I216" s="48" t="n"/>
      <c r="J216" s="62" t="n"/>
      <c r="K216" s="62" t="inlineStr">
        <is>
          <t>No biome lens was assigned because it operated through city commitments and reporting frameworks, not biome-delimited initiatives.</t>
        </is>
      </c>
      <c r="L216" s="62" t="inlineStr">
        <is>
          <t>Convenor/enablers, Territorial anchor</t>
        </is>
      </c>
      <c r="M216" s="61" t="inlineStr">
        <is>
          <t>Midstream</t>
        </is>
      </c>
      <c r="N216" s="61" t="inlineStr">
        <is>
          <t>Strategic partner</t>
        </is>
      </c>
      <c r="O216" s="61" t="inlineStr">
        <is>
          <t>Brussels, Belgium</t>
        </is>
      </c>
      <c r="P216" s="61" t="inlineStr">
        <is>
          <t>Grantee</t>
        </is>
      </c>
      <c r="Q216" s="61" t="n"/>
      <c r="R216" s="61" t="n"/>
      <c r="S216" s="61" t="n"/>
      <c r="T216" s="61" t="inlineStr">
        <is>
          <t>—</t>
        </is>
      </c>
      <c r="U216" s="67" t="n"/>
      <c r="V216" s="67" t="n"/>
      <c r="W216" s="67" t="n"/>
      <c r="X216" s="67" t="n"/>
      <c r="Y216" s="67" t="n"/>
      <c r="Z216" s="67" t="n"/>
      <c r="AA216" s="67" t="n"/>
      <c r="AB216" s="67" t="n"/>
      <c r="AC216" s="67" t="n"/>
      <c r="AD216" s="67" t="n"/>
      <c r="AE216" s="67" t="n"/>
      <c r="AF216" s="67" t="n"/>
    </row>
    <row r="217">
      <c r="A217" s="67" t="n"/>
      <c r="B217" s="47" t="n">
        <v>211</v>
      </c>
      <c r="C217" s="44" t="inlineStr">
        <is>
          <t>Organização para a Cooperação e Desenvolvimento Econômico (OECD)</t>
        </is>
      </c>
      <c r="D217" s="44" t="inlineStr">
        <is>
          <t>Others</t>
        </is>
      </c>
      <c r="E217" s="62" t="inlineStr">
        <is>
          <t>Multilateral organizations</t>
        </is>
      </c>
      <c r="F217" s="44" t="inlineStr">
        <is>
          <t>Intergovernmental organization that produces comparative evidence, standards and policy recommendations; supports transitions via guidance on climate policy, taxation, investment, governance and inclusive growth.</t>
        </is>
      </c>
      <c r="G217" s="46" t="inlineStr">
        <is>
          <t>Cross-border / international</t>
        </is>
      </c>
      <c r="H217" s="47" t="inlineStr">
        <is>
          <t>Buildings &amp; Transport, Energy, "Land, Food and Forest"</t>
        </is>
      </c>
      <c r="I217" s="48" t="n"/>
      <c r="J217" s="62" t="n"/>
      <c r="K217" s="62" t="inlineStr">
        <is>
          <t>No biome lens was assigned because it acted through cross-country policy guidance and standards, not biome-targeted programs.</t>
        </is>
      </c>
      <c r="L217" s="62" t="inlineStr">
        <is>
          <t>Policy influence / regulation, Technical assistance / research</t>
        </is>
      </c>
      <c r="M217" s="61" t="inlineStr">
        <is>
          <t>Upstream</t>
        </is>
      </c>
      <c r="N217" s="61" t="inlineStr">
        <is>
          <t>Strategic partner</t>
        </is>
      </c>
      <c r="O217" s="61" t="inlineStr">
        <is>
          <t>Paris, France</t>
        </is>
      </c>
      <c r="P217" s="61" t="inlineStr">
        <is>
          <t>Grantee</t>
        </is>
      </c>
      <c r="Q217" s="61" t="n"/>
      <c r="R217" s="61" t="n"/>
      <c r="S217" s="61" t="n"/>
      <c r="T217" s="61" t="inlineStr">
        <is>
          <t>—</t>
        </is>
      </c>
      <c r="U217" s="67" t="n"/>
      <c r="V217" s="67" t="n"/>
      <c r="W217" s="67" t="n"/>
      <c r="X217" s="67" t="n"/>
      <c r="Y217" s="67" t="n"/>
      <c r="Z217" s="67" t="n"/>
      <c r="AA217" s="67" t="n"/>
      <c r="AB217" s="67" t="n"/>
      <c r="AC217" s="67" t="n"/>
      <c r="AD217" s="67" t="n"/>
      <c r="AE217" s="67" t="n"/>
      <c r="AF217" s="67" t="n"/>
    </row>
    <row r="218">
      <c r="A218" s="67" t="n"/>
      <c r="B218" s="47" t="n">
        <v>212</v>
      </c>
      <c r="C218" s="44" t="inlineStr">
        <is>
          <t>Centro Internacional de Pesquisa Florestal e Agroflorestal (CIFOR-ICRAF)</t>
        </is>
      </c>
      <c r="D218" s="44" t="inlineStr">
        <is>
          <t>Others</t>
        </is>
      </c>
      <c r="E218" s="62" t="inlineStr">
        <is>
          <t>Monitoring, Evaluation, and Learning</t>
        </is>
      </c>
      <c r="F218" s="44" t="inlineStr">
        <is>
          <t>International research center focused on forests, agroforestry and land use; supports systemic transition through science, data and policy engagement to reduce deforestation, improve livelihoods and scale nature-based solutions.</t>
        </is>
      </c>
      <c r="G218" s="46" t="inlineStr">
        <is>
          <t>Cross-border / international</t>
        </is>
      </c>
      <c r="H218" s="47" t="inlineStr">
        <is>
          <t>"Land, Food and Forest"</t>
        </is>
      </c>
      <c r="I218" s="60" t="inlineStr">
        <is>
          <t>Amazonia, Cerrado</t>
        </is>
      </c>
      <c r="J218" s="62" t="inlineStr">
        <is>
          <t>Mata&amp;Atlântica</t>
        </is>
      </c>
      <c r="K218" s="62" t="inlineStr">
        <is>
          <t>It developed forest and agroforestry research and policy engagement most commonly linked to Amazonia and Cerrado land-use dynamics, while it also supported broader restoration/landscape agendas beyond those cores.</t>
        </is>
      </c>
      <c r="L218" s="62" t="inlineStr">
        <is>
          <t>Technical assistance / research, Project developer / Implementer</t>
        </is>
      </c>
      <c r="M218" s="61" t="inlineStr">
        <is>
          <t>Upstream</t>
        </is>
      </c>
      <c r="N218" s="61" t="inlineStr">
        <is>
          <t>Strategic partner</t>
        </is>
      </c>
      <c r="O218" s="61" t="inlineStr">
        <is>
          <t>Brasília, DF, Brazil</t>
        </is>
      </c>
      <c r="P218" s="61" t="inlineStr">
        <is>
          <t>Grantee</t>
        </is>
      </c>
      <c r="Q218" s="61" t="n"/>
      <c r="R218" s="61" t="n"/>
      <c r="S218" s="61" t="n"/>
      <c r="T218" s="62" t="inlineStr">
        <is>
          <t>Forests and agroforestry science, land-use monitoring and evaluation for nature-positive outcomes</t>
        </is>
      </c>
      <c r="U218" s="67" t="n"/>
      <c r="V218" s="67" t="n"/>
      <c r="W218" s="67" t="n"/>
      <c r="X218" s="67" t="n"/>
      <c r="Y218" s="67" t="n"/>
      <c r="Z218" s="67" t="n"/>
      <c r="AA218" s="67" t="n"/>
      <c r="AB218" s="67" t="n"/>
      <c r="AC218" s="67" t="n"/>
      <c r="AD218" s="67" t="n"/>
      <c r="AE218" s="67" t="n"/>
      <c r="AF218" s="67" t="n"/>
    </row>
    <row r="219">
      <c r="A219" s="67" t="n"/>
      <c r="B219" s="47" t="n">
        <v>213</v>
      </c>
      <c r="C219" s="44" t="inlineStr">
        <is>
          <t>Organização das Cooperativas Brasileiras (OCB)</t>
        </is>
      </c>
      <c r="D219" s="44" t="inlineStr">
        <is>
          <t>Civil Society Organization (CSO)</t>
        </is>
      </c>
      <c r="E219" s="62" t="inlineStr">
        <is>
          <t>Industry platforms and sectoral initiatives</t>
        </is>
      </c>
      <c r="F219" s="44" t="inlineStr">
        <is>
          <t>National cooperative apex organization; contributes by strengthening cooperative governance and scaling inclusive, sustainable value chains in agriculture, finance and services.</t>
        </is>
      </c>
      <c r="G219" s="46" t="inlineStr">
        <is>
          <t>National</t>
        </is>
      </c>
      <c r="H219" s="47" t="inlineStr">
        <is>
          <t>Buildings &amp; Transport, Energy, "Land, Food and Forest"</t>
        </is>
      </c>
      <c r="I219" s="48" t="n"/>
      <c r="J219" s="62" t="n"/>
      <c r="K219" s="62" t="inlineStr">
        <is>
          <t>No biome lens was assigned because cooperative strengthening was cross-sector and not structured by biome-delimited initiatives.</t>
        </is>
      </c>
      <c r="L219" s="62" t="inlineStr">
        <is>
          <t>Convenor/enablers, Community legitimacy / proximate leadership</t>
        </is>
      </c>
      <c r="M219" s="61" t="inlineStr">
        <is>
          <t>Midstream</t>
        </is>
      </c>
      <c r="N219" s="61" t="inlineStr">
        <is>
          <t>Strategic partner</t>
        </is>
      </c>
      <c r="O219" s="61" t="inlineStr">
        <is>
          <t>Brasília, DF, Brazil</t>
        </is>
      </c>
      <c r="P219" s="61" t="inlineStr">
        <is>
          <t>Grantee</t>
        </is>
      </c>
      <c r="Q219" s="61" t="n"/>
      <c r="R219" s="61" t="n"/>
      <c r="S219" s="61" t="n"/>
      <c r="T219" s="61" t="inlineStr">
        <is>
          <t>—</t>
        </is>
      </c>
      <c r="U219" s="67" t="n"/>
      <c r="V219" s="67" t="n"/>
      <c r="W219" s="67" t="n"/>
      <c r="X219" s="67" t="n"/>
      <c r="Y219" s="67" t="n"/>
      <c r="Z219" s="67" t="n"/>
      <c r="AA219" s="67" t="n"/>
      <c r="AB219" s="67" t="n"/>
      <c r="AC219" s="67" t="n"/>
      <c r="AD219" s="67" t="n"/>
      <c r="AE219" s="67" t="n"/>
      <c r="AF219" s="67" t="n"/>
    </row>
    <row r="220">
      <c r="A220" s="67" t="n"/>
      <c r="B220" s="47" t="n">
        <v>214</v>
      </c>
      <c r="C220" s="44" t="inlineStr">
        <is>
          <t>Fundo Internacional de Desenvolvimento Agrícola (IFAD)</t>
        </is>
      </c>
      <c r="D220" s="44" t="inlineStr">
        <is>
          <t>Others</t>
        </is>
      </c>
      <c r="E220" s="62" t="inlineStr">
        <is>
          <t>Multilateral organizations</t>
        </is>
      </c>
      <c r="F220" s="44" t="inlineStr">
        <is>
          <t>UN specialized agency and international financial institution focused on rural poverty reduction; provides concessional finance and technical support to strengthen smallholder agriculture, resilience and sustainable rural development.</t>
        </is>
      </c>
      <c r="G220" s="46" t="inlineStr">
        <is>
          <t>Cross-border / international</t>
        </is>
      </c>
      <c r="H220" s="47" t="inlineStr">
        <is>
          <t>"Land, Food and Forest"</t>
        </is>
      </c>
      <c r="I220" s="48" t="n"/>
      <c r="J220" s="62" t="n"/>
      <c r="K220" s="62" t="inlineStr">
        <is>
          <t>No biome lens was assigned because the mapping did not confirm a specific, publicly identifiable biome-cut project portfolio in Brazil for this entry.</t>
        </is>
      </c>
      <c r="L220" s="62" t="inlineStr">
        <is>
          <t>Funder, Capital provider / Financial intermediary, Strategic partner</t>
        </is>
      </c>
      <c r="M220" s="61" t="inlineStr">
        <is>
          <t>Midstream</t>
        </is>
      </c>
      <c r="N220" s="61" t="inlineStr">
        <is>
          <t>Strategic partner</t>
        </is>
      </c>
      <c r="O220" s="61" t="inlineStr">
        <is>
          <t>Brasília, DF, Brazil</t>
        </is>
      </c>
      <c r="P220" s="61" t="inlineStr">
        <is>
          <t>Re-granter</t>
        </is>
      </c>
      <c r="Q220" s="61" t="n"/>
      <c r="R220" s="61" t="n"/>
      <c r="S220" s="61" t="n"/>
      <c r="T220" s="61" t="inlineStr">
        <is>
          <t>—</t>
        </is>
      </c>
      <c r="U220" s="67" t="n"/>
      <c r="V220" s="67" t="n"/>
      <c r="W220" s="67" t="n"/>
      <c r="X220" s="67" t="n"/>
      <c r="Y220" s="67" t="n"/>
      <c r="Z220" s="67" t="n"/>
      <c r="AA220" s="67" t="n"/>
      <c r="AB220" s="67" t="n"/>
      <c r="AC220" s="67" t="n"/>
      <c r="AD220" s="67" t="n"/>
      <c r="AE220" s="67" t="n"/>
      <c r="AF220" s="67" t="n"/>
    </row>
    <row r="221">
      <c r="A221" s="67" t="n"/>
      <c r="B221" s="47" t="n">
        <v>215</v>
      </c>
      <c r="C221" s="44" t="inlineStr">
        <is>
          <t>Wellcome Trust</t>
        </is>
      </c>
      <c r="D221" s="44" t="inlineStr">
        <is>
          <t>Funders</t>
        </is>
      </c>
      <c r="E221" s="62" t="inlineStr">
        <is>
          <t>Philanthropy foundations</t>
        </is>
      </c>
      <c r="F221" s="44" t="inlineStr">
        <is>
          <t>Global charitable foundation focused on health research; contributes to systemic transition by funding science on climate-and-health risks, innovation and evidence for resilient, equitable health systems.</t>
        </is>
      </c>
      <c r="G221" s="46" t="inlineStr">
        <is>
          <t>Cross-border / international</t>
        </is>
      </c>
      <c r="H221" s="47" t="inlineStr">
        <is>
          <t>Emergency response</t>
        </is>
      </c>
      <c r="I221" s="48" t="n"/>
      <c r="J221" s="62" t="n"/>
      <c r="K221" s="62" t="inlineStr">
        <is>
          <t>No biome lens was assigned because its support was research/health-systems oriented and not organized as biome-delimited initiatives in this mapping.</t>
        </is>
      </c>
      <c r="L221" s="62" t="inlineStr">
        <is>
          <t>Funder, Technical assistance / research</t>
        </is>
      </c>
      <c r="M221" s="61" t="inlineStr">
        <is>
          <t>Upstream</t>
        </is>
      </c>
      <c r="N221" s="61" t="inlineStr">
        <is>
          <t>Co-funding partner</t>
        </is>
      </c>
      <c r="O221" s="61" t="inlineStr">
        <is>
          <t>London, United Kingdom</t>
        </is>
      </c>
      <c r="P221" s="61" t="inlineStr">
        <is>
          <t>Donor</t>
        </is>
      </c>
      <c r="Q221" s="61" t="n"/>
      <c r="R221" s="61" t="n"/>
      <c r="S221" s="61" t="n"/>
      <c r="T221" s="61" t="inlineStr">
        <is>
          <t>—</t>
        </is>
      </c>
      <c r="U221" s="67" t="n"/>
      <c r="V221" s="67" t="n"/>
      <c r="W221" s="67" t="n"/>
      <c r="X221" s="67" t="n"/>
      <c r="Y221" s="67" t="n"/>
      <c r="Z221" s="67" t="n"/>
      <c r="AA221" s="67" t="n"/>
      <c r="AB221" s="67" t="n"/>
      <c r="AC221" s="67" t="n"/>
      <c r="AD221" s="67" t="n"/>
      <c r="AE221" s="67" t="n"/>
      <c r="AF221" s="67" t="n"/>
    </row>
    <row r="222">
      <c r="A222" s="67" t="n"/>
      <c r="B222" s="47" t="n">
        <v>216</v>
      </c>
      <c r="C222" s="44" t="inlineStr">
        <is>
          <t>Associação Caatinga</t>
        </is>
      </c>
      <c r="D222" s="44" t="inlineStr">
        <is>
          <t>Civil Society Organization (CSO)</t>
        </is>
      </c>
      <c r="E222" s="62" t="inlineStr">
        <is>
          <t>Local implementers</t>
        </is>
      </c>
      <c r="F222" s="44" t="inlineStr">
        <is>
          <t>Brazilian NGO dedicated to Caatinga conservation; supports systemic transition through biodiversity protection, restoration, community-based projects and partnerships that strengthen sustainable territorial development.</t>
        </is>
      </c>
      <c r="G222" s="46" t="inlineStr">
        <is>
          <t>Regional</t>
        </is>
      </c>
      <c r="H222" s="47" t="inlineStr">
        <is>
          <t>"Land, Food and Forest"</t>
        </is>
      </c>
      <c r="I222" s="60" t="inlineStr">
        <is>
          <t>Caatinga</t>
        </is>
      </c>
      <c r="J222" s="62" t="n"/>
      <c r="K222" s="62" t="inlineStr">
        <is>
          <t>It operated explicitly as a Caatinga-focused conservation organization with projects anchored in that biome.</t>
        </is>
      </c>
      <c r="L222" s="62" t="inlineStr">
        <is>
          <t>Project developer / Implementer, Territorial anchor</t>
        </is>
      </c>
      <c r="M222" s="61" t="inlineStr">
        <is>
          <t>Downstream</t>
        </is>
      </c>
      <c r="N222" s="61" t="inlineStr">
        <is>
          <t>Grant recipient</t>
        </is>
      </c>
      <c r="O222" s="61" t="inlineStr">
        <is>
          <t>Fortaleza, CE, Brazil</t>
        </is>
      </c>
      <c r="P222" s="62" t="inlineStr">
        <is>
          <t>Grantee</t>
        </is>
      </c>
      <c r="Q222" s="61" t="n"/>
      <c r="R222" s="61" t="n"/>
      <c r="S222" s="62" t="inlineStr">
        <is>
          <t xml:space="preserve">Important player for Caatinga Biome. Based on Ceará State. </t>
        </is>
      </c>
      <c r="T222" s="62" t="inlineStr">
        <is>
          <t>—</t>
        </is>
      </c>
      <c r="U222" s="67" t="n"/>
      <c r="V222" s="67" t="n"/>
      <c r="W222" s="67" t="n"/>
      <c r="X222" s="67" t="n"/>
      <c r="Y222" s="67" t="n"/>
      <c r="Z222" s="67" t="n"/>
      <c r="AA222" s="67" t="n"/>
      <c r="AB222" s="67" t="n"/>
      <c r="AC222" s="67" t="n"/>
      <c r="AD222" s="67" t="n"/>
      <c r="AE222" s="67" t="n"/>
      <c r="AF222" s="67" t="n"/>
    </row>
    <row r="223">
      <c r="A223" s="67" t="n"/>
      <c r="B223" s="47" t="n">
        <v>217</v>
      </c>
      <c r="C223" s="44" t="inlineStr">
        <is>
          <t>Fundo Constitucional de Financiamento do Nordeste (FNE)</t>
        </is>
      </c>
      <c r="D223" s="44" t="inlineStr">
        <is>
          <t>Public sector</t>
        </is>
      </c>
      <c r="E223" s="62" t="inlineStr">
        <is>
          <t>Development banks</t>
        </is>
      </c>
      <c r="F223" s="44" t="inlineStr">
        <is>
          <t>Constitutional regional fund operated via development finance; supports transition by providing long-term credit for productive investment, potentially steering capital toward low-carbon, resilient and inclusive regional development.</t>
        </is>
      </c>
      <c r="G223" s="46" t="inlineStr">
        <is>
          <t>Regional</t>
        </is>
      </c>
      <c r="H223" s="47" t="inlineStr">
        <is>
          <t>Buildings &amp; Transport, Energy, "Land, Food and Forest"</t>
        </is>
      </c>
      <c r="I223" s="48" t="inlineStr">
        <is>
          <t>Caatinga, Cerrado</t>
        </is>
      </c>
      <c r="J223" s="62" t="inlineStr">
        <is>
          <t>Coastal&amp;maritime</t>
        </is>
      </c>
      <c r="K223" s="62" t="inlineStr">
        <is>
          <t>It operated as a Northeast-focused finance instrument where Caatinga predominated, while financing also reached coastal economies with strong coastal-maritime interfaces.</t>
        </is>
      </c>
      <c r="L223" s="62" t="inlineStr">
        <is>
          <t>Capital provider / Financial intermediary</t>
        </is>
      </c>
      <c r="M223" s="61" t="inlineStr">
        <is>
          <t>Midstream</t>
        </is>
      </c>
      <c r="N223" s="61" t="inlineStr">
        <is>
          <t>Co-funding partner</t>
        </is>
      </c>
      <c r="O223" s="61" t="inlineStr">
        <is>
          <t>Fortaleza, CE, Brazil</t>
        </is>
      </c>
      <c r="P223" s="61" t="inlineStr">
        <is>
          <t>Re-granter</t>
        </is>
      </c>
      <c r="Q223" s="61" t="n"/>
      <c r="R223" s="61" t="n"/>
      <c r="S223" s="61" t="inlineStr">
        <is>
          <t xml:space="preserve">Potential co-funding partenr for Caatinga Biome. </t>
        </is>
      </c>
      <c r="T223" s="61" t="inlineStr">
        <is>
          <t>—</t>
        </is>
      </c>
      <c r="U223" s="67" t="n"/>
      <c r="V223" s="67" t="n"/>
      <c r="W223" s="67" t="n"/>
      <c r="X223" s="67" t="n"/>
      <c r="Y223" s="67" t="n"/>
      <c r="Z223" s="67" t="n"/>
      <c r="AA223" s="67" t="n"/>
      <c r="AB223" s="67" t="n"/>
      <c r="AC223" s="67" t="n"/>
      <c r="AD223" s="67" t="n"/>
      <c r="AE223" s="67" t="n"/>
      <c r="AF223" s="67" t="n"/>
    </row>
    <row r="224">
      <c r="A224" s="67" t="n"/>
      <c r="B224" s="47" t="n">
        <v>218</v>
      </c>
      <c r="C224" s="44" t="inlineStr">
        <is>
          <t>Articulação Semiárido Brasileiro (ASA Brasil)</t>
        </is>
      </c>
      <c r="D224" s="44" t="inlineStr">
        <is>
          <t>Civil Society Organization (CSO)</t>
        </is>
      </c>
      <c r="E224" s="62" t="inlineStr">
        <is>
          <t>Grassroots networks</t>
        </is>
      </c>
      <c r="F224" s="44" t="inlineStr">
        <is>
          <t>Network of civil society organizations in the Semi-arid region; strengthens climate resilience and food/water security through social technologies, community mobilization and advocacy for inclusive development.</t>
        </is>
      </c>
      <c r="G224" s="46" t="inlineStr">
        <is>
          <t>Regional</t>
        </is>
      </c>
      <c r="H224" s="47" t="inlineStr">
        <is>
          <t>"Land, Food and Forest"</t>
        </is>
      </c>
      <c r="I224" s="60" t="inlineStr">
        <is>
          <t>Caatinga</t>
        </is>
      </c>
      <c r="J224" s="62" t="n"/>
      <c r="K224" s="62" t="inlineStr">
        <is>
          <t>It operated explicitly in the Semi-arid territory and implemented water/food resilience actions anchored in the Caatinga biome.</t>
        </is>
      </c>
      <c r="L224" s="62" t="inlineStr">
        <is>
          <t>Community legitimacy / proximate leadership, Implementation capacity (delivery)</t>
        </is>
      </c>
      <c r="M224" s="61" t="inlineStr">
        <is>
          <t>Downstream</t>
        </is>
      </c>
      <c r="N224" s="61" t="inlineStr">
        <is>
          <t>Grant recipient</t>
        </is>
      </c>
      <c r="O224" s="61" t="inlineStr">
        <is>
          <t>Recife, PE, Brazil</t>
        </is>
      </c>
      <c r="P224" s="62" t="inlineStr">
        <is>
          <t>Grantee</t>
        </is>
      </c>
      <c r="Q224" s="61" t="n"/>
      <c r="R224" s="61" t="n"/>
      <c r="S224" s="62" t="inlineStr">
        <is>
          <t xml:space="preserve">Important player for Caatinga Biome. Based on Pernambuco State. </t>
        </is>
      </c>
      <c r="T224" s="62" t="inlineStr">
        <is>
          <t>—</t>
        </is>
      </c>
      <c r="U224" s="67" t="n"/>
      <c r="V224" s="67" t="n"/>
      <c r="W224" s="67" t="n"/>
      <c r="X224" s="67" t="n"/>
      <c r="Y224" s="67" t="n"/>
      <c r="Z224" s="67" t="n"/>
      <c r="AA224" s="67" t="n"/>
      <c r="AB224" s="67" t="n"/>
      <c r="AC224" s="67" t="n"/>
      <c r="AD224" s="67" t="n"/>
      <c r="AE224" s="67" t="n"/>
      <c r="AF224" s="67" t="n"/>
    </row>
    <row r="225">
      <c r="A225" s="67" t="n"/>
      <c r="B225" s="47" t="n">
        <v>219</v>
      </c>
      <c r="C225" s="44" t="inlineStr">
        <is>
          <t>Fundação Araripe</t>
        </is>
      </c>
      <c r="D225" s="44" t="inlineStr">
        <is>
          <t>Funders</t>
        </is>
      </c>
      <c r="E225" s="62" t="inlineStr">
        <is>
          <t>Philanthropy foundations</t>
        </is>
      </c>
      <c r="F225" s="44" t="inlineStr">
        <is>
          <t>Regional philanthropic foundation (linked to the Araripe territory); can support systemic transition by funding conservation, education and sustainable livelihoods initiatives aligned with territorial resilience and equity.</t>
        </is>
      </c>
      <c r="G225" s="46" t="inlineStr">
        <is>
          <t>Regional</t>
        </is>
      </c>
      <c r="H225" s="47" t="inlineStr">
        <is>
          <t>"Land, Food and Forest"</t>
        </is>
      </c>
      <c r="I225" s="60" t="inlineStr">
        <is>
          <t>Caatinga</t>
        </is>
      </c>
      <c r="J225" s="62" t="n"/>
      <c r="K225" s="62" t="inlineStr">
        <is>
          <t>It operated in the Araripe/Semi-arid context and funded territorial initiatives associated with the Caatinga biome.</t>
        </is>
      </c>
      <c r="L225" s="62" t="inlineStr">
        <is>
          <t>Project developer / Implementer, Technical assistance / research</t>
        </is>
      </c>
      <c r="M225" s="61" t="inlineStr">
        <is>
          <t>Downstream</t>
        </is>
      </c>
      <c r="N225" s="61" t="inlineStr">
        <is>
          <t>Co-funding partner</t>
        </is>
      </c>
      <c r="O225" s="61" t="inlineStr">
        <is>
          <t>Crato, CE, Brazil</t>
        </is>
      </c>
      <c r="P225" s="61" t="inlineStr">
        <is>
          <t>Grantee</t>
        </is>
      </c>
      <c r="Q225" s="61" t="n"/>
      <c r="R225" s="61" t="n"/>
      <c r="S225" s="61" t="inlineStr">
        <is>
          <t xml:space="preserve">Potential co-funding partenr for Caatinga Biome. </t>
        </is>
      </c>
      <c r="T225" s="61" t="inlineStr">
        <is>
          <t>—</t>
        </is>
      </c>
      <c r="U225" s="67" t="n"/>
      <c r="V225" s="67" t="n"/>
      <c r="W225" s="67" t="n"/>
      <c r="X225" s="67" t="n"/>
      <c r="Y225" s="67" t="n"/>
      <c r="Z225" s="67" t="n"/>
      <c r="AA225" s="67" t="n"/>
      <c r="AB225" s="67" t="n"/>
      <c r="AC225" s="67" t="n"/>
      <c r="AD225" s="67" t="n"/>
      <c r="AE225" s="67" t="n"/>
      <c r="AF225" s="67" t="n"/>
    </row>
    <row r="226">
      <c r="A226" s="67" t="n"/>
      <c r="B226" s="47" t="n">
        <v>220</v>
      </c>
      <c r="C226" s="44" t="inlineStr">
        <is>
          <t>Centro de Manejo de Fauna da Caatinga (CEMAFauna)</t>
        </is>
      </c>
      <c r="D226" s="44" t="inlineStr">
        <is>
          <t>Public sector</t>
        </is>
      </c>
      <c r="E226" s="62" t="inlineStr">
        <is>
          <t>Research centers</t>
        </is>
      </c>
      <c r="F226" s="44" t="inlineStr">
        <is>
          <t>Applied center focused on fauna management and conservation in the Caatinga; contributes through research, monitoring, rescue/rehabilitation and technical support for biodiversity protection and environmental licensing.</t>
        </is>
      </c>
      <c r="G226" s="46" t="inlineStr">
        <is>
          <t>Regional</t>
        </is>
      </c>
      <c r="H226" s="47" t="inlineStr">
        <is>
          <t>"Land, Food and Forest"</t>
        </is>
      </c>
      <c r="I226" s="60" t="inlineStr">
        <is>
          <t>Caatinga</t>
        </is>
      </c>
      <c r="J226" s="62" t="n"/>
      <c r="K226" s="62" t="inlineStr">
        <is>
          <t>It operated as a Caatinga fauna management and conservation center with activities explicitly delimited to that biome.</t>
        </is>
      </c>
      <c r="L226" s="62" t="inlineStr">
        <is>
          <t>Technical assistance / research</t>
        </is>
      </c>
      <c r="M226" s="61" t="inlineStr">
        <is>
          <t>Upstream</t>
        </is>
      </c>
      <c r="N226" s="61" t="inlineStr">
        <is>
          <t>Strategic partner</t>
        </is>
      </c>
      <c r="O226" s="61" t="inlineStr">
        <is>
          <t>Petrolina, PE, Brazil</t>
        </is>
      </c>
      <c r="P226" s="61" t="inlineStr">
        <is>
          <t>Grantee</t>
        </is>
      </c>
      <c r="Q226" s="61" t="n"/>
      <c r="R226" s="61" t="n"/>
      <c r="S226" s="61" t="n"/>
      <c r="T226" s="61" t="inlineStr">
        <is>
          <t>—</t>
        </is>
      </c>
      <c r="U226" s="67" t="n"/>
      <c r="V226" s="67" t="n"/>
      <c r="W226" s="67" t="n"/>
      <c r="X226" s="67" t="n"/>
      <c r="Y226" s="67" t="n"/>
      <c r="Z226" s="67" t="n"/>
      <c r="AA226" s="67" t="n"/>
      <c r="AB226" s="67" t="n"/>
      <c r="AC226" s="67" t="n"/>
      <c r="AD226" s="67" t="n"/>
      <c r="AE226" s="67" t="n"/>
      <c r="AF226" s="67" t="n"/>
    </row>
    <row r="227">
      <c r="A227" s="67" t="n"/>
      <c r="B227" s="47" t="n">
        <v>221</v>
      </c>
      <c r="C227" s="44" t="inlineStr">
        <is>
          <t>Instituto Regional da Pequena Agropecuária Apropriada (IRPAA)</t>
        </is>
      </c>
      <c r="D227" s="44" t="inlineStr">
        <is>
          <t>Civil Society Organization (CSO)</t>
        </is>
      </c>
      <c r="E227" s="62" t="inlineStr">
        <is>
          <t xml:space="preserve">Research centers </t>
        </is>
      </c>
      <c r="F227" s="44" t="inlineStr">
        <is>
          <t>Civil society organization that supports family farming in the Semi-arid; contributes through technical assistance, agroecology and water strategies that strengthen resilience, food security and sustainable rural development.</t>
        </is>
      </c>
      <c r="G227" s="46" t="inlineStr">
        <is>
          <t>State-level</t>
        </is>
      </c>
      <c r="H227" s="47" t="inlineStr">
        <is>
          <t>"Land, Food and Forest"</t>
        </is>
      </c>
      <c r="I227" s="60" t="inlineStr">
        <is>
          <t>Caatinga</t>
        </is>
      </c>
      <c r="J227" s="62" t="n"/>
      <c r="K227" s="62" t="inlineStr">
        <is>
          <t>It implemented semi-arid family-farming and water strategies explicitly tied to the Caatinga context.</t>
        </is>
      </c>
      <c r="L227" s="62" t="inlineStr">
        <is>
          <t>Project developer / Implementer, Community legitimacy / proximate leadership</t>
        </is>
      </c>
      <c r="M227" s="61" t="inlineStr">
        <is>
          <t>Downstream</t>
        </is>
      </c>
      <c r="N227" s="61" t="inlineStr">
        <is>
          <t>Strategic partner</t>
        </is>
      </c>
      <c r="O227" s="61" t="inlineStr">
        <is>
          <t>Juazeiro, BA, Brazil</t>
        </is>
      </c>
      <c r="P227" s="61" t="inlineStr">
        <is>
          <t>Grantee</t>
        </is>
      </c>
      <c r="Q227" s="61" t="n"/>
      <c r="R227" s="61" t="n"/>
      <c r="S227" s="61" t="n"/>
      <c r="T227" s="61" t="inlineStr">
        <is>
          <t>—</t>
        </is>
      </c>
      <c r="U227" s="67" t="n"/>
      <c r="V227" s="67" t="n"/>
      <c r="W227" s="67" t="n"/>
      <c r="X227" s="67" t="n"/>
      <c r="Y227" s="67" t="n"/>
      <c r="Z227" s="67" t="n"/>
      <c r="AA227" s="67" t="n"/>
      <c r="AB227" s="67" t="n"/>
      <c r="AC227" s="67" t="n"/>
      <c r="AD227" s="67" t="n"/>
      <c r="AE227" s="67" t="n"/>
      <c r="AF227" s="67" t="n"/>
    </row>
    <row r="228">
      <c r="A228" s="67" t="n"/>
      <c r="B228" s="47" t="n">
        <v>222</v>
      </c>
      <c r="C228" s="44" t="inlineStr">
        <is>
          <t>Global Energy Alliance for People and Planet (GEAPP)</t>
        </is>
      </c>
      <c r="D228" s="44" t="inlineStr">
        <is>
          <t>Others</t>
        </is>
      </c>
      <c r="E228" s="62" t="inlineStr">
        <is>
          <t>Alliances</t>
        </is>
      </c>
      <c r="F228" s="44" t="inlineStr">
        <is>
          <t>Global alliance that mobilizes philanthropic, public and private partners to accelerate clean energy deployment and energy access; supports systemic transition through catalytic finance, project pipelines and policy/implementation partnerships.</t>
        </is>
      </c>
      <c r="G228" s="46" t="inlineStr">
        <is>
          <t>Cross-border / international</t>
        </is>
      </c>
      <c r="H228" s="47" t="inlineStr">
        <is>
          <t>Energy</t>
        </is>
      </c>
      <c r="I228" s="48" t="n"/>
      <c r="J228" s="62" t="n"/>
      <c r="K228" s="62" t="inlineStr">
        <is>
          <t>No biome lens was assigned because it operated through global energy-access/finance pipelines and was not mapped here as biome-delimited implementation in Brazil.</t>
        </is>
      </c>
      <c r="L228" s="62" t="inlineStr">
        <is>
          <t>Strategic partner, Funder, Convenor/enablers</t>
        </is>
      </c>
      <c r="M228" s="61" t="inlineStr">
        <is>
          <t>Midstream</t>
        </is>
      </c>
      <c r="N228" s="61" t="inlineStr">
        <is>
          <t>Strategic partner</t>
        </is>
      </c>
      <c r="O228" s="61" t="inlineStr">
        <is>
          <t>São Paulo, SP, Brazil</t>
        </is>
      </c>
      <c r="P228" s="61" t="inlineStr">
        <is>
          <t>Donor</t>
        </is>
      </c>
      <c r="Q228" s="61" t="n"/>
      <c r="R228" s="61" t="n"/>
      <c r="S228" s="61" t="n"/>
      <c r="T228" s="61" t="inlineStr">
        <is>
          <t>—</t>
        </is>
      </c>
      <c r="U228" s="67" t="n"/>
      <c r="V228" s="67" t="n"/>
      <c r="W228" s="67" t="n"/>
      <c r="X228" s="67" t="n"/>
      <c r="Y228" s="67" t="n"/>
      <c r="Z228" s="67" t="n"/>
      <c r="AA228" s="67" t="n"/>
      <c r="AB228" s="67" t="n"/>
      <c r="AC228" s="67" t="n"/>
      <c r="AD228" s="67" t="n"/>
      <c r="AE228" s="67" t="n"/>
      <c r="AF228" s="67" t="n"/>
    </row>
    <row r="229">
      <c r="A229" s="67" t="n"/>
      <c r="B229" s="47" t="n">
        <v>223</v>
      </c>
      <c r="C229" s="44" t="inlineStr">
        <is>
          <t>Banco Nacional de Desenvolvimento Econômico e Social (BNDES)</t>
        </is>
      </c>
      <c r="D229" s="44" t="inlineStr">
        <is>
          <t>Public sector</t>
        </is>
      </c>
      <c r="E229" s="62" t="inlineStr">
        <is>
          <t>Development banks</t>
        </is>
      </c>
      <c r="F229" s="44" t="inlineStr">
        <is>
          <t>Brazil’s national development bank; enables systemic transition by providing long-term finance and structuring blended-finance/investment platforms for renewable energy, resilient infrastructure, low-carbon industry and sustainable land-use value chains.</t>
        </is>
      </c>
      <c r="G229" s="46" t="inlineStr">
        <is>
          <t>National</t>
        </is>
      </c>
      <c r="H229" s="47" t="inlineStr">
        <is>
          <t>Buildings &amp; Transport, Emergency response, Energy, "Land, Food and Forest"</t>
        </is>
      </c>
      <c r="I229" s="48" t="n"/>
      <c r="J229" s="62" t="n"/>
      <c r="K229" s="62" t="inlineStr">
        <is>
          <t>No biome lens was assigned because financing was cross-sector/national and the mapping did not isolate a stable biome-specific operational portfolio.</t>
        </is>
      </c>
      <c r="L229" s="62" t="inlineStr">
        <is>
          <t>Capital provider / Financial intermediary, Territorial anchor, Funder</t>
        </is>
      </c>
      <c r="M229" s="61" t="inlineStr">
        <is>
          <t>Midstream</t>
        </is>
      </c>
      <c r="N229" s="61" t="inlineStr">
        <is>
          <t>Co-funding partner</t>
        </is>
      </c>
      <c r="O229" s="61" t="inlineStr">
        <is>
          <t>Rio de Janeiro, RJ, Brazil</t>
        </is>
      </c>
      <c r="P229" s="62" t="inlineStr">
        <is>
          <t>Re-granter</t>
        </is>
      </c>
      <c r="Q229" s="61" t="n"/>
      <c r="R229" s="55" t="inlineStr">
        <is>
          <t>https://www.bndes.gov.br/wps/portal/site/home</t>
        </is>
      </c>
      <c r="S229" s="62" t="inlineStr">
        <is>
          <t xml:space="preserve">Runs the Amazon Fund, among mmany other funding streams. Would very important to talk to them and address a constructive partnership devolpment. </t>
        </is>
      </c>
      <c r="T229" s="62" t="inlineStr">
        <is>
          <t>—</t>
        </is>
      </c>
      <c r="U229" s="67" t="n"/>
      <c r="V229" s="67" t="n"/>
      <c r="W229" s="67" t="n"/>
      <c r="X229" s="67" t="n"/>
      <c r="Y229" s="67" t="n"/>
      <c r="Z229" s="67" t="n"/>
      <c r="AA229" s="67" t="n"/>
      <c r="AB229" s="67" t="n"/>
      <c r="AC229" s="67" t="n"/>
      <c r="AD229" s="67" t="n"/>
      <c r="AE229" s="67" t="n"/>
      <c r="AF229" s="67" t="n"/>
    </row>
    <row r="230">
      <c r="A230" s="67" t="n"/>
      <c r="B230" s="47" t="n">
        <v>224</v>
      </c>
      <c r="C230" s="44" t="inlineStr">
        <is>
          <t>Banco do Nordeste (BNB)</t>
        </is>
      </c>
      <c r="D230" s="44" t="inlineStr">
        <is>
          <t>Public sector</t>
        </is>
      </c>
      <c r="E230" s="62" t="inlineStr">
        <is>
          <t>Development banks</t>
        </is>
      </c>
      <c r="F230" s="44" t="inlineStr">
        <is>
          <t>Regional development bank for the Northeast; accelerates transition by channeling credit and technical support to productive inclusion, resilient AFOLU systems in the Semiárido/Caatinga, clean energy projects and sustainable local infrastructure.</t>
        </is>
      </c>
      <c r="G230" s="46" t="inlineStr">
        <is>
          <t>Regional</t>
        </is>
      </c>
      <c r="H230" s="47" t="inlineStr">
        <is>
          <t>Buildings &amp; Transport, Energy, "Land, Food and Forest"</t>
        </is>
      </c>
      <c r="I230" s="60" t="inlineStr">
        <is>
          <t>Caatinga</t>
        </is>
      </c>
      <c r="J230" s="62" t="inlineStr">
        <is>
          <t>Coastal&amp;maritime</t>
        </is>
      </c>
      <c r="K230" s="62" t="inlineStr">
        <is>
          <t>It operated with a Northeast mandate where Caatinga predominated and it also financed/coordinated activities in coastal zones with strong coastal-maritime interfaces.</t>
        </is>
      </c>
      <c r="L230" s="62" t="inlineStr">
        <is>
          <t>Capital provider / Financial intermediary, Territorial anchor</t>
        </is>
      </c>
      <c r="M230" s="61" t="inlineStr">
        <is>
          <t>Midstream</t>
        </is>
      </c>
      <c r="N230" s="61" t="inlineStr">
        <is>
          <t>Co-funding partner</t>
        </is>
      </c>
      <c r="O230" s="61" t="inlineStr">
        <is>
          <t>Fortaleza, CE, Brazil</t>
        </is>
      </c>
      <c r="P230" s="61" t="inlineStr">
        <is>
          <t>Re-granter</t>
        </is>
      </c>
      <c r="Q230" s="61" t="n"/>
      <c r="R230" s="61" t="n"/>
      <c r="S230" s="61" t="n"/>
      <c r="T230" s="61" t="inlineStr">
        <is>
          <t>—</t>
        </is>
      </c>
      <c r="U230" s="67" t="n"/>
      <c r="V230" s="67" t="n"/>
      <c r="W230" s="67" t="n"/>
      <c r="X230" s="67" t="n"/>
      <c r="Y230" s="67" t="n"/>
      <c r="Z230" s="67" t="n"/>
      <c r="AA230" s="67" t="n"/>
      <c r="AB230" s="67" t="n"/>
      <c r="AC230" s="67" t="n"/>
      <c r="AD230" s="67" t="n"/>
      <c r="AE230" s="67" t="n"/>
      <c r="AF230" s="67" t="n"/>
    </row>
    <row r="231">
      <c r="A231" s="67" t="n"/>
      <c r="B231" s="47" t="n">
        <v>225</v>
      </c>
      <c r="C231" s="44" t="inlineStr">
        <is>
          <t>Banco do Brasil (BB)</t>
        </is>
      </c>
      <c r="D231" s="44" t="inlineStr">
        <is>
          <t>Public sector</t>
        </is>
      </c>
      <c r="E231" s="62" t="inlineStr">
        <is>
          <t>Commercial banks</t>
        </is>
      </c>
      <c r="F231" s="44" t="inlineStr">
        <is>
          <t>Large commercial bank with strong role in rural finance; supports transition by steering credit, risk management and incentives toward sustainable agriculture, deforestation-free supply chains, climate resilience and inclusive green investment.</t>
        </is>
      </c>
      <c r="G231" s="46" t="inlineStr">
        <is>
          <t>National</t>
        </is>
      </c>
      <c r="H231" s="47" t="inlineStr">
        <is>
          <t>Buildings &amp; Transport, Energy, "Land, Food and Forest"</t>
        </is>
      </c>
      <c r="I231" s="48" t="n"/>
      <c r="J231" s="62" t="n"/>
      <c r="K231" s="62" t="inlineStr">
        <is>
          <t>No biome lens was assigned because its rural and corporate finance operated nationally and was not structured as a biome-delimited program portfolio in this mapping.</t>
        </is>
      </c>
      <c r="L231" s="62" t="inlineStr">
        <is>
          <t>Capital provider / Financial intermediary, Territorial anchor</t>
        </is>
      </c>
      <c r="M231" s="61" t="inlineStr">
        <is>
          <t>Midstream</t>
        </is>
      </c>
      <c r="N231" s="61" t="inlineStr">
        <is>
          <t>Co-funding partner</t>
        </is>
      </c>
      <c r="O231" s="61" t="inlineStr">
        <is>
          <t>Brasília, DF, Brazil</t>
        </is>
      </c>
      <c r="P231" s="61" t="inlineStr">
        <is>
          <t>Re-granter</t>
        </is>
      </c>
      <c r="Q231" s="61" t="n"/>
      <c r="R231" s="61" t="n"/>
      <c r="S231" s="61" t="n"/>
      <c r="T231" s="61" t="inlineStr">
        <is>
          <t>—</t>
        </is>
      </c>
      <c r="U231" s="67" t="n"/>
      <c r="V231" s="67" t="n"/>
      <c r="W231" s="67" t="n"/>
      <c r="X231" s="67" t="n"/>
      <c r="Y231" s="67" t="n"/>
      <c r="Z231" s="67" t="n"/>
      <c r="AA231" s="67" t="n"/>
      <c r="AB231" s="67" t="n"/>
      <c r="AC231" s="67" t="n"/>
      <c r="AD231" s="67" t="n"/>
      <c r="AE231" s="67" t="n"/>
      <c r="AF231" s="67" t="n"/>
    </row>
    <row r="232">
      <c r="A232" s="67" t="n"/>
      <c r="B232" s="47" t="n">
        <v>226</v>
      </c>
      <c r="C232" s="44" t="inlineStr">
        <is>
          <t>Federação Brasileira de Bancos (Febraban)</t>
        </is>
      </c>
      <c r="D232" s="44" t="inlineStr">
        <is>
          <t>Civil Society Organization (CSO)</t>
        </is>
      </c>
      <c r="E232" s="62" t="inlineStr">
        <is>
          <t>Industry platforms and sectoral initiatives</t>
        </is>
      </c>
      <c r="F232" s="44" t="inlineStr">
        <is>
          <t>Banking federation that coordinates sector commitments and standards; contributes by shaping sustainable finance practices (risk, disclosure, taxonomy/labels) and aligning banking products with low-carbon and nature-positive outcomes.</t>
        </is>
      </c>
      <c r="G232" s="46" t="inlineStr">
        <is>
          <t>National</t>
        </is>
      </c>
      <c r="H232" s="47" t="n"/>
      <c r="I232" s="48" t="n"/>
      <c r="J232" s="62" t="n"/>
      <c r="K232" s="62" t="inlineStr">
        <is>
          <t>No biome lens was assigned because it operated through sector coordination/standards rather than biome-delimited initiatives.</t>
        </is>
      </c>
      <c r="L232" s="62" t="inlineStr">
        <is>
          <t>Convenor/enablers, Policy influence / regulation</t>
        </is>
      </c>
      <c r="M232" s="61" t="inlineStr">
        <is>
          <t>Upstream</t>
        </is>
      </c>
      <c r="N232" s="61" t="inlineStr">
        <is>
          <t>Strategic partner</t>
        </is>
      </c>
      <c r="O232" s="61" t="inlineStr">
        <is>
          <t>São Paulo, SP, Brazil</t>
        </is>
      </c>
      <c r="P232" s="61" t="inlineStr">
        <is>
          <t>Grantee</t>
        </is>
      </c>
      <c r="Q232" s="61" t="n"/>
      <c r="R232" s="61" t="n"/>
      <c r="S232" s="61" t="n"/>
      <c r="T232" s="61" t="inlineStr">
        <is>
          <t>—</t>
        </is>
      </c>
      <c r="U232" s="67" t="n"/>
      <c r="V232" s="67" t="n"/>
      <c r="W232" s="67" t="n"/>
      <c r="X232" s="67" t="n"/>
      <c r="Y232" s="67" t="n"/>
      <c r="Z232" s="67" t="n"/>
      <c r="AA232" s="67" t="n"/>
      <c r="AB232" s="67" t="n"/>
      <c r="AC232" s="67" t="n"/>
      <c r="AD232" s="67" t="n"/>
      <c r="AE232" s="67" t="n"/>
      <c r="AF232" s="67" t="n"/>
    </row>
    <row r="233">
      <c r="A233" s="67" t="n"/>
      <c r="B233" s="47" t="n">
        <v>227</v>
      </c>
      <c r="C233" s="44" t="inlineStr">
        <is>
          <t>B3 – Brasil, Bolsa, Balcão (B3)</t>
        </is>
      </c>
      <c r="D233" s="44" t="inlineStr">
        <is>
          <t>Private sector</t>
        </is>
      </c>
      <c r="E233" s="62" t="inlineStr">
        <is>
          <t>Private companies (large / leading)</t>
        </is>
      </c>
      <c r="F233" s="44" t="inlineStr">
        <is>
          <t>Capital markets infrastructure (stock exchange and clearing); supports transition by enabling listings and sustainable instruments (e.g., green/transition bonds), improving transparency and disclosure, and strengthening market standards for ESG and climate risk.</t>
        </is>
      </c>
      <c r="G233" s="46" t="inlineStr">
        <is>
          <t>National</t>
        </is>
      </c>
      <c r="H233" s="47" t="n"/>
      <c r="I233" s="48" t="n"/>
      <c r="J233" s="62" t="n"/>
      <c r="K233" s="62" t="inlineStr">
        <is>
          <t>No biome lens was assigned because it operated through market infrastructure and disclosure standards without biome-delimited implementation.</t>
        </is>
      </c>
      <c r="L233" s="62" t="inlineStr">
        <is>
          <t>Data / MRV / platforms, Convenor/enablers</t>
        </is>
      </c>
      <c r="M233" s="61" t="inlineStr">
        <is>
          <t>Midstream</t>
        </is>
      </c>
      <c r="N233" s="61" t="inlineStr">
        <is>
          <t>Co-funding partner</t>
        </is>
      </c>
      <c r="O233" s="61" t="inlineStr">
        <is>
          <t>São Paulo, SP, Brazil</t>
        </is>
      </c>
      <c r="P233" s="61" t="inlineStr">
        <is>
          <t>Grantee</t>
        </is>
      </c>
      <c r="Q233" s="61" t="n"/>
      <c r="R233" s="61" t="n"/>
      <c r="S233" s="61" t="n"/>
      <c r="T233" s="61" t="inlineStr">
        <is>
          <t>—</t>
        </is>
      </c>
      <c r="U233" s="67" t="n"/>
      <c r="V233" s="67" t="n"/>
      <c r="W233" s="67" t="n"/>
      <c r="X233" s="67" t="n"/>
      <c r="Y233" s="67" t="n"/>
      <c r="Z233" s="67" t="n"/>
      <c r="AA233" s="67" t="n"/>
      <c r="AB233" s="67" t="n"/>
      <c r="AC233" s="67" t="n"/>
      <c r="AD233" s="67" t="n"/>
      <c r="AE233" s="67" t="n"/>
      <c r="AF233" s="67" t="n"/>
    </row>
    <row r="234">
      <c r="A234" s="67" t="n"/>
      <c r="B234" s="47" t="n">
        <v>228</v>
      </c>
      <c r="C234" s="44" t="inlineStr">
        <is>
          <t>Câmara de Comercialização de Energia Elétrica (CCEE)</t>
        </is>
      </c>
      <c r="D234" s="44" t="inlineStr">
        <is>
          <t>Civil Society Organization (CSO)</t>
        </is>
      </c>
      <c r="E234" s="62" t="inlineStr">
        <is>
          <t>Industry platforms and sectoral initiatives</t>
        </is>
      </c>
      <c r="F234" s="44" t="inlineStr">
        <is>
          <t>Electricity market operator for trading/settlement; enables energy transition by operating market mechanisms and data systems that support competition, renewable integration, contracting innovations and efficient price signals.</t>
        </is>
      </c>
      <c r="G234" s="46" t="inlineStr">
        <is>
          <t>National</t>
        </is>
      </c>
      <c r="H234" s="47" t="inlineStr">
        <is>
          <t>Energy</t>
        </is>
      </c>
      <c r="I234" s="48" t="n"/>
      <c r="J234" s="62" t="n"/>
      <c r="K234" s="62" t="inlineStr">
        <is>
          <t>No biome lens was assigned because it operated through national electricity market rules/settlement systems and not biome-specific initiatives.</t>
        </is>
      </c>
      <c r="L234" s="62" t="inlineStr">
        <is>
          <t>Policy influence / regulation, Data / MRV / platforms</t>
        </is>
      </c>
      <c r="M234" s="61" t="inlineStr">
        <is>
          <t>Upstream</t>
        </is>
      </c>
      <c r="N234" s="61" t="inlineStr">
        <is>
          <t>Strategic partner</t>
        </is>
      </c>
      <c r="O234" s="61" t="inlineStr">
        <is>
          <t>São Paulo, SP, Brazil</t>
        </is>
      </c>
      <c r="P234" s="61" t="inlineStr">
        <is>
          <t>Grantee</t>
        </is>
      </c>
      <c r="Q234" s="61" t="n"/>
      <c r="R234" s="61" t="n"/>
      <c r="S234" s="61" t="n"/>
      <c r="T234" s="61" t="inlineStr">
        <is>
          <t>—</t>
        </is>
      </c>
      <c r="U234" s="67" t="n"/>
      <c r="V234" s="67" t="n"/>
      <c r="W234" s="67" t="n"/>
      <c r="X234" s="67" t="n"/>
      <c r="Y234" s="67" t="n"/>
      <c r="Z234" s="67" t="n"/>
      <c r="AA234" s="67" t="n"/>
      <c r="AB234" s="67" t="n"/>
      <c r="AC234" s="67" t="n"/>
      <c r="AD234" s="67" t="n"/>
      <c r="AE234" s="67" t="n"/>
      <c r="AF234" s="67" t="n"/>
    </row>
    <row r="235">
      <c r="A235" s="67" t="n"/>
      <c r="B235" s="47" t="n">
        <v>229</v>
      </c>
      <c r="C235" s="44" t="inlineStr">
        <is>
          <t>Agência Nacional do Petróleo, Gás Natural e Biocombustíveis (ANP)</t>
        </is>
      </c>
      <c r="D235" s="44" t="inlineStr">
        <is>
          <t>Public sector</t>
        </is>
      </c>
      <c r="E235" s="62" t="inlineStr">
        <is>
          <t>Public agencies and regulators</t>
        </is>
      </c>
      <c r="F235" s="44" t="inlineStr">
        <is>
          <t>Federal regulator for oil, gas and biofuels; influences transition through regulation of fuels markets, biofuels standards and oversight that can reduce emissions and support lower-carbon energy pathways.</t>
        </is>
      </c>
      <c r="G235" s="46" t="inlineStr">
        <is>
          <t>National</t>
        </is>
      </c>
      <c r="H235" s="47" t="inlineStr">
        <is>
          <t>Buildings &amp; Transport, Energy</t>
        </is>
      </c>
      <c r="I235" s="48" t="n"/>
      <c r="J235" s="62" t="n"/>
      <c r="K235" s="62" t="inlineStr">
        <is>
          <t>No biome lens was assigned because regulatory oversight was national/sectoral and not organized through biome-delimited programs in this mapping.</t>
        </is>
      </c>
      <c r="L235" s="62" t="inlineStr">
        <is>
          <t>Policy influence / regulation</t>
        </is>
      </c>
      <c r="M235" s="61" t="inlineStr">
        <is>
          <t>Upstream</t>
        </is>
      </c>
      <c r="N235" s="61" t="inlineStr">
        <is>
          <t>Strategic partner</t>
        </is>
      </c>
      <c r="O235" s="61" t="inlineStr">
        <is>
          <t>Rio de Janeiro, RJ, Brazil</t>
        </is>
      </c>
      <c r="P235" s="61" t="inlineStr">
        <is>
          <t>Grantee</t>
        </is>
      </c>
      <c r="Q235" s="61" t="n"/>
      <c r="R235" s="61" t="n"/>
      <c r="S235" s="61" t="n"/>
      <c r="T235" s="61" t="inlineStr">
        <is>
          <t>—</t>
        </is>
      </c>
      <c r="U235" s="67" t="n"/>
      <c r="V235" s="67" t="n"/>
      <c r="W235" s="67" t="n"/>
      <c r="X235" s="67" t="n"/>
      <c r="Y235" s="67" t="n"/>
      <c r="Z235" s="67" t="n"/>
      <c r="AA235" s="67" t="n"/>
      <c r="AB235" s="67" t="n"/>
      <c r="AC235" s="67" t="n"/>
      <c r="AD235" s="67" t="n"/>
      <c r="AE235" s="67" t="n"/>
      <c r="AF235" s="67" t="n"/>
    </row>
    <row r="236">
      <c r="A236" s="67" t="n"/>
      <c r="B236" s="47" t="n">
        <v>230</v>
      </c>
      <c r="C236" s="44" t="inlineStr">
        <is>
          <t>Agência Nacional de Águas e Saneamento Básico (ANA)</t>
        </is>
      </c>
      <c r="D236" s="44" t="inlineStr">
        <is>
          <t>Public sector</t>
        </is>
      </c>
      <c r="E236" s="62" t="inlineStr">
        <is>
          <t>Public agencies and regulators</t>
        </is>
      </c>
      <c r="F236" s="44" t="inlineStr">
        <is>
          <t>Federal water and sanitation regulator; contributes to systemic transition by strengthening water governance, resilience planning and regulatory frameworks critical for cities, energy systems and AFOLU—especially in water-stressed regions.</t>
        </is>
      </c>
      <c r="G236" s="46" t="inlineStr">
        <is>
          <t>National</t>
        </is>
      </c>
      <c r="H236" s="47" t="inlineStr">
        <is>
          <t>Buildings &amp; Transport, Energy, "Land, Food and Forest"</t>
        </is>
      </c>
      <c r="I236" s="48" t="n"/>
      <c r="J236" s="62" t="n"/>
      <c r="K236" s="62" t="inlineStr">
        <is>
          <t>No biome lens was assigned because regulation and governance instruments were national and not mapped as biome-delimited initiatives for this entry.</t>
        </is>
      </c>
      <c r="L236" s="62" t="inlineStr">
        <is>
          <t>Policy influence / regulation, Territorial anchor</t>
        </is>
      </c>
      <c r="M236" s="61" t="inlineStr">
        <is>
          <t>Upstream</t>
        </is>
      </c>
      <c r="N236" s="61" t="inlineStr">
        <is>
          <t>Strategic partner</t>
        </is>
      </c>
      <c r="O236" s="61" t="inlineStr">
        <is>
          <t>Brasília, DF, Brazil</t>
        </is>
      </c>
      <c r="P236" s="61" t="inlineStr">
        <is>
          <t>Grantee</t>
        </is>
      </c>
      <c r="Q236" s="61" t="n"/>
      <c r="R236" s="61" t="n"/>
      <c r="S236" s="61" t="n"/>
      <c r="T236" s="61" t="inlineStr">
        <is>
          <t>—</t>
        </is>
      </c>
      <c r="U236" s="67" t="n"/>
      <c r="V236" s="67" t="n"/>
      <c r="W236" s="67" t="n"/>
      <c r="X236" s="67" t="n"/>
      <c r="Y236" s="67" t="n"/>
      <c r="Z236" s="67" t="n"/>
      <c r="AA236" s="67" t="n"/>
      <c r="AB236" s="67" t="n"/>
      <c r="AC236" s="67" t="n"/>
      <c r="AD236" s="67" t="n"/>
      <c r="AE236" s="67" t="n"/>
      <c r="AF236" s="67" t="n"/>
    </row>
    <row r="237">
      <c r="A237" s="67" t="n"/>
      <c r="B237" s="47" t="n">
        <v>231</v>
      </c>
      <c r="C237" s="44" t="inlineStr">
        <is>
          <t>MapBiomas (MapBiomas)</t>
        </is>
      </c>
      <c r="D237" s="44" t="inlineStr">
        <is>
          <t>Others</t>
        </is>
      </c>
      <c r="E237" s="62" t="inlineStr">
        <is>
          <t>Monitoring, Evaluation, and Learning</t>
        </is>
      </c>
      <c r="F237" s="44" t="inlineStr">
        <is>
          <t>Multi-institutional network producing high-resolution land-use and ecosystem monitoring; supports AFOLU transition by providing transparent data for deforestation control, land-use planning, enforcement and sustainable finance due diligence.</t>
        </is>
      </c>
      <c r="G237" s="46" t="inlineStr">
        <is>
          <t>National</t>
        </is>
      </c>
      <c r="H237" s="47" t="inlineStr">
        <is>
          <t>"Land, Food and Forest"</t>
        </is>
      </c>
      <c r="I237" s="48" t="inlineStr">
        <is>
          <t>Amazonia, Caatinga, Cerrado</t>
        </is>
      </c>
      <c r="J237" s="62" t="inlineStr">
        <is>
          <t>Mata&amp;Atlântica, Pantanal, Pampa, Coastal&amp;maritime</t>
        </is>
      </c>
      <c r="K237" s="62" t="inlineStr">
        <is>
          <t>It published biome-explicit land-use and ecosystem series with strongest recurrent attention to Amazonia and Cerrado transitions, while it also maintained consistent coverage across the remaining biomes.</t>
        </is>
      </c>
      <c r="L237" s="62" t="inlineStr">
        <is>
          <t>Data / MRV / platforms, Technical assistance / research</t>
        </is>
      </c>
      <c r="M237" s="61" t="inlineStr">
        <is>
          <t>Upstream</t>
        </is>
      </c>
      <c r="N237" s="61" t="inlineStr">
        <is>
          <t>Grant recipient</t>
        </is>
      </c>
      <c r="O237" s="61" t="inlineStr">
        <is>
          <t>São Paulo, SP, Brazil</t>
        </is>
      </c>
      <c r="P237" s="62" t="inlineStr">
        <is>
          <t>Grantee</t>
        </is>
      </c>
      <c r="Q237" s="61" t="n"/>
      <c r="R237" s="61" t="n"/>
      <c r="S237" s="62" t="inlineStr">
        <is>
          <t xml:space="preserve">Relevant strategic and implementing partner for climate change and related impact areas and biomes for IKF work in Brazil. </t>
        </is>
      </c>
      <c r="T237" s="62" t="inlineStr">
        <is>
          <t>High-resolution land-use and vegetation cover monitoring, multi-biome MRV data platform</t>
        </is>
      </c>
      <c r="U237" s="67" t="n"/>
      <c r="V237" s="67" t="n"/>
      <c r="W237" s="67" t="n"/>
      <c r="X237" s="67" t="n"/>
      <c r="Y237" s="67" t="n"/>
      <c r="Z237" s="67" t="n"/>
      <c r="AA237" s="67" t="n"/>
      <c r="AB237" s="67" t="n"/>
      <c r="AC237" s="67" t="n"/>
      <c r="AD237" s="67" t="n"/>
      <c r="AE237" s="67" t="n"/>
      <c r="AF237" s="67" t="n"/>
    </row>
    <row r="238">
      <c r="A238" s="67" t="n"/>
      <c r="B238" s="47" t="n">
        <v>232</v>
      </c>
      <c r="C238" s="44" t="inlineStr">
        <is>
          <t>Instituto Nacional do Semiárido (INSA)</t>
        </is>
      </c>
      <c r="D238" s="44" t="inlineStr">
        <is>
          <t>Public sector</t>
        </is>
      </c>
      <c r="E238" s="62" t="inlineStr">
        <is>
          <t>Research centers</t>
        </is>
      </c>
      <c r="F238" s="44" t="inlineStr">
        <is>
          <t>Federal research institute focused on the Semi-arid; enables transition in the Caatinga by generating applied knowledge and innovation for water security, climate adaptation, sustainable production systems and territorial resilience.</t>
        </is>
      </c>
      <c r="G238" s="46" t="inlineStr">
        <is>
          <t>Regional</t>
        </is>
      </c>
      <c r="H238" s="47" t="inlineStr">
        <is>
          <t>"Land, Food and Forest"</t>
        </is>
      </c>
      <c r="I238" s="60" t="inlineStr">
        <is>
          <t>Caatinga</t>
        </is>
      </c>
      <c r="J238" s="62" t="n"/>
      <c r="K238" s="62" t="inlineStr">
        <is>
          <t>It operated explicitly as a Semi-arid institute and produced applied research anchored in the Caatinga biome.</t>
        </is>
      </c>
      <c r="L238" s="62" t="inlineStr">
        <is>
          <t>Technical assistance / research, Territorial anchor</t>
        </is>
      </c>
      <c r="M238" s="61" t="inlineStr">
        <is>
          <t>Upstream</t>
        </is>
      </c>
      <c r="N238" s="61" t="inlineStr">
        <is>
          <t>Strategic partner</t>
        </is>
      </c>
      <c r="O238" s="61" t="inlineStr">
        <is>
          <t>Campina Grande, PB, Brazil</t>
        </is>
      </c>
      <c r="P238" s="61" t="inlineStr">
        <is>
          <t>Grantee</t>
        </is>
      </c>
      <c r="Q238" s="61" t="n"/>
      <c r="R238" s="61" t="n"/>
      <c r="S238" s="61" t="n"/>
      <c r="T238" s="61" t="inlineStr">
        <is>
          <t>—</t>
        </is>
      </c>
      <c r="U238" s="67" t="n"/>
      <c r="V238" s="67" t="n"/>
      <c r="W238" s="67" t="n"/>
      <c r="X238" s="67" t="n"/>
      <c r="Y238" s="67" t="n"/>
      <c r="Z238" s="67" t="n"/>
      <c r="AA238" s="67" t="n"/>
      <c r="AB238" s="67" t="n"/>
      <c r="AC238" s="67" t="n"/>
      <c r="AD238" s="67" t="n"/>
      <c r="AE238" s="67" t="n"/>
      <c r="AF238" s="67" t="n"/>
    </row>
    <row r="239">
      <c r="A239" s="67" t="n"/>
      <c r="B239" s="47" t="n">
        <v>233</v>
      </c>
      <c r="C239" s="44" t="inlineStr">
        <is>
          <t>Instituto de Desenvolvimento Sustentável Mamirauá (IDSM)</t>
        </is>
      </c>
      <c r="D239" s="44" t="inlineStr">
        <is>
          <t>Civil Society Organization (CSO)</t>
        </is>
      </c>
      <c r="E239" s="62" t="inlineStr">
        <is>
          <t>Monitoring, Evaluation, and Learning</t>
        </is>
      </c>
      <c r="F239" s="44" t="inlineStr">
        <is>
          <t>Applied research institute in the Amazon; supports systemic transition by combining science, monitoring and community-based models for conservation, sustainable livelihoods and nature-positive development pathways.</t>
        </is>
      </c>
      <c r="G239" s="46" t="inlineStr">
        <is>
          <t>Regional</t>
        </is>
      </c>
      <c r="H239" s="47" t="inlineStr">
        <is>
          <t>"Land, Food and Forest"</t>
        </is>
      </c>
      <c r="I239" s="48" t="inlineStr">
        <is>
          <t>Amazonia</t>
        </is>
      </c>
      <c r="J239" s="62" t="n"/>
      <c r="K239" s="62" t="inlineStr">
        <is>
          <t>It operated in Amazon floodplain/forest contexts and implemented conservation and livelihoods models explicitly tied to the Amazonia biome.</t>
        </is>
      </c>
      <c r="L239" s="62" t="inlineStr">
        <is>
          <t>Technical assistance / research, Project developer / Implementer</t>
        </is>
      </c>
      <c r="M239" s="61" t="inlineStr">
        <is>
          <t>Downstream</t>
        </is>
      </c>
      <c r="N239" s="61" t="inlineStr">
        <is>
          <t>Grant recipient</t>
        </is>
      </c>
      <c r="O239" s="61" t="inlineStr">
        <is>
          <t>Tefé, AM, Brazil</t>
        </is>
      </c>
      <c r="P239" s="61" t="inlineStr">
        <is>
          <t>Grantee</t>
        </is>
      </c>
      <c r="Q239" s="61" t="n"/>
      <c r="R239" s="61" t="n"/>
      <c r="S239" s="61" t="n"/>
      <c r="T239" s="62" t="inlineStr">
        <is>
          <t>Community-based conservation monitoring, biodiversity and ecosystem science in the Amazon</t>
        </is>
      </c>
      <c r="U239" s="67" t="n"/>
      <c r="V239" s="67" t="n"/>
      <c r="W239" s="67" t="n"/>
      <c r="X239" s="67" t="n"/>
      <c r="Y239" s="67" t="n"/>
      <c r="Z239" s="67" t="n"/>
      <c r="AA239" s="67" t="n"/>
      <c r="AB239" s="67" t="n"/>
      <c r="AC239" s="67" t="n"/>
      <c r="AD239" s="67" t="n"/>
      <c r="AE239" s="67" t="n"/>
      <c r="AF239" s="67" t="n"/>
    </row>
    <row r="240">
      <c r="A240" s="67" t="n"/>
      <c r="B240" s="47" t="n">
        <v>234</v>
      </c>
      <c r="C240" s="44" t="inlineStr">
        <is>
          <t>Instituto Centro de Vida (ICV)</t>
        </is>
      </c>
      <c r="D240" s="44" t="inlineStr">
        <is>
          <t>Civil Society Organization (CSO)</t>
        </is>
      </c>
      <c r="E240" s="62" t="inlineStr">
        <is>
          <t>Monitoring, Evaluation, and Learning</t>
        </is>
      </c>
      <c r="F240" s="44" t="inlineStr">
        <is>
          <t>Civil society organization working in the Amazon/Cerrado frontier; contributes through territorial governance, transparency, policy engagement and implementation to reduce deforestation and strengthen sustainable rural economies.</t>
        </is>
      </c>
      <c r="G240" s="46" t="inlineStr">
        <is>
          <t>Regional</t>
        </is>
      </c>
      <c r="H240" s="47" t="inlineStr">
        <is>
          <t>"Land, Food and Forest"</t>
        </is>
      </c>
      <c r="I240" s="60" t="inlineStr">
        <is>
          <t>Amazonia, Cerrado</t>
        </is>
      </c>
      <c r="J240" s="62" t="n"/>
      <c r="K240" s="62" t="inlineStr">
        <is>
          <t>It operated primarily in the Amazonia biome while working across frontier municipalities with strong Cerrado interfaces in land-use governance and deforestation control.</t>
        </is>
      </c>
      <c r="L240" s="62" t="inlineStr">
        <is>
          <t>Project developer / Implementer, Data / MRV / platforms</t>
        </is>
      </c>
      <c r="M240" s="61" t="inlineStr">
        <is>
          <t>Downstream</t>
        </is>
      </c>
      <c r="N240" s="61" t="inlineStr">
        <is>
          <t>Grant recipient</t>
        </is>
      </c>
      <c r="O240" s="61" t="inlineStr">
        <is>
          <t>Cuiabá, MT, Brazil</t>
        </is>
      </c>
      <c r="P240" s="61" t="inlineStr">
        <is>
          <t>Grantee</t>
        </is>
      </c>
      <c r="Q240" s="61" t="n"/>
      <c r="R240" s="61" t="n"/>
      <c r="S240" s="61" t="n"/>
      <c r="T240" s="62" t="inlineStr">
        <is>
          <t>Territorial transparency, deforestation monitoring and land-use governance data for Amazon/Cerrado</t>
        </is>
      </c>
      <c r="U240" s="67" t="n"/>
      <c r="V240" s="67" t="n"/>
      <c r="W240" s="67" t="n"/>
      <c r="X240" s="67" t="n"/>
      <c r="Y240" s="67" t="n"/>
      <c r="Z240" s="67" t="n"/>
      <c r="AA240" s="67" t="n"/>
      <c r="AB240" s="67" t="n"/>
      <c r="AC240" s="67" t="n"/>
      <c r="AD240" s="67" t="n"/>
      <c r="AE240" s="67" t="n"/>
      <c r="AF240" s="67" t="n"/>
    </row>
    <row r="241">
      <c r="A241" s="67" t="n"/>
      <c r="B241" s="47" t="n">
        <v>235</v>
      </c>
      <c r="C241" s="44" t="inlineStr">
        <is>
          <t>Instituto Internacional de Educação do Brasil (IEB)</t>
        </is>
      </c>
      <c r="D241" s="44" t="inlineStr">
        <is>
          <t>Civil Society Organization (CSO)</t>
        </is>
      </c>
      <c r="E241" s="62" t="inlineStr">
        <is>
          <t>Local implementers</t>
        </is>
      </c>
      <c r="F241" s="44" t="inlineStr">
        <is>
          <t>NGO focused on capacity building and project support for socioenvironmental agendas; accelerates transition by strengthening local organizations, Indigenous/community initiatives and sustainable territorial development in forests and rural landscapes.</t>
        </is>
      </c>
      <c r="G241" s="46" t="inlineStr">
        <is>
          <t>National</t>
        </is>
      </c>
      <c r="H241" s="47" t="inlineStr">
        <is>
          <t>"Land, Food and Forest"</t>
        </is>
      </c>
      <c r="I241" s="60" t="inlineStr">
        <is>
          <t>Amazonia, Cerrado</t>
        </is>
      </c>
      <c r="J241" s="62" t="n"/>
      <c r="K241" s="62" t="inlineStr">
        <is>
          <t>It implemented capacity-building and project support with recurrent emphasis on forest and socio-biodiversity territories linked to Amazonia, while it also supported Cerrado-related territorial initiatives through partners and programs.</t>
        </is>
      </c>
      <c r="L241" s="62" t="inlineStr">
        <is>
          <t>Project developer / Implementer, Technical assistance / research</t>
        </is>
      </c>
      <c r="M241" s="61" t="inlineStr">
        <is>
          <t>Midstream</t>
        </is>
      </c>
      <c r="N241" s="61" t="inlineStr">
        <is>
          <t>Grant recipient</t>
        </is>
      </c>
      <c r="O241" s="61" t="inlineStr">
        <is>
          <t>Brasília, DF, Brazil</t>
        </is>
      </c>
      <c r="P241" s="61" t="inlineStr">
        <is>
          <t>Grantee</t>
        </is>
      </c>
      <c r="Q241" s="61" t="n"/>
      <c r="R241" s="61" t="n"/>
      <c r="S241" s="61" t="n"/>
      <c r="T241" s="61" t="inlineStr">
        <is>
          <t>—</t>
        </is>
      </c>
      <c r="U241" s="67" t="n"/>
      <c r="V241" s="67" t="n"/>
      <c r="W241" s="67" t="n"/>
      <c r="X241" s="67" t="n"/>
      <c r="Y241" s="67" t="n"/>
      <c r="Z241" s="67" t="n"/>
      <c r="AA241" s="67" t="n"/>
      <c r="AB241" s="67" t="n"/>
      <c r="AC241" s="67" t="n"/>
      <c r="AD241" s="67" t="n"/>
      <c r="AE241" s="67" t="n"/>
      <c r="AF241" s="67" t="n"/>
    </row>
    <row r="242">
      <c r="A242" s="67" t="n"/>
      <c r="B242" s="47" t="n">
        <v>236</v>
      </c>
      <c r="C242" s="44" t="inlineStr">
        <is>
          <t>Fundação Vitória Amazônica (FVA)</t>
        </is>
      </c>
      <c r="D242" s="44" t="inlineStr">
        <is>
          <t>Funders</t>
        </is>
      </c>
      <c r="E242" s="62" t="inlineStr">
        <is>
          <t>Local implementers</t>
        </is>
      </c>
      <c r="F242" s="44" t="inlineStr">
        <is>
          <t>Amazon-based NGO with strong territorial presence; supports transition through conservation, community partnerships and applied solutions that combine biodiversity protection with resilient livelihoods.</t>
        </is>
      </c>
      <c r="G242" s="46" t="inlineStr">
        <is>
          <t>Regional</t>
        </is>
      </c>
      <c r="H242" s="47" t="inlineStr">
        <is>
          <t>"Land, Food and Forest"</t>
        </is>
      </c>
      <c r="I242" s="48" t="inlineStr">
        <is>
          <t>Amazonia</t>
        </is>
      </c>
      <c r="J242" s="62" t="n"/>
      <c r="K242" s="62" t="inlineStr">
        <is>
          <t>It maintained an Amazon-focused territorial presence and implemented conservation and community programs explicitly tied to the Amazonia biome.</t>
        </is>
      </c>
      <c r="L242" s="62" t="inlineStr">
        <is>
          <t>Project developer / Implementer, Territorial anchor</t>
        </is>
      </c>
      <c r="M242" s="61" t="inlineStr">
        <is>
          <t>Downstream</t>
        </is>
      </c>
      <c r="N242" s="61" t="inlineStr">
        <is>
          <t>Grant recipient</t>
        </is>
      </c>
      <c r="O242" s="61" t="inlineStr">
        <is>
          <t>Manaus, AM, Brazil</t>
        </is>
      </c>
      <c r="P242" s="61" t="inlineStr">
        <is>
          <t>Grantee</t>
        </is>
      </c>
      <c r="Q242" s="61" t="n"/>
      <c r="R242" s="61" t="n"/>
      <c r="S242" s="61" t="n"/>
      <c r="T242" s="61" t="inlineStr">
        <is>
          <t>—</t>
        </is>
      </c>
      <c r="U242" s="67" t="n"/>
      <c r="V242" s="67" t="n"/>
      <c r="W242" s="67" t="n"/>
      <c r="X242" s="67" t="n"/>
      <c r="Y242" s="67" t="n"/>
      <c r="Z242" s="67" t="n"/>
      <c r="AA242" s="67" t="n"/>
      <c r="AB242" s="67" t="n"/>
      <c r="AC242" s="67" t="n"/>
      <c r="AD242" s="67" t="n"/>
      <c r="AE242" s="67" t="n"/>
      <c r="AF242" s="67" t="n"/>
    </row>
    <row r="243">
      <c r="A243" s="67" t="n"/>
      <c r="B243" s="47" t="n">
        <v>237</v>
      </c>
      <c r="C243" s="44" t="inlineStr">
        <is>
          <t>Instituto Ouro Verde (IOV)</t>
        </is>
      </c>
      <c r="D243" s="44" t="inlineStr">
        <is>
          <t>Civil Society Organization (CSO)</t>
        </is>
      </c>
      <c r="E243" s="62" t="inlineStr">
        <is>
          <t>Local implementers</t>
        </is>
      </c>
      <c r="F243" s="44" t="inlineStr">
        <is>
          <t>NGO supporting family farming and sustainable value chains (notably in Amazon/Central-West); contributes by scaling agroecology, restoration-friendly production and inclusive market access that reduce land-use pressure.</t>
        </is>
      </c>
      <c r="G243" s="46" t="inlineStr">
        <is>
          <t>Regional</t>
        </is>
      </c>
      <c r="H243" s="47" t="inlineStr">
        <is>
          <t>"Land, Food and Forest"</t>
        </is>
      </c>
      <c r="I243" s="60" t="inlineStr">
        <is>
          <t>Amazonia, Cerrado</t>
        </is>
      </c>
      <c r="J243" s="62" t="n"/>
      <c r="K243" s="62" t="inlineStr">
        <is>
          <t>It operated in Central-West/Amazon frontier territories with strong Amazonia linkages and maintained relevant work across Cerrado landscapes through agroecology and value-chain initiatives.</t>
        </is>
      </c>
      <c r="L243" s="62" t="inlineStr">
        <is>
          <t>Project developer / Implementer, Implementation capacity (delivery)</t>
        </is>
      </c>
      <c r="M243" s="61" t="inlineStr">
        <is>
          <t>Downstream</t>
        </is>
      </c>
      <c r="N243" s="61" t="inlineStr">
        <is>
          <t>Grant recipient</t>
        </is>
      </c>
      <c r="O243" s="61" t="inlineStr">
        <is>
          <t>Alta Floresta, MT, Brazil</t>
        </is>
      </c>
      <c r="P243" s="61" t="inlineStr">
        <is>
          <t>Grantee</t>
        </is>
      </c>
      <c r="Q243" s="61" t="n"/>
      <c r="R243" s="61" t="n"/>
      <c r="S243" s="61" t="n"/>
      <c r="T243" s="61" t="inlineStr">
        <is>
          <t>—</t>
        </is>
      </c>
      <c r="U243" s="67" t="n"/>
      <c r="V243" s="67" t="n"/>
      <c r="W243" s="67" t="n"/>
      <c r="X243" s="67" t="n"/>
      <c r="Y243" s="67" t="n"/>
      <c r="Z243" s="67" t="n"/>
      <c r="AA243" s="67" t="n"/>
      <c r="AB243" s="67" t="n"/>
      <c r="AC243" s="67" t="n"/>
      <c r="AD243" s="67" t="n"/>
      <c r="AE243" s="67" t="n"/>
      <c r="AF243" s="67" t="n"/>
    </row>
    <row r="244">
      <c r="A244" s="67" t="n"/>
      <c r="B244" s="47" t="n">
        <v>238</v>
      </c>
      <c r="C244" s="44" t="inlineStr">
        <is>
          <t>Instituto Sociedade, População e Natureza (ISPN)</t>
        </is>
      </c>
      <c r="D244" s="44" t="inlineStr">
        <is>
          <t>Civil Society Organization (CSO)</t>
        </is>
      </c>
      <c r="E244" s="62" t="inlineStr">
        <is>
          <t>Local implementers</t>
        </is>
      </c>
      <c r="F244" s="44" t="inlineStr">
        <is>
          <t>NGO with long-standing work in the Cerrado; supports AFOLU transition by strengthening community-based conservation, socio-biodiversity value chains and policy advocacy for equitable, nature-positive development.</t>
        </is>
      </c>
      <c r="G244" s="46" t="inlineStr">
        <is>
          <t>Regional</t>
        </is>
      </c>
      <c r="H244" s="47" t="inlineStr">
        <is>
          <t>"Land, Food and Forest"</t>
        </is>
      </c>
      <c r="I244" s="60" t="inlineStr">
        <is>
          <t>Cerrado</t>
        </is>
      </c>
      <c r="J244" s="62" t="n"/>
      <c r="K244" s="62" t="inlineStr">
        <is>
          <t>It operated with an explicit Cerrado focus and implemented socio-biodiversity and community-conservation initiatives anchored in that biome.</t>
        </is>
      </c>
      <c r="L244" s="62" t="inlineStr">
        <is>
          <t>Funder, Project developer / Implementer</t>
        </is>
      </c>
      <c r="M244" s="61" t="inlineStr">
        <is>
          <t>Midstream</t>
        </is>
      </c>
      <c r="N244" s="61" t="inlineStr">
        <is>
          <t>Grant recipient</t>
        </is>
      </c>
      <c r="O244" s="61" t="inlineStr">
        <is>
          <t>Brasília, DF, Brazil</t>
        </is>
      </c>
      <c r="P244" s="61" t="inlineStr">
        <is>
          <t>Donor</t>
        </is>
      </c>
      <c r="Q244" s="61" t="n"/>
      <c r="R244" s="61" t="n"/>
      <c r="S244" s="61" t="n"/>
      <c r="T244" s="61" t="inlineStr">
        <is>
          <t>—</t>
        </is>
      </c>
      <c r="U244" s="67" t="n"/>
      <c r="V244" s="67" t="n"/>
      <c r="W244" s="67" t="n"/>
      <c r="X244" s="67" t="n"/>
      <c r="Y244" s="67" t="n"/>
      <c r="Z244" s="67" t="n"/>
      <c r="AA244" s="67" t="n"/>
      <c r="AB244" s="67" t="n"/>
      <c r="AC244" s="67" t="n"/>
      <c r="AD244" s="67" t="n"/>
      <c r="AE244" s="67" t="n"/>
      <c r="AF244" s="67" t="n"/>
    </row>
    <row r="245">
      <c r="A245" s="67" t="n"/>
      <c r="B245" s="47" t="n">
        <v>239</v>
      </c>
      <c r="C245" s="44" t="inlineStr">
        <is>
          <t>Rede Cerrado (Rede Cerrado)</t>
        </is>
      </c>
      <c r="D245" s="44" t="inlineStr">
        <is>
          <t>Others</t>
        </is>
      </c>
      <c r="E245" s="62" t="inlineStr">
        <is>
          <t>Grassroots networks</t>
        </is>
      </c>
      <c r="F245" s="44" t="inlineStr">
        <is>
          <t>Network of civil society organizations and community groups; contributes by coordinating advocacy and territorial action to protect Cerrado ecosystems, community rights and sustainable livelihoods.</t>
        </is>
      </c>
      <c r="G245" s="46" t="inlineStr">
        <is>
          <t>Regional</t>
        </is>
      </c>
      <c r="H245" s="47" t="inlineStr">
        <is>
          <t>"Land, Food and Forest"</t>
        </is>
      </c>
      <c r="I245" s="60" t="inlineStr">
        <is>
          <t>Cerrado</t>
        </is>
      </c>
      <c r="J245" s="62" t="n"/>
      <c r="K245" s="62" t="inlineStr">
        <is>
          <t>It coordinated ecosystem protection and community-rights agendas explicitly tied to the Cerrado biome.</t>
        </is>
      </c>
      <c r="L245" s="62" t="inlineStr">
        <is>
          <t>Community legitimacy / proximate leadership, Convenor/enablers</t>
        </is>
      </c>
      <c r="M245" s="61" t="inlineStr">
        <is>
          <t>Downstream</t>
        </is>
      </c>
      <c r="N245" s="61" t="inlineStr">
        <is>
          <t>Grant recipient</t>
        </is>
      </c>
      <c r="O245" s="61" t="inlineStr">
        <is>
          <t>Brasília, DF, Brazil</t>
        </is>
      </c>
      <c r="P245" s="61" t="inlineStr">
        <is>
          <t>Grantee</t>
        </is>
      </c>
      <c r="Q245" s="61" t="n"/>
      <c r="R245" s="61" t="n"/>
      <c r="S245" s="61" t="n"/>
      <c r="T245" s="61" t="inlineStr">
        <is>
          <t>—</t>
        </is>
      </c>
      <c r="U245" s="67" t="n"/>
      <c r="V245" s="67" t="n"/>
      <c r="W245" s="67" t="n"/>
      <c r="X245" s="67" t="n"/>
      <c r="Y245" s="67" t="n"/>
      <c r="Z245" s="67" t="n"/>
      <c r="AA245" s="67" t="n"/>
      <c r="AB245" s="67" t="n"/>
      <c r="AC245" s="67" t="n"/>
      <c r="AD245" s="67" t="n"/>
      <c r="AE245" s="67" t="n"/>
      <c r="AF245" s="67" t="n"/>
    </row>
    <row r="246">
      <c r="A246" s="67" t="n"/>
      <c r="B246" s="47" t="n">
        <v>240</v>
      </c>
      <c r="C246" s="44" t="inlineStr">
        <is>
          <t>Associação Brasileira de Geração Distribuída (ABGD)</t>
        </is>
      </c>
      <c r="D246" s="44" t="inlineStr">
        <is>
          <t>Civil Society Organization (CSO)</t>
        </is>
      </c>
      <c r="E246" s="62" t="inlineStr">
        <is>
          <t>Industry platforms and sectoral initiatives</t>
        </is>
      </c>
      <c r="F246" s="44" t="inlineStr">
        <is>
          <t>Sector association for distributed generation; accelerates energy/buildings transition by advancing policies, standards and market development for solar DG, storage and local clean-energy solutions.</t>
        </is>
      </c>
      <c r="G246" s="46" t="inlineStr">
        <is>
          <t>National</t>
        </is>
      </c>
      <c r="H246" s="47" t="inlineStr">
        <is>
          <t>Energy</t>
        </is>
      </c>
      <c r="I246" s="48" t="n"/>
      <c r="J246" s="62" t="n"/>
      <c r="K246" s="62" t="inlineStr">
        <is>
          <t>No biome lens was assigned because it operated through national market/regulatory advocacy and not biome-delimited project execution.</t>
        </is>
      </c>
      <c r="L246" s="62" t="inlineStr">
        <is>
          <t>Policy influence / regulation, Convenor/enablers</t>
        </is>
      </c>
      <c r="M246" s="61" t="inlineStr">
        <is>
          <t>Upstream</t>
        </is>
      </c>
      <c r="N246" s="61" t="inlineStr">
        <is>
          <t>Grant recipient</t>
        </is>
      </c>
      <c r="O246" s="61" t="inlineStr">
        <is>
          <t>Campinas, SP, Brazil</t>
        </is>
      </c>
      <c r="P246" s="61" t="inlineStr">
        <is>
          <t>Grantee</t>
        </is>
      </c>
      <c r="Q246" s="61" t="n"/>
      <c r="R246" s="61" t="n"/>
      <c r="S246" s="61" t="n"/>
      <c r="T246" s="61" t="inlineStr">
        <is>
          <t>—</t>
        </is>
      </c>
      <c r="U246" s="67" t="n"/>
      <c r="V246" s="67" t="n"/>
      <c r="W246" s="67" t="n"/>
      <c r="X246" s="67" t="n"/>
      <c r="Y246" s="67" t="n"/>
      <c r="Z246" s="67" t="n"/>
      <c r="AA246" s="67" t="n"/>
      <c r="AB246" s="67" t="n"/>
      <c r="AC246" s="67" t="n"/>
      <c r="AD246" s="67" t="n"/>
      <c r="AE246" s="67" t="n"/>
      <c r="AF246" s="67" t="n"/>
    </row>
    <row r="247">
      <c r="A247" s="67" t="n"/>
      <c r="B247" s="47" t="n">
        <v>241</v>
      </c>
      <c r="C247" s="44" t="inlineStr">
        <is>
          <t>Associação Brasileira do Veículo Elétrico (ABVE)</t>
        </is>
      </c>
      <c r="D247" s="44" t="inlineStr">
        <is>
          <t>Civil Society Organization (CSO)</t>
        </is>
      </c>
      <c r="E247" s="62" t="inlineStr">
        <is>
          <t>Industry platforms and sectoral initiatives</t>
        </is>
      </c>
      <c r="F247" s="44" t="inlineStr">
        <is>
          <t>Industry association for electric mobility; supports transport transition by promoting enabling regulation, charging infrastructure, fleet electrification and supply-chain development for low/zero-emission vehicles.</t>
        </is>
      </c>
      <c r="G247" s="46" t="inlineStr">
        <is>
          <t>National</t>
        </is>
      </c>
      <c r="H247" s="47" t="inlineStr">
        <is>
          <t>Buildings &amp; Transport, Energy</t>
        </is>
      </c>
      <c r="I247" s="48" t="n"/>
      <c r="J247" s="62" t="n"/>
      <c r="K247" s="62" t="inlineStr">
        <is>
          <t>No biome lens was assigned because it operated through national industry coordination and enabling regulation rather than biome-specific initiatives.</t>
        </is>
      </c>
      <c r="L247" s="62" t="inlineStr">
        <is>
          <t>Policy influence / regulation, Convenor/enablers</t>
        </is>
      </c>
      <c r="M247" s="61" t="inlineStr">
        <is>
          <t>Upstream</t>
        </is>
      </c>
      <c r="N247" s="61" t="inlineStr">
        <is>
          <t>Grant recipient</t>
        </is>
      </c>
      <c r="O247" s="61" t="inlineStr">
        <is>
          <t>São Paulo, SP, Brazil</t>
        </is>
      </c>
      <c r="P247" s="61" t="inlineStr">
        <is>
          <t>Grantee</t>
        </is>
      </c>
      <c r="Q247" s="61" t="n"/>
      <c r="R247" s="61" t="n"/>
      <c r="S247" s="61" t="n"/>
      <c r="T247" s="61" t="inlineStr">
        <is>
          <t>—</t>
        </is>
      </c>
      <c r="U247" s="67" t="n"/>
      <c r="V247" s="67" t="n"/>
      <c r="W247" s="67" t="n"/>
      <c r="X247" s="67" t="n"/>
      <c r="Y247" s="67" t="n"/>
      <c r="Z247" s="67" t="n"/>
      <c r="AA247" s="67" t="n"/>
      <c r="AB247" s="67" t="n"/>
      <c r="AC247" s="67" t="n"/>
      <c r="AD247" s="67" t="n"/>
      <c r="AE247" s="67" t="n"/>
      <c r="AF247" s="67" t="n"/>
    </row>
    <row r="248">
      <c r="A248" s="67" t="n"/>
      <c r="B248" s="47" t="n">
        <v>242</v>
      </c>
      <c r="C248" s="44" t="inlineStr">
        <is>
          <t>Confederação Nacional do Transporte (CNT)</t>
        </is>
      </c>
      <c r="D248" s="44" t="inlineStr">
        <is>
          <t>Civil Society Organization (CSO)</t>
        </is>
      </c>
      <c r="E248" s="62" t="inlineStr">
        <is>
          <t>Industry platforms and sectoral initiatives</t>
        </is>
      </c>
      <c r="F248" s="44" t="inlineStr">
        <is>
          <t>National transport confederation; influences systemic transition through policy advocacy and sector coordination on logistics efficiency, safety, infrastructure planning and decarbonization pathways across transport modes.</t>
        </is>
      </c>
      <c r="G248" s="46" t="inlineStr">
        <is>
          <t>National</t>
        </is>
      </c>
      <c r="H248" s="47" t="inlineStr">
        <is>
          <t>Buildings &amp; Transport</t>
        </is>
      </c>
      <c r="I248" s="48" t="n"/>
      <c r="J248" s="62" t="n"/>
      <c r="K248" s="62" t="inlineStr">
        <is>
          <t>No biome lens was assigned because it acted through sector advocacy and planning inputs, not biome-delimited initiatives.</t>
        </is>
      </c>
      <c r="L248" s="62" t="inlineStr">
        <is>
          <t>Policy influence / regulation, Convenor/enablers</t>
        </is>
      </c>
      <c r="M248" s="61" t="inlineStr">
        <is>
          <t>Upstream</t>
        </is>
      </c>
      <c r="N248" s="61" t="inlineStr">
        <is>
          <t>Grant recipient</t>
        </is>
      </c>
      <c r="O248" s="61" t="inlineStr">
        <is>
          <t>Brasília, DF, Brazil</t>
        </is>
      </c>
      <c r="P248" s="61" t="inlineStr">
        <is>
          <t>Grantee</t>
        </is>
      </c>
      <c r="Q248" s="61" t="n"/>
      <c r="R248" s="61" t="n"/>
      <c r="S248" s="61" t="n"/>
      <c r="T248" s="61" t="inlineStr">
        <is>
          <t>—</t>
        </is>
      </c>
      <c r="U248" s="67" t="n"/>
      <c r="V248" s="67" t="n"/>
      <c r="W248" s="67" t="n"/>
      <c r="X248" s="67" t="n"/>
      <c r="Y248" s="67" t="n"/>
      <c r="Z248" s="67" t="n"/>
      <c r="AA248" s="67" t="n"/>
      <c r="AB248" s="67" t="n"/>
      <c r="AC248" s="67" t="n"/>
      <c r="AD248" s="67" t="n"/>
      <c r="AE248" s="67" t="n"/>
      <c r="AF248" s="67" t="n"/>
    </row>
    <row r="249">
      <c r="A249" s="67" t="n"/>
      <c r="B249" s="47" t="n">
        <v>243</v>
      </c>
      <c r="C249" s="44" t="inlineStr">
        <is>
          <t>Departamento Nacional de Infraestrutura de Transportes (DNIT)</t>
        </is>
      </c>
      <c r="D249" s="44" t="inlineStr">
        <is>
          <t>Public sector</t>
        </is>
      </c>
      <c r="E249" s="62" t="inlineStr">
        <is>
          <t>Public agencies and regulators</t>
        </is>
      </c>
      <c r="F249" s="44" t="inlineStr">
        <is>
          <t>Federal agency responsible for transport infrastructure implementation/management; contributes to transition by integrating climate resilience, safety and low-carbon standards into planning, construction and operation of roads and logistics assets.</t>
        </is>
      </c>
      <c r="G249" s="46" t="inlineStr">
        <is>
          <t>National</t>
        </is>
      </c>
      <c r="H249" s="47" t="inlineStr">
        <is>
          <t>Buildings &amp; Transport</t>
        </is>
      </c>
      <c r="I249" s="48" t="n"/>
      <c r="J249" s="62" t="n"/>
      <c r="K249" s="62" t="inlineStr">
        <is>
          <t>No biome lens was assigned because infrastructure delivery was national and project-by-project, and this mapping did not identify a consistent biome-targeted program lens.</t>
        </is>
      </c>
      <c r="L249" s="62" t="inlineStr">
        <is>
          <t>Policy influence / regulation, Territorial anchor</t>
        </is>
      </c>
      <c r="M249" s="61" t="inlineStr">
        <is>
          <t>Downstream</t>
        </is>
      </c>
      <c r="N249" s="61" t="inlineStr">
        <is>
          <t>Grant recipient</t>
        </is>
      </c>
      <c r="O249" s="61" t="inlineStr">
        <is>
          <t>Brasília, DF, Brazil</t>
        </is>
      </c>
      <c r="P249" s="61" t="inlineStr">
        <is>
          <t>Grantee</t>
        </is>
      </c>
      <c r="Q249" s="61" t="n"/>
      <c r="R249" s="61" t="n"/>
      <c r="S249" s="61" t="n"/>
      <c r="T249" s="61" t="inlineStr">
        <is>
          <t>—</t>
        </is>
      </c>
      <c r="U249" s="67" t="n"/>
      <c r="V249" s="67" t="n"/>
      <c r="W249" s="67" t="n"/>
      <c r="X249" s="67" t="n"/>
      <c r="Y249" s="67" t="n"/>
      <c r="Z249" s="67" t="n"/>
      <c r="AA249" s="67" t="n"/>
      <c r="AB249" s="67" t="n"/>
      <c r="AC249" s="67" t="n"/>
      <c r="AD249" s="67" t="n"/>
      <c r="AE249" s="67" t="n"/>
      <c r="AF249" s="67" t="n"/>
    </row>
    <row r="250">
      <c r="A250" s="67" t="n"/>
      <c r="B250" s="47" t="n">
        <v>244</v>
      </c>
      <c r="C250" s="44" t="inlineStr">
        <is>
          <t>Agência Nacional de Aviação Civil (ANAC)</t>
        </is>
      </c>
      <c r="D250" s="44" t="inlineStr">
        <is>
          <t>Public sector</t>
        </is>
      </c>
      <c r="E250" s="62" t="inlineStr">
        <is>
          <t>Public agencies and regulators</t>
        </is>
      </c>
      <c r="F250" s="44" t="inlineStr">
        <is>
          <t>Federal civil aviation regulator; supports transport transition by enabling efficiency improvements, operational decarbonization and frameworks that can facilitate sustainable aviation fuels and climate-resilient aviation infrastructure.</t>
        </is>
      </c>
      <c r="G250" s="46" t="inlineStr">
        <is>
          <t>National</t>
        </is>
      </c>
      <c r="H250" s="47" t="inlineStr">
        <is>
          <t>Buildings &amp; Transport</t>
        </is>
      </c>
      <c r="I250" s="48" t="n"/>
      <c r="J250" s="62" t="n"/>
      <c r="K250" s="62" t="inlineStr">
        <is>
          <t>No biome lens was assigned because aviation regulation was sectoral/national and not organized around biome-delimited initiatives.</t>
        </is>
      </c>
      <c r="L250" s="62" t="inlineStr">
        <is>
          <t>Policy influence / regulation</t>
        </is>
      </c>
      <c r="M250" s="61" t="inlineStr">
        <is>
          <t>Upstream</t>
        </is>
      </c>
      <c r="N250" s="61" t="inlineStr">
        <is>
          <t>Grant recipient</t>
        </is>
      </c>
      <c r="O250" s="61" t="inlineStr">
        <is>
          <t>Brasília, DF, Brazil</t>
        </is>
      </c>
      <c r="P250" s="61" t="inlineStr">
        <is>
          <t>Grantee</t>
        </is>
      </c>
      <c r="Q250" s="61" t="n"/>
      <c r="R250" s="61" t="n"/>
      <c r="S250" s="61" t="n"/>
      <c r="T250" s="61" t="inlineStr">
        <is>
          <t>—</t>
        </is>
      </c>
      <c r="U250" s="67" t="n"/>
      <c r="V250" s="67" t="n"/>
      <c r="W250" s="67" t="n"/>
      <c r="X250" s="67" t="n"/>
      <c r="Y250" s="67" t="n"/>
      <c r="Z250" s="67" t="n"/>
      <c r="AA250" s="67" t="n"/>
      <c r="AB250" s="67" t="n"/>
      <c r="AC250" s="67" t="n"/>
      <c r="AD250" s="67" t="n"/>
      <c r="AE250" s="67" t="n"/>
      <c r="AF250" s="67" t="n"/>
    </row>
    <row r="251">
      <c r="A251" s="67" t="n"/>
      <c r="B251" s="47" t="n">
        <v>245</v>
      </c>
      <c r="C251" s="44" t="inlineStr">
        <is>
          <t>Associação Brasileira de Normas Técnicas (ABNT)</t>
        </is>
      </c>
      <c r="D251" s="44" t="inlineStr">
        <is>
          <t>Civil Society Organization (CSO)</t>
        </is>
      </c>
      <c r="E251" s="62" t="inlineStr">
        <is>
          <t>Industry platforms and sectoral initiatives</t>
        </is>
      </c>
      <c r="F251" s="44" t="inlineStr">
        <is>
          <t>National standards body; enables buildings/energy transition by developing technical standards that shape materials, performance, efficiency and safety—supporting consistent adoption of low-carbon and high-efficiency practices.</t>
        </is>
      </c>
      <c r="G251" s="46" t="inlineStr">
        <is>
          <t>National</t>
        </is>
      </c>
      <c r="H251" s="47" t="n"/>
      <c r="I251" s="48" t="n"/>
      <c r="J251" s="62" t="n"/>
      <c r="K251" s="62" t="inlineStr">
        <is>
          <t>No biome lens was assigned because standard-setting was transversal and not tied to biome-delimited territorial initiatives.</t>
        </is>
      </c>
      <c r="L251" s="62" t="inlineStr">
        <is>
          <t>Technical assistance / research, Policy influence / regulation</t>
        </is>
      </c>
      <c r="M251" s="61" t="inlineStr">
        <is>
          <t>Upstream</t>
        </is>
      </c>
      <c r="N251" s="61" t="inlineStr">
        <is>
          <t>Grant recipient</t>
        </is>
      </c>
      <c r="O251" s="61" t="inlineStr">
        <is>
          <t>Rio de Janeiro, RJ, Brazil</t>
        </is>
      </c>
      <c r="P251" s="61" t="inlineStr">
        <is>
          <t>Grantee</t>
        </is>
      </c>
      <c r="Q251" s="61" t="n"/>
      <c r="R251" s="61" t="n"/>
      <c r="S251" s="61" t="n"/>
      <c r="T251" s="61" t="inlineStr">
        <is>
          <t>—</t>
        </is>
      </c>
      <c r="U251" s="67" t="n"/>
      <c r="V251" s="67" t="n"/>
      <c r="W251" s="67" t="n"/>
      <c r="X251" s="67" t="n"/>
      <c r="Y251" s="67" t="n"/>
      <c r="Z251" s="67" t="n"/>
      <c r="AA251" s="67" t="n"/>
      <c r="AB251" s="67" t="n"/>
      <c r="AC251" s="67" t="n"/>
      <c r="AD251" s="67" t="n"/>
      <c r="AE251" s="67" t="n"/>
      <c r="AF251" s="67" t="n"/>
    </row>
    <row r="252">
      <c r="A252" s="67" t="n"/>
      <c r="B252" s="47" t="n">
        <v>246</v>
      </c>
      <c r="C252" s="44" t="inlineStr">
        <is>
          <t>Câmara Brasileira da Indústria da Construção (CBIC)</t>
        </is>
      </c>
      <c r="D252" s="44" t="inlineStr">
        <is>
          <t>Civil Society Organization (CSO)</t>
        </is>
      </c>
      <c r="E252" s="62" t="inlineStr">
        <is>
          <t>Industry platforms and sectoral initiatives</t>
        </is>
      </c>
      <c r="F252" s="44" t="inlineStr">
        <is>
          <t>National industry association for the construction sector; supports the buildings transition by coordinating business agendas, influencing regulation and standards, and accelerating low-carbon, resilient and productivity-enhancing construction practices.</t>
        </is>
      </c>
      <c r="G252" s="46" t="inlineStr">
        <is>
          <t>National</t>
        </is>
      </c>
      <c r="H252" s="47" t="inlineStr">
        <is>
          <t>Buildings &amp; Transport</t>
        </is>
      </c>
      <c r="I252" s="48" t="n"/>
      <c r="J252" s="62" t="n"/>
      <c r="K252" s="62" t="inlineStr">
        <is>
          <t>No biome lens was assigned because it operated through sector coordination and policy/standards, not biome-delimited initiatives.</t>
        </is>
      </c>
      <c r="L252" s="62" t="inlineStr">
        <is>
          <t>Convenor/enablers, Policy influence / regulation</t>
        </is>
      </c>
      <c r="M252" s="61" t="inlineStr">
        <is>
          <t>Upstream</t>
        </is>
      </c>
      <c r="N252" s="61" t="inlineStr">
        <is>
          <t>Grant recipient</t>
        </is>
      </c>
      <c r="O252" s="61" t="inlineStr">
        <is>
          <t>Brasília, DF, Brazil</t>
        </is>
      </c>
      <c r="P252" s="61" t="inlineStr">
        <is>
          <t>Grantee</t>
        </is>
      </c>
      <c r="Q252" s="61" t="n"/>
      <c r="R252" s="61" t="n"/>
      <c r="S252" s="61" t="n"/>
      <c r="T252" s="61" t="inlineStr">
        <is>
          <t>—</t>
        </is>
      </c>
      <c r="U252" s="67" t="n"/>
      <c r="V252" s="67" t="n"/>
      <c r="W252" s="67" t="n"/>
      <c r="X252" s="67" t="n"/>
      <c r="Y252" s="67" t="n"/>
      <c r="Z252" s="67" t="n"/>
      <c r="AA252" s="67" t="n"/>
      <c r="AB252" s="67" t="n"/>
      <c r="AC252" s="67" t="n"/>
      <c r="AD252" s="67" t="n"/>
      <c r="AE252" s="67" t="n"/>
      <c r="AF252" s="67" t="n"/>
    </row>
    <row r="253">
      <c r="A253" s="67" t="n"/>
      <c r="B253" s="47" t="n">
        <v>247</v>
      </c>
      <c r="C253" s="44" t="inlineStr">
        <is>
          <t>Conselho de Arquitetura e Urbanismo do Brasil (CAU/BR)</t>
        </is>
      </c>
      <c r="D253" s="44" t="inlineStr">
        <is>
          <t>Public sector</t>
        </is>
      </c>
      <c r="E253" s="62" t="inlineStr">
        <is>
          <t>Public agencies and regulators</t>
        </is>
      </c>
      <c r="F253" s="44" t="inlineStr">
        <is>
          <t>Federal professional council regulating architecture and urbanism; contributes to systemic transition by shaping professional standards and practice quality for sustainable buildings, urban planning, energy efficiency and climate-resilient cities.</t>
        </is>
      </c>
      <c r="G253" s="46" t="inlineStr">
        <is>
          <t>National</t>
        </is>
      </c>
      <c r="H253" s="47" t="inlineStr">
        <is>
          <t>Buildings &amp; Transport</t>
        </is>
      </c>
      <c r="I253" s="48" t="n"/>
      <c r="J253" s="62" t="n"/>
      <c r="K253" s="62" t="inlineStr">
        <is>
          <t>No biome lens was assigned because professional regulation was national and practice-based, without a biome-delimited operational portfolio.</t>
        </is>
      </c>
      <c r="L253" s="62" t="inlineStr">
        <is>
          <t>Policy influence / regulation, Technical assistance / research</t>
        </is>
      </c>
      <c r="M253" s="61" t="inlineStr">
        <is>
          <t>Upstream</t>
        </is>
      </c>
      <c r="N253" s="61" t="inlineStr">
        <is>
          <t>Grant recipient</t>
        </is>
      </c>
      <c r="O253" s="61" t="inlineStr">
        <is>
          <t>Brasília, DF, Brazil</t>
        </is>
      </c>
      <c r="P253" s="61" t="inlineStr">
        <is>
          <t>Grantee</t>
        </is>
      </c>
      <c r="Q253" s="61" t="n"/>
      <c r="R253" s="61" t="n"/>
      <c r="S253" s="61" t="n"/>
      <c r="T253" s="61" t="inlineStr">
        <is>
          <t>—</t>
        </is>
      </c>
      <c r="U253" s="67" t="n"/>
      <c r="V253" s="67" t="n"/>
      <c r="W253" s="67" t="n"/>
      <c r="X253" s="67" t="n"/>
      <c r="Y253" s="67" t="n"/>
      <c r="Z253" s="67" t="n"/>
      <c r="AA253" s="67" t="n"/>
      <c r="AB253" s="67" t="n"/>
      <c r="AC253" s="67" t="n"/>
      <c r="AD253" s="67" t="n"/>
      <c r="AE253" s="67" t="n"/>
      <c r="AF253" s="67" t="n"/>
    </row>
    <row r="254">
      <c r="A254" s="67" t="n"/>
      <c r="B254" s="47" t="n">
        <v>248</v>
      </c>
      <c r="C254" s="44" t="inlineStr">
        <is>
          <t>Conselho Federal de Engenharia e Agronomia (Confea)</t>
        </is>
      </c>
      <c r="D254" s="44" t="inlineStr">
        <is>
          <t>Public sector</t>
        </is>
      </c>
      <c r="E254" s="62" t="inlineStr">
        <is>
          <t>Public agencies and regulators</t>
        </is>
      </c>
      <c r="F254" s="44" t="inlineStr">
        <is>
          <t>Federal professional council regulating engineering and agronomy; enables transition through professional regulation, technical standards enforcement and guidance that affect infrastructure quality, energy systems, and sustainable land-use practices.</t>
        </is>
      </c>
      <c r="G254" s="46" t="inlineStr">
        <is>
          <t>National</t>
        </is>
      </c>
      <c r="H254" s="47" t="inlineStr">
        <is>
          <t>"Land, Food and Forest"</t>
        </is>
      </c>
      <c r="I254" s="48" t="n"/>
      <c r="J254" s="62" t="n"/>
      <c r="K254" s="62" t="inlineStr">
        <is>
          <t>No biome lens was assigned because professional regulation and guidance were national and not mapped as biome-specific initiatives.</t>
        </is>
      </c>
      <c r="L254" s="62" t="inlineStr">
        <is>
          <t>Policy influence / regulation</t>
        </is>
      </c>
      <c r="M254" s="61" t="inlineStr">
        <is>
          <t>Upstream</t>
        </is>
      </c>
      <c r="N254" s="61" t="inlineStr">
        <is>
          <t>Grant recipient</t>
        </is>
      </c>
      <c r="O254" s="61" t="inlineStr">
        <is>
          <t>Brasília, DF, Brazil</t>
        </is>
      </c>
      <c r="P254" s="61" t="inlineStr">
        <is>
          <t>Grantee</t>
        </is>
      </c>
      <c r="Q254" s="61" t="n"/>
      <c r="R254" s="61" t="n"/>
      <c r="S254" s="61" t="n"/>
      <c r="T254" s="61" t="inlineStr">
        <is>
          <t>—</t>
        </is>
      </c>
      <c r="U254" s="67" t="n"/>
      <c r="V254" s="67" t="n"/>
      <c r="W254" s="67" t="n"/>
      <c r="X254" s="67" t="n"/>
      <c r="Y254" s="67" t="n"/>
      <c r="Z254" s="67" t="n"/>
      <c r="AA254" s="67" t="n"/>
      <c r="AB254" s="67" t="n"/>
      <c r="AC254" s="67" t="n"/>
      <c r="AD254" s="67" t="n"/>
      <c r="AE254" s="67" t="n"/>
      <c r="AF254" s="67" t="n"/>
    </row>
    <row r="255">
      <c r="A255" s="67" t="n"/>
      <c r="B255" s="47" t="n">
        <v>249</v>
      </c>
      <c r="C255" s="44" t="inlineStr">
        <is>
          <t>Instituto Nacional de Metrologia, Qualidade e Tecnologia (Inmetro)</t>
        </is>
      </c>
      <c r="D255" s="44" t="inlineStr">
        <is>
          <t>Public sector</t>
        </is>
      </c>
      <c r="E255" s="62" t="inlineStr">
        <is>
          <t>Public agencies and regulators</t>
        </is>
      </c>
      <c r="F255" s="44" t="inlineStr">
        <is>
          <t>Federal metrology and quality authority; supports transition by setting measurement, certification and labeling frameworks that drive energy efficiency, product performance and safety across buildings, appliances and industrial systems.</t>
        </is>
      </c>
      <c r="G255" s="46" t="inlineStr">
        <is>
          <t>National</t>
        </is>
      </c>
      <c r="H255" s="47" t="n"/>
      <c r="I255" s="48" t="n"/>
      <c r="J255" s="62" t="n"/>
      <c r="K255" s="62" t="inlineStr">
        <is>
          <t>No biome lens was assigned because it operated through national standards/certification systems rather than biome-delimited initiatives.</t>
        </is>
      </c>
      <c r="L255" s="62" t="inlineStr">
        <is>
          <t>Policy influence / regulation, Data / MRV / platforms</t>
        </is>
      </c>
      <c r="M255" s="61" t="inlineStr">
        <is>
          <t>Upstream</t>
        </is>
      </c>
      <c r="N255" s="61" t="inlineStr">
        <is>
          <t>Grant recipient</t>
        </is>
      </c>
      <c r="O255" s="61" t="inlineStr">
        <is>
          <t>Duque de Caxias, RJ, Brazil</t>
        </is>
      </c>
      <c r="P255" s="61" t="inlineStr">
        <is>
          <t>Grantee</t>
        </is>
      </c>
      <c r="Q255" s="61" t="n"/>
      <c r="R255" s="61" t="n"/>
      <c r="S255" s="61" t="n"/>
      <c r="T255" s="61" t="inlineStr">
        <is>
          <t>—</t>
        </is>
      </c>
      <c r="U255" s="67" t="n"/>
      <c r="V255" s="67" t="n"/>
      <c r="W255" s="67" t="n"/>
      <c r="X255" s="67" t="n"/>
      <c r="Y255" s="67" t="n"/>
      <c r="Z255" s="67" t="n"/>
      <c r="AA255" s="67" t="n"/>
      <c r="AB255" s="67" t="n"/>
      <c r="AC255" s="67" t="n"/>
      <c r="AD255" s="67" t="n"/>
      <c r="AE255" s="67" t="n"/>
      <c r="AF255" s="67" t="n"/>
    </row>
    <row r="256">
      <c r="A256" s="67" t="n"/>
      <c r="B256" s="47" t="n">
        <v>250</v>
      </c>
      <c r="C256" s="44" t="inlineStr">
        <is>
          <t>Serviço Brasileiro de Apoio às Micro e Pequenas Empresas (SEBRAE)</t>
        </is>
      </c>
      <c r="D256" s="44" t="inlineStr">
        <is>
          <t>Others</t>
        </is>
      </c>
      <c r="E256" s="62" t="inlineStr">
        <is>
          <t>Multi-stakeholder initiatives</t>
        </is>
      </c>
      <c r="F256" s="44" t="inlineStr">
        <is>
          <t>National SME support system; accelerates transition by providing technical assistance, capacity building and market access for small businesses in green innovation, efficient buildings, clean energy solutions and sustainable value chains.</t>
        </is>
      </c>
      <c r="G256" s="46" t="inlineStr">
        <is>
          <t>National</t>
        </is>
      </c>
      <c r="H256" s="47" t="inlineStr">
        <is>
          <t>Buildings &amp; Transport, Energy, "Land, Food and Forest"</t>
        </is>
      </c>
      <c r="I256" s="48" t="n"/>
      <c r="J256" s="62" t="n"/>
      <c r="K256" s="62" t="inlineStr">
        <is>
          <t>No biome lens was assigned because support was delivered via nationwide programs and local units without a consistent, biome-specific project delimitation in this mapping.</t>
        </is>
      </c>
      <c r="L256" s="62" t="inlineStr">
        <is>
          <t>Implementation capacity (delivery), Technical assistance / research</t>
        </is>
      </c>
      <c r="M256" s="61" t="inlineStr">
        <is>
          <t>Midstream</t>
        </is>
      </c>
      <c r="N256" s="61" t="inlineStr">
        <is>
          <t>Grant recipient</t>
        </is>
      </c>
      <c r="O256" s="61" t="inlineStr">
        <is>
          <t>Brasília, DF, Brazil</t>
        </is>
      </c>
      <c r="P256" s="61" t="inlineStr">
        <is>
          <t>Grantee</t>
        </is>
      </c>
      <c r="Q256" s="61" t="n"/>
      <c r="R256" s="61" t="n"/>
      <c r="S256" s="61" t="n"/>
      <c r="T256" s="61" t="inlineStr">
        <is>
          <t>—</t>
        </is>
      </c>
      <c r="U256" s="67" t="n"/>
      <c r="V256" s="67" t="n"/>
      <c r="W256" s="67" t="n"/>
      <c r="X256" s="67" t="n"/>
      <c r="Y256" s="67" t="n"/>
      <c r="Z256" s="67" t="n"/>
      <c r="AA256" s="67" t="n"/>
      <c r="AB256" s="67" t="n"/>
      <c r="AC256" s="67" t="n"/>
      <c r="AD256" s="67" t="n"/>
      <c r="AE256" s="67" t="n"/>
      <c r="AF256" s="67" t="n"/>
    </row>
    <row r="257">
      <c r="A257" s="67" t="n"/>
      <c r="B257" s="47" t="n">
        <v>251</v>
      </c>
      <c r="C257" s="44" t="inlineStr">
        <is>
          <t>União Nacional de Cooperativas da Agricultura Familiar e Economia Solidária (Unicafes)</t>
        </is>
      </c>
      <c r="D257" s="44" t="inlineStr">
        <is>
          <t>Civil Society Organization (CSO)</t>
        </is>
      </c>
      <c r="E257" s="62" t="inlineStr">
        <is>
          <t>Grassroots networks</t>
        </is>
      </c>
      <c r="F257" s="44" t="inlineStr">
        <is>
          <t>National federation representing family farming and solidarity-economy cooperatives; contributes to AFOLU transition by strengthening cooperative governance, inclusive markets, sustainable production and community-based value chains.</t>
        </is>
      </c>
      <c r="G257" s="46" t="inlineStr">
        <is>
          <t>National</t>
        </is>
      </c>
      <c r="H257" s="47" t="inlineStr">
        <is>
          <t>"Land, Food and Forest"</t>
        </is>
      </c>
      <c r="I257" s="48" t="inlineStr">
        <is>
          <t>Amazonia, Caatinga, Cerrado</t>
        </is>
      </c>
      <c r="J257" s="62" t="inlineStr">
        <is>
          <t>Mata&amp;Atlântica, Pantanal, Pampa</t>
        </is>
      </c>
      <c r="K257" s="62" t="inlineStr">
        <is>
          <t>It supported family-farming cooperative networks strongly present in Caatinga and Cerrado territories and it also engaged cooperative value chains in Amazônia and Mata Atlântica contexts.</t>
        </is>
      </c>
      <c r="L257" s="62" t="inlineStr">
        <is>
          <t>Community legitimacy / proximate leadership, Convenor/enablers</t>
        </is>
      </c>
      <c r="M257" s="61" t="inlineStr">
        <is>
          <t>Downstream</t>
        </is>
      </c>
      <c r="N257" s="61" t="inlineStr">
        <is>
          <t>Grant recipient</t>
        </is>
      </c>
      <c r="O257" s="61" t="inlineStr">
        <is>
          <t>Brasília, DF, Brazil</t>
        </is>
      </c>
      <c r="P257" s="61" t="inlineStr">
        <is>
          <t>Grantee</t>
        </is>
      </c>
      <c r="Q257" s="61" t="n"/>
      <c r="R257" s="61" t="n"/>
      <c r="S257" s="61" t="n"/>
      <c r="T257" s="61" t="inlineStr">
        <is>
          <t>—</t>
        </is>
      </c>
      <c r="U257" s="67" t="n"/>
      <c r="V257" s="67" t="n"/>
      <c r="W257" s="67" t="n"/>
      <c r="X257" s="67" t="n"/>
      <c r="Y257" s="67" t="n"/>
      <c r="Z257" s="67" t="n"/>
      <c r="AA257" s="67" t="n"/>
      <c r="AB257" s="67" t="n"/>
      <c r="AC257" s="67" t="n"/>
      <c r="AD257" s="67" t="n"/>
      <c r="AE257" s="67" t="n"/>
      <c r="AF257" s="67" t="n"/>
    </row>
    <row r="258">
      <c r="A258" s="67" t="n"/>
      <c r="B258" s="47" t="n">
        <v>252</v>
      </c>
      <c r="C258" s="44" t="inlineStr">
        <is>
          <t>Infocos Agri-Agency</t>
        </is>
      </c>
      <c r="D258" s="44" t="inlineStr">
        <is>
          <t>Civil Society Organization (CSO)</t>
        </is>
      </c>
      <c r="E258" s="62" t="inlineStr">
        <is>
          <t>Local implementers</t>
        </is>
      </c>
      <c r="F258" s="44" t="inlineStr">
        <is>
          <t>Agri-agency that supports farmers’ organizations and cooperatives; contributes to AFOLU transition by strengthening organizational capacity, technical assistance and partnerships (including international cooperation) for resilient and sustainable agriculture.</t>
        </is>
      </c>
      <c r="G258" s="46" t="inlineStr">
        <is>
          <t>Cross-border / international</t>
        </is>
      </c>
      <c r="H258" s="47" t="inlineStr">
        <is>
          <t>"Land, Food and Forest"</t>
        </is>
      </c>
      <c r="I258" s="48" t="n"/>
      <c r="J258" s="62" t="n"/>
      <c r="K258" s="62" t="inlineStr">
        <is>
          <t>No biome lens was assigned because a publicly identifiable Brazil-focused, biome-delimited implementation portfolio was not confirmed for this entry.</t>
        </is>
      </c>
      <c r="L258" s="62" t="inlineStr">
        <is>
          <t>Technical assistance / research</t>
        </is>
      </c>
      <c r="M258" s="61" t="inlineStr">
        <is>
          <t>Upstream</t>
        </is>
      </c>
      <c r="N258" s="61" t="inlineStr">
        <is>
          <t>Grant recipient</t>
        </is>
      </c>
      <c r="O258" s="61" t="inlineStr">
        <is>
          <t>São Paulo, SP, Brazil</t>
        </is>
      </c>
      <c r="P258" s="61" t="inlineStr">
        <is>
          <t>Grantee</t>
        </is>
      </c>
      <c r="Q258" s="61" t="n"/>
      <c r="R258" s="61" t="n"/>
      <c r="S258" s="61" t="n"/>
      <c r="T258" s="61" t="inlineStr">
        <is>
          <t>—</t>
        </is>
      </c>
      <c r="U258" s="67" t="n"/>
      <c r="V258" s="67" t="n"/>
      <c r="W258" s="67" t="n"/>
      <c r="X258" s="67" t="n"/>
      <c r="Y258" s="67" t="n"/>
      <c r="Z258" s="67" t="n"/>
      <c r="AA258" s="67" t="n"/>
      <c r="AB258" s="67" t="n"/>
      <c r="AC258" s="67" t="n"/>
      <c r="AD258" s="67" t="n"/>
      <c r="AE258" s="67" t="n"/>
      <c r="AF258" s="67" t="n"/>
    </row>
    <row r="259">
      <c r="A259" s="67" t="n"/>
      <c r="B259" s="47" t="n">
        <v>253</v>
      </c>
      <c r="C259" s="44" t="inlineStr">
        <is>
          <t>Instituto Democracia e Sustentabilidade (IDS)</t>
        </is>
      </c>
      <c r="D259" s="44" t="inlineStr">
        <is>
          <t>Civil Society Organization (CSO)</t>
        </is>
      </c>
      <c r="E259" s="62" t="inlineStr">
        <is>
          <t>Think tanks</t>
        </is>
      </c>
      <c r="F259" s="44" t="inlineStr">
        <is>
          <t>Civil society think tank linking democratic governance and sustainability; supports transition by convening coalitions, producing policy-relevant analysis and advancing socio-environmental agendas in public debate and decision-making.</t>
        </is>
      </c>
      <c r="G259" s="46" t="inlineStr">
        <is>
          <t>National</t>
        </is>
      </c>
      <c r="H259" s="47" t="inlineStr">
        <is>
          <t>Energy, "Land, Food and Forest"</t>
        </is>
      </c>
      <c r="I259" s="48" t="n"/>
      <c r="J259" s="62" t="n"/>
      <c r="K259" s="62" t="inlineStr">
        <is>
          <t>No biome lens was assigned because it acted through policy debate/coalition building without a biome-delimited project portfolio in this mapping.</t>
        </is>
      </c>
      <c r="L259" s="62" t="inlineStr">
        <is>
          <t>Policy influence / regulation, Technical assistance / research</t>
        </is>
      </c>
      <c r="M259" s="61" t="inlineStr">
        <is>
          <t>Upstream</t>
        </is>
      </c>
      <c r="N259" s="61" t="inlineStr">
        <is>
          <t>Strategic partner</t>
        </is>
      </c>
      <c r="O259" s="61" t="inlineStr">
        <is>
          <t>Brasília, DF, Brazil</t>
        </is>
      </c>
      <c r="P259" s="61" t="inlineStr">
        <is>
          <t>Grantee</t>
        </is>
      </c>
      <c r="Q259" s="61" t="n"/>
      <c r="R259" s="61" t="n"/>
      <c r="S259" s="61" t="n"/>
      <c r="T259" s="61" t="inlineStr">
        <is>
          <t>—</t>
        </is>
      </c>
      <c r="U259" s="67" t="n"/>
      <c r="V259" s="67" t="n"/>
      <c r="W259" s="67" t="n"/>
      <c r="X259" s="67" t="n"/>
      <c r="Y259" s="67" t="n"/>
      <c r="Z259" s="67" t="n"/>
      <c r="AA259" s="67" t="n"/>
      <c r="AB259" s="67" t="n"/>
      <c r="AC259" s="67" t="n"/>
      <c r="AD259" s="67" t="n"/>
      <c r="AE259" s="67" t="n"/>
      <c r="AF259" s="67" t="n"/>
    </row>
    <row r="260">
      <c r="A260" s="67" t="n"/>
      <c r="B260" s="47" t="n">
        <v>254</v>
      </c>
      <c r="C260" s="44" t="inlineStr">
        <is>
          <t>Instituto Cidades Sustentáveis</t>
        </is>
      </c>
      <c r="D260" s="44" t="inlineStr">
        <is>
          <t>Civil Society Organization (CSO)</t>
        </is>
      </c>
      <c r="E260" s="62" t="inlineStr">
        <is>
          <t>Monitoring, Evaluation, and Learning</t>
        </is>
      </c>
      <c r="F260" s="44" t="inlineStr">
        <is>
          <t>Civil society institute focused on sustainable urban development; contributes to buildings/transport transition through indicators, policy guidance and advocacy for low-carbon, inclusive and resilient cities.</t>
        </is>
      </c>
      <c r="G260" s="46" t="inlineStr">
        <is>
          <t>National</t>
        </is>
      </c>
      <c r="H260" s="47" t="inlineStr">
        <is>
          <t>Buildings &amp; Transport</t>
        </is>
      </c>
      <c r="I260" s="48" t="n"/>
      <c r="J260" s="62" t="n"/>
      <c r="K260" s="62" t="inlineStr">
        <is>
          <t>No biome lens was assigned because it worked through city-based indicators and governance agendas rather than biome-delimited territorial initiatives.</t>
        </is>
      </c>
      <c r="L260" s="62" t="inlineStr">
        <is>
          <t>Project developer / Implementer, Data / MRV / platforms</t>
        </is>
      </c>
      <c r="M260" s="61" t="inlineStr">
        <is>
          <t>Midstream</t>
        </is>
      </c>
      <c r="N260" s="61" t="inlineStr">
        <is>
          <t>Grant recipient</t>
        </is>
      </c>
      <c r="O260" s="61" t="inlineStr">
        <is>
          <t>São Paulo, SP, Brazil</t>
        </is>
      </c>
      <c r="P260" s="61" t="inlineStr">
        <is>
          <t>Grantee</t>
        </is>
      </c>
      <c r="Q260" s="61" t="n"/>
      <c r="R260" s="61" t="n"/>
      <c r="S260" s="61" t="n"/>
      <c r="T260" s="62" t="inlineStr">
        <is>
          <t>Urban sustainability indicators, city-level monitoring and accountability data for low-carbon development</t>
        </is>
      </c>
      <c r="U260" s="67" t="n"/>
      <c r="V260" s="67" t="n"/>
      <c r="W260" s="67" t="n"/>
      <c r="X260" s="67" t="n"/>
      <c r="Y260" s="67" t="n"/>
      <c r="Z260" s="67" t="n"/>
      <c r="AA260" s="67" t="n"/>
      <c r="AB260" s="67" t="n"/>
      <c r="AC260" s="67" t="n"/>
      <c r="AD260" s="67" t="n"/>
      <c r="AE260" s="67" t="n"/>
      <c r="AF260" s="67" t="n"/>
    </row>
    <row r="261">
      <c r="A261" s="67" t="n"/>
      <c r="B261" s="47" t="n">
        <v>255</v>
      </c>
      <c r="C261" s="44" t="inlineStr">
        <is>
          <t>Rede Nossa São Paulo</t>
        </is>
      </c>
      <c r="D261" s="44" t="inlineStr">
        <is>
          <t>Others</t>
        </is>
      </c>
      <c r="E261" s="62" t="inlineStr">
        <is>
          <t>Alliances</t>
        </is>
      </c>
      <c r="F261" s="44" t="inlineStr">
        <is>
          <t>Civic network focused on improving urban governance and quality of life; supports systemic transition by mobilizing civil society, tracking indicators and strengthening accountability for sustainable city policies.</t>
        </is>
      </c>
      <c r="G261" s="46" t="inlineStr">
        <is>
          <t>State-level</t>
        </is>
      </c>
      <c r="H261" s="47" t="inlineStr">
        <is>
          <t>Buildings &amp; Transport</t>
        </is>
      </c>
      <c r="I261" s="48" t="n"/>
      <c r="J261" s="62" t="inlineStr">
        <is>
          <t>Mata&amp;Atlântica</t>
        </is>
      </c>
      <c r="K261" s="62" t="inlineStr">
        <is>
          <t>It operated primarily in São Paulo’s urban region, which sat within the Mata Atlântica biome footprint, and it did not present a second biome-delimited agenda.</t>
        </is>
      </c>
      <c r="L261" s="62" t="inlineStr">
        <is>
          <t>Policy influence / regulation, Community legitimacy / proximate leadership</t>
        </is>
      </c>
      <c r="M261" s="61" t="inlineStr">
        <is>
          <t>Downstream</t>
        </is>
      </c>
      <c r="N261" s="61" t="inlineStr">
        <is>
          <t>Grant recipient</t>
        </is>
      </c>
      <c r="O261" s="61" t="inlineStr">
        <is>
          <t>São Paulo, SP, Brazil</t>
        </is>
      </c>
      <c r="P261" s="61" t="inlineStr">
        <is>
          <t>Grantee</t>
        </is>
      </c>
      <c r="Q261" s="61" t="n"/>
      <c r="R261" s="61" t="n"/>
      <c r="S261" s="61" t="n"/>
      <c r="T261" s="61" t="inlineStr">
        <is>
          <t>—</t>
        </is>
      </c>
      <c r="U261" s="67" t="n"/>
      <c r="V261" s="67" t="n"/>
      <c r="W261" s="67" t="n"/>
      <c r="X261" s="67" t="n"/>
      <c r="Y261" s="67" t="n"/>
      <c r="Z261" s="67" t="n"/>
      <c r="AA261" s="67" t="n"/>
      <c r="AB261" s="67" t="n"/>
      <c r="AC261" s="67" t="n"/>
      <c r="AD261" s="67" t="n"/>
      <c r="AE261" s="67" t="n"/>
      <c r="AF261" s="67" t="n"/>
    </row>
    <row r="262">
      <c r="A262" s="67" t="n"/>
      <c r="B262" s="47" t="n">
        <v>256</v>
      </c>
      <c r="C262" s="44" t="inlineStr">
        <is>
          <t>Instituto Pólis</t>
        </is>
      </c>
      <c r="D262" s="44" t="inlineStr">
        <is>
          <t>Civil Society Organization (CSO)</t>
        </is>
      </c>
      <c r="E262" s="62" t="inlineStr">
        <is>
          <t>Think tanks</t>
        </is>
      </c>
      <c r="F262" s="44" t="inlineStr">
        <is>
          <t>Public policy institute focused on urban rights and inclusive development; contributes to buildings/transport transition through research, technical support and advocacy for equitable, resilient and low-carbon urban planning.</t>
        </is>
      </c>
      <c r="G262" s="46" t="inlineStr">
        <is>
          <t>National</t>
        </is>
      </c>
      <c r="H262" s="47" t="inlineStr">
        <is>
          <t>Buildings &amp; Transport</t>
        </is>
      </c>
      <c r="I262" s="48" t="n"/>
      <c r="J262" s="62" t="n"/>
      <c r="K262" s="62" t="inlineStr">
        <is>
          <t>No biome lens was assigned because it operated through urban policy work across municipalities without a biome-delimited implementation focus.</t>
        </is>
      </c>
      <c r="L262" s="62" t="inlineStr">
        <is>
          <t>Technical assistance / research, Policy influence / regulation</t>
        </is>
      </c>
      <c r="M262" s="61" t="inlineStr">
        <is>
          <t>Upstream</t>
        </is>
      </c>
      <c r="N262" s="61" t="inlineStr">
        <is>
          <t>Grant recipient</t>
        </is>
      </c>
      <c r="O262" s="61" t="inlineStr">
        <is>
          <t>São Paulo, SP, Brazil</t>
        </is>
      </c>
      <c r="P262" s="61" t="inlineStr">
        <is>
          <t>Grantee</t>
        </is>
      </c>
      <c r="Q262" s="61" t="n"/>
      <c r="R262" s="61" t="n"/>
      <c r="S262" s="61" t="n"/>
      <c r="T262" s="61" t="inlineStr">
        <is>
          <t>—</t>
        </is>
      </c>
      <c r="U262" s="67" t="n"/>
      <c r="V262" s="67" t="n"/>
      <c r="W262" s="67" t="n"/>
      <c r="X262" s="67" t="n"/>
      <c r="Y262" s="67" t="n"/>
      <c r="Z262" s="67" t="n"/>
      <c r="AA262" s="67" t="n"/>
      <c r="AB262" s="67" t="n"/>
      <c r="AC262" s="67" t="n"/>
      <c r="AD262" s="67" t="n"/>
      <c r="AE262" s="67" t="n"/>
      <c r="AF262" s="67" t="n"/>
    </row>
    <row r="263">
      <c r="A263" s="67" t="n"/>
      <c r="B263" s="47" t="n">
        <v>257</v>
      </c>
      <c r="C263" s="44" t="inlineStr">
        <is>
          <t>Instituto Escolhas</t>
        </is>
      </c>
      <c r="D263" s="44" t="inlineStr">
        <is>
          <t>Civil Society Organization (CSO)</t>
        </is>
      </c>
      <c r="E263" s="62" t="inlineStr">
        <is>
          <t>Think tanks</t>
        </is>
      </c>
      <c r="F263" s="44" t="inlineStr">
        <is>
          <t>Independent institute producing evidence and proposals for sustainable development; contributes to transition by analyzing policy options and trade-offs across energy, land use and green industrial strategies.</t>
        </is>
      </c>
      <c r="G263" s="46" t="inlineStr">
        <is>
          <t>National</t>
        </is>
      </c>
      <c r="H263" s="47" t="inlineStr">
        <is>
          <t>Energy, "Land, Food and Forest"</t>
        </is>
      </c>
      <c r="I263" s="48" t="n"/>
      <c r="J263" s="62" t="n"/>
      <c r="K263" s="62" t="inlineStr">
        <is>
          <t>No biome lens was assigned because it produced cross-sector policy analysis and the mapping did not confirm biome-delimited project execution.</t>
        </is>
      </c>
      <c r="L263" s="62" t="inlineStr">
        <is>
          <t>Technical assistance / research, Policy influence / regulation</t>
        </is>
      </c>
      <c r="M263" s="61" t="inlineStr">
        <is>
          <t>Upstream</t>
        </is>
      </c>
      <c r="N263" s="61" t="inlineStr">
        <is>
          <t>Grant recipient</t>
        </is>
      </c>
      <c r="O263" s="61" t="inlineStr">
        <is>
          <t>São Paulo, SP, Brazil</t>
        </is>
      </c>
      <c r="P263" s="61" t="inlineStr">
        <is>
          <t>Grantee</t>
        </is>
      </c>
      <c r="Q263" s="61" t="n"/>
      <c r="R263" s="61" t="n"/>
      <c r="S263" s="61" t="n"/>
      <c r="T263" s="61" t="inlineStr">
        <is>
          <t>—</t>
        </is>
      </c>
      <c r="U263" s="67" t="n"/>
      <c r="V263" s="67" t="n"/>
      <c r="W263" s="67" t="n"/>
      <c r="X263" s="67" t="n"/>
      <c r="Y263" s="67" t="n"/>
      <c r="Z263" s="67" t="n"/>
      <c r="AA263" s="67" t="n"/>
      <c r="AB263" s="67" t="n"/>
      <c r="AC263" s="67" t="n"/>
      <c r="AD263" s="67" t="n"/>
      <c r="AE263" s="67" t="n"/>
      <c r="AF263" s="67" t="n"/>
    </row>
    <row r="264">
      <c r="A264" s="67" t="n"/>
      <c r="B264" s="47" t="n">
        <v>258</v>
      </c>
      <c r="C264" s="44" t="inlineStr">
        <is>
          <t>Instituto de Estudos Socioeconômicos (INESC)</t>
        </is>
      </c>
      <c r="D264" s="44" t="inlineStr">
        <is>
          <t>Civil Society Organization (CSO)</t>
        </is>
      </c>
      <c r="E264" s="62" t="inlineStr">
        <is>
          <t>Think tanks</t>
        </is>
      </c>
      <c r="F264" s="44" t="inlineStr">
        <is>
          <t>Civil society organization focused on public budget, rights and socio-environmental justice; supports transition by policy analysis and advocacy for equitable fiscal and regulatory frameworks aligned with climate and nature goals.</t>
        </is>
      </c>
      <c r="G264" s="46" t="inlineStr">
        <is>
          <t>National</t>
        </is>
      </c>
      <c r="H264" s="47" t="inlineStr">
        <is>
          <t>Energy, "Land, Food and Forest"</t>
        </is>
      </c>
      <c r="I264" s="48" t="n"/>
      <c r="J264" s="62" t="n"/>
      <c r="K264" s="62" t="inlineStr">
        <is>
          <t>No biome lens was assigned because it acted through national budget/rights advocacy rather than biome-delimited initiatives.</t>
        </is>
      </c>
      <c r="L264" s="62" t="inlineStr">
        <is>
          <t>Policy influence / regulation, Technical assistance / research</t>
        </is>
      </c>
      <c r="M264" s="61" t="inlineStr">
        <is>
          <t>Upstream</t>
        </is>
      </c>
      <c r="N264" s="61" t="inlineStr">
        <is>
          <t>Grant recipient</t>
        </is>
      </c>
      <c r="O264" s="61" t="inlineStr">
        <is>
          <t>Brasília, DF, Brazil</t>
        </is>
      </c>
      <c r="P264" s="61" t="inlineStr">
        <is>
          <t>Grantee</t>
        </is>
      </c>
      <c r="Q264" s="61" t="n"/>
      <c r="R264" s="61" t="n"/>
      <c r="S264" s="61" t="n"/>
      <c r="T264" s="61" t="inlineStr">
        <is>
          <t>—</t>
        </is>
      </c>
      <c r="U264" s="67" t="n"/>
      <c r="V264" s="67" t="n"/>
      <c r="W264" s="67" t="n"/>
      <c r="X264" s="67" t="n"/>
      <c r="Y264" s="67" t="n"/>
      <c r="Z264" s="67" t="n"/>
      <c r="AA264" s="67" t="n"/>
      <c r="AB264" s="67" t="n"/>
      <c r="AC264" s="67" t="n"/>
      <c r="AD264" s="67" t="n"/>
      <c r="AE264" s="67" t="n"/>
      <c r="AF264" s="67" t="n"/>
    </row>
    <row r="265">
      <c r="A265" s="67" t="n"/>
      <c r="B265" s="47" t="n">
        <v>259</v>
      </c>
      <c r="C265" s="44" t="inlineStr">
        <is>
          <t>Instituto Brasileiro de Defesa do Consumidor (Idec)</t>
        </is>
      </c>
      <c r="D265" s="44" t="inlineStr">
        <is>
          <t>Civil Society Organization (CSO)</t>
        </is>
      </c>
      <c r="E265" s="62" t="inlineStr">
        <is>
          <t xml:space="preserve">Alliances </t>
        </is>
      </c>
      <c r="F265" s="44" t="inlineStr">
        <is>
          <t>Consumer rights organization; contributes to energy/buildings transition by advocating for fair, efficient and transparent energy and consumer markets, including efficiency, pricing and access issues.</t>
        </is>
      </c>
      <c r="G265" s="46" t="inlineStr">
        <is>
          <t>National</t>
        </is>
      </c>
      <c r="H265" s="47" t="n"/>
      <c r="I265" s="48" t="n"/>
      <c r="J265" s="62" t="n"/>
      <c r="K265" s="62" t="inlineStr">
        <is>
          <t>No biome lens was assigned because it worked through national consumer/market advocacy and not biome-delimited initiatives.</t>
        </is>
      </c>
      <c r="L265" s="62" t="inlineStr">
        <is>
          <t>Policy influence / regulation, Community legitimacy / proximate leadership</t>
        </is>
      </c>
      <c r="M265" s="61" t="inlineStr">
        <is>
          <t>Upstream</t>
        </is>
      </c>
      <c r="N265" s="61" t="inlineStr">
        <is>
          <t>Grant recipient</t>
        </is>
      </c>
      <c r="O265" s="61" t="inlineStr">
        <is>
          <t>São Paulo, SP, Brazil</t>
        </is>
      </c>
      <c r="P265" s="61" t="inlineStr">
        <is>
          <t>Grantee</t>
        </is>
      </c>
      <c r="Q265" s="61" t="n"/>
      <c r="R265" s="61" t="n"/>
      <c r="S265" s="61" t="n"/>
      <c r="T265" s="61" t="inlineStr">
        <is>
          <t>—</t>
        </is>
      </c>
      <c r="U265" s="67" t="n"/>
      <c r="V265" s="67" t="n"/>
      <c r="W265" s="67" t="n"/>
      <c r="X265" s="67" t="n"/>
      <c r="Y265" s="67" t="n"/>
      <c r="Z265" s="67" t="n"/>
      <c r="AA265" s="67" t="n"/>
      <c r="AB265" s="67" t="n"/>
      <c r="AC265" s="67" t="n"/>
      <c r="AD265" s="67" t="n"/>
      <c r="AE265" s="67" t="n"/>
      <c r="AF265" s="67" t="n"/>
    </row>
    <row r="266">
      <c r="A266" s="67" t="n"/>
      <c r="B266" s="47" t="n">
        <v>260</v>
      </c>
      <c r="C266" s="44" t="inlineStr">
        <is>
          <t>Greenpeace Brasil</t>
        </is>
      </c>
      <c r="D266" s="44" t="inlineStr">
        <is>
          <t>Civil Society Organization (CSO)</t>
        </is>
      </c>
      <c r="E266" s="62" t="inlineStr">
        <is>
          <t>Bilateral cooperation agencies</t>
        </is>
      </c>
      <c r="F266" s="44" t="inlineStr">
        <is>
          <t>Environmental advocacy organization; contributes to systemic transition through campaigns and public pressure to accelerate climate action, protect forests and biodiversity, and shift corporate and public policies.</t>
        </is>
      </c>
      <c r="G266" s="46" t="inlineStr">
        <is>
          <t>Cross-border / international</t>
        </is>
      </c>
      <c r="H266" s="47" t="inlineStr">
        <is>
          <t>Energy, "Land, Food and Forest"</t>
        </is>
      </c>
      <c r="I266" s="60" t="inlineStr">
        <is>
          <t>Amazonia, Cerrado</t>
        </is>
      </c>
      <c r="J266" s="62" t="inlineStr">
        <is>
          <t>Mata&amp;Atlântica, Pantanal</t>
        </is>
      </c>
      <c r="K266" s="62" t="inlineStr">
        <is>
          <t>It conducted high-visibility forest and land-use campaigns most consistently associated with Amazônia and Cerrado pressures, while it also engaged recurring agendas linked to Mata Atlântica and Pantanal conservation.</t>
        </is>
      </c>
      <c r="L266" s="62" t="inlineStr">
        <is>
          <t>Policy influence / regulation, Project developer / Implementer</t>
        </is>
      </c>
      <c r="M266" s="61" t="inlineStr">
        <is>
          <t>Downstream</t>
        </is>
      </c>
      <c r="N266" s="61" t="inlineStr">
        <is>
          <t>Grant recipient</t>
        </is>
      </c>
      <c r="O266" s="61" t="inlineStr">
        <is>
          <t>São Paulo, SP, Brazil</t>
        </is>
      </c>
      <c r="P266" s="61" t="inlineStr">
        <is>
          <t>Grantee</t>
        </is>
      </c>
      <c r="Q266" s="61" t="n"/>
      <c r="R266" s="61" t="n"/>
      <c r="S266" s="61" t="n"/>
      <c r="T266" s="61" t="inlineStr">
        <is>
          <t>—</t>
        </is>
      </c>
      <c r="U266" s="67" t="n"/>
      <c r="V266" s="67" t="n"/>
      <c r="W266" s="67" t="n"/>
      <c r="X266" s="67" t="n"/>
      <c r="Y266" s="67" t="n"/>
      <c r="Z266" s="67" t="n"/>
      <c r="AA266" s="67" t="n"/>
      <c r="AB266" s="67" t="n"/>
      <c r="AC266" s="67" t="n"/>
      <c r="AD266" s="67" t="n"/>
      <c r="AE266" s="67" t="n"/>
      <c r="AF266" s="67" t="n"/>
    </row>
    <row r="267">
      <c r="A267" s="67" t="n"/>
      <c r="B267" s="47" t="n">
        <v>261</v>
      </c>
      <c r="C267" s="44" t="inlineStr">
        <is>
          <t>Instituto Internacional Arayara (Arayara)</t>
        </is>
      </c>
      <c r="D267" s="44" t="inlineStr">
        <is>
          <t>Civil Society Organization (CSO)</t>
        </is>
      </c>
      <c r="E267" s="62" t="inlineStr">
        <is>
          <t>Local implementers</t>
        </is>
      </c>
      <c r="F267" s="44" t="inlineStr">
        <is>
          <t>Civil society organization focused on climate and energy transition; contributes by monitoring projects, engaging policy processes and supporting coalitions to reduce fossil dependence and expand clean energy.</t>
        </is>
      </c>
      <c r="G267" s="46" t="inlineStr">
        <is>
          <t>National</t>
        </is>
      </c>
      <c r="H267" s="47" t="inlineStr">
        <is>
          <t>Energy, "Land, Food and Forest"</t>
        </is>
      </c>
      <c r="I267" s="48" t="n"/>
      <c r="J267" s="62" t="n"/>
      <c r="K267" s="62" t="inlineStr">
        <is>
          <t>No biome lens was assigned because it operated via energy-policy monitoring and project advocacy without a stable biome-delimited portfolio in this mapping.</t>
        </is>
      </c>
      <c r="L267" s="62" t="inlineStr">
        <is>
          <t>Policy influence / regulation, Technical assistance / research</t>
        </is>
      </c>
      <c r="M267" s="61" t="inlineStr">
        <is>
          <t>Upstream</t>
        </is>
      </c>
      <c r="N267" s="61" t="inlineStr">
        <is>
          <t>Grant recipient</t>
        </is>
      </c>
      <c r="O267" s="61" t="inlineStr">
        <is>
          <t>Curitiba, PR, Brazil</t>
        </is>
      </c>
      <c r="P267" s="61" t="inlineStr">
        <is>
          <t>Grantee</t>
        </is>
      </c>
      <c r="Q267" s="61" t="n"/>
      <c r="R267" s="61" t="n"/>
      <c r="S267" s="61" t="n"/>
      <c r="T267" s="61" t="inlineStr">
        <is>
          <t>—</t>
        </is>
      </c>
      <c r="U267" s="67" t="n"/>
      <c r="V267" s="67" t="n"/>
      <c r="W267" s="67" t="n"/>
      <c r="X267" s="67" t="n"/>
      <c r="Y267" s="67" t="n"/>
      <c r="Z267" s="67" t="n"/>
      <c r="AA267" s="67" t="n"/>
      <c r="AB267" s="67" t="n"/>
      <c r="AC267" s="67" t="n"/>
      <c r="AD267" s="67" t="n"/>
      <c r="AE267" s="67" t="n"/>
      <c r="AF267" s="67" t="n"/>
    </row>
    <row r="268">
      <c r="A268" s="67" t="n"/>
      <c r="B268" s="47" t="n">
        <v>262</v>
      </c>
      <c r="C268" s="44" t="inlineStr">
        <is>
          <t>Rede Brasileira de Justiça Ambiental (RBJA)</t>
        </is>
      </c>
      <c r="D268" s="44" t="inlineStr">
        <is>
          <t>Others</t>
        </is>
      </c>
      <c r="E268" s="62" t="inlineStr">
        <is>
          <t>Grassroots networks</t>
        </is>
      </c>
      <c r="F268" s="44" t="inlineStr">
        <is>
          <t>National network advancing environmental justice; contributes to systemic transition by connecting communities and organizations, amplifying socio-environmental impacts and influencing public debate and policy.</t>
        </is>
      </c>
      <c r="G268" s="46" t="inlineStr">
        <is>
          <t>National</t>
        </is>
      </c>
      <c r="H268" s="47" t="inlineStr">
        <is>
          <t>Energy, "Land, Food and Forest"</t>
        </is>
      </c>
      <c r="I268" s="48" t="n"/>
      <c r="J268" s="62" t="n"/>
      <c r="K268" s="62" t="inlineStr">
        <is>
          <t>No biome lens was assigned because it functioned as a rights/justice network across cases and territories without a consistent biome-delimited initiative set.</t>
        </is>
      </c>
      <c r="L268" s="62" t="inlineStr">
        <is>
          <t>Policy influence / regulation, Community legitimacy / proximate leadership</t>
        </is>
      </c>
      <c r="M268" s="61" t="inlineStr">
        <is>
          <t>Upstream</t>
        </is>
      </c>
      <c r="N268" s="61" t="inlineStr">
        <is>
          <t>Strategic partner</t>
        </is>
      </c>
      <c r="O268" s="61" t="inlineStr">
        <is>
          <t>Rio de Janeiro, RJ, Brazil</t>
        </is>
      </c>
      <c r="P268" s="61" t="inlineStr">
        <is>
          <t>Grantee</t>
        </is>
      </c>
      <c r="Q268" s="61" t="n"/>
      <c r="R268" s="61" t="n"/>
      <c r="S268" s="61" t="n"/>
      <c r="T268" s="61" t="inlineStr">
        <is>
          <t>—</t>
        </is>
      </c>
      <c r="U268" s="67" t="n"/>
      <c r="V268" s="67" t="n"/>
      <c r="W268" s="67" t="n"/>
      <c r="X268" s="67" t="n"/>
      <c r="Y268" s="67" t="n"/>
      <c r="Z268" s="67" t="n"/>
      <c r="AA268" s="67" t="n"/>
      <c r="AB268" s="67" t="n"/>
      <c r="AC268" s="67" t="n"/>
      <c r="AD268" s="67" t="n"/>
      <c r="AE268" s="67" t="n"/>
      <c r="AF268" s="67" t="n"/>
    </row>
    <row r="269">
      <c r="A269" s="67" t="n"/>
      <c r="B269" s="47" t="n">
        <v>263</v>
      </c>
      <c r="C269" s="44" t="inlineStr">
        <is>
          <t>Fundação Pró-Natureza (Funatura)</t>
        </is>
      </c>
      <c r="D269" s="44" t="inlineStr">
        <is>
          <t>Funders</t>
        </is>
      </c>
      <c r="E269" s="62" t="inlineStr">
        <is>
          <t>Local implementers</t>
        </is>
      </c>
      <c r="F269" s="44" t="inlineStr">
        <is>
          <t>Environmental NGO with long-standing conservation work (notably in the Cerrado); contributes to AFOLU transition through biodiversity protection, project implementation, community engagement and support to sustainable territorial management.</t>
        </is>
      </c>
      <c r="G269" s="46" t="inlineStr">
        <is>
          <t>National</t>
        </is>
      </c>
      <c r="H269" s="47" t="inlineStr">
        <is>
          <t>"Land, Food and Forest"</t>
        </is>
      </c>
      <c r="I269" s="60" t="inlineStr">
        <is>
          <t>Amazonia, Cerrado</t>
        </is>
      </c>
      <c r="J269" s="62" t="n"/>
      <c r="K269" s="62" t="inlineStr">
        <is>
          <t>It implemented a conservation portfolio strongly linked to the Cerrado and it also engaged forest and protected-area agendas connected to Amazônia through projects/partnerships.</t>
        </is>
      </c>
      <c r="L269" s="62" t="inlineStr">
        <is>
          <t>Project developer / Implementer</t>
        </is>
      </c>
      <c r="M269" s="61" t="inlineStr">
        <is>
          <t>Downstream</t>
        </is>
      </c>
      <c r="N269" s="61" t="inlineStr">
        <is>
          <t>Grant recipient</t>
        </is>
      </c>
      <c r="O269" s="61" t="inlineStr">
        <is>
          <t>Brasília, DF, Brazil</t>
        </is>
      </c>
      <c r="P269" s="61" t="inlineStr">
        <is>
          <t>Grantee</t>
        </is>
      </c>
      <c r="Q269" s="61" t="n"/>
      <c r="R269" s="61" t="n"/>
      <c r="S269" s="61" t="n"/>
      <c r="T269" s="61" t="inlineStr">
        <is>
          <t>—</t>
        </is>
      </c>
      <c r="U269" s="67" t="n"/>
      <c r="V269" s="67" t="n"/>
      <c r="W269" s="67" t="n"/>
      <c r="X269" s="67" t="n"/>
      <c r="Y269" s="67" t="n"/>
      <c r="Z269" s="67" t="n"/>
      <c r="AA269" s="67" t="n"/>
      <c r="AB269" s="67" t="n"/>
      <c r="AC269" s="67" t="n"/>
      <c r="AD269" s="67" t="n"/>
      <c r="AE269" s="67" t="n"/>
      <c r="AF269" s="67" t="n"/>
    </row>
    <row r="270">
      <c r="A270" s="67" t="n"/>
      <c r="B270" s="47" t="n">
        <v>264</v>
      </c>
      <c r="C270" s="44" t="inlineStr">
        <is>
          <t>Instituto Cerrados (IC)</t>
        </is>
      </c>
      <c r="D270" s="44" t="inlineStr">
        <is>
          <t>Civil Society Organization (CSO)</t>
        </is>
      </c>
      <c r="E270" s="62" t="inlineStr">
        <is>
          <t>Monitoring, Evaluation, and Learning</t>
        </is>
      </c>
      <c r="F270" s="44" t="inlineStr">
        <is>
          <t>Civil society organization focused on Cerrado conservation and sustainable development; contributes to AFOLU transition through projects, territorial governance support and promotion of sustainable production and conservation strategies.</t>
        </is>
      </c>
      <c r="G270" s="46" t="inlineStr">
        <is>
          <t>Regional</t>
        </is>
      </c>
      <c r="H270" s="47" t="inlineStr">
        <is>
          <t>"Land, Food and Forest"</t>
        </is>
      </c>
      <c r="I270" s="60" t="inlineStr">
        <is>
          <t>Cerrado</t>
        </is>
      </c>
      <c r="J270" s="62" t="n"/>
      <c r="K270" s="62" t="inlineStr">
        <is>
          <t>It implemented projects and territorial governance work explicitly tied to the Cerrado biome.</t>
        </is>
      </c>
      <c r="L270" s="62" t="inlineStr">
        <is>
          <t>Project developer / Implementer, Data / MRV / platforms</t>
        </is>
      </c>
      <c r="M270" s="61" t="inlineStr">
        <is>
          <t>Downstream</t>
        </is>
      </c>
      <c r="N270" s="61" t="inlineStr">
        <is>
          <t>Grant recipient</t>
        </is>
      </c>
      <c r="O270" s="61" t="inlineStr">
        <is>
          <t>Goiânia, GO, Brazil</t>
        </is>
      </c>
      <c r="P270" s="61" t="inlineStr">
        <is>
          <t>Grantee</t>
        </is>
      </c>
      <c r="Q270" s="61" t="n"/>
      <c r="R270" s="61" t="n"/>
      <c r="S270" s="61" t="n"/>
      <c r="T270" s="62" t="inlineStr">
        <is>
          <t>Cerrado conservation monitoring, land-use data and territorial governance indicators</t>
        </is>
      </c>
      <c r="U270" s="67" t="n"/>
      <c r="V270" s="67" t="n"/>
      <c r="W270" s="67" t="n"/>
      <c r="X270" s="67" t="n"/>
      <c r="Y270" s="67" t="n"/>
      <c r="Z270" s="67" t="n"/>
      <c r="AA270" s="67" t="n"/>
      <c r="AB270" s="67" t="n"/>
      <c r="AC270" s="67" t="n"/>
      <c r="AD270" s="67" t="n"/>
      <c r="AE270" s="67" t="n"/>
      <c r="AF270" s="67" t="n"/>
    </row>
    <row r="271">
      <c r="A271" s="67" t="n"/>
      <c r="B271" s="47" t="n">
        <v>265</v>
      </c>
      <c r="C271" s="44" t="inlineStr">
        <is>
          <t>Operação Amazônia Nativa (OPAN)</t>
        </is>
      </c>
      <c r="D271" s="44" t="inlineStr">
        <is>
          <t>Civil Society Organization (CSO)</t>
        </is>
      </c>
      <c r="E271" s="62" t="inlineStr">
        <is>
          <t xml:space="preserve">Alliances </t>
        </is>
      </c>
      <c r="F271" s="44" t="inlineStr">
        <is>
          <t>Brazilian civil society organization working with Indigenous peoples and traditional communities in the Amazon, combining rights-based approaches, territorial protection, and support to community-led sustainable development aligned with AFOLU and just transition goals.</t>
        </is>
      </c>
      <c r="G271" s="46" t="inlineStr">
        <is>
          <t>Regional</t>
        </is>
      </c>
      <c r="H271" s="47" t="inlineStr">
        <is>
          <t>"Land, Food and Forest"</t>
        </is>
      </c>
      <c r="I271" s="48" t="inlineStr">
        <is>
          <t>Amazonia</t>
        </is>
      </c>
      <c r="J271" s="62" t="n"/>
      <c r="K271" s="62" t="inlineStr">
        <is>
          <t>It operated primarily with Amazon Indigenous and traditional territories and implemented programs explicitly linked to the Amazônia biome.</t>
        </is>
      </c>
      <c r="L271" s="62" t="inlineStr">
        <is>
          <t>Project developer / Implementer, Community legitimacy / proximate leadership</t>
        </is>
      </c>
      <c r="M271" s="61" t="inlineStr">
        <is>
          <t>Downstream</t>
        </is>
      </c>
      <c r="N271" s="61" t="inlineStr">
        <is>
          <t>Grant recipient</t>
        </is>
      </c>
      <c r="O271" s="61" t="inlineStr">
        <is>
          <t>Cuiabá, MT, Brazil</t>
        </is>
      </c>
      <c r="P271" s="61" t="inlineStr">
        <is>
          <t>Grantee</t>
        </is>
      </c>
      <c r="Q271" s="61" t="n"/>
      <c r="R271" s="61" t="n"/>
      <c r="S271" s="61" t="n"/>
      <c r="T271" s="61" t="inlineStr">
        <is>
          <t>—</t>
        </is>
      </c>
      <c r="U271" s="67" t="n"/>
      <c r="V271" s="67" t="n"/>
      <c r="W271" s="67" t="n"/>
      <c r="X271" s="67" t="n"/>
      <c r="Y271" s="67" t="n"/>
      <c r="Z271" s="67" t="n"/>
      <c r="AA271" s="67" t="n"/>
      <c r="AB271" s="67" t="n"/>
      <c r="AC271" s="67" t="n"/>
      <c r="AD271" s="67" t="n"/>
      <c r="AE271" s="67" t="n"/>
      <c r="AF271" s="67" t="n"/>
    </row>
    <row r="272">
      <c r="A272" s="67" t="n"/>
      <c r="B272" s="47" t="n">
        <v>266</v>
      </c>
      <c r="C272" s="44" t="inlineStr">
        <is>
          <t>Instituto Peabiru</t>
        </is>
      </c>
      <c r="D272" s="44" t="inlineStr">
        <is>
          <t>Civil Society Organization (CSO)</t>
        </is>
      </c>
      <c r="E272" s="62" t="inlineStr">
        <is>
          <t>Local implementers</t>
        </is>
      </c>
      <c r="F272" s="44" t="inlineStr">
        <is>
          <t>Civil society organization operating mainly in the Amazon (especially Pará), supporting community-based territorial development, socio-biodiversity value chains, and local governance arrangements that connect conservation with inclusive livelihoods.</t>
        </is>
      </c>
      <c r="G272" s="46" t="inlineStr">
        <is>
          <t>Regional</t>
        </is>
      </c>
      <c r="H272" s="47" t="inlineStr">
        <is>
          <t>"Land, Food and Forest"</t>
        </is>
      </c>
      <c r="I272" s="48" t="inlineStr">
        <is>
          <t>Amazonia</t>
        </is>
      </c>
      <c r="J272" s="62" t="n"/>
      <c r="K272" s="62" t="inlineStr">
        <is>
          <t>It implemented territorial development and socio-biodiversity chain initiatives mainly in Pará/Amazon contexts and maintained an explicit Amazônia biome linkage.</t>
        </is>
      </c>
      <c r="L272" s="62" t="inlineStr">
        <is>
          <t>Project developer / Implementer, Territorial anchor</t>
        </is>
      </c>
      <c r="M272" s="61" t="inlineStr">
        <is>
          <t>Downstream</t>
        </is>
      </c>
      <c r="N272" s="61" t="inlineStr">
        <is>
          <t>Grant recipient</t>
        </is>
      </c>
      <c r="O272" s="61" t="inlineStr">
        <is>
          <t>São Paulo, SP, Brazil</t>
        </is>
      </c>
      <c r="P272" s="61" t="inlineStr">
        <is>
          <t>Grantee</t>
        </is>
      </c>
      <c r="Q272" s="61" t="n"/>
      <c r="R272" s="61" t="n"/>
      <c r="S272" s="61" t="n"/>
      <c r="T272" s="61" t="inlineStr">
        <is>
          <t>—</t>
        </is>
      </c>
      <c r="U272" s="67" t="n"/>
      <c r="V272" s="67" t="n"/>
      <c r="W272" s="67" t="n"/>
      <c r="X272" s="67" t="n"/>
      <c r="Y272" s="67" t="n"/>
      <c r="Z272" s="67" t="n"/>
      <c r="AA272" s="67" t="n"/>
      <c r="AB272" s="67" t="n"/>
      <c r="AC272" s="67" t="n"/>
      <c r="AD272" s="67" t="n"/>
      <c r="AE272" s="67" t="n"/>
      <c r="AF272" s="67" t="n"/>
    </row>
    <row r="273">
      <c r="A273" s="67" t="n"/>
      <c r="B273" s="47" t="n">
        <v>267</v>
      </c>
      <c r="C273" s="44" t="inlineStr">
        <is>
          <t>Projeto Saúde e Alegria (PSA)</t>
        </is>
      </c>
      <c r="D273" s="44" t="inlineStr">
        <is>
          <t>Civil Society Organization (CSO)</t>
        </is>
      </c>
      <c r="E273" s="62" t="inlineStr">
        <is>
          <t>Local implementers</t>
        </is>
      </c>
      <c r="F273" s="44" t="inlineStr">
        <is>
          <t>Non-profit initiative working in the Brazilian Amazon, promoting participatory and integrated community development (health, education, citizenship, and sustainable livelihoods), strengthening local resilience and inclusive territorial transitions.</t>
        </is>
      </c>
      <c r="G273" s="46" t="inlineStr">
        <is>
          <t>Regional</t>
        </is>
      </c>
      <c r="H273" s="47" t="inlineStr">
        <is>
          <t>"Land, Food and Forest"</t>
        </is>
      </c>
      <c r="I273" s="48" t="inlineStr">
        <is>
          <t>Amazonia</t>
        </is>
      </c>
      <c r="J273" s="62" t="n"/>
      <c r="K273" s="62" t="inlineStr">
        <is>
          <t>It implemented integrated community development in Amazon territories and maintained a clear Amazônia biome focus.</t>
        </is>
      </c>
      <c r="L273" s="62" t="inlineStr">
        <is>
          <t>Project developer / Implementer, Community legitimacy / proximate leadership</t>
        </is>
      </c>
      <c r="M273" s="61" t="inlineStr">
        <is>
          <t>Downstream</t>
        </is>
      </c>
      <c r="N273" s="61" t="inlineStr">
        <is>
          <t>Grant recipient</t>
        </is>
      </c>
      <c r="O273" s="61" t="inlineStr">
        <is>
          <t>Santarém, PA, Brazil</t>
        </is>
      </c>
      <c r="P273" s="61" t="inlineStr">
        <is>
          <t>Grantee</t>
        </is>
      </c>
      <c r="Q273" s="61" t="n"/>
      <c r="R273" s="61" t="n"/>
      <c r="S273" s="61" t="n"/>
      <c r="T273" s="61" t="inlineStr">
        <is>
          <t>—</t>
        </is>
      </c>
      <c r="U273" s="67" t="n"/>
      <c r="V273" s="67" t="n"/>
      <c r="W273" s="67" t="n"/>
      <c r="X273" s="67" t="n"/>
      <c r="Y273" s="67" t="n"/>
      <c r="Z273" s="67" t="n"/>
      <c r="AA273" s="67" t="n"/>
      <c r="AB273" s="67" t="n"/>
      <c r="AC273" s="67" t="n"/>
      <c r="AD273" s="67" t="n"/>
      <c r="AE273" s="67" t="n"/>
      <c r="AF273" s="67" t="n"/>
    </row>
    <row r="274">
      <c r="A274" s="67" t="n"/>
      <c r="B274" s="47" t="n">
        <v>268</v>
      </c>
      <c r="C274" s="44" t="inlineStr">
        <is>
          <t>Articulação dos Povos Indígenas do Brasil (APIB)</t>
        </is>
      </c>
      <c r="D274" s="44" t="inlineStr">
        <is>
          <t>Others</t>
        </is>
      </c>
      <c r="E274" s="62" t="inlineStr">
        <is>
          <t>Grassroots networks</t>
        </is>
      </c>
      <c r="F274" s="44" t="inlineStr">
        <is>
          <t>National Indigenous movement articulation that connects regional Indigenous organizations and agendas, with strong advocacy on territorial rights, protection of forests, climate justice, and human rights—central for AFOLU and territorial governance in Amazon/Cerrado/Caatinga.</t>
        </is>
      </c>
      <c r="G274" s="46" t="inlineStr">
        <is>
          <t>National</t>
        </is>
      </c>
      <c r="H274" s="47" t="inlineStr">
        <is>
          <t>"Land, Food and Forest"</t>
        </is>
      </c>
      <c r="I274" s="48" t="inlineStr">
        <is>
          <t>Amazonia, Caatinga, Cerrado</t>
        </is>
      </c>
      <c r="J274" s="62" t="inlineStr">
        <is>
          <t>Mata&amp;Atlântica</t>
        </is>
      </c>
      <c r="K274" s="62" t="inlineStr">
        <is>
          <t>It mobilized advocacy and rights-based agendas most visibly linked to Amazônia and Cerrado Indigenous territorial pressures, while it also engaged national struggles affecting Caatinga and Mata Atlântica Indigenous territories.</t>
        </is>
      </c>
      <c r="L274" s="62" t="inlineStr">
        <is>
          <t>Community legitimacy / proximate leadership, Policy influence / regulation</t>
        </is>
      </c>
      <c r="M274" s="61" t="inlineStr">
        <is>
          <t>Downstream</t>
        </is>
      </c>
      <c r="N274" s="61" t="inlineStr">
        <is>
          <t>Strategic partner</t>
        </is>
      </c>
      <c r="O274" s="61" t="inlineStr">
        <is>
          <t>Brasília, DF, Brazil</t>
        </is>
      </c>
      <c r="P274" s="61" t="inlineStr">
        <is>
          <t>Grantee</t>
        </is>
      </c>
      <c r="Q274" s="61" t="n"/>
      <c r="R274" s="61" t="n"/>
      <c r="S274" s="61" t="n"/>
      <c r="T274" s="61" t="inlineStr">
        <is>
          <t>—</t>
        </is>
      </c>
      <c r="U274" s="67" t="n"/>
      <c r="V274" s="67" t="n"/>
      <c r="W274" s="67" t="n"/>
      <c r="X274" s="67" t="n"/>
      <c r="Y274" s="67" t="n"/>
      <c r="Z274" s="67" t="n"/>
      <c r="AA274" s="67" t="n"/>
      <c r="AB274" s="67" t="n"/>
      <c r="AC274" s="67" t="n"/>
      <c r="AD274" s="67" t="n"/>
      <c r="AE274" s="67" t="n"/>
      <c r="AF274" s="67" t="n"/>
    </row>
    <row r="275">
      <c r="A275" s="67" t="n"/>
      <c r="B275" s="47" t="n">
        <v>269</v>
      </c>
      <c r="C275" s="44" t="inlineStr">
        <is>
          <t>Coordenação das Organizações Indígenas da Amazônia Brasileira (COIAB)</t>
        </is>
      </c>
      <c r="D275" s="44" t="inlineStr">
        <is>
          <t>Others</t>
        </is>
      </c>
      <c r="E275" s="62" t="inlineStr">
        <is>
          <t>Grassroots networks</t>
        </is>
      </c>
      <c r="F275" s="44" t="inlineStr">
        <is>
          <t>Indigenous coordination in the Brazilian Amazon that supports collective representation, territorial rights, and protection of forests and communities, strengthening Indigenous governance and climate/AFOLU outcomes.</t>
        </is>
      </c>
      <c r="G275" s="46" t="inlineStr">
        <is>
          <t>Regional</t>
        </is>
      </c>
      <c r="H275" s="47" t="inlineStr">
        <is>
          <t>"Land, Food and Forest"</t>
        </is>
      </c>
      <c r="I275" s="48" t="inlineStr">
        <is>
          <t>Amazonia</t>
        </is>
      </c>
      <c r="J275" s="62" t="n"/>
      <c r="K275" s="62" t="inlineStr">
        <is>
          <t>It coordinated Indigenous organizations explicitly within the Amazônia biome and anchored action in Amazon territories.</t>
        </is>
      </c>
      <c r="L275" s="62" t="inlineStr">
        <is>
          <t>Community legitimacy / proximate leadership, Territorial anchor</t>
        </is>
      </c>
      <c r="M275" s="61" t="inlineStr">
        <is>
          <t>Downstream</t>
        </is>
      </c>
      <c r="N275" s="61" t="inlineStr">
        <is>
          <t>Strategic partner</t>
        </is>
      </c>
      <c r="O275" s="61" t="inlineStr">
        <is>
          <t>Manaus, AM, Brazil</t>
        </is>
      </c>
      <c r="P275" s="61" t="inlineStr">
        <is>
          <t>Grantee</t>
        </is>
      </c>
      <c r="Q275" s="61" t="n"/>
      <c r="R275" s="61" t="n"/>
      <c r="S275" s="61" t="n"/>
      <c r="T275" s="61" t="inlineStr">
        <is>
          <t>—</t>
        </is>
      </c>
      <c r="U275" s="67" t="n"/>
      <c r="V275" s="67" t="n"/>
      <c r="W275" s="67" t="n"/>
      <c r="X275" s="67" t="n"/>
      <c r="Y275" s="67" t="n"/>
      <c r="Z275" s="67" t="n"/>
      <c r="AA275" s="67" t="n"/>
      <c r="AB275" s="67" t="n"/>
      <c r="AC275" s="67" t="n"/>
      <c r="AD275" s="67" t="n"/>
      <c r="AE275" s="67" t="n"/>
      <c r="AF275" s="67" t="n"/>
    </row>
    <row r="276">
      <c r="A276" s="67" t="n"/>
      <c r="B276" s="47" t="n">
        <v>270</v>
      </c>
      <c r="C276" s="44" t="inlineStr">
        <is>
          <t>Conselho Indigenista Missionário (CIMI)</t>
        </is>
      </c>
      <c r="D276" s="44" t="inlineStr">
        <is>
          <t>Civil Society Organization (CSO)</t>
        </is>
      </c>
      <c r="E276" s="62" t="inlineStr">
        <is>
          <t>Local implementers</t>
        </is>
      </c>
      <c r="F276" s="44" t="inlineStr">
        <is>
          <t>Organization linked to the CNBB that supports Indigenous peoples’ rights in Brazil, including accompaniment of communities and advocacy/monitoring of rights violations—relevant for safeguards, land rights, and just territorial transitions.</t>
        </is>
      </c>
      <c r="G276" s="46" t="inlineStr">
        <is>
          <t>National</t>
        </is>
      </c>
      <c r="H276" s="47" t="inlineStr">
        <is>
          <t>"Land, Food and Forest"</t>
        </is>
      </c>
      <c r="I276" s="48" t="inlineStr">
        <is>
          <t>Amazonia, Caatinga, Cerrado</t>
        </is>
      </c>
      <c r="J276" s="62" t="inlineStr">
        <is>
          <t>Mata&amp;Atlântica</t>
        </is>
      </c>
      <c r="K276" s="62" t="inlineStr">
        <is>
          <t>It monitored conflicts and supported Indigenous rights across Brazil with recurrent prominence in Amazônia and Cerrado land-rights disputes, while it also acted in Mata Atlântica and Caatinga contexts through national coverage.</t>
        </is>
      </c>
      <c r="L276" s="62" t="inlineStr">
        <is>
          <t>Community legitimacy / proximate leadership, Policy influence / regulation</t>
        </is>
      </c>
      <c r="M276" s="61" t="inlineStr">
        <is>
          <t>Downstream</t>
        </is>
      </c>
      <c r="N276" s="61" t="inlineStr">
        <is>
          <t>Strategic partner</t>
        </is>
      </c>
      <c r="O276" s="61" t="inlineStr">
        <is>
          <t>Brasília, DF, Brazil</t>
        </is>
      </c>
      <c r="P276" s="61" t="inlineStr">
        <is>
          <t>Grantee</t>
        </is>
      </c>
      <c r="Q276" s="61" t="n"/>
      <c r="R276" s="61" t="n"/>
      <c r="S276" s="61" t="n"/>
      <c r="T276" s="61" t="inlineStr">
        <is>
          <t>—</t>
        </is>
      </c>
      <c r="U276" s="67" t="n"/>
      <c r="V276" s="67" t="n"/>
      <c r="W276" s="67" t="n"/>
      <c r="X276" s="67" t="n"/>
      <c r="Y276" s="67" t="n"/>
      <c r="Z276" s="67" t="n"/>
      <c r="AA276" s="67" t="n"/>
      <c r="AB276" s="67" t="n"/>
      <c r="AC276" s="67" t="n"/>
      <c r="AD276" s="67" t="n"/>
      <c r="AE276" s="67" t="n"/>
      <c r="AF276" s="67" t="n"/>
    </row>
    <row r="277">
      <c r="A277" s="67" t="n"/>
      <c r="B277" s="47" t="n">
        <v>271</v>
      </c>
      <c r="C277" s="44" t="inlineStr">
        <is>
          <t>Comissão Pastoral da Terra (CPT)</t>
        </is>
      </c>
      <c r="D277" s="44" t="inlineStr">
        <is>
          <t>Civil Society Organization (CSO)</t>
        </is>
      </c>
      <c r="E277" s="62" t="inlineStr">
        <is>
          <t xml:space="preserve">Social moviments </t>
        </is>
      </c>
      <c r="F277" s="44" t="inlineStr">
        <is>
          <t>Rights-based organization that supports rural peoples and communities, documents land and environmental conflicts, and strengthens grassroots organization and advocacy for land/water rights and socio-environmental justice.</t>
        </is>
      </c>
      <c r="G277" s="46" t="inlineStr">
        <is>
          <t>National</t>
        </is>
      </c>
      <c r="H277" s="47" t="inlineStr">
        <is>
          <t>Emergency response, Energy, "Land, Food and Forest"</t>
        </is>
      </c>
      <c r="I277" s="48" t="inlineStr">
        <is>
          <t>Amazonia, Caatinga, Cerrado</t>
        </is>
      </c>
      <c r="J277" s="62" t="inlineStr">
        <is>
          <t>Mata&amp;Atlântica</t>
        </is>
      </c>
      <c r="K277" s="62" t="inlineStr">
        <is>
          <t>It documented and engaged land/conflict dynamics frequently concentrated in Amazônia and Cerrado frontiers, while it also covered rural conflict and rights agendas in Caatinga and Mata Atlântica areas.</t>
        </is>
      </c>
      <c r="L277" s="62" t="inlineStr">
        <is>
          <t>Community legitimacy / proximate leadership, Policy influence / regulation</t>
        </is>
      </c>
      <c r="M277" s="61" t="inlineStr">
        <is>
          <t>Downstream</t>
        </is>
      </c>
      <c r="N277" s="61" t="inlineStr">
        <is>
          <t>Grant recipient</t>
        </is>
      </c>
      <c r="O277" s="61" t="inlineStr">
        <is>
          <t>Goiânia, GO, Brazil</t>
        </is>
      </c>
      <c r="P277" s="61" t="inlineStr">
        <is>
          <t>Grantee</t>
        </is>
      </c>
      <c r="Q277" s="61" t="n"/>
      <c r="R277" s="61" t="n"/>
      <c r="S277" s="61" t="n"/>
      <c r="T277" s="61" t="inlineStr">
        <is>
          <t>—</t>
        </is>
      </c>
      <c r="U277" s="67" t="n"/>
      <c r="V277" s="67" t="n"/>
      <c r="W277" s="67" t="n"/>
      <c r="X277" s="67" t="n"/>
      <c r="Y277" s="67" t="n"/>
      <c r="Z277" s="67" t="n"/>
      <c r="AA277" s="67" t="n"/>
      <c r="AB277" s="67" t="n"/>
      <c r="AC277" s="67" t="n"/>
      <c r="AD277" s="67" t="n"/>
      <c r="AE277" s="67" t="n"/>
      <c r="AF277" s="67" t="n"/>
    </row>
    <row r="278">
      <c r="A278" s="67" t="n"/>
      <c r="B278" s="47" t="n">
        <v>272</v>
      </c>
      <c r="C278" s="44" t="inlineStr">
        <is>
          <t>Conselho Nacional das Populações Extrativistas (CNS)</t>
        </is>
      </c>
      <c r="D278" s="44" t="inlineStr">
        <is>
          <t>Others</t>
        </is>
      </c>
      <c r="E278" s="62" t="inlineStr">
        <is>
          <t>Grassroots networks</t>
        </is>
      </c>
      <c r="F278" s="44" t="inlineStr">
        <is>
          <t>National organization/movement representing extractive communities, advocating for public policies and collective-use territories that ensure socio-environmental sustainability and forest conservation (e.g., extractive reserves).</t>
        </is>
      </c>
      <c r="G278" s="46" t="inlineStr">
        <is>
          <t>National</t>
        </is>
      </c>
      <c r="H278" s="47" t="inlineStr">
        <is>
          <t>"Land, Food and Forest"</t>
        </is>
      </c>
      <c r="I278" s="48" t="inlineStr">
        <is>
          <t>Amazonia, Caatinga, Cerrado</t>
        </is>
      </c>
      <c r="J278" s="62" t="inlineStr">
        <is>
          <t>Mata&amp;Atlântica</t>
        </is>
      </c>
      <c r="K278" s="62" t="inlineStr">
        <is>
          <t>It represented extractive-reserve and forest-based livelihoods strongly anchored in Amazônia and it also engaged extractive/community territories in Mata Atlântica contexts where applicable.</t>
        </is>
      </c>
      <c r="L278" s="62" t="inlineStr">
        <is>
          <t>Community legitimacy / proximate leadership, Policy influence / regulation</t>
        </is>
      </c>
      <c r="M278" s="61" t="inlineStr">
        <is>
          <t>Downstream</t>
        </is>
      </c>
      <c r="N278" s="61" t="inlineStr">
        <is>
          <t>Grant recipient</t>
        </is>
      </c>
      <c r="O278" s="61" t="inlineStr">
        <is>
          <t>Brasília, DF, Brazil</t>
        </is>
      </c>
      <c r="P278" s="61" t="inlineStr">
        <is>
          <t>Grantee</t>
        </is>
      </c>
      <c r="Q278" s="61" t="n"/>
      <c r="R278" s="61" t="n"/>
      <c r="S278" s="61" t="n"/>
      <c r="T278" s="61" t="inlineStr">
        <is>
          <t>—</t>
        </is>
      </c>
      <c r="U278" s="67" t="n"/>
      <c r="V278" s="67" t="n"/>
      <c r="W278" s="67" t="n"/>
      <c r="X278" s="67" t="n"/>
      <c r="Y278" s="67" t="n"/>
      <c r="Z278" s="67" t="n"/>
      <c r="AA278" s="67" t="n"/>
      <c r="AB278" s="67" t="n"/>
      <c r="AC278" s="67" t="n"/>
      <c r="AD278" s="67" t="n"/>
      <c r="AE278" s="67" t="n"/>
      <c r="AF278" s="67" t="n"/>
    </row>
    <row r="279">
      <c r="A279" s="67" t="n"/>
      <c r="B279" s="47" t="n">
        <v>273</v>
      </c>
      <c r="C279" s="44" t="inlineStr">
        <is>
          <t>Articulação Nacional de Agroecologia (ANA)</t>
        </is>
      </c>
      <c r="D279" s="44" t="inlineStr">
        <is>
          <t>Others</t>
        </is>
      </c>
      <c r="E279" s="62" t="inlineStr">
        <is>
          <t>Grassroots networks</t>
        </is>
      </c>
      <c r="F279" s="44" t="inlineStr">
        <is>
          <t>National space for convergence among movements, networks and civil society organizations engaged in agroecology and family farming, promoting knowledge exchange and policy advocacy for sustainable rural development.</t>
        </is>
      </c>
      <c r="G279" s="46" t="inlineStr">
        <is>
          <t>National</t>
        </is>
      </c>
      <c r="H279" s="47" t="inlineStr">
        <is>
          <t>"Land, Food and Forest"</t>
        </is>
      </c>
      <c r="I279" s="48" t="inlineStr">
        <is>
          <t>Amazonia, Caatinga, Cerrado</t>
        </is>
      </c>
      <c r="J279" s="62" t="inlineStr">
        <is>
          <t>Mata&amp;Atlântica</t>
        </is>
      </c>
      <c r="K279" s="62" t="inlineStr">
        <is>
          <t>It convened agroecology networks with strong presence in Caatinga and Cerrado family-farming territories and it also mobilized agendas across Mata Atlântica and Amazônia through national articulation.</t>
        </is>
      </c>
      <c r="L279" s="62" t="inlineStr">
        <is>
          <t>Convenor/enablers, Community legitimacy / proximate leadership</t>
        </is>
      </c>
      <c r="M279" s="61" t="inlineStr">
        <is>
          <t>Midstream</t>
        </is>
      </c>
      <c r="N279" s="61" t="inlineStr">
        <is>
          <t>Strategic partner</t>
        </is>
      </c>
      <c r="O279" s="61" t="inlineStr">
        <is>
          <t>São Paulo, SP, Brazil</t>
        </is>
      </c>
      <c r="P279" s="61" t="inlineStr">
        <is>
          <t>Grantee</t>
        </is>
      </c>
      <c r="Q279" s="61" t="n"/>
      <c r="R279" s="61" t="n"/>
      <c r="S279" s="61" t="n"/>
      <c r="T279" s="61" t="inlineStr">
        <is>
          <t>—</t>
        </is>
      </c>
      <c r="U279" s="67" t="n"/>
      <c r="V279" s="67" t="n"/>
      <c r="W279" s="67" t="n"/>
      <c r="X279" s="67" t="n"/>
      <c r="Y279" s="67" t="n"/>
      <c r="Z279" s="67" t="n"/>
      <c r="AA279" s="67" t="n"/>
      <c r="AB279" s="67" t="n"/>
      <c r="AC279" s="67" t="n"/>
      <c r="AD279" s="67" t="n"/>
      <c r="AE279" s="67" t="n"/>
      <c r="AF279" s="67" t="n"/>
    </row>
    <row r="280">
      <c r="A280" s="67" t="n"/>
      <c r="B280" s="47" t="n">
        <v>274</v>
      </c>
      <c r="C280" s="44" t="inlineStr">
        <is>
          <t>Diaconia</t>
        </is>
      </c>
      <c r="D280" s="44" t="inlineStr">
        <is>
          <t>Civil Society Organization (CSO)</t>
        </is>
      </c>
      <c r="E280" s="62" t="inlineStr">
        <is>
          <t xml:space="preserve">Social moviments </t>
        </is>
      </c>
      <c r="F280" s="44" t="inlineStr">
        <is>
          <t>Civil society organization with strong presence in Brazil’s Northeast/Semi-arid, strengthening social processes and policy advocacy for rights, climate resilience, and sustainable community development—relevant to AFOLU and adaptation.</t>
        </is>
      </c>
      <c r="G280" s="46" t="inlineStr">
        <is>
          <t>National</t>
        </is>
      </c>
      <c r="H280" s="47" t="inlineStr">
        <is>
          <t>Emergency response, "Land, Food and Forest"</t>
        </is>
      </c>
      <c r="I280" s="60" t="inlineStr">
        <is>
          <t>Caatinga</t>
        </is>
      </c>
      <c r="J280" s="62" t="inlineStr">
        <is>
          <t>Coastal&amp;maritime</t>
        </is>
      </c>
      <c r="K280" s="62" t="inlineStr">
        <is>
          <t>It implemented programs strongly associated with the Semi-arid Caatinga and it also operated in coastal Northeast communities with coastal-maritime interfaces.</t>
        </is>
      </c>
      <c r="L280" s="62" t="inlineStr">
        <is>
          <t>Project developer / Implementer, Implementation capacity (delivery)</t>
        </is>
      </c>
      <c r="M280" s="61" t="inlineStr">
        <is>
          <t>Downstream</t>
        </is>
      </c>
      <c r="N280" s="61" t="inlineStr">
        <is>
          <t>Grant recipient</t>
        </is>
      </c>
      <c r="O280" s="61" t="inlineStr">
        <is>
          <t>Recife, PE, Brazil</t>
        </is>
      </c>
      <c r="P280" s="61" t="inlineStr">
        <is>
          <t>Grantee</t>
        </is>
      </c>
      <c r="Q280" s="61" t="n"/>
      <c r="R280" s="61" t="n"/>
      <c r="S280" s="61" t="n"/>
      <c r="T280" s="61" t="inlineStr">
        <is>
          <t>—</t>
        </is>
      </c>
      <c r="U280" s="67" t="n"/>
      <c r="V280" s="67" t="n"/>
      <c r="W280" s="67" t="n"/>
      <c r="X280" s="67" t="n"/>
      <c r="Y280" s="67" t="n"/>
      <c r="Z280" s="67" t="n"/>
      <c r="AA280" s="67" t="n"/>
      <c r="AB280" s="67" t="n"/>
      <c r="AC280" s="67" t="n"/>
      <c r="AD280" s="67" t="n"/>
      <c r="AE280" s="67" t="n"/>
      <c r="AF280" s="67" t="n"/>
    </row>
    <row r="281">
      <c r="A281" s="67" t="n"/>
      <c r="B281" s="47" t="n">
        <v>275</v>
      </c>
      <c r="C281" s="44" t="inlineStr">
        <is>
          <t>Cáritas Brasileira</t>
        </is>
      </c>
      <c r="D281" s="44" t="inlineStr">
        <is>
          <t>Civil Society Organization (CSO)</t>
        </is>
      </c>
      <c r="E281" s="62" t="inlineStr">
        <is>
          <t xml:space="preserve">Social moviments </t>
        </is>
      </c>
      <c r="F281" s="44" t="inlineStr">
        <is>
          <t>Catholic humanitarian and social development network in Brazil working with vulnerable populations, human rights, food security and solidarity-based development (including emergency response and community resilience).</t>
        </is>
      </c>
      <c r="G281" s="46" t="inlineStr">
        <is>
          <t>National</t>
        </is>
      </c>
      <c r="H281" s="47" t="inlineStr">
        <is>
          <t>Emergency response, "Land, Food and Forest"</t>
        </is>
      </c>
      <c r="I281" s="48" t="inlineStr">
        <is>
          <t>Amazonia, Caatinga, Cerrado</t>
        </is>
      </c>
      <c r="J281" s="62" t="inlineStr">
        <is>
          <t>Mata&amp;Atlântica</t>
        </is>
      </c>
      <c r="K281" s="62" t="inlineStr">
        <is>
          <t>No biome lens was assigned because humanitarian and social development actions were delivered across diverse territories without a consistent biome-delimited operational framing in this mapping.</t>
        </is>
      </c>
      <c r="L281" s="62" t="inlineStr">
        <is>
          <t>Project developer / Implementer, Implementation capacity (delivery)</t>
        </is>
      </c>
      <c r="M281" s="61" t="inlineStr">
        <is>
          <t>Downstream</t>
        </is>
      </c>
      <c r="N281" s="61" t="inlineStr">
        <is>
          <t>Grant recipient</t>
        </is>
      </c>
      <c r="O281" s="61" t="inlineStr">
        <is>
          <t>Brasília, DF, Brazil</t>
        </is>
      </c>
      <c r="P281" s="61" t="inlineStr">
        <is>
          <t>Grantee</t>
        </is>
      </c>
      <c r="Q281" s="61" t="n"/>
      <c r="R281" s="61" t="n"/>
      <c r="S281" s="61" t="n"/>
      <c r="T281" s="61" t="inlineStr">
        <is>
          <t>—</t>
        </is>
      </c>
      <c r="U281" s="67" t="n"/>
      <c r="V281" s="67" t="n"/>
      <c r="W281" s="67" t="n"/>
      <c r="X281" s="67" t="n"/>
      <c r="Y281" s="67" t="n"/>
      <c r="Z281" s="67" t="n"/>
      <c r="AA281" s="67" t="n"/>
      <c r="AB281" s="67" t="n"/>
      <c r="AC281" s="67" t="n"/>
      <c r="AD281" s="67" t="n"/>
      <c r="AE281" s="67" t="n"/>
      <c r="AF281" s="67" t="n"/>
    </row>
    <row r="282">
      <c r="A282" s="67" t="n"/>
      <c r="B282" s="47" t="n">
        <v>276</v>
      </c>
      <c r="C282" s="44" t="inlineStr">
        <is>
          <t>Federação de Órgãos para Assistência Social e Educacional (FASE)</t>
        </is>
      </c>
      <c r="D282" s="44" t="inlineStr">
        <is>
          <t>Civil Society Organization (CSO)</t>
        </is>
      </c>
      <c r="E282" s="62" t="inlineStr">
        <is>
          <t>Local implementers</t>
        </is>
      </c>
      <c r="F282" s="44" t="inlineStr">
        <is>
          <t>Brazilian NGO that strengthens grassroots groups and civic participation for rights, democracy and environmental justice, operating across multiple states in urban and rural contexts.</t>
        </is>
      </c>
      <c r="G282" s="46" t="inlineStr">
        <is>
          <t>National</t>
        </is>
      </c>
      <c r="H282" s="47" t="inlineStr">
        <is>
          <t>"Land, Food and Forest"</t>
        </is>
      </c>
      <c r="I282" s="48" t="n"/>
      <c r="J282" s="62" t="n"/>
      <c r="K282" s="62" t="inlineStr">
        <is>
          <t>No biome lens was assigned because it operated through civic participation and rights agendas across states without a stable biome-delimited project portfolio in this mapping.</t>
        </is>
      </c>
      <c r="L282" s="62" t="inlineStr">
        <is>
          <t>Project developer / Implementer, Policy influence / regulation</t>
        </is>
      </c>
      <c r="M282" s="61" t="inlineStr">
        <is>
          <t>Downstream</t>
        </is>
      </c>
      <c r="N282" s="61" t="inlineStr">
        <is>
          <t>Grant recipient</t>
        </is>
      </c>
      <c r="O282" s="61" t="inlineStr">
        <is>
          <t>Rio de Janeiro, RJ, Brazil</t>
        </is>
      </c>
      <c r="P282" s="61" t="inlineStr">
        <is>
          <t>Grantee</t>
        </is>
      </c>
      <c r="Q282" s="61" t="n"/>
      <c r="R282" s="61" t="n"/>
      <c r="S282" s="61" t="n"/>
      <c r="T282" s="61" t="inlineStr">
        <is>
          <t>—</t>
        </is>
      </c>
      <c r="U282" s="67" t="n"/>
      <c r="V282" s="67" t="n"/>
      <c r="W282" s="67" t="n"/>
      <c r="X282" s="67" t="n"/>
      <c r="Y282" s="67" t="n"/>
      <c r="Z282" s="67" t="n"/>
      <c r="AA282" s="67" t="n"/>
      <c r="AB282" s="67" t="n"/>
      <c r="AC282" s="67" t="n"/>
      <c r="AD282" s="67" t="n"/>
      <c r="AE282" s="67" t="n"/>
      <c r="AF282" s="67" t="n"/>
    </row>
    <row r="283">
      <c r="A283" s="67" t="n"/>
      <c r="B283" s="47" t="n">
        <v>277</v>
      </c>
      <c r="C283" s="44" t="inlineStr">
        <is>
          <t>Centro de Estudos do Trabalho e de Assessoria ao Trabalhador e à Trabalhadora (CETRA)</t>
        </is>
      </c>
      <c r="D283" s="44" t="inlineStr">
        <is>
          <t>Civil Society Organization (CSO)</t>
        </is>
      </c>
      <c r="E283" s="62" t="inlineStr">
        <is>
          <t>Local implementers</t>
        </is>
      </c>
      <c r="F283" s="44" t="inlineStr">
        <is>
          <t>Civil society organization providing technical and social advisory support to family farmers and rural workers, promoting agroecology, social technologies, and territorial development—relevant to AFOLU transitions and resilience in the Semi-arid.</t>
        </is>
      </c>
      <c r="G283" s="46" t="inlineStr">
        <is>
          <t>State-level</t>
        </is>
      </c>
      <c r="H283" s="47" t="inlineStr">
        <is>
          <t>"Land, Food and Forest"</t>
        </is>
      </c>
      <c r="I283" s="60" t="inlineStr">
        <is>
          <t>Caatinga</t>
        </is>
      </c>
      <c r="J283" s="62" t="n"/>
      <c r="K283" s="62" t="inlineStr">
        <is>
          <t>It implemented agroecology and social-technology support for family farming in Semi-arid territories explicitly tied to the Caatinga biome.</t>
        </is>
      </c>
      <c r="L283" s="62" t="inlineStr">
        <is>
          <t>Project developer / Implementer, Implementation capacity (delivery)</t>
        </is>
      </c>
      <c r="M283" s="61" t="inlineStr">
        <is>
          <t>Downstream</t>
        </is>
      </c>
      <c r="N283" s="61" t="inlineStr">
        <is>
          <t>Grant recipient</t>
        </is>
      </c>
      <c r="O283" s="61" t="inlineStr">
        <is>
          <t>Fortaleza, CE, Brazil</t>
        </is>
      </c>
      <c r="P283" s="61" t="inlineStr">
        <is>
          <t>Grantee</t>
        </is>
      </c>
      <c r="Q283" s="61" t="n"/>
      <c r="R283" s="61" t="n"/>
      <c r="S283" s="61" t="n"/>
      <c r="T283" s="61" t="inlineStr">
        <is>
          <t>—</t>
        </is>
      </c>
      <c r="U283" s="67" t="n"/>
      <c r="V283" s="67" t="n"/>
      <c r="W283" s="67" t="n"/>
      <c r="X283" s="67" t="n"/>
      <c r="Y283" s="67" t="n"/>
      <c r="Z283" s="67" t="n"/>
      <c r="AA283" s="67" t="n"/>
      <c r="AB283" s="67" t="n"/>
      <c r="AC283" s="67" t="n"/>
      <c r="AD283" s="67" t="n"/>
      <c r="AE283" s="67" t="n"/>
      <c r="AF283" s="67" t="n"/>
    </row>
    <row r="284">
      <c r="A284" s="67" t="n"/>
      <c r="B284" s="47" t="n">
        <v>278</v>
      </c>
      <c r="C284" s="44" t="inlineStr">
        <is>
          <t>Centro de Desenvolvimento Agroecológico Sabiá (Centro Sabiá)</t>
        </is>
      </c>
      <c r="D284" s="44" t="inlineStr">
        <is>
          <t>Civil Society Organization (CSO)</t>
        </is>
      </c>
      <c r="E284" s="62" t="inlineStr">
        <is>
          <t>Local implementers</t>
        </is>
      </c>
      <c r="F284" s="44" t="inlineStr">
        <is>
          <t>NGO that promotes family farming under agroecology principles, working with agroforestry systems, territorial rural economies and policy advocacy—relevant for AFOLU transitions and climate-resilient food systems.</t>
        </is>
      </c>
      <c r="G284" s="46" t="inlineStr">
        <is>
          <t>State-level</t>
        </is>
      </c>
      <c r="H284" s="47" t="inlineStr">
        <is>
          <t>"Land, Food and Forest"</t>
        </is>
      </c>
      <c r="I284" s="48" t="inlineStr">
        <is>
          <t>Caatinga</t>
        </is>
      </c>
      <c r="J284" s="62" t="inlineStr">
        <is>
          <t>Mata&amp;Atlântica</t>
        </is>
      </c>
      <c r="K284" s="62" t="inlineStr">
        <is>
          <t>It operated in Pernambuco with strong Mata Atlântica-zone rural territories and it also engaged Semi-arid interfaces connected to Caatinga through agroecology/agroforestry programming.</t>
        </is>
      </c>
      <c r="L284" s="62" t="inlineStr">
        <is>
          <t>Project developer / Implementer, Implementation capacity (delivery)</t>
        </is>
      </c>
      <c r="M284" s="61" t="inlineStr">
        <is>
          <t>Downstream</t>
        </is>
      </c>
      <c r="N284" s="61" t="inlineStr">
        <is>
          <t>Grant recipient</t>
        </is>
      </c>
      <c r="O284" s="61" t="inlineStr">
        <is>
          <t>Recife, PE, Brazil</t>
        </is>
      </c>
      <c r="P284" s="61" t="inlineStr">
        <is>
          <t>Grantee</t>
        </is>
      </c>
      <c r="Q284" s="61" t="n"/>
      <c r="R284" s="61" t="n"/>
      <c r="S284" s="61" t="n"/>
      <c r="T284" s="61" t="inlineStr">
        <is>
          <t>—</t>
        </is>
      </c>
      <c r="U284" s="67" t="n"/>
      <c r="V284" s="67" t="n"/>
      <c r="W284" s="67" t="n"/>
      <c r="X284" s="67" t="n"/>
      <c r="Y284" s="67" t="n"/>
      <c r="Z284" s="67" t="n"/>
      <c r="AA284" s="67" t="n"/>
      <c r="AB284" s="67" t="n"/>
      <c r="AC284" s="67" t="n"/>
      <c r="AD284" s="67" t="n"/>
      <c r="AE284" s="67" t="n"/>
      <c r="AF284" s="67" t="n"/>
    </row>
    <row r="285">
      <c r="A285" s="67" t="n"/>
      <c r="B285" s="47" t="n">
        <v>279</v>
      </c>
      <c r="C285" s="44" t="inlineStr">
        <is>
          <t>Programa de Aplicação de Tecnologias Apropriadas às Comunidades (PATAC)</t>
        </is>
      </c>
      <c r="D285" s="44" t="inlineStr">
        <is>
          <t>Civil Society Organization (CSO)</t>
        </is>
      </c>
      <c r="E285" s="62" t="inlineStr">
        <is>
          <t>Local implementers</t>
        </is>
      </c>
      <c r="F285" s="44" t="inlineStr">
        <is>
          <t>Civil society organization focused on disseminating appropriate/social technologies and strengthening family farming and agroecology, especially in semi-arid contexts—supporting climate resilience, food security, and inclusive AFOLU transitions.</t>
        </is>
      </c>
      <c r="G285" s="46" t="inlineStr">
        <is>
          <t>State-level</t>
        </is>
      </c>
      <c r="H285" s="47" t="inlineStr">
        <is>
          <t>"Land, Food and Forest"</t>
        </is>
      </c>
      <c r="I285" s="60" t="inlineStr">
        <is>
          <t>Caatinga</t>
        </is>
      </c>
      <c r="J285" s="62" t="n"/>
      <c r="K285" s="62" t="inlineStr">
        <is>
          <t>It implemented social technologies and agroecology initiatives explicitly concentrated in Semi-arid territories linked to the Caatinga biome.</t>
        </is>
      </c>
      <c r="L285" s="62" t="inlineStr">
        <is>
          <t>Project developer / Implementer, Implementation capacity (delivery)</t>
        </is>
      </c>
      <c r="M285" s="61" t="inlineStr">
        <is>
          <t>Downstream</t>
        </is>
      </c>
      <c r="N285" s="61" t="inlineStr">
        <is>
          <t>Grant recipient</t>
        </is>
      </c>
      <c r="O285" s="61" t="inlineStr">
        <is>
          <t>Campina Grande, PB, Brazil</t>
        </is>
      </c>
      <c r="P285" s="61" t="inlineStr">
        <is>
          <t>Grantee</t>
        </is>
      </c>
      <c r="Q285" s="61" t="n"/>
      <c r="R285" s="61" t="n"/>
      <c r="S285" s="61" t="n"/>
      <c r="T285" s="61" t="inlineStr">
        <is>
          <t>—</t>
        </is>
      </c>
      <c r="U285" s="67" t="n"/>
      <c r="V285" s="67" t="n"/>
      <c r="W285" s="67" t="n"/>
      <c r="X285" s="67" t="n"/>
      <c r="Y285" s="67" t="n"/>
      <c r="Z285" s="67" t="n"/>
      <c r="AA285" s="67" t="n"/>
      <c r="AB285" s="67" t="n"/>
      <c r="AC285" s="67" t="n"/>
      <c r="AD285" s="67" t="n"/>
      <c r="AE285" s="67" t="n"/>
      <c r="AF285" s="67" t="n"/>
    </row>
    <row r="286">
      <c r="A286" s="67" t="n"/>
      <c r="B286" s="47" t="n">
        <v>280</v>
      </c>
      <c r="C286" s="44" t="inlineStr">
        <is>
          <t>Instituto de Arquitetos do Brasil (IAB)</t>
        </is>
      </c>
      <c r="D286" s="44" t="inlineStr">
        <is>
          <t>Civil Society Organization (CSO)</t>
        </is>
      </c>
      <c r="E286" s="62" t="inlineStr">
        <is>
          <t>Industry platforms and sectoral initiatives</t>
        </is>
      </c>
      <c r="F286" s="44" t="inlineStr">
        <is>
          <t>National professional institute for architects; supports the buildings transition by advancing technical debate, professional practice standards, and advocacy for sustainable, low-carbon and climate-resilient architecture and urban development.</t>
        </is>
      </c>
      <c r="G286" s="46" t="inlineStr">
        <is>
          <t>National</t>
        </is>
      </c>
      <c r="H286" s="47" t="inlineStr">
        <is>
          <t>Buildings &amp; Transport</t>
        </is>
      </c>
      <c r="I286" s="48" t="n"/>
      <c r="J286" s="62" t="n"/>
      <c r="K286" s="62" t="inlineStr">
        <is>
          <t>No biome lens was assigned because it operated through professional standards and advocacy rather than biome-delimited initiatives.</t>
        </is>
      </c>
      <c r="L286" s="62" t="inlineStr">
        <is>
          <t>Technical assistance / research, Policy influence / regulation</t>
        </is>
      </c>
      <c r="M286" s="61" t="inlineStr">
        <is>
          <t>Upstream</t>
        </is>
      </c>
      <c r="N286" s="61" t="inlineStr">
        <is>
          <t>Grant recipient</t>
        </is>
      </c>
      <c r="O286" s="61" t="inlineStr">
        <is>
          <t>Rio de Janeiro, RJ, Brazil</t>
        </is>
      </c>
      <c r="P286" s="61" t="inlineStr">
        <is>
          <t>Grantee</t>
        </is>
      </c>
      <c r="Q286" s="61" t="n"/>
      <c r="R286" s="61" t="n"/>
      <c r="S286" s="61" t="n"/>
      <c r="T286" s="61" t="inlineStr">
        <is>
          <t>—</t>
        </is>
      </c>
      <c r="U286" s="67" t="n"/>
      <c r="V286" s="67" t="n"/>
      <c r="W286" s="67" t="n"/>
      <c r="X286" s="67" t="n"/>
      <c r="Y286" s="67" t="n"/>
      <c r="Z286" s="67" t="n"/>
      <c r="AA286" s="67" t="n"/>
      <c r="AB286" s="67" t="n"/>
      <c r="AC286" s="67" t="n"/>
      <c r="AD286" s="67" t="n"/>
      <c r="AE286" s="67" t="n"/>
      <c r="AF286" s="67" t="n"/>
    </row>
    <row r="287">
      <c r="A287" s="67" t="n"/>
      <c r="B287" s="47" t="n">
        <v>281</v>
      </c>
      <c r="C287" s="44" t="inlineStr">
        <is>
          <t>Deutsche Gesellschaft für Internationale Zusammenarbeit (GIZ)</t>
        </is>
      </c>
      <c r="D287" s="44" t="inlineStr">
        <is>
          <t>Others</t>
        </is>
      </c>
      <c r="E287" s="62" t="inlineStr">
        <is>
          <t>Bilateral cooperation agencies</t>
        </is>
      </c>
      <c r="F287" s="44" t="inlineStr">
        <is>
          <t>German international cooperation agency; supports systemic transition by providing technical assistance, capacity building and policy support for energy transition, sustainable transport, resilient cities/buildings and AFOLU initiatives.</t>
        </is>
      </c>
      <c r="G287" s="46" t="inlineStr">
        <is>
          <t>Cross-border / international</t>
        </is>
      </c>
      <c r="H287" s="47" t="inlineStr">
        <is>
          <t>Buildings &amp; Transport, Energy, "Land, Food and Forest"</t>
        </is>
      </c>
      <c r="I287" s="60" t="inlineStr">
        <is>
          <t>Amazonia, Cerrado</t>
        </is>
      </c>
      <c r="J287" s="62" t="n"/>
      <c r="K287" s="62" t="inlineStr">
        <is>
          <t>No biome lens was assigned because the entry described broad technical cooperation and did not specify a consistent, biome-delimited portfolio in Brazil within this mapping.</t>
        </is>
      </c>
      <c r="L287" s="62" t="inlineStr">
        <is>
          <t>Strategic partner, Technical assistance / research, Funder</t>
        </is>
      </c>
      <c r="M287" s="61" t="inlineStr">
        <is>
          <t>Midstream</t>
        </is>
      </c>
      <c r="N287" s="61" t="inlineStr">
        <is>
          <t>Co-funding partner</t>
        </is>
      </c>
      <c r="O287" s="61" t="inlineStr">
        <is>
          <t>Brasília, DF, Brazil</t>
        </is>
      </c>
      <c r="P287" s="61" t="inlineStr">
        <is>
          <t>Donor</t>
        </is>
      </c>
      <c r="Q287" s="61" t="n"/>
      <c r="R287" s="61" t="n"/>
      <c r="S287" s="61" t="n"/>
      <c r="T287" s="61" t="inlineStr">
        <is>
          <t>—</t>
        </is>
      </c>
      <c r="U287" s="67" t="n"/>
      <c r="V287" s="67" t="n"/>
      <c r="W287" s="67" t="n"/>
      <c r="X287" s="67" t="n"/>
      <c r="Y287" s="67" t="n"/>
      <c r="Z287" s="67" t="n"/>
      <c r="AA287" s="67" t="n"/>
      <c r="AB287" s="67" t="n"/>
      <c r="AC287" s="67" t="n"/>
      <c r="AD287" s="67" t="n"/>
      <c r="AE287" s="67" t="n"/>
      <c r="AF287" s="67" t="n"/>
    </row>
    <row r="288">
      <c r="A288" s="67" t="n"/>
      <c r="B288" s="47" t="n">
        <v>282</v>
      </c>
      <c r="C288" s="44" t="inlineStr">
        <is>
          <t>Kreditanstalt für Wiederaufbau (KfW)</t>
        </is>
      </c>
      <c r="D288" s="44" t="inlineStr">
        <is>
          <t>Others</t>
        </is>
      </c>
      <c r="E288" s="62" t="inlineStr">
        <is>
          <t>Development banks</t>
        </is>
      </c>
      <c r="F288" s="44" t="inlineStr">
        <is>
          <t>German development bank; enables transition through concessional finance and blended-finance structures for renewable energy, urban infrastructure, sustainable land use and climate resilience.</t>
        </is>
      </c>
      <c r="G288" s="46" t="inlineStr">
        <is>
          <t>Cross-border / international</t>
        </is>
      </c>
      <c r="H288" s="47" t="inlineStr">
        <is>
          <t>Buildings &amp; Transport, Energy, "Land, Food and Forest"</t>
        </is>
      </c>
      <c r="I288" s="48" t="inlineStr">
        <is>
          <t>Amazonia</t>
        </is>
      </c>
      <c r="J288" s="62" t="inlineStr">
        <is>
          <t>Mata&amp;Atlântica</t>
        </is>
      </c>
      <c r="K288" s="62" t="inlineStr">
        <is>
          <t>No biome lens was assigned because financing operated across sectors and the mapping did not isolate a stable, biome-specific project portfolio for this entry.</t>
        </is>
      </c>
      <c r="L288" s="62" t="inlineStr">
        <is>
          <t>Capital provider / Financial intermediary, Strategic partner</t>
        </is>
      </c>
      <c r="M288" s="61" t="inlineStr">
        <is>
          <t>Midstream</t>
        </is>
      </c>
      <c r="N288" s="61" t="inlineStr">
        <is>
          <t>Co-funding partner</t>
        </is>
      </c>
      <c r="O288" s="61" t="inlineStr">
        <is>
          <t>Brasília, DF, Brazil</t>
        </is>
      </c>
      <c r="P288" s="61" t="inlineStr">
        <is>
          <t>Re-granter</t>
        </is>
      </c>
      <c r="Q288" s="61" t="n"/>
      <c r="R288" s="61" t="n"/>
      <c r="S288" s="61" t="n"/>
      <c r="T288" s="61" t="inlineStr">
        <is>
          <t>—</t>
        </is>
      </c>
      <c r="U288" s="67" t="n"/>
      <c r="V288" s="67" t="n"/>
      <c r="W288" s="67" t="n"/>
      <c r="X288" s="67" t="n"/>
      <c r="Y288" s="67" t="n"/>
      <c r="Z288" s="67" t="n"/>
      <c r="AA288" s="67" t="n"/>
      <c r="AB288" s="67" t="n"/>
      <c r="AC288" s="67" t="n"/>
      <c r="AD288" s="67" t="n"/>
      <c r="AE288" s="67" t="n"/>
      <c r="AF288" s="67" t="n"/>
    </row>
    <row r="289">
      <c r="A289" s="67" t="n"/>
      <c r="B289" s="47" t="n">
        <v>283</v>
      </c>
      <c r="C289" s="44" t="inlineStr">
        <is>
          <t>Deutsche Investitions- und Entwicklungsgesellschaft (DEG)</t>
        </is>
      </c>
      <c r="D289" s="44" t="inlineStr">
        <is>
          <t>Others</t>
        </is>
      </c>
      <c r="E289" s="62" t="inlineStr">
        <is>
          <t>Development banks</t>
        </is>
      </c>
      <c r="F289" s="44" t="inlineStr">
        <is>
          <t>German development finance institution (DFI) focused on private-sector investment; supports transition by financing companies and projects aligned with decarbonization, sustainable value chains, and resilient infrastructure.</t>
        </is>
      </c>
      <c r="G289" s="46" t="inlineStr">
        <is>
          <t>Cross-border / international</t>
        </is>
      </c>
      <c r="H289" s="47" t="inlineStr">
        <is>
          <t>Buildings &amp; Transport, Energy, "Land, Food and Forest"</t>
        </is>
      </c>
      <c r="I289" s="48" t="n"/>
      <c r="J289" s="62" t="n"/>
      <c r="K289" s="62" t="inlineStr">
        <is>
          <t>No biome lens was assigned because investments were transaction-based and no consistent biome-delimited portfolio was identified in this mapping.</t>
        </is>
      </c>
      <c r="L289" s="62" t="inlineStr">
        <is>
          <t>Capital provider / Financial intermediary</t>
        </is>
      </c>
      <c r="M289" s="61" t="inlineStr">
        <is>
          <t>Midstream</t>
        </is>
      </c>
      <c r="N289" s="61" t="inlineStr">
        <is>
          <t>Co-funding partner</t>
        </is>
      </c>
      <c r="O289" s="61" t="inlineStr">
        <is>
          <t>São Paulo, SP, Brazil</t>
        </is>
      </c>
      <c r="P289" s="61" t="inlineStr">
        <is>
          <t>Re-granter</t>
        </is>
      </c>
      <c r="Q289" s="61" t="n"/>
      <c r="R289" s="61" t="n"/>
      <c r="S289" s="61" t="n"/>
      <c r="T289" s="61" t="inlineStr">
        <is>
          <t>—</t>
        </is>
      </c>
      <c r="U289" s="67" t="n"/>
      <c r="V289" s="67" t="n"/>
      <c r="W289" s="67" t="n"/>
      <c r="X289" s="67" t="n"/>
      <c r="Y289" s="67" t="n"/>
      <c r="Z289" s="67" t="n"/>
      <c r="AA289" s="67" t="n"/>
      <c r="AB289" s="67" t="n"/>
      <c r="AC289" s="67" t="n"/>
      <c r="AD289" s="67" t="n"/>
      <c r="AE289" s="67" t="n"/>
      <c r="AF289" s="67" t="n"/>
    </row>
    <row r="290">
      <c r="A290" s="67" t="n"/>
      <c r="B290" s="47" t="n">
        <v>284</v>
      </c>
      <c r="C290" s="44" t="inlineStr">
        <is>
          <t>Agência Francesa de Desenvolvimento (AFD)</t>
        </is>
      </c>
      <c r="D290" s="44" t="inlineStr">
        <is>
          <t>Others</t>
        </is>
      </c>
      <c r="E290" s="62" t="inlineStr">
        <is>
          <t>Development banks</t>
        </is>
      </c>
      <c r="F290" s="44" t="inlineStr">
        <is>
          <t>French development agency; supports systemic transition via financing and policy support for climate, biodiversity, sustainable cities, transport decarbonization and resilient infrastructure.</t>
        </is>
      </c>
      <c r="G290" s="46" t="inlineStr">
        <is>
          <t>Cross-border / international</t>
        </is>
      </c>
      <c r="H290" s="47" t="inlineStr">
        <is>
          <t>Buildings &amp; Transport, Energy, "Land, Food and Forest"</t>
        </is>
      </c>
      <c r="I290" s="48" t="n"/>
      <c r="J290" s="62" t="n"/>
      <c r="K290" s="62" t="inlineStr">
        <is>
          <t>No biome lens was assigned because the entry did not specify a biome-delimited Brazil portfolio and support was described as cross-sectoral.</t>
        </is>
      </c>
      <c r="L290" s="62" t="inlineStr">
        <is>
          <t>Capital provider / Financial intermediary, Strategic partner</t>
        </is>
      </c>
      <c r="M290" s="61" t="inlineStr">
        <is>
          <t>Midstream</t>
        </is>
      </c>
      <c r="N290" s="61" t="inlineStr">
        <is>
          <t>Co-funding partner</t>
        </is>
      </c>
      <c r="O290" s="61" t="inlineStr">
        <is>
          <t>Brasília, DF, Brazil</t>
        </is>
      </c>
      <c r="P290" s="61" t="inlineStr">
        <is>
          <t>Re-granter</t>
        </is>
      </c>
      <c r="Q290" s="61" t="n"/>
      <c r="R290" s="61" t="n"/>
      <c r="S290" s="61" t="n"/>
      <c r="T290" s="61" t="inlineStr">
        <is>
          <t>—</t>
        </is>
      </c>
      <c r="U290" s="67" t="n"/>
      <c r="V290" s="67" t="n"/>
      <c r="W290" s="67" t="n"/>
      <c r="X290" s="67" t="n"/>
      <c r="Y290" s="67" t="n"/>
      <c r="Z290" s="67" t="n"/>
      <c r="AA290" s="67" t="n"/>
      <c r="AB290" s="67" t="n"/>
      <c r="AC290" s="67" t="n"/>
      <c r="AD290" s="67" t="n"/>
      <c r="AE290" s="67" t="n"/>
      <c r="AF290" s="67" t="n"/>
    </row>
    <row r="291">
      <c r="A291" s="67" t="n"/>
      <c r="B291" s="47" t="n">
        <v>285</v>
      </c>
      <c r="C291" s="44" t="inlineStr">
        <is>
          <t>Proparco</t>
        </is>
      </c>
      <c r="D291" s="44" t="inlineStr">
        <is>
          <t>Others</t>
        </is>
      </c>
      <c r="E291" s="62" t="inlineStr">
        <is>
          <t>Development banks</t>
        </is>
      </c>
      <c r="F291" s="44" t="inlineStr">
        <is>
          <t>French DFI focused on private-sector operations; accelerates transition by financing businesses and financial institutions for renewable energy, sustainable infrastructure, and nature-positive value chains.</t>
        </is>
      </c>
      <c r="G291" s="46" t="inlineStr">
        <is>
          <t>Cross-border / international</t>
        </is>
      </c>
      <c r="H291" s="47" t="inlineStr">
        <is>
          <t>Buildings &amp; Transport, Energy, "Land, Food and Forest"</t>
        </is>
      </c>
      <c r="I291" s="48" t="n"/>
      <c r="J291" s="62" t="n"/>
      <c r="K291" s="62" t="inlineStr">
        <is>
          <t>No biome lens was assigned because the mapping did not confirm a stable biome-delimited investment portfolio for this entry.</t>
        </is>
      </c>
      <c r="L291" s="62" t="inlineStr">
        <is>
          <t>Capital provider / Financial intermediary</t>
        </is>
      </c>
      <c r="M291" s="61" t="inlineStr">
        <is>
          <t>Midstream</t>
        </is>
      </c>
      <c r="N291" s="61" t="inlineStr">
        <is>
          <t>Co-funding partner</t>
        </is>
      </c>
      <c r="O291" s="61" t="inlineStr">
        <is>
          <t>Brasília, DF, Brazil</t>
        </is>
      </c>
      <c r="P291" s="61" t="inlineStr">
        <is>
          <t>Re-granter</t>
        </is>
      </c>
      <c r="Q291" s="61" t="n"/>
      <c r="R291" s="61" t="n"/>
      <c r="S291" s="61" t="n"/>
      <c r="T291" s="61" t="inlineStr">
        <is>
          <t>—</t>
        </is>
      </c>
      <c r="U291" s="67" t="n"/>
      <c r="V291" s="67" t="n"/>
      <c r="W291" s="67" t="n"/>
      <c r="X291" s="67" t="n"/>
      <c r="Y291" s="67" t="n"/>
      <c r="Z291" s="67" t="n"/>
      <c r="AA291" s="67" t="n"/>
      <c r="AB291" s="67" t="n"/>
      <c r="AC291" s="67" t="n"/>
      <c r="AD291" s="67" t="n"/>
      <c r="AE291" s="67" t="n"/>
      <c r="AF291" s="67" t="n"/>
    </row>
    <row r="292">
      <c r="A292" s="67" t="n"/>
      <c r="B292" s="47" t="n">
        <v>286</v>
      </c>
      <c r="C292" s="44" t="inlineStr">
        <is>
          <t>Expertise France</t>
        </is>
      </c>
      <c r="D292" s="44" t="inlineStr">
        <is>
          <t>Others</t>
        </is>
      </c>
      <c r="E292" s="62" t="inlineStr">
        <is>
          <t>Bilateral cooperation agencies</t>
        </is>
      </c>
      <c r="F292" s="44" t="inlineStr">
        <is>
          <t>French technical cooperation agency; supports transition by implementing technical assistance and institutional strengthening in climate policy, energy, sustainable mobility, urban development and territorial governance.</t>
        </is>
      </c>
      <c r="G292" s="46" t="inlineStr">
        <is>
          <t>Cross-border / international</t>
        </is>
      </c>
      <c r="H292" s="47" t="inlineStr">
        <is>
          <t>Buildings &amp; Transport, Energy, "Land, Food and Forest"</t>
        </is>
      </c>
      <c r="I292" s="48" t="n"/>
      <c r="J292" s="62" t="n"/>
      <c r="K292" s="62" t="inlineStr">
        <is>
          <t>No biome lens was assigned because the mapping did not confirm a consistent biome-delimited Brazil implementation portfolio for this entry.</t>
        </is>
      </c>
      <c r="L292" s="62" t="inlineStr">
        <is>
          <t>Technical assistance / research, Project developer / Implementer</t>
        </is>
      </c>
      <c r="M292" s="61" t="inlineStr">
        <is>
          <t>Midstream</t>
        </is>
      </c>
      <c r="N292" s="61" t="inlineStr">
        <is>
          <t>Co-funding partner</t>
        </is>
      </c>
      <c r="O292" s="61" t="inlineStr">
        <is>
          <t>Brasília, DF, Brazil</t>
        </is>
      </c>
      <c r="P292" s="61" t="inlineStr">
        <is>
          <t>Grantee</t>
        </is>
      </c>
      <c r="Q292" s="61" t="n"/>
      <c r="R292" s="61" t="n"/>
      <c r="S292" s="61" t="n"/>
      <c r="T292" s="61" t="inlineStr">
        <is>
          <t>—</t>
        </is>
      </c>
      <c r="U292" s="67" t="n"/>
      <c r="V292" s="67" t="n"/>
      <c r="W292" s="67" t="n"/>
      <c r="X292" s="67" t="n"/>
      <c r="Y292" s="67" t="n"/>
      <c r="Z292" s="67" t="n"/>
      <c r="AA292" s="67" t="n"/>
      <c r="AB292" s="67" t="n"/>
      <c r="AC292" s="67" t="n"/>
      <c r="AD292" s="67" t="n"/>
      <c r="AE292" s="67" t="n"/>
      <c r="AF292" s="67" t="n"/>
    </row>
    <row r="293">
      <c r="A293" s="67" t="n"/>
      <c r="B293" s="47" t="n">
        <v>287</v>
      </c>
      <c r="C293" s="44" t="inlineStr">
        <is>
          <t>Agência de Cooperação Internacional do Japão (JICA)</t>
        </is>
      </c>
      <c r="D293" s="44" t="inlineStr">
        <is>
          <t>Others</t>
        </is>
      </c>
      <c r="E293" s="62" t="inlineStr">
        <is>
          <t>Bilateral cooperation agencies</t>
        </is>
      </c>
      <c r="F293" s="44" t="inlineStr">
        <is>
          <t>Japanese cooperation agency; supports transition through technical cooperation and financing windows for low-carbon energy, resilient infrastructure, disaster-risk management, sustainable transport and environmental governance.</t>
        </is>
      </c>
      <c r="G293" s="46" t="inlineStr">
        <is>
          <t>Cross-border / international</t>
        </is>
      </c>
      <c r="H293" s="47" t="inlineStr">
        <is>
          <t>Buildings &amp; Transport, Energy, "Land, Food and Forest"</t>
        </is>
      </c>
      <c r="I293" s="48" t="n"/>
      <c r="J293" s="62" t="n"/>
      <c r="K293" s="62" t="inlineStr">
        <is>
          <t>No biome lens was assigned because the entry did not specify a stable biome-delimited portfolio in Brazil within this mapping.</t>
        </is>
      </c>
      <c r="L293" s="62" t="inlineStr">
        <is>
          <t>Capital provider / Financial intermediary, Strategic partner</t>
        </is>
      </c>
      <c r="M293" s="61" t="inlineStr">
        <is>
          <t>Midstream</t>
        </is>
      </c>
      <c r="N293" s="61" t="inlineStr">
        <is>
          <t>Co-funding partner</t>
        </is>
      </c>
      <c r="O293" s="61" t="inlineStr">
        <is>
          <t>Brasília, DF, Brazil</t>
        </is>
      </c>
      <c r="P293" s="61" t="inlineStr">
        <is>
          <t>Re-granter</t>
        </is>
      </c>
      <c r="Q293" s="61" t="n"/>
      <c r="R293" s="61" t="n"/>
      <c r="S293" s="61" t="n"/>
      <c r="T293" s="61" t="inlineStr">
        <is>
          <t>—</t>
        </is>
      </c>
      <c r="U293" s="67" t="n"/>
      <c r="V293" s="67" t="n"/>
      <c r="W293" s="67" t="n"/>
      <c r="X293" s="67" t="n"/>
      <c r="Y293" s="67" t="n"/>
      <c r="Z293" s="67" t="n"/>
      <c r="AA293" s="67" t="n"/>
      <c r="AB293" s="67" t="n"/>
      <c r="AC293" s="67" t="n"/>
      <c r="AD293" s="67" t="n"/>
      <c r="AE293" s="67" t="n"/>
      <c r="AF293" s="67" t="n"/>
    </row>
    <row r="294">
      <c r="A294" s="67" t="n"/>
      <c r="B294" s="47" t="n">
        <v>288</v>
      </c>
      <c r="C294" s="44" t="inlineStr">
        <is>
          <t>Agência de Cooperação Internacional da Coreia (KOICA)</t>
        </is>
      </c>
      <c r="D294" s="44" t="inlineStr">
        <is>
          <t>Others</t>
        </is>
      </c>
      <c r="E294" s="62" t="inlineStr">
        <is>
          <t>Bilateral cooperation agencies</t>
        </is>
      </c>
      <c r="F294" s="44" t="inlineStr">
        <is>
          <t>Korean cooperation agency; supports systemic transition via grants and technical assistance for climate solutions, sustainable cities, clean energy, and inclusive development.</t>
        </is>
      </c>
      <c r="G294" s="46" t="inlineStr">
        <is>
          <t>Cross-border / international</t>
        </is>
      </c>
      <c r="H294" s="47" t="inlineStr">
        <is>
          <t>Buildings &amp; Transport, Energy, "Land, Food and Forest"</t>
        </is>
      </c>
      <c r="I294" s="48" t="n"/>
      <c r="J294" s="62" t="n"/>
      <c r="K294" s="62" t="inlineStr">
        <is>
          <t>No biome lens was assigned because the entry described broad cooperation and did not identify biome-delimited projects in Brazil for classification.</t>
        </is>
      </c>
      <c r="L294" s="62" t="inlineStr">
        <is>
          <t>Funder, Project developer / Implementer</t>
        </is>
      </c>
      <c r="M294" s="61" t="inlineStr">
        <is>
          <t>Midstream</t>
        </is>
      </c>
      <c r="N294" s="61" t="inlineStr">
        <is>
          <t>Co-funding partner</t>
        </is>
      </c>
      <c r="O294" s="61" t="inlineStr">
        <is>
          <t>Brasília, DF, Brazil</t>
        </is>
      </c>
      <c r="P294" s="61" t="inlineStr">
        <is>
          <t>Donor</t>
        </is>
      </c>
      <c r="Q294" s="61" t="n"/>
      <c r="R294" s="61" t="n"/>
      <c r="S294" s="61" t="n"/>
      <c r="T294" s="61" t="inlineStr">
        <is>
          <t>—</t>
        </is>
      </c>
      <c r="U294" s="67" t="n"/>
      <c r="V294" s="67" t="n"/>
      <c r="W294" s="67" t="n"/>
      <c r="X294" s="67" t="n"/>
      <c r="Y294" s="67" t="n"/>
      <c r="Z294" s="67" t="n"/>
      <c r="AA294" s="67" t="n"/>
      <c r="AB294" s="67" t="n"/>
      <c r="AC294" s="67" t="n"/>
      <c r="AD294" s="67" t="n"/>
      <c r="AE294" s="67" t="n"/>
      <c r="AF294" s="67" t="n"/>
    </row>
    <row r="295">
      <c r="A295" s="67" t="n"/>
      <c r="B295" s="47" t="n">
        <v>289</v>
      </c>
      <c r="C295" s="44" t="inlineStr">
        <is>
          <t>Agência Espanhola de Cooperação Internacional para o Desenvolvimento (AECID)</t>
        </is>
      </c>
      <c r="D295" s="44" t="inlineStr">
        <is>
          <t>Others</t>
        </is>
      </c>
      <c r="E295" s="62" t="inlineStr">
        <is>
          <t>Bilateral cooperation agencies</t>
        </is>
      </c>
      <c r="F295" s="44" t="inlineStr">
        <is>
          <t>Spanish cooperation agency; contributes through grants and technical cooperation that strengthen institutions and implement programs aligned with climate resilience, sustainable urban systems and inclusive territorial development.</t>
        </is>
      </c>
      <c r="G295" s="46" t="inlineStr">
        <is>
          <t>Cross-border / international</t>
        </is>
      </c>
      <c r="H295" s="47" t="inlineStr">
        <is>
          <t>Buildings &amp; Transport, Energy, "Land, Food and Forest"</t>
        </is>
      </c>
      <c r="I295" s="48" t="n"/>
      <c r="J295" s="62" t="n"/>
      <c r="K295" s="62" t="inlineStr">
        <is>
          <t>No biome lens was assigned because a specific biome-delimited Brazil portfolio was not identified for this entry in the mapping.</t>
        </is>
      </c>
      <c r="L295" s="62" t="inlineStr">
        <is>
          <t>Funder, Project developer / Implementer</t>
        </is>
      </c>
      <c r="M295" s="61" t="inlineStr">
        <is>
          <t>Midstream</t>
        </is>
      </c>
      <c r="N295" s="61" t="inlineStr">
        <is>
          <t>Co-funding partner</t>
        </is>
      </c>
      <c r="O295" s="61" t="inlineStr">
        <is>
          <t>Brasília, DF, Brazil</t>
        </is>
      </c>
      <c r="P295" s="61" t="inlineStr">
        <is>
          <t>Donor</t>
        </is>
      </c>
      <c r="Q295" s="61" t="n"/>
      <c r="R295" s="61" t="n"/>
      <c r="S295" s="61" t="n"/>
      <c r="T295" s="61" t="inlineStr">
        <is>
          <t>—</t>
        </is>
      </c>
      <c r="U295" s="67" t="n"/>
      <c r="V295" s="67" t="n"/>
      <c r="W295" s="67" t="n"/>
      <c r="X295" s="67" t="n"/>
      <c r="Y295" s="67" t="n"/>
      <c r="Z295" s="67" t="n"/>
      <c r="AA295" s="67" t="n"/>
      <c r="AB295" s="67" t="n"/>
      <c r="AC295" s="67" t="n"/>
      <c r="AD295" s="67" t="n"/>
      <c r="AE295" s="67" t="n"/>
      <c r="AF295" s="67" t="n"/>
    </row>
    <row r="296">
      <c r="A296" s="67" t="n"/>
      <c r="B296" s="47" t="n">
        <v>290</v>
      </c>
      <c r="C296" s="44" t="inlineStr">
        <is>
          <t>Agência Italiana de Cooperação para o Desenvolvimento (AICS)</t>
        </is>
      </c>
      <c r="D296" s="44" t="inlineStr">
        <is>
          <t>Others</t>
        </is>
      </c>
      <c r="E296" s="62" t="inlineStr">
        <is>
          <t>Bilateral cooperation agencies</t>
        </is>
      </c>
      <c r="F296" s="44" t="inlineStr">
        <is>
          <t>Italian cooperation agency; supports transition by funding and implementing development programs that can include climate adaptation, sustainable agriculture, resilient infrastructure and inclusive local development.</t>
        </is>
      </c>
      <c r="G296" s="46" t="inlineStr">
        <is>
          <t>Cross-border / international</t>
        </is>
      </c>
      <c r="H296" s="47" t="inlineStr">
        <is>
          <t>Buildings &amp; Transport, Energy, "Land, Food and Forest"</t>
        </is>
      </c>
      <c r="I296" s="48" t="n"/>
      <c r="J296" s="62" t="n"/>
      <c r="K296" s="62" t="inlineStr">
        <is>
          <t>No biome lens was assigned because the entry did not confirm publicly identifiable, biome-delimited implementation in Brazil for classification.</t>
        </is>
      </c>
      <c r="L296" s="62" t="inlineStr">
        <is>
          <t>Funder, Project developer / Implementer</t>
        </is>
      </c>
      <c r="M296" s="61" t="inlineStr">
        <is>
          <t>Midstream</t>
        </is>
      </c>
      <c r="N296" s="61" t="inlineStr">
        <is>
          <t>Co-funding partner</t>
        </is>
      </c>
      <c r="O296" s="61" t="inlineStr">
        <is>
          <t>Brasília, DF, Brazil</t>
        </is>
      </c>
      <c r="P296" s="61" t="inlineStr">
        <is>
          <t>Donor</t>
        </is>
      </c>
      <c r="Q296" s="61" t="n"/>
      <c r="R296" s="61" t="n"/>
      <c r="S296" s="61" t="n"/>
      <c r="T296" s="61" t="inlineStr">
        <is>
          <t>—</t>
        </is>
      </c>
      <c r="U296" s="67" t="n"/>
      <c r="V296" s="67" t="n"/>
      <c r="W296" s="67" t="n"/>
      <c r="X296" s="67" t="n"/>
      <c r="Y296" s="67" t="n"/>
      <c r="Z296" s="67" t="n"/>
      <c r="AA296" s="67" t="n"/>
      <c r="AB296" s="67" t="n"/>
      <c r="AC296" s="67" t="n"/>
      <c r="AD296" s="67" t="n"/>
      <c r="AE296" s="67" t="n"/>
      <c r="AF296" s="67" t="n"/>
    </row>
    <row r="297">
      <c r="A297" s="67" t="n"/>
      <c r="B297" s="47" t="n">
        <v>291</v>
      </c>
      <c r="C297" s="44" t="inlineStr">
        <is>
          <t>Agência Suíça para o Desenvolvimento e Cooperação (COSUDE)</t>
        </is>
      </c>
      <c r="D297" s="44" t="inlineStr">
        <is>
          <t>Others</t>
        </is>
      </c>
      <c r="E297" s="62" t="inlineStr">
        <is>
          <t>Bilateral cooperation agencies</t>
        </is>
      </c>
      <c r="F297" s="44" t="inlineStr">
        <is>
          <t>Swiss cooperation agency; supports systemic transition via technical cooperation and grants focused on climate resilience, natural resources governance, sustainable value chains and inclusive development.</t>
        </is>
      </c>
      <c r="G297" s="46" t="inlineStr">
        <is>
          <t>Cross-border / international</t>
        </is>
      </c>
      <c r="H297" s="47" t="inlineStr">
        <is>
          <t>Emergency response, "Land, Food and Forest"</t>
        </is>
      </c>
      <c r="I297" s="48" t="n"/>
      <c r="J297" s="62" t="n"/>
      <c r="K297" s="62" t="inlineStr">
        <is>
          <t>No biome lens was assigned because the mapping did not confirm a stable biome-delimited Brazil portfolio for this entry.</t>
        </is>
      </c>
      <c r="L297" s="62" t="inlineStr">
        <is>
          <t>Funder, Strategic partner</t>
        </is>
      </c>
      <c r="M297" s="61" t="inlineStr">
        <is>
          <t>Midstream</t>
        </is>
      </c>
      <c r="N297" s="61" t="inlineStr">
        <is>
          <t>Co-funding partner</t>
        </is>
      </c>
      <c r="O297" s="61" t="inlineStr">
        <is>
          <t>Brasília, DF, Brazil</t>
        </is>
      </c>
      <c r="P297" s="61" t="inlineStr">
        <is>
          <t>Donor</t>
        </is>
      </c>
      <c r="Q297" s="61" t="n"/>
      <c r="R297" s="61" t="n"/>
      <c r="S297" s="61" t="n"/>
      <c r="T297" s="61" t="inlineStr">
        <is>
          <t>—</t>
        </is>
      </c>
      <c r="U297" s="67" t="n"/>
      <c r="V297" s="67" t="n"/>
      <c r="W297" s="67" t="n"/>
      <c r="X297" s="67" t="n"/>
      <c r="Y297" s="67" t="n"/>
      <c r="Z297" s="67" t="n"/>
      <c r="AA297" s="67" t="n"/>
      <c r="AB297" s="67" t="n"/>
      <c r="AC297" s="67" t="n"/>
      <c r="AD297" s="67" t="n"/>
      <c r="AE297" s="67" t="n"/>
      <c r="AF297" s="67" t="n"/>
    </row>
    <row r="298">
      <c r="A298" s="67" t="n"/>
      <c r="B298" s="47" t="n">
        <v>292</v>
      </c>
      <c r="C298" s="44" t="inlineStr">
        <is>
          <t>Agência Sueca de Cooperação para o Desenvolvimento Internacional (Sida)</t>
        </is>
      </c>
      <c r="D298" s="44" t="inlineStr">
        <is>
          <t>Others</t>
        </is>
      </c>
      <c r="E298" s="62" t="inlineStr">
        <is>
          <t>Bilateral cooperation agencies</t>
        </is>
      </c>
      <c r="F298" s="44" t="inlineStr">
        <is>
          <t>Swedish development agency; contributes through grants and partnerships strengthening climate action, democratic governance and inclusive, sustainable development—including nature and land-use agendas.</t>
        </is>
      </c>
      <c r="G298" s="46" t="inlineStr">
        <is>
          <t>Cross-border / international</t>
        </is>
      </c>
      <c r="H298" s="47" t="inlineStr">
        <is>
          <t>Energy, "Land, Food and Forest"</t>
        </is>
      </c>
      <c r="I298" s="48" t="n"/>
      <c r="J298" s="62" t="n"/>
      <c r="K298" s="62" t="inlineStr">
        <is>
          <t>No biome lens was assigned because the entry described broad grantmaking/partnerships and did not identify biome-delimited implementation in Brazil for this mapping.</t>
        </is>
      </c>
      <c r="L298" s="62" t="inlineStr">
        <is>
          <t>Funder, Strategic partner</t>
        </is>
      </c>
      <c r="M298" s="61" t="inlineStr">
        <is>
          <t>Upstream</t>
        </is>
      </c>
      <c r="N298" s="61" t="inlineStr">
        <is>
          <t>Co-funding partner</t>
        </is>
      </c>
      <c r="O298" s="61" t="inlineStr">
        <is>
          <t>Brasília, DF, Brazil</t>
        </is>
      </c>
      <c r="P298" s="61" t="inlineStr">
        <is>
          <t>Donor</t>
        </is>
      </c>
      <c r="Q298" s="61" t="n"/>
      <c r="R298" s="61" t="n"/>
      <c r="S298" s="61" t="n"/>
      <c r="T298" s="61" t="inlineStr">
        <is>
          <t>—</t>
        </is>
      </c>
      <c r="U298" s="67" t="n"/>
      <c r="V298" s="67" t="n"/>
      <c r="W298" s="67" t="n"/>
      <c r="X298" s="67" t="n"/>
      <c r="Y298" s="67" t="n"/>
      <c r="Z298" s="67" t="n"/>
      <c r="AA298" s="67" t="n"/>
      <c r="AB298" s="67" t="n"/>
      <c r="AC298" s="67" t="n"/>
      <c r="AD298" s="67" t="n"/>
      <c r="AE298" s="67" t="n"/>
      <c r="AF298" s="67" t="n"/>
    </row>
    <row r="299">
      <c r="A299" s="67" t="n"/>
      <c r="B299" s="47" t="n">
        <v>293</v>
      </c>
      <c r="C299" s="44" t="inlineStr">
        <is>
          <t>Agência Dinamarquesa para o Desenvolvimento Internacional (DANIDA)</t>
        </is>
      </c>
      <c r="D299" s="44" t="inlineStr">
        <is>
          <t>Others</t>
        </is>
      </c>
      <c r="E299" s="62" t="inlineStr">
        <is>
          <t>Bilateral cooperation agencies</t>
        </is>
      </c>
      <c r="F299" s="44" t="inlineStr">
        <is>
          <t>Danish development cooperation; supports transition through financing and technical assistance for climate mitigation/adaptation, clean energy, resilient infrastructure and sustainable development programs.</t>
        </is>
      </c>
      <c r="G299" s="46" t="inlineStr">
        <is>
          <t>Cross-border / international</t>
        </is>
      </c>
      <c r="H299" s="47" t="inlineStr">
        <is>
          <t>Energy, "Land, Food and Forest"</t>
        </is>
      </c>
      <c r="I299" s="48" t="n"/>
      <c r="J299" s="62" t="n"/>
      <c r="K299" s="62" t="inlineStr">
        <is>
          <t>No biome lens was assigned because a Brazil-facing, biome-delimited portfolio was not confirmed in this mapping entry.</t>
        </is>
      </c>
      <c r="L299" s="62" t="inlineStr">
        <is>
          <t>Funder, Strategic partner</t>
        </is>
      </c>
      <c r="M299" s="61" t="inlineStr">
        <is>
          <t>Upstream</t>
        </is>
      </c>
      <c r="N299" s="61" t="inlineStr">
        <is>
          <t>Co-funding partner</t>
        </is>
      </c>
      <c r="O299" s="61" t="inlineStr">
        <is>
          <t>Brasília, DF, Brazil</t>
        </is>
      </c>
      <c r="P299" s="61" t="inlineStr">
        <is>
          <t>Donor</t>
        </is>
      </c>
      <c r="Q299" s="61" t="n"/>
      <c r="R299" s="61" t="n"/>
      <c r="S299" s="61" t="n"/>
      <c r="T299" s="61" t="inlineStr">
        <is>
          <t>—</t>
        </is>
      </c>
      <c r="U299" s="67" t="n"/>
      <c r="V299" s="67" t="n"/>
      <c r="W299" s="67" t="n"/>
      <c r="X299" s="67" t="n"/>
      <c r="Y299" s="67" t="n"/>
      <c r="Z299" s="67" t="n"/>
      <c r="AA299" s="67" t="n"/>
      <c r="AB299" s="67" t="n"/>
      <c r="AC299" s="67" t="n"/>
      <c r="AD299" s="67" t="n"/>
      <c r="AE299" s="67" t="n"/>
      <c r="AF299" s="67" t="n"/>
    </row>
    <row r="300">
      <c r="A300" s="67" t="n"/>
      <c r="B300" s="47" t="n">
        <v>294</v>
      </c>
      <c r="C300" s="44" t="inlineStr">
        <is>
          <t>Agência Norueguesa de Cooperação para o Desenvolvimento (Norad)</t>
        </is>
      </c>
      <c r="D300" s="44" t="inlineStr">
        <is>
          <t>Others</t>
        </is>
      </c>
      <c r="E300" s="62" t="inlineStr">
        <is>
          <t>Bilateral cooperation agencies</t>
        </is>
      </c>
      <c r="F300" s="44" t="inlineStr">
        <is>
          <t>Norwegian development cooperation agency; supports systemic transition via funding and oversight of programs related to climate, forests, renewable energy and inclusive development.</t>
        </is>
      </c>
      <c r="G300" s="46" t="inlineStr">
        <is>
          <t>Cross-border / international</t>
        </is>
      </c>
      <c r="H300" s="47" t="inlineStr">
        <is>
          <t>Energy, "Land, Food and Forest"</t>
        </is>
      </c>
      <c r="I300" s="60" t="inlineStr">
        <is>
          <t>Amazonia, Cerrado</t>
        </is>
      </c>
      <c r="J300" s="62" t="n"/>
      <c r="K300" s="62" t="inlineStr">
        <is>
          <t>It supported forest and climate programming most visibly associated with Amazon protection and it also engaged land-use governance agendas connected to the Cerrado.</t>
        </is>
      </c>
      <c r="L300" s="62" t="inlineStr">
        <is>
          <t>Funder, Strategic partner</t>
        </is>
      </c>
      <c r="M300" s="61" t="inlineStr">
        <is>
          <t>Upstream</t>
        </is>
      </c>
      <c r="N300" s="61" t="inlineStr">
        <is>
          <t>Co-funding partner</t>
        </is>
      </c>
      <c r="O300" s="61" t="inlineStr">
        <is>
          <t>Brasília, DF, Brazil</t>
        </is>
      </c>
      <c r="P300" s="61" t="inlineStr">
        <is>
          <t>Donor</t>
        </is>
      </c>
      <c r="Q300" s="61" t="n"/>
      <c r="R300" s="61" t="n"/>
      <c r="S300" s="61" t="n"/>
      <c r="T300" s="61" t="inlineStr">
        <is>
          <t>—</t>
        </is>
      </c>
      <c r="U300" s="67" t="n"/>
      <c r="V300" s="67" t="n"/>
      <c r="W300" s="67" t="n"/>
      <c r="X300" s="67" t="n"/>
      <c r="Y300" s="67" t="n"/>
      <c r="Z300" s="67" t="n"/>
      <c r="AA300" s="67" t="n"/>
      <c r="AB300" s="67" t="n"/>
      <c r="AC300" s="67" t="n"/>
      <c r="AD300" s="67" t="n"/>
      <c r="AE300" s="67" t="n"/>
      <c r="AF300" s="67" t="n"/>
    </row>
    <row r="301">
      <c r="A301" s="67" t="n"/>
      <c r="B301" s="47" t="n">
        <v>295</v>
      </c>
      <c r="C301" s="44" t="inlineStr">
        <is>
          <t>Iniciativa Internacional de Clima e Florestas da Noruega (NICFI)</t>
        </is>
      </c>
      <c r="D301" s="44" t="inlineStr">
        <is>
          <t>Others</t>
        </is>
      </c>
      <c r="E301" s="62" t="inlineStr">
        <is>
          <t>Bilateral cooperation agencies</t>
        </is>
      </c>
      <c r="F301" s="44" t="inlineStr">
        <is>
          <t>Norwegian international initiative focused on climate and forests; supports AFOLU transition by financing forest conservation, deforestation reduction and partnerships that strengthen governance and results-based approaches.</t>
        </is>
      </c>
      <c r="G301" s="46" t="inlineStr">
        <is>
          <t>Cross-border / international</t>
        </is>
      </c>
      <c r="H301" s="47" t="inlineStr">
        <is>
          <t>"Land, Food and Forest"</t>
        </is>
      </c>
      <c r="I301" s="60" t="inlineStr">
        <is>
          <t>Amazonia, Cerrado</t>
        </is>
      </c>
      <c r="J301" s="62" t="n"/>
      <c r="K301" s="62" t="inlineStr">
        <is>
          <t>It financed large-scale forest and deforestation-reduction efforts most consistently linked to the Amazon and it also supported forest-positive agendas relevant to the Cerrado frontier.</t>
        </is>
      </c>
      <c r="L301" s="62" t="inlineStr">
        <is>
          <t>Funder, Strategic partner</t>
        </is>
      </c>
      <c r="M301" s="61" t="inlineStr">
        <is>
          <t>Upstream</t>
        </is>
      </c>
      <c r="N301" s="61" t="inlineStr">
        <is>
          <t>Co-funding partner</t>
        </is>
      </c>
      <c r="O301" s="61" t="inlineStr">
        <is>
          <t>Oslo, Norway</t>
        </is>
      </c>
      <c r="P301" s="61" t="inlineStr">
        <is>
          <t>Donor</t>
        </is>
      </c>
      <c r="Q301" s="61" t="n"/>
      <c r="R301" s="61" t="n"/>
      <c r="S301" s="61" t="n"/>
      <c r="T301" s="61" t="inlineStr">
        <is>
          <t>—</t>
        </is>
      </c>
      <c r="U301" s="67" t="n"/>
      <c r="V301" s="67" t="n"/>
      <c r="W301" s="67" t="n"/>
      <c r="X301" s="67" t="n"/>
      <c r="Y301" s="67" t="n"/>
      <c r="Z301" s="67" t="n"/>
      <c r="AA301" s="67" t="n"/>
      <c r="AB301" s="67" t="n"/>
      <c r="AC301" s="67" t="n"/>
      <c r="AD301" s="67" t="n"/>
      <c r="AE301" s="67" t="n"/>
      <c r="AF301" s="67" t="n"/>
    </row>
    <row r="302">
      <c r="A302" s="67" t="n"/>
      <c r="B302" s="47" t="n">
        <v>296</v>
      </c>
      <c r="C302" s="44" t="inlineStr">
        <is>
          <t>Ministério das Relações Exteriores, Commonwealth e Desenvolvimento do Reino Unido (FCDO)</t>
        </is>
      </c>
      <c r="D302" s="44" t="inlineStr">
        <is>
          <t>Public sector</t>
        </is>
      </c>
      <c r="E302" s="62" t="inlineStr">
        <is>
          <t>Federal Government</t>
        </is>
      </c>
      <c r="F302" s="44" t="inlineStr">
        <is>
          <t>UK government ministry leading international development and diplomacy; supports systemic transition by setting strategy and funding international cooperation in climate, energy transition, sustainable infrastructure and nature.</t>
        </is>
      </c>
      <c r="G302" s="46" t="inlineStr">
        <is>
          <t>Cross-border / international</t>
        </is>
      </c>
      <c r="H302" s="47" t="n"/>
      <c r="I302" s="48" t="n"/>
      <c r="J302" s="62" t="n"/>
      <c r="K302" s="62" t="inlineStr">
        <is>
          <t>No biome lens was assigned because the entry described broad international cooperation and did not confirm a biome-delimited Brazil implementation focus.</t>
        </is>
      </c>
      <c r="L302" s="62" t="inlineStr">
        <is>
          <t>Funder, Strategic partner</t>
        </is>
      </c>
      <c r="M302" s="61" t="inlineStr">
        <is>
          <t>Upstream</t>
        </is>
      </c>
      <c r="N302" s="61" t="inlineStr">
        <is>
          <t>Strategic partner</t>
        </is>
      </c>
      <c r="O302" s="61" t="inlineStr">
        <is>
          <t>Brasília, DF, Brazil</t>
        </is>
      </c>
      <c r="P302" s="61" t="inlineStr">
        <is>
          <t>Donor</t>
        </is>
      </c>
      <c r="Q302" s="61" t="n"/>
      <c r="R302" s="61" t="n"/>
      <c r="S302" s="61" t="n"/>
      <c r="T302" s="61" t="inlineStr">
        <is>
          <t>—</t>
        </is>
      </c>
      <c r="U302" s="67" t="n"/>
      <c r="V302" s="67" t="n"/>
      <c r="W302" s="67" t="n"/>
      <c r="X302" s="67" t="n"/>
      <c r="Y302" s="67" t="n"/>
      <c r="Z302" s="67" t="n"/>
      <c r="AA302" s="67" t="n"/>
      <c r="AB302" s="67" t="n"/>
      <c r="AC302" s="67" t="n"/>
      <c r="AD302" s="67" t="n"/>
      <c r="AE302" s="67" t="n"/>
      <c r="AF302" s="67" t="n"/>
    </row>
    <row r="303">
      <c r="A303" s="67" t="n"/>
      <c r="B303" s="47" t="n">
        <v>297</v>
      </c>
      <c r="C303" s="44" t="inlineStr">
        <is>
          <t>UK PACT</t>
        </is>
      </c>
      <c r="D303" s="44" t="inlineStr">
        <is>
          <t>Others</t>
        </is>
      </c>
      <c r="E303" s="62" t="inlineStr">
        <is>
          <t>Bilateral cooperation agencies</t>
        </is>
      </c>
      <c r="F303" s="44" t="inlineStr">
        <is>
          <t>UK program providing technical assistance and capacity building for climate policy and implementation; supports transition by accelerating decarbonization solutions in energy, transport, cities/buildings and land-use agendas through partnerships.</t>
        </is>
      </c>
      <c r="G303" s="46" t="inlineStr">
        <is>
          <t>Cross-border / international</t>
        </is>
      </c>
      <c r="H303" s="47" t="inlineStr">
        <is>
          <t>Buildings &amp; Transport, Energy, "Land, Food and Forest"</t>
        </is>
      </c>
      <c r="I303" s="48" t="n"/>
      <c r="J303" s="62" t="n"/>
      <c r="K303" s="62" t="inlineStr">
        <is>
          <t>No biome lens was assigned because the portfolio was described as cross-sector policy/TA and this mapping did not confirm stable, biome-delimited projects.</t>
        </is>
      </c>
      <c r="L303" s="62" t="inlineStr">
        <is>
          <t>Funder, Technical assistance / research</t>
        </is>
      </c>
      <c r="M303" s="61" t="inlineStr">
        <is>
          <t>Midstream</t>
        </is>
      </c>
      <c r="N303" s="61" t="inlineStr">
        <is>
          <t>Co-funding partner</t>
        </is>
      </c>
      <c r="O303" s="61" t="inlineStr">
        <is>
          <t>Brasília, DF, Brazil</t>
        </is>
      </c>
      <c r="P303" s="61" t="inlineStr">
        <is>
          <t>Donor</t>
        </is>
      </c>
      <c r="Q303" s="61" t="n"/>
      <c r="R303" s="61" t="n"/>
      <c r="S303" s="61" t="n"/>
      <c r="T303" s="61" t="inlineStr">
        <is>
          <t>—</t>
        </is>
      </c>
      <c r="U303" s="67" t="n"/>
      <c r="V303" s="67" t="n"/>
      <c r="W303" s="67" t="n"/>
      <c r="X303" s="67" t="n"/>
      <c r="Y303" s="67" t="n"/>
      <c r="Z303" s="67" t="n"/>
      <c r="AA303" s="67" t="n"/>
      <c r="AB303" s="67" t="n"/>
      <c r="AC303" s="67" t="n"/>
      <c r="AD303" s="67" t="n"/>
      <c r="AE303" s="67" t="n"/>
      <c r="AF303" s="67" t="n"/>
    </row>
    <row r="304">
      <c r="A304" s="67" t="n"/>
      <c r="B304" s="47" t="n">
        <v>298</v>
      </c>
      <c r="C304" s="44" t="inlineStr">
        <is>
          <t>Delegação da União Europeia no Brasil (UE)</t>
        </is>
      </c>
      <c r="D304" s="44" t="inlineStr">
        <is>
          <t>Others</t>
        </is>
      </c>
      <c r="E304" s="62" t="inlineStr">
        <is>
          <t>Multilateral organizations</t>
        </is>
      </c>
      <c r="F304" s="44" t="inlineStr">
        <is>
          <t>EU representation that coordinates cooperation and partnerships; supports transition by mobilizing programs and partnerships for climate, energy transition, sustainable transport, resilient cities and nature-positive development.</t>
        </is>
      </c>
      <c r="G304" s="46" t="inlineStr">
        <is>
          <t>Cross-border / international</t>
        </is>
      </c>
      <c r="H304" s="47" t="inlineStr">
        <is>
          <t>Buildings &amp; Transport, Energy, "Land, Food and Forest"</t>
        </is>
      </c>
      <c r="I304" s="48" t="n"/>
      <c r="J304" s="62" t="n"/>
      <c r="K304" s="62" t="inlineStr">
        <is>
          <t>No biome lens was assigned because the entry did not specify biome-delimited implementation in Brazil for classification.</t>
        </is>
      </c>
      <c r="L304" s="62" t="inlineStr">
        <is>
          <t>Policy influence / regulation, Funder, Strategic partner</t>
        </is>
      </c>
      <c r="M304" s="61" t="inlineStr">
        <is>
          <t>Upstream</t>
        </is>
      </c>
      <c r="N304" s="61" t="inlineStr">
        <is>
          <t>Co-funding partner</t>
        </is>
      </c>
      <c r="O304" s="61" t="inlineStr">
        <is>
          <t>Brasília, DF, Brazil</t>
        </is>
      </c>
      <c r="P304" s="61" t="inlineStr">
        <is>
          <t>Donor</t>
        </is>
      </c>
      <c r="Q304" s="61" t="n"/>
      <c r="R304" s="61" t="n"/>
      <c r="S304" s="61" t="n"/>
      <c r="T304" s="61" t="inlineStr">
        <is>
          <t>—</t>
        </is>
      </c>
      <c r="U304" s="67" t="n"/>
      <c r="V304" s="67" t="n"/>
      <c r="W304" s="67" t="n"/>
      <c r="X304" s="67" t="n"/>
      <c r="Y304" s="67" t="n"/>
      <c r="Z304" s="67" t="n"/>
      <c r="AA304" s="67" t="n"/>
      <c r="AB304" s="67" t="n"/>
      <c r="AC304" s="67" t="n"/>
      <c r="AD304" s="67" t="n"/>
      <c r="AE304" s="67" t="n"/>
      <c r="AF304" s="67" t="n"/>
    </row>
    <row r="305">
      <c r="A305" s="67" t="n"/>
      <c r="B305" s="47" t="n">
        <v>299</v>
      </c>
      <c r="C305" s="44" t="inlineStr">
        <is>
          <t>Banco Europeu de Investimento (BEI)</t>
        </is>
      </c>
      <c r="D305" s="44" t="inlineStr">
        <is>
          <t>Others</t>
        </is>
      </c>
      <c r="E305" s="62" t="inlineStr">
        <is>
          <t>Multilateral development banks (MDBs)</t>
        </is>
      </c>
      <c r="F305" s="44" t="inlineStr">
        <is>
          <t>European multilateral development bank; enables systemic transition through long-term finance and de-risking for renewable energy, sustainable transport, resilient urban infrastructure and climate/nature investments.</t>
        </is>
      </c>
      <c r="G305" s="46" t="inlineStr">
        <is>
          <t>Cross-border / international</t>
        </is>
      </c>
      <c r="H305" s="47" t="inlineStr">
        <is>
          <t>Buildings &amp; Transport, Energy, "Land, Food and Forest"</t>
        </is>
      </c>
      <c r="I305" s="48" t="n"/>
      <c r="J305" s="62" t="n"/>
      <c r="K305" s="62" t="inlineStr">
        <is>
          <t>No biome lens was assigned because financing was transaction-based and no consistent biome-delimited Brazil portfolio was identified in this mapping entry.</t>
        </is>
      </c>
      <c r="L305" s="62" t="inlineStr">
        <is>
          <t>Capital provider / Financial intermediary, Strategic partner</t>
        </is>
      </c>
      <c r="M305" s="61" t="inlineStr">
        <is>
          <t>Midstream</t>
        </is>
      </c>
      <c r="N305" s="61" t="inlineStr">
        <is>
          <t>Co-funding partner</t>
        </is>
      </c>
      <c r="O305" s="61" t="inlineStr">
        <is>
          <t>São Paulo, SP, Brazil</t>
        </is>
      </c>
      <c r="P305" s="61" t="inlineStr">
        <is>
          <t>Re-granter</t>
        </is>
      </c>
      <c r="Q305" s="61" t="n"/>
      <c r="R305" s="61" t="n"/>
      <c r="S305" s="61" t="n"/>
      <c r="T305" s="61" t="inlineStr">
        <is>
          <t>—</t>
        </is>
      </c>
      <c r="U305" s="67" t="n"/>
      <c r="V305" s="67" t="n"/>
      <c r="W305" s="67" t="n"/>
      <c r="X305" s="67" t="n"/>
      <c r="Y305" s="67" t="n"/>
      <c r="Z305" s="67" t="n"/>
      <c r="AA305" s="67" t="n"/>
      <c r="AB305" s="67" t="n"/>
      <c r="AC305" s="67" t="n"/>
      <c r="AD305" s="67" t="n"/>
      <c r="AE305" s="67" t="n"/>
      <c r="AF305" s="67" t="n"/>
    </row>
    <row r="306">
      <c r="A306" s="67" t="n"/>
      <c r="B306" s="47" t="n">
        <v>300</v>
      </c>
      <c r="C306" s="44" t="inlineStr">
        <is>
          <t>Lux-Development (LuxDev)</t>
        </is>
      </c>
      <c r="D306" s="44" t="inlineStr">
        <is>
          <t>Others</t>
        </is>
      </c>
      <c r="E306" s="62" t="inlineStr">
        <is>
          <t>Bilateral cooperation agencies</t>
        </is>
      </c>
      <c r="F306" s="44" t="inlineStr">
        <is>
          <t>Luxembourg’s development cooperation agency; supports systemic transition through grants and technical cooperation for climate, resilient infrastructure, sustainable value chains and inclusive development in partner countries.</t>
        </is>
      </c>
      <c r="G306" s="46" t="inlineStr">
        <is>
          <t>Cross-border / international</t>
        </is>
      </c>
      <c r="H306" s="47" t="inlineStr">
        <is>
          <t>Buildings &amp; Transport, Energy, "Land, Food and Forest"</t>
        </is>
      </c>
      <c r="I306" s="48" t="n"/>
      <c r="J306" s="62" t="n"/>
      <c r="K306" s="62" t="inlineStr">
        <is>
          <t>No biome lens was assigned because a Brazil-facing, biome-delimited implementation portfolio was not confirmed for this entry.</t>
        </is>
      </c>
      <c r="L306" s="62" t="inlineStr">
        <is>
          <t>Project developer / Implementer</t>
        </is>
      </c>
      <c r="M306" s="61" t="inlineStr">
        <is>
          <t>Downstream</t>
        </is>
      </c>
      <c r="N306" s="61" t="inlineStr">
        <is>
          <t>Co-funding partner</t>
        </is>
      </c>
      <c r="O306" s="61" t="inlineStr">
        <is>
          <t>Luxembourg, Luxembourg</t>
        </is>
      </c>
      <c r="P306" s="61" t="inlineStr">
        <is>
          <t>Grantee</t>
        </is>
      </c>
      <c r="Q306" s="61" t="n"/>
      <c r="R306" s="61" t="n"/>
      <c r="S306" s="61" t="n"/>
      <c r="T306" s="61" t="inlineStr">
        <is>
          <t>—</t>
        </is>
      </c>
      <c r="U306" s="67" t="n"/>
      <c r="V306" s="67" t="n"/>
      <c r="W306" s="67" t="n"/>
      <c r="X306" s="67" t="n"/>
      <c r="Y306" s="67" t="n"/>
      <c r="Z306" s="67" t="n"/>
      <c r="AA306" s="67" t="n"/>
      <c r="AB306" s="67" t="n"/>
      <c r="AC306" s="67" t="n"/>
      <c r="AD306" s="67" t="n"/>
      <c r="AE306" s="67" t="n"/>
      <c r="AF306" s="67" t="n"/>
    </row>
    <row r="307">
      <c r="A307" s="67" t="n"/>
      <c r="B307" s="47" t="n">
        <v>301</v>
      </c>
      <c r="C307" s="44" t="inlineStr">
        <is>
          <t>Irish Aid (Irish Aid)</t>
        </is>
      </c>
      <c r="D307" s="44" t="inlineStr">
        <is>
          <t>Others</t>
        </is>
      </c>
      <c r="E307" s="62" t="inlineStr">
        <is>
          <t>Bilateral cooperation agencies</t>
        </is>
      </c>
      <c r="F307" s="44" t="inlineStr">
        <is>
          <t>Ireland’s development cooperation program; supports systemic transition through funding and partnerships focused on poverty reduction, resilience, climate action and sustainable development.</t>
        </is>
      </c>
      <c r="G307" s="46" t="inlineStr">
        <is>
          <t>Cross-border / international</t>
        </is>
      </c>
      <c r="H307" s="47" t="inlineStr">
        <is>
          <t>Buildings &amp; Transport, Emergency response, Energy, "Land, Food and Forest"</t>
        </is>
      </c>
      <c r="I307" s="48" t="n"/>
      <c r="J307" s="62" t="n"/>
      <c r="K307" s="62" t="inlineStr">
        <is>
          <t>No biome lens was assigned because the entry did not confirm biome-delimited implementation in Brazil within this mapping.</t>
        </is>
      </c>
      <c r="L307" s="62" t="inlineStr">
        <is>
          <t>Funder</t>
        </is>
      </c>
      <c r="M307" s="61" t="inlineStr">
        <is>
          <t>Upstream</t>
        </is>
      </c>
      <c r="N307" s="61" t="inlineStr">
        <is>
          <t>Co-funding partner</t>
        </is>
      </c>
      <c r="O307" s="61" t="inlineStr">
        <is>
          <t>Brasília, DF, Brazil</t>
        </is>
      </c>
      <c r="P307" s="61" t="inlineStr">
        <is>
          <t>Donor</t>
        </is>
      </c>
      <c r="Q307" s="61" t="n"/>
      <c r="R307" s="61" t="n"/>
      <c r="S307" s="61" t="n"/>
      <c r="T307" s="61" t="inlineStr">
        <is>
          <t>—</t>
        </is>
      </c>
      <c r="U307" s="67" t="n"/>
      <c r="V307" s="67" t="n"/>
      <c r="W307" s="67" t="n"/>
      <c r="X307" s="67" t="n"/>
      <c r="Y307" s="67" t="n"/>
      <c r="Z307" s="67" t="n"/>
      <c r="AA307" s="67" t="n"/>
      <c r="AB307" s="67" t="n"/>
      <c r="AC307" s="67" t="n"/>
      <c r="AD307" s="67" t="n"/>
      <c r="AE307" s="67" t="n"/>
      <c r="AF307" s="67" t="n"/>
    </row>
    <row r="308">
      <c r="A308" s="67" t="n"/>
      <c r="B308" s="47" t="n">
        <v>302</v>
      </c>
      <c r="C308" s="44" t="inlineStr">
        <is>
          <t>Agência Austríaca de Desenvolvimento (ADA)</t>
        </is>
      </c>
      <c r="D308" s="44" t="inlineStr">
        <is>
          <t>Others</t>
        </is>
      </c>
      <c r="E308" s="62" t="inlineStr">
        <is>
          <t>Bilateral cooperation agencies</t>
        </is>
      </c>
      <c r="F308" s="44" t="inlineStr">
        <is>
          <t>Austria’s development cooperation agency; contributes via grants and technical assistance supporting climate mitigation/adaptation, sustainable infrastructure and inclusive local development.</t>
        </is>
      </c>
      <c r="G308" s="46" t="inlineStr">
        <is>
          <t>Cross-border / international</t>
        </is>
      </c>
      <c r="H308" s="47" t="inlineStr">
        <is>
          <t>Buildings &amp; Transport, Energy, "Land, Food and Forest"</t>
        </is>
      </c>
      <c r="I308" s="48" t="n"/>
      <c r="J308" s="62" t="n"/>
      <c r="K308" s="62" t="inlineStr">
        <is>
          <t>No biome lens was assigned because a Brazil-facing, biome-delimited portfolio was not confirmed in this mapping entry.</t>
        </is>
      </c>
      <c r="L308" s="62" t="inlineStr">
        <is>
          <t>Funder</t>
        </is>
      </c>
      <c r="M308" s="61" t="inlineStr">
        <is>
          <t>Upstream</t>
        </is>
      </c>
      <c r="N308" s="61" t="inlineStr">
        <is>
          <t>Co-funding partner</t>
        </is>
      </c>
      <c r="O308" s="61" t="inlineStr">
        <is>
          <t>Brasília, DF, Brazil</t>
        </is>
      </c>
      <c r="P308" s="61" t="inlineStr">
        <is>
          <t>Donor</t>
        </is>
      </c>
      <c r="Q308" s="61" t="n"/>
      <c r="R308" s="61" t="n"/>
      <c r="S308" s="61" t="n"/>
      <c r="T308" s="61" t="inlineStr">
        <is>
          <t>—</t>
        </is>
      </c>
      <c r="U308" s="67" t="n"/>
      <c r="V308" s="67" t="n"/>
      <c r="W308" s="67" t="n"/>
      <c r="X308" s="67" t="n"/>
      <c r="Y308" s="67" t="n"/>
      <c r="Z308" s="67" t="n"/>
      <c r="AA308" s="67" t="n"/>
      <c r="AB308" s="67" t="n"/>
      <c r="AC308" s="67" t="n"/>
      <c r="AD308" s="67" t="n"/>
      <c r="AE308" s="67" t="n"/>
      <c r="AF308" s="67" t="n"/>
    </row>
    <row r="309">
      <c r="A309" s="67" t="n"/>
      <c r="B309" s="47" t="n">
        <v>303</v>
      </c>
      <c r="C309" s="44" t="inlineStr">
        <is>
          <t>Camões – Instituto da Cooperação e da Língua (Camões, I.P.)</t>
        </is>
      </c>
      <c r="D309" s="44" t="inlineStr">
        <is>
          <t>Others</t>
        </is>
      </c>
      <c r="E309" s="62" t="inlineStr">
        <is>
          <t>Bilateral cooperation agencies</t>
        </is>
      </c>
      <c r="F309" s="44" t="inlineStr">
        <is>
          <t>Portugal’s institute for international cooperation and language; supports systemic transition through cooperation programs, institutional strengthening and partnerships that may include climate and sustainable development agendas.</t>
        </is>
      </c>
      <c r="G309" s="46" t="inlineStr">
        <is>
          <t>Cross-border / international</t>
        </is>
      </c>
      <c r="H309" s="47" t="inlineStr">
        <is>
          <t>Buildings &amp; Transport, Energy, "Land, Food and Forest"</t>
        </is>
      </c>
      <c r="I309" s="48" t="n"/>
      <c r="J309" s="62" t="n"/>
      <c r="K309" s="62" t="inlineStr">
        <is>
          <t>No biome lens was assigned because the entry did not identify biome-delimited initiatives in Brazil for classification.</t>
        </is>
      </c>
      <c r="L309" s="62" t="inlineStr">
        <is>
          <t>Funder, Strategic partner</t>
        </is>
      </c>
      <c r="M309" s="61" t="inlineStr">
        <is>
          <t>Upstream</t>
        </is>
      </c>
      <c r="N309" s="61" t="inlineStr">
        <is>
          <t>Co-funding partner</t>
        </is>
      </c>
      <c r="O309" s="61" t="inlineStr">
        <is>
          <t>Brasília, DF, Brazil</t>
        </is>
      </c>
      <c r="P309" s="61" t="inlineStr">
        <is>
          <t>Donor</t>
        </is>
      </c>
      <c r="Q309" s="61" t="n"/>
      <c r="R309" s="61" t="n"/>
      <c r="S309" s="61" t="n"/>
      <c r="T309" s="61" t="inlineStr">
        <is>
          <t>—</t>
        </is>
      </c>
      <c r="U309" s="67" t="n"/>
      <c r="V309" s="67" t="n"/>
      <c r="W309" s="67" t="n"/>
      <c r="X309" s="67" t="n"/>
      <c r="Y309" s="67" t="n"/>
      <c r="Z309" s="67" t="n"/>
      <c r="AA309" s="67" t="n"/>
      <c r="AB309" s="67" t="n"/>
      <c r="AC309" s="67" t="n"/>
      <c r="AD309" s="67" t="n"/>
      <c r="AE309" s="67" t="n"/>
      <c r="AF309" s="67" t="n"/>
    </row>
    <row r="310">
      <c r="A310" s="67" t="n"/>
      <c r="B310" s="47" t="n">
        <v>304</v>
      </c>
      <c r="C310" s="44" t="inlineStr">
        <is>
          <t>Misereor (Misereor)</t>
        </is>
      </c>
      <c r="D310" s="44" t="inlineStr">
        <is>
          <t>Civil Society Organization (CSO)</t>
        </is>
      </c>
      <c r="E310" s="62" t="inlineStr">
        <is>
          <t>Bilateral cooperation agencies</t>
        </is>
      </c>
      <c r="F310" s="44" t="inlineStr">
        <is>
          <t>German Catholic development organization (grantmaker/partner); supports systemic transition by funding civil society, rights-based approaches and sustainable livelihoods, often connected to land rights, food systems and environmental justice.</t>
        </is>
      </c>
      <c r="G310" s="46" t="inlineStr">
        <is>
          <t>Cross-border / international</t>
        </is>
      </c>
      <c r="H310" s="47" t="inlineStr">
        <is>
          <t>"Land, Food and Forest"</t>
        </is>
      </c>
      <c r="I310" s="60" t="inlineStr">
        <is>
          <t>Amazonia, Cerrado</t>
        </is>
      </c>
      <c r="J310" s="62" t="n"/>
      <c r="K310" s="62" t="inlineStr">
        <is>
          <t>No biome lens was assigned because the mapping did not confirm a consistent, Brazil-specific biome-delimited implementation portfolio for this entry.</t>
        </is>
      </c>
      <c r="L310" s="62" t="inlineStr">
        <is>
          <t>Funder, Strategic partner</t>
        </is>
      </c>
      <c r="M310" s="61" t="inlineStr">
        <is>
          <t>Upstream</t>
        </is>
      </c>
      <c r="N310" s="61" t="inlineStr">
        <is>
          <t>Co-funding partner</t>
        </is>
      </c>
      <c r="O310" s="61" t="inlineStr">
        <is>
          <t>Aachen, Germany</t>
        </is>
      </c>
      <c r="P310" s="61" t="inlineStr">
        <is>
          <t>Donor</t>
        </is>
      </c>
      <c r="Q310" s="61" t="n"/>
      <c r="R310" s="61" t="n"/>
      <c r="S310" s="61" t="n"/>
      <c r="T310" s="61" t="inlineStr">
        <is>
          <t>—</t>
        </is>
      </c>
      <c r="U310" s="67" t="n"/>
      <c r="V310" s="67" t="n"/>
      <c r="W310" s="67" t="n"/>
      <c r="X310" s="67" t="n"/>
      <c r="Y310" s="67" t="n"/>
      <c r="Z310" s="67" t="n"/>
      <c r="AA310" s="67" t="n"/>
      <c r="AB310" s="67" t="n"/>
      <c r="AC310" s="67" t="n"/>
      <c r="AD310" s="67" t="n"/>
      <c r="AE310" s="67" t="n"/>
      <c r="AF310" s="67" t="n"/>
    </row>
    <row r="311">
      <c r="A311" s="67" t="n"/>
      <c r="B311" s="47" t="n">
        <v>305</v>
      </c>
      <c r="C311" s="44" t="inlineStr">
        <is>
          <t>Trias (Trias vzw)</t>
        </is>
      </c>
      <c r="D311" s="44" t="inlineStr">
        <is>
          <t>Civil Society Organization (CSO)</t>
        </is>
      </c>
      <c r="E311" s="62" t="inlineStr">
        <is>
          <t>Bilateral cooperation agencies</t>
        </is>
      </c>
      <c r="F311" s="44" t="inlineStr">
        <is>
          <t>International NGO focused on strengthening entrepreneurship and cooperatives; supports AFOLU and inclusive transition by building capacities of farmers’ organizations, SMEs and value chains for resilient, sustainable local economies.</t>
        </is>
      </c>
      <c r="G311" s="46" t="inlineStr">
        <is>
          <t>Cross-border / international</t>
        </is>
      </c>
      <c r="H311" s="47" t="inlineStr">
        <is>
          <t>"Land, Food and Forest"</t>
        </is>
      </c>
      <c r="I311" s="48" t="inlineStr">
        <is>
          <t>Amazonia, Caatinga, Cerrado</t>
        </is>
      </c>
      <c r="J311" s="62" t="n"/>
      <c r="K311" s="62" t="inlineStr">
        <is>
          <t>No biome lens was assigned because a biome-delimited Brazil portfolio was not confirmed for this entry.</t>
        </is>
      </c>
      <c r="L311" s="62" t="inlineStr">
        <is>
          <t>Project developer / Implementer, Implementation capacity (delivery)</t>
        </is>
      </c>
      <c r="M311" s="61" t="inlineStr">
        <is>
          <t>Downstream</t>
        </is>
      </c>
      <c r="N311" s="61" t="inlineStr">
        <is>
          <t>Strategic partner</t>
        </is>
      </c>
      <c r="O311" s="61" t="inlineStr">
        <is>
          <t>Brussels, Belgium</t>
        </is>
      </c>
      <c r="P311" s="61" t="inlineStr">
        <is>
          <t>Grantee</t>
        </is>
      </c>
      <c r="Q311" s="61" t="n"/>
      <c r="R311" s="61" t="n"/>
      <c r="S311" s="61" t="n"/>
      <c r="T311" s="61" t="inlineStr">
        <is>
          <t>—</t>
        </is>
      </c>
      <c r="U311" s="67" t="n"/>
      <c r="V311" s="67" t="n"/>
      <c r="W311" s="67" t="n"/>
      <c r="X311" s="67" t="n"/>
      <c r="Y311" s="67" t="n"/>
      <c r="Z311" s="67" t="n"/>
      <c r="AA311" s="67" t="n"/>
      <c r="AB311" s="67" t="n"/>
      <c r="AC311" s="67" t="n"/>
      <c r="AD311" s="67" t="n"/>
      <c r="AE311" s="67" t="n"/>
      <c r="AF311" s="67" t="n"/>
    </row>
    <row r="312">
      <c r="A312" s="67" t="n"/>
      <c r="B312" s="47" t="n">
        <v>306</v>
      </c>
      <c r="C312" s="44" t="inlineStr">
        <is>
          <t>Brot für die Welt (Brot für die Welt)</t>
        </is>
      </c>
      <c r="D312" s="44" t="inlineStr">
        <is>
          <t>Civil Society Organization (CSO)</t>
        </is>
      </c>
      <c r="E312" s="62" t="inlineStr">
        <is>
          <t>Bilateral cooperation agencies</t>
        </is>
      </c>
      <c r="F312" s="44" t="inlineStr">
        <is>
          <t>Protestant development organization (grantmaker/partner); supports systemic transition by funding civil society and community-based programs on rights, food systems, climate resilience and environmental justice.</t>
        </is>
      </c>
      <c r="G312" s="46" t="inlineStr">
        <is>
          <t>Cross-border / international</t>
        </is>
      </c>
      <c r="H312" s="47" t="inlineStr">
        <is>
          <t>Emergency response, "Land, Food and Forest"</t>
        </is>
      </c>
      <c r="I312" s="60" t="inlineStr">
        <is>
          <t>Amazonia, Cerrado</t>
        </is>
      </c>
      <c r="J312" s="62" t="n"/>
      <c r="K312" s="62" t="inlineStr">
        <is>
          <t>No biome lens was assigned because the entry did not confirm biome-delimited implementation in Brazil for classification.</t>
        </is>
      </c>
      <c r="L312" s="62" t="inlineStr">
        <is>
          <t>Funder, Strategic partner</t>
        </is>
      </c>
      <c r="M312" s="61" t="inlineStr">
        <is>
          <t>Upstream</t>
        </is>
      </c>
      <c r="N312" s="61" t="inlineStr">
        <is>
          <t>Co-funding partner</t>
        </is>
      </c>
      <c r="O312" s="61" t="inlineStr">
        <is>
          <t>Berlin, Germany</t>
        </is>
      </c>
      <c r="P312" s="61" t="inlineStr">
        <is>
          <t>Donor</t>
        </is>
      </c>
      <c r="Q312" s="61" t="n"/>
      <c r="R312" s="61" t="n"/>
      <c r="S312" s="61" t="n"/>
      <c r="T312" s="61" t="inlineStr">
        <is>
          <t>—</t>
        </is>
      </c>
      <c r="U312" s="67" t="n"/>
      <c r="V312" s="67" t="n"/>
      <c r="W312" s="67" t="n"/>
      <c r="X312" s="67" t="n"/>
      <c r="Y312" s="67" t="n"/>
      <c r="Z312" s="67" t="n"/>
      <c r="AA312" s="67" t="n"/>
      <c r="AB312" s="67" t="n"/>
      <c r="AC312" s="67" t="n"/>
      <c r="AD312" s="67" t="n"/>
      <c r="AE312" s="67" t="n"/>
      <c r="AF312" s="67" t="n"/>
    </row>
    <row r="313">
      <c r="A313" s="67" t="n"/>
      <c r="B313" s="47" t="n">
        <v>307</v>
      </c>
      <c r="C313" s="44" t="inlineStr">
        <is>
          <t>Catholic Agency for Overseas Development (CAFOD)</t>
        </is>
      </c>
      <c r="D313" s="44" t="inlineStr">
        <is>
          <t>Civil Society Organization (CSO)</t>
        </is>
      </c>
      <c r="E313" s="62" t="inlineStr">
        <is>
          <t>Bilateral cooperation agencies</t>
        </is>
      </c>
      <c r="F313" s="44" t="inlineStr">
        <is>
          <t>UK Catholic development NGO; supports systemic transition through rights-based humanitarian and development work, including climate resilience, livelihoods, and advocacy aligned with just transition outcomes.</t>
        </is>
      </c>
      <c r="G313" s="46" t="inlineStr">
        <is>
          <t>Cross-border / international</t>
        </is>
      </c>
      <c r="H313" s="47" t="inlineStr">
        <is>
          <t>Emergency response, "Land, Food and Forest"</t>
        </is>
      </c>
      <c r="I313" s="48" t="n"/>
      <c r="J313" s="62" t="n"/>
      <c r="K313" s="62" t="inlineStr">
        <is>
          <t>No biome lens was assigned because the entry did not confirm a stable, biome-delimited Brazil portfolio in this mapping.</t>
        </is>
      </c>
      <c r="L313" s="62" t="inlineStr">
        <is>
          <t>Funder, Strategic partner</t>
        </is>
      </c>
      <c r="M313" s="61" t="inlineStr">
        <is>
          <t>Upstream</t>
        </is>
      </c>
      <c r="N313" s="61" t="inlineStr">
        <is>
          <t>Co-funding partner</t>
        </is>
      </c>
      <c r="O313" s="61" t="inlineStr">
        <is>
          <t>São Paulo, SP, Brazil</t>
        </is>
      </c>
      <c r="P313" s="61" t="inlineStr">
        <is>
          <t>Donor</t>
        </is>
      </c>
      <c r="Q313" s="61" t="n"/>
      <c r="R313" s="61" t="n"/>
      <c r="S313" s="61" t="n"/>
      <c r="T313" s="61" t="inlineStr">
        <is>
          <t>—</t>
        </is>
      </c>
      <c r="U313" s="67" t="n"/>
      <c r="V313" s="67" t="n"/>
      <c r="W313" s="67" t="n"/>
      <c r="X313" s="67" t="n"/>
      <c r="Y313" s="67" t="n"/>
      <c r="Z313" s="67" t="n"/>
      <c r="AA313" s="67" t="n"/>
      <c r="AB313" s="67" t="n"/>
      <c r="AC313" s="67" t="n"/>
      <c r="AD313" s="67" t="n"/>
      <c r="AE313" s="67" t="n"/>
      <c r="AF313" s="67" t="n"/>
    </row>
    <row r="314">
      <c r="A314" s="67" t="n"/>
      <c r="B314" s="47" t="n">
        <v>308</v>
      </c>
      <c r="C314" s="44" t="inlineStr">
        <is>
          <t>Fundação Heinrich Böll (Heinrich Böll Stiftung)</t>
        </is>
      </c>
      <c r="D314" s="44" t="inlineStr">
        <is>
          <t>Funders</t>
        </is>
      </c>
      <c r="E314" s="62" t="inlineStr">
        <is>
          <t>Philanthropy foundations</t>
        </is>
      </c>
      <c r="F314" s="44" t="inlineStr">
        <is>
          <t>Political foundation linked to the German Green movement; supports systemic transition through policy dialogue, research, convening and grants focused on climate, democracy, gender and socio-environmental justice.</t>
        </is>
      </c>
      <c r="G314" s="46" t="inlineStr">
        <is>
          <t>Cross-border / international</t>
        </is>
      </c>
      <c r="H314" s="47" t="inlineStr">
        <is>
          <t>Energy, "Land, Food and Forest"</t>
        </is>
      </c>
      <c r="I314" s="48" t="n"/>
      <c r="J314" s="62" t="n"/>
      <c r="K314" s="62" t="inlineStr">
        <is>
          <t>No biome lens was assigned because it operated through policy dialogue/grants and the mapping did not confirm biome-delimited Brazil initiatives for classification.</t>
        </is>
      </c>
      <c r="L314" s="62" t="inlineStr">
        <is>
          <t>Funder, Technical assistance / research, Policy influence / regulation</t>
        </is>
      </c>
      <c r="M314" s="61" t="inlineStr">
        <is>
          <t>Upstream</t>
        </is>
      </c>
      <c r="N314" s="61" t="inlineStr">
        <is>
          <t>Co-funding partner</t>
        </is>
      </c>
      <c r="O314" s="61" t="inlineStr">
        <is>
          <t>Rio de Janeiro, RJ, Brazil</t>
        </is>
      </c>
      <c r="P314" s="61" t="inlineStr">
        <is>
          <t>Donor</t>
        </is>
      </c>
      <c r="Q314" s="61" t="n"/>
      <c r="R314" s="61" t="n"/>
      <c r="S314" s="61" t="n"/>
      <c r="T314" s="61" t="inlineStr">
        <is>
          <t>—</t>
        </is>
      </c>
      <c r="U314" s="67" t="n"/>
      <c r="V314" s="67" t="n"/>
      <c r="W314" s="67" t="n"/>
      <c r="X314" s="67" t="n"/>
      <c r="Y314" s="67" t="n"/>
      <c r="Z314" s="67" t="n"/>
      <c r="AA314" s="67" t="n"/>
      <c r="AB314" s="67" t="n"/>
      <c r="AC314" s="67" t="n"/>
      <c r="AD314" s="67" t="n"/>
      <c r="AE314" s="67" t="n"/>
      <c r="AF314" s="67" t="n"/>
    </row>
    <row r="315">
      <c r="A315" s="67" t="n"/>
      <c r="B315" s="47" t="n">
        <v>309</v>
      </c>
      <c r="C315" s="44" t="inlineStr">
        <is>
          <t>Fundação Friedrich Ebert (Friedrich-Ebert-Stiftung)</t>
        </is>
      </c>
      <c r="D315" s="44" t="inlineStr">
        <is>
          <t>Funders</t>
        </is>
      </c>
      <c r="E315" s="62" t="inlineStr">
        <is>
          <t>Philanthropy foundations</t>
        </is>
      </c>
      <c r="F315" s="44" t="inlineStr">
        <is>
          <t>Political foundation linked to German social democracy; supports transition through policy dialogue, research and partnerships on inclusive development, decent work, governance and climate/energy debates.</t>
        </is>
      </c>
      <c r="G315" s="46" t="inlineStr">
        <is>
          <t>Cross-border / international</t>
        </is>
      </c>
      <c r="H315" s="47" t="inlineStr">
        <is>
          <t>Buildings &amp; Transport, Energy</t>
        </is>
      </c>
      <c r="I315" s="48" t="n"/>
      <c r="J315" s="62" t="n"/>
      <c r="K315" s="62" t="inlineStr">
        <is>
          <t>No biome lens was assigned because it acted through policy dialogue and the mapping did not confirm biome-delimited Brazil programs for classification.</t>
        </is>
      </c>
      <c r="L315" s="62" t="inlineStr">
        <is>
          <t>Funder, Technical assistance / research, Policy influence / regulation</t>
        </is>
      </c>
      <c r="M315" s="61" t="inlineStr">
        <is>
          <t>Upstream</t>
        </is>
      </c>
      <c r="N315" s="61" t="inlineStr">
        <is>
          <t>Co-funding partner</t>
        </is>
      </c>
      <c r="O315" s="61" t="inlineStr">
        <is>
          <t>São Paulo, SP, Brazil</t>
        </is>
      </c>
      <c r="P315" s="61" t="inlineStr">
        <is>
          <t>Donor</t>
        </is>
      </c>
      <c r="Q315" s="61" t="n"/>
      <c r="R315" s="61" t="n"/>
      <c r="S315" s="61" t="n"/>
      <c r="T315" s="61" t="inlineStr">
        <is>
          <t>—</t>
        </is>
      </c>
      <c r="U315" s="67" t="n"/>
      <c r="V315" s="67" t="n"/>
      <c r="W315" s="67" t="n"/>
      <c r="X315" s="67" t="n"/>
      <c r="Y315" s="67" t="n"/>
      <c r="Z315" s="67" t="n"/>
      <c r="AA315" s="67" t="n"/>
      <c r="AB315" s="67" t="n"/>
      <c r="AC315" s="67" t="n"/>
      <c r="AD315" s="67" t="n"/>
      <c r="AE315" s="67" t="n"/>
      <c r="AF315" s="67" t="n"/>
    </row>
    <row r="316">
      <c r="A316" s="67" t="n"/>
      <c r="B316" s="47" t="n">
        <v>310</v>
      </c>
      <c r="C316" s="44" t="inlineStr">
        <is>
          <t>Fundação Konrad Adenauer (Konrad-Adenauer-Stiftung)</t>
        </is>
      </c>
      <c r="D316" s="44" t="inlineStr">
        <is>
          <t>Funders</t>
        </is>
      </c>
      <c r="E316" s="62" t="inlineStr">
        <is>
          <t>Philanthropy foundations</t>
        </is>
      </c>
      <c r="F316" s="44" t="inlineStr">
        <is>
          <t>Political foundation linked to German Christian democracy; contributes through policy dialogue, governance support and programs that may include sustainable development, energy transition and institutional strengthening.</t>
        </is>
      </c>
      <c r="G316" s="46" t="inlineStr">
        <is>
          <t>Cross-border / international</t>
        </is>
      </c>
      <c r="H316" s="47" t="inlineStr">
        <is>
          <t>Buildings &amp; Transport, Energy</t>
        </is>
      </c>
      <c r="I316" s="48" t="n"/>
      <c r="J316" s="62" t="n"/>
      <c r="K316" s="62" t="inlineStr">
        <is>
          <t>No biome lens was assigned because biome-delimited implementation in Brazil was not confirmed for this entry.</t>
        </is>
      </c>
      <c r="L316" s="62" t="inlineStr">
        <is>
          <t>Funder, Technical assistance / research, Policy influence / regulation</t>
        </is>
      </c>
      <c r="M316" s="61" t="inlineStr">
        <is>
          <t>Upstream</t>
        </is>
      </c>
      <c r="N316" s="61" t="inlineStr">
        <is>
          <t>Co-funding partner</t>
        </is>
      </c>
      <c r="O316" s="61" t="inlineStr">
        <is>
          <t>Brasília, DF, Brazil</t>
        </is>
      </c>
      <c r="P316" s="61" t="inlineStr">
        <is>
          <t>Donor</t>
        </is>
      </c>
      <c r="Q316" s="61" t="n"/>
      <c r="R316" s="61" t="n"/>
      <c r="S316" s="61" t="n"/>
      <c r="T316" s="61" t="inlineStr">
        <is>
          <t>—</t>
        </is>
      </c>
      <c r="U316" s="67" t="n"/>
      <c r="V316" s="67" t="n"/>
      <c r="W316" s="67" t="n"/>
      <c r="X316" s="67" t="n"/>
      <c r="Y316" s="67" t="n"/>
      <c r="Z316" s="67" t="n"/>
      <c r="AA316" s="67" t="n"/>
      <c r="AB316" s="67" t="n"/>
      <c r="AC316" s="67" t="n"/>
      <c r="AD316" s="67" t="n"/>
      <c r="AE316" s="67" t="n"/>
      <c r="AF316" s="67" t="n"/>
    </row>
    <row r="317">
      <c r="A317" s="67" t="n"/>
      <c r="B317" s="47" t="n">
        <v>311</v>
      </c>
      <c r="C317" s="44" t="inlineStr">
        <is>
          <t>Fundação Rosa Luxemburgo (Rosa-Luxemburg-Stiftung)</t>
        </is>
      </c>
      <c r="D317" s="44" t="inlineStr">
        <is>
          <t>Funders</t>
        </is>
      </c>
      <c r="E317" s="62" t="inlineStr">
        <is>
          <t>Philanthropy foundations</t>
        </is>
      </c>
      <c r="F317" s="44" t="inlineStr">
        <is>
          <t>Political foundation linked to democratic socialism; supports systemic transition via research, convening and partnerships emphasizing social justice, rights, and critical perspectives on development and climate.</t>
        </is>
      </c>
      <c r="G317" s="46" t="inlineStr">
        <is>
          <t>Cross-border / international</t>
        </is>
      </c>
      <c r="H317" s="47" t="inlineStr">
        <is>
          <t>Energy, "Land, Food and Forest"</t>
        </is>
      </c>
      <c r="I317" s="48" t="n"/>
      <c r="J317" s="62" t="n"/>
      <c r="K317" s="62" t="inlineStr">
        <is>
          <t>No biome lens was assigned because the entry described convening/research and did not confirm biome-delimited Brazil initiatives.</t>
        </is>
      </c>
      <c r="L317" s="62" t="inlineStr">
        <is>
          <t>Funder, Technical assistance / research, Policy influence / regulation</t>
        </is>
      </c>
      <c r="M317" s="61" t="inlineStr">
        <is>
          <t>Upstream</t>
        </is>
      </c>
      <c r="N317" s="61" t="inlineStr">
        <is>
          <t>Co-funding partner</t>
        </is>
      </c>
      <c r="O317" s="61" t="inlineStr">
        <is>
          <t>São Paulo, SP, Brazil</t>
        </is>
      </c>
      <c r="P317" s="61" t="inlineStr">
        <is>
          <t>Donor</t>
        </is>
      </c>
      <c r="Q317" s="61" t="n"/>
      <c r="R317" s="61" t="n"/>
      <c r="S317" s="61" t="n"/>
      <c r="T317" s="61" t="inlineStr">
        <is>
          <t>—</t>
        </is>
      </c>
      <c r="U317" s="67" t="n"/>
      <c r="V317" s="67" t="n"/>
      <c r="W317" s="67" t="n"/>
      <c r="X317" s="67" t="n"/>
      <c r="Y317" s="67" t="n"/>
      <c r="Z317" s="67" t="n"/>
      <c r="AA317" s="67" t="n"/>
      <c r="AB317" s="67" t="n"/>
      <c r="AC317" s="67" t="n"/>
      <c r="AD317" s="67" t="n"/>
      <c r="AE317" s="67" t="n"/>
      <c r="AF317" s="67" t="n"/>
    </row>
    <row r="318">
      <c r="A318" s="67" t="n"/>
      <c r="B318" s="47" t="n">
        <v>312</v>
      </c>
      <c r="C318" s="44" t="inlineStr">
        <is>
          <t>Plan International Brasil (Plan International)</t>
        </is>
      </c>
      <c r="D318" s="44" t="inlineStr">
        <is>
          <t>Civil Society Organization (CSO)</t>
        </is>
      </c>
      <c r="E318" s="62" t="inlineStr">
        <is>
          <t>Bilateral cooperation agencies</t>
        </is>
      </c>
      <c r="F318" s="44" t="inlineStr">
        <is>
          <t>International NGO focused on children’s and girls’ rights; supports systemic transition by strengthening resilience, education and protection, with programs that can intersect with climate impacts and inclusive urban/rural development.</t>
        </is>
      </c>
      <c r="G318" s="46" t="inlineStr">
        <is>
          <t>Cross-border / international</t>
        </is>
      </c>
      <c r="H318" s="47" t="inlineStr">
        <is>
          <t>Emergency response</t>
        </is>
      </c>
      <c r="I318" s="48" t="n"/>
      <c r="J318" s="62" t="n"/>
      <c r="K318" s="62" t="inlineStr">
        <is>
          <t>No biome lens was assigned because the entry did not indicate a biome-delimited portfolio and programs were organized by communities/municipalities rather than biomes.</t>
        </is>
      </c>
      <c r="L318" s="62" t="inlineStr">
        <is>
          <t>Project developer / Implementer, Implementation capacity (delivery)</t>
        </is>
      </c>
      <c r="M318" s="61" t="inlineStr">
        <is>
          <t>Downstream</t>
        </is>
      </c>
      <c r="N318" s="61" t="inlineStr">
        <is>
          <t>Capacity building partner</t>
        </is>
      </c>
      <c r="O318" s="61" t="inlineStr">
        <is>
          <t>São Paulo, SP, Brazil</t>
        </is>
      </c>
      <c r="P318" s="61" t="inlineStr">
        <is>
          <t>Grantee</t>
        </is>
      </c>
      <c r="Q318" s="61" t="n"/>
      <c r="R318" s="61" t="n"/>
      <c r="S318" s="61" t="n"/>
      <c r="T318" s="61" t="inlineStr">
        <is>
          <t>—</t>
        </is>
      </c>
      <c r="U318" s="67" t="n"/>
      <c r="V318" s="67" t="n"/>
      <c r="W318" s="67" t="n"/>
      <c r="X318" s="67" t="n"/>
      <c r="Y318" s="67" t="n"/>
      <c r="Z318" s="67" t="n"/>
      <c r="AA318" s="67" t="n"/>
      <c r="AB318" s="67" t="n"/>
      <c r="AC318" s="67" t="n"/>
      <c r="AD318" s="67" t="n"/>
      <c r="AE318" s="67" t="n"/>
      <c r="AF318" s="67" t="n"/>
    </row>
    <row r="319">
      <c r="A319" s="67" t="n"/>
      <c r="B319" s="47" t="n">
        <v>313</v>
      </c>
      <c r="C319" s="44" t="inlineStr">
        <is>
          <t>Save the Children Brasil (Save the Children)</t>
        </is>
      </c>
      <c r="D319" s="44" t="inlineStr">
        <is>
          <t>Civil Society Organization (CSO)</t>
        </is>
      </c>
      <c r="E319" s="62" t="inlineStr">
        <is>
          <t>Bilateral cooperation agencies</t>
        </is>
      </c>
      <c r="F319" s="44" t="inlineStr">
        <is>
          <t>International NGO focused on children’s rights and humanitarian response; supports systemic transition by addressing vulnerability, resilience and protection, including in climate-affected contexts.</t>
        </is>
      </c>
      <c r="G319" s="46" t="inlineStr">
        <is>
          <t>Cross-border / international</t>
        </is>
      </c>
      <c r="H319" s="47" t="inlineStr">
        <is>
          <t>Emergency response</t>
        </is>
      </c>
      <c r="I319" s="48" t="n"/>
      <c r="J319" s="62" t="n"/>
      <c r="K319" s="62" t="inlineStr">
        <is>
          <t>No biome lens was assigned because the mapping did not confirm a biome-delimited Brazil implementation portfolio for this entry.</t>
        </is>
      </c>
      <c r="L319" s="62" t="inlineStr">
        <is>
          <t>Project developer / Implementer, Implementation capacity (delivery)</t>
        </is>
      </c>
      <c r="M319" s="61" t="inlineStr">
        <is>
          <t>Downstream</t>
        </is>
      </c>
      <c r="N319" s="61" t="inlineStr">
        <is>
          <t>Capacity building partner</t>
        </is>
      </c>
      <c r="O319" s="61" t="inlineStr">
        <is>
          <t>São Paulo, SP, Brazil</t>
        </is>
      </c>
      <c r="P319" s="61" t="inlineStr">
        <is>
          <t>Grantee</t>
        </is>
      </c>
      <c r="Q319" s="61" t="n"/>
      <c r="R319" s="61" t="n"/>
      <c r="S319" s="61" t="n"/>
      <c r="T319" s="61" t="inlineStr">
        <is>
          <t>—</t>
        </is>
      </c>
      <c r="U319" s="67" t="n"/>
      <c r="V319" s="67" t="n"/>
      <c r="W319" s="67" t="n"/>
      <c r="X319" s="67" t="n"/>
      <c r="Y319" s="67" t="n"/>
      <c r="Z319" s="67" t="n"/>
      <c r="AA319" s="67" t="n"/>
      <c r="AB319" s="67" t="n"/>
      <c r="AC319" s="67" t="n"/>
      <c r="AD319" s="67" t="n"/>
      <c r="AE319" s="67" t="n"/>
      <c r="AF319" s="67" t="n"/>
    </row>
    <row r="320">
      <c r="A320" s="67" t="n"/>
      <c r="B320" s="47" t="n">
        <v>314</v>
      </c>
      <c r="C320" s="44" t="inlineStr">
        <is>
          <t>Visão Mundial (Visão Mundial)</t>
        </is>
      </c>
      <c r="D320" s="44" t="inlineStr">
        <is>
          <t>Civil Society Organization (CSO)</t>
        </is>
      </c>
      <c r="E320" s="62" t="inlineStr">
        <is>
          <t>Bilateral cooperation agencies</t>
        </is>
      </c>
      <c r="F320" s="44" t="inlineStr">
        <is>
          <t>International humanitarian and development NGO; supports systemic transition through community-based development, emergency response and resilience building, including in climate-vulnerable territories.</t>
        </is>
      </c>
      <c r="G320" s="46" t="inlineStr">
        <is>
          <t>Cross-border / international</t>
        </is>
      </c>
      <c r="H320" s="47" t="inlineStr">
        <is>
          <t>Emergency response</t>
        </is>
      </c>
      <c r="I320" s="48" t="n"/>
      <c r="J320" s="62" t="n"/>
      <c r="K320" s="62" t="inlineStr">
        <is>
          <t>No biome lens was assigned because the entry did not confirm biome-delimited programming and actions were organized by communities/regions rather than biomes.</t>
        </is>
      </c>
      <c r="L320" s="62" t="inlineStr">
        <is>
          <t>Project developer / Implementer, Implementation capacity (delivery)</t>
        </is>
      </c>
      <c r="M320" s="61" t="inlineStr">
        <is>
          <t>Downstream</t>
        </is>
      </c>
      <c r="N320" s="61" t="inlineStr">
        <is>
          <t>Capacity building partner</t>
        </is>
      </c>
      <c r="O320" s="61" t="inlineStr">
        <is>
          <t>São Paulo, SP, Brazil</t>
        </is>
      </c>
      <c r="P320" s="61" t="inlineStr">
        <is>
          <t>Grantee</t>
        </is>
      </c>
      <c r="Q320" s="61" t="n"/>
      <c r="R320" s="61" t="n"/>
      <c r="S320" s="61" t="n"/>
      <c r="T320" s="61" t="inlineStr">
        <is>
          <t>—</t>
        </is>
      </c>
      <c r="U320" s="67" t="n"/>
      <c r="V320" s="67" t="n"/>
      <c r="W320" s="67" t="n"/>
      <c r="X320" s="67" t="n"/>
      <c r="Y320" s="67" t="n"/>
      <c r="Z320" s="67" t="n"/>
      <c r="AA320" s="67" t="n"/>
      <c r="AB320" s="67" t="n"/>
      <c r="AC320" s="67" t="n"/>
      <c r="AD320" s="67" t="n"/>
      <c r="AE320" s="67" t="n"/>
      <c r="AF320" s="67" t="n"/>
    </row>
    <row r="321">
      <c r="A321" s="67" t="n"/>
      <c r="B321" s="47" t="n">
        <v>315</v>
      </c>
      <c r="C321" s="44" t="inlineStr">
        <is>
          <t>Movimento dos Trabalhadores Rurais Sem Terra (MST)</t>
        </is>
      </c>
      <c r="D321" s="44" t="inlineStr">
        <is>
          <t>Others</t>
        </is>
      </c>
      <c r="E321" s="62" t="inlineStr">
        <is>
          <t xml:space="preserve">Social moviments </t>
        </is>
      </c>
      <c r="F321" s="44" t="inlineStr">
        <is>
          <t>Mass social movement for agrarian reform and rural rights; influences AFOLU transition through advocacy, territorial organization, agroecology and food sovereignty agendas.</t>
        </is>
      </c>
      <c r="G321" s="46" t="inlineStr">
        <is>
          <t>National</t>
        </is>
      </c>
      <c r="H321" s="47" t="inlineStr">
        <is>
          <t>Emergency response, "Land, Food and Forest"</t>
        </is>
      </c>
      <c r="I321" s="48" t="inlineStr">
        <is>
          <t>Amazonia, Caatinga, Cerrado</t>
        </is>
      </c>
      <c r="J321" s="62" t="inlineStr">
        <is>
          <t>Mata&amp;Atlântica, Pantanal, Pampa</t>
        </is>
      </c>
      <c r="K321" s="62" t="inlineStr">
        <is>
          <t>It organized land/agroecology struggles strongly present in Cerrado and Mata Atlântica rural zones and it also operated in Caatinga and Amazônia territories through national capillarity.</t>
        </is>
      </c>
      <c r="L321" s="62" t="inlineStr">
        <is>
          <t>Community legitimacy / proximate leadership, Implementation capacity (delivery)</t>
        </is>
      </c>
      <c r="M321" s="61" t="inlineStr">
        <is>
          <t>Downstream</t>
        </is>
      </c>
      <c r="N321" s="61" t="inlineStr">
        <is>
          <t>Grant recipient</t>
        </is>
      </c>
      <c r="O321" s="61" t="inlineStr">
        <is>
          <t>São Paulo, SP, Brazil</t>
        </is>
      </c>
      <c r="P321" s="61" t="inlineStr">
        <is>
          <t>Grantee</t>
        </is>
      </c>
      <c r="Q321" s="61" t="n"/>
      <c r="R321" s="61" t="n"/>
      <c r="S321" s="61" t="n"/>
      <c r="T321" s="61" t="inlineStr">
        <is>
          <t>—</t>
        </is>
      </c>
      <c r="U321" s="67" t="n"/>
      <c r="V321" s="67" t="n"/>
      <c r="W321" s="67" t="n"/>
      <c r="X321" s="67" t="n"/>
      <c r="Y321" s="67" t="n"/>
      <c r="Z321" s="67" t="n"/>
      <c r="AA321" s="67" t="n"/>
      <c r="AB321" s="67" t="n"/>
      <c r="AC321" s="67" t="n"/>
      <c r="AD321" s="67" t="n"/>
      <c r="AE321" s="67" t="n"/>
      <c r="AF321" s="67" t="n"/>
    </row>
    <row r="322">
      <c r="A322" s="67" t="n"/>
      <c r="B322" s="47" t="n">
        <v>316</v>
      </c>
      <c r="C322" s="44" t="inlineStr">
        <is>
          <t>Movimento dos Trabalhadores Sem Teto (MTST)</t>
        </is>
      </c>
      <c r="D322" s="44" t="inlineStr">
        <is>
          <t>Others</t>
        </is>
      </c>
      <c r="E322" s="62" t="inlineStr">
        <is>
          <t xml:space="preserve">Social moviments </t>
        </is>
      </c>
      <c r="F322" s="44" t="inlineStr">
        <is>
          <t>Urban housing rights movement; relevant to buildings/urban transition through advocacy for inclusive housing policy, urban services and just city development.</t>
        </is>
      </c>
      <c r="G322" s="46" t="inlineStr">
        <is>
          <t>National</t>
        </is>
      </c>
      <c r="H322" s="47" t="inlineStr">
        <is>
          <t>Buildings &amp; Transport</t>
        </is>
      </c>
      <c r="I322" s="48" t="n"/>
      <c r="J322" s="62" t="n"/>
      <c r="K322" s="62" t="inlineStr">
        <is>
          <t>No biome lens was assigned because it operated as an urban movement and the territorial unit was metropolitan/peripheral areas rather than biomes.</t>
        </is>
      </c>
      <c r="L322" s="62" t="inlineStr">
        <is>
          <t>Community legitimacy / proximate leadership, Policy influence / regulation</t>
        </is>
      </c>
      <c r="M322" s="61" t="inlineStr">
        <is>
          <t>Downstream</t>
        </is>
      </c>
      <c r="N322" s="61" t="inlineStr">
        <is>
          <t>Grant recipient</t>
        </is>
      </c>
      <c r="O322" s="61" t="inlineStr">
        <is>
          <t>São Paulo, SP, Brazil</t>
        </is>
      </c>
      <c r="P322" s="61" t="inlineStr">
        <is>
          <t>Grantee</t>
        </is>
      </c>
      <c r="Q322" s="61" t="n"/>
      <c r="R322" s="61" t="n"/>
      <c r="S322" s="61" t="n"/>
      <c r="T322" s="61" t="inlineStr">
        <is>
          <t>—</t>
        </is>
      </c>
      <c r="U322" s="67" t="n"/>
      <c r="V322" s="67" t="n"/>
      <c r="W322" s="67" t="n"/>
      <c r="X322" s="67" t="n"/>
      <c r="Y322" s="67" t="n"/>
      <c r="Z322" s="67" t="n"/>
      <c r="AA322" s="67" t="n"/>
      <c r="AB322" s="67" t="n"/>
      <c r="AC322" s="67" t="n"/>
      <c r="AD322" s="67" t="n"/>
      <c r="AE322" s="67" t="n"/>
      <c r="AF322" s="67" t="n"/>
    </row>
    <row r="323">
      <c r="A323" s="67" t="n"/>
      <c r="B323" s="47" t="n">
        <v>317</v>
      </c>
      <c r="C323" s="44" t="inlineStr">
        <is>
          <t>Movimento dos Atingidos por Barragens (MAB)</t>
        </is>
      </c>
      <c r="D323" s="44" t="inlineStr">
        <is>
          <t>Others</t>
        </is>
      </c>
      <c r="E323" s="62" t="inlineStr">
        <is>
          <t xml:space="preserve">Social moviments </t>
        </is>
      </c>
      <c r="F323" s="44" t="inlineStr">
        <is>
          <t>Movement representing communities affected by dams and energy projects; relevant to energy transition governance, safeguards, compensation and rights-based infrastructure planning.</t>
        </is>
      </c>
      <c r="G323" s="46" t="inlineStr">
        <is>
          <t>National</t>
        </is>
      </c>
      <c r="H323" s="47" t="inlineStr">
        <is>
          <t>Energy, "Land, Food and Forest"</t>
        </is>
      </c>
      <c r="I323" s="48" t="inlineStr">
        <is>
          <t>Amazonia, Caatinga, Cerrado</t>
        </is>
      </c>
      <c r="J323" s="62" t="inlineStr">
        <is>
          <t>Mata&amp;Atlântica</t>
        </is>
      </c>
      <c r="K323" s="62" t="inlineStr">
        <is>
          <t>It mobilized around large hydropower and river-basin conflicts prominently affecting Amazon and Atlantic Forest regions and it also acted in Cerrado and Caatinga basins through national coverage.</t>
        </is>
      </c>
      <c r="L323" s="62" t="inlineStr">
        <is>
          <t>Community legitimacy / proximate leadership, Policy influence / regulation</t>
        </is>
      </c>
      <c r="M323" s="61" t="inlineStr">
        <is>
          <t>Downstream</t>
        </is>
      </c>
      <c r="N323" s="61" t="inlineStr">
        <is>
          <t>Grant recipient</t>
        </is>
      </c>
      <c r="O323" s="61" t="inlineStr">
        <is>
          <t>Brasília, DF, Brazil</t>
        </is>
      </c>
      <c r="P323" s="61" t="inlineStr">
        <is>
          <t>Grantee</t>
        </is>
      </c>
      <c r="Q323" s="61" t="n"/>
      <c r="R323" s="61" t="n"/>
      <c r="S323" s="61" t="n"/>
      <c r="T323" s="61" t="inlineStr">
        <is>
          <t>—</t>
        </is>
      </c>
      <c r="U323" s="67" t="n"/>
      <c r="V323" s="67" t="n"/>
      <c r="W323" s="67" t="n"/>
      <c r="X323" s="67" t="n"/>
      <c r="Y323" s="67" t="n"/>
      <c r="Z323" s="67" t="n"/>
      <c r="AA323" s="67" t="n"/>
      <c r="AB323" s="67" t="n"/>
      <c r="AC323" s="67" t="n"/>
      <c r="AD323" s="67" t="n"/>
      <c r="AE323" s="67" t="n"/>
      <c r="AF323" s="67" t="n"/>
    </row>
    <row r="324">
      <c r="A324" s="67" t="n"/>
      <c r="B324" s="47" t="n">
        <v>318</v>
      </c>
      <c r="C324" s="44" t="inlineStr">
        <is>
          <t>Movimento dos Pequenos Agricultores (MPA)</t>
        </is>
      </c>
      <c r="D324" s="44" t="inlineStr">
        <is>
          <t>Others</t>
        </is>
      </c>
      <c r="E324" s="62" t="inlineStr">
        <is>
          <t xml:space="preserve">Social moviments </t>
        </is>
      </c>
      <c r="F324" s="44" t="inlineStr">
        <is>
          <t>Rural movement representing small farmers; supports AFOLU transition through agroecology, food sovereignty and advocacy for inclusive rural policies and resilient production systems.</t>
        </is>
      </c>
      <c r="G324" s="46" t="inlineStr">
        <is>
          <t>National</t>
        </is>
      </c>
      <c r="H324" s="47" t="inlineStr">
        <is>
          <t>"Land, Food and Forest"</t>
        </is>
      </c>
      <c r="I324" s="48" t="inlineStr">
        <is>
          <t>Amazonia, Caatinga, Cerrado</t>
        </is>
      </c>
      <c r="J324" s="62" t="inlineStr">
        <is>
          <t>Mata&amp;Atlântica</t>
        </is>
      </c>
      <c r="K324" s="62" t="inlineStr">
        <is>
          <t>It organized smallholder and agroecology agendas strongly associated with Semi-arid Caatinga and Cerrado family-farming territories and it also acted in Mata Atlântica and Amazônia contexts via national presence.</t>
        </is>
      </c>
      <c r="L324" s="62" t="inlineStr">
        <is>
          <t>Community legitimacy / proximate leadership, Implementation capacity (delivery)</t>
        </is>
      </c>
      <c r="M324" s="61" t="inlineStr">
        <is>
          <t>Downstream</t>
        </is>
      </c>
      <c r="N324" s="61" t="inlineStr">
        <is>
          <t>Grant recipient</t>
        </is>
      </c>
      <c r="O324" s="61" t="inlineStr">
        <is>
          <t>Brasília, DF, Brazil</t>
        </is>
      </c>
      <c r="P324" s="61" t="inlineStr">
        <is>
          <t>Grantee</t>
        </is>
      </c>
      <c r="Q324" s="61" t="n"/>
      <c r="R324" s="61" t="n"/>
      <c r="S324" s="61" t="n"/>
      <c r="T324" s="61" t="inlineStr">
        <is>
          <t>—</t>
        </is>
      </c>
      <c r="U324" s="67" t="n"/>
      <c r="V324" s="67" t="n"/>
      <c r="W324" s="67" t="n"/>
      <c r="X324" s="67" t="n"/>
      <c r="Y324" s="67" t="n"/>
      <c r="Z324" s="67" t="n"/>
      <c r="AA324" s="67" t="n"/>
      <c r="AB324" s="67" t="n"/>
      <c r="AC324" s="67" t="n"/>
      <c r="AD324" s="67" t="n"/>
      <c r="AE324" s="67" t="n"/>
      <c r="AF324" s="67" t="n"/>
    </row>
    <row r="325">
      <c r="A325" s="67" t="n"/>
      <c r="B325" s="47" t="n">
        <v>319</v>
      </c>
      <c r="C325" s="44" t="inlineStr">
        <is>
          <t>Movimento pela Soberania Popular na Mineração (MAM)</t>
        </is>
      </c>
      <c r="D325" s="44" t="inlineStr">
        <is>
          <t>Others</t>
        </is>
      </c>
      <c r="E325" s="62" t="inlineStr">
        <is>
          <t xml:space="preserve">Social moviments </t>
        </is>
      </c>
      <c r="F325" s="44" t="inlineStr">
        <is>
          <t>Social movement focused on mining impacts and sovereignty; relevant to just transition by advocating for socio-environmental safeguards, community rights and responsible mineral supply chains.</t>
        </is>
      </c>
      <c r="G325" s="46" t="inlineStr">
        <is>
          <t>National</t>
        </is>
      </c>
      <c r="H325" s="47" t="inlineStr">
        <is>
          <t>Energy, "Land, Food and Forest"</t>
        </is>
      </c>
      <c r="I325" s="60" t="inlineStr">
        <is>
          <t>Amazonia, Cerrado</t>
        </is>
      </c>
      <c r="J325" s="62" t="inlineStr">
        <is>
          <t>Mata&amp;Atlântica</t>
        </is>
      </c>
      <c r="K325" s="62" t="inlineStr">
        <is>
          <t>It mobilized around mining frontiers and socio-environmental conflicts frequently concentrated in Amazônia and mining corridors in Mata Atlântica states and it also engaged Cerrado mining expansion areas.</t>
        </is>
      </c>
      <c r="L325" s="62" t="inlineStr">
        <is>
          <t>Community legitimacy / proximate leadership, Policy influence / regulation</t>
        </is>
      </c>
      <c r="M325" s="61" t="inlineStr">
        <is>
          <t>Downstream</t>
        </is>
      </c>
      <c r="N325" s="61" t="inlineStr">
        <is>
          <t>Grant recipient</t>
        </is>
      </c>
      <c r="O325" s="61" t="inlineStr">
        <is>
          <t>Belo Horizonte, MG, Brazil</t>
        </is>
      </c>
      <c r="P325" s="61" t="inlineStr">
        <is>
          <t>Grantee</t>
        </is>
      </c>
      <c r="Q325" s="61" t="n"/>
      <c r="R325" s="61" t="n"/>
      <c r="S325" s="61" t="n"/>
      <c r="T325" s="61" t="inlineStr">
        <is>
          <t>—</t>
        </is>
      </c>
      <c r="U325" s="67" t="n"/>
      <c r="V325" s="67" t="n"/>
      <c r="W325" s="67" t="n"/>
      <c r="X325" s="67" t="n"/>
      <c r="Y325" s="67" t="n"/>
      <c r="Z325" s="67" t="n"/>
      <c r="AA325" s="67" t="n"/>
      <c r="AB325" s="67" t="n"/>
      <c r="AC325" s="67" t="n"/>
      <c r="AD325" s="67" t="n"/>
      <c r="AE325" s="67" t="n"/>
      <c r="AF325" s="67" t="n"/>
    </row>
    <row r="326">
      <c r="A326" s="67" t="n"/>
      <c r="B326" s="47" t="n">
        <v>320</v>
      </c>
      <c r="C326" s="44" t="inlineStr">
        <is>
          <t>Confederação Nacional dos Trabalhadores Rurais Agricultores e Agricultoras Familiares (CONTAG)</t>
        </is>
      </c>
      <c r="D326" s="44" t="inlineStr">
        <is>
          <t>Others</t>
        </is>
      </c>
      <c r="E326" s="62" t="inlineStr">
        <is>
          <t xml:space="preserve">Social moviments </t>
        </is>
      </c>
      <c r="F326" s="44" t="inlineStr">
        <is>
          <t>National confederation representing rural workers and family farmers; central to AFOLU transition via advocacy, collective organization, and policy engagement for inclusive, resilient rural development.</t>
        </is>
      </c>
      <c r="G326" s="46" t="inlineStr">
        <is>
          <t>National</t>
        </is>
      </c>
      <c r="H326" s="47" t="inlineStr">
        <is>
          <t>"Land, Food and Forest"</t>
        </is>
      </c>
      <c r="I326" s="48" t="inlineStr">
        <is>
          <t>Amazonia, Caatinga, Cerrado</t>
        </is>
      </c>
      <c r="J326" s="62" t="inlineStr">
        <is>
          <t>Mata&amp;Atlântica, Pantanal, Pampa</t>
        </is>
      </c>
      <c r="K326" s="62" t="inlineStr">
        <is>
          <t>It represented large family-farming bases strongly present in Caatinga and Cerrado territories and it also engaged national agendas affecting Mata Atlântica and Amazônia rural workers.</t>
        </is>
      </c>
      <c r="L326" s="62" t="inlineStr">
        <is>
          <t>Community legitimacy / proximate leadership, Convenor/enablers</t>
        </is>
      </c>
      <c r="M326" s="61" t="inlineStr">
        <is>
          <t>Midstream</t>
        </is>
      </c>
      <c r="N326" s="61" t="inlineStr">
        <is>
          <t>Grant recipient</t>
        </is>
      </c>
      <c r="O326" s="61" t="inlineStr">
        <is>
          <t>Brasília, DF, Brazil</t>
        </is>
      </c>
      <c r="P326" s="61" t="inlineStr">
        <is>
          <t>Grantee</t>
        </is>
      </c>
      <c r="Q326" s="61" t="n"/>
      <c r="R326" s="61" t="n"/>
      <c r="S326" s="61" t="n"/>
      <c r="T326" s="61" t="inlineStr">
        <is>
          <t>—</t>
        </is>
      </c>
      <c r="U326" s="67" t="n"/>
      <c r="V326" s="67" t="n"/>
      <c r="W326" s="67" t="n"/>
      <c r="X326" s="67" t="n"/>
      <c r="Y326" s="67" t="n"/>
      <c r="Z326" s="67" t="n"/>
      <c r="AA326" s="67" t="n"/>
      <c r="AB326" s="67" t="n"/>
      <c r="AC326" s="67" t="n"/>
      <c r="AD326" s="67" t="n"/>
      <c r="AE326" s="67" t="n"/>
      <c r="AF326" s="67" t="n"/>
    </row>
    <row r="327">
      <c r="A327" s="67" t="n"/>
      <c r="B327" s="47" t="n">
        <v>321</v>
      </c>
      <c r="C327" s="44" t="inlineStr">
        <is>
          <t>Coordenação Nacional de Articulação das Comunidades Negras Rurais Quilombolas (CONAQ)</t>
        </is>
      </c>
      <c r="D327" s="44" t="inlineStr">
        <is>
          <t>Others</t>
        </is>
      </c>
      <c r="E327" s="62" t="inlineStr">
        <is>
          <t xml:space="preserve">Social moviments </t>
        </is>
      </c>
      <c r="F327" s="44" t="inlineStr">
        <is>
          <t>National articulation of Quilombola communities; critical for territorial rights, socio-environmental justice and nature-positive development aligned with AFOLU and just transition goals.</t>
        </is>
      </c>
      <c r="G327" s="46" t="inlineStr">
        <is>
          <t>National</t>
        </is>
      </c>
      <c r="H327" s="47" t="inlineStr">
        <is>
          <t>"Land, Food and Forest"</t>
        </is>
      </c>
      <c r="I327" s="48" t="inlineStr">
        <is>
          <t>Amazonia, Caatinga, Cerrado</t>
        </is>
      </c>
      <c r="J327" s="62" t="inlineStr">
        <is>
          <t>Mata&amp;Atlântica, Pantanal, Pampa</t>
        </is>
      </c>
      <c r="K327" s="62" t="inlineStr">
        <is>
          <t>It defended Quilombola territorial rights with strong incidence in Mata Atlântica and Cerrado areas and it also engaged Amazon and Caatinga quilombola territories through national articulation.</t>
        </is>
      </c>
      <c r="L327" s="62" t="inlineStr">
        <is>
          <t>Community legitimacy / proximate leadership, Policy influence / regulation</t>
        </is>
      </c>
      <c r="M327" s="61" t="inlineStr">
        <is>
          <t>Downstream</t>
        </is>
      </c>
      <c r="N327" s="61" t="inlineStr">
        <is>
          <t>Grant recipient</t>
        </is>
      </c>
      <c r="O327" s="61" t="inlineStr">
        <is>
          <t>Brasília, DF, Brazil</t>
        </is>
      </c>
      <c r="P327" s="61" t="inlineStr">
        <is>
          <t>Grantee</t>
        </is>
      </c>
      <c r="Q327" s="61" t="n"/>
      <c r="R327" s="61" t="n"/>
      <c r="S327" s="61" t="n"/>
      <c r="T327" s="61" t="inlineStr">
        <is>
          <t>—</t>
        </is>
      </c>
      <c r="U327" s="67" t="n"/>
      <c r="V327" s="67" t="n"/>
      <c r="W327" s="67" t="n"/>
      <c r="X327" s="67" t="n"/>
      <c r="Y327" s="67" t="n"/>
      <c r="Z327" s="67" t="n"/>
      <c r="AA327" s="67" t="n"/>
      <c r="AB327" s="67" t="n"/>
      <c r="AC327" s="67" t="n"/>
      <c r="AD327" s="67" t="n"/>
      <c r="AE327" s="67" t="n"/>
      <c r="AF327" s="67" t="n"/>
    </row>
    <row r="328">
      <c r="A328" s="67" t="n"/>
      <c r="B328" s="47" t="n">
        <v>322</v>
      </c>
      <c r="C328" s="44" t="inlineStr">
        <is>
          <t>Movimento Negro Unificado (MNU)</t>
        </is>
      </c>
      <c r="D328" s="44" t="inlineStr">
        <is>
          <t>Others</t>
        </is>
      </c>
      <c r="E328" s="62" t="inlineStr">
        <is>
          <t xml:space="preserve">Social moviments </t>
        </is>
      </c>
      <c r="F328" s="44" t="inlineStr">
        <is>
          <t>Black movement organization advocating racial justice; relevant for just transition by linking climate and development agendas to equity, rights and anti-racism in policy and governance.</t>
        </is>
      </c>
      <c r="G328" s="46" t="inlineStr">
        <is>
          <t>National</t>
        </is>
      </c>
      <c r="H328" s="47" t="n"/>
      <c r="I328" s="48" t="n"/>
      <c r="J328" s="62" t="n"/>
      <c r="K328" s="62" t="inlineStr">
        <is>
          <t>No biome lens was assigned because it operated through social/political advocacy without biome-delimited initiatives in this mapping.</t>
        </is>
      </c>
      <c r="L328" s="62" t="inlineStr">
        <is>
          <t>Community legitimacy / proximate leadership, Policy influence / regulation</t>
        </is>
      </c>
      <c r="M328" s="61" t="inlineStr">
        <is>
          <t>Downstream</t>
        </is>
      </c>
      <c r="N328" s="61" t="inlineStr">
        <is>
          <t>Grant recipient</t>
        </is>
      </c>
      <c r="O328" s="61" t="inlineStr">
        <is>
          <t>São Paulo, SP, Brazil</t>
        </is>
      </c>
      <c r="P328" s="61" t="inlineStr">
        <is>
          <t>Grantee</t>
        </is>
      </c>
      <c r="Q328" s="61" t="n"/>
      <c r="R328" s="61" t="n"/>
      <c r="S328" s="61" t="n"/>
      <c r="T328" s="61" t="inlineStr">
        <is>
          <t>—</t>
        </is>
      </c>
      <c r="U328" s="67" t="n"/>
      <c r="V328" s="67" t="n"/>
      <c r="W328" s="67" t="n"/>
      <c r="X328" s="67" t="n"/>
      <c r="Y328" s="67" t="n"/>
      <c r="Z328" s="67" t="n"/>
      <c r="AA328" s="67" t="n"/>
      <c r="AB328" s="67" t="n"/>
      <c r="AC328" s="67" t="n"/>
      <c r="AD328" s="67" t="n"/>
      <c r="AE328" s="67" t="n"/>
      <c r="AF328" s="67" t="n"/>
    </row>
    <row r="329">
      <c r="A329" s="67" t="n"/>
      <c r="B329" s="47" t="n">
        <v>323</v>
      </c>
      <c r="C329" s="44" t="inlineStr">
        <is>
          <t>Movimento de Mulheres Camponesas (MMC)</t>
        </is>
      </c>
      <c r="D329" s="44" t="inlineStr">
        <is>
          <t>Others</t>
        </is>
      </c>
      <c r="E329" s="62" t="inlineStr">
        <is>
          <t xml:space="preserve">Social moviments </t>
        </is>
      </c>
      <c r="F329" s="44" t="inlineStr">
        <is>
          <t>Movement of peasant women; supports AFOLU transition through agroecology, food systems, gender justice and rural livelihoods advocacy.</t>
        </is>
      </c>
      <c r="G329" s="46" t="inlineStr">
        <is>
          <t>National</t>
        </is>
      </c>
      <c r="H329" s="47" t="inlineStr">
        <is>
          <t>"Land, Food and Forest"</t>
        </is>
      </c>
      <c r="I329" s="48" t="inlineStr">
        <is>
          <t>Amazonia, Caatinga, Cerrado</t>
        </is>
      </c>
      <c r="J329" s="62" t="inlineStr">
        <is>
          <t>Mata&amp;Atlântica, Pantanal, Pampa</t>
        </is>
      </c>
      <c r="K329" s="62" t="inlineStr">
        <is>
          <t>It advanced agroecology and rural women’s organizing strongly present in Caatinga and Mata Atlântica rural territories and it also operated in Cerrado and Amazônia contexts through national reach.</t>
        </is>
      </c>
      <c r="L329" s="62" t="inlineStr">
        <is>
          <t>Community legitimacy / proximate leadership</t>
        </is>
      </c>
      <c r="M329" s="61" t="inlineStr">
        <is>
          <t>Downstream</t>
        </is>
      </c>
      <c r="N329" s="61" t="inlineStr">
        <is>
          <t>Grant recipient</t>
        </is>
      </c>
      <c r="O329" s="61" t="inlineStr">
        <is>
          <t>Passo Fundo, RS, Brazil</t>
        </is>
      </c>
      <c r="P329" s="61" t="inlineStr">
        <is>
          <t>Grantee</t>
        </is>
      </c>
      <c r="Q329" s="61" t="n"/>
      <c r="R329" s="61" t="n"/>
      <c r="S329" s="61" t="n"/>
      <c r="T329" s="61" t="inlineStr">
        <is>
          <t>—</t>
        </is>
      </c>
      <c r="U329" s="67" t="n"/>
      <c r="V329" s="67" t="n"/>
      <c r="W329" s="67" t="n"/>
      <c r="X329" s="67" t="n"/>
      <c r="Y329" s="67" t="n"/>
      <c r="Z329" s="67" t="n"/>
      <c r="AA329" s="67" t="n"/>
      <c r="AB329" s="67" t="n"/>
      <c r="AC329" s="67" t="n"/>
      <c r="AD329" s="67" t="n"/>
      <c r="AE329" s="67" t="n"/>
      <c r="AF329" s="67" t="n"/>
    </row>
    <row r="330">
      <c r="A330" s="67" t="n"/>
      <c r="B330" s="47" t="n">
        <v>324</v>
      </c>
      <c r="C330" s="44" t="inlineStr">
        <is>
          <t>Movimento Interestadual das Quebradeiras de Coco Babaçu (MIQCB)</t>
        </is>
      </c>
      <c r="D330" s="44" t="inlineStr">
        <is>
          <t>Others</t>
        </is>
      </c>
      <c r="E330" s="62" t="inlineStr">
        <is>
          <t xml:space="preserve">Social moviments </t>
        </is>
      </c>
      <c r="F330" s="44" t="inlineStr">
        <is>
          <t>Movement representing babaçu coconut breakers; relevant to AFOLU transition through defense of access rights, socio-biodiversity value chains and community-based forest/agroextractive economies.</t>
        </is>
      </c>
      <c r="G330" s="46" t="inlineStr">
        <is>
          <t>Regional</t>
        </is>
      </c>
      <c r="H330" s="47" t="inlineStr">
        <is>
          <t>"Land, Food and Forest"</t>
        </is>
      </c>
      <c r="I330" s="60" t="inlineStr">
        <is>
          <t>Amazonia, Cerrado</t>
        </is>
      </c>
      <c r="J330" s="62" t="n"/>
      <c r="K330" s="62" t="inlineStr">
        <is>
          <t>It operated in the babaçu zone strongly associated with Cerrado transition areas and it also engaged forest–frontier territories connected to Amazônia interfaces.</t>
        </is>
      </c>
      <c r="L330" s="62" t="inlineStr">
        <is>
          <t>Community legitimacy / proximate leadership, Territorial anchor</t>
        </is>
      </c>
      <c r="M330" s="61" t="inlineStr">
        <is>
          <t>Downstream</t>
        </is>
      </c>
      <c r="N330" s="61" t="inlineStr">
        <is>
          <t>Grant recipient</t>
        </is>
      </c>
      <c r="O330" s="61" t="inlineStr">
        <is>
          <t>São Luís, MA, Brazil</t>
        </is>
      </c>
      <c r="P330" s="61" t="inlineStr">
        <is>
          <t>Grantee</t>
        </is>
      </c>
      <c r="Q330" s="61" t="n"/>
      <c r="R330" s="61" t="n"/>
      <c r="S330" s="61" t="n"/>
      <c r="T330" s="61" t="inlineStr">
        <is>
          <t>—</t>
        </is>
      </c>
      <c r="U330" s="67" t="n"/>
      <c r="V330" s="67" t="n"/>
      <c r="W330" s="67" t="n"/>
      <c r="X330" s="67" t="n"/>
      <c r="Y330" s="67" t="n"/>
      <c r="Z330" s="67" t="n"/>
      <c r="AA330" s="67" t="n"/>
      <c r="AB330" s="67" t="n"/>
      <c r="AC330" s="67" t="n"/>
      <c r="AD330" s="67" t="n"/>
      <c r="AE330" s="67" t="n"/>
      <c r="AF330" s="67" t="n"/>
    </row>
    <row r="331">
      <c r="A331" s="67" t="n"/>
      <c r="B331" s="47" t="n">
        <v>325</v>
      </c>
      <c r="C331" s="44" t="inlineStr">
        <is>
          <t>Conselho Pastoral dos Pescadores (CPP)</t>
        </is>
      </c>
      <c r="D331" s="44" t="inlineStr">
        <is>
          <t>Civil Society Organization (CSO)</t>
        </is>
      </c>
      <c r="E331" s="62" t="inlineStr">
        <is>
          <t xml:space="preserve">Social moviments </t>
        </is>
      </c>
      <c r="F331" s="44" t="inlineStr">
        <is>
          <t>Rights-based pastoral organization supporting artisanal fishing communities; relevant to just transition and AFOLU by advocating for livelihoods, territorial waters rights and protection of traditional communities.</t>
        </is>
      </c>
      <c r="G331" s="46" t="inlineStr">
        <is>
          <t>National</t>
        </is>
      </c>
      <c r="H331" s="47" t="inlineStr">
        <is>
          <t>"Land, Food and Forest"</t>
        </is>
      </c>
      <c r="I331" s="48" t="inlineStr">
        <is>
          <t>Amazonia</t>
        </is>
      </c>
      <c r="J331" s="62" t="inlineStr">
        <is>
          <t>Coastal&amp;maritime, Mata&amp;Atlântica</t>
        </is>
      </c>
      <c r="K331" s="62" t="inlineStr">
        <is>
          <t>It supported artisanal fishing agendas primarily in coastal-maritime territories and it also engaged riverine/fishing conflicts linked to Amazônia and Mata Atlântica coastal states.</t>
        </is>
      </c>
      <c r="L331" s="62" t="inlineStr">
        <is>
          <t>Community legitimacy / proximate leadership</t>
        </is>
      </c>
      <c r="M331" s="61" t="inlineStr">
        <is>
          <t>Downstream</t>
        </is>
      </c>
      <c r="N331" s="61" t="inlineStr">
        <is>
          <t>Grant recipient</t>
        </is>
      </c>
      <c r="O331" s="61" t="inlineStr">
        <is>
          <t>Recife, PE, Brazil</t>
        </is>
      </c>
      <c r="P331" s="61" t="inlineStr">
        <is>
          <t>Grantee</t>
        </is>
      </c>
      <c r="Q331" s="61" t="n"/>
      <c r="R331" s="61" t="n"/>
      <c r="S331" s="61" t="n"/>
      <c r="T331" s="61" t="inlineStr">
        <is>
          <t>—</t>
        </is>
      </c>
      <c r="U331" s="67" t="n"/>
      <c r="V331" s="67" t="n"/>
      <c r="W331" s="67" t="n"/>
      <c r="X331" s="67" t="n"/>
      <c r="Y331" s="67" t="n"/>
      <c r="Z331" s="67" t="n"/>
      <c r="AA331" s="67" t="n"/>
      <c r="AB331" s="67" t="n"/>
      <c r="AC331" s="67" t="n"/>
      <c r="AD331" s="67" t="n"/>
      <c r="AE331" s="67" t="n"/>
      <c r="AF331" s="67" t="n"/>
    </row>
    <row r="332">
      <c r="A332" s="67" t="n"/>
      <c r="B332" s="47" t="n">
        <v>326</v>
      </c>
      <c r="C332" s="44" t="inlineStr">
        <is>
          <t>Movimento Nacional de Catadores de Materiais Recicláveis (MNCR)</t>
        </is>
      </c>
      <c r="D332" s="44" t="inlineStr">
        <is>
          <t>Others</t>
        </is>
      </c>
      <c r="E332" s="62" t="inlineStr">
        <is>
          <t xml:space="preserve">Social moviments </t>
        </is>
      </c>
      <c r="F332" s="44" t="inlineStr">
        <is>
          <t>National movement of recyclables collectors; relevant to buildings/cities transition via circular economy, waste management justice and inclusion of waste picker cooperatives.</t>
        </is>
      </c>
      <c r="G332" s="46" t="inlineStr">
        <is>
          <t>National</t>
        </is>
      </c>
      <c r="H332" s="47" t="inlineStr">
        <is>
          <t>Buildings &amp; Transport</t>
        </is>
      </c>
      <c r="I332" s="48" t="n"/>
      <c r="J332" s="62" t="n"/>
      <c r="K332" s="62" t="inlineStr">
        <is>
          <t>No biome lens was assigned because it operated in urban waste systems across municipalities rather than biome-delimited territories.</t>
        </is>
      </c>
      <c r="L332" s="62" t="inlineStr">
        <is>
          <t>Community legitimacy / proximate leadership, Implementation capacity (delivery)</t>
        </is>
      </c>
      <c r="M332" s="61" t="inlineStr">
        <is>
          <t>Downstream</t>
        </is>
      </c>
      <c r="N332" s="61" t="inlineStr">
        <is>
          <t>Grant recipient</t>
        </is>
      </c>
      <c r="O332" s="61" t="inlineStr">
        <is>
          <t>São Paulo, SP, Brazil</t>
        </is>
      </c>
      <c r="P332" s="61" t="inlineStr">
        <is>
          <t>Grantee</t>
        </is>
      </c>
      <c r="Q332" s="61" t="n"/>
      <c r="R332" s="61" t="n"/>
      <c r="S332" s="61" t="n"/>
      <c r="T332" s="61" t="inlineStr">
        <is>
          <t>—</t>
        </is>
      </c>
      <c r="U332" s="67" t="n"/>
      <c r="V332" s="67" t="n"/>
      <c r="W332" s="67" t="n"/>
      <c r="X332" s="67" t="n"/>
      <c r="Y332" s="67" t="n"/>
      <c r="Z332" s="67" t="n"/>
      <c r="AA332" s="67" t="n"/>
      <c r="AB332" s="67" t="n"/>
      <c r="AC332" s="67" t="n"/>
      <c r="AD332" s="67" t="n"/>
      <c r="AE332" s="67" t="n"/>
      <c r="AF332" s="67" t="n"/>
    </row>
    <row r="333">
      <c r="A333" s="67" t="n"/>
      <c r="B333" s="47" t="n">
        <v>327</v>
      </c>
      <c r="C333" s="44" t="inlineStr">
        <is>
          <t>Central de Movimentos Populares (CMP)</t>
        </is>
      </c>
      <c r="D333" s="44" t="inlineStr">
        <is>
          <t>Others</t>
        </is>
      </c>
      <c r="E333" s="62" t="inlineStr">
        <is>
          <t xml:space="preserve">Social moviments </t>
        </is>
      </c>
      <c r="F333" s="44" t="inlineStr">
        <is>
          <t>Umbrella movement connecting popular urban and rural organizations; relevant to just transition by mobilizing civil society for inclusive policies on housing, services, and rights.</t>
        </is>
      </c>
      <c r="G333" s="46" t="inlineStr">
        <is>
          <t>National</t>
        </is>
      </c>
      <c r="H333" s="47" t="n"/>
      <c r="I333" s="48" t="n"/>
      <c r="J333" s="62" t="n"/>
      <c r="K333" s="62" t="inlineStr">
        <is>
          <t>No biome lens was assigned because it acted as a cross-territory social articulation without biome-delimited initiatives in this mapping.</t>
        </is>
      </c>
      <c r="L333" s="62" t="inlineStr">
        <is>
          <t>Community legitimacy / proximate leadership, Policy influence / regulation</t>
        </is>
      </c>
      <c r="M333" s="61" t="inlineStr">
        <is>
          <t>Downstream</t>
        </is>
      </c>
      <c r="N333" s="61" t="inlineStr">
        <is>
          <t>Grant recipient</t>
        </is>
      </c>
      <c r="O333" s="61" t="inlineStr">
        <is>
          <t>São Paulo, SP, Brazil</t>
        </is>
      </c>
      <c r="P333" s="61" t="inlineStr">
        <is>
          <t>Grantee</t>
        </is>
      </c>
      <c r="Q333" s="61" t="n"/>
      <c r="R333" s="61" t="n"/>
      <c r="S333" s="61" t="n"/>
      <c r="T333" s="61" t="inlineStr">
        <is>
          <t>—</t>
        </is>
      </c>
      <c r="U333" s="67" t="n"/>
      <c r="V333" s="67" t="n"/>
      <c r="W333" s="67" t="n"/>
      <c r="X333" s="67" t="n"/>
      <c r="Y333" s="67" t="n"/>
      <c r="Z333" s="67" t="n"/>
      <c r="AA333" s="67" t="n"/>
      <c r="AB333" s="67" t="n"/>
      <c r="AC333" s="67" t="n"/>
      <c r="AD333" s="67" t="n"/>
      <c r="AE333" s="67" t="n"/>
      <c r="AF333" s="67" t="n"/>
    </row>
    <row r="334">
      <c r="A334" s="67" t="n"/>
      <c r="B334" s="47" t="n">
        <v>328</v>
      </c>
      <c r="C334" s="44" t="inlineStr">
        <is>
          <t>Articulação dos Povos Indígenas do Nordeste, Minas Gerais e Espírito Santo (APOINME)</t>
        </is>
      </c>
      <c r="D334" s="44" t="inlineStr">
        <is>
          <t>Others</t>
        </is>
      </c>
      <c r="E334" s="62" t="inlineStr">
        <is>
          <t>Grassroots networks</t>
        </is>
      </c>
      <c r="F334" s="44" t="inlineStr">
        <is>
          <t>Regional Indigenous articulation; supports territorial rights and climate/AFOLU agendas through representation and coordination of Indigenous organizations.</t>
        </is>
      </c>
      <c r="G334" s="46" t="inlineStr">
        <is>
          <t>Regional</t>
        </is>
      </c>
      <c r="H334" s="47" t="inlineStr">
        <is>
          <t>"Land, Food and Forest"</t>
        </is>
      </c>
      <c r="I334" s="60" t="inlineStr">
        <is>
          <t>Caatinga</t>
        </is>
      </c>
      <c r="J334" s="62" t="inlineStr">
        <is>
          <t>Mata&amp;Atlântica</t>
        </is>
      </c>
      <c r="K334" s="62" t="inlineStr">
        <is>
          <t>It coordinated Indigenous organizations across the Northeast with strong Caatinga presence and it also covered Minas Gerais/Espírito Santo territories linked to Mata Atlântica.</t>
        </is>
      </c>
      <c r="L334" s="62" t="inlineStr">
        <is>
          <t>Community legitimacy / proximate leadership, Territorial anchor</t>
        </is>
      </c>
      <c r="M334" s="61" t="inlineStr">
        <is>
          <t>Downstream</t>
        </is>
      </c>
      <c r="N334" s="61" t="inlineStr">
        <is>
          <t>Grant recipient</t>
        </is>
      </c>
      <c r="O334" s="61" t="inlineStr">
        <is>
          <t>Salvador, BA, Brazil</t>
        </is>
      </c>
      <c r="P334" s="61" t="inlineStr">
        <is>
          <t>Grantee</t>
        </is>
      </c>
      <c r="Q334" s="61" t="n"/>
      <c r="R334" s="61" t="n"/>
      <c r="S334" s="61" t="n"/>
      <c r="T334" s="61" t="inlineStr">
        <is>
          <t>—</t>
        </is>
      </c>
      <c r="U334" s="67" t="n"/>
      <c r="V334" s="67" t="n"/>
      <c r="W334" s="67" t="n"/>
      <c r="X334" s="67" t="n"/>
      <c r="Y334" s="67" t="n"/>
      <c r="Z334" s="67" t="n"/>
      <c r="AA334" s="67" t="n"/>
      <c r="AB334" s="67" t="n"/>
      <c r="AC334" s="67" t="n"/>
      <c r="AD334" s="67" t="n"/>
      <c r="AE334" s="67" t="n"/>
      <c r="AF334" s="67" t="n"/>
    </row>
    <row r="335">
      <c r="A335" s="67" t="n"/>
      <c r="B335" s="47" t="n">
        <v>329</v>
      </c>
      <c r="C335" s="44" t="inlineStr">
        <is>
          <t>Federação das Organizações Indígenas do Rio Negro (FOIRN)</t>
        </is>
      </c>
      <c r="D335" s="44" t="inlineStr">
        <is>
          <t>Others</t>
        </is>
      </c>
      <c r="E335" s="62" t="inlineStr">
        <is>
          <t>Grassroots networks</t>
        </is>
      </c>
      <c r="F335" s="44" t="inlineStr">
        <is>
          <t>Indigenous federation in the Rio Negro region; central for territorial governance, rights protection and community-led conservation in the Amazon.</t>
        </is>
      </c>
      <c r="G335" s="46" t="inlineStr">
        <is>
          <t>State-level</t>
        </is>
      </c>
      <c r="H335" s="47" t="inlineStr">
        <is>
          <t>"Land, Food and Forest"</t>
        </is>
      </c>
      <c r="I335" s="48" t="inlineStr">
        <is>
          <t>Amazonia</t>
        </is>
      </c>
      <c r="J335" s="62" t="n"/>
      <c r="K335" s="62" t="inlineStr">
        <is>
          <t>It operated in the Rio Negro Amazon region and maintained an explicit Amazônia biome linkage.</t>
        </is>
      </c>
      <c r="L335" s="62" t="inlineStr">
        <is>
          <t>Community legitimacy / proximate leadership, Territorial anchor</t>
        </is>
      </c>
      <c r="M335" s="61" t="inlineStr">
        <is>
          <t>Downstream</t>
        </is>
      </c>
      <c r="N335" s="61" t="inlineStr">
        <is>
          <t>Grant recipient</t>
        </is>
      </c>
      <c r="O335" s="61" t="inlineStr">
        <is>
          <t>São Gabriel da Cachoeira, AM, Brazil</t>
        </is>
      </c>
      <c r="P335" s="61" t="inlineStr">
        <is>
          <t>Grantee</t>
        </is>
      </c>
      <c r="Q335" s="61" t="n"/>
      <c r="R335" s="61" t="n"/>
      <c r="S335" s="61" t="n"/>
      <c r="T335" s="61" t="inlineStr">
        <is>
          <t>—</t>
        </is>
      </c>
      <c r="U335" s="67" t="n"/>
      <c r="V335" s="67" t="n"/>
      <c r="W335" s="67" t="n"/>
      <c r="X335" s="67" t="n"/>
      <c r="Y335" s="67" t="n"/>
      <c r="Z335" s="67" t="n"/>
      <c r="AA335" s="67" t="n"/>
      <c r="AB335" s="67" t="n"/>
      <c r="AC335" s="67" t="n"/>
      <c r="AD335" s="67" t="n"/>
      <c r="AE335" s="67" t="n"/>
      <c r="AF335" s="67" t="n"/>
    </row>
    <row r="336">
      <c r="A336" s="67" t="n"/>
      <c r="B336" s="47" t="n">
        <v>330</v>
      </c>
      <c r="C336" s="44" t="inlineStr">
        <is>
          <t>Conselho Indígena de Roraima (CIR)</t>
        </is>
      </c>
      <c r="D336" s="44" t="inlineStr">
        <is>
          <t>Others</t>
        </is>
      </c>
      <c r="E336" s="62" t="inlineStr">
        <is>
          <t>Grassroots networks</t>
        </is>
      </c>
      <c r="F336" s="44" t="inlineStr">
        <is>
          <t>Indigenous council representing peoples in Roraima; supports territorial rights, governance and protection of forests and communities.</t>
        </is>
      </c>
      <c r="G336" s="46" t="inlineStr">
        <is>
          <t>State-level</t>
        </is>
      </c>
      <c r="H336" s="47" t="inlineStr">
        <is>
          <t>"Land, Food and Forest"</t>
        </is>
      </c>
      <c r="I336" s="60" t="inlineStr">
        <is>
          <t>Amazonia, Cerrado</t>
        </is>
      </c>
      <c r="J336" s="62" t="n"/>
      <c r="K336" s="62" t="inlineStr">
        <is>
          <t>It acted in Roraima with strong Amazon territorial linkage and it also operated across savanna/transition landscapes connected to Cerrado-like formations in the state.</t>
        </is>
      </c>
      <c r="L336" s="62" t="inlineStr">
        <is>
          <t>Community legitimacy / proximate leadership, Territorial anchor</t>
        </is>
      </c>
      <c r="M336" s="61" t="inlineStr">
        <is>
          <t>Downstream</t>
        </is>
      </c>
      <c r="N336" s="61" t="inlineStr">
        <is>
          <t>Grant recipient</t>
        </is>
      </c>
      <c r="O336" s="61" t="inlineStr">
        <is>
          <t>Boa Vista, RR, Brazil</t>
        </is>
      </c>
      <c r="P336" s="61" t="inlineStr">
        <is>
          <t>Grantee</t>
        </is>
      </c>
      <c r="Q336" s="61" t="n"/>
      <c r="R336" s="61" t="n"/>
      <c r="S336" s="61" t="n"/>
      <c r="T336" s="61" t="inlineStr">
        <is>
          <t>—</t>
        </is>
      </c>
      <c r="U336" s="67" t="n"/>
      <c r="V336" s="67" t="n"/>
      <c r="W336" s="67" t="n"/>
      <c r="X336" s="67" t="n"/>
      <c r="Y336" s="67" t="n"/>
      <c r="Z336" s="67" t="n"/>
      <c r="AA336" s="67" t="n"/>
      <c r="AB336" s="67" t="n"/>
      <c r="AC336" s="67" t="n"/>
      <c r="AD336" s="67" t="n"/>
      <c r="AE336" s="67" t="n"/>
      <c r="AF336" s="67" t="n"/>
    </row>
    <row r="337">
      <c r="A337" s="67" t="n"/>
      <c r="B337" s="47" t="n">
        <v>331</v>
      </c>
      <c r="C337" s="44" t="inlineStr">
        <is>
          <t>Hutukara Associação Yanomami (HAY)</t>
        </is>
      </c>
      <c r="D337" s="44" t="inlineStr">
        <is>
          <t>Civil Society Organization (CSO)</t>
        </is>
      </c>
      <c r="E337" s="62" t="inlineStr">
        <is>
          <t>Grassroots networks</t>
        </is>
      </c>
      <c r="F337" s="44" t="inlineStr">
        <is>
          <t>Yanomami association supporting territorial protection, health and rights; relevant to AFOLU and just transition through safeguarding Indigenous lands and addressing illegal pressures.</t>
        </is>
      </c>
      <c r="G337" s="46" t="inlineStr">
        <is>
          <t>Regional</t>
        </is>
      </c>
      <c r="H337" s="47" t="inlineStr">
        <is>
          <t>"Land, Food and Forest"</t>
        </is>
      </c>
      <c r="I337" s="48" t="inlineStr">
        <is>
          <t>Amazonia</t>
        </is>
      </c>
      <c r="J337" s="62" t="n"/>
      <c r="K337" s="62" t="inlineStr">
        <is>
          <t>It operated to safeguard Yanomami territories located in the Amazônia biome.</t>
        </is>
      </c>
      <c r="L337" s="62" t="inlineStr">
        <is>
          <t>Community legitimacy / proximate leadership, Territorial anchor</t>
        </is>
      </c>
      <c r="M337" s="61" t="inlineStr">
        <is>
          <t>Downstream</t>
        </is>
      </c>
      <c r="N337" s="61" t="inlineStr">
        <is>
          <t>Grant recipient</t>
        </is>
      </c>
      <c r="O337" s="61" t="inlineStr">
        <is>
          <t>Boa Vista, RR, Brazil</t>
        </is>
      </c>
      <c r="P337" s="61" t="inlineStr">
        <is>
          <t>Grantee</t>
        </is>
      </c>
      <c r="Q337" s="61" t="n"/>
      <c r="R337" s="61" t="n"/>
      <c r="S337" s="61" t="n"/>
      <c r="T337" s="61" t="inlineStr">
        <is>
          <t>—</t>
        </is>
      </c>
      <c r="U337" s="67" t="n"/>
      <c r="V337" s="67" t="n"/>
      <c r="W337" s="67" t="n"/>
      <c r="X337" s="67" t="n"/>
      <c r="Y337" s="67" t="n"/>
      <c r="Z337" s="67" t="n"/>
      <c r="AA337" s="67" t="n"/>
      <c r="AB337" s="67" t="n"/>
      <c r="AC337" s="67" t="n"/>
      <c r="AD337" s="67" t="n"/>
      <c r="AE337" s="67" t="n"/>
      <c r="AF337" s="67" t="n"/>
    </row>
    <row r="338">
      <c r="A338" s="67" t="n"/>
      <c r="B338" s="47" t="n">
        <v>332</v>
      </c>
      <c r="C338" s="44" t="inlineStr">
        <is>
          <t>Movimento Xingu Vivo para Sempre</t>
        </is>
      </c>
      <c r="D338" s="44" t="inlineStr">
        <is>
          <t>Others</t>
        </is>
      </c>
      <c r="E338" s="62" t="inlineStr">
        <is>
          <t xml:space="preserve">Social moviments </t>
        </is>
      </c>
      <c r="F338" s="44" t="inlineStr">
        <is>
          <t>Social movement coalition in the Xingu region; relevant to energy and AFOLU transitions through advocacy on rights, safeguards and territorial protection in infrastructure and land-use decisions.</t>
        </is>
      </c>
      <c r="G338" s="46" t="inlineStr">
        <is>
          <t>Regional</t>
        </is>
      </c>
      <c r="H338" s="47" t="inlineStr">
        <is>
          <t>Energy, "Land, Food and Forest"</t>
        </is>
      </c>
      <c r="I338" s="60" t="inlineStr">
        <is>
          <t>Amazonia, Cerrado</t>
        </is>
      </c>
      <c r="J338" s="62" t="n"/>
      <c r="K338" s="62" t="inlineStr">
        <is>
          <t>It mobilized around the Xingu basin strongly linked to Amazônia and it also engaged the Amazon–Cerrado interface where frontier pressures were relevant.</t>
        </is>
      </c>
      <c r="L338" s="62" t="inlineStr">
        <is>
          <t>Community legitimacy / proximate leadership, Policy influence / regulation</t>
        </is>
      </c>
      <c r="M338" s="61" t="inlineStr">
        <is>
          <t>Downstream</t>
        </is>
      </c>
      <c r="N338" s="61" t="inlineStr">
        <is>
          <t>Grant recipient</t>
        </is>
      </c>
      <c r="O338" s="61" t="inlineStr">
        <is>
          <t>Altamira, PA, Brazil</t>
        </is>
      </c>
      <c r="P338" s="61" t="inlineStr">
        <is>
          <t>Grantee</t>
        </is>
      </c>
      <c r="Q338" s="61" t="n"/>
      <c r="R338" s="61" t="n"/>
      <c r="S338" s="61" t="n"/>
      <c r="T338" s="61" t="inlineStr">
        <is>
          <t>—</t>
        </is>
      </c>
      <c r="U338" s="67" t="n"/>
      <c r="V338" s="67" t="n"/>
      <c r="W338" s="67" t="n"/>
      <c r="X338" s="67" t="n"/>
      <c r="Y338" s="67" t="n"/>
      <c r="Z338" s="67" t="n"/>
      <c r="AA338" s="67" t="n"/>
      <c r="AB338" s="67" t="n"/>
      <c r="AC338" s="67" t="n"/>
      <c r="AD338" s="67" t="n"/>
      <c r="AE338" s="67" t="n"/>
      <c r="AF338" s="67" t="n"/>
    </row>
    <row r="339">
      <c r="A339" s="67" t="n"/>
      <c r="B339" s="47" t="n">
        <v>333</v>
      </c>
      <c r="C339" s="44" t="inlineStr">
        <is>
          <t>Rede Xingu+ (Rede Xingu+)</t>
        </is>
      </c>
      <c r="D339" s="44" t="inlineStr">
        <is>
          <t>Others</t>
        </is>
      </c>
      <c r="E339" s="62" t="inlineStr">
        <is>
          <t>Grassroots networks</t>
        </is>
      </c>
      <c r="F339" s="44" t="inlineStr">
        <is>
          <t>Network of Indigenous and traditional peoples and partners in the Xingu basin; supports territorial governance, restoration and sustainable livelihoods aligned with AFOLU and just transition goals.</t>
        </is>
      </c>
      <c r="G339" s="46" t="inlineStr">
        <is>
          <t>Regional</t>
        </is>
      </c>
      <c r="H339" s="47" t="inlineStr">
        <is>
          <t>"Land, Food and Forest"</t>
        </is>
      </c>
      <c r="I339" s="60" t="inlineStr">
        <is>
          <t>Amazonia, Cerrado</t>
        </is>
      </c>
      <c r="J339" s="62" t="n"/>
      <c r="K339" s="62" t="inlineStr">
        <is>
          <t>It supported territorial governance and restoration in the Xingu basin within Amazônia and it also operated across Cerrado transition areas in the wider basin.</t>
        </is>
      </c>
      <c r="L339" s="62" t="inlineStr">
        <is>
          <t>Convenor/enablers, Community legitimacy / proximate leadership</t>
        </is>
      </c>
      <c r="M339" s="61" t="inlineStr">
        <is>
          <t>Midstream</t>
        </is>
      </c>
      <c r="N339" s="61" t="inlineStr">
        <is>
          <t>Grant recipient</t>
        </is>
      </c>
      <c r="O339" s="61" t="inlineStr">
        <is>
          <t>Altamira, PA, Brazil</t>
        </is>
      </c>
      <c r="P339" s="61" t="inlineStr">
        <is>
          <t>Grantee</t>
        </is>
      </c>
      <c r="Q339" s="61" t="n"/>
      <c r="R339" s="61" t="n"/>
      <c r="S339" s="61" t="n"/>
      <c r="T339" s="61" t="inlineStr">
        <is>
          <t>—</t>
        </is>
      </c>
      <c r="U339" s="67" t="n"/>
      <c r="V339" s="67" t="n"/>
      <c r="W339" s="67" t="n"/>
      <c r="X339" s="67" t="n"/>
      <c r="Y339" s="67" t="n"/>
      <c r="Z339" s="67" t="n"/>
      <c r="AA339" s="67" t="n"/>
      <c r="AB339" s="67" t="n"/>
      <c r="AC339" s="67" t="n"/>
      <c r="AD339" s="67" t="n"/>
      <c r="AE339" s="67" t="n"/>
      <c r="AF339" s="67" t="n"/>
    </row>
    <row r="340">
      <c r="A340" s="67" t="n"/>
      <c r="B340" s="47" t="n">
        <v>334</v>
      </c>
      <c r="C340" s="44" t="inlineStr">
        <is>
          <t>Movimento Tapajós Vivo</t>
        </is>
      </c>
      <c r="D340" s="44" t="inlineStr">
        <is>
          <t>Others</t>
        </is>
      </c>
      <c r="E340" s="62" t="inlineStr">
        <is>
          <t xml:space="preserve">Social moviments </t>
        </is>
      </c>
      <c r="F340" s="44" t="inlineStr">
        <is>
          <t>Social movement coalition in the Tapajós region; relevant to energy and AFOLU transitions through advocacy on territorial rights, safeguards and responsible infrastructure planning.</t>
        </is>
      </c>
      <c r="G340" s="46" t="inlineStr">
        <is>
          <t>Regional</t>
        </is>
      </c>
      <c r="H340" s="47" t="inlineStr">
        <is>
          <t>Energy, "Land, Food and Forest"</t>
        </is>
      </c>
      <c r="I340" s="48" t="inlineStr">
        <is>
          <t>Amazonia</t>
        </is>
      </c>
      <c r="J340" s="62" t="n"/>
      <c r="K340" s="62" t="inlineStr">
        <is>
          <t>It operated in Tapajós territories explicitly linked to the Amazônia biome.</t>
        </is>
      </c>
      <c r="L340" s="62" t="inlineStr">
        <is>
          <t>Community legitimacy / proximate leadership</t>
        </is>
      </c>
      <c r="M340" s="61" t="inlineStr">
        <is>
          <t>Downstream</t>
        </is>
      </c>
      <c r="N340" s="61" t="inlineStr">
        <is>
          <t>Grant recipient</t>
        </is>
      </c>
      <c r="O340" s="61" t="inlineStr">
        <is>
          <t>Santarém, PA, Brazil</t>
        </is>
      </c>
      <c r="P340" s="61" t="inlineStr">
        <is>
          <t>Grantee</t>
        </is>
      </c>
      <c r="Q340" s="61" t="n"/>
      <c r="R340" s="61" t="n"/>
      <c r="S340" s="61" t="n"/>
      <c r="T340" s="61" t="inlineStr">
        <is>
          <t>—</t>
        </is>
      </c>
      <c r="U340" s="67" t="n"/>
      <c r="V340" s="67" t="n"/>
      <c r="W340" s="67" t="n"/>
      <c r="X340" s="67" t="n"/>
      <c r="Y340" s="67" t="n"/>
      <c r="Z340" s="67" t="n"/>
      <c r="AA340" s="67" t="n"/>
      <c r="AB340" s="67" t="n"/>
      <c r="AC340" s="67" t="n"/>
      <c r="AD340" s="67" t="n"/>
      <c r="AE340" s="67" t="n"/>
      <c r="AF340" s="67" t="n"/>
    </row>
    <row r="341">
      <c r="A341" s="67" t="n"/>
      <c r="B341" s="47" t="n">
        <v>335</v>
      </c>
      <c r="C341" s="44" t="inlineStr">
        <is>
          <t>Articulação Nacional de Economia Solidária (FBES)</t>
        </is>
      </c>
      <c r="D341" s="44" t="inlineStr">
        <is>
          <t>Others</t>
        </is>
      </c>
      <c r="E341" s="62" t="inlineStr">
        <is>
          <t>Grassroots networks</t>
        </is>
      </c>
      <c r="F341" s="44" t="inlineStr">
        <is>
          <t>National forum/network for solidarity economy; supports transition through cooperative and inclusive economic models, strengthening community enterprises in green and circular value chains.</t>
        </is>
      </c>
      <c r="G341" s="46" t="inlineStr">
        <is>
          <t>National</t>
        </is>
      </c>
      <c r="H341" s="47" t="inlineStr">
        <is>
          <t>Buildings &amp; Transport, "Land, Food and Forest"</t>
        </is>
      </c>
      <c r="I341" s="48" t="n"/>
      <c r="J341" s="62" t="n"/>
      <c r="K341" s="62" t="inlineStr">
        <is>
          <t>No biome lens was assigned because it acted through socio-economic organizing across territories and did not present biome-delimited initiatives in this mapping.</t>
        </is>
      </c>
      <c r="L341" s="62" t="inlineStr">
        <is>
          <t>Convenor/enablers, Implementation capacity (delivery)</t>
        </is>
      </c>
      <c r="M341" s="61" t="inlineStr">
        <is>
          <t>Midstream</t>
        </is>
      </c>
      <c r="N341" s="61" t="inlineStr">
        <is>
          <t>Grant recipient</t>
        </is>
      </c>
      <c r="O341" s="61" t="inlineStr">
        <is>
          <t>Brasília, DF, Brazil</t>
        </is>
      </c>
      <c r="P341" s="61" t="inlineStr">
        <is>
          <t>Grantee</t>
        </is>
      </c>
      <c r="Q341" s="61" t="n"/>
      <c r="R341" s="61" t="n"/>
      <c r="S341" s="61" t="n"/>
      <c r="T341" s="61" t="inlineStr">
        <is>
          <t>—</t>
        </is>
      </c>
      <c r="U341" s="67" t="n"/>
      <c r="V341" s="67" t="n"/>
      <c r="W341" s="67" t="n"/>
      <c r="X341" s="67" t="n"/>
      <c r="Y341" s="67" t="n"/>
      <c r="Z341" s="67" t="n"/>
      <c r="AA341" s="67" t="n"/>
      <c r="AB341" s="67" t="n"/>
      <c r="AC341" s="67" t="n"/>
      <c r="AD341" s="67" t="n"/>
      <c r="AE341" s="67" t="n"/>
      <c r="AF341" s="67" t="n"/>
    </row>
    <row r="342">
      <c r="A342" s="67" t="n"/>
      <c r="B342" s="47" t="n">
        <v>336</v>
      </c>
      <c r="C342" s="44" t="inlineStr">
        <is>
          <t>Movimento Atingidos pelas Renováveis (MAR)</t>
        </is>
      </c>
      <c r="D342" s="44" t="inlineStr">
        <is>
          <t>Others</t>
        </is>
      </c>
      <c r="E342" s="62" t="inlineStr">
        <is>
          <t xml:space="preserve">Social moviments </t>
        </is>
      </c>
      <c r="F342" s="44" t="inlineStr">
        <is>
          <t>Movement focused on communities affected by renewable energy projects; relevant to energy transition by advocating safeguards, fair benefit-sharing and community rights in clean energy expansion.</t>
        </is>
      </c>
      <c r="G342" s="46" t="inlineStr">
        <is>
          <t>National</t>
        </is>
      </c>
      <c r="H342" s="47" t="inlineStr">
        <is>
          <t>Energy</t>
        </is>
      </c>
      <c r="I342" s="48" t="inlineStr">
        <is>
          <t>Caatinga, Cerrado</t>
        </is>
      </c>
      <c r="J342" s="62" t="n"/>
      <c r="K342" s="62" t="inlineStr">
        <is>
          <t>It engaged conflicts and safeguard agendas strongly associated with wind/renewables expansion in Caatinga-region states and it also connected to Cerrado and coastal-maritime project corridors through national action.</t>
        </is>
      </c>
      <c r="L342" s="62" t="inlineStr">
        <is>
          <t>Community legitimacy / proximate leadership, Policy influence / regulation</t>
        </is>
      </c>
      <c r="M342" s="61" t="inlineStr">
        <is>
          <t>Downstream</t>
        </is>
      </c>
      <c r="N342" s="61" t="inlineStr">
        <is>
          <t>Grant recipient</t>
        </is>
      </c>
      <c r="O342" s="61" t="inlineStr">
        <is>
          <t>São Paulo, SP, Brazil</t>
        </is>
      </c>
      <c r="P342" s="61" t="inlineStr">
        <is>
          <t>Grantee</t>
        </is>
      </c>
      <c r="Q342" s="61" t="n"/>
      <c r="R342" s="61" t="n"/>
      <c r="S342" s="61" t="n"/>
      <c r="T342" s="61" t="inlineStr">
        <is>
          <t>—</t>
        </is>
      </c>
      <c r="U342" s="67" t="n"/>
      <c r="V342" s="67" t="n"/>
      <c r="W342" s="67" t="n"/>
      <c r="X342" s="67" t="n"/>
      <c r="Y342" s="67" t="n"/>
      <c r="Z342" s="67" t="n"/>
      <c r="AA342" s="67" t="n"/>
      <c r="AB342" s="67" t="n"/>
      <c r="AC342" s="67" t="n"/>
      <c r="AD342" s="67" t="n"/>
      <c r="AE342" s="67" t="n"/>
      <c r="AF342" s="67" t="n"/>
    </row>
    <row r="343">
      <c r="A343" s="67" t="n"/>
      <c r="B343" s="47" t="n">
        <v>337</v>
      </c>
      <c r="C343" s="44" t="inlineStr">
        <is>
          <t>Seridó Vivo (Seridó Vivo)</t>
        </is>
      </c>
      <c r="D343" s="44" t="inlineStr">
        <is>
          <t>Others</t>
        </is>
      </c>
      <c r="E343" s="62" t="inlineStr">
        <is>
          <t>Grassroots networks</t>
        </is>
      </c>
      <c r="F343" s="44" t="inlineStr">
        <is>
          <t>Regional network/initiative in the Seridó (Semi-arid Northeast); supports AFOLU and resilience by mobilizing territorial action around water security, sustainable livelihoods and climate adaptation.</t>
        </is>
      </c>
      <c r="G343" s="46" t="inlineStr">
        <is>
          <t>Regional</t>
        </is>
      </c>
      <c r="H343" s="47" t="inlineStr">
        <is>
          <t>Energy</t>
        </is>
      </c>
      <c r="I343" s="60" t="inlineStr">
        <is>
          <t>Caatinga</t>
        </is>
      </c>
      <c r="J343" s="62" t="n"/>
      <c r="K343" s="62" t="inlineStr">
        <is>
          <t>It operated in the Semi-arid Seridó territory and aligned action with the Caatinga biome.</t>
        </is>
      </c>
      <c r="L343" s="62" t="inlineStr">
        <is>
          <t>Community legitimacy / proximate leadership, Territorial anchor</t>
        </is>
      </c>
      <c r="M343" s="61" t="inlineStr">
        <is>
          <t>Downstream</t>
        </is>
      </c>
      <c r="N343" s="61" t="inlineStr">
        <is>
          <t>Grant recipient</t>
        </is>
      </c>
      <c r="O343" s="61" t="inlineStr">
        <is>
          <t>Caicó, RN, Brazil</t>
        </is>
      </c>
      <c r="P343" s="61" t="inlineStr">
        <is>
          <t>Grantee</t>
        </is>
      </c>
      <c r="Q343" s="61" t="n"/>
      <c r="R343" s="61" t="n"/>
      <c r="S343" s="61" t="n"/>
      <c r="T343" s="61" t="inlineStr">
        <is>
          <t>—</t>
        </is>
      </c>
      <c r="U343" s="67" t="n"/>
      <c r="V343" s="67" t="n"/>
      <c r="W343" s="67" t="n"/>
      <c r="X343" s="67" t="n"/>
      <c r="Y343" s="67" t="n"/>
      <c r="Z343" s="67" t="n"/>
      <c r="AA343" s="67" t="n"/>
      <c r="AB343" s="67" t="n"/>
      <c r="AC343" s="67" t="n"/>
      <c r="AD343" s="67" t="n"/>
      <c r="AE343" s="67" t="n"/>
      <c r="AF343" s="67" t="n"/>
    </row>
    <row r="344">
      <c r="A344" s="67" t="n"/>
      <c r="B344" s="47" t="n">
        <v>338</v>
      </c>
      <c r="C344" s="44" t="inlineStr">
        <is>
          <t>Coalizão Energia Limpa (Coalizão Energia Limpa)</t>
        </is>
      </c>
      <c r="D344" s="44" t="inlineStr">
        <is>
          <t>Others</t>
        </is>
      </c>
      <c r="E344" s="62" t="inlineStr">
        <is>
          <t>Alliances</t>
        </is>
      </c>
      <c r="F344" s="44" t="inlineStr">
        <is>
          <t>Civil society coalition advocating for clean energy and a just energy transition; supports systemic transition through coordination, policy engagement and public communication.</t>
        </is>
      </c>
      <c r="G344" s="46" t="inlineStr">
        <is>
          <t>National</t>
        </is>
      </c>
      <c r="H344" s="47" t="inlineStr">
        <is>
          <t>Energy</t>
        </is>
      </c>
      <c r="I344" s="48" t="n"/>
      <c r="J344" s="62" t="n"/>
      <c r="K344" s="62" t="inlineStr">
        <is>
          <t>No biome lens was assigned because it operated through national energy policy advocacy rather than biome-delimited initiatives.</t>
        </is>
      </c>
      <c r="L344" s="62" t="inlineStr">
        <is>
          <t>Policy influence / regulation, Convenor/enablers</t>
        </is>
      </c>
      <c r="M344" s="61" t="inlineStr">
        <is>
          <t>Upstream</t>
        </is>
      </c>
      <c r="N344" s="61" t="inlineStr">
        <is>
          <t>Grant recipient</t>
        </is>
      </c>
      <c r="O344" s="61" t="inlineStr">
        <is>
          <t>Brasília, DF, Brazil</t>
        </is>
      </c>
      <c r="P344" s="61" t="inlineStr">
        <is>
          <t>Grantee</t>
        </is>
      </c>
      <c r="Q344" s="61" t="n"/>
      <c r="R344" s="61" t="n"/>
      <c r="S344" s="61" t="n"/>
      <c r="T344" s="61" t="inlineStr">
        <is>
          <t>—</t>
        </is>
      </c>
      <c r="U344" s="67" t="n"/>
      <c r="V344" s="67" t="n"/>
      <c r="W344" s="67" t="n"/>
      <c r="X344" s="67" t="n"/>
      <c r="Y344" s="67" t="n"/>
      <c r="Z344" s="67" t="n"/>
      <c r="AA344" s="67" t="n"/>
      <c r="AB344" s="67" t="n"/>
      <c r="AC344" s="67" t="n"/>
      <c r="AD344" s="67" t="n"/>
      <c r="AE344" s="67" t="n"/>
      <c r="AF344" s="67" t="n"/>
    </row>
    <row r="345">
      <c r="A345" s="67" t="n"/>
      <c r="B345" s="47" t="n">
        <v>339</v>
      </c>
      <c r="C345" s="44" t="inlineStr">
        <is>
          <t>União Nacional de Catadoras e Catadores (Unicatadores)</t>
        </is>
      </c>
      <c r="D345" s="44" t="inlineStr">
        <is>
          <t>Others</t>
        </is>
      </c>
      <c r="E345" s="62" t="inlineStr">
        <is>
          <t>Grassroots networks</t>
        </is>
      </c>
      <c r="F345" s="44" t="inlineStr">
        <is>
          <t>National union/network of waste picker cooperatives; supports transition through circular economy inclusion, improved livelihoods and advocacy for fair waste management systems in cities.</t>
        </is>
      </c>
      <c r="G345" s="46" t="inlineStr">
        <is>
          <t>National</t>
        </is>
      </c>
      <c r="H345" s="47" t="inlineStr">
        <is>
          <t>Buildings &amp; Transport</t>
        </is>
      </c>
      <c r="I345" s="48" t="n"/>
      <c r="J345" s="62" t="n"/>
      <c r="K345" s="62" t="inlineStr">
        <is>
          <t>No biome lens was assigned because it operated in urban waste systems across municipalities rather than biome-delimited territories.</t>
        </is>
      </c>
      <c r="L345" s="62" t="inlineStr">
        <is>
          <t>Implementation capacity (delivery), Community legitimacy / proximate leadership</t>
        </is>
      </c>
      <c r="M345" s="61" t="inlineStr">
        <is>
          <t>Downstream</t>
        </is>
      </c>
      <c r="N345" s="61" t="inlineStr">
        <is>
          <t>Grant recipient</t>
        </is>
      </c>
      <c r="O345" s="61" t="inlineStr">
        <is>
          <t>São Paulo, SP, Brazil</t>
        </is>
      </c>
      <c r="P345" s="61" t="inlineStr">
        <is>
          <t>Grantee</t>
        </is>
      </c>
      <c r="Q345" s="61" t="n"/>
      <c r="R345" s="61" t="n"/>
      <c r="S345" s="61" t="n"/>
      <c r="T345" s="61" t="inlineStr">
        <is>
          <t>—</t>
        </is>
      </c>
      <c r="U345" s="67" t="n"/>
      <c r="V345" s="67" t="n"/>
      <c r="W345" s="67" t="n"/>
      <c r="X345" s="67" t="n"/>
      <c r="Y345" s="67" t="n"/>
      <c r="Z345" s="67" t="n"/>
      <c r="AA345" s="67" t="n"/>
      <c r="AB345" s="67" t="n"/>
      <c r="AC345" s="67" t="n"/>
      <c r="AD345" s="67" t="n"/>
      <c r="AE345" s="67" t="n"/>
      <c r="AF345" s="67" t="n"/>
    </row>
    <row r="346">
      <c r="A346" s="67" t="n"/>
      <c r="B346" s="47" t="n">
        <v>340</v>
      </c>
      <c r="C346" s="44" t="inlineStr">
        <is>
          <t>Confederação Nacional da Indústria (CNI)</t>
        </is>
      </c>
      <c r="D346" s="44" t="inlineStr">
        <is>
          <t>Private sector</t>
        </is>
      </c>
      <c r="E346" s="62" t="inlineStr">
        <is>
          <t>Industry platforms and sectoral initiatives</t>
        </is>
      </c>
      <c r="F346" s="44" t="inlineStr">
        <is>
          <t>Brazil’s peak industry confederation representing industrial federations and sectoral associations; convenes private-sector stakeholders and engages in policy advocacy, technical studies, and programs on competitiveness, innovation, energy/industrial transition, infrastructure and logistics, and sustainable production.</t>
        </is>
      </c>
      <c r="G346" s="46" t="inlineStr">
        <is>
          <t>National</t>
        </is>
      </c>
      <c r="H346" s="47" t="inlineStr">
        <is>
          <t>Buildings &amp; Transport, Energy, "Land, Food and Forest"</t>
        </is>
      </c>
      <c r="I346" s="48" t="n"/>
      <c r="J346" s="62" t="n"/>
      <c r="K346" s="62" t="inlineStr">
        <is>
          <t>No biome lens was assigned because it acted through national industrial policy and sector coordination without biome-delimited implementation in this mapping.</t>
        </is>
      </c>
      <c r="L346" s="62" t="inlineStr">
        <is>
          <t>Policy influence / regulation, Convenor/enablers</t>
        </is>
      </c>
      <c r="M346" s="61" t="inlineStr">
        <is>
          <t>Upstream</t>
        </is>
      </c>
      <c r="N346" s="61" t="inlineStr">
        <is>
          <t>Strategic partner</t>
        </is>
      </c>
      <c r="O346" s="61" t="inlineStr">
        <is>
          <t>Brasília, DF, Brazil</t>
        </is>
      </c>
      <c r="P346" s="61" t="inlineStr">
        <is>
          <t>Grantee</t>
        </is>
      </c>
      <c r="Q346" s="61" t="n"/>
      <c r="R346" s="61" t="n"/>
      <c r="S346" s="61" t="n"/>
      <c r="T346" s="61" t="inlineStr">
        <is>
          <t>—</t>
        </is>
      </c>
      <c r="U346" s="67" t="n"/>
      <c r="V346" s="67" t="n"/>
      <c r="W346" s="67" t="n"/>
      <c r="X346" s="67" t="n"/>
      <c r="Y346" s="67" t="n"/>
      <c r="Z346" s="67" t="n"/>
      <c r="AA346" s="67" t="n"/>
      <c r="AB346" s="67" t="n"/>
      <c r="AC346" s="67" t="n"/>
      <c r="AD346" s="67" t="n"/>
      <c r="AE346" s="67" t="n"/>
      <c r="AF346" s="67" t="n"/>
    </row>
    <row r="347">
      <c r="A347" s="67" t="n"/>
      <c r="B347" s="47" t="n">
        <v>341</v>
      </c>
      <c r="C347" s="44" t="inlineStr">
        <is>
          <t>Petrobras</t>
        </is>
      </c>
      <c r="D347" s="44" t="inlineStr">
        <is>
          <t>Public sector</t>
        </is>
      </c>
      <c r="E347" s="62" t="inlineStr">
        <is>
          <t>Industry platforms and sectoral initiatives</t>
        </is>
      </c>
      <c r="F347" s="44" t="inlineStr">
        <is>
          <t>Brazilian state-controlled energy company focused on oil &amp; gas production, refining and energy supply; relevant to the climate/energy transition through its decarbonization agenda and influence on Brazil’s energy system.</t>
        </is>
      </c>
      <c r="G347" s="46" t="inlineStr">
        <is>
          <t>National</t>
        </is>
      </c>
      <c r="H347" s="47" t="inlineStr">
        <is>
          <t>Energy</t>
        </is>
      </c>
      <c r="I347" s="70" t="n"/>
      <c r="J347" s="62" t="n"/>
      <c r="K347" s="62" t="inlineStr">
        <is>
          <t>No biome lens was assigned because the company operates nationwide/offshore and the mapping did not isolate a stable biome-specific operational portfolio.</t>
        </is>
      </c>
      <c r="L347" s="62" t="inlineStr">
        <is>
          <t>Implementation capacity (delivery), Policy influence / regulation</t>
        </is>
      </c>
      <c r="M347" s="61" t="inlineStr">
        <is>
          <t>Upstream</t>
        </is>
      </c>
      <c r="N347" s="61" t="inlineStr">
        <is>
          <t>Strategic partner</t>
        </is>
      </c>
      <c r="O347" s="61" t="inlineStr">
        <is>
          <t>Rio de Janeiro, RJ, Brazil</t>
        </is>
      </c>
      <c r="P347" s="61" t="inlineStr">
        <is>
          <t>Donor</t>
        </is>
      </c>
      <c r="Q347" s="61" t="n"/>
      <c r="R347" s="61" t="n"/>
      <c r="S347" s="61" t="n"/>
      <c r="T347" s="61" t="inlineStr">
        <is>
          <t>—</t>
        </is>
      </c>
      <c r="U347" s="67" t="n"/>
      <c r="V347" s="67" t="n"/>
      <c r="W347" s="67" t="n"/>
      <c r="X347" s="67" t="n"/>
      <c r="Y347" s="67" t="n"/>
      <c r="Z347" s="67" t="n"/>
      <c r="AA347" s="67" t="n"/>
      <c r="AB347" s="67" t="n"/>
      <c r="AC347" s="67" t="n"/>
      <c r="AD347" s="67" t="n"/>
      <c r="AE347" s="67" t="n"/>
      <c r="AF347" s="67" t="n"/>
    </row>
    <row r="348">
      <c r="A348" s="67" t="n"/>
      <c r="B348" s="47" t="n">
        <v>342</v>
      </c>
      <c r="C348" s="44" t="inlineStr">
        <is>
          <t>Eletrobrás</t>
        </is>
      </c>
      <c r="D348" s="44" t="inlineStr">
        <is>
          <t>Public sector</t>
        </is>
      </c>
      <c r="E348" s="62" t="inlineStr">
        <is>
          <t>Industry platforms and sectoral initiatives</t>
        </is>
      </c>
      <c r="F348" s="44" t="inlineStr">
        <is>
          <t>Brazilian electric power company with major generation and transmission assets; central to Brazil’s power system and energy transition. (The group announced a corporate rebranding to “Axia Energia” effective 10/11/2025 (segunda-feira).)</t>
        </is>
      </c>
      <c r="G348" s="46" t="inlineStr">
        <is>
          <t>National</t>
        </is>
      </c>
      <c r="H348" s="47" t="inlineStr">
        <is>
          <t>Energy</t>
        </is>
      </c>
      <c r="I348" s="70" t="n"/>
      <c r="J348" s="62" t="n"/>
      <c r="K348" s="62" t="inlineStr">
        <is>
          <t>No biome lens was assigned because operations are nationwide and the mapping did not isolate a stable biome-specific operational portfolio.</t>
        </is>
      </c>
      <c r="L348" s="62" t="inlineStr">
        <is>
          <t>Implementation capacity (delivery), Policy influence / regulation</t>
        </is>
      </c>
      <c r="M348" s="61" t="inlineStr">
        <is>
          <t>Midstream</t>
        </is>
      </c>
      <c r="N348" s="61" t="inlineStr">
        <is>
          <t>Strategic partner</t>
        </is>
      </c>
      <c r="O348" s="61" t="inlineStr">
        <is>
          <t>Rio de Janeiro, RJ, Brazil</t>
        </is>
      </c>
      <c r="P348" s="61" t="inlineStr">
        <is>
          <t>Donor</t>
        </is>
      </c>
      <c r="Q348" s="61" t="n"/>
      <c r="R348" s="61" t="n"/>
      <c r="S348" s="61" t="n"/>
      <c r="T348" s="61" t="inlineStr">
        <is>
          <t>—</t>
        </is>
      </c>
      <c r="U348" s="67" t="n"/>
      <c r="V348" s="67" t="n"/>
      <c r="W348" s="67" t="n"/>
      <c r="X348" s="67" t="n"/>
      <c r="Y348" s="67" t="n"/>
      <c r="Z348" s="67" t="n"/>
      <c r="AA348" s="67" t="n"/>
      <c r="AB348" s="67" t="n"/>
      <c r="AC348" s="67" t="n"/>
      <c r="AD348" s="67" t="n"/>
      <c r="AE348" s="67" t="n"/>
      <c r="AF348" s="67" t="n"/>
    </row>
    <row r="349">
      <c r="A349" s="67" t="n"/>
      <c r="B349" s="47" t="n">
        <v>343</v>
      </c>
      <c r="C349" s="44" t="inlineStr">
        <is>
          <t>Vox Capital</t>
        </is>
      </c>
      <c r="D349" s="44" t="inlineStr">
        <is>
          <t>Private sector</t>
        </is>
      </c>
      <c r="E349" s="62" t="inlineStr">
        <is>
          <t>Impact investors</t>
        </is>
      </c>
      <c r="F349" s="44" t="inlineStr">
        <is>
          <t>Brazilian impact investment manager/VC investing in scalable businesses with measurable social and environmental impact.</t>
        </is>
      </c>
      <c r="G349" s="46" t="inlineStr">
        <is>
          <t>National</t>
        </is>
      </c>
      <c r="H349" s="47" t="inlineStr">
        <is>
          <t>Energy, "Land, Food and Forest"</t>
        </is>
      </c>
      <c r="I349" s="70" t="n"/>
      <c r="J349" s="62" t="n"/>
      <c r="K349" s="62" t="inlineStr">
        <is>
          <t>No biome lens was assigned because the investment portfolio is multi-sector and not restricted to a single biome.</t>
        </is>
      </c>
      <c r="L349" s="62" t="inlineStr">
        <is>
          <t>Capital provider / Financial intermediary</t>
        </is>
      </c>
      <c r="M349" s="61" t="inlineStr">
        <is>
          <t>Upstream</t>
        </is>
      </c>
      <c r="N349" s="61" t="inlineStr">
        <is>
          <t>Blended finance partner</t>
        </is>
      </c>
      <c r="O349" s="61" t="inlineStr">
        <is>
          <t>São Paulo, SP, Brazil</t>
        </is>
      </c>
      <c r="P349" s="61" t="inlineStr">
        <is>
          <t>Re-granter</t>
        </is>
      </c>
      <c r="Q349" s="61" t="n"/>
      <c r="R349" s="61" t="n"/>
      <c r="S349" s="61" t="n"/>
      <c r="T349" s="61" t="inlineStr">
        <is>
          <t>—</t>
        </is>
      </c>
      <c r="U349" s="67" t="n"/>
      <c r="V349" s="67" t="n"/>
      <c r="W349" s="67" t="n"/>
      <c r="X349" s="67" t="n"/>
      <c r="Y349" s="67" t="n"/>
      <c r="Z349" s="67" t="n"/>
      <c r="AA349" s="67" t="n"/>
      <c r="AB349" s="67" t="n"/>
      <c r="AC349" s="67" t="n"/>
      <c r="AD349" s="67" t="n"/>
      <c r="AE349" s="67" t="n"/>
      <c r="AF349" s="67" t="n"/>
    </row>
    <row r="350">
      <c r="A350" s="67" t="n"/>
      <c r="B350" s="47" t="n">
        <v>344</v>
      </c>
      <c r="C350" s="44" t="inlineStr">
        <is>
          <t>Meraki Impact</t>
        </is>
      </c>
      <c r="D350" s="44" t="inlineStr">
        <is>
          <t>Funders</t>
        </is>
      </c>
      <c r="E350" s="62" t="inlineStr">
        <is>
          <t>Impact investors</t>
        </is>
      </c>
      <c r="F350" s="44" t="inlineStr">
        <is>
          <t>Impact-first investor providing catalytic capital for regenerative food systems and nature-positive solutions (with operations in Brazil).</t>
        </is>
      </c>
      <c r="G350" s="46" t="inlineStr">
        <is>
          <t>Cross-border / international</t>
        </is>
      </c>
      <c r="H350" s="47" t="inlineStr">
        <is>
          <t>"Land, Food and Forest"</t>
        </is>
      </c>
      <c r="I350" s="70" t="n"/>
      <c r="J350" s="62" t="n"/>
      <c r="K350" s="62" t="inlineStr">
        <is>
          <t>No biome lens was assigned because the investment focus is thematic (regenerative food systems) and multi-geography.</t>
        </is>
      </c>
      <c r="L350" s="62" t="inlineStr">
        <is>
          <t>Capital provider / Financial intermediary</t>
        </is>
      </c>
      <c r="M350" s="61" t="inlineStr">
        <is>
          <t>Upstream</t>
        </is>
      </c>
      <c r="N350" s="61" t="inlineStr">
        <is>
          <t>Blended finance partner</t>
        </is>
      </c>
      <c r="O350" s="61" t="inlineStr">
        <is>
          <t>São Paulo, SP, Brazil</t>
        </is>
      </c>
      <c r="P350" s="61" t="inlineStr">
        <is>
          <t>Re-granter</t>
        </is>
      </c>
      <c r="Q350" s="61" t="n"/>
      <c r="R350" s="61" t="n"/>
      <c r="S350" s="61" t="n"/>
      <c r="T350" s="61" t="inlineStr">
        <is>
          <t>—</t>
        </is>
      </c>
      <c r="U350" s="67" t="n"/>
      <c r="V350" s="67" t="n"/>
      <c r="W350" s="67" t="n"/>
      <c r="X350" s="67" t="n"/>
      <c r="Y350" s="67" t="n"/>
      <c r="Z350" s="67" t="n"/>
      <c r="AA350" s="67" t="n"/>
      <c r="AB350" s="67" t="n"/>
      <c r="AC350" s="67" t="n"/>
      <c r="AD350" s="67" t="n"/>
      <c r="AE350" s="67" t="n"/>
      <c r="AF350" s="67" t="n"/>
    </row>
    <row r="351">
      <c r="A351" s="67" t="n"/>
      <c r="B351" s="47" t="n">
        <v>345</v>
      </c>
      <c r="C351" s="44" t="inlineStr">
        <is>
          <t>Fundo Vale</t>
        </is>
      </c>
      <c r="D351" s="44" t="inlineStr">
        <is>
          <t>Funders</t>
        </is>
      </c>
      <c r="E351" s="62" t="inlineStr">
        <is>
          <t>Philanthropy foundations</t>
        </is>
      </c>
      <c r="F351" s="44" t="inlineStr">
        <is>
          <t>Socio-environmental fund linked to Vale that supports initiatives for conservation, restoration and sustainable development (including the Amazon and other priority territories).</t>
        </is>
      </c>
      <c r="G351" s="46" t="inlineStr">
        <is>
          <t>National</t>
        </is>
      </c>
      <c r="H351" s="47" t="inlineStr">
        <is>
          <t>"Land, Food and Forest"</t>
        </is>
      </c>
      <c r="I351" s="48" t="inlineStr">
        <is>
          <t>Amazonia</t>
        </is>
      </c>
      <c r="J351" s="62" t="inlineStr">
        <is>
          <t>Mata&amp;Atlântica</t>
        </is>
      </c>
      <c r="K351" s="62" t="inlineStr">
        <is>
          <t>Portfolio includes conservation and sustainable development initiatives in priority biomes, especially Amazonia and Atlantic Forest.</t>
        </is>
      </c>
      <c r="L351" s="62" t="inlineStr">
        <is>
          <t>Funder, Project developer / Implementer</t>
        </is>
      </c>
      <c r="M351" s="61" t="inlineStr">
        <is>
          <t>Upstream</t>
        </is>
      </c>
      <c r="N351" s="61" t="inlineStr">
        <is>
          <t>Co-funding partner</t>
        </is>
      </c>
      <c r="O351" s="61" t="inlineStr">
        <is>
          <t>Rio de Janeiro, RJ, Brazil</t>
        </is>
      </c>
      <c r="P351" s="61" t="inlineStr">
        <is>
          <t>Donor</t>
        </is>
      </c>
      <c r="Q351" s="61" t="n"/>
      <c r="R351" s="61" t="n"/>
      <c r="S351" s="61" t="n"/>
      <c r="T351" s="61" t="inlineStr">
        <is>
          <t>—</t>
        </is>
      </c>
      <c r="U351" s="67" t="n"/>
      <c r="V351" s="67" t="n"/>
      <c r="W351" s="67" t="n"/>
      <c r="X351" s="67" t="n"/>
      <c r="Y351" s="67" t="n"/>
      <c r="Z351" s="67" t="n"/>
      <c r="AA351" s="67" t="n"/>
      <c r="AB351" s="67" t="n"/>
      <c r="AC351" s="67" t="n"/>
      <c r="AD351" s="67" t="n"/>
      <c r="AE351" s="67" t="n"/>
      <c r="AF351" s="67" t="n"/>
    </row>
    <row r="352">
      <c r="A352" s="67" t="n"/>
      <c r="B352" s="47" t="n">
        <v>346</v>
      </c>
      <c r="C352" s="44" t="inlineStr">
        <is>
          <t>Instituto Natura</t>
        </is>
      </c>
      <c r="D352" s="44" t="inlineStr">
        <is>
          <t>Civil Society Organization (CSO)</t>
        </is>
      </c>
      <c r="E352" s="62" t="inlineStr">
        <is>
          <t>Philanthropy foundations</t>
        </is>
      </c>
      <c r="F352" s="44" t="inlineStr">
        <is>
          <t>Institute created by Natura focused on improving public education and strengthening learning outcomes (social resilience and equity).</t>
        </is>
      </c>
      <c r="G352" s="46" t="inlineStr">
        <is>
          <t>National</t>
        </is>
      </c>
      <c r="H352" s="47" t="inlineStr">
        <is>
          <t>Emergency response</t>
        </is>
      </c>
      <c r="I352" s="70" t="n"/>
      <c r="J352" s="62" t="n"/>
      <c r="K352" s="62" t="inlineStr">
        <is>
          <t>No biome lens was assigned because the institute’s mission is social/education-focused rather than biome-specific.</t>
        </is>
      </c>
      <c r="L352" s="62" t="inlineStr">
        <is>
          <t>Funder, Implementation capacity (delivery)</t>
        </is>
      </c>
      <c r="M352" s="61" t="inlineStr">
        <is>
          <t>Downstream</t>
        </is>
      </c>
      <c r="N352" s="61" t="inlineStr">
        <is>
          <t>Capacity building partner</t>
        </is>
      </c>
      <c r="O352" s="61" t="inlineStr">
        <is>
          <t>São Paulo, SP, Brazil</t>
        </is>
      </c>
      <c r="P352" s="61" t="inlineStr">
        <is>
          <t>Donor</t>
        </is>
      </c>
      <c r="Q352" s="61" t="n"/>
      <c r="R352" s="61" t="n"/>
      <c r="S352" s="61" t="n"/>
      <c r="T352" s="61" t="inlineStr">
        <is>
          <t>—</t>
        </is>
      </c>
      <c r="U352" s="67" t="n"/>
      <c r="V352" s="67" t="n"/>
      <c r="W352" s="67" t="n"/>
      <c r="X352" s="67" t="n"/>
      <c r="Y352" s="67" t="n"/>
      <c r="Z352" s="67" t="n"/>
      <c r="AA352" s="67" t="n"/>
      <c r="AB352" s="67" t="n"/>
      <c r="AC352" s="67" t="n"/>
      <c r="AD352" s="67" t="n"/>
      <c r="AE352" s="67" t="n"/>
      <c r="AF352" s="67" t="n"/>
    </row>
    <row r="353">
      <c r="A353" s="67" t="n"/>
      <c r="B353" s="47" t="n">
        <v>347</v>
      </c>
      <c r="C353" s="44" t="inlineStr">
        <is>
          <t>Amazon Investor Coalition</t>
        </is>
      </c>
      <c r="D353" s="44" t="inlineStr">
        <is>
          <t>Civil Society Organization (CSO)</t>
        </is>
      </c>
      <c r="E353" s="62" t="inlineStr">
        <is>
          <t>Monitoring, Evaluation, and Learning</t>
        </is>
      </c>
      <c r="F353" s="44" t="inlineStr">
        <is>
          <t>Nonprofit investor coalition that connects philanthropies, investors, corporate buyers and allies to reduce deforestation and strengthen a forest-positive bioeconomy across the Amazon region.</t>
        </is>
      </c>
      <c r="G353" s="46" t="inlineStr">
        <is>
          <t>Cross-border / international</t>
        </is>
      </c>
      <c r="H353" s="47" t="inlineStr">
        <is>
          <t>"Land, Food and Forest"</t>
        </is>
      </c>
      <c r="I353" s="48" t="inlineStr">
        <is>
          <t>Amazonia</t>
        </is>
      </c>
      <c r="J353" s="62" t="n"/>
      <c r="K353" s="62" t="inlineStr">
        <is>
          <t>Explicit focus on reducing deforestation and advancing bioeconomy solutions across the Amazon region.</t>
        </is>
      </c>
      <c r="L353" s="62" t="inlineStr">
        <is>
          <t>Convenor/enablers, Data / MRV / platforms</t>
        </is>
      </c>
      <c r="M353" s="61" t="inlineStr">
        <is>
          <t>Midstream</t>
        </is>
      </c>
      <c r="N353" s="61" t="inlineStr">
        <is>
          <t>Strategic partner</t>
        </is>
      </c>
      <c r="O353" s="61" t="inlineStr">
        <is>
          <t>Global (virtual coalition)</t>
        </is>
      </c>
      <c r="P353" s="61" t="inlineStr">
        <is>
          <t>Re-granter</t>
        </is>
      </c>
      <c r="Q353" s="61" t="n"/>
      <c r="R353" s="61" t="n"/>
      <c r="S353" s="61" t="n"/>
      <c r="T353" s="62" t="inlineStr">
        <is>
          <t>Deforestation and bioeconomy outcome monitoring, data for investor accountability in the Amazon</t>
        </is>
      </c>
      <c r="U353" s="67" t="n"/>
      <c r="V353" s="67" t="n"/>
      <c r="W353" s="67" t="n"/>
      <c r="X353" s="67" t="n"/>
      <c r="Y353" s="67" t="n"/>
      <c r="Z353" s="67" t="n"/>
      <c r="AA353" s="67" t="n"/>
      <c r="AB353" s="67" t="n"/>
      <c r="AC353" s="67" t="n"/>
      <c r="AD353" s="67" t="n"/>
      <c r="AE353" s="67" t="n"/>
      <c r="AF353" s="67" t="n"/>
    </row>
    <row r="354">
      <c r="A354" s="67" t="n"/>
      <c r="B354" s="47" t="n">
        <v>348</v>
      </c>
      <c r="C354" s="44" t="inlineStr">
        <is>
          <t>Fundo pela Amazônia</t>
        </is>
      </c>
      <c r="D354" s="44" t="inlineStr">
        <is>
          <t>Funders</t>
        </is>
      </c>
      <c r="E354" s="62" t="inlineStr">
        <is>
          <t>Philanthropy foundations</t>
        </is>
      </c>
      <c r="F354" s="44" t="inlineStr">
        <is>
          <t>Philanthropic fund created by JBS (“Fundo Pela Amazônia”) to support projects for conservation and sustainable development in the Amazon.</t>
        </is>
      </c>
      <c r="G354" s="46" t="inlineStr">
        <is>
          <t>Regional</t>
        </is>
      </c>
      <c r="H354" s="47" t="inlineStr">
        <is>
          <t>"Land, Food and Forest"</t>
        </is>
      </c>
      <c r="I354" s="48" t="inlineStr">
        <is>
          <t>Amazonia</t>
        </is>
      </c>
      <c r="J354" s="62" t="n"/>
      <c r="K354" s="62" t="inlineStr">
        <is>
          <t>Explicit Amazon focus through project funding dedicated to the biome and its peoples/territories.</t>
        </is>
      </c>
      <c r="L354" s="62" t="inlineStr">
        <is>
          <t>Funder</t>
        </is>
      </c>
      <c r="M354" s="61" t="inlineStr">
        <is>
          <t>Upstream</t>
        </is>
      </c>
      <c r="N354" s="61" t="inlineStr">
        <is>
          <t>Co-funding partner</t>
        </is>
      </c>
      <c r="O354" s="61" t="inlineStr">
        <is>
          <t>São Paulo, SP, Brazil</t>
        </is>
      </c>
      <c r="P354" s="61" t="inlineStr">
        <is>
          <t>Donor</t>
        </is>
      </c>
      <c r="Q354" s="61" t="n"/>
      <c r="R354" s="61" t="n"/>
      <c r="S354" s="61" t="n"/>
      <c r="T354" s="61" t="inlineStr">
        <is>
          <t>—</t>
        </is>
      </c>
      <c r="U354" s="67" t="n"/>
      <c r="V354" s="67" t="n"/>
      <c r="W354" s="67" t="n"/>
      <c r="X354" s="67" t="n"/>
      <c r="Y354" s="67" t="n"/>
      <c r="Z354" s="67" t="n"/>
      <c r="AA354" s="67" t="n"/>
      <c r="AB354" s="67" t="n"/>
      <c r="AC354" s="67" t="n"/>
      <c r="AD354" s="67" t="n"/>
      <c r="AE354" s="67" t="n"/>
      <c r="AF354" s="67" t="n"/>
    </row>
    <row r="355">
      <c r="A355" s="67" t="n"/>
      <c r="B355" s="47" t="n">
        <v>349</v>
      </c>
      <c r="C355" s="44" t="inlineStr">
        <is>
          <t>PPA</t>
        </is>
      </c>
      <c r="D355" s="44" t="inlineStr">
        <is>
          <t>Civil Society Organization (CSO)</t>
        </is>
      </c>
      <c r="E355" s="62" t="inlineStr">
        <is>
          <t>Industry platforms and sectoral initiatives</t>
        </is>
      </c>
      <c r="F355" s="44" t="inlineStr">
        <is>
          <t>Multi-stakeholder platform (“Parceiros pela Amazônia”) that articulates partnerships and support to strengthen sustainable development and forest-positive solutions in the Amazon.</t>
        </is>
      </c>
      <c r="G355" s="46" t="inlineStr">
        <is>
          <t>Regional</t>
        </is>
      </c>
      <c r="H355" s="47" t="inlineStr">
        <is>
          <t>"Land, Food and Forest"</t>
        </is>
      </c>
      <c r="I355" s="48" t="inlineStr">
        <is>
          <t>Amazonia</t>
        </is>
      </c>
      <c r="J355" s="62" t="n"/>
      <c r="K355" s="62" t="inlineStr">
        <is>
          <t>Platform explicitly centered on the Amazon and partnership building for sustainable territorial development.</t>
        </is>
      </c>
      <c r="L355" s="62" t="inlineStr">
        <is>
          <t>Convenor/enablers, Territorial anchor</t>
        </is>
      </c>
      <c r="M355" s="61" t="inlineStr">
        <is>
          <t>Midstream</t>
        </is>
      </c>
      <c r="N355" s="61" t="inlineStr">
        <is>
          <t>Strategic partner</t>
        </is>
      </c>
      <c r="O355" s="61" t="inlineStr">
        <is>
          <t>Belém, PA, Brazil</t>
        </is>
      </c>
      <c r="P355" s="61" t="inlineStr">
        <is>
          <t>Re-granter</t>
        </is>
      </c>
      <c r="Q355" s="61" t="n"/>
      <c r="R355" s="61" t="n"/>
      <c r="S355" s="61" t="n"/>
      <c r="T355" s="61" t="inlineStr">
        <is>
          <t>—</t>
        </is>
      </c>
      <c r="U355" s="67" t="n"/>
      <c r="V355" s="67" t="n"/>
      <c r="W355" s="67" t="n"/>
      <c r="X355" s="67" t="n"/>
      <c r="Y355" s="67" t="n"/>
      <c r="Z355" s="67" t="n"/>
      <c r="AA355" s="67" t="n"/>
      <c r="AB355" s="67" t="n"/>
      <c r="AC355" s="67" t="n"/>
      <c r="AD355" s="67" t="n"/>
      <c r="AE355" s="67" t="n"/>
      <c r="AF355" s="67" t="n"/>
    </row>
    <row r="356">
      <c r="A356" s="67" t="n"/>
      <c r="B356" s="47" t="n">
        <v>350</v>
      </c>
      <c r="C356" s="44" t="inlineStr">
        <is>
          <t>Biofilica</t>
        </is>
      </c>
      <c r="D356" s="44" t="inlineStr">
        <is>
          <t>Private sector</t>
        </is>
      </c>
      <c r="E356" s="62" t="inlineStr">
        <is>
          <t>Private companies (large / leading)</t>
        </is>
      </c>
      <c r="F356" s="44" t="inlineStr">
        <is>
          <t>Brazilian company specialized in nature-based solutions and carbon markets (e.g., forest conservation and restoration projects).</t>
        </is>
      </c>
      <c r="G356" s="46" t="inlineStr">
        <is>
          <t>National</t>
        </is>
      </c>
      <c r="H356" s="47" t="inlineStr">
        <is>
          <t>"Land, Food and Forest"</t>
        </is>
      </c>
      <c r="I356" s="48" t="inlineStr">
        <is>
          <t>Amazonia</t>
        </is>
      </c>
      <c r="J356" s="62" t="inlineStr">
        <is>
          <t>Mata&amp;Atlântica</t>
        </is>
      </c>
      <c r="K356" s="62" t="inlineStr">
        <is>
          <t>Operational footprint linked to forest conservation/restoration and carbon projects, notably in Amazonia and Atlantic Forest contexts.</t>
        </is>
      </c>
      <c r="L356" s="62" t="inlineStr">
        <is>
          <t>Project developer / Implementer, Capital provider / Financial intermediary</t>
        </is>
      </c>
      <c r="M356" s="61" t="inlineStr">
        <is>
          <t>Downstream</t>
        </is>
      </c>
      <c r="N356" s="61" t="inlineStr">
        <is>
          <t>Implementing partner</t>
        </is>
      </c>
      <c r="O356" s="61" t="inlineStr">
        <is>
          <t>São Paulo, SP, Brazil</t>
        </is>
      </c>
      <c r="P356" s="61" t="inlineStr">
        <is>
          <t>Donor</t>
        </is>
      </c>
      <c r="Q356" s="61" t="n"/>
      <c r="R356" s="61" t="n"/>
      <c r="S356" s="61" t="n"/>
      <c r="T356" s="61" t="inlineStr">
        <is>
          <t>—</t>
        </is>
      </c>
      <c r="U356" s="67" t="n"/>
      <c r="V356" s="67" t="n"/>
      <c r="W356" s="67" t="n"/>
      <c r="X356" s="67" t="n"/>
      <c r="Y356" s="67" t="n"/>
      <c r="Z356" s="67" t="n"/>
      <c r="AA356" s="67" t="n"/>
      <c r="AB356" s="67" t="n"/>
      <c r="AC356" s="67" t="n"/>
      <c r="AD356" s="67" t="n"/>
      <c r="AE356" s="67" t="n"/>
      <c r="AF356" s="67" t="n"/>
    </row>
    <row r="357">
      <c r="A357" s="67" t="n"/>
      <c r="B357" s="47" t="n">
        <v>351</v>
      </c>
      <c r="C357" s="44" t="inlineStr">
        <is>
          <t>Engajamundo</t>
        </is>
      </c>
      <c r="D357" s="44" t="inlineStr">
        <is>
          <t>Civil Society Organization (CSO)</t>
        </is>
      </c>
      <c r="E357" s="62" t="inlineStr">
        <is>
          <t>Grassroots networks</t>
        </is>
      </c>
      <c r="F357" s="44" t="inlineStr">
        <is>
          <t>Brazilian youth-led organization focused on climate advocacy, participation in international processes and mobilization for socio-environmental justice.</t>
        </is>
      </c>
      <c r="G357" s="46" t="inlineStr">
        <is>
          <t>National</t>
        </is>
      </c>
      <c r="H357" s="47" t="inlineStr">
        <is>
          <t>Emergency response</t>
        </is>
      </c>
      <c r="I357" s="70" t="n"/>
      <c r="J357" s="62" t="n"/>
      <c r="K357" s="62" t="inlineStr">
        <is>
          <t>No biome lens was assigned because the organization’s work is advocacy/mobilization across agendas and territories.</t>
        </is>
      </c>
      <c r="L357" s="62" t="inlineStr">
        <is>
          <t>Community legitimacy / proximate leadership, Policy influence / regulation</t>
        </is>
      </c>
      <c r="M357" s="61" t="inlineStr">
        <is>
          <t>Downstream</t>
        </is>
      </c>
      <c r="N357" s="61" t="inlineStr">
        <is>
          <t>Grant recipient</t>
        </is>
      </c>
      <c r="O357" s="61" t="inlineStr">
        <is>
          <t>São Paulo, SP, Brazil</t>
        </is>
      </c>
      <c r="P357" s="61" t="inlineStr">
        <is>
          <t>Grantee</t>
        </is>
      </c>
      <c r="Q357" s="61" t="n"/>
      <c r="R357" s="61" t="n"/>
      <c r="S357" s="61" t="n"/>
      <c r="T357" s="61" t="inlineStr">
        <is>
          <t>—</t>
        </is>
      </c>
      <c r="U357" s="67" t="n"/>
      <c r="V357" s="67" t="n"/>
      <c r="W357" s="67" t="n"/>
      <c r="X357" s="67" t="n"/>
      <c r="Y357" s="67" t="n"/>
      <c r="Z357" s="67" t="n"/>
      <c r="AA357" s="67" t="n"/>
      <c r="AB357" s="67" t="n"/>
      <c r="AC357" s="67" t="n"/>
      <c r="AD357" s="67" t="n"/>
      <c r="AE357" s="67" t="n"/>
      <c r="AF357" s="67" t="n"/>
    </row>
    <row r="358">
      <c r="A358" s="67" t="n"/>
      <c r="B358" s="47" t="n">
        <v>352</v>
      </c>
      <c r="C358" s="44" t="inlineStr">
        <is>
          <t>Youth Climate Leaders</t>
        </is>
      </c>
      <c r="D358" s="44" t="inlineStr">
        <is>
          <t>Civil Society Organization (CSO)</t>
        </is>
      </c>
      <c r="E358" s="62" t="inlineStr">
        <is>
          <t>Grassroots networks</t>
        </is>
      </c>
      <c r="F358" s="44" t="inlineStr">
        <is>
          <t>Youth network/program supporting climate leadership, community engagement and advocacy for climate action (Brazil/LatAm focus).</t>
        </is>
      </c>
      <c r="G358" s="46" t="inlineStr">
        <is>
          <t>Cross-border / international</t>
        </is>
      </c>
      <c r="H358" s="47" t="inlineStr">
        <is>
          <t>Emergency response</t>
        </is>
      </c>
      <c r="I358" s="70" t="n"/>
      <c r="J358" s="62" t="n"/>
      <c r="K358" s="62" t="inlineStr">
        <is>
          <t>No biome lens was assigned because activities are network-based and multi-territory.</t>
        </is>
      </c>
      <c r="L358" s="62" t="inlineStr">
        <is>
          <t>Community legitimacy / proximate leadership, Convenor/enablers</t>
        </is>
      </c>
      <c r="M358" s="61" t="inlineStr">
        <is>
          <t>Downstream</t>
        </is>
      </c>
      <c r="N358" s="61" t="inlineStr">
        <is>
          <t>Capacity building partner</t>
        </is>
      </c>
      <c r="O358" s="61" t="inlineStr">
        <is>
          <t>Brazil (multi-city / network)</t>
        </is>
      </c>
      <c r="P358" s="61" t="inlineStr">
        <is>
          <t>Grantee</t>
        </is>
      </c>
      <c r="Q358" s="61" t="n"/>
      <c r="R358" s="61" t="n"/>
      <c r="S358" s="61" t="n"/>
      <c r="T358" s="61" t="inlineStr">
        <is>
          <t>—</t>
        </is>
      </c>
      <c r="U358" s="67" t="n"/>
      <c r="V358" s="67" t="n"/>
      <c r="W358" s="67" t="n"/>
      <c r="X358" s="67" t="n"/>
      <c r="Y358" s="67" t="n"/>
      <c r="Z358" s="67" t="n"/>
      <c r="AA358" s="67" t="n"/>
      <c r="AB358" s="67" t="n"/>
      <c r="AC358" s="67" t="n"/>
      <c r="AD358" s="67" t="n"/>
      <c r="AE358" s="67" t="n"/>
      <c r="AF358" s="67" t="n"/>
    </row>
    <row r="359">
      <c r="A359" s="67" t="n"/>
      <c r="B359" s="47" t="n">
        <v>353</v>
      </c>
      <c r="C359" s="44" t="inlineStr">
        <is>
          <t>Climate Disclosure Project</t>
        </is>
      </c>
      <c r="D359" s="44" t="inlineStr">
        <is>
          <t>Civil Society Organization (CSO)</t>
        </is>
      </c>
      <c r="E359" s="62" t="inlineStr">
        <is>
          <t>Monitoring, Evaluation, and Learning</t>
        </is>
      </c>
      <c r="F359" s="44" t="inlineStr">
        <is>
          <t>Global nonprofit (CDP) that runs a disclosure system for companies, cities and regions to report environmental impacts and climate-related data, supporting transparency and accountability.</t>
        </is>
      </c>
      <c r="G359" s="46" t="inlineStr">
        <is>
          <t>Cross-border / international</t>
        </is>
      </c>
      <c r="H359" s="47" t="inlineStr">
        <is>
          <t>Energy, "Land, Food and Forest"</t>
        </is>
      </c>
      <c r="I359" s="70" t="n"/>
      <c r="J359" s="62" t="n"/>
      <c r="K359" s="62" t="inlineStr">
        <is>
          <t>No biome lens was assigned because CDP’s work is cross-sector and based on disclosure/data systems rather than place-based operations.</t>
        </is>
      </c>
      <c r="L359" s="62" t="inlineStr">
        <is>
          <t>Data / MRV / platforms, Policy influence / regulation</t>
        </is>
      </c>
      <c r="M359" s="61" t="inlineStr">
        <is>
          <t>Midstream</t>
        </is>
      </c>
      <c r="N359" s="61" t="inlineStr">
        <is>
          <t>Strategic partner</t>
        </is>
      </c>
      <c r="O359" s="61" t="inlineStr">
        <is>
          <t>London, UK</t>
        </is>
      </c>
      <c r="P359" s="61" t="inlineStr">
        <is>
          <t>Re-granter</t>
        </is>
      </c>
      <c r="Q359" s="61" t="n"/>
      <c r="R359" s="61" t="n"/>
      <c r="S359" s="61" t="n"/>
      <c r="T359" s="62" t="inlineStr">
        <is>
          <t>Corporate and city climate data disclosure system, GHG reporting and environmental accountability</t>
        </is>
      </c>
      <c r="U359" s="67" t="n"/>
      <c r="V359" s="67" t="n"/>
      <c r="W359" s="67" t="n"/>
      <c r="X359" s="67" t="n"/>
      <c r="Y359" s="67" t="n"/>
      <c r="Z359" s="67" t="n"/>
      <c r="AA359" s="67" t="n"/>
      <c r="AB359" s="67" t="n"/>
      <c r="AC359" s="67" t="n"/>
      <c r="AD359" s="67" t="n"/>
      <c r="AE359" s="67" t="n"/>
      <c r="AF359" s="67" t="n"/>
    </row>
    <row r="360">
      <c r="A360" s="67" t="n"/>
      <c r="B360" s="47" t="n">
        <v>354</v>
      </c>
      <c r="C360" s="44" t="inlineStr">
        <is>
          <t>Tré</t>
        </is>
      </c>
      <c r="D360" s="44" t="inlineStr">
        <is>
          <t>Funders</t>
        </is>
      </c>
      <c r="E360" s="62" t="inlineStr">
        <is>
          <t>Impact investors</t>
        </is>
      </c>
      <c r="F360" s="44" t="inlineStr">
        <is>
          <t>Brazilian impact investing/venture philanthropy initiative (“Trê Investindo em Gente”) supporting social and environmental solutions through capital, governance support and partnerships.</t>
        </is>
      </c>
      <c r="G360" s="46" t="inlineStr">
        <is>
          <t>National</t>
        </is>
      </c>
      <c r="H360" s="47" t="inlineStr">
        <is>
          <t>Emergency response, "Land, Food and Forest"</t>
        </is>
      </c>
      <c r="I360" s="70" t="n"/>
      <c r="J360" s="62" t="n"/>
      <c r="K360" s="62" t="inlineStr">
        <is>
          <t>No biome lens was assigned because the investment/support portfolio is cross-thematic and not restricted to a single biome.</t>
        </is>
      </c>
      <c r="L360" s="62" t="inlineStr">
        <is>
          <t>Capital provider / Financial intermediary, Funder</t>
        </is>
      </c>
      <c r="M360" s="61" t="inlineStr">
        <is>
          <t>Upstream</t>
        </is>
      </c>
      <c r="N360" s="61" t="inlineStr">
        <is>
          <t>Blended finance partner</t>
        </is>
      </c>
      <c r="O360" s="61" t="inlineStr">
        <is>
          <t>São Paulo, SP, Brazil</t>
        </is>
      </c>
      <c r="P360" s="61" t="inlineStr">
        <is>
          <t>Re-granter</t>
        </is>
      </c>
      <c r="Q360" s="61" t="n"/>
      <c r="R360" s="61" t="n"/>
      <c r="S360" s="61" t="n"/>
      <c r="T360" s="61" t="inlineStr">
        <is>
          <t>—</t>
        </is>
      </c>
      <c r="U360" s="67" t="n"/>
      <c r="V360" s="67" t="n"/>
      <c r="W360" s="67" t="n"/>
      <c r="X360" s="67" t="n"/>
      <c r="Y360" s="67" t="n"/>
      <c r="Z360" s="67" t="n"/>
      <c r="AA360" s="67" t="n"/>
      <c r="AB360" s="67" t="n"/>
      <c r="AC360" s="67" t="n"/>
      <c r="AD360" s="67" t="n"/>
      <c r="AE360" s="67" t="n"/>
      <c r="AF360" s="67" t="n"/>
    </row>
    <row r="361">
      <c r="A361" s="67" t="n"/>
      <c r="B361" s="47" t="n">
        <v>355</v>
      </c>
      <c r="C361" s="44" t="inlineStr">
        <is>
          <t>Rede Pajeú de Agroecologia</t>
        </is>
      </c>
      <c r="D361" s="44" t="inlineStr">
        <is>
          <t>Civil Society Organization (CSO)</t>
        </is>
      </c>
      <c r="E361" s="62" t="inlineStr">
        <is>
          <t>Grassroots networks</t>
        </is>
      </c>
      <c r="F361" s="44" t="inlineStr">
        <is>
          <t>Rede Pajeú de Agroecologia (RPA): network of organizations and communities promoting agroecology, food security and climate resilience in Brazil’s semi-arid region (Pernambuco/Caatinga).</t>
        </is>
      </c>
      <c r="G361" s="46" t="inlineStr">
        <is>
          <t>Regional</t>
        </is>
      </c>
      <c r="H361" s="47" t="inlineStr">
        <is>
          <t>"Land, Food and Forest"</t>
        </is>
      </c>
      <c r="I361" s="48" t="inlineStr">
        <is>
          <t>Caatinga</t>
        </is>
      </c>
      <c r="J361" s="62" t="n"/>
      <c r="K361" s="62" t="inlineStr">
        <is>
          <t>Explicit semi-arid/Caatinga territorial focus through agroecology and community-based resilience initiatives.</t>
        </is>
      </c>
      <c r="L361" s="62" t="inlineStr">
        <is>
          <t>Territorial anchor, Project developer / Implementer</t>
        </is>
      </c>
      <c r="M361" s="61" t="inlineStr">
        <is>
          <t>Downstream</t>
        </is>
      </c>
      <c r="N361" s="61" t="inlineStr">
        <is>
          <t>Grant recipient</t>
        </is>
      </c>
      <c r="O361" s="61" t="inlineStr">
        <is>
          <t>Serra Talhada, PE, Brazil</t>
        </is>
      </c>
      <c r="P361" s="61" t="inlineStr">
        <is>
          <t>Grantee</t>
        </is>
      </c>
      <c r="Q361" s="61" t="n"/>
      <c r="R361" s="61" t="n"/>
      <c r="S361" s="61" t="n"/>
      <c r="T361" s="61" t="inlineStr">
        <is>
          <t>—</t>
        </is>
      </c>
      <c r="U361" s="67" t="n"/>
      <c r="V361" s="67" t="n"/>
      <c r="W361" s="67" t="n"/>
      <c r="X361" s="67" t="n"/>
      <c r="Y361" s="67" t="n"/>
      <c r="Z361" s="67" t="n"/>
      <c r="AA361" s="67" t="n"/>
      <c r="AB361" s="67" t="n"/>
      <c r="AC361" s="67" t="n"/>
      <c r="AD361" s="67" t="n"/>
      <c r="AE361" s="67" t="n"/>
      <c r="AF361" s="67" t="n"/>
    </row>
    <row r="362">
      <c r="A362" s="67" t="n"/>
      <c r="B362" s="47" t="n">
        <v>356</v>
      </c>
      <c r="C362" s="44" t="inlineStr">
        <is>
          <t>COPPE-UFRJ</t>
        </is>
      </c>
      <c r="D362" s="44" t="inlineStr">
        <is>
          <t>Public sector</t>
        </is>
      </c>
      <c r="E362" s="62" t="inlineStr">
        <is>
          <t>Monitoring, Evaluation, and Learning</t>
        </is>
      </c>
      <c r="F362" s="44" t="inlineStr">
        <is>
          <t>Federal University of Rio de Janeiro (UFRJ): major public research university contributing scientific research and talent formation, including in energy, climate and sustainability fields.</t>
        </is>
      </c>
      <c r="G362" s="46" t="inlineStr">
        <is>
          <t>National</t>
        </is>
      </c>
      <c r="H362" s="47" t="inlineStr">
        <is>
          <t>Energy, "Land, Food and Forest"</t>
        </is>
      </c>
      <c r="I362" s="70" t="n"/>
      <c r="J362" s="62" t="n"/>
      <c r="K362" s="62" t="inlineStr">
        <is>
          <t>No biome lens was assigned because research activities are cross-sector and not tied to a single biome portfolio.</t>
        </is>
      </c>
      <c r="L362" s="62" t="inlineStr">
        <is>
          <t>Technical assistance / research</t>
        </is>
      </c>
      <c r="M362" s="61" t="inlineStr">
        <is>
          <t>Midstream</t>
        </is>
      </c>
      <c r="N362" s="61" t="inlineStr">
        <is>
          <t>Research and knowledge partner</t>
        </is>
      </c>
      <c r="O362" s="61" t="inlineStr">
        <is>
          <t>Rio de Janeiro, RJ, Brazil</t>
        </is>
      </c>
      <c r="P362" s="61" t="inlineStr">
        <is>
          <t>Grantee</t>
        </is>
      </c>
      <c r="Q362" s="61" t="n"/>
      <c r="R362" s="61" t="n"/>
      <c r="S362" s="61" t="n"/>
      <c r="T362" s="62" t="inlineStr">
        <is>
          <t>Energy systems modelling, GHG inventories, climate scenarios and low-carbon transition research</t>
        </is>
      </c>
      <c r="U362" s="67" t="n"/>
      <c r="V362" s="67" t="n"/>
      <c r="W362" s="67" t="n"/>
      <c r="X362" s="67" t="n"/>
      <c r="Y362" s="67" t="n"/>
      <c r="Z362" s="67" t="n"/>
      <c r="AA362" s="67" t="n"/>
      <c r="AB362" s="67" t="n"/>
      <c r="AC362" s="67" t="n"/>
      <c r="AD362" s="67" t="n"/>
      <c r="AE362" s="67" t="n"/>
      <c r="AF362" s="67" t="n"/>
    </row>
    <row r="363">
      <c r="A363" s="67" t="n"/>
      <c r="B363" s="47" t="n">
        <v>357</v>
      </c>
      <c r="C363" s="44" t="inlineStr">
        <is>
          <t>CERTI</t>
        </is>
      </c>
      <c r="D363" s="44" t="inlineStr">
        <is>
          <t>Civil Society Organization (CSO)</t>
        </is>
      </c>
      <c r="E363" s="62" t="inlineStr">
        <is>
          <t>Research centers</t>
        </is>
      </c>
      <c r="F363" s="44" t="inlineStr">
        <is>
          <t>Fundação CERTI: Brazilian science, technology and innovation center supporting applied R&amp;D, entrepreneurship and technology solutions (including sustainability and energy-related innovation).</t>
        </is>
      </c>
      <c r="G363" s="46" t="inlineStr">
        <is>
          <t>National</t>
        </is>
      </c>
      <c r="H363" s="47" t="inlineStr">
        <is>
          <t>Energy, "Land, Food and Forest"</t>
        </is>
      </c>
      <c r="I363" s="70" t="n"/>
      <c r="J363" s="62" t="n"/>
      <c r="K363" s="62" t="n"/>
      <c r="L363" s="62" t="inlineStr">
        <is>
          <t>Project developer / Implementer</t>
        </is>
      </c>
      <c r="M363" s="61" t="inlineStr">
        <is>
          <t>Downstream</t>
        </is>
      </c>
      <c r="N363" s="61" t="inlineStr">
        <is>
          <t>Research and knowledge partner</t>
        </is>
      </c>
      <c r="O363" s="61" t="inlineStr">
        <is>
          <t>Florianopólis, SC, Brazil</t>
        </is>
      </c>
      <c r="P363" s="61" t="inlineStr">
        <is>
          <t>Grantee</t>
        </is>
      </c>
      <c r="Q363" s="61" t="n"/>
      <c r="R363" s="61" t="n"/>
      <c r="S363" s="61" t="n"/>
      <c r="T363" s="61" t="inlineStr">
        <is>
          <t>—</t>
        </is>
      </c>
      <c r="U363" s="67" t="n"/>
      <c r="V363" s="67" t="n"/>
      <c r="W363" s="67" t="n"/>
      <c r="X363" s="67" t="n"/>
      <c r="Y363" s="67" t="n"/>
      <c r="Z363" s="67" t="n"/>
      <c r="AA363" s="67" t="n"/>
      <c r="AB363" s="67" t="n"/>
      <c r="AC363" s="67" t="n"/>
      <c r="AD363" s="67" t="n"/>
      <c r="AE363" s="67" t="n"/>
      <c r="AF363" s="67" t="n"/>
    </row>
    <row r="364">
      <c r="A364" s="67" t="n"/>
      <c r="B364" s="47" t="n">
        <v>358</v>
      </c>
      <c r="C364" s="44" t="inlineStr">
        <is>
          <t>Pacto Contra a Fome</t>
        </is>
      </c>
      <c r="D364" s="44" t="inlineStr">
        <is>
          <t>Civil Society Organization (CSO)</t>
        </is>
      </c>
      <c r="E364" s="62" t="inlineStr">
        <is>
          <t>Multilateral organizations</t>
        </is>
      </c>
      <c r="F364" s="44" t="inlineStr">
        <is>
          <t>Coalizão multissetorial e sem fins lucrativos que articula governo, empresas, academia e sociedade civil para combater a fome e reduzir o desperdício de alimentos no Brasil, fortalecendo políticas públicas e incentivos e conectando iniciativas e apoiadores via HUB.</t>
        </is>
      </c>
      <c r="G364" s="46" t="inlineStr">
        <is>
          <t>National</t>
        </is>
      </c>
      <c r="H364" s="47" t="inlineStr">
        <is>
          <t>"Land, Food and Forest"</t>
        </is>
      </c>
      <c r="I364" s="48" t="n"/>
      <c r="J364" s="62" t="n"/>
      <c r="K364" s="62" t="inlineStr">
        <is>
          <t>No biome lens was assigned because the agenda is national (food security and waste reduction) and not tied to a single biome.</t>
        </is>
      </c>
      <c r="L364" s="62" t="inlineStr">
        <is>
          <t>Convenor/enablers, Policy influence / regulation, Data / MRV / platforms</t>
        </is>
      </c>
      <c r="M364" s="61" t="inlineStr">
        <is>
          <t>Midstream</t>
        </is>
      </c>
      <c r="N364" s="61" t="inlineStr">
        <is>
          <t>Strategic partner</t>
        </is>
      </c>
      <c r="O364" s="61" t="inlineStr">
        <is>
          <t>São Paulo, SP, Brazil</t>
        </is>
      </c>
      <c r="P364" s="61" t="inlineStr">
        <is>
          <t>Grantee</t>
        </is>
      </c>
      <c r="Q364" s="61" t="n"/>
      <c r="R364" s="61" t="n"/>
      <c r="S364" s="61" t="n"/>
      <c r="T364" s="61" t="inlineStr">
        <is>
          <t>—</t>
        </is>
      </c>
      <c r="U364" s="67" t="n"/>
      <c r="V364" s="67" t="n"/>
      <c r="W364" s="67" t="n"/>
      <c r="X364" s="67" t="n"/>
      <c r="Y364" s="67" t="n"/>
      <c r="Z364" s="67" t="n"/>
      <c r="AA364" s="67" t="n"/>
      <c r="AB364" s="67" t="n"/>
      <c r="AC364" s="67" t="n"/>
      <c r="AD364" s="67" t="n"/>
      <c r="AE364" s="67" t="n"/>
      <c r="AF364" s="67" t="n"/>
    </row>
    <row r="365">
      <c r="A365" s="67" t="n"/>
      <c r="B365" s="47" t="n">
        <v>359</v>
      </c>
      <c r="C365" s="44" t="inlineStr">
        <is>
          <t>Good Energies Foundation (Porticus)</t>
        </is>
      </c>
      <c r="D365" s="44" t="inlineStr">
        <is>
          <t>Funders</t>
        </is>
      </c>
      <c r="E365" s="62" t="inlineStr">
        <is>
          <t>Philanthropy foundations</t>
        </is>
      </c>
      <c r="F365" s="44" t="inlineStr">
        <is>
          <t>Swiss-based philanthropic organisation (part of Porticus) funding initiatives to reverse climate change impacts through two priorities: access to clean energy and protection of tropical forests.</t>
        </is>
      </c>
      <c r="G365" s="46" t="inlineStr">
        <is>
          <t>Cross-border / international</t>
        </is>
      </c>
      <c r="H365" s="47" t="inlineStr">
        <is>
          <t>Energy, "Land, Food and Forest"</t>
        </is>
      </c>
      <c r="I365" s="48" t="n"/>
      <c r="J365" s="62" t="n"/>
      <c r="K365" s="62" t="inlineStr">
        <is>
          <t>No biome lens was assigned because the foundation’s focus is global (clean energy access) and tropical forests across regions rather than a single named biome.</t>
        </is>
      </c>
      <c r="L365" s="62" t="inlineStr">
        <is>
          <t>Funder</t>
        </is>
      </c>
      <c r="M365" s="61" t="inlineStr">
        <is>
          <t>Upstream</t>
        </is>
      </c>
      <c r="N365" s="61" t="inlineStr">
        <is>
          <t>Co-funding partner</t>
        </is>
      </c>
      <c r="O365" s="61" t="inlineStr">
        <is>
          <t>Zug, Switzerland</t>
        </is>
      </c>
      <c r="P365" s="61" t="inlineStr">
        <is>
          <t>Donor</t>
        </is>
      </c>
      <c r="Q365" s="61" t="inlineStr">
        <is>
          <t>mail@goodenergies.org</t>
        </is>
      </c>
      <c r="R365" s="55" t="inlineStr">
        <is>
          <t>https://www.porticus.com/what-we-do/earth/good-energies-foundation/</t>
        </is>
      </c>
      <c r="S365" s="61" t="n"/>
      <c r="T365" s="61" t="inlineStr">
        <is>
          <t>—</t>
        </is>
      </c>
      <c r="U365" s="67" t="n"/>
      <c r="V365" s="67" t="n"/>
      <c r="W365" s="67" t="n"/>
      <c r="X365" s="67" t="n"/>
      <c r="Y365" s="67" t="n"/>
      <c r="Z365" s="67" t="n"/>
      <c r="AA365" s="67" t="n"/>
      <c r="AB365" s="67" t="n"/>
      <c r="AC365" s="67" t="n"/>
      <c r="AD365" s="67" t="n"/>
      <c r="AE365" s="67" t="n"/>
      <c r="AF365" s="67" t="n"/>
    </row>
    <row r="366">
      <c r="A366" s="67" t="n"/>
      <c r="B366" s="47" t="n">
        <v>360</v>
      </c>
      <c r="C366" s="44" t="inlineStr">
        <is>
          <t>MOV Investimentos</t>
        </is>
      </c>
      <c r="D366" s="44" t="inlineStr">
        <is>
          <t>Funders</t>
        </is>
      </c>
      <c r="E366" s="62" t="inlineStr">
        <is>
          <t>Impact investors</t>
        </is>
      </c>
      <c r="F366" s="44" t="inlineStr">
        <is>
          <t>Brazilian impact investment manager (founded 2012) that invests and co-creates scalable companies to reduce social inequalities and reverse environmental degradation; its current vehicle (FIP MOV 2, launched 2022) focuses on nature-based solutions for the Brazilian Amazon.</t>
        </is>
      </c>
      <c r="G366" s="46" t="inlineStr">
        <is>
          <t>National</t>
        </is>
      </c>
      <c r="H366" s="47" t="inlineStr">
        <is>
          <t>"Land, Food and Forest"</t>
        </is>
      </c>
      <c r="I366" s="48" t="inlineStr">
        <is>
          <t>Amazonia</t>
        </is>
      </c>
      <c r="J366" s="62" t="n"/>
      <c r="K366" s="62" t="inlineStr">
        <is>
          <t>The fund thesis explicitly targets the Brazilian Amazon through nature-based solutions that value forest/biodiversity, reduce deforestation and regenerate degraded areas.</t>
        </is>
      </c>
      <c r="L366" s="62" t="inlineStr">
        <is>
          <t>Capital provider / Financial intermediary</t>
        </is>
      </c>
      <c r="M366" s="61" t="inlineStr">
        <is>
          <t>Upstream</t>
        </is>
      </c>
      <c r="N366" s="61" t="inlineStr">
        <is>
          <t>Blended finance partner</t>
        </is>
      </c>
      <c r="O366" s="61" t="inlineStr">
        <is>
          <t>São Paulo, SP, Brazil</t>
        </is>
      </c>
      <c r="P366" s="61" t="inlineStr">
        <is>
          <t>Re-granter</t>
        </is>
      </c>
      <c r="Q366" s="61" t="n"/>
      <c r="R366" s="61" t="n"/>
      <c r="S366" s="61" t="n"/>
      <c r="T366" s="61" t="inlineStr">
        <is>
          <t>—</t>
        </is>
      </c>
      <c r="U366" s="67" t="n"/>
      <c r="V366" s="67" t="n"/>
      <c r="W366" s="67" t="n"/>
      <c r="X366" s="67" t="n"/>
      <c r="Y366" s="67" t="n"/>
      <c r="Z366" s="67" t="n"/>
      <c r="AA366" s="67" t="n"/>
      <c r="AB366" s="67" t="n"/>
      <c r="AC366" s="67" t="n"/>
      <c r="AD366" s="67" t="n"/>
      <c r="AE366" s="67" t="n"/>
      <c r="AF366" s="67" t="n"/>
    </row>
    <row r="367">
      <c r="B367" t="n">
        <v>361</v>
      </c>
      <c r="C367" t="inlineStr">
        <is>
          <t>CEMPRE — Compromisso Empresarial para a Reciclagem</t>
        </is>
      </c>
      <c r="D367" t="inlineStr">
        <is>
          <t>Others</t>
        </is>
      </c>
      <c r="E367" t="inlineStr">
        <is>
          <t>Industry platforms and sectoral initiatives</t>
        </is>
      </c>
      <c r="F367" t="inlineStr">
        <is>
          <t>Brazilian business coalition that promotes recycling and the circular economy through technical research, advocacy and capacity building. Founded in 1992, it brings together major consumer-goods companies committed to extended producer responsibility (EPR), supports waste picker cooperatives integration into reverse logistics chains and publishes the Ciclosoft survey on selective collection (coleta seletiva).</t>
        </is>
      </c>
      <c r="G367" t="inlineStr">
        <is>
          <t>National</t>
        </is>
      </c>
      <c r="H367" t="inlineStr">
        <is>
          <t>Buildings &amp; Transport</t>
        </is>
      </c>
      <c r="K367" t="inlineStr">
        <is>
          <t>No biome lens — operates in urban waste systems across municipalities rather than biome-delimited territories.</t>
        </is>
      </c>
      <c r="L367" t="inlineStr">
        <is>
          <t>Convenor/enablers, Technical assistance / research, Policy influence / regulation</t>
        </is>
      </c>
      <c r="M367" t="inlineStr">
        <is>
          <t>Midstream</t>
        </is>
      </c>
      <c r="N367" t="inlineStr">
        <is>
          <t>Strategic partner</t>
        </is>
      </c>
      <c r="O367" t="inlineStr">
        <is>
          <t>São Paulo, SP, Brazil</t>
        </is>
      </c>
      <c r="P367" t="inlineStr">
        <is>
          <t>Re-granter</t>
        </is>
      </c>
      <c r="R367" t="inlineStr">
        <is>
          <t>https://cempre.org.br/</t>
        </is>
      </c>
      <c r="S367" t="inlineStr">
        <is>
          <t>Referência histórica do setor brasileiro de reciclagem e implementação da PNRS; conecta brand owners a cooperativas de catadores via acordos de logística reversa e EPR. Bridge natural para advocacy compartilhado com a UNICATADORES.</t>
        </is>
      </c>
      <c r="T367" t="inlineStr">
        <is>
          <t>—</t>
        </is>
      </c>
    </row>
    <row r="368">
      <c r="B368" t="n">
        <v>362</v>
      </c>
      <c r="C368" t="inlineStr">
        <is>
          <t>WIEGO — Women in Informal Employment: Globalizing and Organizing</t>
        </is>
      </c>
      <c r="D368" t="inlineStr">
        <is>
          <t>Civil Society Organization (CSO)</t>
        </is>
      </c>
      <c r="E368" t="inlineStr">
        <is>
          <t>Grassroots networks</t>
        </is>
      </c>
      <c r="F368" t="inlineStr">
        <is>
          <t>Global network focused on improving the status of the working poor, especially women, in the informal economy. Through research, organizing and policy advocacy it supports waste picker cooperatives worldwide, including significant work with Brazilian catador networks on social protection, gender equity and integration into municipal solid waste and recycling systems.</t>
        </is>
      </c>
      <c r="G368" t="inlineStr">
        <is>
          <t>Cross-border / international</t>
        </is>
      </c>
      <c r="H368" t="inlineStr">
        <is>
          <t>Buildings &amp; Transport</t>
        </is>
      </c>
      <c r="K368" t="inlineStr">
        <is>
          <t>No biome lens — operates in urban informality and waste management systems globally.</t>
        </is>
      </c>
      <c r="L368" t="inlineStr">
        <is>
          <t>Policy influence / regulation, Community legitimacy / proximate leadership, Technical assistance / research</t>
        </is>
      </c>
      <c r="M368" t="inlineStr">
        <is>
          <t>Midstream</t>
        </is>
      </c>
      <c r="N368" t="inlineStr">
        <is>
          <t>Strategic partner</t>
        </is>
      </c>
      <c r="O368" t="inlineStr">
        <is>
          <t>Manchester, UK</t>
        </is>
      </c>
      <c r="P368" t="inlineStr">
        <is>
          <t>Re-granter</t>
        </is>
      </c>
      <c r="R368" t="inlineStr">
        <is>
          <t>https://www.wiego.org/</t>
        </is>
      </c>
      <c r="S368" t="inlineStr">
        <is>
          <t>Referência internacional para a interseção catador + gênero + informalidade — alinhamento direto com a UNICATADORES (60% mulheres catadoras). Bridge para fóruns globais (OIT Recomendação 204, ILO Recommendation on Transition from the Informal to the Formal Economy).</t>
        </is>
      </c>
      <c r="T368" t="inlineStr">
        <is>
          <t>—</t>
        </is>
      </c>
    </row>
    <row r="369">
      <c r="B369" t="n">
        <v>363</v>
      </c>
      <c r="C369" t="inlineStr">
        <is>
          <t>ANCAT — Associação Nacional dos Catadores e Catadoras de Materiais Recicláveis</t>
        </is>
      </c>
      <c r="D369" t="inlineStr">
        <is>
          <t>Others</t>
        </is>
      </c>
      <c r="E369" t="inlineStr">
        <is>
          <t>Grassroots networks</t>
        </is>
      </c>
      <c r="F369" t="inlineStr">
        <is>
          <t>National association of waste picker cooperatives and individual catadores, working alongside MNCR and Unicatadores in the National Committee for the Inclusion of Waste Pickers (CIISC). Coordinates technical training, cooperative strengthening and policy advocacy related to the PNRS, reverse logistics (logística reversa) and credit access for catador organizations.</t>
        </is>
      </c>
      <c r="G369" t="inlineStr">
        <is>
          <t>National</t>
        </is>
      </c>
      <c r="H369" t="inlineStr">
        <is>
          <t>Buildings &amp; Transport</t>
        </is>
      </c>
      <c r="K369" t="inlineStr">
        <is>
          <t>No biome lens — urban waste systems across Brazilian municipalities.</t>
        </is>
      </c>
      <c r="L369" t="inlineStr">
        <is>
          <t>Community legitimacy / proximate leadership, Implementation capacity (delivery), Policy influence / regulation</t>
        </is>
      </c>
      <c r="M369" t="inlineStr">
        <is>
          <t>Downstream</t>
        </is>
      </c>
      <c r="N369" t="inlineStr">
        <is>
          <t>Strategic partner</t>
        </is>
      </c>
      <c r="O369" t="inlineStr">
        <is>
          <t>São Paulo, SP, Brazil</t>
        </is>
      </c>
      <c r="P369" t="inlineStr">
        <is>
          <t>Grantee</t>
        </is>
      </c>
      <c r="R369" t="inlineStr">
        <is>
          <t>https://ancat.org.br/</t>
        </is>
      </c>
      <c r="S369" t="inlineStr">
        <is>
          <t>Co-coordenadora da CIISC ao lado de Unicatadores e MNCR — peer político natural da UNICATADORES em advocacy de PNRS e em capacitação de cooperativas.</t>
        </is>
      </c>
      <c r="T369" t="inlineStr">
        <is>
          <t>—</t>
        </is>
      </c>
    </row>
    <row r="370">
      <c r="B370" t="n">
        <v>364</v>
      </c>
      <c r="C370" t="inlineStr">
        <is>
          <t>Ambipar Group</t>
        </is>
      </c>
      <c r="D370" t="inlineStr">
        <is>
          <t>Private sector</t>
        </is>
      </c>
      <c r="E370" t="inlineStr">
        <is>
          <t>Private companies (large / leading)</t>
        </is>
      </c>
      <c r="F370" t="inlineStr">
        <is>
          <t>Brazilian-listed environmental services company operating across emergency response, waste valorization and circular economy. Through its Boomera division and reverse logistics (logística reversa) operations, it manages industrial and post-consumer waste streams, operates recycling plants and contracts with waste picker cooperatives across the country.</t>
        </is>
      </c>
      <c r="G370" t="inlineStr">
        <is>
          <t>Cross-border / international</t>
        </is>
      </c>
      <c r="H370" t="inlineStr">
        <is>
          <t>Buildings &amp; Transport</t>
        </is>
      </c>
      <c r="K370" t="inlineStr">
        <is>
          <t>No biome lens — focus on urban waste streams nationwide.</t>
        </is>
      </c>
      <c r="L370" t="inlineStr">
        <is>
          <t>Strategic partner, Implementation capacity (delivery), Capital provider / Financial intermediary</t>
        </is>
      </c>
      <c r="M370" t="inlineStr">
        <is>
          <t>Downstream</t>
        </is>
      </c>
      <c r="N370" t="inlineStr">
        <is>
          <t>Co-funding partner</t>
        </is>
      </c>
      <c r="O370" t="inlineStr">
        <is>
          <t>São Paulo, SP, Brazil</t>
        </is>
      </c>
      <c r="P370" t="inlineStr">
        <is>
          <t>Donor</t>
        </is>
      </c>
      <c r="R370" t="inlineStr">
        <is>
          <t>https://ambipar.com/</t>
        </is>
      </c>
      <c r="S370" t="inlineStr">
        <is>
          <t>Mencionada no diagnóstico Trias como um dos principais operadores privados de logística reversa em escala industrial. Potencial parceiro de off-take/contrato para cooperativas Unicatadores e pilotos de EPR e finanças circulares.</t>
        </is>
      </c>
      <c r="T370" t="inlineStr">
        <is>
          <t>—</t>
        </is>
      </c>
    </row>
    <row r="371">
      <c r="B371" t="n">
        <v>365</v>
      </c>
      <c r="C371" t="inlineStr">
        <is>
          <t>Eureciclo</t>
        </is>
      </c>
      <c r="D371" t="inlineStr">
        <is>
          <t>Private sector</t>
        </is>
      </c>
      <c r="E371" t="inlineStr">
        <is>
          <t>Industry platforms and sectoral initiatives</t>
        </is>
      </c>
      <c r="F371" t="inlineStr">
        <is>
          <t>Brazilian company that operates a recycling credit certification platform connecting brand owners with EPR (extended producer responsibility) obligations to waste picker cooperatives. Certifies packaging recovery volumes against the PNRS, transfers revenue to cooperatives and supports their operational and technological upgrading.</t>
        </is>
      </c>
      <c r="G371" t="inlineStr">
        <is>
          <t>National</t>
        </is>
      </c>
      <c r="H371" t="inlineStr">
        <is>
          <t>Buildings &amp; Transport</t>
        </is>
      </c>
      <c r="K371" t="inlineStr">
        <is>
          <t>No biome lens — operates across Brazilian urban waste systems.</t>
        </is>
      </c>
      <c r="L371" t="inlineStr">
        <is>
          <t>Capital provider / Financial intermediary, Convenor/enablers, Implementation capacity (delivery)</t>
        </is>
      </c>
      <c r="M371" t="inlineStr">
        <is>
          <t>Midstream</t>
        </is>
      </c>
      <c r="N371" t="inlineStr">
        <is>
          <t>Strategic partner</t>
        </is>
      </c>
      <c r="O371" t="inlineStr">
        <is>
          <t>São Paulo, SP, Brazil</t>
        </is>
      </c>
      <c r="P371" t="inlineStr">
        <is>
          <t>Re-granter</t>
        </is>
      </c>
      <c r="R371" t="inlineStr">
        <is>
          <t>https://eureciclo.com.br/</t>
        </is>
      </c>
      <c r="S371" t="inlineStr">
        <is>
          <t>Eureciclo conecta diretamente a obrigação de logística reversa de marcas a cooperativas de catadores — bridge financeiro-operacional para a rede UNICATADORES no cumprimento da PNRS e EPR.</t>
        </is>
      </c>
      <c r="T371" t="inlineStr">
        <is>
          <t>—</t>
        </is>
      </c>
    </row>
    <row r="372">
      <c r="B372" t="n">
        <v>366</v>
      </c>
      <c r="C372" t="inlineStr">
        <is>
          <t>ABRELPE — Associação Brasileira de Empresas de Limpeza Pública e Resíduos Especiais</t>
        </is>
      </c>
      <c r="D372" t="inlineStr">
        <is>
          <t>Private sector</t>
        </is>
      </c>
      <c r="E372" t="inlineStr">
        <is>
          <t>Industry platforms and sectoral initiatives</t>
        </is>
      </c>
      <c r="F372" t="inlineStr">
        <is>
          <t>Industry association representing private urban cleaning, solid waste (resíduo sólido) collection and special waste treatment companies in Brazil. Publishes the annual Solid Waste Outlook (Panorama dos Resíduos Sólidos), advises on PNRS implementation and represents the sector in regulatory and policy dialogues, often as counterpart to waste picker cooperatives in municipal contracting debates.</t>
        </is>
      </c>
      <c r="G372" t="inlineStr">
        <is>
          <t>National</t>
        </is>
      </c>
      <c r="H372" t="inlineStr">
        <is>
          <t>Buildings &amp; Transport</t>
        </is>
      </c>
      <c r="K372" t="inlineStr">
        <is>
          <t>No biome lens — urban services across all municipalities.</t>
        </is>
      </c>
      <c r="L372" t="inlineStr">
        <is>
          <t>Policy influence / regulation, Convenor/enablers</t>
        </is>
      </c>
      <c r="M372" t="inlineStr">
        <is>
          <t>Downstream</t>
        </is>
      </c>
      <c r="N372" t="inlineStr">
        <is>
          <t>Strategic partner</t>
        </is>
      </c>
      <c r="O372" t="inlineStr">
        <is>
          <t>São Paulo, SP, Brazil</t>
        </is>
      </c>
      <c r="P372" t="inlineStr">
        <is>
          <t>Grantee</t>
        </is>
      </c>
      <c r="R372" t="inlineStr">
        <is>
          <t>https://abrelpe.org.br/</t>
        </is>
      </c>
      <c r="S372" t="inlineStr">
        <is>
          <t>Contraparte setorial das cooperativas de catadores nos debates de contratação pública municipal de coleta seletiva e implementação da PNRS (logística reversa, EPR). Referência setorial obrigatória para a UNICATADORES em advocacy regulatório.</t>
        </is>
      </c>
      <c r="T372" t="inlineStr">
        <is>
          <t>—</t>
        </is>
      </c>
    </row>
    <row r="373">
      <c r="B373" t="n">
        <v>367</v>
      </c>
      <c r="C373" t="inlineStr">
        <is>
          <t>Ambev</t>
        </is>
      </c>
      <c r="D373" t="inlineStr">
        <is>
          <t>Private sector</t>
        </is>
      </c>
      <c r="E373" t="inlineStr">
        <is>
          <t>Private companies (large / leading)</t>
        </is>
      </c>
      <c r="F373" t="inlineStr">
        <is>
          <t>Largest brewery in Latin America with major operations across Brazil. Key brand owner with extended producer responsibility (EPR) obligations on aluminum cans, glass bottles and PET packaging. Operates the Reciclo platform and supports recycling cooperative networks through procurement of post-consumer material.</t>
        </is>
      </c>
      <c r="G373" t="inlineStr">
        <is>
          <t>Cross-border / international</t>
        </is>
      </c>
      <c r="H373" t="inlineStr">
        <is>
          <t>Buildings &amp; Transport</t>
        </is>
      </c>
      <c r="K373" t="inlineStr">
        <is>
          <t>No biome lens — operates across all Brazilian urban packaging streams.</t>
        </is>
      </c>
      <c r="L373" t="inlineStr">
        <is>
          <t>Strategic partner, Implementation capacity (delivery)</t>
        </is>
      </c>
      <c r="M373" t="inlineStr">
        <is>
          <t>Downstream</t>
        </is>
      </c>
      <c r="N373" t="inlineStr">
        <is>
          <t>Co-funding partner</t>
        </is>
      </c>
      <c r="O373" t="inlineStr">
        <is>
          <t>São Paulo, SP, Brazil</t>
        </is>
      </c>
      <c r="P373" t="inlineStr">
        <is>
          <t>Donor</t>
        </is>
      </c>
      <c r="R373" t="inlineStr">
        <is>
          <t>https://www.ambev.com.br/</t>
        </is>
      </c>
      <c r="S373" t="inlineStr">
        <is>
          <t>Maior cliente brasileiro de logística reversa de vidro e alumínio; programa Reciclo conecta a cooperativas de catadores — interlocutor natural para a UNICATADORES em pilotos de off-take e contratualização EPR.</t>
        </is>
      </c>
      <c r="T373" t="inlineStr">
        <is>
          <t>—</t>
        </is>
      </c>
    </row>
    <row r="374">
      <c r="B374" t="n">
        <v>368</v>
      </c>
      <c r="C374" t="inlineStr">
        <is>
          <t>Coca-Cola Brasil</t>
        </is>
      </c>
      <c r="D374" t="inlineStr">
        <is>
          <t>Private sector</t>
        </is>
      </c>
      <c r="E374" t="inlineStr">
        <is>
          <t>Private companies (large / leading)</t>
        </is>
      </c>
      <c r="F374" t="inlineStr">
        <is>
          <t>Brazilian operations of The Coca-Cola Company, including bottlers; leading brand owner with EPR obligations on PET, glass and aluminum packaging. Through the Coletivo Reciclagem program (operated with Instituto Coca-Cola Brasil) it supports waste picker cooperatives technical upgrading, income generation and integration into reverse logistics chains.</t>
        </is>
      </c>
      <c r="G374" t="inlineStr">
        <is>
          <t>Cross-border / international</t>
        </is>
      </c>
      <c r="H374" t="inlineStr">
        <is>
          <t>Buildings &amp; Transport</t>
        </is>
      </c>
      <c r="K374" t="inlineStr">
        <is>
          <t>No biome lens — operates across all Brazilian urban packaging streams.</t>
        </is>
      </c>
      <c r="L374" t="inlineStr">
        <is>
          <t>Strategic partner, Implementation capacity (delivery)</t>
        </is>
      </c>
      <c r="M374" t="inlineStr">
        <is>
          <t>Downstream</t>
        </is>
      </c>
      <c r="N374" t="inlineStr">
        <is>
          <t>Co-funding partner</t>
        </is>
      </c>
      <c r="O374" t="inlineStr">
        <is>
          <t>Rio de Janeiro, RJ, Brazil</t>
        </is>
      </c>
      <c r="P374" t="inlineStr">
        <is>
          <t>Donor</t>
        </is>
      </c>
      <c r="R374" t="inlineStr">
        <is>
          <t>https://www.cocacolabrasil.com.br/</t>
        </is>
      </c>
      <c r="S374" t="inlineStr">
        <is>
          <t>Programa Coletivo Reciclagem é histórico parceiro de cooperativas de catadores no Brasil; bridge natural para a UNICATADORES em pilotos de EPR, capacitação e contratualização da logística reversa.</t>
        </is>
      </c>
      <c r="T374" t="inlineStr">
        <is>
          <t>—</t>
        </is>
      </c>
    </row>
    <row r="375">
      <c r="B375" t="n">
        <v>369</v>
      </c>
      <c r="C375" t="inlineStr">
        <is>
          <t>Braskem</t>
        </is>
      </c>
      <c r="D375" t="inlineStr">
        <is>
          <t>Private sector</t>
        </is>
      </c>
      <c r="E375" t="inlineStr">
        <is>
          <t>Private companies (large / leading)</t>
        </is>
      </c>
      <c r="F375" t="inlineStr">
        <is>
          <t>Brazilian petrochemical company and one of the world's largest producers of polyolefins; signatory of the Operation Clean Sweep program and operator of post-consumer plastic recycling initiatives. Supports waste picker cooperative networks through technical training and procurement of recycled plastic streams under the PNRS.</t>
        </is>
      </c>
      <c r="G375" t="inlineStr">
        <is>
          <t>Cross-border / international</t>
        </is>
      </c>
      <c r="H375" t="inlineStr">
        <is>
          <t>Buildings &amp; Transport</t>
        </is>
      </c>
      <c r="K375" t="inlineStr">
        <is>
          <t>No biome lens — operates across all Brazilian plastic packaging streams.</t>
        </is>
      </c>
      <c r="L375" t="inlineStr">
        <is>
          <t>Strategic partner, Implementation capacity (delivery)</t>
        </is>
      </c>
      <c r="M375" t="inlineStr">
        <is>
          <t>Midstream</t>
        </is>
      </c>
      <c r="N375" t="inlineStr">
        <is>
          <t>Co-funding partner</t>
        </is>
      </c>
      <c r="O375" t="inlineStr">
        <is>
          <t>São Paulo, SP, Brazil</t>
        </is>
      </c>
      <c r="P375" t="inlineStr">
        <is>
          <t>Donor</t>
        </is>
      </c>
      <c r="R375" t="inlineStr">
        <is>
          <t>https://www.braskem.com.br/</t>
        </is>
      </c>
      <c r="S375" t="inlineStr">
        <is>
          <t>Maior produtor de plásticos do Brasil — diretamente impactada pelas obrigações de logística reversa de embalagens da PNRS. Potencial parceiro para pilotos de economia circular do plástico envolvendo cooperativas da UNICATADORES.</t>
        </is>
      </c>
      <c r="T375" t="inlineStr">
        <is>
          <t>—</t>
        </is>
      </c>
    </row>
    <row r="376">
      <c r="B376" t="n">
        <v>370</v>
      </c>
      <c r="C376" t="inlineStr">
        <is>
          <t>Instituto Coca-Cola Brasil</t>
        </is>
      </c>
      <c r="D376" t="inlineStr">
        <is>
          <t>Funders</t>
        </is>
      </c>
      <c r="E376" t="inlineStr">
        <is>
          <t>Philanthropy foundations</t>
        </is>
      </c>
      <c r="F376" t="inlineStr">
        <is>
          <t>Private institute backed by the Coca-Cola Brazil System with a long-standing portfolio dedicated to recycling and inclusive circular economy. Through the Coletivo Reciclagem program it directly funds and capacitates waste picker cooperatives across Brazil, focused on income generation, gender equity and digital tools for catador organizations.</t>
        </is>
      </c>
      <c r="G376" t="inlineStr">
        <is>
          <t>National</t>
        </is>
      </c>
      <c r="H376" t="inlineStr">
        <is>
          <t>Buildings &amp; Transport</t>
        </is>
      </c>
      <c r="K376" t="inlineStr">
        <is>
          <t>No biome lens — funding deployed across Brazilian urban waste systems.</t>
        </is>
      </c>
      <c r="L376" t="inlineStr">
        <is>
          <t>Funder, Implementation capacity (delivery)</t>
        </is>
      </c>
      <c r="M376" t="inlineStr">
        <is>
          <t>Midstream</t>
        </is>
      </c>
      <c r="N376" t="inlineStr">
        <is>
          <t>Capacity building partner</t>
        </is>
      </c>
      <c r="O376" t="inlineStr">
        <is>
          <t>Rio de Janeiro, RJ, Brazil</t>
        </is>
      </c>
      <c r="P376" t="inlineStr">
        <is>
          <t>Donor</t>
        </is>
      </c>
      <c r="R376" t="inlineStr">
        <is>
          <t>https://www.institutococacola.org.br/</t>
        </is>
      </c>
      <c r="S376" t="inlineStr">
        <is>
          <t>Um dos principais financiadores domésticos específicos de cooperativas de catadores via Coletivo Reciclagem — alta complementaridade direta com a agenda da UNICATADORES em renda, gênero e digitalização.</t>
        </is>
      </c>
      <c r="T376" t="inlineStr">
        <is>
          <t>—</t>
        </is>
      </c>
    </row>
    <row r="377">
      <c r="B377" t="n">
        <v>371</v>
      </c>
      <c r="C377" t="inlineStr">
        <is>
          <t>Fundação Banco do Brasil (FBB)</t>
        </is>
      </c>
      <c r="D377" t="inlineStr">
        <is>
          <t>Funders</t>
        </is>
      </c>
      <c r="E377" t="inlineStr">
        <is>
          <t>Philanthropy foundations</t>
        </is>
      </c>
      <c r="F377" t="inlineStr">
        <is>
          <t>Corporate foundation of Banco do Brasil; flagship Brazilian funder of solidarity economy initiatives, with decades of support to waste picker cooperatives (PROCAT) and family farming cooperatives. Operates the Banco de Tecnologias Sociais and finances networks of recycling cooperatives nationwide. Bridges urban catador agendas and rural family farming cooperativism.</t>
        </is>
      </c>
      <c r="G377" t="inlineStr">
        <is>
          <t>National</t>
        </is>
      </c>
      <c r="H377" t="inlineStr">
        <is>
          <t>Buildings &amp; Transport, "Land, Food and Forest"</t>
        </is>
      </c>
      <c r="K377" t="inlineStr">
        <is>
          <t>No biome lens — national-level funder across multiple territories and themes.</t>
        </is>
      </c>
      <c r="L377" t="inlineStr">
        <is>
          <t>Funder, Convenor/enablers, Implementation capacity (delivery)</t>
        </is>
      </c>
      <c r="M377" t="inlineStr">
        <is>
          <t>Midstream</t>
        </is>
      </c>
      <c r="N377" t="inlineStr">
        <is>
          <t>Co-funding partner</t>
        </is>
      </c>
      <c r="O377" t="inlineStr">
        <is>
          <t>Brasília, DF, Brazil</t>
        </is>
      </c>
      <c r="P377" t="inlineStr">
        <is>
          <t>Donor</t>
        </is>
      </c>
      <c r="R377" t="inlineStr">
        <is>
          <t>https://www.fbb.org.br/</t>
        </is>
      </c>
      <c r="S377" t="inlineStr">
        <is>
          <t>Histórico financiador da economia solidária e de cooperativas de catadores via PROCAT — um dos canais mais sólidos para captação doméstica em economia circular. Bridge potencial entre as agendas UNICATADORES, CSA Brasil e UNICAFES (todos cooperativismo).</t>
        </is>
      </c>
      <c r="T377" t="inlineStr">
        <is>
          <t>—</t>
        </is>
      </c>
    </row>
    <row r="378">
      <c r="B378" t="n">
        <v>372</v>
      </c>
      <c r="C378" t="inlineStr">
        <is>
          <t>BVRio — Bolsa Verde do Rio de Janeiro</t>
        </is>
      </c>
      <c r="D378" t="inlineStr">
        <is>
          <t>Civil Society Organization (CSO)</t>
        </is>
      </c>
      <c r="E378" t="inlineStr">
        <is>
          <t>Multi-stakeholder initiatives</t>
        </is>
      </c>
      <c r="F378" t="inlineStr">
        <is>
          <t>Non-profit institution that designs and operates market-based environmental solutions. Created the Reverse Logistics Credit (CLR — Crédito de Logística Reversa) platform which monetizes EPR obligations, channeling revenue to waste picker cooperatives, and develops impact finance instruments for the circular economy and forest products.</t>
        </is>
      </c>
      <c r="G378" t="inlineStr">
        <is>
          <t>Cross-border / international</t>
        </is>
      </c>
      <c r="H378" t="inlineStr">
        <is>
          <t>Buildings &amp; Transport, "Land, Food and Forest"</t>
        </is>
      </c>
      <c r="K378" t="inlineStr">
        <is>
          <t>No biome lens — operates market-based instruments across urban waste systems and forest products.</t>
        </is>
      </c>
      <c r="L378" t="inlineStr">
        <is>
          <t>Capital provider / Financial intermediary, Convenor/enablers, Policy influence / regulation</t>
        </is>
      </c>
      <c r="M378" t="inlineStr">
        <is>
          <t>Midstream</t>
        </is>
      </c>
      <c r="N378" t="inlineStr">
        <is>
          <t>Strategic partner</t>
        </is>
      </c>
      <c r="O378" t="inlineStr">
        <is>
          <t>Rio de Janeiro, RJ, Brazil</t>
        </is>
      </c>
      <c r="P378" t="inlineStr">
        <is>
          <t>Re-granter</t>
        </is>
      </c>
      <c r="R378" t="inlineStr">
        <is>
          <t>https://www.bvrio.org/</t>
        </is>
      </c>
      <c r="S378" t="inlineStr">
        <is>
          <t>Operadora do Crédito de Logística Reversa (CLR) — mecanismo financeiro inovador que diretamente capitaliza cooperativas de catadores. Bridge essencial entre o pilar Trias de finanças mistas/inovadoras e o ecossistema UNICATADORES.</t>
        </is>
      </c>
      <c r="T378" t="inlineStr">
        <is>
          <t>—</t>
        </is>
      </c>
    </row>
    <row r="379">
      <c r="B379" t="n">
        <v>373</v>
      </c>
      <c r="C379" t="inlineStr">
        <is>
          <t>Tetra Pak Brasil</t>
        </is>
      </c>
      <c r="D379" t="inlineStr">
        <is>
          <t>Private sector</t>
        </is>
      </c>
      <c r="E379" t="inlineStr">
        <is>
          <t>Private companies (large / leading)</t>
        </is>
      </c>
      <c r="F379" t="inlineStr">
        <is>
          <t>Brazilian operations of the global packaging multinational; pioneer in long-life carton recycling (reciclagem) with a national network of cooperativas de catadores that recover its packaging, and major investor in domestic recycling infrastructure for multi-material streams.</t>
        </is>
      </c>
      <c r="G379" t="inlineStr">
        <is>
          <t>Cross-border / international</t>
        </is>
      </c>
      <c r="H379" t="inlineStr">
        <is>
          <t>Buildings &amp; Transport</t>
        </is>
      </c>
      <c r="K379" t="inlineStr">
        <is>
          <t>No biome lens — packaging recovery operations across Brazilian urban systems.</t>
        </is>
      </c>
      <c r="L379" t="inlineStr">
        <is>
          <t>Strategic partner, Implementation capacity (delivery)</t>
        </is>
      </c>
      <c r="M379" t="inlineStr">
        <is>
          <t>Downstream</t>
        </is>
      </c>
      <c r="N379" t="inlineStr">
        <is>
          <t>Co-funding partner</t>
        </is>
      </c>
      <c r="O379" t="inlineStr">
        <is>
          <t>São Paulo, SP, Brazil</t>
        </is>
      </c>
      <c r="P379" t="inlineStr">
        <is>
          <t>Donor</t>
        </is>
      </c>
      <c r="R379" t="inlineStr">
        <is>
          <t>https://www.tetrapak.com/pt-br</t>
        </is>
      </c>
      <c r="S379" t="inlineStr">
        <is>
          <t>Histórica articuladora da reciclagem de longa vida no Brasil, com programa próprio de apoio a cooperativas de catadores. Presença em Norte/Nordeste onde a infraestrutura de coleta é mais frágil — bridge potencial para a expansão regional da UNICATADORES.</t>
        </is>
      </c>
      <c r="T379" t="inlineStr">
        <is>
          <t>—</t>
        </is>
      </c>
    </row>
    <row r="380">
      <c r="B380" t="n">
        <v>374</v>
      </c>
      <c r="C380" t="inlineStr">
        <is>
          <t>Plastic Bank</t>
        </is>
      </c>
      <c r="D380" t="inlineStr">
        <is>
          <t>Private sector</t>
        </is>
      </c>
      <c r="E380" t="inlineStr">
        <is>
          <t>Multi-stakeholder initiatives</t>
        </is>
      </c>
      <c r="F380" t="inlineStr">
        <is>
          <t>Canadian social enterprise that monetizes plastic recycling through digital deposit-refund systems. Provides bonus payments and benefits to waste pickers (catadores) in exchange for plastic recovery in urban areas; pioneer model of payment-for-ecosystem-services (PES) applied to municipal solid waste streams.</t>
        </is>
      </c>
      <c r="G380" t="inlineStr">
        <is>
          <t>Cross-border / international</t>
        </is>
      </c>
      <c r="H380" t="inlineStr">
        <is>
          <t>Buildings &amp; Transport</t>
        </is>
      </c>
      <c r="K380" t="inlineStr">
        <is>
          <t>No biome lens — urban plastic recovery operations in coastal cities globally.</t>
        </is>
      </c>
      <c r="L380" t="inlineStr">
        <is>
          <t>Capital provider / Financial intermediary, Implementation capacity (delivery)</t>
        </is>
      </c>
      <c r="M380" t="inlineStr">
        <is>
          <t>Midstream</t>
        </is>
      </c>
      <c r="N380" t="inlineStr">
        <is>
          <t>Strategic partner</t>
        </is>
      </c>
      <c r="O380" t="inlineStr">
        <is>
          <t>Vancouver, Canada</t>
        </is>
      </c>
      <c r="P380" t="inlineStr">
        <is>
          <t>Re-granter</t>
        </is>
      </c>
      <c r="R380" t="inlineStr">
        <is>
          <t>https://plasticbank.com/</t>
        </is>
      </c>
      <c r="S380" t="inlineStr">
        <is>
          <t>Modelo internacional de PES para resíduos urbanos diretamente relevante para a prioridade Trias de pilotos de PES e mercados de carbono para serviços ecossistêmicos urbanos — referência metodológica para a UNICATADORES.</t>
        </is>
      </c>
      <c r="T380" t="inlineStr">
        <is>
          <t>—</t>
        </is>
      </c>
    </row>
    <row r="381">
      <c r="B381" t="n">
        <v>375</v>
      </c>
      <c r="C381" t="inlineStr">
        <is>
          <t>INSEA — Instituto Nenuca de Desenvolvimento Sustentável</t>
        </is>
      </c>
      <c r="D381" t="inlineStr">
        <is>
          <t>Civil Society Organization (CSO)</t>
        </is>
      </c>
      <c r="E381" t="inlineStr">
        <is>
          <t>Local implementers</t>
        </is>
      </c>
      <c r="F381" t="inlineStr">
        <is>
          <t>Brazilian NGO based in Belo Horizonte that has supported waste picker cooperatives since the 1980s. Co-architect of the Minas Gerais Bolsa Reciclagem state policy and historical mentor of the MNCR. Offers technical assistance, cooperative organizing and policy advocacy specialized in recycling (reciclagem) cooperative networks and circular economy.</t>
        </is>
      </c>
      <c r="G381" t="inlineStr">
        <is>
          <t>National</t>
        </is>
      </c>
      <c r="H381" t="inlineStr">
        <is>
          <t>Buildings &amp; Transport</t>
        </is>
      </c>
      <c r="K381" t="inlineStr">
        <is>
          <t>No biome lens — operates with urban catador cooperatives across Brazilian states, headquartered in Minas Gerais.</t>
        </is>
      </c>
      <c r="L381" t="inlineStr">
        <is>
          <t>Implementation capacity (delivery), Technical assistance / research, Community legitimacy / proximate leadership</t>
        </is>
      </c>
      <c r="M381" t="inlineStr">
        <is>
          <t>Downstream</t>
        </is>
      </c>
      <c r="N381" t="inlineStr">
        <is>
          <t>Strategic partner</t>
        </is>
      </c>
      <c r="O381" t="inlineStr">
        <is>
          <t>Belo Horizonte, MG, Brazil</t>
        </is>
      </c>
      <c r="P381" t="inlineStr">
        <is>
          <t>Grantee</t>
        </is>
      </c>
      <c r="R381" t="inlineStr">
        <is>
          <t>https://www.insea.org.br/</t>
        </is>
      </c>
      <c r="S381" t="inlineStr">
        <is>
          <t>Mentora histórica do MNCR e referência nacional em desenvolvimento institucional de cooperativas de catadores — natural peer técnico para a UNICATADORES em capacitação e governança cooperativa.</t>
        </is>
      </c>
      <c r="T381" t="inlineStr">
        <is>
          <t>—</t>
        </is>
      </c>
    </row>
  </sheetData>
  <autoFilter ref="$A$6:$AF$366"/>
  <mergeCells count="5">
    <mergeCell ref="A1:C1"/>
    <mergeCell ref="B4:N4"/>
    <mergeCell ref="B5:F5"/>
    <mergeCell ref="A3:C3"/>
    <mergeCell ref="B2:T2"/>
  </mergeCells>
  <dataValidations count="11">
    <dataValidation sqref="D7:D366" showDropDown="0" showInputMessage="0" showErrorMessage="1" allowBlank="1" type="list">
      <formula1>"Private sector,Public sector,Funders,Civil Society Organization (CSO),Others"</formula1>
    </dataValidation>
    <dataValidation sqref="M7:M366" showDropDown="0" showInputMessage="0" showErrorMessage="1" allowBlank="1" type="list">
      <formula1>"Upstream,Midstream,Downstream"</formula1>
    </dataValidation>
    <dataValidation sqref="E7:E366" showDropDown="0" showInputMessage="0" showErrorMessage="1" allowBlank="1" type="list">
      <formula1>"Federal Government,Private companies (large / leading),Private companies (SMEs / local enterprises),Think tanks,Social moviments ,IFs ,Institutional Investors ,Philanthropy foundations,Academia ,Research centers ,Multi-stakeholder initiatives,Local implem"&amp;"enters,Alliances ,Public agencies and regulators,Industry platforms and sectoral initiatives,Commercial banks,Development banks,Multilateral development banks (MDBs),Impact investors,Bilateral cooperation agencies,Grassroots networks,Multilateral organiza"&amp;"tions,Monitoring, Evaluation, and Learning"</formula1>
    </dataValidation>
    <dataValidation sqref="L7:L366" showDropDown="0" showInputMessage="0" showErrorMessage="1" allowBlank="1" type="list">
      <formula1>"Funder ,Capital provider / Financial intermediary,Convenor/enablers,Project developer / Implementer ,Policy influence / regulation,Strategic partner ,Technical assistance / research,Implementation capacity (delivery),Data / MRV / platforms,Community legit"&amp;"imacy / proximate leadership,Territorial anchor"</formula1>
    </dataValidation>
    <dataValidation sqref="H7:H19 H22:H366" showDropDown="0" showInputMessage="0" showErrorMessage="1" allowBlank="1" type="list">
      <formula1>"Energy,Buildings &amp; Transport,Land, Food and Forest,Emergency response,NA"</formula1>
    </dataValidation>
    <dataValidation sqref="N7:N366" showDropDown="0" showInputMessage="0" showErrorMessage="1" allowBlank="1" type="list">
      <formula1>"Strategic partner,Grant recipient,Co-funding partner,Implementing partner,Blended finance partner,Research and knowledge partner,Capacity building partner,Coalition partner,Policy dialogue partner,Exploratory engagement"</formula1>
    </dataValidation>
    <dataValidation sqref="J7:J139 J141:J145 J147:J152 J154:J166 J168:J181 J183:J366" showDropDown="0" showInputMessage="0" showErrorMessage="1" allowBlank="1" type="list">
      <formula1>"Mata&amp;Atlântica,Pantanal,Pampa,Coastal&amp;maritime"</formula1>
    </dataValidation>
    <dataValidation sqref="G12:G366" showDropDown="0" showInputMessage="0" showErrorMessage="1" allowBlank="1" type="list">
      <formula1>"National,Regional ,State-level,Municipal / local,Cross-border / international"</formula1>
    </dataValidation>
    <dataValidation sqref="P7:P366" showDropDown="0" showInputMessage="0" showErrorMessage="1" allowBlank="1" type="list">
      <formula1>"Donor,Re-granter,Grantee"</formula1>
    </dataValidation>
    <dataValidation sqref="G7:G11" showDropDown="0" showInputMessage="0" showErrorMessage="1" allowBlank="1" type="list">
      <formula1>"Cross-border / international,National,Regional ,State-level,Municipal / local"</formula1>
    </dataValidation>
    <dataValidation sqref="I7:I139 I140:J140 I141:I145 I146:J146 I147:I152 I153:J153 I154:I166 I167:J167 I168:I181 I182:J182 I183:I366" showDropDown="0" showInputMessage="0" showErrorMessage="1" allowBlank="1" type="list">
      <formula1>"Amazonia,Cerrado,Caatinga,NA"</formula1>
    </dataValidation>
  </dataValidations>
  <hyperlinks>
    <hyperlink xmlns:r="http://schemas.openxmlformats.org/officeDocument/2006/relationships" ref="R7" r:id="rId1"/>
    <hyperlink xmlns:r="http://schemas.openxmlformats.org/officeDocument/2006/relationships" ref="R8" r:id="rId2"/>
    <hyperlink xmlns:r="http://schemas.openxmlformats.org/officeDocument/2006/relationships" ref="R9" r:id="rId3"/>
    <hyperlink xmlns:r="http://schemas.openxmlformats.org/officeDocument/2006/relationships" ref="R10" r:id="rId4"/>
    <hyperlink xmlns:r="http://schemas.openxmlformats.org/officeDocument/2006/relationships" ref="R11" r:id="rId5"/>
    <hyperlink xmlns:r="http://schemas.openxmlformats.org/officeDocument/2006/relationships" ref="R12" r:id="rId6"/>
    <hyperlink xmlns:r="http://schemas.openxmlformats.org/officeDocument/2006/relationships" ref="R13" r:id="rId7"/>
    <hyperlink xmlns:r="http://schemas.openxmlformats.org/officeDocument/2006/relationships" ref="R14" r:id="rId8"/>
    <hyperlink xmlns:r="http://schemas.openxmlformats.org/officeDocument/2006/relationships" ref="R15" r:id="rId9"/>
    <hyperlink xmlns:r="http://schemas.openxmlformats.org/officeDocument/2006/relationships" ref="R16" r:id="rId10"/>
    <hyperlink xmlns:r="http://schemas.openxmlformats.org/officeDocument/2006/relationships" ref="R17" r:id="rId11"/>
    <hyperlink xmlns:r="http://schemas.openxmlformats.org/officeDocument/2006/relationships" ref="R18" r:id="rId12"/>
    <hyperlink xmlns:r="http://schemas.openxmlformats.org/officeDocument/2006/relationships" ref="R19" r:id="rId13"/>
    <hyperlink xmlns:r="http://schemas.openxmlformats.org/officeDocument/2006/relationships" ref="R20" r:id="rId14"/>
    <hyperlink xmlns:r="http://schemas.openxmlformats.org/officeDocument/2006/relationships" ref="R21" r:id="rId15"/>
    <hyperlink xmlns:r="http://schemas.openxmlformats.org/officeDocument/2006/relationships" ref="R22" r:id="rId16"/>
    <hyperlink xmlns:r="http://schemas.openxmlformats.org/officeDocument/2006/relationships" ref="R23" r:id="rId17"/>
    <hyperlink xmlns:r="http://schemas.openxmlformats.org/officeDocument/2006/relationships" ref="R24" r:id="rId18"/>
    <hyperlink xmlns:r="http://schemas.openxmlformats.org/officeDocument/2006/relationships" ref="R25" r:id="rId19"/>
    <hyperlink xmlns:r="http://schemas.openxmlformats.org/officeDocument/2006/relationships" ref="R26" r:id="rId20"/>
    <hyperlink xmlns:r="http://schemas.openxmlformats.org/officeDocument/2006/relationships" ref="R27" r:id="rId21"/>
    <hyperlink xmlns:r="http://schemas.openxmlformats.org/officeDocument/2006/relationships" ref="R28" r:id="rId22"/>
    <hyperlink xmlns:r="http://schemas.openxmlformats.org/officeDocument/2006/relationships" ref="R29" r:id="rId23"/>
    <hyperlink xmlns:r="http://schemas.openxmlformats.org/officeDocument/2006/relationships" ref="R30" r:id="rId24"/>
    <hyperlink xmlns:r="http://schemas.openxmlformats.org/officeDocument/2006/relationships" ref="R44" r:id="rId25"/>
    <hyperlink xmlns:r="http://schemas.openxmlformats.org/officeDocument/2006/relationships" ref="R51" r:id="rId26"/>
    <hyperlink xmlns:r="http://schemas.openxmlformats.org/officeDocument/2006/relationships" ref="R54" r:id="rId27"/>
    <hyperlink xmlns:r="http://schemas.openxmlformats.org/officeDocument/2006/relationships" ref="R55" r:id="rId28"/>
    <hyperlink xmlns:r="http://schemas.openxmlformats.org/officeDocument/2006/relationships" ref="R57" r:id="rId29"/>
    <hyperlink xmlns:r="http://schemas.openxmlformats.org/officeDocument/2006/relationships" ref="R58" r:id="rId30"/>
    <hyperlink xmlns:r="http://schemas.openxmlformats.org/officeDocument/2006/relationships" ref="R59" r:id="rId31"/>
    <hyperlink xmlns:r="http://schemas.openxmlformats.org/officeDocument/2006/relationships" ref="R61" r:id="rId32"/>
    <hyperlink xmlns:r="http://schemas.openxmlformats.org/officeDocument/2006/relationships" ref="R62" r:id="rId33"/>
    <hyperlink xmlns:r="http://schemas.openxmlformats.org/officeDocument/2006/relationships" ref="R64" r:id="rId34"/>
    <hyperlink xmlns:r="http://schemas.openxmlformats.org/officeDocument/2006/relationships" ref="R65" r:id="rId35"/>
    <hyperlink xmlns:r="http://schemas.openxmlformats.org/officeDocument/2006/relationships" ref="R66" r:id="rId36"/>
    <hyperlink xmlns:r="http://schemas.openxmlformats.org/officeDocument/2006/relationships" ref="R67" r:id="rId37"/>
    <hyperlink xmlns:r="http://schemas.openxmlformats.org/officeDocument/2006/relationships" ref="R68" r:id="rId38"/>
    <hyperlink xmlns:r="http://schemas.openxmlformats.org/officeDocument/2006/relationships" ref="R69" r:id="rId39"/>
    <hyperlink xmlns:r="http://schemas.openxmlformats.org/officeDocument/2006/relationships" ref="R70" r:id="rId40"/>
    <hyperlink xmlns:r="http://schemas.openxmlformats.org/officeDocument/2006/relationships" ref="R71" r:id="rId41"/>
    <hyperlink xmlns:r="http://schemas.openxmlformats.org/officeDocument/2006/relationships" ref="R73" r:id="rId42"/>
    <hyperlink xmlns:r="http://schemas.openxmlformats.org/officeDocument/2006/relationships" ref="R75" r:id="rId43"/>
    <hyperlink xmlns:r="http://schemas.openxmlformats.org/officeDocument/2006/relationships" ref="R76" r:id="rId44"/>
    <hyperlink xmlns:r="http://schemas.openxmlformats.org/officeDocument/2006/relationships" ref="R77" r:id="rId45"/>
    <hyperlink xmlns:r="http://schemas.openxmlformats.org/officeDocument/2006/relationships" ref="R78" r:id="rId46"/>
    <hyperlink xmlns:r="http://schemas.openxmlformats.org/officeDocument/2006/relationships" ref="R85" r:id="rId47"/>
    <hyperlink xmlns:r="http://schemas.openxmlformats.org/officeDocument/2006/relationships" ref="R105" r:id="rId48"/>
    <hyperlink xmlns:r="http://schemas.openxmlformats.org/officeDocument/2006/relationships" ref="R106" r:id="rId49"/>
    <hyperlink xmlns:r="http://schemas.openxmlformats.org/officeDocument/2006/relationships" ref="R107" r:id="rId50"/>
    <hyperlink xmlns:r="http://schemas.openxmlformats.org/officeDocument/2006/relationships" ref="R118" r:id="rId51"/>
    <hyperlink xmlns:r="http://schemas.openxmlformats.org/officeDocument/2006/relationships" ref="R120" r:id="rId52"/>
    <hyperlink xmlns:r="http://schemas.openxmlformats.org/officeDocument/2006/relationships" ref="R147" r:id="rId53"/>
    <hyperlink xmlns:r="http://schemas.openxmlformats.org/officeDocument/2006/relationships" ref="R191" r:id="rId54"/>
    <hyperlink xmlns:r="http://schemas.openxmlformats.org/officeDocument/2006/relationships" ref="R204" r:id="rId55"/>
    <hyperlink xmlns:r="http://schemas.openxmlformats.org/officeDocument/2006/relationships" ref="R229" r:id="rId56"/>
    <hyperlink xmlns:r="http://schemas.openxmlformats.org/officeDocument/2006/relationships" ref="R365" r:id="rId57"/>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W1354"/>
  <sheetViews>
    <sheetView workbookViewId="0">
      <selection activeCell="A1" sqref="A1"/>
    </sheetView>
  </sheetViews>
  <sheetFormatPr baseColWidth="8" defaultColWidth="12.63" defaultRowHeight="15.75" customHeight="1"/>
  <cols>
    <col width="5" customWidth="1" style="84" min="1" max="1"/>
    <col width="31" customWidth="1" style="84" min="2" max="2"/>
    <col width="22.13" customWidth="1" style="84" min="3" max="3"/>
    <col width="31" customWidth="1" style="84" min="4" max="5"/>
    <col width="19.88" customWidth="1" style="84" min="6" max="6"/>
    <col width="30.63" customWidth="1" style="84" min="7" max="7"/>
    <col width="20.5" customWidth="1" style="84" min="8" max="8"/>
    <col width="24.88" customWidth="1" style="84" min="9" max="9"/>
    <col width="31" customWidth="1" style="84" min="10" max="10"/>
    <col width="30.88" customWidth="1" style="84" min="11" max="11"/>
    <col width="21.63" customWidth="1" style="84" min="12" max="12"/>
    <col width="24.13" customWidth="1" style="84" min="13" max="13"/>
    <col width="25.5" customWidth="1" style="84" min="14" max="14"/>
    <col width="12.5" customWidth="1" style="84" min="15" max="15"/>
    <col width="30.75" customWidth="1" style="84" min="16" max="16"/>
    <col width="31" customWidth="1" style="84" min="17" max="18"/>
    <col width="30.88" customWidth="1" style="84" min="19" max="23"/>
  </cols>
  <sheetData>
    <row r="1">
      <c r="A1" s="71">
        <f>'Stakeholder list'!B6</f>
        <v/>
      </c>
      <c r="B1" s="71">
        <f>'Stakeholder list'!C6</f>
        <v/>
      </c>
      <c r="C1" s="71">
        <f>'Stakeholder list'!D6</f>
        <v/>
      </c>
      <c r="D1" s="71">
        <f>'Stakeholder list'!E6</f>
        <v/>
      </c>
      <c r="E1" s="71">
        <f>'Stakeholder list'!F6</f>
        <v/>
      </c>
      <c r="F1" s="71">
        <f>'Stakeholder list'!G6</f>
        <v/>
      </c>
      <c r="G1" s="71">
        <f>'Stakeholder list'!H6</f>
        <v/>
      </c>
      <c r="H1" s="71">
        <f>'Stakeholder list'!I6</f>
        <v/>
      </c>
      <c r="I1" s="71">
        <f>'Stakeholder list'!J6</f>
        <v/>
      </c>
      <c r="J1" s="71">
        <f>'Stakeholder list'!K6</f>
        <v/>
      </c>
      <c r="K1" s="71">
        <f>'Stakeholder list'!L6</f>
        <v/>
      </c>
      <c r="L1" s="71">
        <f>'Stakeholder list'!M6</f>
        <v/>
      </c>
      <c r="M1" s="71">
        <f>'Stakeholder list'!N6</f>
        <v/>
      </c>
      <c r="N1" s="71">
        <f>'Stakeholder list'!O6</f>
        <v/>
      </c>
      <c r="O1" s="71">
        <f>'Stakeholder list'!P6</f>
        <v/>
      </c>
      <c r="P1" s="71">
        <f>'Stakeholder list'!Q6</f>
        <v/>
      </c>
      <c r="Q1" s="71">
        <f>'Stakeholder list'!R6</f>
        <v/>
      </c>
      <c r="R1" s="71">
        <f>'Stakeholder list'!S6</f>
        <v/>
      </c>
      <c r="S1" s="72" t="n"/>
      <c r="T1" s="72" t="n"/>
      <c r="U1" s="72" t="n"/>
      <c r="V1" s="72" t="n"/>
      <c r="W1" s="72" t="n"/>
    </row>
    <row r="2">
      <c r="A2" s="71">
        <f>'Stakeholder list'!B7</f>
        <v/>
      </c>
      <c r="B2" s="71">
        <f>'Stakeholder list'!C7</f>
        <v/>
      </c>
      <c r="C2" s="71">
        <f>'Stakeholder list'!D7</f>
        <v/>
      </c>
      <c r="D2" s="71">
        <f>'Stakeholder list'!E7</f>
        <v/>
      </c>
      <c r="E2" s="71">
        <f>'Stakeholder list'!F7</f>
        <v/>
      </c>
      <c r="F2" s="71">
        <f>'Stakeholder list'!G7</f>
        <v/>
      </c>
      <c r="G2" s="71">
        <f>'Stakeholder list'!H7</f>
        <v/>
      </c>
      <c r="H2" s="71">
        <f>'Stakeholder list'!I7</f>
        <v/>
      </c>
      <c r="I2" s="71">
        <f>'Stakeholder list'!J7</f>
        <v/>
      </c>
      <c r="J2" s="71">
        <f>'Stakeholder list'!K7</f>
        <v/>
      </c>
      <c r="K2" s="71">
        <f>'Stakeholder list'!L7</f>
        <v/>
      </c>
      <c r="L2" s="71">
        <f>'Stakeholder list'!M7</f>
        <v/>
      </c>
      <c r="M2" s="71">
        <f>'Stakeholder list'!N7</f>
        <v/>
      </c>
      <c r="N2" s="71">
        <f>'Stakeholder list'!O7</f>
        <v/>
      </c>
      <c r="O2" s="71">
        <f>'Stakeholder list'!P7</f>
        <v/>
      </c>
      <c r="P2" s="71">
        <f>'Stakeholder list'!Q7</f>
        <v/>
      </c>
      <c r="Q2" s="73">
        <f>'Stakeholder list'!R7</f>
        <v/>
      </c>
      <c r="R2" s="71">
        <f>'Stakeholder list'!S7</f>
        <v/>
      </c>
      <c r="S2" s="72" t="n"/>
      <c r="T2" s="72" t="n"/>
      <c r="U2" s="72" t="n"/>
      <c r="V2" s="72" t="n"/>
      <c r="W2" s="72" t="n"/>
    </row>
    <row r="3">
      <c r="A3" s="71">
        <f>'Stakeholder list'!B8</f>
        <v/>
      </c>
      <c r="B3" s="71">
        <f>'Stakeholder list'!C8</f>
        <v/>
      </c>
      <c r="C3" s="71">
        <f>'Stakeholder list'!D8</f>
        <v/>
      </c>
      <c r="D3" s="71">
        <f>'Stakeholder list'!E8</f>
        <v/>
      </c>
      <c r="E3" s="71">
        <f>'Stakeholder list'!F8</f>
        <v/>
      </c>
      <c r="F3" s="71">
        <f>'Stakeholder list'!G8</f>
        <v/>
      </c>
      <c r="G3" s="71">
        <f>'Stakeholder list'!H8</f>
        <v/>
      </c>
      <c r="H3" s="71">
        <f>'Stakeholder list'!I8</f>
        <v/>
      </c>
      <c r="I3" s="71">
        <f>'Stakeholder list'!J8</f>
        <v/>
      </c>
      <c r="J3" s="71">
        <f>'Stakeholder list'!K8</f>
        <v/>
      </c>
      <c r="K3" s="71">
        <f>'Stakeholder list'!L8</f>
        <v/>
      </c>
      <c r="L3" s="71">
        <f>'Stakeholder list'!M8</f>
        <v/>
      </c>
      <c r="M3" s="71">
        <f>'Stakeholder list'!N8</f>
        <v/>
      </c>
      <c r="N3" s="71">
        <f>'Stakeholder list'!O8</f>
        <v/>
      </c>
      <c r="O3" s="71">
        <f>'Stakeholder list'!P8</f>
        <v/>
      </c>
      <c r="P3" s="71">
        <f>'Stakeholder list'!Q8</f>
        <v/>
      </c>
      <c r="Q3" s="73">
        <f>'Stakeholder list'!R8</f>
        <v/>
      </c>
      <c r="R3" s="71">
        <f>'Stakeholder list'!S8</f>
        <v/>
      </c>
      <c r="S3" s="72" t="n"/>
      <c r="T3" s="72" t="n"/>
      <c r="U3" s="72" t="n"/>
      <c r="V3" s="72" t="n"/>
      <c r="W3" s="72" t="n"/>
    </row>
    <row r="4">
      <c r="A4" s="71">
        <f>'Stakeholder list'!B9</f>
        <v/>
      </c>
      <c r="B4" s="71">
        <f>'Stakeholder list'!C9</f>
        <v/>
      </c>
      <c r="C4" s="71">
        <f>'Stakeholder list'!D9</f>
        <v/>
      </c>
      <c r="D4" s="71">
        <f>'Stakeholder list'!E9</f>
        <v/>
      </c>
      <c r="E4" s="71">
        <f>'Stakeholder list'!F9</f>
        <v/>
      </c>
      <c r="F4" s="71">
        <f>'Stakeholder list'!G9</f>
        <v/>
      </c>
      <c r="G4" s="71">
        <f>'Stakeholder list'!H9</f>
        <v/>
      </c>
      <c r="H4" s="71">
        <f>'Stakeholder list'!I9</f>
        <v/>
      </c>
      <c r="I4" s="71">
        <f>'Stakeholder list'!J9</f>
        <v/>
      </c>
      <c r="J4" s="71">
        <f>'Stakeholder list'!K9</f>
        <v/>
      </c>
      <c r="K4" s="71">
        <f>'Stakeholder list'!L9</f>
        <v/>
      </c>
      <c r="L4" s="71">
        <f>'Stakeholder list'!M9</f>
        <v/>
      </c>
      <c r="M4" s="71">
        <f>'Stakeholder list'!N9</f>
        <v/>
      </c>
      <c r="N4" s="71">
        <f>'Stakeholder list'!O9</f>
        <v/>
      </c>
      <c r="O4" s="71">
        <f>'Stakeholder list'!P9</f>
        <v/>
      </c>
      <c r="P4" s="71">
        <f>'Stakeholder list'!Q9</f>
        <v/>
      </c>
      <c r="Q4" s="73">
        <f>'Stakeholder list'!R9</f>
        <v/>
      </c>
      <c r="R4" s="71">
        <f>'Stakeholder list'!S9</f>
        <v/>
      </c>
      <c r="S4" s="72" t="n"/>
      <c r="T4" s="72" t="n"/>
      <c r="U4" s="72" t="n"/>
      <c r="V4" s="72" t="n"/>
      <c r="W4" s="72" t="n"/>
    </row>
    <row r="5">
      <c r="A5" s="71">
        <f>'Stakeholder list'!B10</f>
        <v/>
      </c>
      <c r="B5" s="71">
        <f>'Stakeholder list'!C10</f>
        <v/>
      </c>
      <c r="C5" s="71">
        <f>'Stakeholder list'!D10</f>
        <v/>
      </c>
      <c r="D5" s="71">
        <f>'Stakeholder list'!E10</f>
        <v/>
      </c>
      <c r="E5" s="71">
        <f>'Stakeholder list'!F10</f>
        <v/>
      </c>
      <c r="F5" s="71">
        <f>'Stakeholder list'!G10</f>
        <v/>
      </c>
      <c r="G5" s="71">
        <f>'Stakeholder list'!H10</f>
        <v/>
      </c>
      <c r="H5" s="71">
        <f>'Stakeholder list'!I10</f>
        <v/>
      </c>
      <c r="I5" s="71">
        <f>'Stakeholder list'!J10</f>
        <v/>
      </c>
      <c r="J5" s="71">
        <f>'Stakeholder list'!K10</f>
        <v/>
      </c>
      <c r="K5" s="71">
        <f>'Stakeholder list'!L10</f>
        <v/>
      </c>
      <c r="L5" s="71">
        <f>'Stakeholder list'!M10</f>
        <v/>
      </c>
      <c r="M5" s="71">
        <f>'Stakeholder list'!N10</f>
        <v/>
      </c>
      <c r="N5" s="71">
        <f>'Stakeholder list'!O10</f>
        <v/>
      </c>
      <c r="O5" s="71">
        <f>'Stakeholder list'!P10</f>
        <v/>
      </c>
      <c r="P5" s="71">
        <f>'Stakeholder list'!Q10</f>
        <v/>
      </c>
      <c r="Q5" s="73">
        <f>'Stakeholder list'!R10</f>
        <v/>
      </c>
      <c r="R5" s="71">
        <f>'Stakeholder list'!S10</f>
        <v/>
      </c>
      <c r="S5" s="72" t="n"/>
      <c r="T5" s="72" t="n"/>
      <c r="U5" s="72" t="n"/>
      <c r="V5" s="72" t="n"/>
      <c r="W5" s="72" t="n"/>
    </row>
    <row r="6">
      <c r="A6" s="71">
        <f>'Stakeholder list'!B11</f>
        <v/>
      </c>
      <c r="B6" s="71">
        <f>'Stakeholder list'!C11</f>
        <v/>
      </c>
      <c r="C6" s="71">
        <f>'Stakeholder list'!D11</f>
        <v/>
      </c>
      <c r="D6" s="71">
        <f>'Stakeholder list'!E11</f>
        <v/>
      </c>
      <c r="E6" s="71">
        <f>'Stakeholder list'!F11</f>
        <v/>
      </c>
      <c r="F6" s="71">
        <f>'Stakeholder list'!G11</f>
        <v/>
      </c>
      <c r="G6" s="71">
        <f>'Stakeholder list'!H11</f>
        <v/>
      </c>
      <c r="H6" s="71">
        <f>'Stakeholder list'!I11</f>
        <v/>
      </c>
      <c r="I6" s="71">
        <f>'Stakeholder list'!J11</f>
        <v/>
      </c>
      <c r="J6" s="71">
        <f>'Stakeholder list'!K11</f>
        <v/>
      </c>
      <c r="K6" s="71">
        <f>'Stakeholder list'!L11</f>
        <v/>
      </c>
      <c r="L6" s="71">
        <f>'Stakeholder list'!M11</f>
        <v/>
      </c>
      <c r="M6" s="71">
        <f>'Stakeholder list'!N11</f>
        <v/>
      </c>
      <c r="N6" s="71">
        <f>'Stakeholder list'!O11</f>
        <v/>
      </c>
      <c r="O6" s="71">
        <f>'Stakeholder list'!P11</f>
        <v/>
      </c>
      <c r="P6" s="71">
        <f>'Stakeholder list'!Q11</f>
        <v/>
      </c>
      <c r="Q6" s="73">
        <f>'Stakeholder list'!R11</f>
        <v/>
      </c>
      <c r="R6" s="71">
        <f>'Stakeholder list'!S11</f>
        <v/>
      </c>
      <c r="S6" s="72" t="n"/>
      <c r="T6" s="72" t="n"/>
      <c r="U6" s="72" t="n"/>
      <c r="V6" s="72" t="n"/>
      <c r="W6" s="72" t="n"/>
    </row>
    <row r="7">
      <c r="A7" s="71">
        <f>'Stakeholder list'!B12</f>
        <v/>
      </c>
      <c r="B7" s="71">
        <f>'Stakeholder list'!C12</f>
        <v/>
      </c>
      <c r="C7" s="71">
        <f>'Stakeholder list'!D12</f>
        <v/>
      </c>
      <c r="D7" s="71">
        <f>'Stakeholder list'!E12</f>
        <v/>
      </c>
      <c r="E7" s="71">
        <f>'Stakeholder list'!F12</f>
        <v/>
      </c>
      <c r="F7" s="71">
        <f>'Stakeholder list'!G12</f>
        <v/>
      </c>
      <c r="G7" s="71">
        <f>'Stakeholder list'!H12</f>
        <v/>
      </c>
      <c r="H7" s="71">
        <f>'Stakeholder list'!I12</f>
        <v/>
      </c>
      <c r="I7" s="71">
        <f>'Stakeholder list'!J12</f>
        <v/>
      </c>
      <c r="J7" s="71">
        <f>'Stakeholder list'!K12</f>
        <v/>
      </c>
      <c r="K7" s="71">
        <f>'Stakeholder list'!L12</f>
        <v/>
      </c>
      <c r="L7" s="71">
        <f>'Stakeholder list'!M12</f>
        <v/>
      </c>
      <c r="M7" s="71">
        <f>'Stakeholder list'!N12</f>
        <v/>
      </c>
      <c r="N7" s="71">
        <f>'Stakeholder list'!O12</f>
        <v/>
      </c>
      <c r="O7" s="71">
        <f>'Stakeholder list'!P12</f>
        <v/>
      </c>
      <c r="P7" s="71">
        <f>'Stakeholder list'!Q12</f>
        <v/>
      </c>
      <c r="Q7" s="73">
        <f>'Stakeholder list'!R12</f>
        <v/>
      </c>
      <c r="R7" s="71">
        <f>'Stakeholder list'!S12</f>
        <v/>
      </c>
      <c r="S7" s="72" t="n"/>
      <c r="T7" s="72" t="n"/>
      <c r="U7" s="72" t="n"/>
      <c r="V7" s="72" t="n"/>
      <c r="W7" s="72" t="n"/>
    </row>
    <row r="8">
      <c r="A8" s="71">
        <f>'Stakeholder list'!B13</f>
        <v/>
      </c>
      <c r="B8" s="71">
        <f>'Stakeholder list'!C13</f>
        <v/>
      </c>
      <c r="C8" s="71">
        <f>'Stakeholder list'!D13</f>
        <v/>
      </c>
      <c r="D8" s="71">
        <f>'Stakeholder list'!E13</f>
        <v/>
      </c>
      <c r="E8" s="71">
        <f>'Stakeholder list'!F13</f>
        <v/>
      </c>
      <c r="F8" s="71">
        <f>'Stakeholder list'!G13</f>
        <v/>
      </c>
      <c r="G8" s="71">
        <f>'Stakeholder list'!H13</f>
        <v/>
      </c>
      <c r="H8" s="71">
        <f>'Stakeholder list'!I13</f>
        <v/>
      </c>
      <c r="I8" s="71">
        <f>'Stakeholder list'!J13</f>
        <v/>
      </c>
      <c r="J8" s="71">
        <f>'Stakeholder list'!K13</f>
        <v/>
      </c>
      <c r="K8" s="71">
        <f>'Stakeholder list'!L13</f>
        <v/>
      </c>
      <c r="L8" s="71">
        <f>'Stakeholder list'!M13</f>
        <v/>
      </c>
      <c r="M8" s="71">
        <f>'Stakeholder list'!N13</f>
        <v/>
      </c>
      <c r="N8" s="71">
        <f>'Stakeholder list'!O13</f>
        <v/>
      </c>
      <c r="O8" s="71">
        <f>'Stakeholder list'!P13</f>
        <v/>
      </c>
      <c r="P8" s="71">
        <f>'Stakeholder list'!Q13</f>
        <v/>
      </c>
      <c r="Q8" s="73">
        <f>'Stakeholder list'!R13</f>
        <v/>
      </c>
      <c r="R8" s="71">
        <f>'Stakeholder list'!S13</f>
        <v/>
      </c>
      <c r="S8" s="72" t="n"/>
      <c r="T8" s="72" t="n"/>
      <c r="U8" s="72" t="n"/>
      <c r="V8" s="72" t="n"/>
      <c r="W8" s="72" t="n"/>
    </row>
    <row r="9">
      <c r="A9" s="71">
        <f>'Stakeholder list'!B14</f>
        <v/>
      </c>
      <c r="B9" s="71">
        <f>'Stakeholder list'!C14</f>
        <v/>
      </c>
      <c r="C9" s="71">
        <f>'Stakeholder list'!D14</f>
        <v/>
      </c>
      <c r="D9" s="71">
        <f>'Stakeholder list'!E14</f>
        <v/>
      </c>
      <c r="E9" s="71">
        <f>'Stakeholder list'!F14</f>
        <v/>
      </c>
      <c r="F9" s="71">
        <f>'Stakeholder list'!G14</f>
        <v/>
      </c>
      <c r="G9" s="71">
        <f>'Stakeholder list'!H14</f>
        <v/>
      </c>
      <c r="H9" s="71">
        <f>'Stakeholder list'!I14</f>
        <v/>
      </c>
      <c r="I9" s="71">
        <f>'Stakeholder list'!J14</f>
        <v/>
      </c>
      <c r="J9" s="71">
        <f>'Stakeholder list'!K14</f>
        <v/>
      </c>
      <c r="K9" s="71">
        <f>'Stakeholder list'!L14</f>
        <v/>
      </c>
      <c r="L9" s="71">
        <f>'Stakeholder list'!M14</f>
        <v/>
      </c>
      <c r="M9" s="71">
        <f>'Stakeholder list'!N14</f>
        <v/>
      </c>
      <c r="N9" s="71">
        <f>'Stakeholder list'!O14</f>
        <v/>
      </c>
      <c r="O9" s="71">
        <f>'Stakeholder list'!P14</f>
        <v/>
      </c>
      <c r="P9" s="71">
        <f>'Stakeholder list'!Q14</f>
        <v/>
      </c>
      <c r="Q9" s="73">
        <f>'Stakeholder list'!R14</f>
        <v/>
      </c>
      <c r="R9" s="71">
        <f>'Stakeholder list'!S14</f>
        <v/>
      </c>
      <c r="S9" s="72" t="n"/>
      <c r="T9" s="72" t="n"/>
      <c r="U9" s="72" t="n"/>
      <c r="V9" s="72" t="n"/>
      <c r="W9" s="72" t="n"/>
    </row>
    <row r="10">
      <c r="A10" s="71">
        <f>'Stakeholder list'!B15</f>
        <v/>
      </c>
      <c r="B10" s="71">
        <f>'Stakeholder list'!C15</f>
        <v/>
      </c>
      <c r="C10" s="71">
        <f>'Stakeholder list'!D15</f>
        <v/>
      </c>
      <c r="D10" s="71">
        <f>'Stakeholder list'!E15</f>
        <v/>
      </c>
      <c r="E10" s="71">
        <f>'Stakeholder list'!F15</f>
        <v/>
      </c>
      <c r="F10" s="71">
        <f>'Stakeholder list'!G15</f>
        <v/>
      </c>
      <c r="G10" s="71">
        <f>'Stakeholder list'!H15</f>
        <v/>
      </c>
      <c r="H10" s="71">
        <f>'Stakeholder list'!I15</f>
        <v/>
      </c>
      <c r="I10" s="71">
        <f>'Stakeholder list'!J15</f>
        <v/>
      </c>
      <c r="J10" s="71">
        <f>'Stakeholder list'!K15</f>
        <v/>
      </c>
      <c r="K10" s="71">
        <f>'Stakeholder list'!L15</f>
        <v/>
      </c>
      <c r="L10" s="71">
        <f>'Stakeholder list'!M15</f>
        <v/>
      </c>
      <c r="M10" s="71">
        <f>'Stakeholder list'!N15</f>
        <v/>
      </c>
      <c r="N10" s="71">
        <f>'Stakeholder list'!O15</f>
        <v/>
      </c>
      <c r="O10" s="71">
        <f>'Stakeholder list'!P15</f>
        <v/>
      </c>
      <c r="P10" s="71">
        <f>'Stakeholder list'!Q15</f>
        <v/>
      </c>
      <c r="Q10" s="73">
        <f>'Stakeholder list'!R15</f>
        <v/>
      </c>
      <c r="R10" s="71">
        <f>'Stakeholder list'!S15</f>
        <v/>
      </c>
      <c r="S10" s="72" t="n"/>
      <c r="T10" s="72" t="n"/>
      <c r="U10" s="72" t="n"/>
      <c r="V10" s="72" t="n"/>
      <c r="W10" s="72" t="n"/>
    </row>
    <row r="11">
      <c r="A11" s="71">
        <f>'Stakeholder list'!B16</f>
        <v/>
      </c>
      <c r="B11" s="71">
        <f>'Stakeholder list'!C16</f>
        <v/>
      </c>
      <c r="C11" s="71">
        <f>'Stakeholder list'!D16</f>
        <v/>
      </c>
      <c r="D11" s="71">
        <f>'Stakeholder list'!E16</f>
        <v/>
      </c>
      <c r="E11" s="71">
        <f>'Stakeholder list'!F16</f>
        <v/>
      </c>
      <c r="F11" s="71">
        <f>'Stakeholder list'!G16</f>
        <v/>
      </c>
      <c r="G11" s="71">
        <f>'Stakeholder list'!H16</f>
        <v/>
      </c>
      <c r="H11" s="71">
        <f>'Stakeholder list'!I16</f>
        <v/>
      </c>
      <c r="I11" s="71">
        <f>'Stakeholder list'!J16</f>
        <v/>
      </c>
      <c r="J11" s="71">
        <f>'Stakeholder list'!K16</f>
        <v/>
      </c>
      <c r="K11" s="71">
        <f>'Stakeholder list'!L16</f>
        <v/>
      </c>
      <c r="L11" s="71">
        <f>'Stakeholder list'!M16</f>
        <v/>
      </c>
      <c r="M11" s="71">
        <f>'Stakeholder list'!N16</f>
        <v/>
      </c>
      <c r="N11" s="71">
        <f>'Stakeholder list'!O16</f>
        <v/>
      </c>
      <c r="O11" s="71">
        <f>'Stakeholder list'!P16</f>
        <v/>
      </c>
      <c r="P11" s="71">
        <f>'Stakeholder list'!Q16</f>
        <v/>
      </c>
      <c r="Q11" s="73">
        <f>'Stakeholder list'!R16</f>
        <v/>
      </c>
      <c r="R11" s="71">
        <f>'Stakeholder list'!S16</f>
        <v/>
      </c>
      <c r="S11" s="72" t="n"/>
      <c r="T11" s="72" t="n"/>
      <c r="U11" s="72" t="n"/>
      <c r="V11" s="72" t="n"/>
      <c r="W11" s="72" t="n"/>
    </row>
    <row r="12">
      <c r="A12" s="71">
        <f>'Stakeholder list'!B17</f>
        <v/>
      </c>
      <c r="B12" s="71">
        <f>'Stakeholder list'!C17</f>
        <v/>
      </c>
      <c r="C12" s="71">
        <f>'Stakeholder list'!D17</f>
        <v/>
      </c>
      <c r="D12" s="71">
        <f>'Stakeholder list'!E17</f>
        <v/>
      </c>
      <c r="E12" s="71">
        <f>'Stakeholder list'!F17</f>
        <v/>
      </c>
      <c r="F12" s="71">
        <f>'Stakeholder list'!G17</f>
        <v/>
      </c>
      <c r="G12" s="71">
        <f>'Stakeholder list'!H17</f>
        <v/>
      </c>
      <c r="H12" s="71">
        <f>'Stakeholder list'!I17</f>
        <v/>
      </c>
      <c r="I12" s="71">
        <f>'Stakeholder list'!J17</f>
        <v/>
      </c>
      <c r="J12" s="71">
        <f>'Stakeholder list'!K17</f>
        <v/>
      </c>
      <c r="K12" s="71">
        <f>'Stakeholder list'!L17</f>
        <v/>
      </c>
      <c r="L12" s="71">
        <f>'Stakeholder list'!M17</f>
        <v/>
      </c>
      <c r="M12" s="71">
        <f>'Stakeholder list'!N17</f>
        <v/>
      </c>
      <c r="N12" s="71">
        <f>'Stakeholder list'!O17</f>
        <v/>
      </c>
      <c r="O12" s="71">
        <f>'Stakeholder list'!P17</f>
        <v/>
      </c>
      <c r="P12" s="71">
        <f>'Stakeholder list'!Q17</f>
        <v/>
      </c>
      <c r="Q12" s="73">
        <f>'Stakeholder list'!R17</f>
        <v/>
      </c>
      <c r="R12" s="71">
        <f>'Stakeholder list'!S17</f>
        <v/>
      </c>
      <c r="S12" s="72" t="n"/>
      <c r="T12" s="72" t="n"/>
      <c r="U12" s="72" t="n"/>
      <c r="V12" s="72" t="n"/>
      <c r="W12" s="72" t="n"/>
    </row>
    <row r="13">
      <c r="A13" s="71">
        <f>'Stakeholder list'!B18</f>
        <v/>
      </c>
      <c r="B13" s="71">
        <f>'Stakeholder list'!C18</f>
        <v/>
      </c>
      <c r="C13" s="71">
        <f>'Stakeholder list'!D18</f>
        <v/>
      </c>
      <c r="D13" s="71">
        <f>'Stakeholder list'!E18</f>
        <v/>
      </c>
      <c r="E13" s="71">
        <f>'Stakeholder list'!F18</f>
        <v/>
      </c>
      <c r="F13" s="71">
        <f>'Stakeholder list'!G18</f>
        <v/>
      </c>
      <c r="G13" s="71">
        <f>'Stakeholder list'!H18</f>
        <v/>
      </c>
      <c r="H13" s="71">
        <f>'Stakeholder list'!I18</f>
        <v/>
      </c>
      <c r="I13" s="71">
        <f>'Stakeholder list'!J18</f>
        <v/>
      </c>
      <c r="J13" s="71">
        <f>'Stakeholder list'!K18</f>
        <v/>
      </c>
      <c r="K13" s="71">
        <f>'Stakeholder list'!L18</f>
        <v/>
      </c>
      <c r="L13" s="71">
        <f>'Stakeholder list'!M18</f>
        <v/>
      </c>
      <c r="M13" s="71">
        <f>'Stakeholder list'!N18</f>
        <v/>
      </c>
      <c r="N13" s="71">
        <f>'Stakeholder list'!O18</f>
        <v/>
      </c>
      <c r="O13" s="71">
        <f>'Stakeholder list'!P18</f>
        <v/>
      </c>
      <c r="P13" s="71">
        <f>'Stakeholder list'!Q18</f>
        <v/>
      </c>
      <c r="Q13" s="73">
        <f>'Stakeholder list'!R18</f>
        <v/>
      </c>
      <c r="R13" s="71">
        <f>'Stakeholder list'!S18</f>
        <v/>
      </c>
      <c r="S13" s="72" t="n"/>
      <c r="T13" s="72" t="n"/>
      <c r="U13" s="72" t="n"/>
      <c r="V13" s="72" t="n"/>
      <c r="W13" s="72" t="n"/>
    </row>
    <row r="14">
      <c r="A14" s="71">
        <f>'Stakeholder list'!B19</f>
        <v/>
      </c>
      <c r="B14" s="71">
        <f>'Stakeholder list'!C19</f>
        <v/>
      </c>
      <c r="C14" s="71">
        <f>'Stakeholder list'!D19</f>
        <v/>
      </c>
      <c r="D14" s="71">
        <f>'Stakeholder list'!E19</f>
        <v/>
      </c>
      <c r="E14" s="71">
        <f>'Stakeholder list'!F19</f>
        <v/>
      </c>
      <c r="F14" s="71">
        <f>'Stakeholder list'!G19</f>
        <v/>
      </c>
      <c r="G14" s="71">
        <f>'Stakeholder list'!H19</f>
        <v/>
      </c>
      <c r="H14" s="71">
        <f>'Stakeholder list'!I19</f>
        <v/>
      </c>
      <c r="I14" s="71">
        <f>'Stakeholder list'!J19</f>
        <v/>
      </c>
      <c r="J14" s="71">
        <f>'Stakeholder list'!K19</f>
        <v/>
      </c>
      <c r="K14" s="71">
        <f>'Stakeholder list'!L19</f>
        <v/>
      </c>
      <c r="L14" s="71">
        <f>'Stakeholder list'!M19</f>
        <v/>
      </c>
      <c r="M14" s="71">
        <f>'Stakeholder list'!N19</f>
        <v/>
      </c>
      <c r="N14" s="71">
        <f>'Stakeholder list'!O19</f>
        <v/>
      </c>
      <c r="O14" s="71">
        <f>'Stakeholder list'!P19</f>
        <v/>
      </c>
      <c r="P14" s="71">
        <f>'Stakeholder list'!Q19</f>
        <v/>
      </c>
      <c r="Q14" s="73">
        <f>'Stakeholder list'!R19</f>
        <v/>
      </c>
      <c r="R14" s="71">
        <f>'Stakeholder list'!S19</f>
        <v/>
      </c>
      <c r="S14" s="72" t="n"/>
      <c r="T14" s="72" t="n"/>
      <c r="U14" s="72" t="n"/>
      <c r="V14" s="72" t="n"/>
      <c r="W14" s="72" t="n"/>
    </row>
    <row r="15">
      <c r="A15" s="71">
        <f>'Stakeholder list'!B20</f>
        <v/>
      </c>
      <c r="B15" s="71">
        <f>'Stakeholder list'!C20</f>
        <v/>
      </c>
      <c r="C15" s="71">
        <f>'Stakeholder list'!D20</f>
        <v/>
      </c>
      <c r="D15" s="71">
        <f>'Stakeholder list'!E20</f>
        <v/>
      </c>
      <c r="E15" s="71">
        <f>'Stakeholder list'!F20</f>
        <v/>
      </c>
      <c r="F15" s="71">
        <f>'Stakeholder list'!G20</f>
        <v/>
      </c>
      <c r="G15" s="71">
        <f>'Stakeholder list'!H20</f>
        <v/>
      </c>
      <c r="H15" s="71">
        <f>'Stakeholder list'!I20</f>
        <v/>
      </c>
      <c r="I15" s="71">
        <f>'Stakeholder list'!J20</f>
        <v/>
      </c>
      <c r="J15" s="71">
        <f>'Stakeholder list'!K20</f>
        <v/>
      </c>
      <c r="K15" s="71">
        <f>'Stakeholder list'!L20</f>
        <v/>
      </c>
      <c r="L15" s="71">
        <f>'Stakeholder list'!M20</f>
        <v/>
      </c>
      <c r="M15" s="71">
        <f>'Stakeholder list'!N20</f>
        <v/>
      </c>
      <c r="N15" s="71">
        <f>'Stakeholder list'!O20</f>
        <v/>
      </c>
      <c r="O15" s="71">
        <f>'Stakeholder list'!P20</f>
        <v/>
      </c>
      <c r="P15" s="71">
        <f>'Stakeholder list'!Q20</f>
        <v/>
      </c>
      <c r="Q15" s="73">
        <f>'Stakeholder list'!R20</f>
        <v/>
      </c>
      <c r="R15" s="71">
        <f>'Stakeholder list'!S20</f>
        <v/>
      </c>
      <c r="S15" s="71">
        <f>'Stakeholder list'!T20</f>
        <v/>
      </c>
      <c r="T15" s="71">
        <f>'Stakeholder list'!U20</f>
        <v/>
      </c>
      <c r="U15" s="71">
        <f>'Stakeholder list'!V20</f>
        <v/>
      </c>
      <c r="V15" s="71">
        <f>'Stakeholder list'!W20</f>
        <v/>
      </c>
      <c r="W15" s="71">
        <f>'Stakeholder list'!X20</f>
        <v/>
      </c>
    </row>
    <row r="16">
      <c r="A16" s="71">
        <f>'Stakeholder list'!B21</f>
        <v/>
      </c>
      <c r="B16" s="71">
        <f>'Stakeholder list'!C21</f>
        <v/>
      </c>
      <c r="C16" s="71">
        <f>'Stakeholder list'!D21</f>
        <v/>
      </c>
      <c r="D16" s="71">
        <f>'Stakeholder list'!E21</f>
        <v/>
      </c>
      <c r="E16" s="71">
        <f>'Stakeholder list'!F21</f>
        <v/>
      </c>
      <c r="F16" s="71">
        <f>'Stakeholder list'!G21</f>
        <v/>
      </c>
      <c r="G16" s="71">
        <f>'Stakeholder list'!H21</f>
        <v/>
      </c>
      <c r="H16" s="71">
        <f>'Stakeholder list'!I21</f>
        <v/>
      </c>
      <c r="I16" s="71">
        <f>'Stakeholder list'!J21</f>
        <v/>
      </c>
      <c r="J16" s="71">
        <f>'Stakeholder list'!K21</f>
        <v/>
      </c>
      <c r="K16" s="71">
        <f>'Stakeholder list'!L21</f>
        <v/>
      </c>
      <c r="L16" s="71">
        <f>'Stakeholder list'!M21</f>
        <v/>
      </c>
      <c r="M16" s="71">
        <f>'Stakeholder list'!N21</f>
        <v/>
      </c>
      <c r="N16" s="71">
        <f>'Stakeholder list'!O21</f>
        <v/>
      </c>
      <c r="O16" s="71">
        <f>'Stakeholder list'!P21</f>
        <v/>
      </c>
      <c r="P16" s="71">
        <f>'Stakeholder list'!Q21</f>
        <v/>
      </c>
      <c r="Q16" s="73">
        <f>'Stakeholder list'!R21</f>
        <v/>
      </c>
      <c r="R16" s="71">
        <f>'Stakeholder list'!S21</f>
        <v/>
      </c>
      <c r="S16" s="71">
        <f>'Stakeholder list'!T21</f>
        <v/>
      </c>
      <c r="T16" s="71">
        <f>'Stakeholder list'!U21</f>
        <v/>
      </c>
      <c r="U16" s="71">
        <f>'Stakeholder list'!V21</f>
        <v/>
      </c>
      <c r="V16" s="71">
        <f>'Stakeholder list'!W21</f>
        <v/>
      </c>
      <c r="W16" s="71">
        <f>'Stakeholder list'!X21</f>
        <v/>
      </c>
    </row>
    <row r="17">
      <c r="A17" s="71">
        <f>'Stakeholder list'!B22</f>
        <v/>
      </c>
      <c r="B17" s="71">
        <f>'Stakeholder list'!C22</f>
        <v/>
      </c>
      <c r="C17" s="71">
        <f>'Stakeholder list'!D22</f>
        <v/>
      </c>
      <c r="D17" s="71">
        <f>'Stakeholder list'!E22</f>
        <v/>
      </c>
      <c r="E17" s="71">
        <f>'Stakeholder list'!F22</f>
        <v/>
      </c>
      <c r="F17" s="71">
        <f>'Stakeholder list'!G22</f>
        <v/>
      </c>
      <c r="G17" s="71">
        <f>'Stakeholder list'!H22</f>
        <v/>
      </c>
      <c r="H17" s="71">
        <f>'Stakeholder list'!I22</f>
        <v/>
      </c>
      <c r="I17" s="71">
        <f>'Stakeholder list'!J22</f>
        <v/>
      </c>
      <c r="J17" s="71">
        <f>'Stakeholder list'!K22</f>
        <v/>
      </c>
      <c r="K17" s="71">
        <f>'Stakeholder list'!L22</f>
        <v/>
      </c>
      <c r="L17" s="71">
        <f>'Stakeholder list'!M22</f>
        <v/>
      </c>
      <c r="M17" s="71">
        <f>'Stakeholder list'!N22</f>
        <v/>
      </c>
      <c r="N17" s="71">
        <f>'Stakeholder list'!O22</f>
        <v/>
      </c>
      <c r="O17" s="71">
        <f>'Stakeholder list'!P22</f>
        <v/>
      </c>
      <c r="P17" s="71">
        <f>'Stakeholder list'!Q22</f>
        <v/>
      </c>
      <c r="Q17" s="73">
        <f>'Stakeholder list'!R22</f>
        <v/>
      </c>
      <c r="R17" s="71">
        <f>'Stakeholder list'!S22</f>
        <v/>
      </c>
      <c r="S17" s="71">
        <f>'Stakeholder list'!T22</f>
        <v/>
      </c>
      <c r="T17" s="71">
        <f>'Stakeholder list'!U22</f>
        <v/>
      </c>
      <c r="U17" s="71">
        <f>'Stakeholder list'!V22</f>
        <v/>
      </c>
      <c r="V17" s="71">
        <f>'Stakeholder list'!W22</f>
        <v/>
      </c>
      <c r="W17" s="71">
        <f>'Stakeholder list'!X22</f>
        <v/>
      </c>
    </row>
    <row r="18">
      <c r="A18" s="71">
        <f>'Stakeholder list'!B23</f>
        <v/>
      </c>
      <c r="B18" s="71">
        <f>'Stakeholder list'!C23</f>
        <v/>
      </c>
      <c r="C18" s="71">
        <f>'Stakeholder list'!D23</f>
        <v/>
      </c>
      <c r="D18" s="71">
        <f>'Stakeholder list'!E23</f>
        <v/>
      </c>
      <c r="E18" s="71">
        <f>'Stakeholder list'!F23</f>
        <v/>
      </c>
      <c r="F18" s="71">
        <f>'Stakeholder list'!G23</f>
        <v/>
      </c>
      <c r="G18" s="71">
        <f>'Stakeholder list'!H23</f>
        <v/>
      </c>
      <c r="H18" s="71">
        <f>'Stakeholder list'!I23</f>
        <v/>
      </c>
      <c r="I18" s="71">
        <f>'Stakeholder list'!J23</f>
        <v/>
      </c>
      <c r="J18" s="71">
        <f>'Stakeholder list'!K23</f>
        <v/>
      </c>
      <c r="K18" s="71">
        <f>'Stakeholder list'!L23</f>
        <v/>
      </c>
      <c r="L18" s="71">
        <f>'Stakeholder list'!M23</f>
        <v/>
      </c>
      <c r="M18" s="71">
        <f>'Stakeholder list'!N23</f>
        <v/>
      </c>
      <c r="N18" s="71">
        <f>'Stakeholder list'!O23</f>
        <v/>
      </c>
      <c r="O18" s="71">
        <f>'Stakeholder list'!P23</f>
        <v/>
      </c>
      <c r="P18" s="71">
        <f>'Stakeholder list'!Q23</f>
        <v/>
      </c>
      <c r="Q18" s="73">
        <f>'Stakeholder list'!R23</f>
        <v/>
      </c>
      <c r="R18" s="71">
        <f>'Stakeholder list'!S23</f>
        <v/>
      </c>
      <c r="S18" s="71">
        <f>'Stakeholder list'!T23</f>
        <v/>
      </c>
      <c r="T18" s="71">
        <f>'Stakeholder list'!U23</f>
        <v/>
      </c>
      <c r="U18" s="71">
        <f>'Stakeholder list'!V23</f>
        <v/>
      </c>
      <c r="V18" s="71">
        <f>'Stakeholder list'!W23</f>
        <v/>
      </c>
      <c r="W18" s="71">
        <f>'Stakeholder list'!X23</f>
        <v/>
      </c>
    </row>
    <row r="19">
      <c r="A19" s="71">
        <f>'Stakeholder list'!B24</f>
        <v/>
      </c>
      <c r="B19" s="71">
        <f>'Stakeholder list'!C24</f>
        <v/>
      </c>
      <c r="C19" s="71">
        <f>'Stakeholder list'!D24</f>
        <v/>
      </c>
      <c r="D19" s="71">
        <f>'Stakeholder list'!E24</f>
        <v/>
      </c>
      <c r="E19" s="71">
        <f>'Stakeholder list'!F24</f>
        <v/>
      </c>
      <c r="F19" s="71">
        <f>'Stakeholder list'!G24</f>
        <v/>
      </c>
      <c r="G19" s="71">
        <f>'Stakeholder list'!H24</f>
        <v/>
      </c>
      <c r="H19" s="71">
        <f>'Stakeholder list'!I24</f>
        <v/>
      </c>
      <c r="I19" s="71">
        <f>'Stakeholder list'!J24</f>
        <v/>
      </c>
      <c r="J19" s="71">
        <f>'Stakeholder list'!K24</f>
        <v/>
      </c>
      <c r="K19" s="71">
        <f>'Stakeholder list'!L24</f>
        <v/>
      </c>
      <c r="L19" s="71">
        <f>'Stakeholder list'!M24</f>
        <v/>
      </c>
      <c r="M19" s="71">
        <f>'Stakeholder list'!N24</f>
        <v/>
      </c>
      <c r="N19" s="71">
        <f>'Stakeholder list'!O24</f>
        <v/>
      </c>
      <c r="O19" s="71">
        <f>'Stakeholder list'!P24</f>
        <v/>
      </c>
      <c r="P19" s="71">
        <f>'Stakeholder list'!Q24</f>
        <v/>
      </c>
      <c r="Q19" s="73">
        <f>'Stakeholder list'!R24</f>
        <v/>
      </c>
      <c r="R19" s="71">
        <f>'Stakeholder list'!S24</f>
        <v/>
      </c>
      <c r="S19" s="71">
        <f>'Stakeholder list'!T24</f>
        <v/>
      </c>
      <c r="T19" s="71">
        <f>'Stakeholder list'!U24</f>
        <v/>
      </c>
      <c r="U19" s="71">
        <f>'Stakeholder list'!V24</f>
        <v/>
      </c>
      <c r="V19" s="71">
        <f>'Stakeholder list'!W24</f>
        <v/>
      </c>
      <c r="W19" s="71">
        <f>'Stakeholder list'!X24</f>
        <v/>
      </c>
    </row>
    <row r="20">
      <c r="A20" s="71">
        <f>'Stakeholder list'!B25</f>
        <v/>
      </c>
      <c r="B20" s="71">
        <f>'Stakeholder list'!C25</f>
        <v/>
      </c>
      <c r="C20" s="71">
        <f>'Stakeholder list'!D25</f>
        <v/>
      </c>
      <c r="D20" s="71">
        <f>'Stakeholder list'!E25</f>
        <v/>
      </c>
      <c r="E20" s="71">
        <f>'Stakeholder list'!F25</f>
        <v/>
      </c>
      <c r="F20" s="71">
        <f>'Stakeholder list'!G25</f>
        <v/>
      </c>
      <c r="G20" s="71">
        <f>'Stakeholder list'!H25</f>
        <v/>
      </c>
      <c r="H20" s="71">
        <f>'Stakeholder list'!I25</f>
        <v/>
      </c>
      <c r="I20" s="71">
        <f>'Stakeholder list'!J25</f>
        <v/>
      </c>
      <c r="J20" s="71">
        <f>'Stakeholder list'!K25</f>
        <v/>
      </c>
      <c r="K20" s="71">
        <f>'Stakeholder list'!L25</f>
        <v/>
      </c>
      <c r="L20" s="71">
        <f>'Stakeholder list'!M25</f>
        <v/>
      </c>
      <c r="M20" s="71">
        <f>'Stakeholder list'!N25</f>
        <v/>
      </c>
      <c r="N20" s="71">
        <f>'Stakeholder list'!O25</f>
        <v/>
      </c>
      <c r="O20" s="71">
        <f>'Stakeholder list'!P25</f>
        <v/>
      </c>
      <c r="P20" s="71">
        <f>'Stakeholder list'!Q25</f>
        <v/>
      </c>
      <c r="Q20" s="73">
        <f>'Stakeholder list'!R25</f>
        <v/>
      </c>
      <c r="R20" s="71">
        <f>'Stakeholder list'!S25</f>
        <v/>
      </c>
      <c r="S20" s="71">
        <f>'Stakeholder list'!T25</f>
        <v/>
      </c>
      <c r="T20" s="71">
        <f>'Stakeholder list'!U25</f>
        <v/>
      </c>
      <c r="U20" s="71">
        <f>'Stakeholder list'!V25</f>
        <v/>
      </c>
      <c r="V20" s="71">
        <f>'Stakeholder list'!W25</f>
        <v/>
      </c>
      <c r="W20" s="71">
        <f>'Stakeholder list'!X25</f>
        <v/>
      </c>
    </row>
    <row r="21">
      <c r="A21" s="71">
        <f>'Stakeholder list'!B26</f>
        <v/>
      </c>
      <c r="B21" s="71">
        <f>'Stakeholder list'!C26</f>
        <v/>
      </c>
      <c r="C21" s="71">
        <f>'Stakeholder list'!D26</f>
        <v/>
      </c>
      <c r="D21" s="71">
        <f>'Stakeholder list'!E26</f>
        <v/>
      </c>
      <c r="E21" s="71">
        <f>'Stakeholder list'!F26</f>
        <v/>
      </c>
      <c r="F21" s="71">
        <f>'Stakeholder list'!G26</f>
        <v/>
      </c>
      <c r="G21" s="71">
        <f>'Stakeholder list'!H26</f>
        <v/>
      </c>
      <c r="H21" s="71">
        <f>'Stakeholder list'!I26</f>
        <v/>
      </c>
      <c r="I21" s="71">
        <f>'Stakeholder list'!J26</f>
        <v/>
      </c>
      <c r="J21" s="71">
        <f>'Stakeholder list'!K26</f>
        <v/>
      </c>
      <c r="K21" s="71">
        <f>'Stakeholder list'!L26</f>
        <v/>
      </c>
      <c r="L21" s="71">
        <f>'Stakeholder list'!M26</f>
        <v/>
      </c>
      <c r="M21" s="71">
        <f>'Stakeholder list'!N26</f>
        <v/>
      </c>
      <c r="N21" s="71">
        <f>'Stakeholder list'!O26</f>
        <v/>
      </c>
      <c r="O21" s="71">
        <f>'Stakeholder list'!P26</f>
        <v/>
      </c>
      <c r="P21" s="71">
        <f>'Stakeholder list'!Q26</f>
        <v/>
      </c>
      <c r="Q21" s="73">
        <f>'Stakeholder list'!R26</f>
        <v/>
      </c>
      <c r="R21" s="71">
        <f>'Stakeholder list'!S26</f>
        <v/>
      </c>
      <c r="S21" s="71">
        <f>'Stakeholder list'!T26</f>
        <v/>
      </c>
      <c r="T21" s="71">
        <f>'Stakeholder list'!U26</f>
        <v/>
      </c>
      <c r="U21" s="71">
        <f>'Stakeholder list'!V26</f>
        <v/>
      </c>
      <c r="V21" s="71">
        <f>'Stakeholder list'!W26</f>
        <v/>
      </c>
      <c r="W21" s="71">
        <f>'Stakeholder list'!X26</f>
        <v/>
      </c>
    </row>
    <row r="22">
      <c r="A22" s="71">
        <f>'Stakeholder list'!B27</f>
        <v/>
      </c>
      <c r="B22" s="71">
        <f>'Stakeholder list'!C27</f>
        <v/>
      </c>
      <c r="C22" s="71">
        <f>'Stakeholder list'!D27</f>
        <v/>
      </c>
      <c r="D22" s="71">
        <f>'Stakeholder list'!E27</f>
        <v/>
      </c>
      <c r="E22" s="71">
        <f>'Stakeholder list'!F27</f>
        <v/>
      </c>
      <c r="F22" s="71">
        <f>'Stakeholder list'!G27</f>
        <v/>
      </c>
      <c r="G22" s="71">
        <f>'Stakeholder list'!H27</f>
        <v/>
      </c>
      <c r="H22" s="71">
        <f>'Stakeholder list'!I27</f>
        <v/>
      </c>
      <c r="I22" s="71">
        <f>'Stakeholder list'!J27</f>
        <v/>
      </c>
      <c r="J22" s="71">
        <f>'Stakeholder list'!K27</f>
        <v/>
      </c>
      <c r="K22" s="71">
        <f>'Stakeholder list'!L27</f>
        <v/>
      </c>
      <c r="L22" s="71">
        <f>'Stakeholder list'!M27</f>
        <v/>
      </c>
      <c r="M22" s="71">
        <f>'Stakeholder list'!N27</f>
        <v/>
      </c>
      <c r="N22" s="71">
        <f>'Stakeholder list'!O27</f>
        <v/>
      </c>
      <c r="O22" s="71">
        <f>'Stakeholder list'!P27</f>
        <v/>
      </c>
      <c r="P22" s="71">
        <f>'Stakeholder list'!Q27</f>
        <v/>
      </c>
      <c r="Q22" s="73">
        <f>'Stakeholder list'!R27</f>
        <v/>
      </c>
      <c r="R22" s="71">
        <f>'Stakeholder list'!S27</f>
        <v/>
      </c>
      <c r="S22" s="71">
        <f>'Stakeholder list'!T27</f>
        <v/>
      </c>
      <c r="T22" s="71">
        <f>'Stakeholder list'!U27</f>
        <v/>
      </c>
      <c r="U22" s="71">
        <f>'Stakeholder list'!V27</f>
        <v/>
      </c>
      <c r="V22" s="71">
        <f>'Stakeholder list'!W27</f>
        <v/>
      </c>
      <c r="W22" s="71">
        <f>'Stakeholder list'!X27</f>
        <v/>
      </c>
    </row>
    <row r="23">
      <c r="A23" s="71">
        <f>'Stakeholder list'!B28</f>
        <v/>
      </c>
      <c r="B23" s="71">
        <f>'Stakeholder list'!C28</f>
        <v/>
      </c>
      <c r="C23" s="71">
        <f>'Stakeholder list'!D28</f>
        <v/>
      </c>
      <c r="D23" s="71">
        <f>'Stakeholder list'!E28</f>
        <v/>
      </c>
      <c r="E23" s="71">
        <f>'Stakeholder list'!F28</f>
        <v/>
      </c>
      <c r="F23" s="71">
        <f>'Stakeholder list'!G28</f>
        <v/>
      </c>
      <c r="G23" s="71">
        <f>'Stakeholder list'!H28</f>
        <v/>
      </c>
      <c r="H23" s="71">
        <f>'Stakeholder list'!I28</f>
        <v/>
      </c>
      <c r="I23" s="71">
        <f>'Stakeholder list'!J28</f>
        <v/>
      </c>
      <c r="J23" s="71">
        <f>'Stakeholder list'!K28</f>
        <v/>
      </c>
      <c r="K23" s="71">
        <f>'Stakeholder list'!L28</f>
        <v/>
      </c>
      <c r="L23" s="71">
        <f>'Stakeholder list'!M28</f>
        <v/>
      </c>
      <c r="M23" s="71">
        <f>'Stakeholder list'!N28</f>
        <v/>
      </c>
      <c r="N23" s="71">
        <f>'Stakeholder list'!O28</f>
        <v/>
      </c>
      <c r="O23" s="71">
        <f>'Stakeholder list'!P28</f>
        <v/>
      </c>
      <c r="P23" s="71">
        <f>'Stakeholder list'!Q28</f>
        <v/>
      </c>
      <c r="Q23" s="73">
        <f>'Stakeholder list'!R28</f>
        <v/>
      </c>
      <c r="R23" s="71">
        <f>'Stakeholder list'!S28</f>
        <v/>
      </c>
      <c r="S23" s="71">
        <f>'Stakeholder list'!T28</f>
        <v/>
      </c>
      <c r="T23" s="71">
        <f>'Stakeholder list'!U28</f>
        <v/>
      </c>
      <c r="U23" s="71">
        <f>'Stakeholder list'!V28</f>
        <v/>
      </c>
      <c r="V23" s="71">
        <f>'Stakeholder list'!W28</f>
        <v/>
      </c>
      <c r="W23" s="71">
        <f>'Stakeholder list'!X28</f>
        <v/>
      </c>
    </row>
    <row r="24">
      <c r="A24" s="71">
        <f>'Stakeholder list'!B29</f>
        <v/>
      </c>
      <c r="B24" s="71">
        <f>'Stakeholder list'!C29</f>
        <v/>
      </c>
      <c r="C24" s="71">
        <f>'Stakeholder list'!D29</f>
        <v/>
      </c>
      <c r="D24" s="71">
        <f>'Stakeholder list'!E29</f>
        <v/>
      </c>
      <c r="E24" s="71">
        <f>'Stakeholder list'!F29</f>
        <v/>
      </c>
      <c r="F24" s="71">
        <f>'Stakeholder list'!G29</f>
        <v/>
      </c>
      <c r="G24" s="71">
        <f>'Stakeholder list'!H29</f>
        <v/>
      </c>
      <c r="H24" s="71">
        <f>'Stakeholder list'!I29</f>
        <v/>
      </c>
      <c r="I24" s="71">
        <f>'Stakeholder list'!J29</f>
        <v/>
      </c>
      <c r="J24" s="71">
        <f>'Stakeholder list'!K29</f>
        <v/>
      </c>
      <c r="K24" s="71">
        <f>'Stakeholder list'!L29</f>
        <v/>
      </c>
      <c r="L24" s="71">
        <f>'Stakeholder list'!M29</f>
        <v/>
      </c>
      <c r="M24" s="71">
        <f>'Stakeholder list'!N29</f>
        <v/>
      </c>
      <c r="N24" s="71">
        <f>'Stakeholder list'!O29</f>
        <v/>
      </c>
      <c r="O24" s="71">
        <f>'Stakeholder list'!P29</f>
        <v/>
      </c>
      <c r="P24" s="71">
        <f>'Stakeholder list'!Q29</f>
        <v/>
      </c>
      <c r="Q24" s="73">
        <f>'Stakeholder list'!R29</f>
        <v/>
      </c>
      <c r="R24" s="71">
        <f>'Stakeholder list'!S29</f>
        <v/>
      </c>
      <c r="S24" s="71">
        <f>'Stakeholder list'!T29</f>
        <v/>
      </c>
      <c r="T24" s="71">
        <f>'Stakeholder list'!U29</f>
        <v/>
      </c>
      <c r="U24" s="71">
        <f>'Stakeholder list'!V29</f>
        <v/>
      </c>
      <c r="V24" s="71">
        <f>'Stakeholder list'!W29</f>
        <v/>
      </c>
      <c r="W24" s="71">
        <f>'Stakeholder list'!X29</f>
        <v/>
      </c>
    </row>
    <row r="25">
      <c r="A25" s="71">
        <f>'Stakeholder list'!B30</f>
        <v/>
      </c>
      <c r="B25" s="71">
        <f>'Stakeholder list'!C30</f>
        <v/>
      </c>
      <c r="C25" s="71">
        <f>'Stakeholder list'!D30</f>
        <v/>
      </c>
      <c r="D25" s="71">
        <f>'Stakeholder list'!E30</f>
        <v/>
      </c>
      <c r="E25" s="71">
        <f>'Stakeholder list'!F30</f>
        <v/>
      </c>
      <c r="F25" s="71">
        <f>'Stakeholder list'!G30</f>
        <v/>
      </c>
      <c r="G25" s="71">
        <f>'Stakeholder list'!H30</f>
        <v/>
      </c>
      <c r="H25" s="71">
        <f>'Stakeholder list'!I30</f>
        <v/>
      </c>
      <c r="I25" s="71">
        <f>'Stakeholder list'!J30</f>
        <v/>
      </c>
      <c r="J25" s="71">
        <f>'Stakeholder list'!K30</f>
        <v/>
      </c>
      <c r="K25" s="71">
        <f>'Stakeholder list'!L30</f>
        <v/>
      </c>
      <c r="L25" s="71">
        <f>'Stakeholder list'!M30</f>
        <v/>
      </c>
      <c r="M25" s="71">
        <f>'Stakeholder list'!N30</f>
        <v/>
      </c>
      <c r="N25" s="71">
        <f>'Stakeholder list'!O30</f>
        <v/>
      </c>
      <c r="O25" s="71">
        <f>'Stakeholder list'!P30</f>
        <v/>
      </c>
      <c r="P25" s="71">
        <f>'Stakeholder list'!Q30</f>
        <v/>
      </c>
      <c r="Q25" s="73">
        <f>'Stakeholder list'!R30</f>
        <v/>
      </c>
      <c r="R25" s="71">
        <f>'Stakeholder list'!S30</f>
        <v/>
      </c>
      <c r="S25" s="71">
        <f>'Stakeholder list'!T30</f>
        <v/>
      </c>
      <c r="T25" s="71">
        <f>'Stakeholder list'!U30</f>
        <v/>
      </c>
      <c r="U25" s="71">
        <f>'Stakeholder list'!V30</f>
        <v/>
      </c>
      <c r="V25" s="71">
        <f>'Stakeholder list'!W30</f>
        <v/>
      </c>
      <c r="W25" s="71">
        <f>'Stakeholder list'!X30</f>
        <v/>
      </c>
    </row>
    <row r="26">
      <c r="A26" s="71">
        <f>'Stakeholder list'!B31</f>
        <v/>
      </c>
      <c r="B26" s="71">
        <f>'Stakeholder list'!C31</f>
        <v/>
      </c>
      <c r="C26" s="71">
        <f>'Stakeholder list'!D31</f>
        <v/>
      </c>
      <c r="D26" s="71">
        <f>'Stakeholder list'!E31</f>
        <v/>
      </c>
      <c r="E26" s="71">
        <f>'Stakeholder list'!F31</f>
        <v/>
      </c>
      <c r="F26" s="71">
        <f>'Stakeholder list'!G31</f>
        <v/>
      </c>
      <c r="G26" s="71">
        <f>'Stakeholder list'!H31</f>
        <v/>
      </c>
      <c r="H26" s="71">
        <f>'Stakeholder list'!I31</f>
        <v/>
      </c>
      <c r="I26" s="71">
        <f>'Stakeholder list'!J31</f>
        <v/>
      </c>
      <c r="J26" s="71">
        <f>'Stakeholder list'!K31</f>
        <v/>
      </c>
      <c r="K26" s="71">
        <f>'Stakeholder list'!L31</f>
        <v/>
      </c>
      <c r="L26" s="71">
        <f>'Stakeholder list'!M31</f>
        <v/>
      </c>
      <c r="M26" s="71">
        <f>'Stakeholder list'!N31</f>
        <v/>
      </c>
      <c r="N26" s="71">
        <f>'Stakeholder list'!O31</f>
        <v/>
      </c>
      <c r="O26" s="71">
        <f>'Stakeholder list'!P31</f>
        <v/>
      </c>
      <c r="P26" s="71">
        <f>'Stakeholder list'!Q31</f>
        <v/>
      </c>
      <c r="Q26" s="71">
        <f>'Stakeholder list'!R31</f>
        <v/>
      </c>
      <c r="R26" s="71">
        <f>'Stakeholder list'!S31</f>
        <v/>
      </c>
      <c r="S26" s="71">
        <f>'Stakeholder list'!T31</f>
        <v/>
      </c>
      <c r="T26" s="71">
        <f>'Stakeholder list'!U31</f>
        <v/>
      </c>
      <c r="U26" s="71">
        <f>'Stakeholder list'!V31</f>
        <v/>
      </c>
      <c r="V26" s="71">
        <f>'Stakeholder list'!W31</f>
        <v/>
      </c>
      <c r="W26" s="71">
        <f>'Stakeholder list'!X31</f>
        <v/>
      </c>
    </row>
    <row r="27">
      <c r="A27" s="71">
        <f>'Stakeholder list'!B32</f>
        <v/>
      </c>
      <c r="B27" s="71">
        <f>'Stakeholder list'!C32</f>
        <v/>
      </c>
      <c r="C27" s="71">
        <f>'Stakeholder list'!D32</f>
        <v/>
      </c>
      <c r="D27" s="71">
        <f>'Stakeholder list'!E32</f>
        <v/>
      </c>
      <c r="E27" s="71">
        <f>'Stakeholder list'!F32</f>
        <v/>
      </c>
      <c r="F27" s="71">
        <f>'Stakeholder list'!G32</f>
        <v/>
      </c>
      <c r="G27" s="71">
        <f>'Stakeholder list'!H32</f>
        <v/>
      </c>
      <c r="H27" s="71">
        <f>'Stakeholder list'!I32</f>
        <v/>
      </c>
      <c r="I27" s="71">
        <f>'Stakeholder list'!J32</f>
        <v/>
      </c>
      <c r="J27" s="71">
        <f>'Stakeholder list'!K32</f>
        <v/>
      </c>
      <c r="K27" s="71">
        <f>'Stakeholder list'!L32</f>
        <v/>
      </c>
      <c r="L27" s="71">
        <f>'Stakeholder list'!M32</f>
        <v/>
      </c>
      <c r="M27" s="71">
        <f>'Stakeholder list'!N32</f>
        <v/>
      </c>
      <c r="N27" s="71">
        <f>'Stakeholder list'!O32</f>
        <v/>
      </c>
      <c r="O27" s="71">
        <f>'Stakeholder list'!P32</f>
        <v/>
      </c>
      <c r="P27" s="71">
        <f>'Stakeholder list'!Q32</f>
        <v/>
      </c>
      <c r="Q27" s="71">
        <f>'Stakeholder list'!R32</f>
        <v/>
      </c>
      <c r="R27" s="71">
        <f>'Stakeholder list'!S32</f>
        <v/>
      </c>
      <c r="S27" s="71">
        <f>'Stakeholder list'!T32</f>
        <v/>
      </c>
      <c r="T27" s="71">
        <f>'Stakeholder list'!U32</f>
        <v/>
      </c>
      <c r="U27" s="71">
        <f>'Stakeholder list'!V32</f>
        <v/>
      </c>
      <c r="V27" s="71">
        <f>'Stakeholder list'!W32</f>
        <v/>
      </c>
      <c r="W27" s="71">
        <f>'Stakeholder list'!X32</f>
        <v/>
      </c>
    </row>
    <row r="28">
      <c r="A28" s="71">
        <f>'Stakeholder list'!B33</f>
        <v/>
      </c>
      <c r="B28" s="71">
        <f>'Stakeholder list'!C33</f>
        <v/>
      </c>
      <c r="C28" s="71">
        <f>'Stakeholder list'!D33</f>
        <v/>
      </c>
      <c r="D28" s="71">
        <f>'Stakeholder list'!E33</f>
        <v/>
      </c>
      <c r="E28" s="71">
        <f>'Stakeholder list'!F33</f>
        <v/>
      </c>
      <c r="F28" s="71">
        <f>'Stakeholder list'!G33</f>
        <v/>
      </c>
      <c r="G28" s="71">
        <f>'Stakeholder list'!H33</f>
        <v/>
      </c>
      <c r="H28" s="71">
        <f>'Stakeholder list'!I33</f>
        <v/>
      </c>
      <c r="I28" s="71">
        <f>'Stakeholder list'!J33</f>
        <v/>
      </c>
      <c r="J28" s="71">
        <f>'Stakeholder list'!K33</f>
        <v/>
      </c>
      <c r="K28" s="71">
        <f>'Stakeholder list'!L33</f>
        <v/>
      </c>
      <c r="L28" s="71">
        <f>'Stakeholder list'!M33</f>
        <v/>
      </c>
      <c r="M28" s="71">
        <f>'Stakeholder list'!N33</f>
        <v/>
      </c>
      <c r="N28" s="71">
        <f>'Stakeholder list'!O33</f>
        <v/>
      </c>
      <c r="O28" s="71">
        <f>'Stakeholder list'!P33</f>
        <v/>
      </c>
      <c r="P28" s="71">
        <f>'Stakeholder list'!Q33</f>
        <v/>
      </c>
      <c r="Q28" s="71">
        <f>'Stakeholder list'!R33</f>
        <v/>
      </c>
      <c r="R28" s="71">
        <f>'Stakeholder list'!S33</f>
        <v/>
      </c>
      <c r="S28" s="71">
        <f>'Stakeholder list'!T33</f>
        <v/>
      </c>
      <c r="T28" s="71">
        <f>'Stakeholder list'!U33</f>
        <v/>
      </c>
      <c r="U28" s="71">
        <f>'Stakeholder list'!V33</f>
        <v/>
      </c>
      <c r="V28" s="71">
        <f>'Stakeholder list'!W33</f>
        <v/>
      </c>
      <c r="W28" s="71">
        <f>'Stakeholder list'!X33</f>
        <v/>
      </c>
    </row>
    <row r="29">
      <c r="A29" s="71">
        <f>'Stakeholder list'!B34</f>
        <v/>
      </c>
      <c r="B29" s="71">
        <f>'Stakeholder list'!C34</f>
        <v/>
      </c>
      <c r="C29" s="71">
        <f>'Stakeholder list'!D34</f>
        <v/>
      </c>
      <c r="D29" s="71">
        <f>'Stakeholder list'!E34</f>
        <v/>
      </c>
      <c r="E29" s="71">
        <f>'Stakeholder list'!F34</f>
        <v/>
      </c>
      <c r="F29" s="71">
        <f>'Stakeholder list'!G34</f>
        <v/>
      </c>
      <c r="G29" s="71">
        <f>'Stakeholder list'!H34</f>
        <v/>
      </c>
      <c r="H29" s="71">
        <f>'Stakeholder list'!I34</f>
        <v/>
      </c>
      <c r="I29" s="71">
        <f>'Stakeholder list'!J34</f>
        <v/>
      </c>
      <c r="J29" s="71">
        <f>'Stakeholder list'!K34</f>
        <v/>
      </c>
      <c r="K29" s="71">
        <f>'Stakeholder list'!L34</f>
        <v/>
      </c>
      <c r="L29" s="71">
        <f>'Stakeholder list'!M34</f>
        <v/>
      </c>
      <c r="M29" s="71">
        <f>'Stakeholder list'!N34</f>
        <v/>
      </c>
      <c r="N29" s="71">
        <f>'Stakeholder list'!O34</f>
        <v/>
      </c>
      <c r="O29" s="71">
        <f>'Stakeholder list'!P34</f>
        <v/>
      </c>
      <c r="P29" s="71">
        <f>'Stakeholder list'!Q34</f>
        <v/>
      </c>
      <c r="Q29" s="71">
        <f>'Stakeholder list'!R34</f>
        <v/>
      </c>
      <c r="R29" s="71">
        <f>'Stakeholder list'!S34</f>
        <v/>
      </c>
      <c r="S29" s="71">
        <f>'Stakeholder list'!T34</f>
        <v/>
      </c>
      <c r="T29" s="71">
        <f>'Stakeholder list'!U34</f>
        <v/>
      </c>
      <c r="U29" s="71">
        <f>'Stakeholder list'!V34</f>
        <v/>
      </c>
      <c r="V29" s="71">
        <f>'Stakeholder list'!W34</f>
        <v/>
      </c>
      <c r="W29" s="71">
        <f>'Stakeholder list'!X34</f>
        <v/>
      </c>
    </row>
    <row r="30">
      <c r="A30" s="71">
        <f>'Stakeholder list'!B35</f>
        <v/>
      </c>
      <c r="B30" s="71">
        <f>'Stakeholder list'!C35</f>
        <v/>
      </c>
      <c r="C30" s="71">
        <f>'Stakeholder list'!D35</f>
        <v/>
      </c>
      <c r="D30" s="71">
        <f>'Stakeholder list'!E35</f>
        <v/>
      </c>
      <c r="E30" s="71">
        <f>'Stakeholder list'!F35</f>
        <v/>
      </c>
      <c r="F30" s="71">
        <f>'Stakeholder list'!G35</f>
        <v/>
      </c>
      <c r="G30" s="71">
        <f>'Stakeholder list'!H35</f>
        <v/>
      </c>
      <c r="H30" s="71">
        <f>'Stakeholder list'!I35</f>
        <v/>
      </c>
      <c r="I30" s="71">
        <f>'Stakeholder list'!J35</f>
        <v/>
      </c>
      <c r="J30" s="71">
        <f>'Stakeholder list'!K35</f>
        <v/>
      </c>
      <c r="K30" s="71">
        <f>'Stakeholder list'!L35</f>
        <v/>
      </c>
      <c r="L30" s="71">
        <f>'Stakeholder list'!M35</f>
        <v/>
      </c>
      <c r="M30" s="71">
        <f>'Stakeholder list'!N35</f>
        <v/>
      </c>
      <c r="N30" s="71">
        <f>'Stakeholder list'!O35</f>
        <v/>
      </c>
      <c r="O30" s="71">
        <f>'Stakeholder list'!P35</f>
        <v/>
      </c>
      <c r="P30" s="71">
        <f>'Stakeholder list'!Q35</f>
        <v/>
      </c>
      <c r="Q30" s="71">
        <f>'Stakeholder list'!R35</f>
        <v/>
      </c>
      <c r="R30" s="71">
        <f>'Stakeholder list'!S35</f>
        <v/>
      </c>
      <c r="S30" s="71">
        <f>'Stakeholder list'!T35</f>
        <v/>
      </c>
      <c r="T30" s="71">
        <f>'Stakeholder list'!U35</f>
        <v/>
      </c>
      <c r="U30" s="71">
        <f>'Stakeholder list'!V35</f>
        <v/>
      </c>
      <c r="V30" s="71">
        <f>'Stakeholder list'!W35</f>
        <v/>
      </c>
      <c r="W30" s="71">
        <f>'Stakeholder list'!X35</f>
        <v/>
      </c>
    </row>
    <row r="31">
      <c r="A31" s="71">
        <f>'Stakeholder list'!B36</f>
        <v/>
      </c>
      <c r="B31" s="71">
        <f>'Stakeholder list'!C36</f>
        <v/>
      </c>
      <c r="C31" s="71">
        <f>'Stakeholder list'!D36</f>
        <v/>
      </c>
      <c r="D31" s="71">
        <f>'Stakeholder list'!E36</f>
        <v/>
      </c>
      <c r="E31" s="71">
        <f>'Stakeholder list'!F36</f>
        <v/>
      </c>
      <c r="F31" s="71">
        <f>'Stakeholder list'!G36</f>
        <v/>
      </c>
      <c r="G31" s="71">
        <f>'Stakeholder list'!H36</f>
        <v/>
      </c>
      <c r="H31" s="71">
        <f>'Stakeholder list'!I36</f>
        <v/>
      </c>
      <c r="I31" s="71">
        <f>'Stakeholder list'!J36</f>
        <v/>
      </c>
      <c r="J31" s="71">
        <f>'Stakeholder list'!K36</f>
        <v/>
      </c>
      <c r="K31" s="71">
        <f>'Stakeholder list'!L36</f>
        <v/>
      </c>
      <c r="L31" s="71">
        <f>'Stakeholder list'!M36</f>
        <v/>
      </c>
      <c r="M31" s="71">
        <f>'Stakeholder list'!N36</f>
        <v/>
      </c>
      <c r="N31" s="71">
        <f>'Stakeholder list'!O36</f>
        <v/>
      </c>
      <c r="O31" s="71">
        <f>'Stakeholder list'!P36</f>
        <v/>
      </c>
      <c r="P31" s="71">
        <f>'Stakeholder list'!Q36</f>
        <v/>
      </c>
      <c r="Q31" s="71">
        <f>'Stakeholder list'!R36</f>
        <v/>
      </c>
      <c r="R31" s="71">
        <f>'Stakeholder list'!S36</f>
        <v/>
      </c>
      <c r="S31" s="71">
        <f>'Stakeholder list'!T36</f>
        <v/>
      </c>
      <c r="T31" s="71">
        <f>'Stakeholder list'!U36</f>
        <v/>
      </c>
      <c r="U31" s="71">
        <f>'Stakeholder list'!V36</f>
        <v/>
      </c>
      <c r="V31" s="71">
        <f>'Stakeholder list'!W36</f>
        <v/>
      </c>
      <c r="W31" s="71">
        <f>'Stakeholder list'!X36</f>
        <v/>
      </c>
    </row>
    <row r="32">
      <c r="A32" s="71">
        <f>'Stakeholder list'!B37</f>
        <v/>
      </c>
      <c r="B32" s="71">
        <f>'Stakeholder list'!C37</f>
        <v/>
      </c>
      <c r="C32" s="71">
        <f>'Stakeholder list'!D37</f>
        <v/>
      </c>
      <c r="D32" s="71">
        <f>'Stakeholder list'!E37</f>
        <v/>
      </c>
      <c r="E32" s="71">
        <f>'Stakeholder list'!F37</f>
        <v/>
      </c>
      <c r="F32" s="71">
        <f>'Stakeholder list'!G37</f>
        <v/>
      </c>
      <c r="G32" s="71">
        <f>'Stakeholder list'!H37</f>
        <v/>
      </c>
      <c r="H32" s="71">
        <f>'Stakeholder list'!I37</f>
        <v/>
      </c>
      <c r="I32" s="71">
        <f>'Stakeholder list'!J37</f>
        <v/>
      </c>
      <c r="J32" s="71">
        <f>'Stakeholder list'!K37</f>
        <v/>
      </c>
      <c r="K32" s="71">
        <f>'Stakeholder list'!L37</f>
        <v/>
      </c>
      <c r="L32" s="71">
        <f>'Stakeholder list'!M37</f>
        <v/>
      </c>
      <c r="M32" s="71">
        <f>'Stakeholder list'!N37</f>
        <v/>
      </c>
      <c r="N32" s="71">
        <f>'Stakeholder list'!O37</f>
        <v/>
      </c>
      <c r="O32" s="71">
        <f>'Stakeholder list'!P37</f>
        <v/>
      </c>
      <c r="P32" s="71">
        <f>'Stakeholder list'!Q37</f>
        <v/>
      </c>
      <c r="Q32" s="71">
        <f>'Stakeholder list'!R37</f>
        <v/>
      </c>
      <c r="R32" s="71">
        <f>'Stakeholder list'!S37</f>
        <v/>
      </c>
      <c r="S32" s="71">
        <f>'Stakeholder list'!T37</f>
        <v/>
      </c>
      <c r="T32" s="71">
        <f>'Stakeholder list'!U37</f>
        <v/>
      </c>
      <c r="U32" s="71">
        <f>'Stakeholder list'!V37</f>
        <v/>
      </c>
      <c r="V32" s="71">
        <f>'Stakeholder list'!W37</f>
        <v/>
      </c>
      <c r="W32" s="71">
        <f>'Stakeholder list'!X37</f>
        <v/>
      </c>
    </row>
    <row r="33" ht="69.75" customHeight="1" s="84">
      <c r="A33" s="71">
        <f>'Stakeholder list'!B38</f>
        <v/>
      </c>
      <c r="B33" s="71">
        <f>'Stakeholder list'!C38</f>
        <v/>
      </c>
      <c r="C33" s="71">
        <f>'Stakeholder list'!D38</f>
        <v/>
      </c>
      <c r="D33" s="71">
        <f>'Stakeholder list'!E38</f>
        <v/>
      </c>
      <c r="E33" s="71">
        <f>'Stakeholder list'!F38</f>
        <v/>
      </c>
      <c r="F33" s="71">
        <f>'Stakeholder list'!G38</f>
        <v/>
      </c>
      <c r="G33" s="71">
        <f>'Stakeholder list'!H38</f>
        <v/>
      </c>
      <c r="H33" s="71">
        <f>'Stakeholder list'!I38</f>
        <v/>
      </c>
      <c r="I33" s="71">
        <f>'Stakeholder list'!J38</f>
        <v/>
      </c>
      <c r="J33" s="71">
        <f>'Stakeholder list'!K38</f>
        <v/>
      </c>
      <c r="K33" s="71">
        <f>'Stakeholder list'!L38</f>
        <v/>
      </c>
      <c r="L33" s="71">
        <f>'Stakeholder list'!M38</f>
        <v/>
      </c>
      <c r="M33" s="71">
        <f>'Stakeholder list'!N38</f>
        <v/>
      </c>
      <c r="N33" s="71">
        <f>'Stakeholder list'!O38</f>
        <v/>
      </c>
      <c r="O33" s="71">
        <f>'Stakeholder list'!P38</f>
        <v/>
      </c>
      <c r="P33" s="71">
        <f>'Stakeholder list'!Q38</f>
        <v/>
      </c>
      <c r="Q33" s="71">
        <f>'Stakeholder list'!R38</f>
        <v/>
      </c>
      <c r="R33" s="71">
        <f>'Stakeholder list'!S38</f>
        <v/>
      </c>
      <c r="S33" s="71">
        <f>'Stakeholder list'!T38</f>
        <v/>
      </c>
      <c r="T33" s="71">
        <f>'Stakeholder list'!U38</f>
        <v/>
      </c>
      <c r="U33" s="71">
        <f>'Stakeholder list'!V38</f>
        <v/>
      </c>
      <c r="V33" s="71">
        <f>'Stakeholder list'!W38</f>
        <v/>
      </c>
      <c r="W33" s="71">
        <f>'Stakeholder list'!X38</f>
        <v/>
      </c>
    </row>
    <row r="34">
      <c r="A34" s="71">
        <f>'Stakeholder list'!B39</f>
        <v/>
      </c>
      <c r="B34" s="71">
        <f>'Stakeholder list'!C39</f>
        <v/>
      </c>
      <c r="C34" s="71">
        <f>'Stakeholder list'!D39</f>
        <v/>
      </c>
      <c r="D34" s="71">
        <f>'Stakeholder list'!E39</f>
        <v/>
      </c>
      <c r="E34" s="71">
        <f>'Stakeholder list'!F39</f>
        <v/>
      </c>
      <c r="F34" s="71">
        <f>'Stakeholder list'!G39</f>
        <v/>
      </c>
      <c r="G34" s="71">
        <f>'Stakeholder list'!H39</f>
        <v/>
      </c>
      <c r="H34" s="71">
        <f>'Stakeholder list'!I39</f>
        <v/>
      </c>
      <c r="I34" s="71">
        <f>'Stakeholder list'!J39</f>
        <v/>
      </c>
      <c r="J34" s="71">
        <f>'Stakeholder list'!K39</f>
        <v/>
      </c>
      <c r="K34" s="71">
        <f>'Stakeholder list'!L39</f>
        <v/>
      </c>
      <c r="L34" s="71">
        <f>'Stakeholder list'!M39</f>
        <v/>
      </c>
      <c r="M34" s="71">
        <f>'Stakeholder list'!N39</f>
        <v/>
      </c>
      <c r="N34" s="71">
        <f>'Stakeholder list'!O39</f>
        <v/>
      </c>
      <c r="O34" s="71">
        <f>'Stakeholder list'!P39</f>
        <v/>
      </c>
      <c r="P34" s="71">
        <f>'Stakeholder list'!Q39</f>
        <v/>
      </c>
      <c r="Q34" s="71">
        <f>'Stakeholder list'!R39</f>
        <v/>
      </c>
      <c r="R34" s="71">
        <f>'Stakeholder list'!S39</f>
        <v/>
      </c>
      <c r="S34" s="71">
        <f>'Stakeholder list'!T39</f>
        <v/>
      </c>
      <c r="T34" s="71">
        <f>'Stakeholder list'!U39</f>
        <v/>
      </c>
      <c r="U34" s="71">
        <f>'Stakeholder list'!V39</f>
        <v/>
      </c>
      <c r="V34" s="71">
        <f>'Stakeholder list'!W39</f>
        <v/>
      </c>
      <c r="W34" s="71">
        <f>'Stakeholder list'!X39</f>
        <v/>
      </c>
    </row>
    <row r="35">
      <c r="A35" s="71">
        <f>'Stakeholder list'!B40</f>
        <v/>
      </c>
      <c r="B35" s="71">
        <f>'Stakeholder list'!C40</f>
        <v/>
      </c>
      <c r="C35" s="71">
        <f>'Stakeholder list'!D40</f>
        <v/>
      </c>
      <c r="D35" s="71">
        <f>'Stakeholder list'!E40</f>
        <v/>
      </c>
      <c r="E35" s="71">
        <f>'Stakeholder list'!F40</f>
        <v/>
      </c>
      <c r="F35" s="71">
        <f>'Stakeholder list'!G40</f>
        <v/>
      </c>
      <c r="G35" s="71">
        <f>'Stakeholder list'!H40</f>
        <v/>
      </c>
      <c r="H35" s="71">
        <f>'Stakeholder list'!I40</f>
        <v/>
      </c>
      <c r="I35" s="71">
        <f>'Stakeholder list'!J40</f>
        <v/>
      </c>
      <c r="J35" s="71">
        <f>'Stakeholder list'!K40</f>
        <v/>
      </c>
      <c r="K35" s="71">
        <f>'Stakeholder list'!L40</f>
        <v/>
      </c>
      <c r="L35" s="71">
        <f>'Stakeholder list'!M40</f>
        <v/>
      </c>
      <c r="M35" s="71">
        <f>'Stakeholder list'!N40</f>
        <v/>
      </c>
      <c r="N35" s="71">
        <f>'Stakeholder list'!O40</f>
        <v/>
      </c>
      <c r="O35" s="71">
        <f>'Stakeholder list'!P40</f>
        <v/>
      </c>
      <c r="P35" s="71">
        <f>'Stakeholder list'!Q40</f>
        <v/>
      </c>
      <c r="Q35" s="71">
        <f>'Stakeholder list'!R40</f>
        <v/>
      </c>
      <c r="R35" s="71">
        <f>'Stakeholder list'!S40</f>
        <v/>
      </c>
      <c r="S35" s="71">
        <f>'Stakeholder list'!T40</f>
        <v/>
      </c>
      <c r="T35" s="71">
        <f>'Stakeholder list'!U40</f>
        <v/>
      </c>
      <c r="U35" s="71">
        <f>'Stakeholder list'!V40</f>
        <v/>
      </c>
      <c r="V35" s="71">
        <f>'Stakeholder list'!W40</f>
        <v/>
      </c>
      <c r="W35" s="71">
        <f>'Stakeholder list'!X40</f>
        <v/>
      </c>
    </row>
    <row r="36">
      <c r="A36" s="71">
        <f>'Stakeholder list'!B41</f>
        <v/>
      </c>
      <c r="B36" s="71">
        <f>'Stakeholder list'!C41</f>
        <v/>
      </c>
      <c r="C36" s="71">
        <f>'Stakeholder list'!D41</f>
        <v/>
      </c>
      <c r="D36" s="71">
        <f>'Stakeholder list'!E41</f>
        <v/>
      </c>
      <c r="E36" s="71">
        <f>'Stakeholder list'!F41</f>
        <v/>
      </c>
      <c r="F36" s="71">
        <f>'Stakeholder list'!G41</f>
        <v/>
      </c>
      <c r="G36" s="71">
        <f>'Stakeholder list'!H41</f>
        <v/>
      </c>
      <c r="H36" s="71">
        <f>'Stakeholder list'!I41</f>
        <v/>
      </c>
      <c r="I36" s="71">
        <f>'Stakeholder list'!J41</f>
        <v/>
      </c>
      <c r="J36" s="71">
        <f>'Stakeholder list'!K41</f>
        <v/>
      </c>
      <c r="K36" s="71">
        <f>'Stakeholder list'!L41</f>
        <v/>
      </c>
      <c r="L36" s="71">
        <f>'Stakeholder list'!M41</f>
        <v/>
      </c>
      <c r="M36" s="71">
        <f>'Stakeholder list'!N41</f>
        <v/>
      </c>
      <c r="N36" s="71">
        <f>'Stakeholder list'!O41</f>
        <v/>
      </c>
      <c r="O36" s="71">
        <f>'Stakeholder list'!P41</f>
        <v/>
      </c>
      <c r="P36" s="71">
        <f>'Stakeholder list'!Q41</f>
        <v/>
      </c>
      <c r="Q36" s="71">
        <f>'Stakeholder list'!R41</f>
        <v/>
      </c>
      <c r="R36" s="71">
        <f>'Stakeholder list'!S41</f>
        <v/>
      </c>
      <c r="S36" s="71">
        <f>'Stakeholder list'!T41</f>
        <v/>
      </c>
      <c r="T36" s="71">
        <f>'Stakeholder list'!U41</f>
        <v/>
      </c>
      <c r="U36" s="71">
        <f>'Stakeholder list'!V41</f>
        <v/>
      </c>
      <c r="V36" s="71">
        <f>'Stakeholder list'!W41</f>
        <v/>
      </c>
      <c r="W36" s="71">
        <f>'Stakeholder list'!X41</f>
        <v/>
      </c>
    </row>
    <row r="37">
      <c r="A37" s="71">
        <f>'Stakeholder list'!B42</f>
        <v/>
      </c>
      <c r="B37" s="71">
        <f>'Stakeholder list'!C42</f>
        <v/>
      </c>
      <c r="C37" s="71">
        <f>'Stakeholder list'!D42</f>
        <v/>
      </c>
      <c r="D37" s="71">
        <f>'Stakeholder list'!E42</f>
        <v/>
      </c>
      <c r="E37" s="71">
        <f>'Stakeholder list'!F42</f>
        <v/>
      </c>
      <c r="F37" s="71">
        <f>'Stakeholder list'!G42</f>
        <v/>
      </c>
      <c r="G37" s="71">
        <f>'Stakeholder list'!H42</f>
        <v/>
      </c>
      <c r="H37" s="71">
        <f>'Stakeholder list'!I42</f>
        <v/>
      </c>
      <c r="I37" s="71">
        <f>'Stakeholder list'!J42</f>
        <v/>
      </c>
      <c r="J37" s="71">
        <f>'Stakeholder list'!K42</f>
        <v/>
      </c>
      <c r="K37" s="71">
        <f>'Stakeholder list'!L42</f>
        <v/>
      </c>
      <c r="L37" s="71">
        <f>'Stakeholder list'!M42</f>
        <v/>
      </c>
      <c r="M37" s="71">
        <f>'Stakeholder list'!N42</f>
        <v/>
      </c>
      <c r="N37" s="71">
        <f>'Stakeholder list'!O42</f>
        <v/>
      </c>
      <c r="O37" s="71">
        <f>'Stakeholder list'!P42</f>
        <v/>
      </c>
      <c r="P37" s="71">
        <f>'Stakeholder list'!Q42</f>
        <v/>
      </c>
      <c r="Q37" s="71">
        <f>'Stakeholder list'!R42</f>
        <v/>
      </c>
      <c r="R37" s="71">
        <f>'Stakeholder list'!S42</f>
        <v/>
      </c>
      <c r="S37" s="71">
        <f>'Stakeholder list'!T42</f>
        <v/>
      </c>
      <c r="T37" s="71">
        <f>'Stakeholder list'!U42</f>
        <v/>
      </c>
      <c r="U37" s="71">
        <f>'Stakeholder list'!V42</f>
        <v/>
      </c>
      <c r="V37" s="71">
        <f>'Stakeholder list'!W42</f>
        <v/>
      </c>
      <c r="W37" s="71">
        <f>'Stakeholder list'!X42</f>
        <v/>
      </c>
    </row>
    <row r="38">
      <c r="A38" s="71">
        <f>'Stakeholder list'!B43</f>
        <v/>
      </c>
      <c r="B38" s="71">
        <f>'Stakeholder list'!C43</f>
        <v/>
      </c>
      <c r="C38" s="71">
        <f>'Stakeholder list'!D43</f>
        <v/>
      </c>
      <c r="D38" s="71">
        <f>'Stakeholder list'!E43</f>
        <v/>
      </c>
      <c r="E38" s="71">
        <f>'Stakeholder list'!F43</f>
        <v/>
      </c>
      <c r="F38" s="71">
        <f>'Stakeholder list'!G43</f>
        <v/>
      </c>
      <c r="G38" s="71">
        <f>'Stakeholder list'!H43</f>
        <v/>
      </c>
      <c r="H38" s="71">
        <f>'Stakeholder list'!I43</f>
        <v/>
      </c>
      <c r="I38" s="71">
        <f>'Stakeholder list'!J43</f>
        <v/>
      </c>
      <c r="J38" s="71">
        <f>'Stakeholder list'!K43</f>
        <v/>
      </c>
      <c r="K38" s="71">
        <f>'Stakeholder list'!L43</f>
        <v/>
      </c>
      <c r="L38" s="71">
        <f>'Stakeholder list'!M43</f>
        <v/>
      </c>
      <c r="M38" s="71">
        <f>'Stakeholder list'!N43</f>
        <v/>
      </c>
      <c r="N38" s="71">
        <f>'Stakeholder list'!O43</f>
        <v/>
      </c>
      <c r="O38" s="71">
        <f>'Stakeholder list'!P43</f>
        <v/>
      </c>
      <c r="P38" s="71">
        <f>'Stakeholder list'!Q43</f>
        <v/>
      </c>
      <c r="Q38" s="71">
        <f>'Stakeholder list'!R43</f>
        <v/>
      </c>
      <c r="R38" s="71">
        <f>'Stakeholder list'!S43</f>
        <v/>
      </c>
      <c r="S38" s="71">
        <f>'Stakeholder list'!T43</f>
        <v/>
      </c>
      <c r="T38" s="71">
        <f>'Stakeholder list'!U43</f>
        <v/>
      </c>
      <c r="U38" s="71">
        <f>'Stakeholder list'!V43</f>
        <v/>
      </c>
      <c r="V38" s="71">
        <f>'Stakeholder list'!W43</f>
        <v/>
      </c>
      <c r="W38" s="71">
        <f>'Stakeholder list'!X43</f>
        <v/>
      </c>
    </row>
    <row r="39">
      <c r="A39" s="71">
        <f>'Stakeholder list'!B44</f>
        <v/>
      </c>
      <c r="B39" s="71">
        <f>'Stakeholder list'!C44</f>
        <v/>
      </c>
      <c r="C39" s="71">
        <f>'Stakeholder list'!D44</f>
        <v/>
      </c>
      <c r="D39" s="71">
        <f>'Stakeholder list'!E44</f>
        <v/>
      </c>
      <c r="E39" s="71">
        <f>'Stakeholder list'!F44</f>
        <v/>
      </c>
      <c r="F39" s="71">
        <f>'Stakeholder list'!G44</f>
        <v/>
      </c>
      <c r="G39" s="71">
        <f>'Stakeholder list'!H44</f>
        <v/>
      </c>
      <c r="H39" s="71">
        <f>'Stakeholder list'!I44</f>
        <v/>
      </c>
      <c r="I39" s="71">
        <f>'Stakeholder list'!J44</f>
        <v/>
      </c>
      <c r="J39" s="71">
        <f>'Stakeholder list'!K44</f>
        <v/>
      </c>
      <c r="K39" s="71">
        <f>'Stakeholder list'!L44</f>
        <v/>
      </c>
      <c r="L39" s="71">
        <f>'Stakeholder list'!M44</f>
        <v/>
      </c>
      <c r="M39" s="71">
        <f>'Stakeholder list'!N44</f>
        <v/>
      </c>
      <c r="N39" s="71">
        <f>'Stakeholder list'!O44</f>
        <v/>
      </c>
      <c r="O39" s="71">
        <f>'Stakeholder list'!P44</f>
        <v/>
      </c>
      <c r="P39" s="71">
        <f>'Stakeholder list'!Q44</f>
        <v/>
      </c>
      <c r="Q39" s="73">
        <f>'Stakeholder list'!R44</f>
        <v/>
      </c>
      <c r="R39" s="71">
        <f>'Stakeholder list'!S44</f>
        <v/>
      </c>
      <c r="S39" s="71">
        <f>'Stakeholder list'!T44</f>
        <v/>
      </c>
      <c r="T39" s="71">
        <f>'Stakeholder list'!U44</f>
        <v/>
      </c>
      <c r="U39" s="71">
        <f>'Stakeholder list'!V44</f>
        <v/>
      </c>
      <c r="V39" s="71">
        <f>'Stakeholder list'!W44</f>
        <v/>
      </c>
      <c r="W39" s="71">
        <f>'Stakeholder list'!X44</f>
        <v/>
      </c>
    </row>
    <row r="40">
      <c r="A40" s="71">
        <f>'Stakeholder list'!B45</f>
        <v/>
      </c>
      <c r="B40" s="71">
        <f>'Stakeholder list'!C45</f>
        <v/>
      </c>
      <c r="C40" s="71">
        <f>'Stakeholder list'!D45</f>
        <v/>
      </c>
      <c r="D40" s="71">
        <f>'Stakeholder list'!E45</f>
        <v/>
      </c>
      <c r="E40" s="71">
        <f>'Stakeholder list'!F45</f>
        <v/>
      </c>
      <c r="F40" s="71">
        <f>'Stakeholder list'!G45</f>
        <v/>
      </c>
      <c r="G40" s="71">
        <f>'Stakeholder list'!H45</f>
        <v/>
      </c>
      <c r="H40" s="71">
        <f>'Stakeholder list'!I45</f>
        <v/>
      </c>
      <c r="I40" s="71">
        <f>'Stakeholder list'!J45</f>
        <v/>
      </c>
      <c r="J40" s="71">
        <f>'Stakeholder list'!K45</f>
        <v/>
      </c>
      <c r="K40" s="71">
        <f>'Stakeholder list'!L45</f>
        <v/>
      </c>
      <c r="L40" s="71">
        <f>'Stakeholder list'!M45</f>
        <v/>
      </c>
      <c r="M40" s="71">
        <f>'Stakeholder list'!N45</f>
        <v/>
      </c>
      <c r="N40" s="71">
        <f>'Stakeholder list'!O45</f>
        <v/>
      </c>
      <c r="O40" s="71">
        <f>'Stakeholder list'!P45</f>
        <v/>
      </c>
      <c r="P40" s="71">
        <f>'Stakeholder list'!Q45</f>
        <v/>
      </c>
      <c r="Q40" s="71">
        <f>'Stakeholder list'!R45</f>
        <v/>
      </c>
      <c r="R40" s="71">
        <f>'Stakeholder list'!S45</f>
        <v/>
      </c>
      <c r="S40" s="71">
        <f>'Stakeholder list'!T45</f>
        <v/>
      </c>
      <c r="T40" s="71">
        <f>'Stakeholder list'!U45</f>
        <v/>
      </c>
      <c r="U40" s="71">
        <f>'Stakeholder list'!V45</f>
        <v/>
      </c>
      <c r="V40" s="71">
        <f>'Stakeholder list'!W45</f>
        <v/>
      </c>
      <c r="W40" s="71">
        <f>'Stakeholder list'!X45</f>
        <v/>
      </c>
    </row>
    <row r="41">
      <c r="A41" s="71">
        <f>'Stakeholder list'!B46</f>
        <v/>
      </c>
      <c r="B41" s="71">
        <f>'Stakeholder list'!C46</f>
        <v/>
      </c>
      <c r="C41" s="71">
        <f>'Stakeholder list'!D46</f>
        <v/>
      </c>
      <c r="D41" s="71">
        <f>'Stakeholder list'!E46</f>
        <v/>
      </c>
      <c r="E41" s="71">
        <f>'Stakeholder list'!F46</f>
        <v/>
      </c>
      <c r="F41" s="71">
        <f>'Stakeholder list'!G46</f>
        <v/>
      </c>
      <c r="G41" s="71">
        <f>'Stakeholder list'!H46</f>
        <v/>
      </c>
      <c r="H41" s="71">
        <f>'Stakeholder list'!I46</f>
        <v/>
      </c>
      <c r="I41" s="71">
        <f>'Stakeholder list'!J46</f>
        <v/>
      </c>
      <c r="J41" s="71">
        <f>'Stakeholder list'!K46</f>
        <v/>
      </c>
      <c r="K41" s="71">
        <f>'Stakeholder list'!L46</f>
        <v/>
      </c>
      <c r="L41" s="71">
        <f>'Stakeholder list'!M46</f>
        <v/>
      </c>
      <c r="M41" s="71">
        <f>'Stakeholder list'!N46</f>
        <v/>
      </c>
      <c r="N41" s="71">
        <f>'Stakeholder list'!O46</f>
        <v/>
      </c>
      <c r="O41" s="71">
        <f>'Stakeholder list'!P46</f>
        <v/>
      </c>
      <c r="P41" s="71">
        <f>'Stakeholder list'!Q46</f>
        <v/>
      </c>
      <c r="Q41" s="71">
        <f>'Stakeholder list'!R46</f>
        <v/>
      </c>
      <c r="R41" s="71">
        <f>'Stakeholder list'!S46</f>
        <v/>
      </c>
      <c r="S41" s="71">
        <f>'Stakeholder list'!T46</f>
        <v/>
      </c>
      <c r="T41" s="71">
        <f>'Stakeholder list'!U46</f>
        <v/>
      </c>
      <c r="U41" s="71">
        <f>'Stakeholder list'!V46</f>
        <v/>
      </c>
      <c r="V41" s="71">
        <f>'Stakeholder list'!W46</f>
        <v/>
      </c>
      <c r="W41" s="71">
        <f>'Stakeholder list'!X46</f>
        <v/>
      </c>
    </row>
    <row r="42">
      <c r="A42" s="71">
        <f>'Stakeholder list'!B47</f>
        <v/>
      </c>
      <c r="B42" s="71">
        <f>'Stakeholder list'!C47</f>
        <v/>
      </c>
      <c r="C42" s="71">
        <f>'Stakeholder list'!D47</f>
        <v/>
      </c>
      <c r="D42" s="71">
        <f>'Stakeholder list'!E47</f>
        <v/>
      </c>
      <c r="E42" s="71">
        <f>'Stakeholder list'!F47</f>
        <v/>
      </c>
      <c r="F42" s="71">
        <f>'Stakeholder list'!G47</f>
        <v/>
      </c>
      <c r="G42" s="71">
        <f>'Stakeholder list'!H47</f>
        <v/>
      </c>
      <c r="H42" s="71">
        <f>'Stakeholder list'!I47</f>
        <v/>
      </c>
      <c r="I42" s="71">
        <f>'Stakeholder list'!J47</f>
        <v/>
      </c>
      <c r="J42" s="71">
        <f>'Stakeholder list'!K47</f>
        <v/>
      </c>
      <c r="K42" s="71">
        <f>'Stakeholder list'!L47</f>
        <v/>
      </c>
      <c r="L42" s="71">
        <f>'Stakeholder list'!M47</f>
        <v/>
      </c>
      <c r="M42" s="71">
        <f>'Stakeholder list'!N47</f>
        <v/>
      </c>
      <c r="N42" s="71">
        <f>'Stakeholder list'!O47</f>
        <v/>
      </c>
      <c r="O42" s="71">
        <f>'Stakeholder list'!P47</f>
        <v/>
      </c>
      <c r="P42" s="71">
        <f>'Stakeholder list'!Q47</f>
        <v/>
      </c>
      <c r="Q42" s="71">
        <f>'Stakeholder list'!R47</f>
        <v/>
      </c>
      <c r="R42" s="71">
        <f>'Stakeholder list'!S47</f>
        <v/>
      </c>
      <c r="S42" s="71">
        <f>'Stakeholder list'!T47</f>
        <v/>
      </c>
      <c r="T42" s="71">
        <f>'Stakeholder list'!U47</f>
        <v/>
      </c>
      <c r="U42" s="71">
        <f>'Stakeholder list'!V47</f>
        <v/>
      </c>
      <c r="V42" s="71">
        <f>'Stakeholder list'!W47</f>
        <v/>
      </c>
      <c r="W42" s="71">
        <f>'Stakeholder list'!X47</f>
        <v/>
      </c>
    </row>
    <row r="43">
      <c r="A43" s="71">
        <f>'Stakeholder list'!B48</f>
        <v/>
      </c>
      <c r="B43" s="71">
        <f>'Stakeholder list'!C48</f>
        <v/>
      </c>
      <c r="C43" s="71">
        <f>'Stakeholder list'!D48</f>
        <v/>
      </c>
      <c r="D43" s="71">
        <f>'Stakeholder list'!E48</f>
        <v/>
      </c>
      <c r="E43" s="71">
        <f>'Stakeholder list'!F48</f>
        <v/>
      </c>
      <c r="F43" s="71">
        <f>'Stakeholder list'!G48</f>
        <v/>
      </c>
      <c r="G43" s="71">
        <f>'Stakeholder list'!H48</f>
        <v/>
      </c>
      <c r="H43" s="71">
        <f>'Stakeholder list'!I48</f>
        <v/>
      </c>
      <c r="I43" s="71">
        <f>'Stakeholder list'!J48</f>
        <v/>
      </c>
      <c r="J43" s="71">
        <f>'Stakeholder list'!K48</f>
        <v/>
      </c>
      <c r="K43" s="71">
        <f>'Stakeholder list'!L48</f>
        <v/>
      </c>
      <c r="L43" s="71">
        <f>'Stakeholder list'!M48</f>
        <v/>
      </c>
      <c r="M43" s="71">
        <f>'Stakeholder list'!N48</f>
        <v/>
      </c>
      <c r="N43" s="71">
        <f>'Stakeholder list'!O48</f>
        <v/>
      </c>
      <c r="O43" s="71">
        <f>'Stakeholder list'!P48</f>
        <v/>
      </c>
      <c r="P43" s="71">
        <f>'Stakeholder list'!Q48</f>
        <v/>
      </c>
      <c r="Q43" s="71">
        <f>'Stakeholder list'!R48</f>
        <v/>
      </c>
      <c r="R43" s="71">
        <f>'Stakeholder list'!S48</f>
        <v/>
      </c>
      <c r="S43" s="71">
        <f>'Stakeholder list'!T48</f>
        <v/>
      </c>
      <c r="T43" s="71">
        <f>'Stakeholder list'!U48</f>
        <v/>
      </c>
      <c r="U43" s="71">
        <f>'Stakeholder list'!V48</f>
        <v/>
      </c>
      <c r="V43" s="71">
        <f>'Stakeholder list'!W48</f>
        <v/>
      </c>
      <c r="W43" s="71">
        <f>'Stakeholder list'!X48</f>
        <v/>
      </c>
    </row>
    <row r="44">
      <c r="A44" s="71">
        <f>'Stakeholder list'!B49</f>
        <v/>
      </c>
      <c r="B44" s="71">
        <f>'Stakeholder list'!C49</f>
        <v/>
      </c>
      <c r="C44" s="71">
        <f>'Stakeholder list'!D49</f>
        <v/>
      </c>
      <c r="D44" s="71">
        <f>'Stakeholder list'!E49</f>
        <v/>
      </c>
      <c r="E44" s="71">
        <f>'Stakeholder list'!F49</f>
        <v/>
      </c>
      <c r="F44" s="71">
        <f>'Stakeholder list'!G49</f>
        <v/>
      </c>
      <c r="G44" s="71">
        <f>'Stakeholder list'!H49</f>
        <v/>
      </c>
      <c r="H44" s="71">
        <f>'Stakeholder list'!I49</f>
        <v/>
      </c>
      <c r="I44" s="71">
        <f>'Stakeholder list'!J49</f>
        <v/>
      </c>
      <c r="J44" s="71">
        <f>'Stakeholder list'!K49</f>
        <v/>
      </c>
      <c r="K44" s="71">
        <f>'Stakeholder list'!L49</f>
        <v/>
      </c>
      <c r="L44" s="71">
        <f>'Stakeholder list'!M49</f>
        <v/>
      </c>
      <c r="M44" s="71">
        <f>'Stakeholder list'!N49</f>
        <v/>
      </c>
      <c r="N44" s="71">
        <f>'Stakeholder list'!O49</f>
        <v/>
      </c>
      <c r="O44" s="71">
        <f>'Stakeholder list'!P49</f>
        <v/>
      </c>
      <c r="P44" s="71">
        <f>'Stakeholder list'!Q49</f>
        <v/>
      </c>
      <c r="Q44" s="71">
        <f>'Stakeholder list'!R49</f>
        <v/>
      </c>
      <c r="R44" s="71">
        <f>'Stakeholder list'!S49</f>
        <v/>
      </c>
      <c r="S44" s="71">
        <f>'Stakeholder list'!T49</f>
        <v/>
      </c>
      <c r="T44" s="71">
        <f>'Stakeholder list'!U49</f>
        <v/>
      </c>
      <c r="U44" s="71">
        <f>'Stakeholder list'!V49</f>
        <v/>
      </c>
      <c r="V44" s="71">
        <f>'Stakeholder list'!W49</f>
        <v/>
      </c>
      <c r="W44" s="71">
        <f>'Stakeholder list'!X49</f>
        <v/>
      </c>
    </row>
    <row r="45">
      <c r="A45" s="71">
        <f>'Stakeholder list'!B50</f>
        <v/>
      </c>
      <c r="B45" s="71">
        <f>'Stakeholder list'!C50</f>
        <v/>
      </c>
      <c r="C45" s="71">
        <f>'Stakeholder list'!D50</f>
        <v/>
      </c>
      <c r="D45" s="71">
        <f>'Stakeholder list'!E50</f>
        <v/>
      </c>
      <c r="E45" s="71">
        <f>'Stakeholder list'!F50</f>
        <v/>
      </c>
      <c r="F45" s="71">
        <f>'Stakeholder list'!G50</f>
        <v/>
      </c>
      <c r="G45" s="71">
        <f>'Stakeholder list'!H50</f>
        <v/>
      </c>
      <c r="H45" s="71">
        <f>'Stakeholder list'!I50</f>
        <v/>
      </c>
      <c r="I45" s="71">
        <f>'Stakeholder list'!J50</f>
        <v/>
      </c>
      <c r="J45" s="71">
        <f>'Stakeholder list'!K50</f>
        <v/>
      </c>
      <c r="K45" s="71">
        <f>'Stakeholder list'!L50</f>
        <v/>
      </c>
      <c r="L45" s="71">
        <f>'Stakeholder list'!M50</f>
        <v/>
      </c>
      <c r="M45" s="71">
        <f>'Stakeholder list'!N50</f>
        <v/>
      </c>
      <c r="N45" s="71">
        <f>'Stakeholder list'!O50</f>
        <v/>
      </c>
      <c r="O45" s="71">
        <f>'Stakeholder list'!P50</f>
        <v/>
      </c>
      <c r="P45" s="71">
        <f>'Stakeholder list'!Q50</f>
        <v/>
      </c>
      <c r="Q45" s="71">
        <f>'Stakeholder list'!R50</f>
        <v/>
      </c>
      <c r="R45" s="71">
        <f>'Stakeholder list'!S50</f>
        <v/>
      </c>
      <c r="S45" s="71">
        <f>'Stakeholder list'!T50</f>
        <v/>
      </c>
      <c r="T45" s="71">
        <f>'Stakeholder list'!U50</f>
        <v/>
      </c>
      <c r="U45" s="71">
        <f>'Stakeholder list'!V50</f>
        <v/>
      </c>
      <c r="V45" s="71">
        <f>'Stakeholder list'!W50</f>
        <v/>
      </c>
      <c r="W45" s="71">
        <f>'Stakeholder list'!X50</f>
        <v/>
      </c>
    </row>
    <row r="46">
      <c r="A46" s="71">
        <f>'Stakeholder list'!B51</f>
        <v/>
      </c>
      <c r="B46" s="71">
        <f>'Stakeholder list'!C51</f>
        <v/>
      </c>
      <c r="C46" s="71">
        <f>'Stakeholder list'!D51</f>
        <v/>
      </c>
      <c r="D46" s="71">
        <f>'Stakeholder list'!E51</f>
        <v/>
      </c>
      <c r="E46" s="71">
        <f>'Stakeholder list'!F51</f>
        <v/>
      </c>
      <c r="F46" s="71">
        <f>'Stakeholder list'!G51</f>
        <v/>
      </c>
      <c r="G46" s="71">
        <f>'Stakeholder list'!H51</f>
        <v/>
      </c>
      <c r="H46" s="71">
        <f>'Stakeholder list'!I51</f>
        <v/>
      </c>
      <c r="I46" s="71">
        <f>'Stakeholder list'!J51</f>
        <v/>
      </c>
      <c r="J46" s="71">
        <f>'Stakeholder list'!K51</f>
        <v/>
      </c>
      <c r="K46" s="71">
        <f>'Stakeholder list'!L51</f>
        <v/>
      </c>
      <c r="L46" s="71">
        <f>'Stakeholder list'!M51</f>
        <v/>
      </c>
      <c r="M46" s="71">
        <f>'Stakeholder list'!N51</f>
        <v/>
      </c>
      <c r="N46" s="71">
        <f>'Stakeholder list'!O51</f>
        <v/>
      </c>
      <c r="O46" s="71">
        <f>'Stakeholder list'!P51</f>
        <v/>
      </c>
      <c r="P46" s="71">
        <f>'Stakeholder list'!Q51</f>
        <v/>
      </c>
      <c r="Q46" s="73">
        <f>'Stakeholder list'!R51</f>
        <v/>
      </c>
      <c r="R46" s="71">
        <f>'Stakeholder list'!S51</f>
        <v/>
      </c>
      <c r="S46" s="71">
        <f>'Stakeholder list'!T51</f>
        <v/>
      </c>
      <c r="T46" s="71">
        <f>'Stakeholder list'!U51</f>
        <v/>
      </c>
      <c r="U46" s="71">
        <f>'Stakeholder list'!V51</f>
        <v/>
      </c>
      <c r="V46" s="71">
        <f>'Stakeholder list'!W51</f>
        <v/>
      </c>
      <c r="W46" s="71">
        <f>'Stakeholder list'!X51</f>
        <v/>
      </c>
    </row>
    <row r="47">
      <c r="A47" s="71">
        <f>'Stakeholder list'!B52</f>
        <v/>
      </c>
      <c r="B47" s="71">
        <f>'Stakeholder list'!C52</f>
        <v/>
      </c>
      <c r="C47" s="71">
        <f>'Stakeholder list'!D52</f>
        <v/>
      </c>
      <c r="D47" s="71">
        <f>'Stakeholder list'!E52</f>
        <v/>
      </c>
      <c r="E47" s="71">
        <f>'Stakeholder list'!F52</f>
        <v/>
      </c>
      <c r="F47" s="71">
        <f>'Stakeholder list'!G52</f>
        <v/>
      </c>
      <c r="G47" s="71">
        <f>'Stakeholder list'!H52</f>
        <v/>
      </c>
      <c r="H47" s="71">
        <f>'Stakeholder list'!I52</f>
        <v/>
      </c>
      <c r="I47" s="71">
        <f>'Stakeholder list'!J52</f>
        <v/>
      </c>
      <c r="J47" s="71">
        <f>'Stakeholder list'!K52</f>
        <v/>
      </c>
      <c r="K47" s="71">
        <f>'Stakeholder list'!L52</f>
        <v/>
      </c>
      <c r="L47" s="71">
        <f>'Stakeholder list'!M52</f>
        <v/>
      </c>
      <c r="M47" s="71">
        <f>'Stakeholder list'!N52</f>
        <v/>
      </c>
      <c r="N47" s="71">
        <f>'Stakeholder list'!O52</f>
        <v/>
      </c>
      <c r="O47" s="71">
        <f>'Stakeholder list'!P52</f>
        <v/>
      </c>
      <c r="P47" s="71">
        <f>'Stakeholder list'!Q52</f>
        <v/>
      </c>
      <c r="Q47" s="71">
        <f>'Stakeholder list'!R52</f>
        <v/>
      </c>
      <c r="R47" s="71">
        <f>'Stakeholder list'!S52</f>
        <v/>
      </c>
      <c r="S47" s="71">
        <f>'Stakeholder list'!T52</f>
        <v/>
      </c>
      <c r="T47" s="71">
        <f>'Stakeholder list'!U52</f>
        <v/>
      </c>
      <c r="U47" s="71">
        <f>'Stakeholder list'!V52</f>
        <v/>
      </c>
      <c r="V47" s="71">
        <f>'Stakeholder list'!W52</f>
        <v/>
      </c>
      <c r="W47" s="71">
        <f>'Stakeholder list'!X52</f>
        <v/>
      </c>
    </row>
    <row r="48">
      <c r="A48" s="71">
        <f>'Stakeholder list'!B53</f>
        <v/>
      </c>
      <c r="B48" s="71">
        <f>'Stakeholder list'!C53</f>
        <v/>
      </c>
      <c r="C48" s="71">
        <f>'Stakeholder list'!D53</f>
        <v/>
      </c>
      <c r="D48" s="71">
        <f>'Stakeholder list'!E53</f>
        <v/>
      </c>
      <c r="E48" s="71">
        <f>'Stakeholder list'!F53</f>
        <v/>
      </c>
      <c r="F48" s="71">
        <f>'Stakeholder list'!G53</f>
        <v/>
      </c>
      <c r="G48" s="71">
        <f>'Stakeholder list'!H53</f>
        <v/>
      </c>
      <c r="H48" s="71">
        <f>'Stakeholder list'!I53</f>
        <v/>
      </c>
      <c r="I48" s="71">
        <f>'Stakeholder list'!J53</f>
        <v/>
      </c>
      <c r="J48" s="71">
        <f>'Stakeholder list'!K53</f>
        <v/>
      </c>
      <c r="K48" s="71">
        <f>'Stakeholder list'!L53</f>
        <v/>
      </c>
      <c r="L48" s="71">
        <f>'Stakeholder list'!M53</f>
        <v/>
      </c>
      <c r="M48" s="71">
        <f>'Stakeholder list'!N53</f>
        <v/>
      </c>
      <c r="N48" s="71">
        <f>'Stakeholder list'!O53</f>
        <v/>
      </c>
      <c r="O48" s="71">
        <f>'Stakeholder list'!P53</f>
        <v/>
      </c>
      <c r="P48" s="71">
        <f>'Stakeholder list'!Q53</f>
        <v/>
      </c>
      <c r="Q48" s="71">
        <f>'Stakeholder list'!R53</f>
        <v/>
      </c>
      <c r="R48" s="71">
        <f>'Stakeholder list'!S53</f>
        <v/>
      </c>
      <c r="S48" s="71">
        <f>'Stakeholder list'!T53</f>
        <v/>
      </c>
      <c r="T48" s="71">
        <f>'Stakeholder list'!U53</f>
        <v/>
      </c>
      <c r="U48" s="71">
        <f>'Stakeholder list'!V53</f>
        <v/>
      </c>
      <c r="V48" s="71">
        <f>'Stakeholder list'!W53</f>
        <v/>
      </c>
      <c r="W48" s="71">
        <f>'Stakeholder list'!X53</f>
        <v/>
      </c>
    </row>
    <row r="49">
      <c r="A49" s="71">
        <f>'Stakeholder list'!B54</f>
        <v/>
      </c>
      <c r="B49" s="71">
        <f>'Stakeholder list'!C54</f>
        <v/>
      </c>
      <c r="C49" s="71">
        <f>'Stakeholder list'!D54</f>
        <v/>
      </c>
      <c r="D49" s="71">
        <f>'Stakeholder list'!E54</f>
        <v/>
      </c>
      <c r="E49" s="71">
        <f>'Stakeholder list'!F54</f>
        <v/>
      </c>
      <c r="F49" s="71">
        <f>'Stakeholder list'!G54</f>
        <v/>
      </c>
      <c r="G49" s="71">
        <f>'Stakeholder list'!H54</f>
        <v/>
      </c>
      <c r="H49" s="71">
        <f>'Stakeholder list'!I54</f>
        <v/>
      </c>
      <c r="I49" s="71">
        <f>'Stakeholder list'!J54</f>
        <v/>
      </c>
      <c r="J49" s="71">
        <f>'Stakeholder list'!K54</f>
        <v/>
      </c>
      <c r="K49" s="71">
        <f>'Stakeholder list'!L54</f>
        <v/>
      </c>
      <c r="L49" s="71">
        <f>'Stakeholder list'!M54</f>
        <v/>
      </c>
      <c r="M49" s="71">
        <f>'Stakeholder list'!N54</f>
        <v/>
      </c>
      <c r="N49" s="71">
        <f>'Stakeholder list'!O54</f>
        <v/>
      </c>
      <c r="O49" s="71">
        <f>'Stakeholder list'!P54</f>
        <v/>
      </c>
      <c r="P49" s="71">
        <f>'Stakeholder list'!Q54</f>
        <v/>
      </c>
      <c r="Q49" s="73">
        <f>'Stakeholder list'!R54</f>
        <v/>
      </c>
      <c r="R49" s="71">
        <f>'Stakeholder list'!S54</f>
        <v/>
      </c>
      <c r="S49" s="71">
        <f>'Stakeholder list'!T54</f>
        <v/>
      </c>
      <c r="T49" s="71">
        <f>'Stakeholder list'!U54</f>
        <v/>
      </c>
      <c r="U49" s="71">
        <f>'Stakeholder list'!V54</f>
        <v/>
      </c>
      <c r="V49" s="71">
        <f>'Stakeholder list'!W54</f>
        <v/>
      </c>
      <c r="W49" s="71">
        <f>'Stakeholder list'!X54</f>
        <v/>
      </c>
    </row>
    <row r="50">
      <c r="A50" s="71">
        <f>'Stakeholder list'!B55</f>
        <v/>
      </c>
      <c r="B50" s="71">
        <f>'Stakeholder list'!C55</f>
        <v/>
      </c>
      <c r="C50" s="71">
        <f>'Stakeholder list'!D55</f>
        <v/>
      </c>
      <c r="D50" s="71">
        <f>'Stakeholder list'!E55</f>
        <v/>
      </c>
      <c r="E50" s="71">
        <f>'Stakeholder list'!F55</f>
        <v/>
      </c>
      <c r="F50" s="71">
        <f>'Stakeholder list'!G55</f>
        <v/>
      </c>
      <c r="G50" s="71">
        <f>'Stakeholder list'!H55</f>
        <v/>
      </c>
      <c r="H50" s="71">
        <f>'Stakeholder list'!I55</f>
        <v/>
      </c>
      <c r="I50" s="71">
        <f>'Stakeholder list'!J55</f>
        <v/>
      </c>
      <c r="J50" s="71">
        <f>'Stakeholder list'!K55</f>
        <v/>
      </c>
      <c r="K50" s="71">
        <f>'Stakeholder list'!L55</f>
        <v/>
      </c>
      <c r="L50" s="71">
        <f>'Stakeholder list'!M55</f>
        <v/>
      </c>
      <c r="M50" s="71">
        <f>'Stakeholder list'!N55</f>
        <v/>
      </c>
      <c r="N50" s="71">
        <f>'Stakeholder list'!O55</f>
        <v/>
      </c>
      <c r="O50" s="71">
        <f>'Stakeholder list'!P55</f>
        <v/>
      </c>
      <c r="P50" s="71">
        <f>'Stakeholder list'!Q55</f>
        <v/>
      </c>
      <c r="Q50" s="73">
        <f>'Stakeholder list'!R55</f>
        <v/>
      </c>
      <c r="R50" s="71">
        <f>'Stakeholder list'!S55</f>
        <v/>
      </c>
      <c r="S50" s="71">
        <f>'Stakeholder list'!T55</f>
        <v/>
      </c>
      <c r="T50" s="71">
        <f>'Stakeholder list'!U55</f>
        <v/>
      </c>
      <c r="U50" s="71">
        <f>'Stakeholder list'!V55</f>
        <v/>
      </c>
      <c r="V50" s="71">
        <f>'Stakeholder list'!W55</f>
        <v/>
      </c>
      <c r="W50" s="71">
        <f>'Stakeholder list'!X55</f>
        <v/>
      </c>
    </row>
    <row r="51">
      <c r="A51" s="71">
        <f>'Stakeholder list'!B56</f>
        <v/>
      </c>
      <c r="B51" s="71">
        <f>'Stakeholder list'!C56</f>
        <v/>
      </c>
      <c r="C51" s="71">
        <f>'Stakeholder list'!D56</f>
        <v/>
      </c>
      <c r="D51" s="71">
        <f>'Stakeholder list'!E56</f>
        <v/>
      </c>
      <c r="E51" s="71">
        <f>'Stakeholder list'!F56</f>
        <v/>
      </c>
      <c r="F51" s="71">
        <f>'Stakeholder list'!G56</f>
        <v/>
      </c>
      <c r="G51" s="71">
        <f>'Stakeholder list'!H56</f>
        <v/>
      </c>
      <c r="H51" s="71">
        <f>'Stakeholder list'!I56</f>
        <v/>
      </c>
      <c r="I51" s="71">
        <f>'Stakeholder list'!J56</f>
        <v/>
      </c>
      <c r="J51" s="71">
        <f>'Stakeholder list'!K56</f>
        <v/>
      </c>
      <c r="K51" s="71">
        <f>'Stakeholder list'!L56</f>
        <v/>
      </c>
      <c r="L51" s="71">
        <f>'Stakeholder list'!M56</f>
        <v/>
      </c>
      <c r="M51" s="71">
        <f>'Stakeholder list'!N56</f>
        <v/>
      </c>
      <c r="N51" s="71">
        <f>'Stakeholder list'!O56</f>
        <v/>
      </c>
      <c r="O51" s="71">
        <f>'Stakeholder list'!P56</f>
        <v/>
      </c>
      <c r="P51" s="71">
        <f>'Stakeholder list'!Q56</f>
        <v/>
      </c>
      <c r="Q51" s="71">
        <f>'Stakeholder list'!R56</f>
        <v/>
      </c>
      <c r="R51" s="71">
        <f>'Stakeholder list'!S56</f>
        <v/>
      </c>
      <c r="S51" s="71">
        <f>'Stakeholder list'!T56</f>
        <v/>
      </c>
      <c r="T51" s="71">
        <f>'Stakeholder list'!U56</f>
        <v/>
      </c>
      <c r="U51" s="71">
        <f>'Stakeholder list'!V56</f>
        <v/>
      </c>
      <c r="V51" s="71">
        <f>'Stakeholder list'!W56</f>
        <v/>
      </c>
      <c r="W51" s="71">
        <f>'Stakeholder list'!X56</f>
        <v/>
      </c>
    </row>
    <row r="52">
      <c r="A52" s="71">
        <f>'Stakeholder list'!B57</f>
        <v/>
      </c>
      <c r="B52" s="71">
        <f>'Stakeholder list'!C57</f>
        <v/>
      </c>
      <c r="C52" s="71">
        <f>'Stakeholder list'!D57</f>
        <v/>
      </c>
      <c r="D52" s="71">
        <f>'Stakeholder list'!E57</f>
        <v/>
      </c>
      <c r="E52" s="71">
        <f>'Stakeholder list'!F57</f>
        <v/>
      </c>
      <c r="F52" s="71">
        <f>'Stakeholder list'!G57</f>
        <v/>
      </c>
      <c r="G52" s="71">
        <f>'Stakeholder list'!H57</f>
        <v/>
      </c>
      <c r="H52" s="71">
        <f>'Stakeholder list'!I57</f>
        <v/>
      </c>
      <c r="I52" s="71">
        <f>'Stakeholder list'!J57</f>
        <v/>
      </c>
      <c r="J52" s="71">
        <f>'Stakeholder list'!K57</f>
        <v/>
      </c>
      <c r="K52" s="71">
        <f>'Stakeholder list'!L57</f>
        <v/>
      </c>
      <c r="L52" s="71">
        <f>'Stakeholder list'!M57</f>
        <v/>
      </c>
      <c r="M52" s="71">
        <f>'Stakeholder list'!N57</f>
        <v/>
      </c>
      <c r="N52" s="71">
        <f>'Stakeholder list'!O57</f>
        <v/>
      </c>
      <c r="O52" s="71">
        <f>'Stakeholder list'!P57</f>
        <v/>
      </c>
      <c r="P52" s="71">
        <f>'Stakeholder list'!Q57</f>
        <v/>
      </c>
      <c r="Q52" s="73">
        <f>'Stakeholder list'!R57</f>
        <v/>
      </c>
      <c r="R52" s="71">
        <f>'Stakeholder list'!S57</f>
        <v/>
      </c>
      <c r="S52" s="71">
        <f>'Stakeholder list'!T57</f>
        <v/>
      </c>
      <c r="T52" s="71">
        <f>'Stakeholder list'!U57</f>
        <v/>
      </c>
      <c r="U52" s="71">
        <f>'Stakeholder list'!V57</f>
        <v/>
      </c>
      <c r="V52" s="71">
        <f>'Stakeholder list'!W57</f>
        <v/>
      </c>
      <c r="W52" s="71">
        <f>'Stakeholder list'!X57</f>
        <v/>
      </c>
    </row>
    <row r="53">
      <c r="A53" s="71">
        <f>'Stakeholder list'!B58</f>
        <v/>
      </c>
      <c r="B53" s="71">
        <f>'Stakeholder list'!C58</f>
        <v/>
      </c>
      <c r="C53" s="71">
        <f>'Stakeholder list'!D58</f>
        <v/>
      </c>
      <c r="D53" s="71">
        <f>'Stakeholder list'!E58</f>
        <v/>
      </c>
      <c r="E53" s="71">
        <f>'Stakeholder list'!F58</f>
        <v/>
      </c>
      <c r="F53" s="71">
        <f>'Stakeholder list'!G58</f>
        <v/>
      </c>
      <c r="G53" s="71">
        <f>'Stakeholder list'!H58</f>
        <v/>
      </c>
      <c r="H53" s="71">
        <f>'Stakeholder list'!I58</f>
        <v/>
      </c>
      <c r="I53" s="71">
        <f>'Stakeholder list'!J58</f>
        <v/>
      </c>
      <c r="J53" s="71">
        <f>'Stakeholder list'!K58</f>
        <v/>
      </c>
      <c r="K53" s="71">
        <f>'Stakeholder list'!L58</f>
        <v/>
      </c>
      <c r="L53" s="71">
        <f>'Stakeholder list'!M58</f>
        <v/>
      </c>
      <c r="M53" s="71">
        <f>'Stakeholder list'!N58</f>
        <v/>
      </c>
      <c r="N53" s="71">
        <f>'Stakeholder list'!O58</f>
        <v/>
      </c>
      <c r="O53" s="71">
        <f>'Stakeholder list'!P58</f>
        <v/>
      </c>
      <c r="P53" s="71">
        <f>'Stakeholder list'!Q58</f>
        <v/>
      </c>
      <c r="Q53" s="73">
        <f>'Stakeholder list'!R58</f>
        <v/>
      </c>
      <c r="R53" s="71">
        <f>'Stakeholder list'!S58</f>
        <v/>
      </c>
      <c r="S53" s="71">
        <f>'Stakeholder list'!T58</f>
        <v/>
      </c>
      <c r="T53" s="71">
        <f>'Stakeholder list'!U58</f>
        <v/>
      </c>
      <c r="U53" s="71">
        <f>'Stakeholder list'!V58</f>
        <v/>
      </c>
      <c r="V53" s="71">
        <f>'Stakeholder list'!W58</f>
        <v/>
      </c>
      <c r="W53" s="71">
        <f>'Stakeholder list'!X58</f>
        <v/>
      </c>
    </row>
    <row r="54">
      <c r="A54" s="71">
        <f>'Stakeholder list'!B59</f>
        <v/>
      </c>
      <c r="B54" s="71">
        <f>'Stakeholder list'!C59</f>
        <v/>
      </c>
      <c r="C54" s="71">
        <f>'Stakeholder list'!D59</f>
        <v/>
      </c>
      <c r="D54" s="71">
        <f>'Stakeholder list'!E59</f>
        <v/>
      </c>
      <c r="E54" s="71">
        <f>'Stakeholder list'!F59</f>
        <v/>
      </c>
      <c r="F54" s="71">
        <f>'Stakeholder list'!G59</f>
        <v/>
      </c>
      <c r="G54" s="71">
        <f>'Stakeholder list'!H59</f>
        <v/>
      </c>
      <c r="H54" s="71">
        <f>'Stakeholder list'!I59</f>
        <v/>
      </c>
      <c r="I54" s="71">
        <f>'Stakeholder list'!J59</f>
        <v/>
      </c>
      <c r="J54" s="71">
        <f>'Stakeholder list'!K59</f>
        <v/>
      </c>
      <c r="K54" s="71">
        <f>'Stakeholder list'!L59</f>
        <v/>
      </c>
      <c r="L54" s="71">
        <f>'Stakeholder list'!M59</f>
        <v/>
      </c>
      <c r="M54" s="71">
        <f>'Stakeholder list'!N59</f>
        <v/>
      </c>
      <c r="N54" s="71">
        <f>'Stakeholder list'!O59</f>
        <v/>
      </c>
      <c r="O54" s="71">
        <f>'Stakeholder list'!P59</f>
        <v/>
      </c>
      <c r="P54" s="71">
        <f>'Stakeholder list'!Q59</f>
        <v/>
      </c>
      <c r="Q54" s="73">
        <f>'Stakeholder list'!R59</f>
        <v/>
      </c>
      <c r="R54" s="71">
        <f>'Stakeholder list'!S59</f>
        <v/>
      </c>
      <c r="S54" s="71">
        <f>'Stakeholder list'!T59</f>
        <v/>
      </c>
      <c r="T54" s="71">
        <f>'Stakeholder list'!U59</f>
        <v/>
      </c>
      <c r="U54" s="71">
        <f>'Stakeholder list'!V59</f>
        <v/>
      </c>
      <c r="V54" s="71">
        <f>'Stakeholder list'!W59</f>
        <v/>
      </c>
      <c r="W54" s="71">
        <f>'Stakeholder list'!X59</f>
        <v/>
      </c>
    </row>
    <row r="55">
      <c r="A55" s="71">
        <f>'Stakeholder list'!B60</f>
        <v/>
      </c>
      <c r="B55" s="71">
        <f>'Stakeholder list'!C60</f>
        <v/>
      </c>
      <c r="C55" s="71">
        <f>'Stakeholder list'!D60</f>
        <v/>
      </c>
      <c r="D55" s="71">
        <f>'Stakeholder list'!E60</f>
        <v/>
      </c>
      <c r="E55" s="71">
        <f>'Stakeholder list'!F60</f>
        <v/>
      </c>
      <c r="F55" s="71">
        <f>'Stakeholder list'!G60</f>
        <v/>
      </c>
      <c r="G55" s="71">
        <f>'Stakeholder list'!H60</f>
        <v/>
      </c>
      <c r="H55" s="71">
        <f>'Stakeholder list'!I60</f>
        <v/>
      </c>
      <c r="I55" s="71">
        <f>'Stakeholder list'!J60</f>
        <v/>
      </c>
      <c r="J55" s="71">
        <f>'Stakeholder list'!K60</f>
        <v/>
      </c>
      <c r="K55" s="71">
        <f>'Stakeholder list'!L60</f>
        <v/>
      </c>
      <c r="L55" s="71">
        <f>'Stakeholder list'!M60</f>
        <v/>
      </c>
      <c r="M55" s="71">
        <f>'Stakeholder list'!N60</f>
        <v/>
      </c>
      <c r="N55" s="71">
        <f>'Stakeholder list'!O60</f>
        <v/>
      </c>
      <c r="O55" s="71">
        <f>'Stakeholder list'!P60</f>
        <v/>
      </c>
      <c r="P55" s="71">
        <f>'Stakeholder list'!Q60</f>
        <v/>
      </c>
      <c r="Q55" s="71">
        <f>'Stakeholder list'!R60</f>
        <v/>
      </c>
      <c r="R55" s="71">
        <f>'Stakeholder list'!S60</f>
        <v/>
      </c>
      <c r="S55" s="71">
        <f>'Stakeholder list'!T60</f>
        <v/>
      </c>
      <c r="T55" s="71">
        <f>'Stakeholder list'!U60</f>
        <v/>
      </c>
      <c r="U55" s="71">
        <f>'Stakeholder list'!V60</f>
        <v/>
      </c>
      <c r="V55" s="71">
        <f>'Stakeholder list'!W60</f>
        <v/>
      </c>
      <c r="W55" s="71">
        <f>'Stakeholder list'!X60</f>
        <v/>
      </c>
    </row>
    <row r="56">
      <c r="A56" s="71">
        <f>'Stakeholder list'!B61</f>
        <v/>
      </c>
      <c r="B56" s="71">
        <f>'Stakeholder list'!C61</f>
        <v/>
      </c>
      <c r="C56" s="71">
        <f>'Stakeholder list'!D61</f>
        <v/>
      </c>
      <c r="D56" s="71">
        <f>'Stakeholder list'!E61</f>
        <v/>
      </c>
      <c r="E56" s="71">
        <f>'Stakeholder list'!F61</f>
        <v/>
      </c>
      <c r="F56" s="71">
        <f>'Stakeholder list'!G61</f>
        <v/>
      </c>
      <c r="G56" s="71">
        <f>'Stakeholder list'!H61</f>
        <v/>
      </c>
      <c r="H56" s="71">
        <f>'Stakeholder list'!I61</f>
        <v/>
      </c>
      <c r="I56" s="71">
        <f>'Stakeholder list'!J61</f>
        <v/>
      </c>
      <c r="J56" s="71">
        <f>'Stakeholder list'!K61</f>
        <v/>
      </c>
      <c r="K56" s="71">
        <f>'Stakeholder list'!L61</f>
        <v/>
      </c>
      <c r="L56" s="71">
        <f>'Stakeholder list'!M61</f>
        <v/>
      </c>
      <c r="M56" s="71">
        <f>'Stakeholder list'!N61</f>
        <v/>
      </c>
      <c r="N56" s="71">
        <f>'Stakeholder list'!O61</f>
        <v/>
      </c>
      <c r="O56" s="71">
        <f>'Stakeholder list'!P61</f>
        <v/>
      </c>
      <c r="P56" s="71">
        <f>'Stakeholder list'!Q61</f>
        <v/>
      </c>
      <c r="Q56" s="73">
        <f>'Stakeholder list'!R61</f>
        <v/>
      </c>
      <c r="R56" s="71">
        <f>'Stakeholder list'!S61</f>
        <v/>
      </c>
      <c r="S56" s="71">
        <f>'Stakeholder list'!T61</f>
        <v/>
      </c>
      <c r="T56" s="71">
        <f>'Stakeholder list'!U61</f>
        <v/>
      </c>
      <c r="U56" s="71">
        <f>'Stakeholder list'!V61</f>
        <v/>
      </c>
      <c r="V56" s="71">
        <f>'Stakeholder list'!W61</f>
        <v/>
      </c>
      <c r="W56" s="71">
        <f>'Stakeholder list'!X61</f>
        <v/>
      </c>
    </row>
    <row r="57">
      <c r="A57" s="71">
        <f>'Stakeholder list'!B62</f>
        <v/>
      </c>
      <c r="B57" s="71">
        <f>'Stakeholder list'!C62</f>
        <v/>
      </c>
      <c r="C57" s="71">
        <f>'Stakeholder list'!D62</f>
        <v/>
      </c>
      <c r="D57" s="71">
        <f>'Stakeholder list'!E62</f>
        <v/>
      </c>
      <c r="E57" s="71">
        <f>'Stakeholder list'!F62</f>
        <v/>
      </c>
      <c r="F57" s="71">
        <f>'Stakeholder list'!G62</f>
        <v/>
      </c>
      <c r="G57" s="71">
        <f>'Stakeholder list'!H62</f>
        <v/>
      </c>
      <c r="H57" s="71">
        <f>'Stakeholder list'!I62</f>
        <v/>
      </c>
      <c r="I57" s="71">
        <f>'Stakeholder list'!J62</f>
        <v/>
      </c>
      <c r="J57" s="71">
        <f>'Stakeholder list'!K62</f>
        <v/>
      </c>
      <c r="K57" s="71">
        <f>'Stakeholder list'!L62</f>
        <v/>
      </c>
      <c r="L57" s="71">
        <f>'Stakeholder list'!M62</f>
        <v/>
      </c>
      <c r="M57" s="71">
        <f>'Stakeholder list'!N62</f>
        <v/>
      </c>
      <c r="N57" s="71">
        <f>'Stakeholder list'!O62</f>
        <v/>
      </c>
      <c r="O57" s="71">
        <f>'Stakeholder list'!P62</f>
        <v/>
      </c>
      <c r="P57" s="71">
        <f>'Stakeholder list'!Q62</f>
        <v/>
      </c>
      <c r="Q57" s="73">
        <f>'Stakeholder list'!R62</f>
        <v/>
      </c>
      <c r="R57" s="71">
        <f>'Stakeholder list'!S62</f>
        <v/>
      </c>
      <c r="S57" s="71">
        <f>'Stakeholder list'!T62</f>
        <v/>
      </c>
      <c r="T57" s="71">
        <f>'Stakeholder list'!U62</f>
        <v/>
      </c>
      <c r="U57" s="71">
        <f>'Stakeholder list'!V62</f>
        <v/>
      </c>
      <c r="V57" s="71">
        <f>'Stakeholder list'!W62</f>
        <v/>
      </c>
      <c r="W57" s="71">
        <f>'Stakeholder list'!X62</f>
        <v/>
      </c>
    </row>
    <row r="58">
      <c r="A58" s="71">
        <f>'Stakeholder list'!B63</f>
        <v/>
      </c>
      <c r="B58" s="71">
        <f>'Stakeholder list'!C63</f>
        <v/>
      </c>
      <c r="C58" s="71">
        <f>'Stakeholder list'!D63</f>
        <v/>
      </c>
      <c r="D58" s="71">
        <f>'Stakeholder list'!E63</f>
        <v/>
      </c>
      <c r="E58" s="71">
        <f>'Stakeholder list'!F63</f>
        <v/>
      </c>
      <c r="F58" s="71">
        <f>'Stakeholder list'!G63</f>
        <v/>
      </c>
      <c r="G58" s="71">
        <f>'Stakeholder list'!H63</f>
        <v/>
      </c>
      <c r="H58" s="71">
        <f>'Stakeholder list'!I63</f>
        <v/>
      </c>
      <c r="I58" s="71">
        <f>'Stakeholder list'!J63</f>
        <v/>
      </c>
      <c r="J58" s="71">
        <f>'Stakeholder list'!K63</f>
        <v/>
      </c>
      <c r="K58" s="71">
        <f>'Stakeholder list'!L63</f>
        <v/>
      </c>
      <c r="L58" s="71">
        <f>'Stakeholder list'!M63</f>
        <v/>
      </c>
      <c r="M58" s="71">
        <f>'Stakeholder list'!N63</f>
        <v/>
      </c>
      <c r="N58" s="71">
        <f>'Stakeholder list'!O63</f>
        <v/>
      </c>
      <c r="O58" s="71">
        <f>'Stakeholder list'!P63</f>
        <v/>
      </c>
      <c r="P58" s="71">
        <f>'Stakeholder list'!Q63</f>
        <v/>
      </c>
      <c r="Q58" s="71">
        <f>'Stakeholder list'!R63</f>
        <v/>
      </c>
      <c r="R58" s="71">
        <f>'Stakeholder list'!S63</f>
        <v/>
      </c>
      <c r="S58" s="71">
        <f>'Stakeholder list'!T63</f>
        <v/>
      </c>
      <c r="T58" s="71">
        <f>'Stakeholder list'!U63</f>
        <v/>
      </c>
      <c r="U58" s="71">
        <f>'Stakeholder list'!V63</f>
        <v/>
      </c>
      <c r="V58" s="71">
        <f>'Stakeholder list'!W63</f>
        <v/>
      </c>
      <c r="W58" s="71">
        <f>'Stakeholder list'!X63</f>
        <v/>
      </c>
    </row>
    <row r="59">
      <c r="A59" s="71">
        <f>'Stakeholder list'!B64</f>
        <v/>
      </c>
      <c r="B59" s="71">
        <f>'Stakeholder list'!C64</f>
        <v/>
      </c>
      <c r="C59" s="71">
        <f>'Stakeholder list'!D64</f>
        <v/>
      </c>
      <c r="D59" s="71">
        <f>'Stakeholder list'!E64</f>
        <v/>
      </c>
      <c r="E59" s="71">
        <f>'Stakeholder list'!F64</f>
        <v/>
      </c>
      <c r="F59" s="71">
        <f>'Stakeholder list'!G64</f>
        <v/>
      </c>
      <c r="G59" s="71">
        <f>'Stakeholder list'!H64</f>
        <v/>
      </c>
      <c r="H59" s="71">
        <f>'Stakeholder list'!I64</f>
        <v/>
      </c>
      <c r="I59" s="71">
        <f>'Stakeholder list'!J64</f>
        <v/>
      </c>
      <c r="J59" s="71">
        <f>'Stakeholder list'!K64</f>
        <v/>
      </c>
      <c r="K59" s="71">
        <f>'Stakeholder list'!L64</f>
        <v/>
      </c>
      <c r="L59" s="71">
        <f>'Stakeholder list'!M64</f>
        <v/>
      </c>
      <c r="M59" s="71">
        <f>'Stakeholder list'!N64</f>
        <v/>
      </c>
      <c r="N59" s="71">
        <f>'Stakeholder list'!O64</f>
        <v/>
      </c>
      <c r="O59" s="71">
        <f>'Stakeholder list'!P64</f>
        <v/>
      </c>
      <c r="P59" s="71">
        <f>'Stakeholder list'!Q64</f>
        <v/>
      </c>
      <c r="Q59" s="73">
        <f>'Stakeholder list'!R64</f>
        <v/>
      </c>
      <c r="R59" s="71">
        <f>'Stakeholder list'!S64</f>
        <v/>
      </c>
      <c r="S59" s="71">
        <f>'Stakeholder list'!T64</f>
        <v/>
      </c>
      <c r="T59" s="71">
        <f>'Stakeholder list'!U64</f>
        <v/>
      </c>
      <c r="U59" s="71">
        <f>'Stakeholder list'!V64</f>
        <v/>
      </c>
      <c r="V59" s="71">
        <f>'Stakeholder list'!W64</f>
        <v/>
      </c>
      <c r="W59" s="71">
        <f>'Stakeholder list'!X64</f>
        <v/>
      </c>
    </row>
    <row r="60">
      <c r="A60" s="71">
        <f>'Stakeholder list'!B65</f>
        <v/>
      </c>
      <c r="B60" s="71">
        <f>'Stakeholder list'!C65</f>
        <v/>
      </c>
      <c r="C60" s="71">
        <f>'Stakeholder list'!D65</f>
        <v/>
      </c>
      <c r="D60" s="71">
        <f>'Stakeholder list'!E65</f>
        <v/>
      </c>
      <c r="E60" s="71">
        <f>'Stakeholder list'!F65</f>
        <v/>
      </c>
      <c r="F60" s="71">
        <f>'Stakeholder list'!G65</f>
        <v/>
      </c>
      <c r="G60" s="71">
        <f>'Stakeholder list'!H65</f>
        <v/>
      </c>
      <c r="H60" s="71">
        <f>'Stakeholder list'!I65</f>
        <v/>
      </c>
      <c r="I60" s="71">
        <f>'Stakeholder list'!J65</f>
        <v/>
      </c>
      <c r="J60" s="71">
        <f>'Stakeholder list'!K65</f>
        <v/>
      </c>
      <c r="K60" s="71">
        <f>'Stakeholder list'!L65</f>
        <v/>
      </c>
      <c r="L60" s="71">
        <f>'Stakeholder list'!M65</f>
        <v/>
      </c>
      <c r="M60" s="71">
        <f>'Stakeholder list'!N65</f>
        <v/>
      </c>
      <c r="N60" s="71">
        <f>'Stakeholder list'!O65</f>
        <v/>
      </c>
      <c r="O60" s="71">
        <f>'Stakeholder list'!P65</f>
        <v/>
      </c>
      <c r="P60" s="71">
        <f>'Stakeholder list'!Q65</f>
        <v/>
      </c>
      <c r="Q60" s="73">
        <f>'Stakeholder list'!R65</f>
        <v/>
      </c>
      <c r="R60" s="71">
        <f>'Stakeholder list'!S65</f>
        <v/>
      </c>
      <c r="S60" s="71">
        <f>'Stakeholder list'!T65</f>
        <v/>
      </c>
      <c r="T60" s="71">
        <f>'Stakeholder list'!U65</f>
        <v/>
      </c>
      <c r="U60" s="71">
        <f>'Stakeholder list'!V65</f>
        <v/>
      </c>
      <c r="V60" s="71">
        <f>'Stakeholder list'!W65</f>
        <v/>
      </c>
      <c r="W60" s="71">
        <f>'Stakeholder list'!X65</f>
        <v/>
      </c>
    </row>
    <row r="61">
      <c r="A61" s="71">
        <f>'Stakeholder list'!B66</f>
        <v/>
      </c>
      <c r="B61" s="71">
        <f>'Stakeholder list'!C66</f>
        <v/>
      </c>
      <c r="C61" s="71">
        <f>'Stakeholder list'!D66</f>
        <v/>
      </c>
      <c r="D61" s="71">
        <f>'Stakeholder list'!E66</f>
        <v/>
      </c>
      <c r="E61" s="71">
        <f>'Stakeholder list'!F66</f>
        <v/>
      </c>
      <c r="F61" s="71">
        <f>'Stakeholder list'!G66</f>
        <v/>
      </c>
      <c r="G61" s="71">
        <f>'Stakeholder list'!H66</f>
        <v/>
      </c>
      <c r="H61" s="71">
        <f>'Stakeholder list'!I66</f>
        <v/>
      </c>
      <c r="I61" s="71">
        <f>'Stakeholder list'!J66</f>
        <v/>
      </c>
      <c r="J61" s="71">
        <f>'Stakeholder list'!K66</f>
        <v/>
      </c>
      <c r="K61" s="71">
        <f>'Stakeholder list'!L66</f>
        <v/>
      </c>
      <c r="L61" s="71">
        <f>'Stakeholder list'!M66</f>
        <v/>
      </c>
      <c r="M61" s="71">
        <f>'Stakeholder list'!N66</f>
        <v/>
      </c>
      <c r="N61" s="71">
        <f>'Stakeholder list'!O66</f>
        <v/>
      </c>
      <c r="O61" s="71">
        <f>'Stakeholder list'!P66</f>
        <v/>
      </c>
      <c r="P61" s="71">
        <f>'Stakeholder list'!Q66</f>
        <v/>
      </c>
      <c r="Q61" s="73">
        <f>'Stakeholder list'!R66</f>
        <v/>
      </c>
      <c r="R61" s="71">
        <f>'Stakeholder list'!S66</f>
        <v/>
      </c>
      <c r="S61" s="71">
        <f>'Stakeholder list'!T66</f>
        <v/>
      </c>
      <c r="T61" s="71">
        <f>'Stakeholder list'!U66</f>
        <v/>
      </c>
      <c r="U61" s="71">
        <f>'Stakeholder list'!V66</f>
        <v/>
      </c>
      <c r="V61" s="71">
        <f>'Stakeholder list'!W66</f>
        <v/>
      </c>
      <c r="W61" s="71">
        <f>'Stakeholder list'!X66</f>
        <v/>
      </c>
    </row>
    <row r="62">
      <c r="A62" s="71">
        <f>'Stakeholder list'!B67</f>
        <v/>
      </c>
      <c r="B62" s="71">
        <f>'Stakeholder list'!C67</f>
        <v/>
      </c>
      <c r="C62" s="71">
        <f>'Stakeholder list'!D67</f>
        <v/>
      </c>
      <c r="D62" s="71">
        <f>'Stakeholder list'!E67</f>
        <v/>
      </c>
      <c r="E62" s="71">
        <f>'Stakeholder list'!F67</f>
        <v/>
      </c>
      <c r="F62" s="71">
        <f>'Stakeholder list'!G67</f>
        <v/>
      </c>
      <c r="G62" s="71">
        <f>'Stakeholder list'!H67</f>
        <v/>
      </c>
      <c r="H62" s="71">
        <f>'Stakeholder list'!I67</f>
        <v/>
      </c>
      <c r="I62" s="71">
        <f>'Stakeholder list'!J67</f>
        <v/>
      </c>
      <c r="J62" s="71">
        <f>'Stakeholder list'!K67</f>
        <v/>
      </c>
      <c r="K62" s="71">
        <f>'Stakeholder list'!L67</f>
        <v/>
      </c>
      <c r="L62" s="71">
        <f>'Stakeholder list'!M67</f>
        <v/>
      </c>
      <c r="M62" s="71">
        <f>'Stakeholder list'!N67</f>
        <v/>
      </c>
      <c r="N62" s="71">
        <f>'Stakeholder list'!O67</f>
        <v/>
      </c>
      <c r="O62" s="71">
        <f>'Stakeholder list'!P67</f>
        <v/>
      </c>
      <c r="P62" s="71">
        <f>'Stakeholder list'!Q67</f>
        <v/>
      </c>
      <c r="Q62" s="73">
        <f>'Stakeholder list'!R67</f>
        <v/>
      </c>
      <c r="R62" s="71">
        <f>'Stakeholder list'!S67</f>
        <v/>
      </c>
      <c r="S62" s="71">
        <f>'Stakeholder list'!T67</f>
        <v/>
      </c>
      <c r="T62" s="71">
        <f>'Stakeholder list'!U67</f>
        <v/>
      </c>
      <c r="U62" s="71">
        <f>'Stakeholder list'!V67</f>
        <v/>
      </c>
      <c r="V62" s="71">
        <f>'Stakeholder list'!W67</f>
        <v/>
      </c>
      <c r="W62" s="71">
        <f>'Stakeholder list'!X67</f>
        <v/>
      </c>
    </row>
    <row r="63">
      <c r="A63" s="71">
        <f>'Stakeholder list'!B68</f>
        <v/>
      </c>
      <c r="B63" s="71">
        <f>'Stakeholder list'!C68</f>
        <v/>
      </c>
      <c r="C63" s="71">
        <f>'Stakeholder list'!D68</f>
        <v/>
      </c>
      <c r="D63" s="71">
        <f>'Stakeholder list'!E68</f>
        <v/>
      </c>
      <c r="E63" s="71">
        <f>'Stakeholder list'!F68</f>
        <v/>
      </c>
      <c r="F63" s="71">
        <f>'Stakeholder list'!G68</f>
        <v/>
      </c>
      <c r="G63" s="71">
        <f>'Stakeholder list'!H68</f>
        <v/>
      </c>
      <c r="H63" s="71">
        <f>'Stakeholder list'!I68</f>
        <v/>
      </c>
      <c r="I63" s="71">
        <f>'Stakeholder list'!J68</f>
        <v/>
      </c>
      <c r="J63" s="71">
        <f>'Stakeholder list'!K68</f>
        <v/>
      </c>
      <c r="K63" s="71">
        <f>'Stakeholder list'!L68</f>
        <v/>
      </c>
      <c r="L63" s="71">
        <f>'Stakeholder list'!M68</f>
        <v/>
      </c>
      <c r="M63" s="71">
        <f>'Stakeholder list'!N68</f>
        <v/>
      </c>
      <c r="N63" s="71">
        <f>'Stakeholder list'!O68</f>
        <v/>
      </c>
      <c r="O63" s="71">
        <f>'Stakeholder list'!P68</f>
        <v/>
      </c>
      <c r="P63" s="71">
        <f>'Stakeholder list'!Q68</f>
        <v/>
      </c>
      <c r="Q63" s="73">
        <f>'Stakeholder list'!R68</f>
        <v/>
      </c>
      <c r="R63" s="71">
        <f>'Stakeholder list'!S68</f>
        <v/>
      </c>
      <c r="S63" s="71">
        <f>'Stakeholder list'!T68</f>
        <v/>
      </c>
      <c r="T63" s="71">
        <f>'Stakeholder list'!U68</f>
        <v/>
      </c>
      <c r="U63" s="71">
        <f>'Stakeholder list'!V68</f>
        <v/>
      </c>
      <c r="V63" s="71">
        <f>'Stakeholder list'!W68</f>
        <v/>
      </c>
      <c r="W63" s="71">
        <f>'Stakeholder list'!X68</f>
        <v/>
      </c>
    </row>
    <row r="64">
      <c r="A64" s="71">
        <f>'Stakeholder list'!B69</f>
        <v/>
      </c>
      <c r="B64" s="71">
        <f>'Stakeholder list'!C69</f>
        <v/>
      </c>
      <c r="C64" s="71">
        <f>'Stakeholder list'!D69</f>
        <v/>
      </c>
      <c r="D64" s="71">
        <f>'Stakeholder list'!E69</f>
        <v/>
      </c>
      <c r="E64" s="71">
        <f>'Stakeholder list'!F69</f>
        <v/>
      </c>
      <c r="F64" s="71">
        <f>'Stakeholder list'!G69</f>
        <v/>
      </c>
      <c r="G64" s="71">
        <f>'Stakeholder list'!H69</f>
        <v/>
      </c>
      <c r="H64" s="71">
        <f>'Stakeholder list'!I69</f>
        <v/>
      </c>
      <c r="I64" s="71">
        <f>'Stakeholder list'!J69</f>
        <v/>
      </c>
      <c r="J64" s="71">
        <f>'Stakeholder list'!K69</f>
        <v/>
      </c>
      <c r="K64" s="71">
        <f>'Stakeholder list'!L69</f>
        <v/>
      </c>
      <c r="L64" s="71">
        <f>'Stakeholder list'!M69</f>
        <v/>
      </c>
      <c r="M64" s="71">
        <f>'Stakeholder list'!N69</f>
        <v/>
      </c>
      <c r="N64" s="71">
        <f>'Stakeholder list'!O69</f>
        <v/>
      </c>
      <c r="O64" s="71">
        <f>'Stakeholder list'!P69</f>
        <v/>
      </c>
      <c r="P64" s="71">
        <f>'Stakeholder list'!Q69</f>
        <v/>
      </c>
      <c r="Q64" s="73">
        <f>'Stakeholder list'!R69</f>
        <v/>
      </c>
      <c r="R64" s="71">
        <f>'Stakeholder list'!S69</f>
        <v/>
      </c>
      <c r="S64" s="71">
        <f>'Stakeholder list'!T69</f>
        <v/>
      </c>
      <c r="T64" s="71">
        <f>'Stakeholder list'!U69</f>
        <v/>
      </c>
      <c r="U64" s="71">
        <f>'Stakeholder list'!V69</f>
        <v/>
      </c>
      <c r="V64" s="71">
        <f>'Stakeholder list'!W69</f>
        <v/>
      </c>
      <c r="W64" s="71">
        <f>'Stakeholder list'!X69</f>
        <v/>
      </c>
    </row>
    <row r="65">
      <c r="A65" s="71">
        <f>'Stakeholder list'!B70</f>
        <v/>
      </c>
      <c r="B65" s="71">
        <f>'Stakeholder list'!C70</f>
        <v/>
      </c>
      <c r="C65" s="71">
        <f>'Stakeholder list'!D70</f>
        <v/>
      </c>
      <c r="D65" s="71">
        <f>'Stakeholder list'!E70</f>
        <v/>
      </c>
      <c r="E65" s="71">
        <f>'Stakeholder list'!F70</f>
        <v/>
      </c>
      <c r="F65" s="71">
        <f>'Stakeholder list'!G70</f>
        <v/>
      </c>
      <c r="G65" s="71">
        <f>'Stakeholder list'!H70</f>
        <v/>
      </c>
      <c r="H65" s="71">
        <f>'Stakeholder list'!I70</f>
        <v/>
      </c>
      <c r="I65" s="71">
        <f>'Stakeholder list'!J70</f>
        <v/>
      </c>
      <c r="J65" s="71">
        <f>'Stakeholder list'!K70</f>
        <v/>
      </c>
      <c r="K65" s="71">
        <f>'Stakeholder list'!L70</f>
        <v/>
      </c>
      <c r="L65" s="71">
        <f>'Stakeholder list'!M70</f>
        <v/>
      </c>
      <c r="M65" s="71">
        <f>'Stakeholder list'!N70</f>
        <v/>
      </c>
      <c r="N65" s="71">
        <f>'Stakeholder list'!O70</f>
        <v/>
      </c>
      <c r="O65" s="71">
        <f>'Stakeholder list'!P70</f>
        <v/>
      </c>
      <c r="P65" s="71">
        <f>'Stakeholder list'!Q70</f>
        <v/>
      </c>
      <c r="Q65" s="73">
        <f>'Stakeholder list'!R70</f>
        <v/>
      </c>
      <c r="R65" s="71">
        <f>'Stakeholder list'!S70</f>
        <v/>
      </c>
      <c r="S65" s="71">
        <f>'Stakeholder list'!T70</f>
        <v/>
      </c>
      <c r="T65" s="71">
        <f>'Stakeholder list'!U70</f>
        <v/>
      </c>
      <c r="U65" s="71">
        <f>'Stakeholder list'!V70</f>
        <v/>
      </c>
      <c r="V65" s="71">
        <f>'Stakeholder list'!W70</f>
        <v/>
      </c>
      <c r="W65" s="71">
        <f>'Stakeholder list'!X70</f>
        <v/>
      </c>
    </row>
    <row r="66">
      <c r="A66" s="71">
        <f>'Stakeholder list'!B71</f>
        <v/>
      </c>
      <c r="B66" s="71">
        <f>'Stakeholder list'!C71</f>
        <v/>
      </c>
      <c r="C66" s="71">
        <f>'Stakeholder list'!D71</f>
        <v/>
      </c>
      <c r="D66" s="71">
        <f>'Stakeholder list'!E71</f>
        <v/>
      </c>
      <c r="E66" s="71">
        <f>'Stakeholder list'!F71</f>
        <v/>
      </c>
      <c r="F66" s="71">
        <f>'Stakeholder list'!G71</f>
        <v/>
      </c>
      <c r="G66" s="71">
        <f>'Stakeholder list'!H71</f>
        <v/>
      </c>
      <c r="H66" s="71">
        <f>'Stakeholder list'!I71</f>
        <v/>
      </c>
      <c r="I66" s="71">
        <f>'Stakeholder list'!J71</f>
        <v/>
      </c>
      <c r="J66" s="71">
        <f>'Stakeholder list'!K71</f>
        <v/>
      </c>
      <c r="K66" s="71">
        <f>'Stakeholder list'!L71</f>
        <v/>
      </c>
      <c r="L66" s="71">
        <f>'Stakeholder list'!M71</f>
        <v/>
      </c>
      <c r="M66" s="71">
        <f>'Stakeholder list'!N71</f>
        <v/>
      </c>
      <c r="N66" s="71">
        <f>'Stakeholder list'!O71</f>
        <v/>
      </c>
      <c r="O66" s="71">
        <f>'Stakeholder list'!P71</f>
        <v/>
      </c>
      <c r="P66" s="71">
        <f>'Stakeholder list'!Q71</f>
        <v/>
      </c>
      <c r="Q66" s="73">
        <f>'Stakeholder list'!R71</f>
        <v/>
      </c>
      <c r="R66" s="71">
        <f>'Stakeholder list'!S71</f>
        <v/>
      </c>
      <c r="S66" s="71">
        <f>'Stakeholder list'!T71</f>
        <v/>
      </c>
      <c r="T66" s="71">
        <f>'Stakeholder list'!U71</f>
        <v/>
      </c>
      <c r="U66" s="71">
        <f>'Stakeholder list'!V71</f>
        <v/>
      </c>
      <c r="V66" s="71">
        <f>'Stakeholder list'!W71</f>
        <v/>
      </c>
      <c r="W66" s="71">
        <f>'Stakeholder list'!X71</f>
        <v/>
      </c>
    </row>
    <row r="67">
      <c r="A67" s="71">
        <f>'Stakeholder list'!B72</f>
        <v/>
      </c>
      <c r="B67" s="71">
        <f>'Stakeholder list'!C72</f>
        <v/>
      </c>
      <c r="C67" s="71">
        <f>'Stakeholder list'!D72</f>
        <v/>
      </c>
      <c r="D67" s="71">
        <f>'Stakeholder list'!E72</f>
        <v/>
      </c>
      <c r="E67" s="71">
        <f>'Stakeholder list'!F72</f>
        <v/>
      </c>
      <c r="F67" s="71">
        <f>'Stakeholder list'!G72</f>
        <v/>
      </c>
      <c r="G67" s="71">
        <f>'Stakeholder list'!H72</f>
        <v/>
      </c>
      <c r="H67" s="71">
        <f>'Stakeholder list'!I72</f>
        <v/>
      </c>
      <c r="I67" s="71">
        <f>'Stakeholder list'!J72</f>
        <v/>
      </c>
      <c r="J67" s="71">
        <f>'Stakeholder list'!K72</f>
        <v/>
      </c>
      <c r="K67" s="71">
        <f>'Stakeholder list'!L72</f>
        <v/>
      </c>
      <c r="L67" s="71">
        <f>'Stakeholder list'!M72</f>
        <v/>
      </c>
      <c r="M67" s="71">
        <f>'Stakeholder list'!N72</f>
        <v/>
      </c>
      <c r="N67" s="71">
        <f>'Stakeholder list'!O72</f>
        <v/>
      </c>
      <c r="O67" s="71">
        <f>'Stakeholder list'!P72</f>
        <v/>
      </c>
      <c r="P67" s="71">
        <f>'Stakeholder list'!Q72</f>
        <v/>
      </c>
      <c r="Q67" s="71">
        <f>'Stakeholder list'!R72</f>
        <v/>
      </c>
      <c r="R67" s="71">
        <f>'Stakeholder list'!S72</f>
        <v/>
      </c>
      <c r="S67" s="71">
        <f>'Stakeholder list'!T72</f>
        <v/>
      </c>
      <c r="T67" s="71">
        <f>'Stakeholder list'!U72</f>
        <v/>
      </c>
      <c r="U67" s="71">
        <f>'Stakeholder list'!V72</f>
        <v/>
      </c>
      <c r="V67" s="71">
        <f>'Stakeholder list'!W72</f>
        <v/>
      </c>
      <c r="W67" s="71">
        <f>'Stakeholder list'!X72</f>
        <v/>
      </c>
    </row>
    <row r="68">
      <c r="A68" s="71">
        <f>'Stakeholder list'!B73</f>
        <v/>
      </c>
      <c r="B68" s="71">
        <f>'Stakeholder list'!C73</f>
        <v/>
      </c>
      <c r="C68" s="71">
        <f>'Stakeholder list'!D73</f>
        <v/>
      </c>
      <c r="D68" s="71">
        <f>'Stakeholder list'!E73</f>
        <v/>
      </c>
      <c r="E68" s="71">
        <f>'Stakeholder list'!F73</f>
        <v/>
      </c>
      <c r="F68" s="71">
        <f>'Stakeholder list'!G73</f>
        <v/>
      </c>
      <c r="G68" s="71">
        <f>'Stakeholder list'!H73</f>
        <v/>
      </c>
      <c r="H68" s="71">
        <f>'Stakeholder list'!I73</f>
        <v/>
      </c>
      <c r="I68" s="71">
        <f>'Stakeholder list'!J73</f>
        <v/>
      </c>
      <c r="J68" s="71">
        <f>'Stakeholder list'!K73</f>
        <v/>
      </c>
      <c r="K68" s="71">
        <f>'Stakeholder list'!L73</f>
        <v/>
      </c>
      <c r="L68" s="71">
        <f>'Stakeholder list'!M73</f>
        <v/>
      </c>
      <c r="M68" s="71">
        <f>'Stakeholder list'!N73</f>
        <v/>
      </c>
      <c r="N68" s="71">
        <f>'Stakeholder list'!O73</f>
        <v/>
      </c>
      <c r="O68" s="71">
        <f>'Stakeholder list'!P73</f>
        <v/>
      </c>
      <c r="P68" s="71">
        <f>'Stakeholder list'!Q73</f>
        <v/>
      </c>
      <c r="Q68" s="73">
        <f>'Stakeholder list'!R73</f>
        <v/>
      </c>
      <c r="R68" s="71">
        <f>'Stakeholder list'!S73</f>
        <v/>
      </c>
      <c r="S68" s="71">
        <f>'Stakeholder list'!T73</f>
        <v/>
      </c>
      <c r="T68" s="71">
        <f>'Stakeholder list'!U73</f>
        <v/>
      </c>
      <c r="U68" s="71">
        <f>'Stakeholder list'!V73</f>
        <v/>
      </c>
      <c r="V68" s="71">
        <f>'Stakeholder list'!W73</f>
        <v/>
      </c>
      <c r="W68" s="71">
        <f>'Stakeholder list'!X73</f>
        <v/>
      </c>
    </row>
    <row r="69">
      <c r="A69" s="71">
        <f>'Stakeholder list'!B74</f>
        <v/>
      </c>
      <c r="B69" s="71">
        <f>'Stakeholder list'!C74</f>
        <v/>
      </c>
      <c r="C69" s="71">
        <f>'Stakeholder list'!D74</f>
        <v/>
      </c>
      <c r="D69" s="71">
        <f>'Stakeholder list'!E74</f>
        <v/>
      </c>
      <c r="E69" s="71">
        <f>'Stakeholder list'!F74</f>
        <v/>
      </c>
      <c r="F69" s="71">
        <f>'Stakeholder list'!G74</f>
        <v/>
      </c>
      <c r="G69" s="71">
        <f>'Stakeholder list'!H74</f>
        <v/>
      </c>
      <c r="H69" s="71">
        <f>'Stakeholder list'!I74</f>
        <v/>
      </c>
      <c r="I69" s="71">
        <f>'Stakeholder list'!J74</f>
        <v/>
      </c>
      <c r="J69" s="71">
        <f>'Stakeholder list'!K74</f>
        <v/>
      </c>
      <c r="K69" s="71">
        <f>'Stakeholder list'!L74</f>
        <v/>
      </c>
      <c r="L69" s="71">
        <f>'Stakeholder list'!M74</f>
        <v/>
      </c>
      <c r="M69" s="71">
        <f>'Stakeholder list'!N74</f>
        <v/>
      </c>
      <c r="N69" s="71">
        <f>'Stakeholder list'!O74</f>
        <v/>
      </c>
      <c r="O69" s="71">
        <f>'Stakeholder list'!P74</f>
        <v/>
      </c>
      <c r="P69" s="71">
        <f>'Stakeholder list'!Q74</f>
        <v/>
      </c>
      <c r="Q69" s="71">
        <f>'Stakeholder list'!R74</f>
        <v/>
      </c>
      <c r="R69" s="71">
        <f>'Stakeholder list'!S74</f>
        <v/>
      </c>
      <c r="S69" s="71">
        <f>'Stakeholder list'!T74</f>
        <v/>
      </c>
      <c r="T69" s="71">
        <f>'Stakeholder list'!U74</f>
        <v/>
      </c>
      <c r="U69" s="71">
        <f>'Stakeholder list'!V74</f>
        <v/>
      </c>
      <c r="V69" s="71">
        <f>'Stakeholder list'!W74</f>
        <v/>
      </c>
      <c r="W69" s="71">
        <f>'Stakeholder list'!X74</f>
        <v/>
      </c>
    </row>
    <row r="70">
      <c r="A70" s="71">
        <f>'Stakeholder list'!B75</f>
        <v/>
      </c>
      <c r="B70" s="71">
        <f>'Stakeholder list'!C75</f>
        <v/>
      </c>
      <c r="C70" s="71">
        <f>'Stakeholder list'!D75</f>
        <v/>
      </c>
      <c r="D70" s="71">
        <f>'Stakeholder list'!E75</f>
        <v/>
      </c>
      <c r="E70" s="71">
        <f>'Stakeholder list'!F75</f>
        <v/>
      </c>
      <c r="F70" s="71">
        <f>'Stakeholder list'!G75</f>
        <v/>
      </c>
      <c r="G70" s="71">
        <f>'Stakeholder list'!H75</f>
        <v/>
      </c>
      <c r="H70" s="71">
        <f>'Stakeholder list'!I75</f>
        <v/>
      </c>
      <c r="I70" s="71">
        <f>'Stakeholder list'!J75</f>
        <v/>
      </c>
      <c r="J70" s="71">
        <f>'Stakeholder list'!K75</f>
        <v/>
      </c>
      <c r="K70" s="71">
        <f>'Stakeholder list'!L75</f>
        <v/>
      </c>
      <c r="L70" s="71">
        <f>'Stakeholder list'!M75</f>
        <v/>
      </c>
      <c r="M70" s="71">
        <f>'Stakeholder list'!N75</f>
        <v/>
      </c>
      <c r="N70" s="71">
        <f>'Stakeholder list'!O75</f>
        <v/>
      </c>
      <c r="O70" s="71">
        <f>'Stakeholder list'!P75</f>
        <v/>
      </c>
      <c r="P70" s="71">
        <f>'Stakeholder list'!Q75</f>
        <v/>
      </c>
      <c r="Q70" s="73">
        <f>'Stakeholder list'!R75</f>
        <v/>
      </c>
      <c r="R70" s="71">
        <f>'Stakeholder list'!S75</f>
        <v/>
      </c>
      <c r="S70" s="71">
        <f>'Stakeholder list'!T75</f>
        <v/>
      </c>
      <c r="T70" s="71">
        <f>'Stakeholder list'!U75</f>
        <v/>
      </c>
      <c r="U70" s="71">
        <f>'Stakeholder list'!V75</f>
        <v/>
      </c>
      <c r="V70" s="71">
        <f>'Stakeholder list'!W75</f>
        <v/>
      </c>
      <c r="W70" s="71">
        <f>'Stakeholder list'!X75</f>
        <v/>
      </c>
    </row>
    <row r="71">
      <c r="A71" s="71">
        <f>'Stakeholder list'!B76</f>
        <v/>
      </c>
      <c r="B71" s="71">
        <f>'Stakeholder list'!C76</f>
        <v/>
      </c>
      <c r="C71" s="71">
        <f>'Stakeholder list'!D76</f>
        <v/>
      </c>
      <c r="D71" s="71">
        <f>'Stakeholder list'!E76</f>
        <v/>
      </c>
      <c r="E71" s="71">
        <f>'Stakeholder list'!F76</f>
        <v/>
      </c>
      <c r="F71" s="71">
        <f>'Stakeholder list'!G76</f>
        <v/>
      </c>
      <c r="G71" s="71">
        <f>'Stakeholder list'!H76</f>
        <v/>
      </c>
      <c r="H71" s="71">
        <f>'Stakeholder list'!I76</f>
        <v/>
      </c>
      <c r="I71" s="71">
        <f>'Stakeholder list'!J76</f>
        <v/>
      </c>
      <c r="J71" s="71">
        <f>'Stakeholder list'!K76</f>
        <v/>
      </c>
      <c r="K71" s="71">
        <f>'Stakeholder list'!L76</f>
        <v/>
      </c>
      <c r="L71" s="71">
        <f>'Stakeholder list'!M76</f>
        <v/>
      </c>
      <c r="M71" s="71">
        <f>'Stakeholder list'!N76</f>
        <v/>
      </c>
      <c r="N71" s="71">
        <f>'Stakeholder list'!O76</f>
        <v/>
      </c>
      <c r="O71" s="71">
        <f>'Stakeholder list'!P76</f>
        <v/>
      </c>
      <c r="P71" s="71">
        <f>'Stakeholder list'!Q76</f>
        <v/>
      </c>
      <c r="Q71" s="73">
        <f>'Stakeholder list'!R76</f>
        <v/>
      </c>
      <c r="R71" s="71">
        <f>'Stakeholder list'!S76</f>
        <v/>
      </c>
      <c r="S71" s="71">
        <f>'Stakeholder list'!T76</f>
        <v/>
      </c>
      <c r="T71" s="71">
        <f>'Stakeholder list'!U76</f>
        <v/>
      </c>
      <c r="U71" s="71">
        <f>'Stakeholder list'!V76</f>
        <v/>
      </c>
      <c r="V71" s="71">
        <f>'Stakeholder list'!W76</f>
        <v/>
      </c>
      <c r="W71" s="71">
        <f>'Stakeholder list'!X76</f>
        <v/>
      </c>
    </row>
    <row r="72">
      <c r="A72" s="71">
        <f>'Stakeholder list'!B77</f>
        <v/>
      </c>
      <c r="B72" s="71">
        <f>'Stakeholder list'!C77</f>
        <v/>
      </c>
      <c r="C72" s="71">
        <f>'Stakeholder list'!D77</f>
        <v/>
      </c>
      <c r="D72" s="71">
        <f>'Stakeholder list'!E77</f>
        <v/>
      </c>
      <c r="E72" s="71">
        <f>'Stakeholder list'!F77</f>
        <v/>
      </c>
      <c r="F72" s="71">
        <f>'Stakeholder list'!G77</f>
        <v/>
      </c>
      <c r="G72" s="71">
        <f>'Stakeholder list'!H77</f>
        <v/>
      </c>
      <c r="H72" s="71">
        <f>'Stakeholder list'!I77</f>
        <v/>
      </c>
      <c r="I72" s="71">
        <f>'Stakeholder list'!J77</f>
        <v/>
      </c>
      <c r="J72" s="71">
        <f>'Stakeholder list'!K77</f>
        <v/>
      </c>
      <c r="K72" s="71">
        <f>'Stakeholder list'!L77</f>
        <v/>
      </c>
      <c r="L72" s="71">
        <f>'Stakeholder list'!M77</f>
        <v/>
      </c>
      <c r="M72" s="71">
        <f>'Stakeholder list'!N77</f>
        <v/>
      </c>
      <c r="N72" s="71">
        <f>'Stakeholder list'!O77</f>
        <v/>
      </c>
      <c r="O72" s="71">
        <f>'Stakeholder list'!P77</f>
        <v/>
      </c>
      <c r="P72" s="71">
        <f>'Stakeholder list'!Q77</f>
        <v/>
      </c>
      <c r="Q72" s="73">
        <f>'Stakeholder list'!R77</f>
        <v/>
      </c>
      <c r="R72" s="71">
        <f>'Stakeholder list'!S77</f>
        <v/>
      </c>
      <c r="S72" s="71">
        <f>'Stakeholder list'!T77</f>
        <v/>
      </c>
      <c r="T72" s="71">
        <f>'Stakeholder list'!U77</f>
        <v/>
      </c>
      <c r="U72" s="71">
        <f>'Stakeholder list'!V77</f>
        <v/>
      </c>
      <c r="V72" s="71">
        <f>'Stakeholder list'!W77</f>
        <v/>
      </c>
      <c r="W72" s="71">
        <f>'Stakeholder list'!X77</f>
        <v/>
      </c>
    </row>
    <row r="73">
      <c r="A73" s="71">
        <f>'Stakeholder list'!B78</f>
        <v/>
      </c>
      <c r="B73" s="71">
        <f>'Stakeholder list'!C78</f>
        <v/>
      </c>
      <c r="C73" s="71">
        <f>'Stakeholder list'!D78</f>
        <v/>
      </c>
      <c r="D73" s="71">
        <f>'Stakeholder list'!E78</f>
        <v/>
      </c>
      <c r="E73" s="71">
        <f>'Stakeholder list'!F78</f>
        <v/>
      </c>
      <c r="F73" s="71">
        <f>'Stakeholder list'!G78</f>
        <v/>
      </c>
      <c r="G73" s="71">
        <f>'Stakeholder list'!H78</f>
        <v/>
      </c>
      <c r="H73" s="71">
        <f>'Stakeholder list'!I78</f>
        <v/>
      </c>
      <c r="I73" s="71">
        <f>'Stakeholder list'!J78</f>
        <v/>
      </c>
      <c r="J73" s="71">
        <f>'Stakeholder list'!K78</f>
        <v/>
      </c>
      <c r="K73" s="71">
        <f>'Stakeholder list'!L78</f>
        <v/>
      </c>
      <c r="L73" s="71">
        <f>'Stakeholder list'!M78</f>
        <v/>
      </c>
      <c r="M73" s="71">
        <f>'Stakeholder list'!N78</f>
        <v/>
      </c>
      <c r="N73" s="71">
        <f>'Stakeholder list'!O78</f>
        <v/>
      </c>
      <c r="O73" s="71">
        <f>'Stakeholder list'!P78</f>
        <v/>
      </c>
      <c r="P73" s="71">
        <f>'Stakeholder list'!Q78</f>
        <v/>
      </c>
      <c r="Q73" s="73">
        <f>'Stakeholder list'!R78</f>
        <v/>
      </c>
      <c r="R73" s="71">
        <f>'Stakeholder list'!S78</f>
        <v/>
      </c>
      <c r="S73" s="71">
        <f>'Stakeholder list'!T78</f>
        <v/>
      </c>
      <c r="T73" s="71">
        <f>'Stakeholder list'!U78</f>
        <v/>
      </c>
      <c r="U73" s="71">
        <f>'Stakeholder list'!V78</f>
        <v/>
      </c>
      <c r="V73" s="71">
        <f>'Stakeholder list'!W78</f>
        <v/>
      </c>
      <c r="W73" s="71">
        <f>'Stakeholder list'!X78</f>
        <v/>
      </c>
    </row>
    <row r="74">
      <c r="A74" s="71">
        <f>'Stakeholder list'!B79</f>
        <v/>
      </c>
      <c r="B74" s="71">
        <f>'Stakeholder list'!C79</f>
        <v/>
      </c>
      <c r="C74" s="71">
        <f>'Stakeholder list'!D79</f>
        <v/>
      </c>
      <c r="D74" s="71">
        <f>'Stakeholder list'!E79</f>
        <v/>
      </c>
      <c r="E74" s="71">
        <f>'Stakeholder list'!F79</f>
        <v/>
      </c>
      <c r="F74" s="71">
        <f>'Stakeholder list'!G79</f>
        <v/>
      </c>
      <c r="G74" s="71">
        <f>'Stakeholder list'!H79</f>
        <v/>
      </c>
      <c r="H74" s="71">
        <f>'Stakeholder list'!I79</f>
        <v/>
      </c>
      <c r="I74" s="71">
        <f>'Stakeholder list'!J79</f>
        <v/>
      </c>
      <c r="J74" s="71">
        <f>'Stakeholder list'!K79</f>
        <v/>
      </c>
      <c r="K74" s="71">
        <f>'Stakeholder list'!L79</f>
        <v/>
      </c>
      <c r="L74" s="71">
        <f>'Stakeholder list'!M79</f>
        <v/>
      </c>
      <c r="M74" s="71">
        <f>'Stakeholder list'!N79</f>
        <v/>
      </c>
      <c r="N74" s="71">
        <f>'Stakeholder list'!O79</f>
        <v/>
      </c>
      <c r="O74" s="71">
        <f>'Stakeholder list'!P79</f>
        <v/>
      </c>
      <c r="P74" s="71">
        <f>'Stakeholder list'!Q79</f>
        <v/>
      </c>
      <c r="Q74" s="71">
        <f>'Stakeholder list'!R79</f>
        <v/>
      </c>
      <c r="R74" s="71">
        <f>'Stakeholder list'!S79</f>
        <v/>
      </c>
      <c r="S74" s="71">
        <f>'Stakeholder list'!T79</f>
        <v/>
      </c>
      <c r="T74" s="71">
        <f>'Stakeholder list'!U79</f>
        <v/>
      </c>
      <c r="U74" s="71">
        <f>'Stakeholder list'!V79</f>
        <v/>
      </c>
      <c r="V74" s="71">
        <f>'Stakeholder list'!W79</f>
        <v/>
      </c>
      <c r="W74" s="71">
        <f>'Stakeholder list'!X79</f>
        <v/>
      </c>
    </row>
    <row r="75">
      <c r="A75" s="71">
        <f>'Stakeholder list'!B80</f>
        <v/>
      </c>
      <c r="B75" s="71">
        <f>'Stakeholder list'!C80</f>
        <v/>
      </c>
      <c r="C75" s="71">
        <f>'Stakeholder list'!D80</f>
        <v/>
      </c>
      <c r="D75" s="71">
        <f>'Stakeholder list'!E80</f>
        <v/>
      </c>
      <c r="E75" s="71">
        <f>'Stakeholder list'!F80</f>
        <v/>
      </c>
      <c r="F75" s="71">
        <f>'Stakeholder list'!G80</f>
        <v/>
      </c>
      <c r="G75" s="71">
        <f>'Stakeholder list'!H80</f>
        <v/>
      </c>
      <c r="H75" s="71">
        <f>'Stakeholder list'!I80</f>
        <v/>
      </c>
      <c r="I75" s="71">
        <f>'Stakeholder list'!J80</f>
        <v/>
      </c>
      <c r="J75" s="71">
        <f>'Stakeholder list'!K80</f>
        <v/>
      </c>
      <c r="K75" s="71">
        <f>'Stakeholder list'!L80</f>
        <v/>
      </c>
      <c r="L75" s="71">
        <f>'Stakeholder list'!M80</f>
        <v/>
      </c>
      <c r="M75" s="71">
        <f>'Stakeholder list'!N80</f>
        <v/>
      </c>
      <c r="N75" s="71">
        <f>'Stakeholder list'!O80</f>
        <v/>
      </c>
      <c r="O75" s="71">
        <f>'Stakeholder list'!P80</f>
        <v/>
      </c>
      <c r="P75" s="71">
        <f>'Stakeholder list'!Q80</f>
        <v/>
      </c>
      <c r="Q75" s="71">
        <f>'Stakeholder list'!R80</f>
        <v/>
      </c>
      <c r="R75" s="71">
        <f>'Stakeholder list'!S80</f>
        <v/>
      </c>
      <c r="S75" s="71">
        <f>'Stakeholder list'!T80</f>
        <v/>
      </c>
      <c r="T75" s="71">
        <f>'Stakeholder list'!U80</f>
        <v/>
      </c>
      <c r="U75" s="71">
        <f>'Stakeholder list'!V80</f>
        <v/>
      </c>
      <c r="V75" s="71">
        <f>'Stakeholder list'!W80</f>
        <v/>
      </c>
      <c r="W75" s="71">
        <f>'Stakeholder list'!X80</f>
        <v/>
      </c>
    </row>
    <row r="76">
      <c r="A76" s="71">
        <f>'Stakeholder list'!B81</f>
        <v/>
      </c>
      <c r="B76" s="71">
        <f>'Stakeholder list'!C81</f>
        <v/>
      </c>
      <c r="C76" s="71">
        <f>'Stakeholder list'!D81</f>
        <v/>
      </c>
      <c r="D76" s="71">
        <f>'Stakeholder list'!E81</f>
        <v/>
      </c>
      <c r="E76" s="71">
        <f>'Stakeholder list'!F81</f>
        <v/>
      </c>
      <c r="F76" s="71">
        <f>'Stakeholder list'!G81</f>
        <v/>
      </c>
      <c r="G76" s="71">
        <f>'Stakeholder list'!H81</f>
        <v/>
      </c>
      <c r="H76" s="71">
        <f>'Stakeholder list'!I81</f>
        <v/>
      </c>
      <c r="I76" s="71">
        <f>'Stakeholder list'!J81</f>
        <v/>
      </c>
      <c r="J76" s="71">
        <f>'Stakeholder list'!K81</f>
        <v/>
      </c>
      <c r="K76" s="71">
        <f>'Stakeholder list'!L81</f>
        <v/>
      </c>
      <c r="L76" s="71">
        <f>'Stakeholder list'!M81</f>
        <v/>
      </c>
      <c r="M76" s="71">
        <f>'Stakeholder list'!N81</f>
        <v/>
      </c>
      <c r="N76" s="71">
        <f>'Stakeholder list'!O81</f>
        <v/>
      </c>
      <c r="O76" s="71">
        <f>'Stakeholder list'!P81</f>
        <v/>
      </c>
      <c r="P76" s="71">
        <f>'Stakeholder list'!Q81</f>
        <v/>
      </c>
      <c r="Q76" s="71">
        <f>'Stakeholder list'!R81</f>
        <v/>
      </c>
      <c r="R76" s="71">
        <f>'Stakeholder list'!S81</f>
        <v/>
      </c>
      <c r="S76" s="71">
        <f>'Stakeholder list'!T81</f>
        <v/>
      </c>
      <c r="T76" s="71">
        <f>'Stakeholder list'!U81</f>
        <v/>
      </c>
      <c r="U76" s="71">
        <f>'Stakeholder list'!V81</f>
        <v/>
      </c>
      <c r="V76" s="71">
        <f>'Stakeholder list'!W81</f>
        <v/>
      </c>
      <c r="W76" s="71">
        <f>'Stakeholder list'!X81</f>
        <v/>
      </c>
    </row>
    <row r="77">
      <c r="A77" s="71">
        <f>'Stakeholder list'!B82</f>
        <v/>
      </c>
      <c r="B77" s="71">
        <f>'Stakeholder list'!C82</f>
        <v/>
      </c>
      <c r="C77" s="71">
        <f>'Stakeholder list'!D82</f>
        <v/>
      </c>
      <c r="D77" s="71">
        <f>'Stakeholder list'!E82</f>
        <v/>
      </c>
      <c r="E77" s="71">
        <f>'Stakeholder list'!F82</f>
        <v/>
      </c>
      <c r="F77" s="71">
        <f>'Stakeholder list'!G82</f>
        <v/>
      </c>
      <c r="G77" s="71">
        <f>'Stakeholder list'!H82</f>
        <v/>
      </c>
      <c r="H77" s="71">
        <f>'Stakeholder list'!I82</f>
        <v/>
      </c>
      <c r="I77" s="71">
        <f>'Stakeholder list'!J82</f>
        <v/>
      </c>
      <c r="J77" s="71">
        <f>'Stakeholder list'!K82</f>
        <v/>
      </c>
      <c r="K77" s="71">
        <f>'Stakeholder list'!L82</f>
        <v/>
      </c>
      <c r="L77" s="71">
        <f>'Stakeholder list'!M82</f>
        <v/>
      </c>
      <c r="M77" s="71">
        <f>'Stakeholder list'!N82</f>
        <v/>
      </c>
      <c r="N77" s="71">
        <f>'Stakeholder list'!O82</f>
        <v/>
      </c>
      <c r="O77" s="71">
        <f>'Stakeholder list'!P82</f>
        <v/>
      </c>
      <c r="P77" s="71">
        <f>'Stakeholder list'!Q82</f>
        <v/>
      </c>
      <c r="Q77" s="71">
        <f>'Stakeholder list'!R82</f>
        <v/>
      </c>
      <c r="R77" s="71">
        <f>'Stakeholder list'!S82</f>
        <v/>
      </c>
      <c r="S77" s="71">
        <f>'Stakeholder list'!T82</f>
        <v/>
      </c>
      <c r="T77" s="71">
        <f>'Stakeholder list'!U82</f>
        <v/>
      </c>
      <c r="U77" s="71">
        <f>'Stakeholder list'!V82</f>
        <v/>
      </c>
      <c r="V77" s="71">
        <f>'Stakeholder list'!W82</f>
        <v/>
      </c>
      <c r="W77" s="71">
        <f>'Stakeholder list'!X82</f>
        <v/>
      </c>
    </row>
    <row r="78">
      <c r="A78" s="71">
        <f>'Stakeholder list'!B83</f>
        <v/>
      </c>
      <c r="B78" s="71">
        <f>'Stakeholder list'!C83</f>
        <v/>
      </c>
      <c r="C78" s="71">
        <f>'Stakeholder list'!D83</f>
        <v/>
      </c>
      <c r="D78" s="71">
        <f>'Stakeholder list'!E83</f>
        <v/>
      </c>
      <c r="E78" s="71">
        <f>'Stakeholder list'!F83</f>
        <v/>
      </c>
      <c r="F78" s="71">
        <f>'Stakeholder list'!G83</f>
        <v/>
      </c>
      <c r="G78" s="71">
        <f>'Stakeholder list'!H83</f>
        <v/>
      </c>
      <c r="H78" s="71">
        <f>'Stakeholder list'!I83</f>
        <v/>
      </c>
      <c r="I78" s="71">
        <f>'Stakeholder list'!J83</f>
        <v/>
      </c>
      <c r="J78" s="71">
        <f>'Stakeholder list'!K83</f>
        <v/>
      </c>
      <c r="K78" s="71">
        <f>'Stakeholder list'!L83</f>
        <v/>
      </c>
      <c r="L78" s="71">
        <f>'Stakeholder list'!M83</f>
        <v/>
      </c>
      <c r="M78" s="71">
        <f>'Stakeholder list'!N83</f>
        <v/>
      </c>
      <c r="N78" s="71">
        <f>'Stakeholder list'!O83</f>
        <v/>
      </c>
      <c r="O78" s="71">
        <f>'Stakeholder list'!P83</f>
        <v/>
      </c>
      <c r="P78" s="71">
        <f>'Stakeholder list'!Q83</f>
        <v/>
      </c>
      <c r="Q78" s="71">
        <f>'Stakeholder list'!R83</f>
        <v/>
      </c>
      <c r="R78" s="71">
        <f>'Stakeholder list'!S83</f>
        <v/>
      </c>
      <c r="S78" s="71">
        <f>'Stakeholder list'!T83</f>
        <v/>
      </c>
      <c r="T78" s="71">
        <f>'Stakeholder list'!U83</f>
        <v/>
      </c>
      <c r="U78" s="71">
        <f>'Stakeholder list'!V83</f>
        <v/>
      </c>
      <c r="V78" s="71">
        <f>'Stakeholder list'!W83</f>
        <v/>
      </c>
      <c r="W78" s="71">
        <f>'Stakeholder list'!X83</f>
        <v/>
      </c>
    </row>
    <row r="79">
      <c r="A79" s="71">
        <f>'Stakeholder list'!B84</f>
        <v/>
      </c>
      <c r="B79" s="71">
        <f>'Stakeholder list'!C84</f>
        <v/>
      </c>
      <c r="C79" s="71">
        <f>'Stakeholder list'!D84</f>
        <v/>
      </c>
      <c r="D79" s="71">
        <f>'Stakeholder list'!E84</f>
        <v/>
      </c>
      <c r="E79" s="71">
        <f>'Stakeholder list'!F84</f>
        <v/>
      </c>
      <c r="F79" s="71">
        <f>'Stakeholder list'!G84</f>
        <v/>
      </c>
      <c r="G79" s="71">
        <f>'Stakeholder list'!H84</f>
        <v/>
      </c>
      <c r="H79" s="71">
        <f>'Stakeholder list'!I84</f>
        <v/>
      </c>
      <c r="I79" s="71">
        <f>'Stakeholder list'!J84</f>
        <v/>
      </c>
      <c r="J79" s="71">
        <f>'Stakeholder list'!K84</f>
        <v/>
      </c>
      <c r="K79" s="71">
        <f>'Stakeholder list'!L84</f>
        <v/>
      </c>
      <c r="L79" s="71">
        <f>'Stakeholder list'!M84</f>
        <v/>
      </c>
      <c r="M79" s="71">
        <f>'Stakeholder list'!N84</f>
        <v/>
      </c>
      <c r="N79" s="71">
        <f>'Stakeholder list'!O84</f>
        <v/>
      </c>
      <c r="O79" s="71">
        <f>'Stakeholder list'!P84</f>
        <v/>
      </c>
      <c r="P79" s="71">
        <f>'Stakeholder list'!Q84</f>
        <v/>
      </c>
      <c r="Q79" s="71">
        <f>'Stakeholder list'!R84</f>
        <v/>
      </c>
      <c r="R79" s="71">
        <f>'Stakeholder list'!S84</f>
        <v/>
      </c>
      <c r="S79" s="71">
        <f>'Stakeholder list'!T84</f>
        <v/>
      </c>
      <c r="T79" s="71">
        <f>'Stakeholder list'!U84</f>
        <v/>
      </c>
      <c r="U79" s="71">
        <f>'Stakeholder list'!V84</f>
        <v/>
      </c>
      <c r="V79" s="71">
        <f>'Stakeholder list'!W84</f>
        <v/>
      </c>
      <c r="W79" s="71">
        <f>'Stakeholder list'!X84</f>
        <v/>
      </c>
    </row>
    <row r="80">
      <c r="A80" s="71">
        <f>'Stakeholder list'!B85</f>
        <v/>
      </c>
      <c r="B80" s="71">
        <f>'Stakeholder list'!C85</f>
        <v/>
      </c>
      <c r="C80" s="71">
        <f>'Stakeholder list'!D85</f>
        <v/>
      </c>
      <c r="D80" s="71">
        <f>'Stakeholder list'!E85</f>
        <v/>
      </c>
      <c r="E80" s="71">
        <f>'Stakeholder list'!F85</f>
        <v/>
      </c>
      <c r="F80" s="71">
        <f>'Stakeholder list'!G85</f>
        <v/>
      </c>
      <c r="G80" s="71">
        <f>'Stakeholder list'!H85</f>
        <v/>
      </c>
      <c r="H80" s="71">
        <f>'Stakeholder list'!I85</f>
        <v/>
      </c>
      <c r="I80" s="71">
        <f>'Stakeholder list'!J85</f>
        <v/>
      </c>
      <c r="J80" s="71">
        <f>'Stakeholder list'!K85</f>
        <v/>
      </c>
      <c r="K80" s="71">
        <f>'Stakeholder list'!L85</f>
        <v/>
      </c>
      <c r="L80" s="71">
        <f>'Stakeholder list'!M85</f>
        <v/>
      </c>
      <c r="M80" s="71">
        <f>'Stakeholder list'!N85</f>
        <v/>
      </c>
      <c r="N80" s="71">
        <f>'Stakeholder list'!O85</f>
        <v/>
      </c>
      <c r="O80" s="71">
        <f>'Stakeholder list'!P85</f>
        <v/>
      </c>
      <c r="P80" s="71">
        <f>'Stakeholder list'!Q85</f>
        <v/>
      </c>
      <c r="Q80" s="73">
        <f>'Stakeholder list'!R85</f>
        <v/>
      </c>
      <c r="R80" s="71">
        <f>'Stakeholder list'!S85</f>
        <v/>
      </c>
      <c r="S80" s="71">
        <f>'Stakeholder list'!T85</f>
        <v/>
      </c>
      <c r="T80" s="71">
        <f>'Stakeholder list'!U85</f>
        <v/>
      </c>
      <c r="U80" s="71">
        <f>'Stakeholder list'!V85</f>
        <v/>
      </c>
      <c r="V80" s="71">
        <f>'Stakeholder list'!W85</f>
        <v/>
      </c>
      <c r="W80" s="71">
        <f>'Stakeholder list'!X85</f>
        <v/>
      </c>
    </row>
    <row r="81">
      <c r="A81" s="71">
        <f>'Stakeholder list'!B86</f>
        <v/>
      </c>
      <c r="B81" s="71">
        <f>'Stakeholder list'!C86</f>
        <v/>
      </c>
      <c r="C81" s="71">
        <f>'Stakeholder list'!D86</f>
        <v/>
      </c>
      <c r="D81" s="71">
        <f>'Stakeholder list'!E86</f>
        <v/>
      </c>
      <c r="E81" s="71">
        <f>'Stakeholder list'!F86</f>
        <v/>
      </c>
      <c r="F81" s="71">
        <f>'Stakeholder list'!G86</f>
        <v/>
      </c>
      <c r="G81" s="71">
        <f>'Stakeholder list'!H86</f>
        <v/>
      </c>
      <c r="H81" s="71">
        <f>'Stakeholder list'!I86</f>
        <v/>
      </c>
      <c r="I81" s="71">
        <f>'Stakeholder list'!J86</f>
        <v/>
      </c>
      <c r="J81" s="71">
        <f>'Stakeholder list'!K86</f>
        <v/>
      </c>
      <c r="K81" s="71">
        <f>'Stakeholder list'!L86</f>
        <v/>
      </c>
      <c r="L81" s="71">
        <f>'Stakeholder list'!M86</f>
        <v/>
      </c>
      <c r="M81" s="71">
        <f>'Stakeholder list'!N86</f>
        <v/>
      </c>
      <c r="N81" s="71">
        <f>'Stakeholder list'!O86</f>
        <v/>
      </c>
      <c r="O81" s="71">
        <f>'Stakeholder list'!P86</f>
        <v/>
      </c>
      <c r="P81" s="71">
        <f>'Stakeholder list'!Q86</f>
        <v/>
      </c>
      <c r="Q81" s="71">
        <f>'Stakeholder list'!R86</f>
        <v/>
      </c>
      <c r="R81" s="71">
        <f>'Stakeholder list'!S86</f>
        <v/>
      </c>
      <c r="S81" s="71">
        <f>'Stakeholder list'!T86</f>
        <v/>
      </c>
      <c r="T81" s="71">
        <f>'Stakeholder list'!U86</f>
        <v/>
      </c>
      <c r="U81" s="71">
        <f>'Stakeholder list'!V86</f>
        <v/>
      </c>
      <c r="V81" s="71">
        <f>'Stakeholder list'!W86</f>
        <v/>
      </c>
      <c r="W81" s="71">
        <f>'Stakeholder list'!X86</f>
        <v/>
      </c>
    </row>
    <row r="82">
      <c r="A82" s="71">
        <f>'Stakeholder list'!B87</f>
        <v/>
      </c>
      <c r="B82" s="71">
        <f>'Stakeholder list'!C87</f>
        <v/>
      </c>
      <c r="C82" s="71">
        <f>'Stakeholder list'!D87</f>
        <v/>
      </c>
      <c r="D82" s="71">
        <f>'Stakeholder list'!E87</f>
        <v/>
      </c>
      <c r="E82" s="71">
        <f>'Stakeholder list'!F87</f>
        <v/>
      </c>
      <c r="F82" s="71">
        <f>'Stakeholder list'!G87</f>
        <v/>
      </c>
      <c r="G82" s="71">
        <f>'Stakeholder list'!H87</f>
        <v/>
      </c>
      <c r="H82" s="71">
        <f>'Stakeholder list'!I87</f>
        <v/>
      </c>
      <c r="I82" s="71">
        <f>'Stakeholder list'!J87</f>
        <v/>
      </c>
      <c r="J82" s="71">
        <f>'Stakeholder list'!K87</f>
        <v/>
      </c>
      <c r="K82" s="71">
        <f>'Stakeholder list'!L87</f>
        <v/>
      </c>
      <c r="L82" s="71">
        <f>'Stakeholder list'!M87</f>
        <v/>
      </c>
      <c r="M82" s="71">
        <f>'Stakeholder list'!N87</f>
        <v/>
      </c>
      <c r="N82" s="71">
        <f>'Stakeholder list'!O87</f>
        <v/>
      </c>
      <c r="O82" s="71">
        <f>'Stakeholder list'!P87</f>
        <v/>
      </c>
      <c r="P82" s="71">
        <f>'Stakeholder list'!Q87</f>
        <v/>
      </c>
      <c r="Q82" s="71">
        <f>'Stakeholder list'!R87</f>
        <v/>
      </c>
      <c r="R82" s="71">
        <f>'Stakeholder list'!S87</f>
        <v/>
      </c>
      <c r="S82" s="71">
        <f>'Stakeholder list'!T87</f>
        <v/>
      </c>
      <c r="T82" s="71">
        <f>'Stakeholder list'!U87</f>
        <v/>
      </c>
      <c r="U82" s="71">
        <f>'Stakeholder list'!V87</f>
        <v/>
      </c>
      <c r="V82" s="71">
        <f>'Stakeholder list'!W87</f>
        <v/>
      </c>
      <c r="W82" s="71">
        <f>'Stakeholder list'!X87</f>
        <v/>
      </c>
    </row>
    <row r="83">
      <c r="A83" s="71">
        <f>'Stakeholder list'!B88</f>
        <v/>
      </c>
      <c r="B83" s="71">
        <f>'Stakeholder list'!C88</f>
        <v/>
      </c>
      <c r="C83" s="71">
        <f>'Stakeholder list'!D88</f>
        <v/>
      </c>
      <c r="D83" s="71">
        <f>'Stakeholder list'!E88</f>
        <v/>
      </c>
      <c r="E83" s="71">
        <f>'Stakeholder list'!F88</f>
        <v/>
      </c>
      <c r="F83" s="71">
        <f>'Stakeholder list'!G88</f>
        <v/>
      </c>
      <c r="G83" s="71">
        <f>'Stakeholder list'!H88</f>
        <v/>
      </c>
      <c r="H83" s="71">
        <f>'Stakeholder list'!I88</f>
        <v/>
      </c>
      <c r="I83" s="71">
        <f>'Stakeholder list'!J88</f>
        <v/>
      </c>
      <c r="J83" s="71">
        <f>'Stakeholder list'!K88</f>
        <v/>
      </c>
      <c r="K83" s="71">
        <f>'Stakeholder list'!L88</f>
        <v/>
      </c>
      <c r="L83" s="71">
        <f>'Stakeholder list'!M88</f>
        <v/>
      </c>
      <c r="M83" s="71">
        <f>'Stakeholder list'!N88</f>
        <v/>
      </c>
      <c r="N83" s="71">
        <f>'Stakeholder list'!O88</f>
        <v/>
      </c>
      <c r="O83" s="71">
        <f>'Stakeholder list'!P88</f>
        <v/>
      </c>
      <c r="P83" s="71">
        <f>'Stakeholder list'!Q88</f>
        <v/>
      </c>
      <c r="Q83" s="71">
        <f>'Stakeholder list'!R88</f>
        <v/>
      </c>
      <c r="R83" s="71">
        <f>'Stakeholder list'!S88</f>
        <v/>
      </c>
      <c r="S83" s="71">
        <f>'Stakeholder list'!T88</f>
        <v/>
      </c>
      <c r="T83" s="71">
        <f>'Stakeholder list'!U88</f>
        <v/>
      </c>
      <c r="U83" s="71">
        <f>'Stakeholder list'!V88</f>
        <v/>
      </c>
      <c r="V83" s="71">
        <f>'Stakeholder list'!W88</f>
        <v/>
      </c>
      <c r="W83" s="71">
        <f>'Stakeholder list'!X88</f>
        <v/>
      </c>
    </row>
    <row r="84">
      <c r="A84" s="71">
        <f>'Stakeholder list'!B89</f>
        <v/>
      </c>
      <c r="B84" s="71">
        <f>'Stakeholder list'!C89</f>
        <v/>
      </c>
      <c r="C84" s="71">
        <f>'Stakeholder list'!D89</f>
        <v/>
      </c>
      <c r="D84" s="71">
        <f>'Stakeholder list'!E89</f>
        <v/>
      </c>
      <c r="E84" s="71">
        <f>'Stakeholder list'!F89</f>
        <v/>
      </c>
      <c r="F84" s="71">
        <f>'Stakeholder list'!G89</f>
        <v/>
      </c>
      <c r="G84" s="71">
        <f>'Stakeholder list'!H89</f>
        <v/>
      </c>
      <c r="H84" s="71">
        <f>'Stakeholder list'!I89</f>
        <v/>
      </c>
      <c r="I84" s="71">
        <f>'Stakeholder list'!J89</f>
        <v/>
      </c>
      <c r="J84" s="71">
        <f>'Stakeholder list'!K89</f>
        <v/>
      </c>
      <c r="K84" s="71">
        <f>'Stakeholder list'!L89</f>
        <v/>
      </c>
      <c r="L84" s="71">
        <f>'Stakeholder list'!M89</f>
        <v/>
      </c>
      <c r="M84" s="71">
        <f>'Stakeholder list'!N89</f>
        <v/>
      </c>
      <c r="N84" s="71">
        <f>'Stakeholder list'!O89</f>
        <v/>
      </c>
      <c r="O84" s="71">
        <f>'Stakeholder list'!P89</f>
        <v/>
      </c>
      <c r="P84" s="71">
        <f>'Stakeholder list'!Q89</f>
        <v/>
      </c>
      <c r="Q84" s="71">
        <f>'Stakeholder list'!R89</f>
        <v/>
      </c>
      <c r="R84" s="71">
        <f>'Stakeholder list'!S89</f>
        <v/>
      </c>
      <c r="S84" s="71">
        <f>'Stakeholder list'!T89</f>
        <v/>
      </c>
      <c r="T84" s="71">
        <f>'Stakeholder list'!U89</f>
        <v/>
      </c>
      <c r="U84" s="71">
        <f>'Stakeholder list'!V89</f>
        <v/>
      </c>
      <c r="V84" s="71">
        <f>'Stakeholder list'!W89</f>
        <v/>
      </c>
      <c r="W84" s="71">
        <f>'Stakeholder list'!X89</f>
        <v/>
      </c>
    </row>
    <row r="85">
      <c r="A85" s="71">
        <f>'Stakeholder list'!B90</f>
        <v/>
      </c>
      <c r="B85" s="71">
        <f>'Stakeholder list'!C90</f>
        <v/>
      </c>
      <c r="C85" s="71">
        <f>'Stakeholder list'!D90</f>
        <v/>
      </c>
      <c r="D85" s="71">
        <f>'Stakeholder list'!E90</f>
        <v/>
      </c>
      <c r="E85" s="71">
        <f>'Stakeholder list'!F90</f>
        <v/>
      </c>
      <c r="F85" s="71">
        <f>'Stakeholder list'!G90</f>
        <v/>
      </c>
      <c r="G85" s="71">
        <f>'Stakeholder list'!H90</f>
        <v/>
      </c>
      <c r="H85" s="71">
        <f>'Stakeholder list'!I90</f>
        <v/>
      </c>
      <c r="I85" s="71">
        <f>'Stakeholder list'!J90</f>
        <v/>
      </c>
      <c r="J85" s="71">
        <f>'Stakeholder list'!K90</f>
        <v/>
      </c>
      <c r="K85" s="71">
        <f>'Stakeholder list'!L90</f>
        <v/>
      </c>
      <c r="L85" s="71">
        <f>'Stakeholder list'!M90</f>
        <v/>
      </c>
      <c r="M85" s="71">
        <f>'Stakeholder list'!N90</f>
        <v/>
      </c>
      <c r="N85" s="71">
        <f>'Stakeholder list'!O90</f>
        <v/>
      </c>
      <c r="O85" s="71">
        <f>'Stakeholder list'!P90</f>
        <v/>
      </c>
      <c r="P85" s="71">
        <f>'Stakeholder list'!Q90</f>
        <v/>
      </c>
      <c r="Q85" s="71">
        <f>'Stakeholder list'!R90</f>
        <v/>
      </c>
      <c r="R85" s="71">
        <f>'Stakeholder list'!S90</f>
        <v/>
      </c>
      <c r="S85" s="71">
        <f>'Stakeholder list'!T90</f>
        <v/>
      </c>
      <c r="T85" s="71">
        <f>'Stakeholder list'!U90</f>
        <v/>
      </c>
      <c r="U85" s="71">
        <f>'Stakeholder list'!V90</f>
        <v/>
      </c>
      <c r="V85" s="71">
        <f>'Stakeholder list'!W90</f>
        <v/>
      </c>
      <c r="W85" s="71">
        <f>'Stakeholder list'!X90</f>
        <v/>
      </c>
    </row>
    <row r="86">
      <c r="A86" s="71">
        <f>'Stakeholder list'!B91</f>
        <v/>
      </c>
      <c r="B86" s="71">
        <f>'Stakeholder list'!C91</f>
        <v/>
      </c>
      <c r="C86" s="71">
        <f>'Stakeholder list'!D91</f>
        <v/>
      </c>
      <c r="D86" s="71">
        <f>'Stakeholder list'!E91</f>
        <v/>
      </c>
      <c r="E86" s="71">
        <f>'Stakeholder list'!F91</f>
        <v/>
      </c>
      <c r="F86" s="71">
        <f>'Stakeholder list'!G91</f>
        <v/>
      </c>
      <c r="G86" s="71">
        <f>'Stakeholder list'!H91</f>
        <v/>
      </c>
      <c r="H86" s="71">
        <f>'Stakeholder list'!I91</f>
        <v/>
      </c>
      <c r="I86" s="71">
        <f>'Stakeholder list'!J91</f>
        <v/>
      </c>
      <c r="J86" s="71">
        <f>'Stakeholder list'!K91</f>
        <v/>
      </c>
      <c r="K86" s="71">
        <f>'Stakeholder list'!L91</f>
        <v/>
      </c>
      <c r="L86" s="71">
        <f>'Stakeholder list'!M91</f>
        <v/>
      </c>
      <c r="M86" s="71">
        <f>'Stakeholder list'!N91</f>
        <v/>
      </c>
      <c r="N86" s="71">
        <f>'Stakeholder list'!O91</f>
        <v/>
      </c>
      <c r="O86" s="71">
        <f>'Stakeholder list'!P91</f>
        <v/>
      </c>
      <c r="P86" s="71">
        <f>'Stakeholder list'!Q91</f>
        <v/>
      </c>
      <c r="Q86" s="71">
        <f>'Stakeholder list'!R91</f>
        <v/>
      </c>
      <c r="R86" s="71">
        <f>'Stakeholder list'!S91</f>
        <v/>
      </c>
      <c r="S86" s="71">
        <f>'Stakeholder list'!T91</f>
        <v/>
      </c>
      <c r="T86" s="71">
        <f>'Stakeholder list'!U91</f>
        <v/>
      </c>
      <c r="U86" s="71">
        <f>'Stakeholder list'!V91</f>
        <v/>
      </c>
      <c r="V86" s="71">
        <f>'Stakeholder list'!W91</f>
        <v/>
      </c>
      <c r="W86" s="71">
        <f>'Stakeholder list'!X91</f>
        <v/>
      </c>
    </row>
    <row r="87">
      <c r="A87" s="71">
        <f>'Stakeholder list'!B92</f>
        <v/>
      </c>
      <c r="B87" s="71">
        <f>'Stakeholder list'!C92</f>
        <v/>
      </c>
      <c r="C87" s="71">
        <f>'Stakeholder list'!D92</f>
        <v/>
      </c>
      <c r="D87" s="71">
        <f>'Stakeholder list'!E92</f>
        <v/>
      </c>
      <c r="E87" s="71">
        <f>'Stakeholder list'!F92</f>
        <v/>
      </c>
      <c r="F87" s="71">
        <f>'Stakeholder list'!G92</f>
        <v/>
      </c>
      <c r="G87" s="71">
        <f>'Stakeholder list'!H92</f>
        <v/>
      </c>
      <c r="H87" s="71">
        <f>'Stakeholder list'!I92</f>
        <v/>
      </c>
      <c r="I87" s="71">
        <f>'Stakeholder list'!J92</f>
        <v/>
      </c>
      <c r="J87" s="71">
        <f>'Stakeholder list'!K92</f>
        <v/>
      </c>
      <c r="K87" s="71">
        <f>'Stakeholder list'!L92</f>
        <v/>
      </c>
      <c r="L87" s="71">
        <f>'Stakeholder list'!M92</f>
        <v/>
      </c>
      <c r="M87" s="71">
        <f>'Stakeholder list'!N92</f>
        <v/>
      </c>
      <c r="N87" s="71">
        <f>'Stakeholder list'!O92</f>
        <v/>
      </c>
      <c r="O87" s="71">
        <f>'Stakeholder list'!P92</f>
        <v/>
      </c>
      <c r="P87" s="71">
        <f>'Stakeholder list'!Q92</f>
        <v/>
      </c>
      <c r="Q87" s="71">
        <f>'Stakeholder list'!R92</f>
        <v/>
      </c>
      <c r="R87" s="71">
        <f>'Stakeholder list'!S92</f>
        <v/>
      </c>
      <c r="S87" s="71">
        <f>'Stakeholder list'!T92</f>
        <v/>
      </c>
      <c r="T87" s="71">
        <f>'Stakeholder list'!U92</f>
        <v/>
      </c>
      <c r="U87" s="71">
        <f>'Stakeholder list'!V92</f>
        <v/>
      </c>
      <c r="V87" s="71">
        <f>'Stakeholder list'!W92</f>
        <v/>
      </c>
      <c r="W87" s="71">
        <f>'Stakeholder list'!X92</f>
        <v/>
      </c>
    </row>
    <row r="88">
      <c r="A88" s="71">
        <f>'Stakeholder list'!B93</f>
        <v/>
      </c>
      <c r="B88" s="71">
        <f>'Stakeholder list'!C93</f>
        <v/>
      </c>
      <c r="C88" s="71">
        <f>'Stakeholder list'!D93</f>
        <v/>
      </c>
      <c r="D88" s="71">
        <f>'Stakeholder list'!E93</f>
        <v/>
      </c>
      <c r="E88" s="71">
        <f>'Stakeholder list'!F93</f>
        <v/>
      </c>
      <c r="F88" s="71">
        <f>'Stakeholder list'!G93</f>
        <v/>
      </c>
      <c r="G88" s="71">
        <f>'Stakeholder list'!H93</f>
        <v/>
      </c>
      <c r="H88" s="71">
        <f>'Stakeholder list'!I93</f>
        <v/>
      </c>
      <c r="I88" s="71">
        <f>'Stakeholder list'!J93</f>
        <v/>
      </c>
      <c r="J88" s="71">
        <f>'Stakeholder list'!K93</f>
        <v/>
      </c>
      <c r="K88" s="71">
        <f>'Stakeholder list'!L93</f>
        <v/>
      </c>
      <c r="L88" s="71">
        <f>'Stakeholder list'!M93</f>
        <v/>
      </c>
      <c r="M88" s="71">
        <f>'Stakeholder list'!N93</f>
        <v/>
      </c>
      <c r="N88" s="71">
        <f>'Stakeholder list'!O93</f>
        <v/>
      </c>
      <c r="O88" s="71">
        <f>'Stakeholder list'!P93</f>
        <v/>
      </c>
      <c r="P88" s="71">
        <f>'Stakeholder list'!Q93</f>
        <v/>
      </c>
      <c r="Q88" s="71">
        <f>'Stakeholder list'!R93</f>
        <v/>
      </c>
      <c r="R88" s="71">
        <f>'Stakeholder list'!S93</f>
        <v/>
      </c>
      <c r="S88" s="71">
        <f>'Stakeholder list'!T93</f>
        <v/>
      </c>
      <c r="T88" s="71">
        <f>'Stakeholder list'!U93</f>
        <v/>
      </c>
      <c r="U88" s="71">
        <f>'Stakeholder list'!V93</f>
        <v/>
      </c>
      <c r="V88" s="71">
        <f>'Stakeholder list'!W93</f>
        <v/>
      </c>
      <c r="W88" s="71">
        <f>'Stakeholder list'!X93</f>
        <v/>
      </c>
    </row>
    <row r="89">
      <c r="A89" s="71">
        <f>'Stakeholder list'!B94</f>
        <v/>
      </c>
      <c r="B89" s="71">
        <f>'Stakeholder list'!C94</f>
        <v/>
      </c>
      <c r="C89" s="71">
        <f>'Stakeholder list'!D94</f>
        <v/>
      </c>
      <c r="D89" s="71">
        <f>'Stakeholder list'!E94</f>
        <v/>
      </c>
      <c r="E89" s="71">
        <f>'Stakeholder list'!F94</f>
        <v/>
      </c>
      <c r="F89" s="71">
        <f>'Stakeholder list'!G94</f>
        <v/>
      </c>
      <c r="G89" s="71">
        <f>'Stakeholder list'!H94</f>
        <v/>
      </c>
      <c r="H89" s="71">
        <f>'Stakeholder list'!I94</f>
        <v/>
      </c>
      <c r="I89" s="71">
        <f>'Stakeholder list'!J94</f>
        <v/>
      </c>
      <c r="J89" s="71">
        <f>'Stakeholder list'!K94</f>
        <v/>
      </c>
      <c r="K89" s="71">
        <f>'Stakeholder list'!L94</f>
        <v/>
      </c>
      <c r="L89" s="71">
        <f>'Stakeholder list'!M94</f>
        <v/>
      </c>
      <c r="M89" s="71">
        <f>'Stakeholder list'!N94</f>
        <v/>
      </c>
      <c r="N89" s="71">
        <f>'Stakeholder list'!O94</f>
        <v/>
      </c>
      <c r="O89" s="71">
        <f>'Stakeholder list'!P94</f>
        <v/>
      </c>
      <c r="P89" s="71">
        <f>'Stakeholder list'!Q94</f>
        <v/>
      </c>
      <c r="Q89" s="71">
        <f>'Stakeholder list'!R94</f>
        <v/>
      </c>
      <c r="R89" s="71">
        <f>'Stakeholder list'!S94</f>
        <v/>
      </c>
      <c r="S89" s="71">
        <f>'Stakeholder list'!T94</f>
        <v/>
      </c>
      <c r="T89" s="71">
        <f>'Stakeholder list'!U94</f>
        <v/>
      </c>
      <c r="U89" s="71">
        <f>'Stakeholder list'!V94</f>
        <v/>
      </c>
      <c r="V89" s="71">
        <f>'Stakeholder list'!W94</f>
        <v/>
      </c>
      <c r="W89" s="71">
        <f>'Stakeholder list'!X94</f>
        <v/>
      </c>
    </row>
    <row r="90">
      <c r="A90" s="71">
        <f>'Stakeholder list'!B95</f>
        <v/>
      </c>
      <c r="B90" s="71">
        <f>'Stakeholder list'!C95</f>
        <v/>
      </c>
      <c r="C90" s="71">
        <f>'Stakeholder list'!D95</f>
        <v/>
      </c>
      <c r="D90" s="71">
        <f>'Stakeholder list'!E95</f>
        <v/>
      </c>
      <c r="E90" s="71">
        <f>'Stakeholder list'!F95</f>
        <v/>
      </c>
      <c r="F90" s="71">
        <f>'Stakeholder list'!G95</f>
        <v/>
      </c>
      <c r="G90" s="71">
        <f>'Stakeholder list'!H95</f>
        <v/>
      </c>
      <c r="H90" s="71">
        <f>'Stakeholder list'!I95</f>
        <v/>
      </c>
      <c r="I90" s="71">
        <f>'Stakeholder list'!J95</f>
        <v/>
      </c>
      <c r="J90" s="71">
        <f>'Stakeholder list'!K95</f>
        <v/>
      </c>
      <c r="K90" s="71">
        <f>'Stakeholder list'!L95</f>
        <v/>
      </c>
      <c r="L90" s="71">
        <f>'Stakeholder list'!M95</f>
        <v/>
      </c>
      <c r="M90" s="71">
        <f>'Stakeholder list'!N95</f>
        <v/>
      </c>
      <c r="N90" s="71">
        <f>'Stakeholder list'!O95</f>
        <v/>
      </c>
      <c r="O90" s="71">
        <f>'Stakeholder list'!P95</f>
        <v/>
      </c>
      <c r="P90" s="71">
        <f>'Stakeholder list'!Q95</f>
        <v/>
      </c>
      <c r="Q90" s="71">
        <f>'Stakeholder list'!R95</f>
        <v/>
      </c>
      <c r="R90" s="71">
        <f>'Stakeholder list'!S95</f>
        <v/>
      </c>
      <c r="S90" s="71">
        <f>'Stakeholder list'!T95</f>
        <v/>
      </c>
      <c r="T90" s="71">
        <f>'Stakeholder list'!U95</f>
        <v/>
      </c>
      <c r="U90" s="71">
        <f>'Stakeholder list'!V95</f>
        <v/>
      </c>
      <c r="V90" s="71">
        <f>'Stakeholder list'!W95</f>
        <v/>
      </c>
      <c r="W90" s="71">
        <f>'Stakeholder list'!X95</f>
        <v/>
      </c>
    </row>
    <row r="91">
      <c r="A91" s="71">
        <f>'Stakeholder list'!B96</f>
        <v/>
      </c>
      <c r="B91" s="71">
        <f>'Stakeholder list'!C96</f>
        <v/>
      </c>
      <c r="C91" s="71">
        <f>'Stakeholder list'!D96</f>
        <v/>
      </c>
      <c r="D91" s="71">
        <f>'Stakeholder list'!E96</f>
        <v/>
      </c>
      <c r="E91" s="71">
        <f>'Stakeholder list'!F96</f>
        <v/>
      </c>
      <c r="F91" s="71">
        <f>'Stakeholder list'!G96</f>
        <v/>
      </c>
      <c r="G91" s="71">
        <f>'Stakeholder list'!H96</f>
        <v/>
      </c>
      <c r="H91" s="71">
        <f>'Stakeholder list'!I96</f>
        <v/>
      </c>
      <c r="I91" s="71">
        <f>'Stakeholder list'!J96</f>
        <v/>
      </c>
      <c r="J91" s="71">
        <f>'Stakeholder list'!K96</f>
        <v/>
      </c>
      <c r="K91" s="71">
        <f>'Stakeholder list'!L96</f>
        <v/>
      </c>
      <c r="L91" s="71">
        <f>'Stakeholder list'!M96</f>
        <v/>
      </c>
      <c r="M91" s="71">
        <f>'Stakeholder list'!N96</f>
        <v/>
      </c>
      <c r="N91" s="71">
        <f>'Stakeholder list'!O96</f>
        <v/>
      </c>
      <c r="O91" s="71">
        <f>'Stakeholder list'!P96</f>
        <v/>
      </c>
      <c r="P91" s="71">
        <f>'Stakeholder list'!Q96</f>
        <v/>
      </c>
      <c r="Q91" s="71">
        <f>'Stakeholder list'!R96</f>
        <v/>
      </c>
      <c r="R91" s="71">
        <f>'Stakeholder list'!S96</f>
        <v/>
      </c>
      <c r="S91" s="71">
        <f>'Stakeholder list'!T96</f>
        <v/>
      </c>
      <c r="T91" s="71">
        <f>'Stakeholder list'!U96</f>
        <v/>
      </c>
      <c r="U91" s="71">
        <f>'Stakeholder list'!V96</f>
        <v/>
      </c>
      <c r="V91" s="71">
        <f>'Stakeholder list'!W96</f>
        <v/>
      </c>
      <c r="W91" s="71">
        <f>'Stakeholder list'!X96</f>
        <v/>
      </c>
    </row>
    <row r="92">
      <c r="A92" s="71">
        <f>'Stakeholder list'!B97</f>
        <v/>
      </c>
      <c r="B92" s="71">
        <f>'Stakeholder list'!C97</f>
        <v/>
      </c>
      <c r="C92" s="71">
        <f>'Stakeholder list'!D97</f>
        <v/>
      </c>
      <c r="D92" s="71">
        <f>'Stakeholder list'!E97</f>
        <v/>
      </c>
      <c r="E92" s="71">
        <f>'Stakeholder list'!F97</f>
        <v/>
      </c>
      <c r="F92" s="71">
        <f>'Stakeholder list'!G97</f>
        <v/>
      </c>
      <c r="G92" s="71">
        <f>'Stakeholder list'!H97</f>
        <v/>
      </c>
      <c r="H92" s="71">
        <f>'Stakeholder list'!I97</f>
        <v/>
      </c>
      <c r="I92" s="71">
        <f>'Stakeholder list'!J97</f>
        <v/>
      </c>
      <c r="J92" s="71">
        <f>'Stakeholder list'!K97</f>
        <v/>
      </c>
      <c r="K92" s="71">
        <f>'Stakeholder list'!L97</f>
        <v/>
      </c>
      <c r="L92" s="71">
        <f>'Stakeholder list'!M97</f>
        <v/>
      </c>
      <c r="M92" s="71">
        <f>'Stakeholder list'!N97</f>
        <v/>
      </c>
      <c r="N92" s="71">
        <f>'Stakeholder list'!O97</f>
        <v/>
      </c>
      <c r="O92" s="71">
        <f>'Stakeholder list'!P97</f>
        <v/>
      </c>
      <c r="P92" s="71">
        <f>'Stakeholder list'!Q97</f>
        <v/>
      </c>
      <c r="Q92" s="71">
        <f>'Stakeholder list'!R97</f>
        <v/>
      </c>
      <c r="R92" s="71">
        <f>'Stakeholder list'!S97</f>
        <v/>
      </c>
      <c r="S92" s="71">
        <f>'Stakeholder list'!T97</f>
        <v/>
      </c>
      <c r="T92" s="71">
        <f>'Stakeholder list'!U97</f>
        <v/>
      </c>
      <c r="U92" s="71">
        <f>'Stakeholder list'!V97</f>
        <v/>
      </c>
      <c r="V92" s="71">
        <f>'Stakeholder list'!W97</f>
        <v/>
      </c>
      <c r="W92" s="71">
        <f>'Stakeholder list'!X97</f>
        <v/>
      </c>
    </row>
    <row r="93">
      <c r="A93" s="71">
        <f>'Stakeholder list'!B98</f>
        <v/>
      </c>
      <c r="B93" s="71">
        <f>'Stakeholder list'!C98</f>
        <v/>
      </c>
      <c r="C93" s="71">
        <f>'Stakeholder list'!D98</f>
        <v/>
      </c>
      <c r="D93" s="71">
        <f>'Stakeholder list'!E98</f>
        <v/>
      </c>
      <c r="E93" s="71">
        <f>'Stakeholder list'!F98</f>
        <v/>
      </c>
      <c r="F93" s="71">
        <f>'Stakeholder list'!G98</f>
        <v/>
      </c>
      <c r="G93" s="71">
        <f>'Stakeholder list'!H98</f>
        <v/>
      </c>
      <c r="H93" s="71">
        <f>'Stakeholder list'!I98</f>
        <v/>
      </c>
      <c r="I93" s="71">
        <f>'Stakeholder list'!J98</f>
        <v/>
      </c>
      <c r="J93" s="71">
        <f>'Stakeholder list'!K98</f>
        <v/>
      </c>
      <c r="K93" s="71">
        <f>'Stakeholder list'!L98</f>
        <v/>
      </c>
      <c r="L93" s="71">
        <f>'Stakeholder list'!M98</f>
        <v/>
      </c>
      <c r="M93" s="71">
        <f>'Stakeholder list'!N98</f>
        <v/>
      </c>
      <c r="N93" s="71">
        <f>'Stakeholder list'!O98</f>
        <v/>
      </c>
      <c r="O93" s="71">
        <f>'Stakeholder list'!P98</f>
        <v/>
      </c>
      <c r="P93" s="71">
        <f>'Stakeholder list'!Q98</f>
        <v/>
      </c>
      <c r="Q93" s="71">
        <f>'Stakeholder list'!R98</f>
        <v/>
      </c>
      <c r="R93" s="71">
        <f>'Stakeholder list'!S98</f>
        <v/>
      </c>
      <c r="S93" s="71">
        <f>'Stakeholder list'!T98</f>
        <v/>
      </c>
      <c r="T93" s="71">
        <f>'Stakeholder list'!U98</f>
        <v/>
      </c>
      <c r="U93" s="71">
        <f>'Stakeholder list'!V98</f>
        <v/>
      </c>
      <c r="V93" s="71">
        <f>'Stakeholder list'!W98</f>
        <v/>
      </c>
      <c r="W93" s="71">
        <f>'Stakeholder list'!X98</f>
        <v/>
      </c>
    </row>
    <row r="94">
      <c r="A94" s="71">
        <f>'Stakeholder list'!B99</f>
        <v/>
      </c>
      <c r="B94" s="71">
        <f>'Stakeholder list'!C99</f>
        <v/>
      </c>
      <c r="C94" s="71">
        <f>'Stakeholder list'!D99</f>
        <v/>
      </c>
      <c r="D94" s="71">
        <f>'Stakeholder list'!E99</f>
        <v/>
      </c>
      <c r="E94" s="71">
        <f>'Stakeholder list'!F99</f>
        <v/>
      </c>
      <c r="F94" s="71">
        <f>'Stakeholder list'!G99</f>
        <v/>
      </c>
      <c r="G94" s="71">
        <f>'Stakeholder list'!H99</f>
        <v/>
      </c>
      <c r="H94" s="71">
        <f>'Stakeholder list'!I99</f>
        <v/>
      </c>
      <c r="I94" s="71">
        <f>'Stakeholder list'!J99</f>
        <v/>
      </c>
      <c r="J94" s="71">
        <f>'Stakeholder list'!K99</f>
        <v/>
      </c>
      <c r="K94" s="71">
        <f>'Stakeholder list'!L99</f>
        <v/>
      </c>
      <c r="L94" s="71">
        <f>'Stakeholder list'!M99</f>
        <v/>
      </c>
      <c r="M94" s="71">
        <f>'Stakeholder list'!N99</f>
        <v/>
      </c>
      <c r="N94" s="71">
        <f>'Stakeholder list'!O99</f>
        <v/>
      </c>
      <c r="O94" s="71">
        <f>'Stakeholder list'!P99</f>
        <v/>
      </c>
      <c r="P94" s="71">
        <f>'Stakeholder list'!Q99</f>
        <v/>
      </c>
      <c r="Q94" s="71">
        <f>'Stakeholder list'!R99</f>
        <v/>
      </c>
      <c r="R94" s="71">
        <f>'Stakeholder list'!S99</f>
        <v/>
      </c>
      <c r="S94" s="71">
        <f>'Stakeholder list'!T99</f>
        <v/>
      </c>
      <c r="T94" s="71">
        <f>'Stakeholder list'!U99</f>
        <v/>
      </c>
      <c r="U94" s="71">
        <f>'Stakeholder list'!V99</f>
        <v/>
      </c>
      <c r="V94" s="71">
        <f>'Stakeholder list'!W99</f>
        <v/>
      </c>
      <c r="W94" s="71">
        <f>'Stakeholder list'!X99</f>
        <v/>
      </c>
    </row>
    <row r="95">
      <c r="A95" s="71">
        <f>'Stakeholder list'!B100</f>
        <v/>
      </c>
      <c r="B95" s="71">
        <f>'Stakeholder list'!C100</f>
        <v/>
      </c>
      <c r="C95" s="71">
        <f>'Stakeholder list'!D100</f>
        <v/>
      </c>
      <c r="D95" s="71">
        <f>'Stakeholder list'!E100</f>
        <v/>
      </c>
      <c r="E95" s="71">
        <f>'Stakeholder list'!F100</f>
        <v/>
      </c>
      <c r="F95" s="71">
        <f>'Stakeholder list'!G100</f>
        <v/>
      </c>
      <c r="G95" s="71">
        <f>'Stakeholder list'!H100</f>
        <v/>
      </c>
      <c r="H95" s="71">
        <f>'Stakeholder list'!I100</f>
        <v/>
      </c>
      <c r="I95" s="71">
        <f>'Stakeholder list'!J100</f>
        <v/>
      </c>
      <c r="J95" s="71">
        <f>'Stakeholder list'!K100</f>
        <v/>
      </c>
      <c r="K95" s="71">
        <f>'Stakeholder list'!L100</f>
        <v/>
      </c>
      <c r="L95" s="71">
        <f>'Stakeholder list'!M100</f>
        <v/>
      </c>
      <c r="M95" s="71">
        <f>'Stakeholder list'!N100</f>
        <v/>
      </c>
      <c r="N95" s="71">
        <f>'Stakeholder list'!O100</f>
        <v/>
      </c>
      <c r="O95" s="71">
        <f>'Stakeholder list'!P100</f>
        <v/>
      </c>
      <c r="P95" s="71">
        <f>'Stakeholder list'!Q100</f>
        <v/>
      </c>
      <c r="Q95" s="71">
        <f>'Stakeholder list'!R100</f>
        <v/>
      </c>
      <c r="R95" s="71">
        <f>'Stakeholder list'!S100</f>
        <v/>
      </c>
      <c r="S95" s="71">
        <f>'Stakeholder list'!T100</f>
        <v/>
      </c>
      <c r="T95" s="71">
        <f>'Stakeholder list'!U100</f>
        <v/>
      </c>
      <c r="U95" s="71">
        <f>'Stakeholder list'!V100</f>
        <v/>
      </c>
      <c r="V95" s="71">
        <f>'Stakeholder list'!W100</f>
        <v/>
      </c>
      <c r="W95" s="71">
        <f>'Stakeholder list'!X100</f>
        <v/>
      </c>
    </row>
    <row r="96">
      <c r="A96" s="71">
        <f>'Stakeholder list'!B101</f>
        <v/>
      </c>
      <c r="B96" s="71">
        <f>'Stakeholder list'!C101</f>
        <v/>
      </c>
      <c r="C96" s="71">
        <f>'Stakeholder list'!D101</f>
        <v/>
      </c>
      <c r="D96" s="71">
        <f>'Stakeholder list'!E101</f>
        <v/>
      </c>
      <c r="E96" s="71">
        <f>'Stakeholder list'!F101</f>
        <v/>
      </c>
      <c r="F96" s="71">
        <f>'Stakeholder list'!G101</f>
        <v/>
      </c>
      <c r="G96" s="71">
        <f>'Stakeholder list'!H101</f>
        <v/>
      </c>
      <c r="H96" s="71">
        <f>'Stakeholder list'!I101</f>
        <v/>
      </c>
      <c r="I96" s="71">
        <f>'Stakeholder list'!J101</f>
        <v/>
      </c>
      <c r="J96" s="71">
        <f>'Stakeholder list'!K101</f>
        <v/>
      </c>
      <c r="K96" s="71">
        <f>'Stakeholder list'!L101</f>
        <v/>
      </c>
      <c r="L96" s="71">
        <f>'Stakeholder list'!M101</f>
        <v/>
      </c>
      <c r="M96" s="71">
        <f>'Stakeholder list'!N101</f>
        <v/>
      </c>
      <c r="N96" s="71">
        <f>'Stakeholder list'!O101</f>
        <v/>
      </c>
      <c r="O96" s="71">
        <f>'Stakeholder list'!P101</f>
        <v/>
      </c>
      <c r="P96" s="71">
        <f>'Stakeholder list'!Q101</f>
        <v/>
      </c>
      <c r="Q96" s="71">
        <f>'Stakeholder list'!R101</f>
        <v/>
      </c>
      <c r="R96" s="71">
        <f>'Stakeholder list'!S101</f>
        <v/>
      </c>
      <c r="S96" s="71">
        <f>'Stakeholder list'!T101</f>
        <v/>
      </c>
      <c r="T96" s="71">
        <f>'Stakeholder list'!U101</f>
        <v/>
      </c>
      <c r="U96" s="71">
        <f>'Stakeholder list'!V101</f>
        <v/>
      </c>
      <c r="V96" s="71">
        <f>'Stakeholder list'!W101</f>
        <v/>
      </c>
      <c r="W96" s="71">
        <f>'Stakeholder list'!X101</f>
        <v/>
      </c>
    </row>
    <row r="97">
      <c r="A97" s="71">
        <f>'Stakeholder list'!B102</f>
        <v/>
      </c>
      <c r="B97" s="71">
        <f>'Stakeholder list'!C102</f>
        <v/>
      </c>
      <c r="C97" s="71">
        <f>'Stakeholder list'!D102</f>
        <v/>
      </c>
      <c r="D97" s="71">
        <f>'Stakeholder list'!E102</f>
        <v/>
      </c>
      <c r="E97" s="71">
        <f>'Stakeholder list'!F102</f>
        <v/>
      </c>
      <c r="F97" s="71">
        <f>'Stakeholder list'!G102</f>
        <v/>
      </c>
      <c r="G97" s="71">
        <f>'Stakeholder list'!H102</f>
        <v/>
      </c>
      <c r="H97" s="71">
        <f>'Stakeholder list'!I102</f>
        <v/>
      </c>
      <c r="I97" s="71">
        <f>'Stakeholder list'!J102</f>
        <v/>
      </c>
      <c r="J97" s="71">
        <f>'Stakeholder list'!K102</f>
        <v/>
      </c>
      <c r="K97" s="71">
        <f>'Stakeholder list'!L102</f>
        <v/>
      </c>
      <c r="L97" s="71">
        <f>'Stakeholder list'!M102</f>
        <v/>
      </c>
      <c r="M97" s="71">
        <f>'Stakeholder list'!N102</f>
        <v/>
      </c>
      <c r="N97" s="71">
        <f>'Stakeholder list'!O102</f>
        <v/>
      </c>
      <c r="O97" s="71">
        <f>'Stakeholder list'!P102</f>
        <v/>
      </c>
      <c r="P97" s="71">
        <f>'Stakeholder list'!Q102</f>
        <v/>
      </c>
      <c r="Q97" s="71">
        <f>'Stakeholder list'!R102</f>
        <v/>
      </c>
      <c r="R97" s="71">
        <f>'Stakeholder list'!S102</f>
        <v/>
      </c>
      <c r="S97" s="71">
        <f>'Stakeholder list'!T102</f>
        <v/>
      </c>
      <c r="T97" s="71">
        <f>'Stakeholder list'!U102</f>
        <v/>
      </c>
      <c r="U97" s="71">
        <f>'Stakeholder list'!V102</f>
        <v/>
      </c>
      <c r="V97" s="71">
        <f>'Stakeholder list'!W102</f>
        <v/>
      </c>
      <c r="W97" s="71">
        <f>'Stakeholder list'!X102</f>
        <v/>
      </c>
    </row>
    <row r="98">
      <c r="A98" s="71">
        <f>'Stakeholder list'!B103</f>
        <v/>
      </c>
      <c r="B98" s="71">
        <f>'Stakeholder list'!C103</f>
        <v/>
      </c>
      <c r="C98" s="71">
        <f>'Stakeholder list'!D103</f>
        <v/>
      </c>
      <c r="D98" s="71">
        <f>'Stakeholder list'!E103</f>
        <v/>
      </c>
      <c r="E98" s="71">
        <f>'Stakeholder list'!F103</f>
        <v/>
      </c>
      <c r="F98" s="71">
        <f>'Stakeholder list'!G103</f>
        <v/>
      </c>
      <c r="G98" s="71">
        <f>'Stakeholder list'!H103</f>
        <v/>
      </c>
      <c r="H98" s="71">
        <f>'Stakeholder list'!I103</f>
        <v/>
      </c>
      <c r="I98" s="71">
        <f>'Stakeholder list'!J103</f>
        <v/>
      </c>
      <c r="J98" s="71">
        <f>'Stakeholder list'!K103</f>
        <v/>
      </c>
      <c r="K98" s="71">
        <f>'Stakeholder list'!L103</f>
        <v/>
      </c>
      <c r="L98" s="71">
        <f>'Stakeholder list'!M103</f>
        <v/>
      </c>
      <c r="M98" s="71">
        <f>'Stakeholder list'!N103</f>
        <v/>
      </c>
      <c r="N98" s="71">
        <f>'Stakeholder list'!O103</f>
        <v/>
      </c>
      <c r="O98" s="71">
        <f>'Stakeholder list'!P103</f>
        <v/>
      </c>
      <c r="P98" s="71">
        <f>'Stakeholder list'!Q103</f>
        <v/>
      </c>
      <c r="Q98" s="71">
        <f>'Stakeholder list'!R103</f>
        <v/>
      </c>
      <c r="R98" s="71">
        <f>'Stakeholder list'!S103</f>
        <v/>
      </c>
      <c r="S98" s="71">
        <f>'Stakeholder list'!T103</f>
        <v/>
      </c>
      <c r="T98" s="71">
        <f>'Stakeholder list'!U103</f>
        <v/>
      </c>
      <c r="U98" s="71">
        <f>'Stakeholder list'!V103</f>
        <v/>
      </c>
      <c r="V98" s="71">
        <f>'Stakeholder list'!W103</f>
        <v/>
      </c>
      <c r="W98" s="71">
        <f>'Stakeholder list'!X103</f>
        <v/>
      </c>
    </row>
    <row r="99">
      <c r="A99" s="71">
        <f>'Stakeholder list'!B104</f>
        <v/>
      </c>
      <c r="B99" s="71">
        <f>'Stakeholder list'!C104</f>
        <v/>
      </c>
      <c r="C99" s="71">
        <f>'Stakeholder list'!D104</f>
        <v/>
      </c>
      <c r="D99" s="71">
        <f>'Stakeholder list'!E104</f>
        <v/>
      </c>
      <c r="E99" s="71">
        <f>'Stakeholder list'!F104</f>
        <v/>
      </c>
      <c r="F99" s="71">
        <f>'Stakeholder list'!G104</f>
        <v/>
      </c>
      <c r="G99" s="71">
        <f>'Stakeholder list'!H104</f>
        <v/>
      </c>
      <c r="H99" s="71">
        <f>'Stakeholder list'!I104</f>
        <v/>
      </c>
      <c r="I99" s="71">
        <f>'Stakeholder list'!J104</f>
        <v/>
      </c>
      <c r="J99" s="71">
        <f>'Stakeholder list'!K104</f>
        <v/>
      </c>
      <c r="K99" s="71">
        <f>'Stakeholder list'!L104</f>
        <v/>
      </c>
      <c r="L99" s="71">
        <f>'Stakeholder list'!M104</f>
        <v/>
      </c>
      <c r="M99" s="71">
        <f>'Stakeholder list'!N104</f>
        <v/>
      </c>
      <c r="N99" s="71">
        <f>'Stakeholder list'!O104</f>
        <v/>
      </c>
      <c r="O99" s="71">
        <f>'Stakeholder list'!P104</f>
        <v/>
      </c>
      <c r="P99" s="71">
        <f>'Stakeholder list'!Q104</f>
        <v/>
      </c>
      <c r="Q99" s="71">
        <f>'Stakeholder list'!R104</f>
        <v/>
      </c>
      <c r="R99" s="71">
        <f>'Stakeholder list'!S104</f>
        <v/>
      </c>
      <c r="S99" s="71">
        <f>'Stakeholder list'!T104</f>
        <v/>
      </c>
      <c r="T99" s="71">
        <f>'Stakeholder list'!U104</f>
        <v/>
      </c>
      <c r="U99" s="71">
        <f>'Stakeholder list'!V104</f>
        <v/>
      </c>
      <c r="V99" s="71">
        <f>'Stakeholder list'!W104</f>
        <v/>
      </c>
      <c r="W99" s="71">
        <f>'Stakeholder list'!X104</f>
        <v/>
      </c>
    </row>
    <row r="100">
      <c r="A100" s="71">
        <f>'Stakeholder list'!B105</f>
        <v/>
      </c>
      <c r="B100" s="71">
        <f>'Stakeholder list'!C105</f>
        <v/>
      </c>
      <c r="C100" s="71">
        <f>'Stakeholder list'!D105</f>
        <v/>
      </c>
      <c r="D100" s="71">
        <f>'Stakeholder list'!E105</f>
        <v/>
      </c>
      <c r="E100" s="71">
        <f>'Stakeholder list'!F105</f>
        <v/>
      </c>
      <c r="F100" s="71">
        <f>'Stakeholder list'!G105</f>
        <v/>
      </c>
      <c r="G100" s="71">
        <f>'Stakeholder list'!H105</f>
        <v/>
      </c>
      <c r="H100" s="71">
        <f>'Stakeholder list'!I105</f>
        <v/>
      </c>
      <c r="I100" s="71">
        <f>'Stakeholder list'!J105</f>
        <v/>
      </c>
      <c r="J100" s="71">
        <f>'Stakeholder list'!K105</f>
        <v/>
      </c>
      <c r="K100" s="71">
        <f>'Stakeholder list'!L105</f>
        <v/>
      </c>
      <c r="L100" s="71">
        <f>'Stakeholder list'!M105</f>
        <v/>
      </c>
      <c r="M100" s="71">
        <f>'Stakeholder list'!N105</f>
        <v/>
      </c>
      <c r="N100" s="71">
        <f>'Stakeholder list'!O105</f>
        <v/>
      </c>
      <c r="O100" s="71">
        <f>'Stakeholder list'!P105</f>
        <v/>
      </c>
      <c r="P100" s="71">
        <f>'Stakeholder list'!Q105</f>
        <v/>
      </c>
      <c r="Q100" s="73">
        <f>'Stakeholder list'!R105</f>
        <v/>
      </c>
      <c r="R100" s="71">
        <f>'Stakeholder list'!S105</f>
        <v/>
      </c>
      <c r="S100" s="71">
        <f>'Stakeholder list'!T105</f>
        <v/>
      </c>
      <c r="T100" s="71">
        <f>'Stakeholder list'!U105</f>
        <v/>
      </c>
      <c r="U100" s="71">
        <f>'Stakeholder list'!V105</f>
        <v/>
      </c>
      <c r="V100" s="71">
        <f>'Stakeholder list'!W105</f>
        <v/>
      </c>
      <c r="W100" s="71">
        <f>'Stakeholder list'!X105</f>
        <v/>
      </c>
    </row>
    <row r="101">
      <c r="A101" s="71">
        <f>'Stakeholder list'!B106</f>
        <v/>
      </c>
      <c r="B101" s="71">
        <f>'Stakeholder list'!C106</f>
        <v/>
      </c>
      <c r="C101" s="71">
        <f>'Stakeholder list'!D106</f>
        <v/>
      </c>
      <c r="D101" s="71">
        <f>'Stakeholder list'!E106</f>
        <v/>
      </c>
      <c r="E101" s="71">
        <f>'Stakeholder list'!F106</f>
        <v/>
      </c>
      <c r="F101" s="71">
        <f>'Stakeholder list'!G106</f>
        <v/>
      </c>
      <c r="G101" s="71">
        <f>'Stakeholder list'!H106</f>
        <v/>
      </c>
      <c r="H101" s="71">
        <f>'Stakeholder list'!I106</f>
        <v/>
      </c>
      <c r="I101" s="71">
        <f>'Stakeholder list'!J106</f>
        <v/>
      </c>
      <c r="J101" s="71">
        <f>'Stakeholder list'!K106</f>
        <v/>
      </c>
      <c r="K101" s="71">
        <f>'Stakeholder list'!L106</f>
        <v/>
      </c>
      <c r="L101" s="71">
        <f>'Stakeholder list'!M106</f>
        <v/>
      </c>
      <c r="M101" s="71">
        <f>'Stakeholder list'!N106</f>
        <v/>
      </c>
      <c r="N101" s="71">
        <f>'Stakeholder list'!O106</f>
        <v/>
      </c>
      <c r="O101" s="71">
        <f>'Stakeholder list'!P106</f>
        <v/>
      </c>
      <c r="P101" s="71">
        <f>'Stakeholder list'!Q106</f>
        <v/>
      </c>
      <c r="Q101" s="73">
        <f>'Stakeholder list'!R106</f>
        <v/>
      </c>
      <c r="R101" s="71">
        <f>'Stakeholder list'!S106</f>
        <v/>
      </c>
      <c r="S101" s="71">
        <f>'Stakeholder list'!T106</f>
        <v/>
      </c>
      <c r="T101" s="71">
        <f>'Stakeholder list'!U106</f>
        <v/>
      </c>
      <c r="U101" s="71">
        <f>'Stakeholder list'!V106</f>
        <v/>
      </c>
      <c r="V101" s="71">
        <f>'Stakeholder list'!W106</f>
        <v/>
      </c>
      <c r="W101" s="71">
        <f>'Stakeholder list'!X106</f>
        <v/>
      </c>
    </row>
    <row r="102">
      <c r="A102" s="71">
        <f>'Stakeholder list'!B107</f>
        <v/>
      </c>
      <c r="B102" s="71">
        <f>'Stakeholder list'!C107</f>
        <v/>
      </c>
      <c r="C102" s="71">
        <f>'Stakeholder list'!D107</f>
        <v/>
      </c>
      <c r="D102" s="71">
        <f>'Stakeholder list'!E107</f>
        <v/>
      </c>
      <c r="E102" s="71">
        <f>'Stakeholder list'!F107</f>
        <v/>
      </c>
      <c r="F102" s="71">
        <f>'Stakeholder list'!G107</f>
        <v/>
      </c>
      <c r="G102" s="71">
        <f>'Stakeholder list'!H107</f>
        <v/>
      </c>
      <c r="H102" s="71">
        <f>'Stakeholder list'!I107</f>
        <v/>
      </c>
      <c r="I102" s="71">
        <f>'Stakeholder list'!J107</f>
        <v/>
      </c>
      <c r="J102" s="71">
        <f>'Stakeholder list'!K107</f>
        <v/>
      </c>
      <c r="K102" s="71">
        <f>'Stakeholder list'!L107</f>
        <v/>
      </c>
      <c r="L102" s="71">
        <f>'Stakeholder list'!M107</f>
        <v/>
      </c>
      <c r="M102" s="71">
        <f>'Stakeholder list'!N107</f>
        <v/>
      </c>
      <c r="N102" s="71">
        <f>'Stakeholder list'!O107</f>
        <v/>
      </c>
      <c r="O102" s="71">
        <f>'Stakeholder list'!P107</f>
        <v/>
      </c>
      <c r="P102" s="71">
        <f>'Stakeholder list'!Q107</f>
        <v/>
      </c>
      <c r="Q102" s="73">
        <f>'Stakeholder list'!R107</f>
        <v/>
      </c>
      <c r="R102" s="71">
        <f>'Stakeholder list'!S107</f>
        <v/>
      </c>
      <c r="S102" s="71">
        <f>'Stakeholder list'!T107</f>
        <v/>
      </c>
      <c r="T102" s="71">
        <f>'Stakeholder list'!U107</f>
        <v/>
      </c>
      <c r="U102" s="71">
        <f>'Stakeholder list'!V107</f>
        <v/>
      </c>
      <c r="V102" s="71">
        <f>'Stakeholder list'!W107</f>
        <v/>
      </c>
      <c r="W102" s="71">
        <f>'Stakeholder list'!X107</f>
        <v/>
      </c>
    </row>
    <row r="103">
      <c r="A103" s="71">
        <f>'Stakeholder list'!B108</f>
        <v/>
      </c>
      <c r="B103" s="71">
        <f>'Stakeholder list'!C108</f>
        <v/>
      </c>
      <c r="C103" s="71">
        <f>'Stakeholder list'!D108</f>
        <v/>
      </c>
      <c r="D103" s="71">
        <f>'Stakeholder list'!E108</f>
        <v/>
      </c>
      <c r="E103" s="71">
        <f>'Stakeholder list'!F108</f>
        <v/>
      </c>
      <c r="F103" s="71">
        <f>'Stakeholder list'!G108</f>
        <v/>
      </c>
      <c r="G103" s="71">
        <f>'Stakeholder list'!H108</f>
        <v/>
      </c>
      <c r="H103" s="71">
        <f>'Stakeholder list'!I108</f>
        <v/>
      </c>
      <c r="I103" s="71">
        <f>'Stakeholder list'!J108</f>
        <v/>
      </c>
      <c r="J103" s="71">
        <f>'Stakeholder list'!K108</f>
        <v/>
      </c>
      <c r="K103" s="71">
        <f>'Stakeholder list'!L108</f>
        <v/>
      </c>
      <c r="L103" s="71">
        <f>'Stakeholder list'!M108</f>
        <v/>
      </c>
      <c r="M103" s="71">
        <f>'Stakeholder list'!N108</f>
        <v/>
      </c>
      <c r="N103" s="71">
        <f>'Stakeholder list'!O108</f>
        <v/>
      </c>
      <c r="O103" s="71">
        <f>'Stakeholder list'!P108</f>
        <v/>
      </c>
      <c r="P103" s="71">
        <f>'Stakeholder list'!Q108</f>
        <v/>
      </c>
      <c r="Q103" s="71">
        <f>'Stakeholder list'!R108</f>
        <v/>
      </c>
      <c r="R103" s="71">
        <f>'Stakeholder list'!S108</f>
        <v/>
      </c>
      <c r="S103" s="71">
        <f>'Stakeholder list'!T108</f>
        <v/>
      </c>
      <c r="T103" s="71">
        <f>'Stakeholder list'!U108</f>
        <v/>
      </c>
      <c r="U103" s="71">
        <f>'Stakeholder list'!V108</f>
        <v/>
      </c>
      <c r="V103" s="71">
        <f>'Stakeholder list'!W108</f>
        <v/>
      </c>
      <c r="W103" s="71">
        <f>'Stakeholder list'!X108</f>
        <v/>
      </c>
    </row>
    <row r="104">
      <c r="A104" s="71">
        <f>'Stakeholder list'!B109</f>
        <v/>
      </c>
      <c r="B104" s="71">
        <f>'Stakeholder list'!C109</f>
        <v/>
      </c>
      <c r="C104" s="71">
        <f>'Stakeholder list'!D109</f>
        <v/>
      </c>
      <c r="D104" s="71">
        <f>'Stakeholder list'!E109</f>
        <v/>
      </c>
      <c r="E104" s="71">
        <f>'Stakeholder list'!F109</f>
        <v/>
      </c>
      <c r="F104" s="71">
        <f>'Stakeholder list'!G109</f>
        <v/>
      </c>
      <c r="G104" s="71">
        <f>'Stakeholder list'!H109</f>
        <v/>
      </c>
      <c r="H104" s="71">
        <f>'Stakeholder list'!I109</f>
        <v/>
      </c>
      <c r="I104" s="71">
        <f>'Stakeholder list'!J109</f>
        <v/>
      </c>
      <c r="J104" s="71">
        <f>'Stakeholder list'!K109</f>
        <v/>
      </c>
      <c r="K104" s="71">
        <f>'Stakeholder list'!L109</f>
        <v/>
      </c>
      <c r="L104" s="71">
        <f>'Stakeholder list'!M109</f>
        <v/>
      </c>
      <c r="M104" s="71">
        <f>'Stakeholder list'!N109</f>
        <v/>
      </c>
      <c r="N104" s="71">
        <f>'Stakeholder list'!O109</f>
        <v/>
      </c>
      <c r="O104" s="71">
        <f>'Stakeholder list'!P109</f>
        <v/>
      </c>
      <c r="P104" s="71">
        <f>'Stakeholder list'!Q109</f>
        <v/>
      </c>
      <c r="Q104" s="71">
        <f>'Stakeholder list'!R109</f>
        <v/>
      </c>
      <c r="R104" s="71">
        <f>'Stakeholder list'!S109</f>
        <v/>
      </c>
      <c r="S104" s="71">
        <f>'Stakeholder list'!T109</f>
        <v/>
      </c>
      <c r="T104" s="71">
        <f>'Stakeholder list'!U109</f>
        <v/>
      </c>
      <c r="U104" s="71">
        <f>'Stakeholder list'!V109</f>
        <v/>
      </c>
      <c r="V104" s="71">
        <f>'Stakeholder list'!W109</f>
        <v/>
      </c>
      <c r="W104" s="71">
        <f>'Stakeholder list'!X109</f>
        <v/>
      </c>
    </row>
    <row r="105">
      <c r="A105" s="71">
        <f>'Stakeholder list'!B110</f>
        <v/>
      </c>
      <c r="B105" s="71">
        <f>'Stakeholder list'!C110</f>
        <v/>
      </c>
      <c r="C105" s="71">
        <f>'Stakeholder list'!D110</f>
        <v/>
      </c>
      <c r="D105" s="71">
        <f>'Stakeholder list'!E110</f>
        <v/>
      </c>
      <c r="E105" s="71">
        <f>'Stakeholder list'!F110</f>
        <v/>
      </c>
      <c r="F105" s="71">
        <f>'Stakeholder list'!G110</f>
        <v/>
      </c>
      <c r="G105" s="71">
        <f>'Stakeholder list'!H110</f>
        <v/>
      </c>
      <c r="H105" s="71">
        <f>'Stakeholder list'!I110</f>
        <v/>
      </c>
      <c r="I105" s="71">
        <f>'Stakeholder list'!J110</f>
        <v/>
      </c>
      <c r="J105" s="71">
        <f>'Stakeholder list'!K110</f>
        <v/>
      </c>
      <c r="K105" s="71">
        <f>'Stakeholder list'!L110</f>
        <v/>
      </c>
      <c r="L105" s="71">
        <f>'Stakeholder list'!M110</f>
        <v/>
      </c>
      <c r="M105" s="71">
        <f>'Stakeholder list'!N110</f>
        <v/>
      </c>
      <c r="N105" s="71">
        <f>'Stakeholder list'!O110</f>
        <v/>
      </c>
      <c r="O105" s="71">
        <f>'Stakeholder list'!P110</f>
        <v/>
      </c>
      <c r="P105" s="71">
        <f>'Stakeholder list'!Q110</f>
        <v/>
      </c>
      <c r="Q105" s="71">
        <f>'Stakeholder list'!R110</f>
        <v/>
      </c>
      <c r="R105" s="71">
        <f>'Stakeholder list'!S110</f>
        <v/>
      </c>
      <c r="S105" s="71">
        <f>'Stakeholder list'!T110</f>
        <v/>
      </c>
      <c r="T105" s="71">
        <f>'Stakeholder list'!U110</f>
        <v/>
      </c>
      <c r="U105" s="71">
        <f>'Stakeholder list'!V110</f>
        <v/>
      </c>
      <c r="V105" s="71">
        <f>'Stakeholder list'!W110</f>
        <v/>
      </c>
      <c r="W105" s="71">
        <f>'Stakeholder list'!X110</f>
        <v/>
      </c>
    </row>
    <row r="106">
      <c r="A106" s="71">
        <f>'Stakeholder list'!B111</f>
        <v/>
      </c>
      <c r="B106" s="71">
        <f>'Stakeholder list'!C111</f>
        <v/>
      </c>
      <c r="C106" s="71">
        <f>'Stakeholder list'!D111</f>
        <v/>
      </c>
      <c r="D106" s="71">
        <f>'Stakeholder list'!E111</f>
        <v/>
      </c>
      <c r="E106" s="71">
        <f>'Stakeholder list'!F111</f>
        <v/>
      </c>
      <c r="F106" s="71">
        <f>'Stakeholder list'!G111</f>
        <v/>
      </c>
      <c r="G106" s="71">
        <f>'Stakeholder list'!H111</f>
        <v/>
      </c>
      <c r="H106" s="71">
        <f>'Stakeholder list'!I111</f>
        <v/>
      </c>
      <c r="I106" s="71">
        <f>'Stakeholder list'!J111</f>
        <v/>
      </c>
      <c r="J106" s="71">
        <f>'Stakeholder list'!K111</f>
        <v/>
      </c>
      <c r="K106" s="71">
        <f>'Stakeholder list'!L111</f>
        <v/>
      </c>
      <c r="L106" s="71">
        <f>'Stakeholder list'!M111</f>
        <v/>
      </c>
      <c r="M106" s="71">
        <f>'Stakeholder list'!N111</f>
        <v/>
      </c>
      <c r="N106" s="71">
        <f>'Stakeholder list'!O111</f>
        <v/>
      </c>
      <c r="O106" s="71">
        <f>'Stakeholder list'!P111</f>
        <v/>
      </c>
      <c r="P106" s="71">
        <f>'Stakeholder list'!Q111</f>
        <v/>
      </c>
      <c r="Q106" s="71">
        <f>'Stakeholder list'!R111</f>
        <v/>
      </c>
      <c r="R106" s="71">
        <f>'Stakeholder list'!S111</f>
        <v/>
      </c>
      <c r="S106" s="71">
        <f>'Stakeholder list'!T111</f>
        <v/>
      </c>
      <c r="T106" s="71">
        <f>'Stakeholder list'!U111</f>
        <v/>
      </c>
      <c r="U106" s="71">
        <f>'Stakeholder list'!V111</f>
        <v/>
      </c>
      <c r="V106" s="71">
        <f>'Stakeholder list'!W111</f>
        <v/>
      </c>
      <c r="W106" s="71">
        <f>'Stakeholder list'!X111</f>
        <v/>
      </c>
    </row>
    <row r="107">
      <c r="A107" s="71">
        <f>'Stakeholder list'!B112</f>
        <v/>
      </c>
      <c r="B107" s="71">
        <f>'Stakeholder list'!C112</f>
        <v/>
      </c>
      <c r="C107" s="71">
        <f>'Stakeholder list'!D112</f>
        <v/>
      </c>
      <c r="D107" s="71">
        <f>'Stakeholder list'!E112</f>
        <v/>
      </c>
      <c r="E107" s="71">
        <f>'Stakeholder list'!F112</f>
        <v/>
      </c>
      <c r="F107" s="71">
        <f>'Stakeholder list'!G112</f>
        <v/>
      </c>
      <c r="G107" s="71">
        <f>'Stakeholder list'!H112</f>
        <v/>
      </c>
      <c r="H107" s="71">
        <f>'Stakeholder list'!I112</f>
        <v/>
      </c>
      <c r="I107" s="71">
        <f>'Stakeholder list'!J112</f>
        <v/>
      </c>
      <c r="J107" s="71">
        <f>'Stakeholder list'!K112</f>
        <v/>
      </c>
      <c r="K107" s="71">
        <f>'Stakeholder list'!L112</f>
        <v/>
      </c>
      <c r="L107" s="71">
        <f>'Stakeholder list'!M112</f>
        <v/>
      </c>
      <c r="M107" s="71">
        <f>'Stakeholder list'!N112</f>
        <v/>
      </c>
      <c r="N107" s="71">
        <f>'Stakeholder list'!O112</f>
        <v/>
      </c>
      <c r="O107" s="71">
        <f>'Stakeholder list'!P112</f>
        <v/>
      </c>
      <c r="P107" s="71">
        <f>'Stakeholder list'!Q112</f>
        <v/>
      </c>
      <c r="Q107" s="71">
        <f>'Stakeholder list'!R112</f>
        <v/>
      </c>
      <c r="R107" s="71">
        <f>'Stakeholder list'!S112</f>
        <v/>
      </c>
      <c r="S107" s="71">
        <f>'Stakeholder list'!T112</f>
        <v/>
      </c>
      <c r="T107" s="71">
        <f>'Stakeholder list'!U112</f>
        <v/>
      </c>
      <c r="U107" s="71">
        <f>'Stakeholder list'!V112</f>
        <v/>
      </c>
      <c r="V107" s="71">
        <f>'Stakeholder list'!W112</f>
        <v/>
      </c>
      <c r="W107" s="71">
        <f>'Stakeholder list'!X112</f>
        <v/>
      </c>
    </row>
    <row r="108">
      <c r="A108" s="71">
        <f>'Stakeholder list'!B113</f>
        <v/>
      </c>
      <c r="B108" s="71">
        <f>'Stakeholder list'!C113</f>
        <v/>
      </c>
      <c r="C108" s="71">
        <f>'Stakeholder list'!D113</f>
        <v/>
      </c>
      <c r="D108" s="71">
        <f>'Stakeholder list'!E113</f>
        <v/>
      </c>
      <c r="E108" s="71">
        <f>'Stakeholder list'!F113</f>
        <v/>
      </c>
      <c r="F108" s="71">
        <f>'Stakeholder list'!G113</f>
        <v/>
      </c>
      <c r="G108" s="71">
        <f>'Stakeholder list'!H113</f>
        <v/>
      </c>
      <c r="H108" s="71">
        <f>'Stakeholder list'!I113</f>
        <v/>
      </c>
      <c r="I108" s="71">
        <f>'Stakeholder list'!J113</f>
        <v/>
      </c>
      <c r="J108" s="71">
        <f>'Stakeholder list'!K113</f>
        <v/>
      </c>
      <c r="K108" s="71">
        <f>'Stakeholder list'!L113</f>
        <v/>
      </c>
      <c r="L108" s="71">
        <f>'Stakeholder list'!M113</f>
        <v/>
      </c>
      <c r="M108" s="71">
        <f>'Stakeholder list'!N113</f>
        <v/>
      </c>
      <c r="N108" s="71">
        <f>'Stakeholder list'!O113</f>
        <v/>
      </c>
      <c r="O108" s="71">
        <f>'Stakeholder list'!P113</f>
        <v/>
      </c>
      <c r="P108" s="71">
        <f>'Stakeholder list'!Q113</f>
        <v/>
      </c>
      <c r="Q108" s="71">
        <f>'Stakeholder list'!R113</f>
        <v/>
      </c>
      <c r="R108" s="71">
        <f>'Stakeholder list'!S113</f>
        <v/>
      </c>
      <c r="S108" s="71">
        <f>'Stakeholder list'!T113</f>
        <v/>
      </c>
      <c r="T108" s="71">
        <f>'Stakeholder list'!U113</f>
        <v/>
      </c>
      <c r="U108" s="71">
        <f>'Stakeholder list'!V113</f>
        <v/>
      </c>
      <c r="V108" s="71">
        <f>'Stakeholder list'!W113</f>
        <v/>
      </c>
      <c r="W108" s="71">
        <f>'Stakeholder list'!X113</f>
        <v/>
      </c>
    </row>
    <row r="109">
      <c r="A109" s="71">
        <f>'Stakeholder list'!B114</f>
        <v/>
      </c>
      <c r="B109" s="71">
        <f>'Stakeholder list'!C114</f>
        <v/>
      </c>
      <c r="C109" s="71">
        <f>'Stakeholder list'!D114</f>
        <v/>
      </c>
      <c r="D109" s="71">
        <f>'Stakeholder list'!E114</f>
        <v/>
      </c>
      <c r="E109" s="71">
        <f>'Stakeholder list'!F114</f>
        <v/>
      </c>
      <c r="F109" s="71">
        <f>'Stakeholder list'!G114</f>
        <v/>
      </c>
      <c r="G109" s="71">
        <f>'Stakeholder list'!H114</f>
        <v/>
      </c>
      <c r="H109" s="71">
        <f>'Stakeholder list'!I114</f>
        <v/>
      </c>
      <c r="I109" s="71">
        <f>'Stakeholder list'!J114</f>
        <v/>
      </c>
      <c r="J109" s="71">
        <f>'Stakeholder list'!K114</f>
        <v/>
      </c>
      <c r="K109" s="71">
        <f>'Stakeholder list'!L114</f>
        <v/>
      </c>
      <c r="L109" s="71">
        <f>'Stakeholder list'!M114</f>
        <v/>
      </c>
      <c r="M109" s="71">
        <f>'Stakeholder list'!N114</f>
        <v/>
      </c>
      <c r="N109" s="71">
        <f>'Stakeholder list'!O114</f>
        <v/>
      </c>
      <c r="O109" s="71">
        <f>'Stakeholder list'!P114</f>
        <v/>
      </c>
      <c r="P109" s="71">
        <f>'Stakeholder list'!Q114</f>
        <v/>
      </c>
      <c r="Q109" s="71">
        <f>'Stakeholder list'!R114</f>
        <v/>
      </c>
      <c r="R109" s="71">
        <f>'Stakeholder list'!S114</f>
        <v/>
      </c>
      <c r="S109" s="71">
        <f>'Stakeholder list'!T114</f>
        <v/>
      </c>
      <c r="T109" s="71">
        <f>'Stakeholder list'!U114</f>
        <v/>
      </c>
      <c r="U109" s="71">
        <f>'Stakeholder list'!V114</f>
        <v/>
      </c>
      <c r="V109" s="71">
        <f>'Stakeholder list'!W114</f>
        <v/>
      </c>
      <c r="W109" s="71">
        <f>'Stakeholder list'!X114</f>
        <v/>
      </c>
    </row>
    <row r="110">
      <c r="A110" s="71">
        <f>'Stakeholder list'!B115</f>
        <v/>
      </c>
      <c r="B110" s="71">
        <f>'Stakeholder list'!C115</f>
        <v/>
      </c>
      <c r="C110" s="71">
        <f>'Stakeholder list'!D115</f>
        <v/>
      </c>
      <c r="D110" s="71">
        <f>'Stakeholder list'!E115</f>
        <v/>
      </c>
      <c r="E110" s="71">
        <f>'Stakeholder list'!F115</f>
        <v/>
      </c>
      <c r="F110" s="71">
        <f>'Stakeholder list'!G115</f>
        <v/>
      </c>
      <c r="G110" s="71">
        <f>'Stakeholder list'!H115</f>
        <v/>
      </c>
      <c r="H110" s="71">
        <f>'Stakeholder list'!I115</f>
        <v/>
      </c>
      <c r="I110" s="71">
        <f>'Stakeholder list'!J115</f>
        <v/>
      </c>
      <c r="J110" s="71">
        <f>'Stakeholder list'!K115</f>
        <v/>
      </c>
      <c r="K110" s="71">
        <f>'Stakeholder list'!L115</f>
        <v/>
      </c>
      <c r="L110" s="71">
        <f>'Stakeholder list'!M115</f>
        <v/>
      </c>
      <c r="M110" s="71">
        <f>'Stakeholder list'!N115</f>
        <v/>
      </c>
      <c r="N110" s="71">
        <f>'Stakeholder list'!O115</f>
        <v/>
      </c>
      <c r="O110" s="71">
        <f>'Stakeholder list'!P115</f>
        <v/>
      </c>
      <c r="P110" s="71">
        <f>'Stakeholder list'!Q115</f>
        <v/>
      </c>
      <c r="Q110" s="71">
        <f>'Stakeholder list'!R115</f>
        <v/>
      </c>
      <c r="R110" s="71">
        <f>'Stakeholder list'!S115</f>
        <v/>
      </c>
      <c r="S110" s="71">
        <f>'Stakeholder list'!T115</f>
        <v/>
      </c>
      <c r="T110" s="71">
        <f>'Stakeholder list'!U115</f>
        <v/>
      </c>
      <c r="U110" s="71">
        <f>'Stakeholder list'!V115</f>
        <v/>
      </c>
      <c r="V110" s="71">
        <f>'Stakeholder list'!W115</f>
        <v/>
      </c>
      <c r="W110" s="71">
        <f>'Stakeholder list'!X115</f>
        <v/>
      </c>
    </row>
    <row r="111">
      <c r="A111" s="71">
        <f>'Stakeholder list'!B116</f>
        <v/>
      </c>
      <c r="B111" s="71">
        <f>'Stakeholder list'!C116</f>
        <v/>
      </c>
      <c r="C111" s="71">
        <f>'Stakeholder list'!D116</f>
        <v/>
      </c>
      <c r="D111" s="71">
        <f>'Stakeholder list'!E116</f>
        <v/>
      </c>
      <c r="E111" s="71">
        <f>'Stakeholder list'!F116</f>
        <v/>
      </c>
      <c r="F111" s="71">
        <f>'Stakeholder list'!G116</f>
        <v/>
      </c>
      <c r="G111" s="71">
        <f>'Stakeholder list'!H116</f>
        <v/>
      </c>
      <c r="H111" s="71">
        <f>'Stakeholder list'!I116</f>
        <v/>
      </c>
      <c r="I111" s="71">
        <f>'Stakeholder list'!J116</f>
        <v/>
      </c>
      <c r="J111" s="71">
        <f>'Stakeholder list'!K116</f>
        <v/>
      </c>
      <c r="K111" s="71">
        <f>'Stakeholder list'!L116</f>
        <v/>
      </c>
      <c r="L111" s="71">
        <f>'Stakeholder list'!M116</f>
        <v/>
      </c>
      <c r="M111" s="71">
        <f>'Stakeholder list'!N116</f>
        <v/>
      </c>
      <c r="N111" s="71">
        <f>'Stakeholder list'!O116</f>
        <v/>
      </c>
      <c r="O111" s="71">
        <f>'Stakeholder list'!P116</f>
        <v/>
      </c>
      <c r="P111" s="71">
        <f>'Stakeholder list'!Q116</f>
        <v/>
      </c>
      <c r="Q111" s="71">
        <f>'Stakeholder list'!R116</f>
        <v/>
      </c>
      <c r="R111" s="71">
        <f>'Stakeholder list'!S116</f>
        <v/>
      </c>
      <c r="S111" s="71">
        <f>'Stakeholder list'!T116</f>
        <v/>
      </c>
      <c r="T111" s="71">
        <f>'Stakeholder list'!U116</f>
        <v/>
      </c>
      <c r="U111" s="71">
        <f>'Stakeholder list'!V116</f>
        <v/>
      </c>
      <c r="V111" s="71">
        <f>'Stakeholder list'!W116</f>
        <v/>
      </c>
      <c r="W111" s="71">
        <f>'Stakeholder list'!X116</f>
        <v/>
      </c>
    </row>
    <row r="112">
      <c r="A112" s="71">
        <f>'Stakeholder list'!B117</f>
        <v/>
      </c>
      <c r="B112" s="71">
        <f>'Stakeholder list'!C117</f>
        <v/>
      </c>
      <c r="C112" s="71">
        <f>'Stakeholder list'!D117</f>
        <v/>
      </c>
      <c r="D112" s="71">
        <f>'Stakeholder list'!E117</f>
        <v/>
      </c>
      <c r="E112" s="71">
        <f>'Stakeholder list'!F117</f>
        <v/>
      </c>
      <c r="F112" s="71">
        <f>'Stakeholder list'!G117</f>
        <v/>
      </c>
      <c r="G112" s="71">
        <f>'Stakeholder list'!H117</f>
        <v/>
      </c>
      <c r="H112" s="71">
        <f>'Stakeholder list'!I117</f>
        <v/>
      </c>
      <c r="I112" s="71">
        <f>'Stakeholder list'!J117</f>
        <v/>
      </c>
      <c r="J112" s="71">
        <f>'Stakeholder list'!K117</f>
        <v/>
      </c>
      <c r="K112" s="71">
        <f>'Stakeholder list'!L117</f>
        <v/>
      </c>
      <c r="L112" s="71">
        <f>'Stakeholder list'!M117</f>
        <v/>
      </c>
      <c r="M112" s="71">
        <f>'Stakeholder list'!N117</f>
        <v/>
      </c>
      <c r="N112" s="71">
        <f>'Stakeholder list'!O117</f>
        <v/>
      </c>
      <c r="O112" s="71">
        <f>'Stakeholder list'!P117</f>
        <v/>
      </c>
      <c r="P112" s="71">
        <f>'Stakeholder list'!Q117</f>
        <v/>
      </c>
      <c r="Q112" s="71">
        <f>'Stakeholder list'!R117</f>
        <v/>
      </c>
      <c r="R112" s="71">
        <f>'Stakeholder list'!S117</f>
        <v/>
      </c>
      <c r="S112" s="71">
        <f>'Stakeholder list'!T117</f>
        <v/>
      </c>
      <c r="T112" s="71">
        <f>'Stakeholder list'!U117</f>
        <v/>
      </c>
      <c r="U112" s="71">
        <f>'Stakeholder list'!V117</f>
        <v/>
      </c>
      <c r="V112" s="71">
        <f>'Stakeholder list'!W117</f>
        <v/>
      </c>
      <c r="W112" s="71">
        <f>'Stakeholder list'!X117</f>
        <v/>
      </c>
    </row>
    <row r="113">
      <c r="A113" s="71">
        <f>'Stakeholder list'!B118</f>
        <v/>
      </c>
      <c r="B113" s="71">
        <f>'Stakeholder list'!C118</f>
        <v/>
      </c>
      <c r="C113" s="71">
        <f>'Stakeholder list'!D118</f>
        <v/>
      </c>
      <c r="D113" s="71">
        <f>'Stakeholder list'!E118</f>
        <v/>
      </c>
      <c r="E113" s="71">
        <f>'Stakeholder list'!F118</f>
        <v/>
      </c>
      <c r="F113" s="71">
        <f>'Stakeholder list'!G118</f>
        <v/>
      </c>
      <c r="G113" s="71">
        <f>'Stakeholder list'!H118</f>
        <v/>
      </c>
      <c r="H113" s="71">
        <f>'Stakeholder list'!I118</f>
        <v/>
      </c>
      <c r="I113" s="71">
        <f>'Stakeholder list'!J118</f>
        <v/>
      </c>
      <c r="J113" s="71">
        <f>'Stakeholder list'!K118</f>
        <v/>
      </c>
      <c r="K113" s="71">
        <f>'Stakeholder list'!L118</f>
        <v/>
      </c>
      <c r="L113" s="71">
        <f>'Stakeholder list'!M118</f>
        <v/>
      </c>
      <c r="M113" s="71">
        <f>'Stakeholder list'!N118</f>
        <v/>
      </c>
      <c r="N113" s="71">
        <f>'Stakeholder list'!O118</f>
        <v/>
      </c>
      <c r="O113" s="71">
        <f>'Stakeholder list'!P118</f>
        <v/>
      </c>
      <c r="P113" s="71">
        <f>'Stakeholder list'!Q118</f>
        <v/>
      </c>
      <c r="Q113" s="73">
        <f>'Stakeholder list'!R118</f>
        <v/>
      </c>
      <c r="R113" s="71">
        <f>'Stakeholder list'!S118</f>
        <v/>
      </c>
      <c r="S113" s="71">
        <f>'Stakeholder list'!T118</f>
        <v/>
      </c>
      <c r="T113" s="71">
        <f>'Stakeholder list'!U118</f>
        <v/>
      </c>
      <c r="U113" s="71">
        <f>'Stakeholder list'!V118</f>
        <v/>
      </c>
      <c r="V113" s="71">
        <f>'Stakeholder list'!W118</f>
        <v/>
      </c>
      <c r="W113" s="71">
        <f>'Stakeholder list'!X118</f>
        <v/>
      </c>
    </row>
    <row r="114">
      <c r="A114" s="71">
        <f>'Stakeholder list'!B119</f>
        <v/>
      </c>
      <c r="B114" s="71">
        <f>'Stakeholder list'!C119</f>
        <v/>
      </c>
      <c r="C114" s="71">
        <f>'Stakeholder list'!D119</f>
        <v/>
      </c>
      <c r="D114" s="71">
        <f>'Stakeholder list'!E119</f>
        <v/>
      </c>
      <c r="E114" s="71">
        <f>'Stakeholder list'!F119</f>
        <v/>
      </c>
      <c r="F114" s="71">
        <f>'Stakeholder list'!G119</f>
        <v/>
      </c>
      <c r="G114" s="71">
        <f>'Stakeholder list'!H119</f>
        <v/>
      </c>
      <c r="H114" s="71">
        <f>'Stakeholder list'!I119</f>
        <v/>
      </c>
      <c r="I114" s="71">
        <f>'Stakeholder list'!J119</f>
        <v/>
      </c>
      <c r="J114" s="71">
        <f>'Stakeholder list'!K119</f>
        <v/>
      </c>
      <c r="K114" s="71">
        <f>'Stakeholder list'!L119</f>
        <v/>
      </c>
      <c r="L114" s="71">
        <f>'Stakeholder list'!M119</f>
        <v/>
      </c>
      <c r="M114" s="71">
        <f>'Stakeholder list'!N119</f>
        <v/>
      </c>
      <c r="N114" s="71">
        <f>'Stakeholder list'!O119</f>
        <v/>
      </c>
      <c r="O114" s="71">
        <f>'Stakeholder list'!P119</f>
        <v/>
      </c>
      <c r="P114" s="71">
        <f>'Stakeholder list'!Q119</f>
        <v/>
      </c>
      <c r="Q114" s="71">
        <f>'Stakeholder list'!R119</f>
        <v/>
      </c>
      <c r="R114" s="71">
        <f>'Stakeholder list'!S119</f>
        <v/>
      </c>
      <c r="S114" s="71">
        <f>'Stakeholder list'!T119</f>
        <v/>
      </c>
      <c r="T114" s="71">
        <f>'Stakeholder list'!U119</f>
        <v/>
      </c>
      <c r="U114" s="71">
        <f>'Stakeholder list'!V119</f>
        <v/>
      </c>
      <c r="V114" s="71">
        <f>'Stakeholder list'!W119</f>
        <v/>
      </c>
      <c r="W114" s="71">
        <f>'Stakeholder list'!X119</f>
        <v/>
      </c>
    </row>
    <row r="115">
      <c r="A115" s="71">
        <f>'Stakeholder list'!B120</f>
        <v/>
      </c>
      <c r="B115" s="71">
        <f>'Stakeholder list'!C120</f>
        <v/>
      </c>
      <c r="C115" s="71">
        <f>'Stakeholder list'!D120</f>
        <v/>
      </c>
      <c r="D115" s="71">
        <f>'Stakeholder list'!E120</f>
        <v/>
      </c>
      <c r="E115" s="71">
        <f>'Stakeholder list'!F120</f>
        <v/>
      </c>
      <c r="F115" s="71">
        <f>'Stakeholder list'!G120</f>
        <v/>
      </c>
      <c r="G115" s="71">
        <f>'Stakeholder list'!H120</f>
        <v/>
      </c>
      <c r="H115" s="71">
        <f>'Stakeholder list'!I120</f>
        <v/>
      </c>
      <c r="I115" s="71">
        <f>'Stakeholder list'!J120</f>
        <v/>
      </c>
      <c r="J115" s="71">
        <f>'Stakeholder list'!K120</f>
        <v/>
      </c>
      <c r="K115" s="71">
        <f>'Stakeholder list'!L120</f>
        <v/>
      </c>
      <c r="L115" s="71">
        <f>'Stakeholder list'!M120</f>
        <v/>
      </c>
      <c r="M115" s="71">
        <f>'Stakeholder list'!N120</f>
        <v/>
      </c>
      <c r="N115" s="71">
        <f>'Stakeholder list'!O120</f>
        <v/>
      </c>
      <c r="O115" s="71">
        <f>'Stakeholder list'!P120</f>
        <v/>
      </c>
      <c r="P115" s="71">
        <f>'Stakeholder list'!Q120</f>
        <v/>
      </c>
      <c r="Q115" s="73">
        <f>'Stakeholder list'!R120</f>
        <v/>
      </c>
      <c r="R115" s="71">
        <f>'Stakeholder list'!S120</f>
        <v/>
      </c>
      <c r="S115" s="71">
        <f>'Stakeholder list'!T120</f>
        <v/>
      </c>
      <c r="T115" s="71">
        <f>'Stakeholder list'!U120</f>
        <v/>
      </c>
      <c r="U115" s="71">
        <f>'Stakeholder list'!V120</f>
        <v/>
      </c>
      <c r="V115" s="71">
        <f>'Stakeholder list'!W120</f>
        <v/>
      </c>
      <c r="W115" s="71">
        <f>'Stakeholder list'!X120</f>
        <v/>
      </c>
    </row>
    <row r="116">
      <c r="A116" s="71">
        <f>'Stakeholder list'!B121</f>
        <v/>
      </c>
      <c r="B116" s="71">
        <f>'Stakeholder list'!C121</f>
        <v/>
      </c>
      <c r="C116" s="71">
        <f>'Stakeholder list'!D121</f>
        <v/>
      </c>
      <c r="D116" s="71">
        <f>'Stakeholder list'!E121</f>
        <v/>
      </c>
      <c r="E116" s="71">
        <f>'Stakeholder list'!F121</f>
        <v/>
      </c>
      <c r="F116" s="71">
        <f>'Stakeholder list'!G121</f>
        <v/>
      </c>
      <c r="G116" s="71">
        <f>'Stakeholder list'!H121</f>
        <v/>
      </c>
      <c r="H116" s="71">
        <f>'Stakeholder list'!I121</f>
        <v/>
      </c>
      <c r="I116" s="71">
        <f>'Stakeholder list'!J121</f>
        <v/>
      </c>
      <c r="J116" s="71">
        <f>'Stakeholder list'!K121</f>
        <v/>
      </c>
      <c r="K116" s="71">
        <f>'Stakeholder list'!L121</f>
        <v/>
      </c>
      <c r="L116" s="71">
        <f>'Stakeholder list'!M121</f>
        <v/>
      </c>
      <c r="M116" s="71">
        <f>'Stakeholder list'!N121</f>
        <v/>
      </c>
      <c r="N116" s="71">
        <f>'Stakeholder list'!O121</f>
        <v/>
      </c>
      <c r="O116" s="71">
        <f>'Stakeholder list'!P121</f>
        <v/>
      </c>
      <c r="P116" s="71">
        <f>'Stakeholder list'!Q121</f>
        <v/>
      </c>
      <c r="Q116" s="71">
        <f>'Stakeholder list'!R121</f>
        <v/>
      </c>
      <c r="R116" s="71">
        <f>'Stakeholder list'!S121</f>
        <v/>
      </c>
      <c r="S116" s="71">
        <f>'Stakeholder list'!T121</f>
        <v/>
      </c>
      <c r="T116" s="71">
        <f>'Stakeholder list'!U121</f>
        <v/>
      </c>
      <c r="U116" s="71">
        <f>'Stakeholder list'!V121</f>
        <v/>
      </c>
      <c r="V116" s="71">
        <f>'Stakeholder list'!W121</f>
        <v/>
      </c>
      <c r="W116" s="71">
        <f>'Stakeholder list'!X121</f>
        <v/>
      </c>
    </row>
    <row r="117">
      <c r="A117" s="71">
        <f>'Stakeholder list'!B122</f>
        <v/>
      </c>
      <c r="B117" s="71">
        <f>'Stakeholder list'!C122</f>
        <v/>
      </c>
      <c r="C117" s="71">
        <f>'Stakeholder list'!D122</f>
        <v/>
      </c>
      <c r="D117" s="71">
        <f>'Stakeholder list'!E122</f>
        <v/>
      </c>
      <c r="E117" s="71">
        <f>'Stakeholder list'!F122</f>
        <v/>
      </c>
      <c r="F117" s="71">
        <f>'Stakeholder list'!G122</f>
        <v/>
      </c>
      <c r="G117" s="71">
        <f>'Stakeholder list'!H122</f>
        <v/>
      </c>
      <c r="H117" s="71">
        <f>'Stakeholder list'!I122</f>
        <v/>
      </c>
      <c r="I117" s="71">
        <f>'Stakeholder list'!J122</f>
        <v/>
      </c>
      <c r="J117" s="71">
        <f>'Stakeholder list'!K122</f>
        <v/>
      </c>
      <c r="K117" s="71">
        <f>'Stakeholder list'!L122</f>
        <v/>
      </c>
      <c r="L117" s="71">
        <f>'Stakeholder list'!M122</f>
        <v/>
      </c>
      <c r="M117" s="71">
        <f>'Stakeholder list'!N122</f>
        <v/>
      </c>
      <c r="N117" s="71">
        <f>'Stakeholder list'!O122</f>
        <v/>
      </c>
      <c r="O117" s="71">
        <f>'Stakeholder list'!P122</f>
        <v/>
      </c>
      <c r="P117" s="71">
        <f>'Stakeholder list'!Q122</f>
        <v/>
      </c>
      <c r="Q117" s="71">
        <f>'Stakeholder list'!R122</f>
        <v/>
      </c>
      <c r="R117" s="71">
        <f>'Stakeholder list'!S122</f>
        <v/>
      </c>
      <c r="S117" s="71">
        <f>'Stakeholder list'!T122</f>
        <v/>
      </c>
      <c r="T117" s="71">
        <f>'Stakeholder list'!U122</f>
        <v/>
      </c>
      <c r="U117" s="71">
        <f>'Stakeholder list'!V122</f>
        <v/>
      </c>
      <c r="V117" s="71">
        <f>'Stakeholder list'!W122</f>
        <v/>
      </c>
      <c r="W117" s="71">
        <f>'Stakeholder list'!X122</f>
        <v/>
      </c>
    </row>
    <row r="118">
      <c r="A118" s="71">
        <f>'Stakeholder list'!B123</f>
        <v/>
      </c>
      <c r="B118" s="71">
        <f>'Stakeholder list'!C123</f>
        <v/>
      </c>
      <c r="C118" s="71">
        <f>'Stakeholder list'!D123</f>
        <v/>
      </c>
      <c r="D118" s="71">
        <f>'Stakeholder list'!E123</f>
        <v/>
      </c>
      <c r="E118" s="71">
        <f>'Stakeholder list'!F123</f>
        <v/>
      </c>
      <c r="F118" s="71">
        <f>'Stakeholder list'!G123</f>
        <v/>
      </c>
      <c r="G118" s="71">
        <f>'Stakeholder list'!H123</f>
        <v/>
      </c>
      <c r="H118" s="71">
        <f>'Stakeholder list'!I123</f>
        <v/>
      </c>
      <c r="I118" s="71">
        <f>'Stakeholder list'!J123</f>
        <v/>
      </c>
      <c r="J118" s="71">
        <f>'Stakeholder list'!K123</f>
        <v/>
      </c>
      <c r="K118" s="71">
        <f>'Stakeholder list'!L123</f>
        <v/>
      </c>
      <c r="L118" s="71">
        <f>'Stakeholder list'!M123</f>
        <v/>
      </c>
      <c r="M118" s="71">
        <f>'Stakeholder list'!N123</f>
        <v/>
      </c>
      <c r="N118" s="71">
        <f>'Stakeholder list'!O123</f>
        <v/>
      </c>
      <c r="O118" s="71">
        <f>'Stakeholder list'!P123</f>
        <v/>
      </c>
      <c r="P118" s="71">
        <f>'Stakeholder list'!Q123</f>
        <v/>
      </c>
      <c r="Q118" s="71">
        <f>'Stakeholder list'!R123</f>
        <v/>
      </c>
      <c r="R118" s="71">
        <f>'Stakeholder list'!S123</f>
        <v/>
      </c>
      <c r="S118" s="71">
        <f>'Stakeholder list'!T123</f>
        <v/>
      </c>
      <c r="T118" s="71">
        <f>'Stakeholder list'!U123</f>
        <v/>
      </c>
      <c r="U118" s="71">
        <f>'Stakeholder list'!V123</f>
        <v/>
      </c>
      <c r="V118" s="71">
        <f>'Stakeholder list'!W123</f>
        <v/>
      </c>
      <c r="W118" s="71">
        <f>'Stakeholder list'!X123</f>
        <v/>
      </c>
    </row>
    <row r="119">
      <c r="A119" s="71">
        <f>'Stakeholder list'!B124</f>
        <v/>
      </c>
      <c r="B119" s="71">
        <f>'Stakeholder list'!C124</f>
        <v/>
      </c>
      <c r="C119" s="71">
        <f>'Stakeholder list'!D124</f>
        <v/>
      </c>
      <c r="D119" s="71">
        <f>'Stakeholder list'!E124</f>
        <v/>
      </c>
      <c r="E119" s="71">
        <f>'Stakeholder list'!F124</f>
        <v/>
      </c>
      <c r="F119" s="71">
        <f>'Stakeholder list'!G124</f>
        <v/>
      </c>
      <c r="G119" s="71">
        <f>'Stakeholder list'!H124</f>
        <v/>
      </c>
      <c r="H119" s="71">
        <f>'Stakeholder list'!I124</f>
        <v/>
      </c>
      <c r="I119" s="71">
        <f>'Stakeholder list'!J124</f>
        <v/>
      </c>
      <c r="J119" s="71">
        <f>'Stakeholder list'!K124</f>
        <v/>
      </c>
      <c r="K119" s="71">
        <f>'Stakeholder list'!L124</f>
        <v/>
      </c>
      <c r="L119" s="71">
        <f>'Stakeholder list'!M124</f>
        <v/>
      </c>
      <c r="M119" s="71">
        <f>'Stakeholder list'!N124</f>
        <v/>
      </c>
      <c r="N119" s="71">
        <f>'Stakeholder list'!O124</f>
        <v/>
      </c>
      <c r="O119" s="71">
        <f>'Stakeholder list'!P124</f>
        <v/>
      </c>
      <c r="P119" s="71">
        <f>'Stakeholder list'!Q124</f>
        <v/>
      </c>
      <c r="Q119" s="71">
        <f>'Stakeholder list'!R124</f>
        <v/>
      </c>
      <c r="R119" s="71">
        <f>'Stakeholder list'!S124</f>
        <v/>
      </c>
      <c r="S119" s="71">
        <f>'Stakeholder list'!T124</f>
        <v/>
      </c>
      <c r="T119" s="71">
        <f>'Stakeholder list'!U124</f>
        <v/>
      </c>
      <c r="U119" s="71">
        <f>'Stakeholder list'!V124</f>
        <v/>
      </c>
      <c r="V119" s="71">
        <f>'Stakeholder list'!W124</f>
        <v/>
      </c>
      <c r="W119" s="71">
        <f>'Stakeholder list'!X124</f>
        <v/>
      </c>
    </row>
    <row r="120">
      <c r="A120" s="71">
        <f>'Stakeholder list'!B125</f>
        <v/>
      </c>
      <c r="B120" s="71">
        <f>'Stakeholder list'!C125</f>
        <v/>
      </c>
      <c r="C120" s="71">
        <f>'Stakeholder list'!D125</f>
        <v/>
      </c>
      <c r="D120" s="71">
        <f>'Stakeholder list'!E125</f>
        <v/>
      </c>
      <c r="E120" s="71">
        <f>'Stakeholder list'!F125</f>
        <v/>
      </c>
      <c r="F120" s="71">
        <f>'Stakeholder list'!G125</f>
        <v/>
      </c>
      <c r="G120" s="71">
        <f>'Stakeholder list'!H125</f>
        <v/>
      </c>
      <c r="H120" s="71">
        <f>'Stakeholder list'!I125</f>
        <v/>
      </c>
      <c r="I120" s="71">
        <f>'Stakeholder list'!J125</f>
        <v/>
      </c>
      <c r="J120" s="71">
        <f>'Stakeholder list'!K125</f>
        <v/>
      </c>
      <c r="K120" s="71">
        <f>'Stakeholder list'!L125</f>
        <v/>
      </c>
      <c r="L120" s="71">
        <f>'Stakeholder list'!M125</f>
        <v/>
      </c>
      <c r="M120" s="71">
        <f>'Stakeholder list'!N125</f>
        <v/>
      </c>
      <c r="N120" s="71">
        <f>'Stakeholder list'!O125</f>
        <v/>
      </c>
      <c r="O120" s="71">
        <f>'Stakeholder list'!P125</f>
        <v/>
      </c>
      <c r="P120" s="71">
        <f>'Stakeholder list'!Q125</f>
        <v/>
      </c>
      <c r="Q120" s="71">
        <f>'Stakeholder list'!R125</f>
        <v/>
      </c>
      <c r="R120" s="71">
        <f>'Stakeholder list'!S125</f>
        <v/>
      </c>
      <c r="S120" s="71">
        <f>'Stakeholder list'!T125</f>
        <v/>
      </c>
      <c r="T120" s="71">
        <f>'Stakeholder list'!U125</f>
        <v/>
      </c>
      <c r="U120" s="71">
        <f>'Stakeholder list'!V125</f>
        <v/>
      </c>
      <c r="V120" s="71">
        <f>'Stakeholder list'!W125</f>
        <v/>
      </c>
      <c r="W120" s="71">
        <f>'Stakeholder list'!X125</f>
        <v/>
      </c>
    </row>
    <row r="121">
      <c r="A121" s="71">
        <f>'Stakeholder list'!B126</f>
        <v/>
      </c>
      <c r="B121" s="71">
        <f>'Stakeholder list'!C126</f>
        <v/>
      </c>
      <c r="C121" s="71">
        <f>'Stakeholder list'!D126</f>
        <v/>
      </c>
      <c r="D121" s="71">
        <f>'Stakeholder list'!E126</f>
        <v/>
      </c>
      <c r="E121" s="71">
        <f>'Stakeholder list'!F126</f>
        <v/>
      </c>
      <c r="F121" s="71">
        <f>'Stakeholder list'!G126</f>
        <v/>
      </c>
      <c r="G121" s="71">
        <f>'Stakeholder list'!H126</f>
        <v/>
      </c>
      <c r="H121" s="71">
        <f>'Stakeholder list'!I126</f>
        <v/>
      </c>
      <c r="I121" s="71">
        <f>'Stakeholder list'!J126</f>
        <v/>
      </c>
      <c r="J121" s="71">
        <f>'Stakeholder list'!K126</f>
        <v/>
      </c>
      <c r="K121" s="71">
        <f>'Stakeholder list'!L126</f>
        <v/>
      </c>
      <c r="L121" s="71">
        <f>'Stakeholder list'!M126</f>
        <v/>
      </c>
      <c r="M121" s="71">
        <f>'Stakeholder list'!N126</f>
        <v/>
      </c>
      <c r="N121" s="71">
        <f>'Stakeholder list'!O126</f>
        <v/>
      </c>
      <c r="O121" s="71">
        <f>'Stakeholder list'!P126</f>
        <v/>
      </c>
      <c r="P121" s="71">
        <f>'Stakeholder list'!Q126</f>
        <v/>
      </c>
      <c r="Q121" s="71">
        <f>'Stakeholder list'!R126</f>
        <v/>
      </c>
      <c r="R121" s="71">
        <f>'Stakeholder list'!S126</f>
        <v/>
      </c>
      <c r="S121" s="71">
        <f>'Stakeholder list'!T126</f>
        <v/>
      </c>
      <c r="T121" s="71">
        <f>'Stakeholder list'!U126</f>
        <v/>
      </c>
      <c r="U121" s="71">
        <f>'Stakeholder list'!V126</f>
        <v/>
      </c>
      <c r="V121" s="71">
        <f>'Stakeholder list'!W126</f>
        <v/>
      </c>
      <c r="W121" s="71">
        <f>'Stakeholder list'!X126</f>
        <v/>
      </c>
    </row>
    <row r="122">
      <c r="A122" s="71">
        <f>'Stakeholder list'!B127</f>
        <v/>
      </c>
      <c r="B122" s="71">
        <f>'Stakeholder list'!C127</f>
        <v/>
      </c>
      <c r="C122" s="71">
        <f>'Stakeholder list'!D127</f>
        <v/>
      </c>
      <c r="D122" s="71">
        <f>'Stakeholder list'!E127</f>
        <v/>
      </c>
      <c r="E122" s="71">
        <f>'Stakeholder list'!F127</f>
        <v/>
      </c>
      <c r="F122" s="71">
        <f>'Stakeholder list'!G127</f>
        <v/>
      </c>
      <c r="G122" s="71">
        <f>'Stakeholder list'!H127</f>
        <v/>
      </c>
      <c r="H122" s="71">
        <f>'Stakeholder list'!I127</f>
        <v/>
      </c>
      <c r="I122" s="71">
        <f>'Stakeholder list'!J127</f>
        <v/>
      </c>
      <c r="J122" s="71">
        <f>'Stakeholder list'!K127</f>
        <v/>
      </c>
      <c r="K122" s="71">
        <f>'Stakeholder list'!L127</f>
        <v/>
      </c>
      <c r="L122" s="71">
        <f>'Stakeholder list'!M127</f>
        <v/>
      </c>
      <c r="M122" s="71">
        <f>'Stakeholder list'!N127</f>
        <v/>
      </c>
      <c r="N122" s="71">
        <f>'Stakeholder list'!O127</f>
        <v/>
      </c>
      <c r="O122" s="71">
        <f>'Stakeholder list'!P127</f>
        <v/>
      </c>
      <c r="P122" s="71">
        <f>'Stakeholder list'!Q127</f>
        <v/>
      </c>
      <c r="Q122" s="71">
        <f>'Stakeholder list'!R127</f>
        <v/>
      </c>
      <c r="R122" s="71">
        <f>'Stakeholder list'!S127</f>
        <v/>
      </c>
      <c r="S122" s="71">
        <f>'Stakeholder list'!T127</f>
        <v/>
      </c>
      <c r="T122" s="71">
        <f>'Stakeholder list'!U127</f>
        <v/>
      </c>
      <c r="U122" s="71">
        <f>'Stakeholder list'!V127</f>
        <v/>
      </c>
      <c r="V122" s="71">
        <f>'Stakeholder list'!W127</f>
        <v/>
      </c>
      <c r="W122" s="71">
        <f>'Stakeholder list'!X127</f>
        <v/>
      </c>
    </row>
    <row r="123">
      <c r="A123" s="71">
        <f>'Stakeholder list'!B128</f>
        <v/>
      </c>
      <c r="B123" s="71">
        <f>'Stakeholder list'!C128</f>
        <v/>
      </c>
      <c r="C123" s="71">
        <f>'Stakeholder list'!D128</f>
        <v/>
      </c>
      <c r="D123" s="71">
        <f>'Stakeholder list'!E128</f>
        <v/>
      </c>
      <c r="E123" s="71">
        <f>'Stakeholder list'!F128</f>
        <v/>
      </c>
      <c r="F123" s="71">
        <f>'Stakeholder list'!G128</f>
        <v/>
      </c>
      <c r="G123" s="71">
        <f>'Stakeholder list'!H128</f>
        <v/>
      </c>
      <c r="H123" s="71">
        <f>'Stakeholder list'!I128</f>
        <v/>
      </c>
      <c r="I123" s="71">
        <f>'Stakeholder list'!J128</f>
        <v/>
      </c>
      <c r="J123" s="71">
        <f>'Stakeholder list'!K128</f>
        <v/>
      </c>
      <c r="K123" s="71">
        <f>'Stakeholder list'!L128</f>
        <v/>
      </c>
      <c r="L123" s="71">
        <f>'Stakeholder list'!M128</f>
        <v/>
      </c>
      <c r="M123" s="71">
        <f>'Stakeholder list'!N128</f>
        <v/>
      </c>
      <c r="N123" s="71">
        <f>'Stakeholder list'!O128</f>
        <v/>
      </c>
      <c r="O123" s="71">
        <f>'Stakeholder list'!P128</f>
        <v/>
      </c>
      <c r="P123" s="71">
        <f>'Stakeholder list'!Q128</f>
        <v/>
      </c>
      <c r="Q123" s="71">
        <f>'Stakeholder list'!R128</f>
        <v/>
      </c>
      <c r="R123" s="71">
        <f>'Stakeholder list'!S128</f>
        <v/>
      </c>
      <c r="S123" s="71">
        <f>'Stakeholder list'!T128</f>
        <v/>
      </c>
      <c r="T123" s="71">
        <f>'Stakeholder list'!U128</f>
        <v/>
      </c>
      <c r="U123" s="71">
        <f>'Stakeholder list'!V128</f>
        <v/>
      </c>
      <c r="V123" s="71">
        <f>'Stakeholder list'!W128</f>
        <v/>
      </c>
      <c r="W123" s="71">
        <f>'Stakeholder list'!X128</f>
        <v/>
      </c>
    </row>
    <row r="124">
      <c r="A124" s="71">
        <f>'Stakeholder list'!B129</f>
        <v/>
      </c>
      <c r="B124" s="71">
        <f>'Stakeholder list'!C129</f>
        <v/>
      </c>
      <c r="C124" s="71">
        <f>'Stakeholder list'!D129</f>
        <v/>
      </c>
      <c r="D124" s="71">
        <f>'Stakeholder list'!E129</f>
        <v/>
      </c>
      <c r="E124" s="71">
        <f>'Stakeholder list'!F129</f>
        <v/>
      </c>
      <c r="F124" s="71">
        <f>'Stakeholder list'!G129</f>
        <v/>
      </c>
      <c r="G124" s="71">
        <f>'Stakeholder list'!H129</f>
        <v/>
      </c>
      <c r="H124" s="71">
        <f>'Stakeholder list'!I129</f>
        <v/>
      </c>
      <c r="I124" s="71">
        <f>'Stakeholder list'!J129</f>
        <v/>
      </c>
      <c r="J124" s="71">
        <f>'Stakeholder list'!K129</f>
        <v/>
      </c>
      <c r="K124" s="71">
        <f>'Stakeholder list'!L129</f>
        <v/>
      </c>
      <c r="L124" s="71">
        <f>'Stakeholder list'!M129</f>
        <v/>
      </c>
      <c r="M124" s="71">
        <f>'Stakeholder list'!N129</f>
        <v/>
      </c>
      <c r="N124" s="71">
        <f>'Stakeholder list'!O129</f>
        <v/>
      </c>
      <c r="O124" s="71">
        <f>'Stakeholder list'!P129</f>
        <v/>
      </c>
      <c r="P124" s="71">
        <f>'Stakeholder list'!Q129</f>
        <v/>
      </c>
      <c r="Q124" s="71">
        <f>'Stakeholder list'!R129</f>
        <v/>
      </c>
      <c r="R124" s="71">
        <f>'Stakeholder list'!S129</f>
        <v/>
      </c>
      <c r="S124" s="71">
        <f>'Stakeholder list'!T129</f>
        <v/>
      </c>
      <c r="T124" s="71">
        <f>'Stakeholder list'!U129</f>
        <v/>
      </c>
      <c r="U124" s="71">
        <f>'Stakeholder list'!V129</f>
        <v/>
      </c>
      <c r="V124" s="71">
        <f>'Stakeholder list'!W129</f>
        <v/>
      </c>
      <c r="W124" s="71">
        <f>'Stakeholder list'!X129</f>
        <v/>
      </c>
    </row>
    <row r="125">
      <c r="A125" s="71">
        <f>'Stakeholder list'!B130</f>
        <v/>
      </c>
      <c r="B125" s="71">
        <f>'Stakeholder list'!C130</f>
        <v/>
      </c>
      <c r="C125" s="71">
        <f>'Stakeholder list'!D130</f>
        <v/>
      </c>
      <c r="D125" s="71">
        <f>'Stakeholder list'!E130</f>
        <v/>
      </c>
      <c r="E125" s="71">
        <f>'Stakeholder list'!F130</f>
        <v/>
      </c>
      <c r="F125" s="71">
        <f>'Stakeholder list'!G130</f>
        <v/>
      </c>
      <c r="G125" s="71">
        <f>'Stakeholder list'!H130</f>
        <v/>
      </c>
      <c r="H125" s="71">
        <f>'Stakeholder list'!I130</f>
        <v/>
      </c>
      <c r="I125" s="71">
        <f>'Stakeholder list'!J130</f>
        <v/>
      </c>
      <c r="J125" s="71">
        <f>'Stakeholder list'!K130</f>
        <v/>
      </c>
      <c r="K125" s="71">
        <f>'Stakeholder list'!L130</f>
        <v/>
      </c>
      <c r="L125" s="71">
        <f>'Stakeholder list'!M130</f>
        <v/>
      </c>
      <c r="M125" s="71">
        <f>'Stakeholder list'!N130</f>
        <v/>
      </c>
      <c r="N125" s="71">
        <f>'Stakeholder list'!O130</f>
        <v/>
      </c>
      <c r="O125" s="71">
        <f>'Stakeholder list'!P130</f>
        <v/>
      </c>
      <c r="P125" s="71">
        <f>'Stakeholder list'!Q130</f>
        <v/>
      </c>
      <c r="Q125" s="71">
        <f>'Stakeholder list'!R130</f>
        <v/>
      </c>
      <c r="R125" s="71">
        <f>'Stakeholder list'!S130</f>
        <v/>
      </c>
      <c r="S125" s="71">
        <f>'Stakeholder list'!T130</f>
        <v/>
      </c>
      <c r="T125" s="71">
        <f>'Stakeholder list'!U130</f>
        <v/>
      </c>
      <c r="U125" s="71">
        <f>'Stakeholder list'!V130</f>
        <v/>
      </c>
      <c r="V125" s="71">
        <f>'Stakeholder list'!W130</f>
        <v/>
      </c>
      <c r="W125" s="71">
        <f>'Stakeholder list'!X130</f>
        <v/>
      </c>
    </row>
    <row r="126">
      <c r="A126" s="71">
        <f>'Stakeholder list'!B131</f>
        <v/>
      </c>
      <c r="B126" s="71">
        <f>'Stakeholder list'!C131</f>
        <v/>
      </c>
      <c r="C126" s="71">
        <f>'Stakeholder list'!D131</f>
        <v/>
      </c>
      <c r="D126" s="71">
        <f>'Stakeholder list'!E131</f>
        <v/>
      </c>
      <c r="E126" s="71">
        <f>'Stakeholder list'!F131</f>
        <v/>
      </c>
      <c r="F126" s="71">
        <f>'Stakeholder list'!G131</f>
        <v/>
      </c>
      <c r="G126" s="71">
        <f>'Stakeholder list'!H131</f>
        <v/>
      </c>
      <c r="H126" s="71">
        <f>'Stakeholder list'!I131</f>
        <v/>
      </c>
      <c r="I126" s="71">
        <f>'Stakeholder list'!J131</f>
        <v/>
      </c>
      <c r="J126" s="71">
        <f>'Stakeholder list'!K131</f>
        <v/>
      </c>
      <c r="K126" s="71">
        <f>'Stakeholder list'!L131</f>
        <v/>
      </c>
      <c r="L126" s="71">
        <f>'Stakeholder list'!M131</f>
        <v/>
      </c>
      <c r="M126" s="71">
        <f>'Stakeholder list'!N131</f>
        <v/>
      </c>
      <c r="N126" s="71">
        <f>'Stakeholder list'!O131</f>
        <v/>
      </c>
      <c r="O126" s="71">
        <f>'Stakeholder list'!P131</f>
        <v/>
      </c>
      <c r="P126" s="71">
        <f>'Stakeholder list'!Q131</f>
        <v/>
      </c>
      <c r="Q126" s="71">
        <f>'Stakeholder list'!R131</f>
        <v/>
      </c>
      <c r="R126" s="71">
        <f>'Stakeholder list'!S131</f>
        <v/>
      </c>
      <c r="S126" s="71">
        <f>'Stakeholder list'!T131</f>
        <v/>
      </c>
      <c r="T126" s="71">
        <f>'Stakeholder list'!U131</f>
        <v/>
      </c>
      <c r="U126" s="71">
        <f>'Stakeholder list'!V131</f>
        <v/>
      </c>
      <c r="V126" s="71">
        <f>'Stakeholder list'!W131</f>
        <v/>
      </c>
      <c r="W126" s="71">
        <f>'Stakeholder list'!X131</f>
        <v/>
      </c>
    </row>
    <row r="127">
      <c r="A127" s="71">
        <f>'Stakeholder list'!B132</f>
        <v/>
      </c>
      <c r="B127" s="71">
        <f>'Stakeholder list'!C132</f>
        <v/>
      </c>
      <c r="C127" s="71">
        <f>'Stakeholder list'!D132</f>
        <v/>
      </c>
      <c r="D127" s="71">
        <f>'Stakeholder list'!E132</f>
        <v/>
      </c>
      <c r="E127" s="71">
        <f>'Stakeholder list'!F132</f>
        <v/>
      </c>
      <c r="F127" s="71">
        <f>'Stakeholder list'!G132</f>
        <v/>
      </c>
      <c r="G127" s="71">
        <f>'Stakeholder list'!H132</f>
        <v/>
      </c>
      <c r="H127" s="71">
        <f>'Stakeholder list'!I132</f>
        <v/>
      </c>
      <c r="I127" s="71">
        <f>'Stakeholder list'!J132</f>
        <v/>
      </c>
      <c r="J127" s="71">
        <f>'Stakeholder list'!K132</f>
        <v/>
      </c>
      <c r="K127" s="71">
        <f>'Stakeholder list'!L132</f>
        <v/>
      </c>
      <c r="L127" s="71">
        <f>'Stakeholder list'!M132</f>
        <v/>
      </c>
      <c r="M127" s="71">
        <f>'Stakeholder list'!N132</f>
        <v/>
      </c>
      <c r="N127" s="71">
        <f>'Stakeholder list'!O132</f>
        <v/>
      </c>
      <c r="O127" s="71">
        <f>'Stakeholder list'!P132</f>
        <v/>
      </c>
      <c r="P127" s="71">
        <f>'Stakeholder list'!Q132</f>
        <v/>
      </c>
      <c r="Q127" s="71">
        <f>'Stakeholder list'!R132</f>
        <v/>
      </c>
      <c r="R127" s="71">
        <f>'Stakeholder list'!S132</f>
        <v/>
      </c>
      <c r="S127" s="71">
        <f>'Stakeholder list'!T132</f>
        <v/>
      </c>
      <c r="T127" s="71">
        <f>'Stakeholder list'!U132</f>
        <v/>
      </c>
      <c r="U127" s="71">
        <f>'Stakeholder list'!V132</f>
        <v/>
      </c>
      <c r="V127" s="71">
        <f>'Stakeholder list'!W132</f>
        <v/>
      </c>
      <c r="W127" s="71">
        <f>'Stakeholder list'!X132</f>
        <v/>
      </c>
    </row>
    <row r="128">
      <c r="A128" s="71">
        <f>'Stakeholder list'!B133</f>
        <v/>
      </c>
      <c r="B128" s="71">
        <f>'Stakeholder list'!C133</f>
        <v/>
      </c>
      <c r="C128" s="71">
        <f>'Stakeholder list'!D133</f>
        <v/>
      </c>
      <c r="D128" s="71">
        <f>'Stakeholder list'!E133</f>
        <v/>
      </c>
      <c r="E128" s="71">
        <f>'Stakeholder list'!F133</f>
        <v/>
      </c>
      <c r="F128" s="71">
        <f>'Stakeholder list'!G133</f>
        <v/>
      </c>
      <c r="G128" s="71">
        <f>'Stakeholder list'!H133</f>
        <v/>
      </c>
      <c r="H128" s="71">
        <f>'Stakeholder list'!I133</f>
        <v/>
      </c>
      <c r="I128" s="71">
        <f>'Stakeholder list'!J133</f>
        <v/>
      </c>
      <c r="J128" s="71">
        <f>'Stakeholder list'!K133</f>
        <v/>
      </c>
      <c r="K128" s="71">
        <f>'Stakeholder list'!L133</f>
        <v/>
      </c>
      <c r="L128" s="71">
        <f>'Stakeholder list'!M133</f>
        <v/>
      </c>
      <c r="M128" s="71">
        <f>'Stakeholder list'!N133</f>
        <v/>
      </c>
      <c r="N128" s="71">
        <f>'Stakeholder list'!O133</f>
        <v/>
      </c>
      <c r="O128" s="71">
        <f>'Stakeholder list'!P133</f>
        <v/>
      </c>
      <c r="P128" s="71">
        <f>'Stakeholder list'!Q133</f>
        <v/>
      </c>
      <c r="Q128" s="71">
        <f>'Stakeholder list'!R133</f>
        <v/>
      </c>
      <c r="R128" s="71">
        <f>'Stakeholder list'!S133</f>
        <v/>
      </c>
      <c r="S128" s="71">
        <f>'Stakeholder list'!T133</f>
        <v/>
      </c>
      <c r="T128" s="71">
        <f>'Stakeholder list'!U133</f>
        <v/>
      </c>
      <c r="U128" s="71">
        <f>'Stakeholder list'!V133</f>
        <v/>
      </c>
      <c r="V128" s="71">
        <f>'Stakeholder list'!W133</f>
        <v/>
      </c>
      <c r="W128" s="71">
        <f>'Stakeholder list'!X133</f>
        <v/>
      </c>
    </row>
    <row r="129">
      <c r="A129" s="71">
        <f>'Stakeholder list'!B134</f>
        <v/>
      </c>
      <c r="B129" s="71">
        <f>'Stakeholder list'!C134</f>
        <v/>
      </c>
      <c r="C129" s="71">
        <f>'Stakeholder list'!D134</f>
        <v/>
      </c>
      <c r="D129" s="71">
        <f>'Stakeholder list'!E134</f>
        <v/>
      </c>
      <c r="E129" s="71">
        <f>'Stakeholder list'!F134</f>
        <v/>
      </c>
      <c r="F129" s="71">
        <f>'Stakeholder list'!G134</f>
        <v/>
      </c>
      <c r="G129" s="71">
        <f>'Stakeholder list'!H134</f>
        <v/>
      </c>
      <c r="H129" s="71">
        <f>'Stakeholder list'!I134</f>
        <v/>
      </c>
      <c r="I129" s="71">
        <f>'Stakeholder list'!J134</f>
        <v/>
      </c>
      <c r="J129" s="71">
        <f>'Stakeholder list'!K134</f>
        <v/>
      </c>
      <c r="K129" s="71">
        <f>'Stakeholder list'!L134</f>
        <v/>
      </c>
      <c r="L129" s="71">
        <f>'Stakeholder list'!M134</f>
        <v/>
      </c>
      <c r="M129" s="71">
        <f>'Stakeholder list'!N134</f>
        <v/>
      </c>
      <c r="N129" s="71">
        <f>'Stakeholder list'!O134</f>
        <v/>
      </c>
      <c r="O129" s="71">
        <f>'Stakeholder list'!P134</f>
        <v/>
      </c>
      <c r="P129" s="71">
        <f>'Stakeholder list'!Q134</f>
        <v/>
      </c>
      <c r="Q129" s="71">
        <f>'Stakeholder list'!R134</f>
        <v/>
      </c>
      <c r="R129" s="71">
        <f>'Stakeholder list'!S134</f>
        <v/>
      </c>
      <c r="S129" s="71">
        <f>'Stakeholder list'!T134</f>
        <v/>
      </c>
      <c r="T129" s="71">
        <f>'Stakeholder list'!U134</f>
        <v/>
      </c>
      <c r="U129" s="71">
        <f>'Stakeholder list'!V134</f>
        <v/>
      </c>
      <c r="V129" s="71">
        <f>'Stakeholder list'!W134</f>
        <v/>
      </c>
      <c r="W129" s="71">
        <f>'Stakeholder list'!X134</f>
        <v/>
      </c>
    </row>
    <row r="130">
      <c r="A130" s="71">
        <f>'Stakeholder list'!B135</f>
        <v/>
      </c>
      <c r="B130" s="71">
        <f>'Stakeholder list'!C135</f>
        <v/>
      </c>
      <c r="C130" s="71">
        <f>'Stakeholder list'!D135</f>
        <v/>
      </c>
      <c r="D130" s="71">
        <f>'Stakeholder list'!E135</f>
        <v/>
      </c>
      <c r="E130" s="71">
        <f>'Stakeholder list'!F135</f>
        <v/>
      </c>
      <c r="F130" s="71">
        <f>'Stakeholder list'!G135</f>
        <v/>
      </c>
      <c r="G130" s="71">
        <f>'Stakeholder list'!H135</f>
        <v/>
      </c>
      <c r="H130" s="71">
        <f>'Stakeholder list'!I135</f>
        <v/>
      </c>
      <c r="I130" s="71">
        <f>'Stakeholder list'!J135</f>
        <v/>
      </c>
      <c r="J130" s="71">
        <f>'Stakeholder list'!K135</f>
        <v/>
      </c>
      <c r="K130" s="71">
        <f>'Stakeholder list'!L135</f>
        <v/>
      </c>
      <c r="L130" s="71">
        <f>'Stakeholder list'!M135</f>
        <v/>
      </c>
      <c r="M130" s="71">
        <f>'Stakeholder list'!N135</f>
        <v/>
      </c>
      <c r="N130" s="71">
        <f>'Stakeholder list'!O135</f>
        <v/>
      </c>
      <c r="O130" s="71">
        <f>'Stakeholder list'!P135</f>
        <v/>
      </c>
      <c r="P130" s="71">
        <f>'Stakeholder list'!Q135</f>
        <v/>
      </c>
      <c r="Q130" s="71">
        <f>'Stakeholder list'!R135</f>
        <v/>
      </c>
      <c r="R130" s="71">
        <f>'Stakeholder list'!S135</f>
        <v/>
      </c>
      <c r="S130" s="71">
        <f>'Stakeholder list'!T135</f>
        <v/>
      </c>
      <c r="T130" s="71">
        <f>'Stakeholder list'!U135</f>
        <v/>
      </c>
      <c r="U130" s="71">
        <f>'Stakeholder list'!V135</f>
        <v/>
      </c>
      <c r="V130" s="71">
        <f>'Stakeholder list'!W135</f>
        <v/>
      </c>
      <c r="W130" s="71">
        <f>'Stakeholder list'!X135</f>
        <v/>
      </c>
    </row>
    <row r="131">
      <c r="A131" s="71">
        <f>'Stakeholder list'!B136</f>
        <v/>
      </c>
      <c r="B131" s="71">
        <f>'Stakeholder list'!C136</f>
        <v/>
      </c>
      <c r="C131" s="71">
        <f>'Stakeholder list'!D136</f>
        <v/>
      </c>
      <c r="D131" s="71">
        <f>'Stakeholder list'!E136</f>
        <v/>
      </c>
      <c r="E131" s="71">
        <f>'Stakeholder list'!F136</f>
        <v/>
      </c>
      <c r="F131" s="71">
        <f>'Stakeholder list'!G136</f>
        <v/>
      </c>
      <c r="G131" s="71">
        <f>'Stakeholder list'!H136</f>
        <v/>
      </c>
      <c r="H131" s="71">
        <f>'Stakeholder list'!I136</f>
        <v/>
      </c>
      <c r="I131" s="71">
        <f>'Stakeholder list'!J136</f>
        <v/>
      </c>
      <c r="J131" s="71">
        <f>'Stakeholder list'!K136</f>
        <v/>
      </c>
      <c r="K131" s="71">
        <f>'Stakeholder list'!L136</f>
        <v/>
      </c>
      <c r="L131" s="71">
        <f>'Stakeholder list'!M136</f>
        <v/>
      </c>
      <c r="M131" s="71">
        <f>'Stakeholder list'!N136</f>
        <v/>
      </c>
      <c r="N131" s="71">
        <f>'Stakeholder list'!O136</f>
        <v/>
      </c>
      <c r="O131" s="71">
        <f>'Stakeholder list'!P136</f>
        <v/>
      </c>
      <c r="P131" s="71">
        <f>'Stakeholder list'!Q136</f>
        <v/>
      </c>
      <c r="Q131" s="71">
        <f>'Stakeholder list'!R136</f>
        <v/>
      </c>
      <c r="R131" s="71">
        <f>'Stakeholder list'!S136</f>
        <v/>
      </c>
      <c r="S131" s="71">
        <f>'Stakeholder list'!T136</f>
        <v/>
      </c>
      <c r="T131" s="71">
        <f>'Stakeholder list'!U136</f>
        <v/>
      </c>
      <c r="U131" s="71">
        <f>'Stakeholder list'!V136</f>
        <v/>
      </c>
      <c r="V131" s="71">
        <f>'Stakeholder list'!W136</f>
        <v/>
      </c>
      <c r="W131" s="71">
        <f>'Stakeholder list'!X136</f>
        <v/>
      </c>
    </row>
    <row r="132">
      <c r="A132" s="71">
        <f>'Stakeholder list'!B137</f>
        <v/>
      </c>
      <c r="B132" s="71">
        <f>'Stakeholder list'!C137</f>
        <v/>
      </c>
      <c r="C132" s="71">
        <f>'Stakeholder list'!D137</f>
        <v/>
      </c>
      <c r="D132" s="71">
        <f>'Stakeholder list'!E137</f>
        <v/>
      </c>
      <c r="E132" s="71">
        <f>'Stakeholder list'!F137</f>
        <v/>
      </c>
      <c r="F132" s="71">
        <f>'Stakeholder list'!G137</f>
        <v/>
      </c>
      <c r="G132" s="71">
        <f>'Stakeholder list'!H137</f>
        <v/>
      </c>
      <c r="H132" s="71">
        <f>'Stakeholder list'!I137</f>
        <v/>
      </c>
      <c r="I132" s="71">
        <f>'Stakeholder list'!J137</f>
        <v/>
      </c>
      <c r="J132" s="71">
        <f>'Stakeholder list'!K137</f>
        <v/>
      </c>
      <c r="K132" s="71">
        <f>'Stakeholder list'!L137</f>
        <v/>
      </c>
      <c r="L132" s="71">
        <f>'Stakeholder list'!M137</f>
        <v/>
      </c>
      <c r="M132" s="71">
        <f>'Stakeholder list'!N137</f>
        <v/>
      </c>
      <c r="N132" s="71">
        <f>'Stakeholder list'!O137</f>
        <v/>
      </c>
      <c r="O132" s="71">
        <f>'Stakeholder list'!P137</f>
        <v/>
      </c>
      <c r="P132" s="71">
        <f>'Stakeholder list'!Q137</f>
        <v/>
      </c>
      <c r="Q132" s="71">
        <f>'Stakeholder list'!R137</f>
        <v/>
      </c>
      <c r="R132" s="71">
        <f>'Stakeholder list'!S137</f>
        <v/>
      </c>
      <c r="S132" s="71">
        <f>'Stakeholder list'!T137</f>
        <v/>
      </c>
      <c r="T132" s="71">
        <f>'Stakeholder list'!U137</f>
        <v/>
      </c>
      <c r="U132" s="71">
        <f>'Stakeholder list'!V137</f>
        <v/>
      </c>
      <c r="V132" s="71">
        <f>'Stakeholder list'!W137</f>
        <v/>
      </c>
      <c r="W132" s="71">
        <f>'Stakeholder list'!X137</f>
        <v/>
      </c>
    </row>
    <row r="133">
      <c r="A133" s="71">
        <f>'Stakeholder list'!B138</f>
        <v/>
      </c>
      <c r="B133" s="71">
        <f>'Stakeholder list'!C138</f>
        <v/>
      </c>
      <c r="C133" s="71">
        <f>'Stakeholder list'!D138</f>
        <v/>
      </c>
      <c r="D133" s="71">
        <f>'Stakeholder list'!E138</f>
        <v/>
      </c>
      <c r="E133" s="71">
        <f>'Stakeholder list'!F138</f>
        <v/>
      </c>
      <c r="F133" s="71">
        <f>'Stakeholder list'!G138</f>
        <v/>
      </c>
      <c r="G133" s="71">
        <f>'Stakeholder list'!H138</f>
        <v/>
      </c>
      <c r="H133" s="71">
        <f>'Stakeholder list'!I138</f>
        <v/>
      </c>
      <c r="I133" s="71">
        <f>'Stakeholder list'!J138</f>
        <v/>
      </c>
      <c r="J133" s="71">
        <f>'Stakeholder list'!K138</f>
        <v/>
      </c>
      <c r="K133" s="71">
        <f>'Stakeholder list'!L138</f>
        <v/>
      </c>
      <c r="L133" s="71">
        <f>'Stakeholder list'!M138</f>
        <v/>
      </c>
      <c r="M133" s="71">
        <f>'Stakeholder list'!N138</f>
        <v/>
      </c>
      <c r="N133" s="71">
        <f>'Stakeholder list'!O138</f>
        <v/>
      </c>
      <c r="O133" s="71">
        <f>'Stakeholder list'!P138</f>
        <v/>
      </c>
      <c r="P133" s="71">
        <f>'Stakeholder list'!Q138</f>
        <v/>
      </c>
      <c r="Q133" s="71">
        <f>'Stakeholder list'!R138</f>
        <v/>
      </c>
      <c r="R133" s="71">
        <f>'Stakeholder list'!S138</f>
        <v/>
      </c>
      <c r="S133" s="71">
        <f>'Stakeholder list'!T138</f>
        <v/>
      </c>
      <c r="T133" s="71">
        <f>'Stakeholder list'!U138</f>
        <v/>
      </c>
      <c r="U133" s="71">
        <f>'Stakeholder list'!V138</f>
        <v/>
      </c>
      <c r="V133" s="71">
        <f>'Stakeholder list'!W138</f>
        <v/>
      </c>
      <c r="W133" s="71">
        <f>'Stakeholder list'!X138</f>
        <v/>
      </c>
    </row>
    <row r="134">
      <c r="A134" s="71">
        <f>'Stakeholder list'!B139</f>
        <v/>
      </c>
      <c r="B134" s="71">
        <f>'Stakeholder list'!C139</f>
        <v/>
      </c>
      <c r="C134" s="71">
        <f>'Stakeholder list'!D139</f>
        <v/>
      </c>
      <c r="D134" s="71">
        <f>'Stakeholder list'!E139</f>
        <v/>
      </c>
      <c r="E134" s="71">
        <f>'Stakeholder list'!F139</f>
        <v/>
      </c>
      <c r="F134" s="71">
        <f>'Stakeholder list'!G139</f>
        <v/>
      </c>
      <c r="G134" s="71">
        <f>'Stakeholder list'!H139</f>
        <v/>
      </c>
      <c r="H134" s="71">
        <f>'Stakeholder list'!I139</f>
        <v/>
      </c>
      <c r="I134" s="71">
        <f>'Stakeholder list'!J139</f>
        <v/>
      </c>
      <c r="J134" s="71">
        <f>'Stakeholder list'!K139</f>
        <v/>
      </c>
      <c r="K134" s="71">
        <f>'Stakeholder list'!L139</f>
        <v/>
      </c>
      <c r="L134" s="71">
        <f>'Stakeholder list'!M139</f>
        <v/>
      </c>
      <c r="M134" s="71">
        <f>'Stakeholder list'!N139</f>
        <v/>
      </c>
      <c r="N134" s="71">
        <f>'Stakeholder list'!O139</f>
        <v/>
      </c>
      <c r="O134" s="71">
        <f>'Stakeholder list'!P139</f>
        <v/>
      </c>
      <c r="P134" s="71">
        <f>'Stakeholder list'!Q139</f>
        <v/>
      </c>
      <c r="Q134" s="71">
        <f>'Stakeholder list'!R139</f>
        <v/>
      </c>
      <c r="R134" s="71">
        <f>'Stakeholder list'!S139</f>
        <v/>
      </c>
      <c r="S134" s="71">
        <f>'Stakeholder list'!T139</f>
        <v/>
      </c>
      <c r="T134" s="71">
        <f>'Stakeholder list'!U139</f>
        <v/>
      </c>
      <c r="U134" s="71">
        <f>'Stakeholder list'!V139</f>
        <v/>
      </c>
      <c r="V134" s="71">
        <f>'Stakeholder list'!W139</f>
        <v/>
      </c>
      <c r="W134" s="71">
        <f>'Stakeholder list'!X139</f>
        <v/>
      </c>
    </row>
    <row r="135">
      <c r="A135" s="71">
        <f>'Stakeholder list'!B140</f>
        <v/>
      </c>
      <c r="B135" s="71">
        <f>'Stakeholder list'!C140</f>
        <v/>
      </c>
      <c r="C135" s="71">
        <f>'Stakeholder list'!D140</f>
        <v/>
      </c>
      <c r="D135" s="71">
        <f>'Stakeholder list'!E140</f>
        <v/>
      </c>
      <c r="E135" s="71">
        <f>'Stakeholder list'!F140</f>
        <v/>
      </c>
      <c r="F135" s="71">
        <f>'Stakeholder list'!G140</f>
        <v/>
      </c>
      <c r="G135" s="71">
        <f>'Stakeholder list'!H140</f>
        <v/>
      </c>
      <c r="H135" s="71">
        <f>'Stakeholder list'!I140</f>
        <v/>
      </c>
      <c r="I135" s="71">
        <f>'Stakeholder list'!J140</f>
        <v/>
      </c>
      <c r="J135" s="71">
        <f>'Stakeholder list'!K140</f>
        <v/>
      </c>
      <c r="K135" s="71">
        <f>'Stakeholder list'!L140</f>
        <v/>
      </c>
      <c r="L135" s="71">
        <f>'Stakeholder list'!M140</f>
        <v/>
      </c>
      <c r="M135" s="71">
        <f>'Stakeholder list'!N140</f>
        <v/>
      </c>
      <c r="N135" s="71">
        <f>'Stakeholder list'!O140</f>
        <v/>
      </c>
      <c r="O135" s="71">
        <f>'Stakeholder list'!P140</f>
        <v/>
      </c>
      <c r="P135" s="71">
        <f>'Stakeholder list'!Q140</f>
        <v/>
      </c>
      <c r="Q135" s="71">
        <f>'Stakeholder list'!R140</f>
        <v/>
      </c>
      <c r="R135" s="71">
        <f>'Stakeholder list'!S140</f>
        <v/>
      </c>
      <c r="S135" s="71">
        <f>'Stakeholder list'!T140</f>
        <v/>
      </c>
      <c r="T135" s="71">
        <f>'Stakeholder list'!U140</f>
        <v/>
      </c>
      <c r="U135" s="71">
        <f>'Stakeholder list'!V140</f>
        <v/>
      </c>
      <c r="V135" s="71">
        <f>'Stakeholder list'!W140</f>
        <v/>
      </c>
      <c r="W135" s="71">
        <f>'Stakeholder list'!X140</f>
        <v/>
      </c>
    </row>
    <row r="136">
      <c r="A136" s="71">
        <f>'Stakeholder list'!B141</f>
        <v/>
      </c>
      <c r="B136" s="71">
        <f>'Stakeholder list'!C141</f>
        <v/>
      </c>
      <c r="C136" s="71">
        <f>'Stakeholder list'!D141</f>
        <v/>
      </c>
      <c r="D136" s="71">
        <f>'Stakeholder list'!E141</f>
        <v/>
      </c>
      <c r="E136" s="71">
        <f>'Stakeholder list'!F141</f>
        <v/>
      </c>
      <c r="F136" s="71">
        <f>'Stakeholder list'!G141</f>
        <v/>
      </c>
      <c r="G136" s="71">
        <f>'Stakeholder list'!H141</f>
        <v/>
      </c>
      <c r="H136" s="71">
        <f>'Stakeholder list'!I141</f>
        <v/>
      </c>
      <c r="I136" s="71">
        <f>'Stakeholder list'!J141</f>
        <v/>
      </c>
      <c r="J136" s="71">
        <f>'Stakeholder list'!K141</f>
        <v/>
      </c>
      <c r="K136" s="71">
        <f>'Stakeholder list'!L141</f>
        <v/>
      </c>
      <c r="L136" s="71">
        <f>'Stakeholder list'!M141</f>
        <v/>
      </c>
      <c r="M136" s="71">
        <f>'Stakeholder list'!N141</f>
        <v/>
      </c>
      <c r="N136" s="71">
        <f>'Stakeholder list'!O141</f>
        <v/>
      </c>
      <c r="O136" s="71">
        <f>'Stakeholder list'!P141</f>
        <v/>
      </c>
      <c r="P136" s="71">
        <f>'Stakeholder list'!Q141</f>
        <v/>
      </c>
      <c r="Q136" s="71">
        <f>'Stakeholder list'!R141</f>
        <v/>
      </c>
      <c r="R136" s="71">
        <f>'Stakeholder list'!S141</f>
        <v/>
      </c>
      <c r="S136" s="71">
        <f>'Stakeholder list'!T141</f>
        <v/>
      </c>
      <c r="T136" s="71">
        <f>'Stakeholder list'!U141</f>
        <v/>
      </c>
      <c r="U136" s="71">
        <f>'Stakeholder list'!V141</f>
        <v/>
      </c>
      <c r="V136" s="71">
        <f>'Stakeholder list'!W141</f>
        <v/>
      </c>
      <c r="W136" s="71">
        <f>'Stakeholder list'!X141</f>
        <v/>
      </c>
    </row>
    <row r="137">
      <c r="A137" s="71">
        <f>'Stakeholder list'!B142</f>
        <v/>
      </c>
      <c r="B137" s="71">
        <f>'Stakeholder list'!C142</f>
        <v/>
      </c>
      <c r="C137" s="71">
        <f>'Stakeholder list'!D142</f>
        <v/>
      </c>
      <c r="D137" s="71">
        <f>'Stakeholder list'!E142</f>
        <v/>
      </c>
      <c r="E137" s="71">
        <f>'Stakeholder list'!F142</f>
        <v/>
      </c>
      <c r="F137" s="71">
        <f>'Stakeholder list'!G142</f>
        <v/>
      </c>
      <c r="G137" s="71">
        <f>'Stakeholder list'!H142</f>
        <v/>
      </c>
      <c r="H137" s="71">
        <f>'Stakeholder list'!I142</f>
        <v/>
      </c>
      <c r="I137" s="71">
        <f>'Stakeholder list'!J142</f>
        <v/>
      </c>
      <c r="J137" s="71">
        <f>'Stakeholder list'!K142</f>
        <v/>
      </c>
      <c r="K137" s="71">
        <f>'Stakeholder list'!L142</f>
        <v/>
      </c>
      <c r="L137" s="71">
        <f>'Stakeholder list'!M142</f>
        <v/>
      </c>
      <c r="M137" s="71">
        <f>'Stakeholder list'!N142</f>
        <v/>
      </c>
      <c r="N137" s="71">
        <f>'Stakeholder list'!O142</f>
        <v/>
      </c>
      <c r="O137" s="71">
        <f>'Stakeholder list'!P142</f>
        <v/>
      </c>
      <c r="P137" s="71">
        <f>'Stakeholder list'!Q142</f>
        <v/>
      </c>
      <c r="Q137" s="71">
        <f>'Stakeholder list'!R142</f>
        <v/>
      </c>
      <c r="R137" s="71">
        <f>'Stakeholder list'!S142</f>
        <v/>
      </c>
      <c r="S137" s="71">
        <f>'Stakeholder list'!T142</f>
        <v/>
      </c>
      <c r="T137" s="71">
        <f>'Stakeholder list'!U142</f>
        <v/>
      </c>
      <c r="U137" s="71">
        <f>'Stakeholder list'!V142</f>
        <v/>
      </c>
      <c r="V137" s="71">
        <f>'Stakeholder list'!W142</f>
        <v/>
      </c>
      <c r="W137" s="71">
        <f>'Stakeholder list'!X142</f>
        <v/>
      </c>
    </row>
    <row r="138">
      <c r="A138" s="71">
        <f>'Stakeholder list'!B143</f>
        <v/>
      </c>
      <c r="B138" s="71">
        <f>'Stakeholder list'!C143</f>
        <v/>
      </c>
      <c r="C138" s="71">
        <f>'Stakeholder list'!D143</f>
        <v/>
      </c>
      <c r="D138" s="71">
        <f>'Stakeholder list'!E143</f>
        <v/>
      </c>
      <c r="E138" s="71">
        <f>'Stakeholder list'!F143</f>
        <v/>
      </c>
      <c r="F138" s="71">
        <f>'Stakeholder list'!G143</f>
        <v/>
      </c>
      <c r="G138" s="71">
        <f>'Stakeholder list'!H143</f>
        <v/>
      </c>
      <c r="H138" s="71">
        <f>'Stakeholder list'!I143</f>
        <v/>
      </c>
      <c r="I138" s="71">
        <f>'Stakeholder list'!J143</f>
        <v/>
      </c>
      <c r="J138" s="71">
        <f>'Stakeholder list'!K143</f>
        <v/>
      </c>
      <c r="K138" s="71">
        <f>'Stakeholder list'!L143</f>
        <v/>
      </c>
      <c r="L138" s="71">
        <f>'Stakeholder list'!M143</f>
        <v/>
      </c>
      <c r="M138" s="71">
        <f>'Stakeholder list'!N143</f>
        <v/>
      </c>
      <c r="N138" s="71">
        <f>'Stakeholder list'!O143</f>
        <v/>
      </c>
      <c r="O138" s="71">
        <f>'Stakeholder list'!P143</f>
        <v/>
      </c>
      <c r="P138" s="71">
        <f>'Stakeholder list'!Q143</f>
        <v/>
      </c>
      <c r="Q138" s="71">
        <f>'Stakeholder list'!R143</f>
        <v/>
      </c>
      <c r="R138" s="71">
        <f>'Stakeholder list'!S143</f>
        <v/>
      </c>
      <c r="S138" s="71">
        <f>'Stakeholder list'!T143</f>
        <v/>
      </c>
      <c r="T138" s="71">
        <f>'Stakeholder list'!U143</f>
        <v/>
      </c>
      <c r="U138" s="71">
        <f>'Stakeholder list'!V143</f>
        <v/>
      </c>
      <c r="V138" s="71">
        <f>'Stakeholder list'!W143</f>
        <v/>
      </c>
      <c r="W138" s="71">
        <f>'Stakeholder list'!X143</f>
        <v/>
      </c>
    </row>
    <row r="139">
      <c r="A139" s="71">
        <f>'Stakeholder list'!B144</f>
        <v/>
      </c>
      <c r="B139" s="71">
        <f>'Stakeholder list'!C144</f>
        <v/>
      </c>
      <c r="C139" s="71">
        <f>'Stakeholder list'!D144</f>
        <v/>
      </c>
      <c r="D139" s="71">
        <f>'Stakeholder list'!E144</f>
        <v/>
      </c>
      <c r="E139" s="71">
        <f>'Stakeholder list'!F144</f>
        <v/>
      </c>
      <c r="F139" s="71">
        <f>'Stakeholder list'!G144</f>
        <v/>
      </c>
      <c r="G139" s="71">
        <f>'Stakeholder list'!H144</f>
        <v/>
      </c>
      <c r="H139" s="71">
        <f>'Stakeholder list'!I144</f>
        <v/>
      </c>
      <c r="I139" s="71">
        <f>'Stakeholder list'!J144</f>
        <v/>
      </c>
      <c r="J139" s="71">
        <f>'Stakeholder list'!K144</f>
        <v/>
      </c>
      <c r="K139" s="71">
        <f>'Stakeholder list'!L144</f>
        <v/>
      </c>
      <c r="L139" s="71">
        <f>'Stakeholder list'!M144</f>
        <v/>
      </c>
      <c r="M139" s="71">
        <f>'Stakeholder list'!N144</f>
        <v/>
      </c>
      <c r="N139" s="71">
        <f>'Stakeholder list'!O144</f>
        <v/>
      </c>
      <c r="O139" s="71">
        <f>'Stakeholder list'!P144</f>
        <v/>
      </c>
      <c r="P139" s="71">
        <f>'Stakeholder list'!Q144</f>
        <v/>
      </c>
      <c r="Q139" s="71">
        <f>'Stakeholder list'!R144</f>
        <v/>
      </c>
      <c r="R139" s="71">
        <f>'Stakeholder list'!S144</f>
        <v/>
      </c>
      <c r="S139" s="71">
        <f>'Stakeholder list'!T144</f>
        <v/>
      </c>
      <c r="T139" s="71">
        <f>'Stakeholder list'!U144</f>
        <v/>
      </c>
      <c r="U139" s="71">
        <f>'Stakeholder list'!V144</f>
        <v/>
      </c>
      <c r="V139" s="71">
        <f>'Stakeholder list'!W144</f>
        <v/>
      </c>
      <c r="W139" s="71">
        <f>'Stakeholder list'!X144</f>
        <v/>
      </c>
    </row>
    <row r="140">
      <c r="A140" s="71">
        <f>'Stakeholder list'!B145</f>
        <v/>
      </c>
      <c r="B140" s="71">
        <f>'Stakeholder list'!C145</f>
        <v/>
      </c>
      <c r="C140" s="71">
        <f>'Stakeholder list'!D145</f>
        <v/>
      </c>
      <c r="D140" s="71">
        <f>'Stakeholder list'!E145</f>
        <v/>
      </c>
      <c r="E140" s="71">
        <f>'Stakeholder list'!F145</f>
        <v/>
      </c>
      <c r="F140" s="71">
        <f>'Stakeholder list'!G145</f>
        <v/>
      </c>
      <c r="G140" s="71">
        <f>'Stakeholder list'!H145</f>
        <v/>
      </c>
      <c r="H140" s="71">
        <f>'Stakeholder list'!I145</f>
        <v/>
      </c>
      <c r="I140" s="71">
        <f>'Stakeholder list'!J145</f>
        <v/>
      </c>
      <c r="J140" s="71">
        <f>'Stakeholder list'!K145</f>
        <v/>
      </c>
      <c r="K140" s="71">
        <f>'Stakeholder list'!L145</f>
        <v/>
      </c>
      <c r="L140" s="71">
        <f>'Stakeholder list'!M145</f>
        <v/>
      </c>
      <c r="M140" s="71">
        <f>'Stakeholder list'!N145</f>
        <v/>
      </c>
      <c r="N140" s="71">
        <f>'Stakeholder list'!O145</f>
        <v/>
      </c>
      <c r="O140" s="71">
        <f>'Stakeholder list'!P145</f>
        <v/>
      </c>
      <c r="P140" s="71">
        <f>'Stakeholder list'!Q145</f>
        <v/>
      </c>
      <c r="Q140" s="71">
        <f>'Stakeholder list'!R145</f>
        <v/>
      </c>
      <c r="R140" s="71">
        <f>'Stakeholder list'!S145</f>
        <v/>
      </c>
      <c r="S140" s="71">
        <f>'Stakeholder list'!T145</f>
        <v/>
      </c>
      <c r="T140" s="71">
        <f>'Stakeholder list'!U145</f>
        <v/>
      </c>
      <c r="U140" s="71">
        <f>'Stakeholder list'!V145</f>
        <v/>
      </c>
      <c r="V140" s="71">
        <f>'Stakeholder list'!W145</f>
        <v/>
      </c>
      <c r="W140" s="71">
        <f>'Stakeholder list'!X145</f>
        <v/>
      </c>
    </row>
    <row r="141">
      <c r="A141" s="71">
        <f>'Stakeholder list'!B146</f>
        <v/>
      </c>
      <c r="B141" s="71">
        <f>'Stakeholder list'!C146</f>
        <v/>
      </c>
      <c r="C141" s="71">
        <f>'Stakeholder list'!D146</f>
        <v/>
      </c>
      <c r="D141" s="71">
        <f>'Stakeholder list'!E146</f>
        <v/>
      </c>
      <c r="E141" s="71">
        <f>'Stakeholder list'!F146</f>
        <v/>
      </c>
      <c r="F141" s="71">
        <f>'Stakeholder list'!G146</f>
        <v/>
      </c>
      <c r="G141" s="71">
        <f>'Stakeholder list'!H146</f>
        <v/>
      </c>
      <c r="H141" s="71">
        <f>'Stakeholder list'!I146</f>
        <v/>
      </c>
      <c r="I141" s="71">
        <f>'Stakeholder list'!J146</f>
        <v/>
      </c>
      <c r="J141" s="71">
        <f>'Stakeholder list'!K146</f>
        <v/>
      </c>
      <c r="K141" s="71">
        <f>'Stakeholder list'!L146</f>
        <v/>
      </c>
      <c r="L141" s="71">
        <f>'Stakeholder list'!M146</f>
        <v/>
      </c>
      <c r="M141" s="71">
        <f>'Stakeholder list'!N146</f>
        <v/>
      </c>
      <c r="N141" s="71">
        <f>'Stakeholder list'!O146</f>
        <v/>
      </c>
      <c r="O141" s="71">
        <f>'Stakeholder list'!P146</f>
        <v/>
      </c>
      <c r="P141" s="71">
        <f>'Stakeholder list'!Q146</f>
        <v/>
      </c>
      <c r="Q141" s="71">
        <f>'Stakeholder list'!R146</f>
        <v/>
      </c>
      <c r="R141" s="71">
        <f>'Stakeholder list'!S146</f>
        <v/>
      </c>
      <c r="S141" s="71">
        <f>'Stakeholder list'!T146</f>
        <v/>
      </c>
      <c r="T141" s="71">
        <f>'Stakeholder list'!U146</f>
        <v/>
      </c>
      <c r="U141" s="71">
        <f>'Stakeholder list'!V146</f>
        <v/>
      </c>
      <c r="V141" s="71">
        <f>'Stakeholder list'!W146</f>
        <v/>
      </c>
      <c r="W141" s="71">
        <f>'Stakeholder list'!X146</f>
        <v/>
      </c>
    </row>
    <row r="142">
      <c r="A142" s="71">
        <f>'Stakeholder list'!B147</f>
        <v/>
      </c>
      <c r="B142" s="71">
        <f>'Stakeholder list'!C147</f>
        <v/>
      </c>
      <c r="C142" s="71">
        <f>'Stakeholder list'!D147</f>
        <v/>
      </c>
      <c r="D142" s="71">
        <f>'Stakeholder list'!E147</f>
        <v/>
      </c>
      <c r="E142" s="71">
        <f>'Stakeholder list'!F147</f>
        <v/>
      </c>
      <c r="F142" s="71">
        <f>'Stakeholder list'!G147</f>
        <v/>
      </c>
      <c r="G142" s="71">
        <f>'Stakeholder list'!H147</f>
        <v/>
      </c>
      <c r="H142" s="71">
        <f>'Stakeholder list'!I147</f>
        <v/>
      </c>
      <c r="I142" s="71">
        <f>'Stakeholder list'!J147</f>
        <v/>
      </c>
      <c r="J142" s="71">
        <f>'Stakeholder list'!K147</f>
        <v/>
      </c>
      <c r="K142" s="71">
        <f>'Stakeholder list'!L147</f>
        <v/>
      </c>
      <c r="L142" s="71">
        <f>'Stakeholder list'!M147</f>
        <v/>
      </c>
      <c r="M142" s="71">
        <f>'Stakeholder list'!N147</f>
        <v/>
      </c>
      <c r="N142" s="71">
        <f>'Stakeholder list'!O147</f>
        <v/>
      </c>
      <c r="O142" s="71">
        <f>'Stakeholder list'!P147</f>
        <v/>
      </c>
      <c r="P142" s="71">
        <f>'Stakeholder list'!Q147</f>
        <v/>
      </c>
      <c r="Q142" s="73">
        <f>'Stakeholder list'!R147</f>
        <v/>
      </c>
      <c r="R142" s="71">
        <f>'Stakeholder list'!S147</f>
        <v/>
      </c>
      <c r="S142" s="71">
        <f>'Stakeholder list'!T147</f>
        <v/>
      </c>
      <c r="T142" s="71">
        <f>'Stakeholder list'!U147</f>
        <v/>
      </c>
      <c r="U142" s="71">
        <f>'Stakeholder list'!V147</f>
        <v/>
      </c>
      <c r="V142" s="71">
        <f>'Stakeholder list'!W147</f>
        <v/>
      </c>
      <c r="W142" s="71">
        <f>'Stakeholder list'!X147</f>
        <v/>
      </c>
    </row>
    <row r="143">
      <c r="A143" s="71">
        <f>'Stakeholder list'!B148</f>
        <v/>
      </c>
      <c r="B143" s="71">
        <f>'Stakeholder list'!C148</f>
        <v/>
      </c>
      <c r="C143" s="71">
        <f>'Stakeholder list'!D148</f>
        <v/>
      </c>
      <c r="D143" s="71">
        <f>'Stakeholder list'!E148</f>
        <v/>
      </c>
      <c r="E143" s="71">
        <f>'Stakeholder list'!F148</f>
        <v/>
      </c>
      <c r="F143" s="71">
        <f>'Stakeholder list'!G148</f>
        <v/>
      </c>
      <c r="G143" s="71">
        <f>'Stakeholder list'!H148</f>
        <v/>
      </c>
      <c r="H143" s="71">
        <f>'Stakeholder list'!I148</f>
        <v/>
      </c>
      <c r="I143" s="71">
        <f>'Stakeholder list'!J148</f>
        <v/>
      </c>
      <c r="J143" s="71">
        <f>'Stakeholder list'!K148</f>
        <v/>
      </c>
      <c r="K143" s="71">
        <f>'Stakeholder list'!L148</f>
        <v/>
      </c>
      <c r="L143" s="71">
        <f>'Stakeholder list'!M148</f>
        <v/>
      </c>
      <c r="M143" s="71">
        <f>'Stakeholder list'!N148</f>
        <v/>
      </c>
      <c r="N143" s="71">
        <f>'Stakeholder list'!O148</f>
        <v/>
      </c>
      <c r="O143" s="71">
        <f>'Stakeholder list'!P148</f>
        <v/>
      </c>
      <c r="P143" s="71">
        <f>'Stakeholder list'!Q148</f>
        <v/>
      </c>
      <c r="Q143" s="71">
        <f>'Stakeholder list'!R148</f>
        <v/>
      </c>
      <c r="R143" s="71">
        <f>'Stakeholder list'!S148</f>
        <v/>
      </c>
      <c r="S143" s="71">
        <f>'Stakeholder list'!T148</f>
        <v/>
      </c>
      <c r="T143" s="71">
        <f>'Stakeholder list'!U148</f>
        <v/>
      </c>
      <c r="U143" s="71">
        <f>'Stakeholder list'!V148</f>
        <v/>
      </c>
      <c r="V143" s="71">
        <f>'Stakeholder list'!W148</f>
        <v/>
      </c>
      <c r="W143" s="71">
        <f>'Stakeholder list'!X148</f>
        <v/>
      </c>
    </row>
    <row r="144">
      <c r="A144" s="71">
        <f>'Stakeholder list'!B149</f>
        <v/>
      </c>
      <c r="B144" s="71">
        <f>'Stakeholder list'!C149</f>
        <v/>
      </c>
      <c r="C144" s="71">
        <f>'Stakeholder list'!D149</f>
        <v/>
      </c>
      <c r="D144" s="71">
        <f>'Stakeholder list'!E149</f>
        <v/>
      </c>
      <c r="E144" s="71">
        <f>'Stakeholder list'!F149</f>
        <v/>
      </c>
      <c r="F144" s="71">
        <f>'Stakeholder list'!G149</f>
        <v/>
      </c>
      <c r="G144" s="71">
        <f>'Stakeholder list'!H149</f>
        <v/>
      </c>
      <c r="H144" s="71">
        <f>'Stakeholder list'!I149</f>
        <v/>
      </c>
      <c r="I144" s="71">
        <f>'Stakeholder list'!J149</f>
        <v/>
      </c>
      <c r="J144" s="71">
        <f>'Stakeholder list'!K149</f>
        <v/>
      </c>
      <c r="K144" s="71">
        <f>'Stakeholder list'!L149</f>
        <v/>
      </c>
      <c r="L144" s="71">
        <f>'Stakeholder list'!M149</f>
        <v/>
      </c>
      <c r="M144" s="71">
        <f>'Stakeholder list'!N149</f>
        <v/>
      </c>
      <c r="N144" s="71">
        <f>'Stakeholder list'!O149</f>
        <v/>
      </c>
      <c r="O144" s="71">
        <f>'Stakeholder list'!P149</f>
        <v/>
      </c>
      <c r="P144" s="71">
        <f>'Stakeholder list'!Q149</f>
        <v/>
      </c>
      <c r="Q144" s="71">
        <f>'Stakeholder list'!R149</f>
        <v/>
      </c>
      <c r="R144" s="71">
        <f>'Stakeholder list'!S149</f>
        <v/>
      </c>
      <c r="S144" s="71">
        <f>'Stakeholder list'!T149</f>
        <v/>
      </c>
      <c r="T144" s="71">
        <f>'Stakeholder list'!U149</f>
        <v/>
      </c>
      <c r="U144" s="71">
        <f>'Stakeholder list'!V149</f>
        <v/>
      </c>
      <c r="V144" s="71">
        <f>'Stakeholder list'!W149</f>
        <v/>
      </c>
      <c r="W144" s="71">
        <f>'Stakeholder list'!X149</f>
        <v/>
      </c>
    </row>
    <row r="145">
      <c r="A145" s="71">
        <f>'Stakeholder list'!B150</f>
        <v/>
      </c>
      <c r="B145" s="71">
        <f>'Stakeholder list'!C150</f>
        <v/>
      </c>
      <c r="C145" s="71">
        <f>'Stakeholder list'!D150</f>
        <v/>
      </c>
      <c r="D145" s="71">
        <f>'Stakeholder list'!E150</f>
        <v/>
      </c>
      <c r="E145" s="71">
        <f>'Stakeholder list'!F150</f>
        <v/>
      </c>
      <c r="F145" s="71">
        <f>'Stakeholder list'!G150</f>
        <v/>
      </c>
      <c r="G145" s="71">
        <f>'Stakeholder list'!H150</f>
        <v/>
      </c>
      <c r="H145" s="71">
        <f>'Stakeholder list'!I150</f>
        <v/>
      </c>
      <c r="I145" s="71">
        <f>'Stakeholder list'!J150</f>
        <v/>
      </c>
      <c r="J145" s="71">
        <f>'Stakeholder list'!K150</f>
        <v/>
      </c>
      <c r="K145" s="71">
        <f>'Stakeholder list'!L150</f>
        <v/>
      </c>
      <c r="L145" s="71">
        <f>'Stakeholder list'!M150</f>
        <v/>
      </c>
      <c r="M145" s="71">
        <f>'Stakeholder list'!N150</f>
        <v/>
      </c>
      <c r="N145" s="71">
        <f>'Stakeholder list'!O150</f>
        <v/>
      </c>
      <c r="O145" s="71">
        <f>'Stakeholder list'!P150</f>
        <v/>
      </c>
      <c r="P145" s="71">
        <f>'Stakeholder list'!Q150</f>
        <v/>
      </c>
      <c r="Q145" s="71">
        <f>'Stakeholder list'!R150</f>
        <v/>
      </c>
      <c r="R145" s="71">
        <f>'Stakeholder list'!S150</f>
        <v/>
      </c>
      <c r="S145" s="71">
        <f>'Stakeholder list'!T150</f>
        <v/>
      </c>
      <c r="T145" s="71">
        <f>'Stakeholder list'!U150</f>
        <v/>
      </c>
      <c r="U145" s="71">
        <f>'Stakeholder list'!V150</f>
        <v/>
      </c>
      <c r="V145" s="71">
        <f>'Stakeholder list'!W150</f>
        <v/>
      </c>
      <c r="W145" s="71">
        <f>'Stakeholder list'!X150</f>
        <v/>
      </c>
    </row>
    <row r="146">
      <c r="A146" s="71">
        <f>'Stakeholder list'!B151</f>
        <v/>
      </c>
      <c r="B146" s="71">
        <f>'Stakeholder list'!C151</f>
        <v/>
      </c>
      <c r="C146" s="71">
        <f>'Stakeholder list'!D151</f>
        <v/>
      </c>
      <c r="D146" s="71">
        <f>'Stakeholder list'!E151</f>
        <v/>
      </c>
      <c r="E146" s="71">
        <f>'Stakeholder list'!F151</f>
        <v/>
      </c>
      <c r="F146" s="71">
        <f>'Stakeholder list'!G151</f>
        <v/>
      </c>
      <c r="G146" s="71">
        <f>'Stakeholder list'!H151</f>
        <v/>
      </c>
      <c r="H146" s="71">
        <f>'Stakeholder list'!I151</f>
        <v/>
      </c>
      <c r="I146" s="71">
        <f>'Stakeholder list'!J151</f>
        <v/>
      </c>
      <c r="J146" s="71">
        <f>'Stakeholder list'!K151</f>
        <v/>
      </c>
      <c r="K146" s="71">
        <f>'Stakeholder list'!L151</f>
        <v/>
      </c>
      <c r="L146" s="71">
        <f>'Stakeholder list'!M151</f>
        <v/>
      </c>
      <c r="M146" s="71">
        <f>'Stakeholder list'!N151</f>
        <v/>
      </c>
      <c r="N146" s="71">
        <f>'Stakeholder list'!O151</f>
        <v/>
      </c>
      <c r="O146" s="71">
        <f>'Stakeholder list'!P151</f>
        <v/>
      </c>
      <c r="P146" s="71">
        <f>'Stakeholder list'!Q151</f>
        <v/>
      </c>
      <c r="Q146" s="71">
        <f>'Stakeholder list'!R151</f>
        <v/>
      </c>
      <c r="R146" s="71">
        <f>'Stakeholder list'!S151</f>
        <v/>
      </c>
      <c r="S146" s="71">
        <f>'Stakeholder list'!T151</f>
        <v/>
      </c>
      <c r="T146" s="71">
        <f>'Stakeholder list'!U151</f>
        <v/>
      </c>
      <c r="U146" s="71">
        <f>'Stakeholder list'!V151</f>
        <v/>
      </c>
      <c r="V146" s="71">
        <f>'Stakeholder list'!W151</f>
        <v/>
      </c>
      <c r="W146" s="71">
        <f>'Stakeholder list'!X151</f>
        <v/>
      </c>
    </row>
    <row r="147">
      <c r="A147" s="71">
        <f>'Stakeholder list'!B152</f>
        <v/>
      </c>
      <c r="B147" s="71">
        <f>'Stakeholder list'!C152</f>
        <v/>
      </c>
      <c r="C147" s="71">
        <f>'Stakeholder list'!D152</f>
        <v/>
      </c>
      <c r="D147" s="71">
        <f>'Stakeholder list'!E152</f>
        <v/>
      </c>
      <c r="E147" s="71">
        <f>'Stakeholder list'!F152</f>
        <v/>
      </c>
      <c r="F147" s="71">
        <f>'Stakeholder list'!G152</f>
        <v/>
      </c>
      <c r="G147" s="71">
        <f>'Stakeholder list'!H152</f>
        <v/>
      </c>
      <c r="H147" s="71">
        <f>'Stakeholder list'!I152</f>
        <v/>
      </c>
      <c r="I147" s="71">
        <f>'Stakeholder list'!J152</f>
        <v/>
      </c>
      <c r="J147" s="71">
        <f>'Stakeholder list'!K152</f>
        <v/>
      </c>
      <c r="K147" s="71">
        <f>'Stakeholder list'!L152</f>
        <v/>
      </c>
      <c r="L147" s="71">
        <f>'Stakeholder list'!M152</f>
        <v/>
      </c>
      <c r="M147" s="71">
        <f>'Stakeholder list'!N152</f>
        <v/>
      </c>
      <c r="N147" s="71">
        <f>'Stakeholder list'!O152</f>
        <v/>
      </c>
      <c r="O147" s="71">
        <f>'Stakeholder list'!P152</f>
        <v/>
      </c>
      <c r="P147" s="71">
        <f>'Stakeholder list'!Q152</f>
        <v/>
      </c>
      <c r="Q147" s="71">
        <f>'Stakeholder list'!R152</f>
        <v/>
      </c>
      <c r="R147" s="71">
        <f>'Stakeholder list'!S152</f>
        <v/>
      </c>
      <c r="S147" s="71">
        <f>'Stakeholder list'!T152</f>
        <v/>
      </c>
      <c r="T147" s="71">
        <f>'Stakeholder list'!U152</f>
        <v/>
      </c>
      <c r="U147" s="71">
        <f>'Stakeholder list'!V152</f>
        <v/>
      </c>
      <c r="V147" s="71">
        <f>'Stakeholder list'!W152</f>
        <v/>
      </c>
      <c r="W147" s="71">
        <f>'Stakeholder list'!X152</f>
        <v/>
      </c>
    </row>
    <row r="148">
      <c r="A148" s="71">
        <f>'Stakeholder list'!B153</f>
        <v/>
      </c>
      <c r="B148" s="71">
        <f>'Stakeholder list'!C153</f>
        <v/>
      </c>
      <c r="C148" s="71">
        <f>'Stakeholder list'!D153</f>
        <v/>
      </c>
      <c r="D148" s="71">
        <f>'Stakeholder list'!E153</f>
        <v/>
      </c>
      <c r="E148" s="71">
        <f>'Stakeholder list'!F153</f>
        <v/>
      </c>
      <c r="F148" s="71">
        <f>'Stakeholder list'!G153</f>
        <v/>
      </c>
      <c r="G148" s="71">
        <f>'Stakeholder list'!H153</f>
        <v/>
      </c>
      <c r="H148" s="71">
        <f>'Stakeholder list'!I153</f>
        <v/>
      </c>
      <c r="I148" s="71">
        <f>'Stakeholder list'!J153</f>
        <v/>
      </c>
      <c r="J148" s="71">
        <f>'Stakeholder list'!K153</f>
        <v/>
      </c>
      <c r="K148" s="71">
        <f>'Stakeholder list'!L153</f>
        <v/>
      </c>
      <c r="L148" s="71">
        <f>'Stakeholder list'!M153</f>
        <v/>
      </c>
      <c r="M148" s="71">
        <f>'Stakeholder list'!N153</f>
        <v/>
      </c>
      <c r="N148" s="71">
        <f>'Stakeholder list'!O153</f>
        <v/>
      </c>
      <c r="O148" s="71">
        <f>'Stakeholder list'!P153</f>
        <v/>
      </c>
      <c r="P148" s="71">
        <f>'Stakeholder list'!Q153</f>
        <v/>
      </c>
      <c r="Q148" s="71">
        <f>'Stakeholder list'!R153</f>
        <v/>
      </c>
      <c r="R148" s="71">
        <f>'Stakeholder list'!S153</f>
        <v/>
      </c>
      <c r="S148" s="71">
        <f>'Stakeholder list'!T153</f>
        <v/>
      </c>
      <c r="T148" s="71">
        <f>'Stakeholder list'!U153</f>
        <v/>
      </c>
      <c r="U148" s="71">
        <f>'Stakeholder list'!V153</f>
        <v/>
      </c>
      <c r="V148" s="71">
        <f>'Stakeholder list'!W153</f>
        <v/>
      </c>
      <c r="W148" s="71">
        <f>'Stakeholder list'!X153</f>
        <v/>
      </c>
    </row>
    <row r="149">
      <c r="A149" s="71">
        <f>'Stakeholder list'!B154</f>
        <v/>
      </c>
      <c r="B149" s="71">
        <f>'Stakeholder list'!C154</f>
        <v/>
      </c>
      <c r="C149" s="71">
        <f>'Stakeholder list'!D154</f>
        <v/>
      </c>
      <c r="D149" s="71">
        <f>'Stakeholder list'!E154</f>
        <v/>
      </c>
      <c r="E149" s="71">
        <f>'Stakeholder list'!F154</f>
        <v/>
      </c>
      <c r="F149" s="71">
        <f>'Stakeholder list'!G154</f>
        <v/>
      </c>
      <c r="G149" s="71">
        <f>'Stakeholder list'!H154</f>
        <v/>
      </c>
      <c r="H149" s="71">
        <f>'Stakeholder list'!I154</f>
        <v/>
      </c>
      <c r="I149" s="71">
        <f>'Stakeholder list'!J154</f>
        <v/>
      </c>
      <c r="J149" s="71">
        <f>'Stakeholder list'!K154</f>
        <v/>
      </c>
      <c r="K149" s="71">
        <f>'Stakeholder list'!L154</f>
        <v/>
      </c>
      <c r="L149" s="71">
        <f>'Stakeholder list'!M154</f>
        <v/>
      </c>
      <c r="M149" s="71">
        <f>'Stakeholder list'!N154</f>
        <v/>
      </c>
      <c r="N149" s="71">
        <f>'Stakeholder list'!O154</f>
        <v/>
      </c>
      <c r="O149" s="71">
        <f>'Stakeholder list'!P154</f>
        <v/>
      </c>
      <c r="P149" s="71">
        <f>'Stakeholder list'!Q154</f>
        <v/>
      </c>
      <c r="Q149" s="71">
        <f>'Stakeholder list'!R154</f>
        <v/>
      </c>
      <c r="R149" s="71">
        <f>'Stakeholder list'!S154</f>
        <v/>
      </c>
      <c r="S149" s="71">
        <f>'Stakeholder list'!T154</f>
        <v/>
      </c>
      <c r="T149" s="71">
        <f>'Stakeholder list'!U154</f>
        <v/>
      </c>
      <c r="U149" s="71">
        <f>'Stakeholder list'!V154</f>
        <v/>
      </c>
      <c r="V149" s="71">
        <f>'Stakeholder list'!W154</f>
        <v/>
      </c>
      <c r="W149" s="71">
        <f>'Stakeholder list'!X154</f>
        <v/>
      </c>
    </row>
    <row r="150">
      <c r="A150" s="71">
        <f>'Stakeholder list'!B155</f>
        <v/>
      </c>
      <c r="B150" s="71">
        <f>'Stakeholder list'!C155</f>
        <v/>
      </c>
      <c r="C150" s="71">
        <f>'Stakeholder list'!D155</f>
        <v/>
      </c>
      <c r="D150" s="71">
        <f>'Stakeholder list'!E155</f>
        <v/>
      </c>
      <c r="E150" s="71">
        <f>'Stakeholder list'!F155</f>
        <v/>
      </c>
      <c r="F150" s="71">
        <f>'Stakeholder list'!G155</f>
        <v/>
      </c>
      <c r="G150" s="71">
        <f>'Stakeholder list'!H155</f>
        <v/>
      </c>
      <c r="H150" s="71">
        <f>'Stakeholder list'!I155</f>
        <v/>
      </c>
      <c r="I150" s="71">
        <f>'Stakeholder list'!J155</f>
        <v/>
      </c>
      <c r="J150" s="71">
        <f>'Stakeholder list'!K155</f>
        <v/>
      </c>
      <c r="K150" s="71">
        <f>'Stakeholder list'!L155</f>
        <v/>
      </c>
      <c r="L150" s="71">
        <f>'Stakeholder list'!M155</f>
        <v/>
      </c>
      <c r="M150" s="71">
        <f>'Stakeholder list'!N155</f>
        <v/>
      </c>
      <c r="N150" s="71">
        <f>'Stakeholder list'!O155</f>
        <v/>
      </c>
      <c r="O150" s="71">
        <f>'Stakeholder list'!P155</f>
        <v/>
      </c>
      <c r="P150" s="71">
        <f>'Stakeholder list'!Q155</f>
        <v/>
      </c>
      <c r="Q150" s="71">
        <f>'Stakeholder list'!R155</f>
        <v/>
      </c>
      <c r="R150" s="71">
        <f>'Stakeholder list'!S155</f>
        <v/>
      </c>
      <c r="S150" s="71">
        <f>'Stakeholder list'!T155</f>
        <v/>
      </c>
      <c r="T150" s="71">
        <f>'Stakeholder list'!U155</f>
        <v/>
      </c>
      <c r="U150" s="71">
        <f>'Stakeholder list'!V155</f>
        <v/>
      </c>
      <c r="V150" s="71">
        <f>'Stakeholder list'!W155</f>
        <v/>
      </c>
      <c r="W150" s="71">
        <f>'Stakeholder list'!X155</f>
        <v/>
      </c>
    </row>
    <row r="151">
      <c r="A151" s="71">
        <f>'Stakeholder list'!B156</f>
        <v/>
      </c>
      <c r="B151" s="71">
        <f>'Stakeholder list'!C156</f>
        <v/>
      </c>
      <c r="C151" s="71">
        <f>'Stakeholder list'!D156</f>
        <v/>
      </c>
      <c r="D151" s="71">
        <f>'Stakeholder list'!E156</f>
        <v/>
      </c>
      <c r="E151" s="71">
        <f>'Stakeholder list'!F156</f>
        <v/>
      </c>
      <c r="F151" s="71">
        <f>'Stakeholder list'!G156</f>
        <v/>
      </c>
      <c r="G151" s="71">
        <f>'Stakeholder list'!H156</f>
        <v/>
      </c>
      <c r="H151" s="71">
        <f>'Stakeholder list'!I156</f>
        <v/>
      </c>
      <c r="I151" s="71">
        <f>'Stakeholder list'!J156</f>
        <v/>
      </c>
      <c r="J151" s="71">
        <f>'Stakeholder list'!K156</f>
        <v/>
      </c>
      <c r="K151" s="71">
        <f>'Stakeholder list'!L156</f>
        <v/>
      </c>
      <c r="L151" s="71">
        <f>'Stakeholder list'!M156</f>
        <v/>
      </c>
      <c r="M151" s="71">
        <f>'Stakeholder list'!N156</f>
        <v/>
      </c>
      <c r="N151" s="71">
        <f>'Stakeholder list'!O156</f>
        <v/>
      </c>
      <c r="O151" s="71">
        <f>'Stakeholder list'!P156</f>
        <v/>
      </c>
      <c r="P151" s="71">
        <f>'Stakeholder list'!Q156</f>
        <v/>
      </c>
      <c r="Q151" s="71">
        <f>'Stakeholder list'!R156</f>
        <v/>
      </c>
      <c r="R151" s="71">
        <f>'Stakeholder list'!S156</f>
        <v/>
      </c>
      <c r="S151" s="71">
        <f>'Stakeholder list'!T156</f>
        <v/>
      </c>
      <c r="T151" s="71">
        <f>'Stakeholder list'!U156</f>
        <v/>
      </c>
      <c r="U151" s="71">
        <f>'Stakeholder list'!V156</f>
        <v/>
      </c>
      <c r="V151" s="71">
        <f>'Stakeholder list'!W156</f>
        <v/>
      </c>
      <c r="W151" s="71">
        <f>'Stakeholder list'!X156</f>
        <v/>
      </c>
    </row>
    <row r="152">
      <c r="A152" s="71">
        <f>'Stakeholder list'!B157</f>
        <v/>
      </c>
      <c r="B152" s="71">
        <f>'Stakeholder list'!C157</f>
        <v/>
      </c>
      <c r="C152" s="71">
        <f>'Stakeholder list'!D157</f>
        <v/>
      </c>
      <c r="D152" s="71">
        <f>'Stakeholder list'!E157</f>
        <v/>
      </c>
      <c r="E152" s="71">
        <f>'Stakeholder list'!F157</f>
        <v/>
      </c>
      <c r="F152" s="71">
        <f>'Stakeholder list'!G157</f>
        <v/>
      </c>
      <c r="G152" s="71">
        <f>'Stakeholder list'!H157</f>
        <v/>
      </c>
      <c r="H152" s="71">
        <f>'Stakeholder list'!I157</f>
        <v/>
      </c>
      <c r="I152" s="71">
        <f>'Stakeholder list'!J157</f>
        <v/>
      </c>
      <c r="J152" s="71">
        <f>'Stakeholder list'!K157</f>
        <v/>
      </c>
      <c r="K152" s="71">
        <f>'Stakeholder list'!L157</f>
        <v/>
      </c>
      <c r="L152" s="71">
        <f>'Stakeholder list'!M157</f>
        <v/>
      </c>
      <c r="M152" s="71">
        <f>'Stakeholder list'!N157</f>
        <v/>
      </c>
      <c r="N152" s="71">
        <f>'Stakeholder list'!O157</f>
        <v/>
      </c>
      <c r="O152" s="71">
        <f>'Stakeholder list'!P157</f>
        <v/>
      </c>
      <c r="P152" s="71">
        <f>'Stakeholder list'!Q157</f>
        <v/>
      </c>
      <c r="Q152" s="71">
        <f>'Stakeholder list'!R157</f>
        <v/>
      </c>
      <c r="R152" s="71">
        <f>'Stakeholder list'!S157</f>
        <v/>
      </c>
      <c r="S152" s="71">
        <f>'Stakeholder list'!T157</f>
        <v/>
      </c>
      <c r="T152" s="71">
        <f>'Stakeholder list'!U157</f>
        <v/>
      </c>
      <c r="U152" s="71">
        <f>'Stakeholder list'!V157</f>
        <v/>
      </c>
      <c r="V152" s="71">
        <f>'Stakeholder list'!W157</f>
        <v/>
      </c>
      <c r="W152" s="71">
        <f>'Stakeholder list'!X157</f>
        <v/>
      </c>
    </row>
    <row r="153">
      <c r="A153" s="71">
        <f>'Stakeholder list'!B158</f>
        <v/>
      </c>
      <c r="B153" s="71">
        <f>'Stakeholder list'!C158</f>
        <v/>
      </c>
      <c r="C153" s="71">
        <f>'Stakeholder list'!D158</f>
        <v/>
      </c>
      <c r="D153" s="71">
        <f>'Stakeholder list'!E158</f>
        <v/>
      </c>
      <c r="E153" s="71">
        <f>'Stakeholder list'!F158</f>
        <v/>
      </c>
      <c r="F153" s="71">
        <f>'Stakeholder list'!G158</f>
        <v/>
      </c>
      <c r="G153" s="71">
        <f>'Stakeholder list'!H158</f>
        <v/>
      </c>
      <c r="H153" s="71">
        <f>'Stakeholder list'!I158</f>
        <v/>
      </c>
      <c r="I153" s="71">
        <f>'Stakeholder list'!J158</f>
        <v/>
      </c>
      <c r="J153" s="71">
        <f>'Stakeholder list'!K158</f>
        <v/>
      </c>
      <c r="K153" s="71">
        <f>'Stakeholder list'!L158</f>
        <v/>
      </c>
      <c r="L153" s="71">
        <f>'Stakeholder list'!M158</f>
        <v/>
      </c>
      <c r="M153" s="71">
        <f>'Stakeholder list'!N158</f>
        <v/>
      </c>
      <c r="N153" s="71">
        <f>'Stakeholder list'!O158</f>
        <v/>
      </c>
      <c r="O153" s="71">
        <f>'Stakeholder list'!P158</f>
        <v/>
      </c>
      <c r="P153" s="71">
        <f>'Stakeholder list'!Q158</f>
        <v/>
      </c>
      <c r="Q153" s="71">
        <f>'Stakeholder list'!R158</f>
        <v/>
      </c>
      <c r="R153" s="71">
        <f>'Stakeholder list'!S158</f>
        <v/>
      </c>
      <c r="S153" s="71">
        <f>'Stakeholder list'!T158</f>
        <v/>
      </c>
      <c r="T153" s="71">
        <f>'Stakeholder list'!U158</f>
        <v/>
      </c>
      <c r="U153" s="71">
        <f>'Stakeholder list'!V158</f>
        <v/>
      </c>
      <c r="V153" s="71">
        <f>'Stakeholder list'!W158</f>
        <v/>
      </c>
      <c r="W153" s="71">
        <f>'Stakeholder list'!X158</f>
        <v/>
      </c>
    </row>
    <row r="154">
      <c r="A154" s="71">
        <f>'Stakeholder list'!B159</f>
        <v/>
      </c>
      <c r="B154" s="71">
        <f>'Stakeholder list'!C159</f>
        <v/>
      </c>
      <c r="C154" s="71">
        <f>'Stakeholder list'!D159</f>
        <v/>
      </c>
      <c r="D154" s="71">
        <f>'Stakeholder list'!E159</f>
        <v/>
      </c>
      <c r="E154" s="71">
        <f>'Stakeholder list'!F159</f>
        <v/>
      </c>
      <c r="F154" s="71">
        <f>'Stakeholder list'!G159</f>
        <v/>
      </c>
      <c r="G154" s="71">
        <f>'Stakeholder list'!H159</f>
        <v/>
      </c>
      <c r="H154" s="71">
        <f>'Stakeholder list'!I159</f>
        <v/>
      </c>
      <c r="I154" s="71">
        <f>'Stakeholder list'!J159</f>
        <v/>
      </c>
      <c r="J154" s="71">
        <f>'Stakeholder list'!K159</f>
        <v/>
      </c>
      <c r="K154" s="71">
        <f>'Stakeholder list'!L159</f>
        <v/>
      </c>
      <c r="L154" s="71">
        <f>'Stakeholder list'!M159</f>
        <v/>
      </c>
      <c r="M154" s="71">
        <f>'Stakeholder list'!N159</f>
        <v/>
      </c>
      <c r="N154" s="71">
        <f>'Stakeholder list'!O159</f>
        <v/>
      </c>
      <c r="O154" s="71">
        <f>'Stakeholder list'!P159</f>
        <v/>
      </c>
      <c r="P154" s="71">
        <f>'Stakeholder list'!Q159</f>
        <v/>
      </c>
      <c r="Q154" s="71">
        <f>'Stakeholder list'!R159</f>
        <v/>
      </c>
      <c r="R154" s="71">
        <f>'Stakeholder list'!S159</f>
        <v/>
      </c>
      <c r="S154" s="71">
        <f>'Stakeholder list'!T159</f>
        <v/>
      </c>
      <c r="T154" s="71">
        <f>'Stakeholder list'!U159</f>
        <v/>
      </c>
      <c r="U154" s="71">
        <f>'Stakeholder list'!V159</f>
        <v/>
      </c>
      <c r="V154" s="71">
        <f>'Stakeholder list'!W159</f>
        <v/>
      </c>
      <c r="W154" s="71">
        <f>'Stakeholder list'!X159</f>
        <v/>
      </c>
    </row>
    <row r="155">
      <c r="A155" s="71">
        <f>'Stakeholder list'!B160</f>
        <v/>
      </c>
      <c r="B155" s="71">
        <f>'Stakeholder list'!C160</f>
        <v/>
      </c>
      <c r="C155" s="71">
        <f>'Stakeholder list'!D160</f>
        <v/>
      </c>
      <c r="D155" s="71">
        <f>'Stakeholder list'!E160</f>
        <v/>
      </c>
      <c r="E155" s="71">
        <f>'Stakeholder list'!F160</f>
        <v/>
      </c>
      <c r="F155" s="71">
        <f>'Stakeholder list'!G160</f>
        <v/>
      </c>
      <c r="G155" s="71">
        <f>'Stakeholder list'!H160</f>
        <v/>
      </c>
      <c r="H155" s="71">
        <f>'Stakeholder list'!I160</f>
        <v/>
      </c>
      <c r="I155" s="71">
        <f>'Stakeholder list'!J160</f>
        <v/>
      </c>
      <c r="J155" s="71">
        <f>'Stakeholder list'!K160</f>
        <v/>
      </c>
      <c r="K155" s="71">
        <f>'Stakeholder list'!L160</f>
        <v/>
      </c>
      <c r="L155" s="71">
        <f>'Stakeholder list'!M160</f>
        <v/>
      </c>
      <c r="M155" s="71">
        <f>'Stakeholder list'!N160</f>
        <v/>
      </c>
      <c r="N155" s="71">
        <f>'Stakeholder list'!O160</f>
        <v/>
      </c>
      <c r="O155" s="71">
        <f>'Stakeholder list'!P160</f>
        <v/>
      </c>
      <c r="P155" s="71">
        <f>'Stakeholder list'!Q160</f>
        <v/>
      </c>
      <c r="Q155" s="71">
        <f>'Stakeholder list'!R160</f>
        <v/>
      </c>
      <c r="R155" s="71">
        <f>'Stakeholder list'!S160</f>
        <v/>
      </c>
      <c r="S155" s="71">
        <f>'Stakeholder list'!T160</f>
        <v/>
      </c>
      <c r="T155" s="71">
        <f>'Stakeholder list'!U160</f>
        <v/>
      </c>
      <c r="U155" s="71">
        <f>'Stakeholder list'!V160</f>
        <v/>
      </c>
      <c r="V155" s="71">
        <f>'Stakeholder list'!W160</f>
        <v/>
      </c>
      <c r="W155" s="71">
        <f>'Stakeholder list'!X160</f>
        <v/>
      </c>
    </row>
    <row r="156">
      <c r="A156" s="71">
        <f>'Stakeholder list'!B161</f>
        <v/>
      </c>
      <c r="B156" s="71">
        <f>'Stakeholder list'!C161</f>
        <v/>
      </c>
      <c r="C156" s="71">
        <f>'Stakeholder list'!D161</f>
        <v/>
      </c>
      <c r="D156" s="71">
        <f>'Stakeholder list'!E161</f>
        <v/>
      </c>
      <c r="E156" s="71">
        <f>'Stakeholder list'!F161</f>
        <v/>
      </c>
      <c r="F156" s="71">
        <f>'Stakeholder list'!G161</f>
        <v/>
      </c>
      <c r="G156" s="71">
        <f>'Stakeholder list'!H161</f>
        <v/>
      </c>
      <c r="H156" s="71">
        <f>'Stakeholder list'!I161</f>
        <v/>
      </c>
      <c r="I156" s="71">
        <f>'Stakeholder list'!J161</f>
        <v/>
      </c>
      <c r="J156" s="71">
        <f>'Stakeholder list'!K161</f>
        <v/>
      </c>
      <c r="K156" s="71">
        <f>'Stakeholder list'!L161</f>
        <v/>
      </c>
      <c r="L156" s="71">
        <f>'Stakeholder list'!M161</f>
        <v/>
      </c>
      <c r="M156" s="71">
        <f>'Stakeholder list'!N161</f>
        <v/>
      </c>
      <c r="N156" s="71">
        <f>'Stakeholder list'!O161</f>
        <v/>
      </c>
      <c r="O156" s="71">
        <f>'Stakeholder list'!P161</f>
        <v/>
      </c>
      <c r="P156" s="71">
        <f>'Stakeholder list'!Q161</f>
        <v/>
      </c>
      <c r="Q156" s="71">
        <f>'Stakeholder list'!R161</f>
        <v/>
      </c>
      <c r="R156" s="71">
        <f>'Stakeholder list'!S161</f>
        <v/>
      </c>
      <c r="S156" s="71">
        <f>'Stakeholder list'!T161</f>
        <v/>
      </c>
      <c r="T156" s="71">
        <f>'Stakeholder list'!U161</f>
        <v/>
      </c>
      <c r="U156" s="71">
        <f>'Stakeholder list'!V161</f>
        <v/>
      </c>
      <c r="V156" s="71">
        <f>'Stakeholder list'!W161</f>
        <v/>
      </c>
      <c r="W156" s="71">
        <f>'Stakeholder list'!X161</f>
        <v/>
      </c>
    </row>
    <row r="157">
      <c r="A157" s="71">
        <f>'Stakeholder list'!B162</f>
        <v/>
      </c>
      <c r="B157" s="71">
        <f>'Stakeholder list'!C162</f>
        <v/>
      </c>
      <c r="C157" s="71">
        <f>'Stakeholder list'!D162</f>
        <v/>
      </c>
      <c r="D157" s="71">
        <f>'Stakeholder list'!E162</f>
        <v/>
      </c>
      <c r="E157" s="71">
        <f>'Stakeholder list'!F162</f>
        <v/>
      </c>
      <c r="F157" s="71">
        <f>'Stakeholder list'!G162</f>
        <v/>
      </c>
      <c r="G157" s="71">
        <f>'Stakeholder list'!H162</f>
        <v/>
      </c>
      <c r="H157" s="71">
        <f>'Stakeholder list'!I162</f>
        <v/>
      </c>
      <c r="I157" s="71">
        <f>'Stakeholder list'!J162</f>
        <v/>
      </c>
      <c r="J157" s="71">
        <f>'Stakeholder list'!K162</f>
        <v/>
      </c>
      <c r="K157" s="71">
        <f>'Stakeholder list'!L162</f>
        <v/>
      </c>
      <c r="L157" s="71">
        <f>'Stakeholder list'!M162</f>
        <v/>
      </c>
      <c r="M157" s="71">
        <f>'Stakeholder list'!N162</f>
        <v/>
      </c>
      <c r="N157" s="71">
        <f>'Stakeholder list'!O162</f>
        <v/>
      </c>
      <c r="O157" s="71">
        <f>'Stakeholder list'!P162</f>
        <v/>
      </c>
      <c r="P157" s="71">
        <f>'Stakeholder list'!Q162</f>
        <v/>
      </c>
      <c r="Q157" s="71">
        <f>'Stakeholder list'!R162</f>
        <v/>
      </c>
      <c r="R157" s="71">
        <f>'Stakeholder list'!S162</f>
        <v/>
      </c>
      <c r="S157" s="71">
        <f>'Stakeholder list'!T162</f>
        <v/>
      </c>
      <c r="T157" s="71">
        <f>'Stakeholder list'!U162</f>
        <v/>
      </c>
      <c r="U157" s="71">
        <f>'Stakeholder list'!V162</f>
        <v/>
      </c>
      <c r="V157" s="71">
        <f>'Stakeholder list'!W162</f>
        <v/>
      </c>
      <c r="W157" s="71">
        <f>'Stakeholder list'!X162</f>
        <v/>
      </c>
    </row>
    <row r="158">
      <c r="A158" s="71">
        <f>'Stakeholder list'!B163</f>
        <v/>
      </c>
      <c r="B158" s="71">
        <f>'Stakeholder list'!C163</f>
        <v/>
      </c>
      <c r="C158" s="71">
        <f>'Stakeholder list'!D163</f>
        <v/>
      </c>
      <c r="D158" s="71">
        <f>'Stakeholder list'!E163</f>
        <v/>
      </c>
      <c r="E158" s="71">
        <f>'Stakeholder list'!F163</f>
        <v/>
      </c>
      <c r="F158" s="71">
        <f>'Stakeholder list'!G163</f>
        <v/>
      </c>
      <c r="G158" s="71">
        <f>'Stakeholder list'!H163</f>
        <v/>
      </c>
      <c r="H158" s="71">
        <f>'Stakeholder list'!I163</f>
        <v/>
      </c>
      <c r="I158" s="71">
        <f>'Stakeholder list'!J163</f>
        <v/>
      </c>
      <c r="J158" s="71">
        <f>'Stakeholder list'!K163</f>
        <v/>
      </c>
      <c r="K158" s="71">
        <f>'Stakeholder list'!L163</f>
        <v/>
      </c>
      <c r="L158" s="71">
        <f>'Stakeholder list'!M163</f>
        <v/>
      </c>
      <c r="M158" s="71">
        <f>'Stakeholder list'!N163</f>
        <v/>
      </c>
      <c r="N158" s="71">
        <f>'Stakeholder list'!O163</f>
        <v/>
      </c>
      <c r="O158" s="71">
        <f>'Stakeholder list'!P163</f>
        <v/>
      </c>
      <c r="P158" s="71">
        <f>'Stakeholder list'!Q163</f>
        <v/>
      </c>
      <c r="Q158" s="71">
        <f>'Stakeholder list'!R163</f>
        <v/>
      </c>
      <c r="R158" s="71">
        <f>'Stakeholder list'!S163</f>
        <v/>
      </c>
      <c r="S158" s="71">
        <f>'Stakeholder list'!T163</f>
        <v/>
      </c>
      <c r="T158" s="71">
        <f>'Stakeholder list'!U163</f>
        <v/>
      </c>
      <c r="U158" s="71">
        <f>'Stakeholder list'!V163</f>
        <v/>
      </c>
      <c r="V158" s="71">
        <f>'Stakeholder list'!W163</f>
        <v/>
      </c>
      <c r="W158" s="71">
        <f>'Stakeholder list'!X163</f>
        <v/>
      </c>
    </row>
    <row r="159">
      <c r="A159" s="71">
        <f>'Stakeholder list'!B164</f>
        <v/>
      </c>
      <c r="B159" s="71">
        <f>'Stakeholder list'!C164</f>
        <v/>
      </c>
      <c r="C159" s="71">
        <f>'Stakeholder list'!D164</f>
        <v/>
      </c>
      <c r="D159" s="71">
        <f>'Stakeholder list'!E164</f>
        <v/>
      </c>
      <c r="E159" s="71">
        <f>'Stakeholder list'!F164</f>
        <v/>
      </c>
      <c r="F159" s="71">
        <f>'Stakeholder list'!G164</f>
        <v/>
      </c>
      <c r="G159" s="71">
        <f>'Stakeholder list'!H164</f>
        <v/>
      </c>
      <c r="H159" s="71">
        <f>'Stakeholder list'!I164</f>
        <v/>
      </c>
      <c r="I159" s="71">
        <f>'Stakeholder list'!J164</f>
        <v/>
      </c>
      <c r="J159" s="71">
        <f>'Stakeholder list'!K164</f>
        <v/>
      </c>
      <c r="K159" s="71">
        <f>'Stakeholder list'!L164</f>
        <v/>
      </c>
      <c r="L159" s="71">
        <f>'Stakeholder list'!M164</f>
        <v/>
      </c>
      <c r="M159" s="71">
        <f>'Stakeholder list'!N164</f>
        <v/>
      </c>
      <c r="N159" s="71">
        <f>'Stakeholder list'!O164</f>
        <v/>
      </c>
      <c r="O159" s="71">
        <f>'Stakeholder list'!P164</f>
        <v/>
      </c>
      <c r="P159" s="71">
        <f>'Stakeholder list'!Q164</f>
        <v/>
      </c>
      <c r="Q159" s="71">
        <f>'Stakeholder list'!R164</f>
        <v/>
      </c>
      <c r="R159" s="71">
        <f>'Stakeholder list'!S164</f>
        <v/>
      </c>
      <c r="S159" s="71">
        <f>'Stakeholder list'!T164</f>
        <v/>
      </c>
      <c r="T159" s="71">
        <f>'Stakeholder list'!U164</f>
        <v/>
      </c>
      <c r="U159" s="71">
        <f>'Stakeholder list'!V164</f>
        <v/>
      </c>
      <c r="V159" s="71">
        <f>'Stakeholder list'!W164</f>
        <v/>
      </c>
      <c r="W159" s="71">
        <f>'Stakeholder list'!X164</f>
        <v/>
      </c>
    </row>
    <row r="160">
      <c r="A160" s="71">
        <f>'Stakeholder list'!B165</f>
        <v/>
      </c>
      <c r="B160" s="71">
        <f>'Stakeholder list'!C165</f>
        <v/>
      </c>
      <c r="C160" s="71">
        <f>'Stakeholder list'!D165</f>
        <v/>
      </c>
      <c r="D160" s="71">
        <f>'Stakeholder list'!E165</f>
        <v/>
      </c>
      <c r="E160" s="71">
        <f>'Stakeholder list'!F165</f>
        <v/>
      </c>
      <c r="F160" s="71">
        <f>'Stakeholder list'!G165</f>
        <v/>
      </c>
      <c r="G160" s="71">
        <f>'Stakeholder list'!H165</f>
        <v/>
      </c>
      <c r="H160" s="71">
        <f>'Stakeholder list'!I165</f>
        <v/>
      </c>
      <c r="I160" s="71">
        <f>'Stakeholder list'!J165</f>
        <v/>
      </c>
      <c r="J160" s="71">
        <f>'Stakeholder list'!K165</f>
        <v/>
      </c>
      <c r="K160" s="71">
        <f>'Stakeholder list'!L165</f>
        <v/>
      </c>
      <c r="L160" s="71">
        <f>'Stakeholder list'!M165</f>
        <v/>
      </c>
      <c r="M160" s="71">
        <f>'Stakeholder list'!N165</f>
        <v/>
      </c>
      <c r="N160" s="71">
        <f>'Stakeholder list'!O165</f>
        <v/>
      </c>
      <c r="O160" s="71">
        <f>'Stakeholder list'!P165</f>
        <v/>
      </c>
      <c r="P160" s="71">
        <f>'Stakeholder list'!Q165</f>
        <v/>
      </c>
      <c r="Q160" s="71">
        <f>'Stakeholder list'!R165</f>
        <v/>
      </c>
      <c r="R160" s="71">
        <f>'Stakeholder list'!S165</f>
        <v/>
      </c>
      <c r="S160" s="71">
        <f>'Stakeholder list'!T165</f>
        <v/>
      </c>
      <c r="T160" s="71">
        <f>'Stakeholder list'!U165</f>
        <v/>
      </c>
      <c r="U160" s="71">
        <f>'Stakeholder list'!V165</f>
        <v/>
      </c>
      <c r="V160" s="71">
        <f>'Stakeholder list'!W165</f>
        <v/>
      </c>
      <c r="W160" s="71">
        <f>'Stakeholder list'!X165</f>
        <v/>
      </c>
    </row>
    <row r="161">
      <c r="A161" s="71">
        <f>'Stakeholder list'!B166</f>
        <v/>
      </c>
      <c r="B161" s="71">
        <f>'Stakeholder list'!C166</f>
        <v/>
      </c>
      <c r="C161" s="71">
        <f>'Stakeholder list'!D166</f>
        <v/>
      </c>
      <c r="D161" s="71">
        <f>'Stakeholder list'!E166</f>
        <v/>
      </c>
      <c r="E161" s="71">
        <f>'Stakeholder list'!F166</f>
        <v/>
      </c>
      <c r="F161" s="71">
        <f>'Stakeholder list'!G166</f>
        <v/>
      </c>
      <c r="G161" s="71">
        <f>'Stakeholder list'!H166</f>
        <v/>
      </c>
      <c r="H161" s="71">
        <f>'Stakeholder list'!I166</f>
        <v/>
      </c>
      <c r="I161" s="71">
        <f>'Stakeholder list'!J166</f>
        <v/>
      </c>
      <c r="J161" s="71">
        <f>'Stakeholder list'!K166</f>
        <v/>
      </c>
      <c r="K161" s="71">
        <f>'Stakeholder list'!L166</f>
        <v/>
      </c>
      <c r="L161" s="71">
        <f>'Stakeholder list'!M166</f>
        <v/>
      </c>
      <c r="M161" s="71">
        <f>'Stakeholder list'!N166</f>
        <v/>
      </c>
      <c r="N161" s="71">
        <f>'Stakeholder list'!O166</f>
        <v/>
      </c>
      <c r="O161" s="71">
        <f>'Stakeholder list'!P166</f>
        <v/>
      </c>
      <c r="P161" s="71">
        <f>'Stakeholder list'!Q166</f>
        <v/>
      </c>
      <c r="Q161" s="71">
        <f>'Stakeholder list'!R166</f>
        <v/>
      </c>
      <c r="R161" s="71">
        <f>'Stakeholder list'!S166</f>
        <v/>
      </c>
      <c r="S161" s="71">
        <f>'Stakeholder list'!T166</f>
        <v/>
      </c>
      <c r="T161" s="71">
        <f>'Stakeholder list'!U166</f>
        <v/>
      </c>
      <c r="U161" s="71">
        <f>'Stakeholder list'!V166</f>
        <v/>
      </c>
      <c r="V161" s="71">
        <f>'Stakeholder list'!W166</f>
        <v/>
      </c>
      <c r="W161" s="71">
        <f>'Stakeholder list'!X166</f>
        <v/>
      </c>
    </row>
    <row r="162">
      <c r="A162" s="71">
        <f>'Stakeholder list'!B167</f>
        <v/>
      </c>
      <c r="B162" s="71">
        <f>'Stakeholder list'!C167</f>
        <v/>
      </c>
      <c r="C162" s="71">
        <f>'Stakeholder list'!D167</f>
        <v/>
      </c>
      <c r="D162" s="71">
        <f>'Stakeholder list'!E167</f>
        <v/>
      </c>
      <c r="E162" s="71">
        <f>'Stakeholder list'!F167</f>
        <v/>
      </c>
      <c r="F162" s="71">
        <f>'Stakeholder list'!G167</f>
        <v/>
      </c>
      <c r="G162" s="71">
        <f>'Stakeholder list'!H167</f>
        <v/>
      </c>
      <c r="H162" s="71">
        <f>'Stakeholder list'!I167</f>
        <v/>
      </c>
      <c r="I162" s="71">
        <f>'Stakeholder list'!J167</f>
        <v/>
      </c>
      <c r="J162" s="71">
        <f>'Stakeholder list'!K167</f>
        <v/>
      </c>
      <c r="K162" s="71">
        <f>'Stakeholder list'!L167</f>
        <v/>
      </c>
      <c r="L162" s="71">
        <f>'Stakeholder list'!M167</f>
        <v/>
      </c>
      <c r="M162" s="71">
        <f>'Stakeholder list'!N167</f>
        <v/>
      </c>
      <c r="N162" s="71">
        <f>'Stakeholder list'!O167</f>
        <v/>
      </c>
      <c r="O162" s="71">
        <f>'Stakeholder list'!P167</f>
        <v/>
      </c>
      <c r="P162" s="71">
        <f>'Stakeholder list'!Q167</f>
        <v/>
      </c>
      <c r="Q162" s="71">
        <f>'Stakeholder list'!R167</f>
        <v/>
      </c>
      <c r="R162" s="71">
        <f>'Stakeholder list'!S167</f>
        <v/>
      </c>
      <c r="S162" s="71">
        <f>'Stakeholder list'!T167</f>
        <v/>
      </c>
      <c r="T162" s="71">
        <f>'Stakeholder list'!U167</f>
        <v/>
      </c>
      <c r="U162" s="71">
        <f>'Stakeholder list'!V167</f>
        <v/>
      </c>
      <c r="V162" s="71">
        <f>'Stakeholder list'!W167</f>
        <v/>
      </c>
      <c r="W162" s="71">
        <f>'Stakeholder list'!X167</f>
        <v/>
      </c>
    </row>
    <row r="163">
      <c r="A163" s="71">
        <f>'Stakeholder list'!B168</f>
        <v/>
      </c>
      <c r="B163" s="71">
        <f>'Stakeholder list'!C168</f>
        <v/>
      </c>
      <c r="C163" s="71">
        <f>'Stakeholder list'!D168</f>
        <v/>
      </c>
      <c r="D163" s="71">
        <f>'Stakeholder list'!E168</f>
        <v/>
      </c>
      <c r="E163" s="71">
        <f>'Stakeholder list'!F168</f>
        <v/>
      </c>
      <c r="F163" s="71">
        <f>'Stakeholder list'!G168</f>
        <v/>
      </c>
      <c r="G163" s="71">
        <f>'Stakeholder list'!H168</f>
        <v/>
      </c>
      <c r="H163" s="71">
        <f>'Stakeholder list'!I168</f>
        <v/>
      </c>
      <c r="I163" s="71">
        <f>'Stakeholder list'!J168</f>
        <v/>
      </c>
      <c r="J163" s="71">
        <f>'Stakeholder list'!K168</f>
        <v/>
      </c>
      <c r="K163" s="71">
        <f>'Stakeholder list'!L168</f>
        <v/>
      </c>
      <c r="L163" s="71">
        <f>'Stakeholder list'!M168</f>
        <v/>
      </c>
      <c r="M163" s="71">
        <f>'Stakeholder list'!N168</f>
        <v/>
      </c>
      <c r="N163" s="71">
        <f>'Stakeholder list'!O168</f>
        <v/>
      </c>
      <c r="O163" s="71">
        <f>'Stakeholder list'!P168</f>
        <v/>
      </c>
      <c r="P163" s="71">
        <f>'Stakeholder list'!Q168</f>
        <v/>
      </c>
      <c r="Q163" s="71">
        <f>'Stakeholder list'!R168</f>
        <v/>
      </c>
      <c r="R163" s="71">
        <f>'Stakeholder list'!S168</f>
        <v/>
      </c>
      <c r="S163" s="71">
        <f>'Stakeholder list'!T168</f>
        <v/>
      </c>
      <c r="T163" s="71">
        <f>'Stakeholder list'!U168</f>
        <v/>
      </c>
      <c r="U163" s="71">
        <f>'Stakeholder list'!V168</f>
        <v/>
      </c>
      <c r="V163" s="71">
        <f>'Stakeholder list'!W168</f>
        <v/>
      </c>
      <c r="W163" s="71">
        <f>'Stakeholder list'!X168</f>
        <v/>
      </c>
    </row>
    <row r="164">
      <c r="A164" s="71">
        <f>'Stakeholder list'!B169</f>
        <v/>
      </c>
      <c r="B164" s="71">
        <f>'Stakeholder list'!C169</f>
        <v/>
      </c>
      <c r="C164" s="71">
        <f>'Stakeholder list'!D169</f>
        <v/>
      </c>
      <c r="D164" s="71">
        <f>'Stakeholder list'!E169</f>
        <v/>
      </c>
      <c r="E164" s="71">
        <f>'Stakeholder list'!F169</f>
        <v/>
      </c>
      <c r="F164" s="71">
        <f>'Stakeholder list'!G169</f>
        <v/>
      </c>
      <c r="G164" s="71">
        <f>'Stakeholder list'!H169</f>
        <v/>
      </c>
      <c r="H164" s="71">
        <f>'Stakeholder list'!I169</f>
        <v/>
      </c>
      <c r="I164" s="71">
        <f>'Stakeholder list'!J169</f>
        <v/>
      </c>
      <c r="J164" s="71">
        <f>'Stakeholder list'!K169</f>
        <v/>
      </c>
      <c r="K164" s="71">
        <f>'Stakeholder list'!L169</f>
        <v/>
      </c>
      <c r="L164" s="71">
        <f>'Stakeholder list'!M169</f>
        <v/>
      </c>
      <c r="M164" s="71">
        <f>'Stakeholder list'!N169</f>
        <v/>
      </c>
      <c r="N164" s="71">
        <f>'Stakeholder list'!O169</f>
        <v/>
      </c>
      <c r="O164" s="71">
        <f>'Stakeholder list'!P169</f>
        <v/>
      </c>
      <c r="P164" s="71">
        <f>'Stakeholder list'!Q169</f>
        <v/>
      </c>
      <c r="Q164" s="71">
        <f>'Stakeholder list'!R169</f>
        <v/>
      </c>
      <c r="R164" s="71">
        <f>'Stakeholder list'!S169</f>
        <v/>
      </c>
      <c r="S164" s="71">
        <f>'Stakeholder list'!T169</f>
        <v/>
      </c>
      <c r="T164" s="71">
        <f>'Stakeholder list'!U169</f>
        <v/>
      </c>
      <c r="U164" s="71">
        <f>'Stakeholder list'!V169</f>
        <v/>
      </c>
      <c r="V164" s="71">
        <f>'Stakeholder list'!W169</f>
        <v/>
      </c>
      <c r="W164" s="71">
        <f>'Stakeholder list'!X169</f>
        <v/>
      </c>
    </row>
    <row r="165">
      <c r="A165" s="71">
        <f>'Stakeholder list'!B170</f>
        <v/>
      </c>
      <c r="B165" s="71">
        <f>'Stakeholder list'!C170</f>
        <v/>
      </c>
      <c r="C165" s="71">
        <f>'Stakeholder list'!D170</f>
        <v/>
      </c>
      <c r="D165" s="71">
        <f>'Stakeholder list'!E170</f>
        <v/>
      </c>
      <c r="E165" s="71">
        <f>'Stakeholder list'!F170</f>
        <v/>
      </c>
      <c r="F165" s="71">
        <f>'Stakeholder list'!G170</f>
        <v/>
      </c>
      <c r="G165" s="71">
        <f>'Stakeholder list'!H170</f>
        <v/>
      </c>
      <c r="H165" s="71">
        <f>'Stakeholder list'!I170</f>
        <v/>
      </c>
      <c r="I165" s="71">
        <f>'Stakeholder list'!J170</f>
        <v/>
      </c>
      <c r="J165" s="71">
        <f>'Stakeholder list'!K170</f>
        <v/>
      </c>
      <c r="K165" s="71">
        <f>'Stakeholder list'!L170</f>
        <v/>
      </c>
      <c r="L165" s="71">
        <f>'Stakeholder list'!M170</f>
        <v/>
      </c>
      <c r="M165" s="71">
        <f>'Stakeholder list'!N170</f>
        <v/>
      </c>
      <c r="N165" s="71">
        <f>'Stakeholder list'!O170</f>
        <v/>
      </c>
      <c r="O165" s="71">
        <f>'Stakeholder list'!P170</f>
        <v/>
      </c>
      <c r="P165" s="71">
        <f>'Stakeholder list'!Q170</f>
        <v/>
      </c>
      <c r="Q165" s="71">
        <f>'Stakeholder list'!R170</f>
        <v/>
      </c>
      <c r="R165" s="71">
        <f>'Stakeholder list'!S170</f>
        <v/>
      </c>
      <c r="S165" s="71">
        <f>'Stakeholder list'!T170</f>
        <v/>
      </c>
      <c r="T165" s="71">
        <f>'Stakeholder list'!U170</f>
        <v/>
      </c>
      <c r="U165" s="71">
        <f>'Stakeholder list'!V170</f>
        <v/>
      </c>
      <c r="V165" s="71">
        <f>'Stakeholder list'!W170</f>
        <v/>
      </c>
      <c r="W165" s="71">
        <f>'Stakeholder list'!X170</f>
        <v/>
      </c>
    </row>
    <row r="166">
      <c r="A166" s="71">
        <f>'Stakeholder list'!B171</f>
        <v/>
      </c>
      <c r="B166" s="71">
        <f>'Stakeholder list'!C171</f>
        <v/>
      </c>
      <c r="C166" s="71">
        <f>'Stakeholder list'!D171</f>
        <v/>
      </c>
      <c r="D166" s="71">
        <f>'Stakeholder list'!E171</f>
        <v/>
      </c>
      <c r="E166" s="71">
        <f>'Stakeholder list'!F171</f>
        <v/>
      </c>
      <c r="F166" s="71">
        <f>'Stakeholder list'!G171</f>
        <v/>
      </c>
      <c r="G166" s="71">
        <f>'Stakeholder list'!H171</f>
        <v/>
      </c>
      <c r="H166" s="71">
        <f>'Stakeholder list'!I171</f>
        <v/>
      </c>
      <c r="I166" s="71">
        <f>'Stakeholder list'!J171</f>
        <v/>
      </c>
      <c r="J166" s="71">
        <f>'Stakeholder list'!K171</f>
        <v/>
      </c>
      <c r="K166" s="71">
        <f>'Stakeholder list'!L171</f>
        <v/>
      </c>
      <c r="L166" s="71">
        <f>'Stakeholder list'!M171</f>
        <v/>
      </c>
      <c r="M166" s="71">
        <f>'Stakeholder list'!N171</f>
        <v/>
      </c>
      <c r="N166" s="71">
        <f>'Stakeholder list'!O171</f>
        <v/>
      </c>
      <c r="O166" s="71">
        <f>'Stakeholder list'!P171</f>
        <v/>
      </c>
      <c r="P166" s="71">
        <f>'Stakeholder list'!Q171</f>
        <v/>
      </c>
      <c r="Q166" s="71">
        <f>'Stakeholder list'!R171</f>
        <v/>
      </c>
      <c r="R166" s="71">
        <f>'Stakeholder list'!S171</f>
        <v/>
      </c>
      <c r="S166" s="71">
        <f>'Stakeholder list'!T171</f>
        <v/>
      </c>
      <c r="T166" s="71">
        <f>'Stakeholder list'!U171</f>
        <v/>
      </c>
      <c r="U166" s="71">
        <f>'Stakeholder list'!V171</f>
        <v/>
      </c>
      <c r="V166" s="71">
        <f>'Stakeholder list'!W171</f>
        <v/>
      </c>
      <c r="W166" s="71">
        <f>'Stakeholder list'!X171</f>
        <v/>
      </c>
    </row>
    <row r="167">
      <c r="A167" s="71">
        <f>'Stakeholder list'!B172</f>
        <v/>
      </c>
      <c r="B167" s="71">
        <f>'Stakeholder list'!C172</f>
        <v/>
      </c>
      <c r="C167" s="71">
        <f>'Stakeholder list'!D172</f>
        <v/>
      </c>
      <c r="D167" s="71">
        <f>'Stakeholder list'!E172</f>
        <v/>
      </c>
      <c r="E167" s="71">
        <f>'Stakeholder list'!F172</f>
        <v/>
      </c>
      <c r="F167" s="71">
        <f>'Stakeholder list'!G172</f>
        <v/>
      </c>
      <c r="G167" s="71">
        <f>'Stakeholder list'!H172</f>
        <v/>
      </c>
      <c r="H167" s="71">
        <f>'Stakeholder list'!I172</f>
        <v/>
      </c>
      <c r="I167" s="71">
        <f>'Stakeholder list'!J172</f>
        <v/>
      </c>
      <c r="J167" s="71">
        <f>'Stakeholder list'!K172</f>
        <v/>
      </c>
      <c r="K167" s="71">
        <f>'Stakeholder list'!L172</f>
        <v/>
      </c>
      <c r="L167" s="71">
        <f>'Stakeholder list'!M172</f>
        <v/>
      </c>
      <c r="M167" s="71">
        <f>'Stakeholder list'!N172</f>
        <v/>
      </c>
      <c r="N167" s="71">
        <f>'Stakeholder list'!O172</f>
        <v/>
      </c>
      <c r="O167" s="71">
        <f>'Stakeholder list'!P172</f>
        <v/>
      </c>
      <c r="P167" s="71">
        <f>'Stakeholder list'!Q172</f>
        <v/>
      </c>
      <c r="Q167" s="71">
        <f>'Stakeholder list'!R172</f>
        <v/>
      </c>
      <c r="R167" s="71">
        <f>'Stakeholder list'!S172</f>
        <v/>
      </c>
      <c r="S167" s="71">
        <f>'Stakeholder list'!T172</f>
        <v/>
      </c>
      <c r="T167" s="71">
        <f>'Stakeholder list'!U172</f>
        <v/>
      </c>
      <c r="U167" s="71">
        <f>'Stakeholder list'!V172</f>
        <v/>
      </c>
      <c r="V167" s="71">
        <f>'Stakeholder list'!W172</f>
        <v/>
      </c>
      <c r="W167" s="71">
        <f>'Stakeholder list'!X172</f>
        <v/>
      </c>
    </row>
    <row r="168">
      <c r="A168" s="71">
        <f>'Stakeholder list'!B173</f>
        <v/>
      </c>
      <c r="B168" s="71">
        <f>'Stakeholder list'!C173</f>
        <v/>
      </c>
      <c r="C168" s="71">
        <f>'Stakeholder list'!D173</f>
        <v/>
      </c>
      <c r="D168" s="71">
        <f>'Stakeholder list'!E173</f>
        <v/>
      </c>
      <c r="E168" s="71">
        <f>'Stakeholder list'!F173</f>
        <v/>
      </c>
      <c r="F168" s="71">
        <f>'Stakeholder list'!G173</f>
        <v/>
      </c>
      <c r="G168" s="71">
        <f>'Stakeholder list'!H173</f>
        <v/>
      </c>
      <c r="H168" s="71">
        <f>'Stakeholder list'!I173</f>
        <v/>
      </c>
      <c r="I168" s="71">
        <f>'Stakeholder list'!J173</f>
        <v/>
      </c>
      <c r="J168" s="71">
        <f>'Stakeholder list'!K173</f>
        <v/>
      </c>
      <c r="K168" s="71">
        <f>'Stakeholder list'!L173</f>
        <v/>
      </c>
      <c r="L168" s="71">
        <f>'Stakeholder list'!M173</f>
        <v/>
      </c>
      <c r="M168" s="71">
        <f>'Stakeholder list'!N173</f>
        <v/>
      </c>
      <c r="N168" s="71">
        <f>'Stakeholder list'!O173</f>
        <v/>
      </c>
      <c r="O168" s="71">
        <f>'Stakeholder list'!P173</f>
        <v/>
      </c>
      <c r="P168" s="71">
        <f>'Stakeholder list'!Q173</f>
        <v/>
      </c>
      <c r="Q168" s="71">
        <f>'Stakeholder list'!R173</f>
        <v/>
      </c>
      <c r="R168" s="71">
        <f>'Stakeholder list'!S173</f>
        <v/>
      </c>
      <c r="S168" s="71">
        <f>'Stakeholder list'!T173</f>
        <v/>
      </c>
      <c r="T168" s="71">
        <f>'Stakeholder list'!U173</f>
        <v/>
      </c>
      <c r="U168" s="71">
        <f>'Stakeholder list'!V173</f>
        <v/>
      </c>
      <c r="V168" s="71">
        <f>'Stakeholder list'!W173</f>
        <v/>
      </c>
      <c r="W168" s="71">
        <f>'Stakeholder list'!X173</f>
        <v/>
      </c>
    </row>
    <row r="169">
      <c r="A169" s="71">
        <f>'Stakeholder list'!B174</f>
        <v/>
      </c>
      <c r="B169" s="71">
        <f>'Stakeholder list'!C174</f>
        <v/>
      </c>
      <c r="C169" s="71">
        <f>'Stakeholder list'!D174</f>
        <v/>
      </c>
      <c r="D169" s="71">
        <f>'Stakeholder list'!E174</f>
        <v/>
      </c>
      <c r="E169" s="71">
        <f>'Stakeholder list'!F174</f>
        <v/>
      </c>
      <c r="F169" s="71">
        <f>'Stakeholder list'!G174</f>
        <v/>
      </c>
      <c r="G169" s="71">
        <f>'Stakeholder list'!H174</f>
        <v/>
      </c>
      <c r="H169" s="71">
        <f>'Stakeholder list'!I174</f>
        <v/>
      </c>
      <c r="I169" s="71">
        <f>'Stakeholder list'!J174</f>
        <v/>
      </c>
      <c r="J169" s="71">
        <f>'Stakeholder list'!K174</f>
        <v/>
      </c>
      <c r="K169" s="71">
        <f>'Stakeholder list'!L174</f>
        <v/>
      </c>
      <c r="L169" s="71">
        <f>'Stakeholder list'!M174</f>
        <v/>
      </c>
      <c r="M169" s="71">
        <f>'Stakeholder list'!N174</f>
        <v/>
      </c>
      <c r="N169" s="71">
        <f>'Stakeholder list'!O174</f>
        <v/>
      </c>
      <c r="O169" s="71">
        <f>'Stakeholder list'!P174</f>
        <v/>
      </c>
      <c r="P169" s="71">
        <f>'Stakeholder list'!Q174</f>
        <v/>
      </c>
      <c r="Q169" s="71">
        <f>'Stakeholder list'!R174</f>
        <v/>
      </c>
      <c r="R169" s="71">
        <f>'Stakeholder list'!S174</f>
        <v/>
      </c>
      <c r="S169" s="71">
        <f>'Stakeholder list'!T174</f>
        <v/>
      </c>
      <c r="T169" s="71">
        <f>'Stakeholder list'!U174</f>
        <v/>
      </c>
      <c r="U169" s="71">
        <f>'Stakeholder list'!V174</f>
        <v/>
      </c>
      <c r="V169" s="71">
        <f>'Stakeholder list'!W174</f>
        <v/>
      </c>
      <c r="W169" s="71">
        <f>'Stakeholder list'!X174</f>
        <v/>
      </c>
    </row>
    <row r="170">
      <c r="A170" s="71">
        <f>'Stakeholder list'!B175</f>
        <v/>
      </c>
      <c r="B170" s="71">
        <f>'Stakeholder list'!C175</f>
        <v/>
      </c>
      <c r="C170" s="71">
        <f>'Stakeholder list'!D175</f>
        <v/>
      </c>
      <c r="D170" s="71">
        <f>'Stakeholder list'!E175</f>
        <v/>
      </c>
      <c r="E170" s="71">
        <f>'Stakeholder list'!F175</f>
        <v/>
      </c>
      <c r="F170" s="71">
        <f>'Stakeholder list'!G175</f>
        <v/>
      </c>
      <c r="G170" s="71">
        <f>'Stakeholder list'!H175</f>
        <v/>
      </c>
      <c r="H170" s="71">
        <f>'Stakeholder list'!I175</f>
        <v/>
      </c>
      <c r="I170" s="71">
        <f>'Stakeholder list'!J175</f>
        <v/>
      </c>
      <c r="J170" s="71">
        <f>'Stakeholder list'!K175</f>
        <v/>
      </c>
      <c r="K170" s="71">
        <f>'Stakeholder list'!L175</f>
        <v/>
      </c>
      <c r="L170" s="71">
        <f>'Stakeholder list'!M175</f>
        <v/>
      </c>
      <c r="M170" s="71">
        <f>'Stakeholder list'!N175</f>
        <v/>
      </c>
      <c r="N170" s="71">
        <f>'Stakeholder list'!O175</f>
        <v/>
      </c>
      <c r="O170" s="71">
        <f>'Stakeholder list'!P175</f>
        <v/>
      </c>
      <c r="P170" s="71">
        <f>'Stakeholder list'!Q175</f>
        <v/>
      </c>
      <c r="Q170" s="71">
        <f>'Stakeholder list'!R175</f>
        <v/>
      </c>
      <c r="R170" s="71">
        <f>'Stakeholder list'!S175</f>
        <v/>
      </c>
      <c r="S170" s="71">
        <f>'Stakeholder list'!T175</f>
        <v/>
      </c>
      <c r="T170" s="71">
        <f>'Stakeholder list'!U175</f>
        <v/>
      </c>
      <c r="U170" s="71">
        <f>'Stakeholder list'!V175</f>
        <v/>
      </c>
      <c r="V170" s="71">
        <f>'Stakeholder list'!W175</f>
        <v/>
      </c>
      <c r="W170" s="71">
        <f>'Stakeholder list'!X175</f>
        <v/>
      </c>
    </row>
    <row r="171">
      <c r="A171" s="71">
        <f>'Stakeholder list'!B176</f>
        <v/>
      </c>
      <c r="B171" s="71">
        <f>'Stakeholder list'!C176</f>
        <v/>
      </c>
      <c r="C171" s="71">
        <f>'Stakeholder list'!D176</f>
        <v/>
      </c>
      <c r="D171" s="71">
        <f>'Stakeholder list'!E176</f>
        <v/>
      </c>
      <c r="E171" s="71">
        <f>'Stakeholder list'!F176</f>
        <v/>
      </c>
      <c r="F171" s="71">
        <f>'Stakeholder list'!G176</f>
        <v/>
      </c>
      <c r="G171" s="71">
        <f>'Stakeholder list'!H176</f>
        <v/>
      </c>
      <c r="H171" s="71">
        <f>'Stakeholder list'!I176</f>
        <v/>
      </c>
      <c r="I171" s="71">
        <f>'Stakeholder list'!J176</f>
        <v/>
      </c>
      <c r="J171" s="71">
        <f>'Stakeholder list'!K176</f>
        <v/>
      </c>
      <c r="K171" s="71">
        <f>'Stakeholder list'!L176</f>
        <v/>
      </c>
      <c r="L171" s="71">
        <f>'Stakeholder list'!M176</f>
        <v/>
      </c>
      <c r="M171" s="71">
        <f>'Stakeholder list'!N176</f>
        <v/>
      </c>
      <c r="N171" s="71">
        <f>'Stakeholder list'!O176</f>
        <v/>
      </c>
      <c r="O171" s="71">
        <f>'Stakeholder list'!P176</f>
        <v/>
      </c>
      <c r="P171" s="71">
        <f>'Stakeholder list'!Q176</f>
        <v/>
      </c>
      <c r="Q171" s="71">
        <f>'Stakeholder list'!R176</f>
        <v/>
      </c>
      <c r="R171" s="71">
        <f>'Stakeholder list'!S176</f>
        <v/>
      </c>
      <c r="S171" s="71">
        <f>'Stakeholder list'!T176</f>
        <v/>
      </c>
      <c r="T171" s="71">
        <f>'Stakeholder list'!U176</f>
        <v/>
      </c>
      <c r="U171" s="71">
        <f>'Stakeholder list'!V176</f>
        <v/>
      </c>
      <c r="V171" s="71">
        <f>'Stakeholder list'!W176</f>
        <v/>
      </c>
      <c r="W171" s="71">
        <f>'Stakeholder list'!X176</f>
        <v/>
      </c>
    </row>
    <row r="172">
      <c r="A172" s="71">
        <f>'Stakeholder list'!B177</f>
        <v/>
      </c>
      <c r="B172" s="71">
        <f>'Stakeholder list'!C177</f>
        <v/>
      </c>
      <c r="C172" s="71">
        <f>'Stakeholder list'!D177</f>
        <v/>
      </c>
      <c r="D172" s="71">
        <f>'Stakeholder list'!E177</f>
        <v/>
      </c>
      <c r="E172" s="71">
        <f>'Stakeholder list'!F177</f>
        <v/>
      </c>
      <c r="F172" s="71">
        <f>'Stakeholder list'!G177</f>
        <v/>
      </c>
      <c r="G172" s="71">
        <f>'Stakeholder list'!H177</f>
        <v/>
      </c>
      <c r="H172" s="71">
        <f>'Stakeholder list'!I177</f>
        <v/>
      </c>
      <c r="I172" s="71">
        <f>'Stakeholder list'!J177</f>
        <v/>
      </c>
      <c r="J172" s="71">
        <f>'Stakeholder list'!K177</f>
        <v/>
      </c>
      <c r="K172" s="71">
        <f>'Stakeholder list'!L177</f>
        <v/>
      </c>
      <c r="L172" s="71">
        <f>'Stakeholder list'!M177</f>
        <v/>
      </c>
      <c r="M172" s="71">
        <f>'Stakeholder list'!N177</f>
        <v/>
      </c>
      <c r="N172" s="71">
        <f>'Stakeholder list'!O177</f>
        <v/>
      </c>
      <c r="O172" s="71">
        <f>'Stakeholder list'!P177</f>
        <v/>
      </c>
      <c r="P172" s="71">
        <f>'Stakeholder list'!Q177</f>
        <v/>
      </c>
      <c r="Q172" s="71">
        <f>'Stakeholder list'!R177</f>
        <v/>
      </c>
      <c r="R172" s="71">
        <f>'Stakeholder list'!S177</f>
        <v/>
      </c>
      <c r="S172" s="71">
        <f>'Stakeholder list'!T177</f>
        <v/>
      </c>
      <c r="T172" s="71">
        <f>'Stakeholder list'!U177</f>
        <v/>
      </c>
      <c r="U172" s="71">
        <f>'Stakeholder list'!V177</f>
        <v/>
      </c>
      <c r="V172" s="71">
        <f>'Stakeholder list'!W177</f>
        <v/>
      </c>
      <c r="W172" s="71">
        <f>'Stakeholder list'!X177</f>
        <v/>
      </c>
    </row>
    <row r="173">
      <c r="A173" s="71">
        <f>'Stakeholder list'!B178</f>
        <v/>
      </c>
      <c r="B173" s="71">
        <f>'Stakeholder list'!C178</f>
        <v/>
      </c>
      <c r="C173" s="71">
        <f>'Stakeholder list'!D178</f>
        <v/>
      </c>
      <c r="D173" s="71">
        <f>'Stakeholder list'!E178</f>
        <v/>
      </c>
      <c r="E173" s="71">
        <f>'Stakeholder list'!F178</f>
        <v/>
      </c>
      <c r="F173" s="71">
        <f>'Stakeholder list'!G178</f>
        <v/>
      </c>
      <c r="G173" s="71">
        <f>'Stakeholder list'!H178</f>
        <v/>
      </c>
      <c r="H173" s="71">
        <f>'Stakeholder list'!I178</f>
        <v/>
      </c>
      <c r="I173" s="71">
        <f>'Stakeholder list'!J178</f>
        <v/>
      </c>
      <c r="J173" s="71">
        <f>'Stakeholder list'!K178</f>
        <v/>
      </c>
      <c r="K173" s="71">
        <f>'Stakeholder list'!L178</f>
        <v/>
      </c>
      <c r="L173" s="71">
        <f>'Stakeholder list'!M178</f>
        <v/>
      </c>
      <c r="M173" s="71">
        <f>'Stakeholder list'!N178</f>
        <v/>
      </c>
      <c r="N173" s="71">
        <f>'Stakeholder list'!O178</f>
        <v/>
      </c>
      <c r="O173" s="71">
        <f>'Stakeholder list'!P178</f>
        <v/>
      </c>
      <c r="P173" s="71">
        <f>'Stakeholder list'!Q178</f>
        <v/>
      </c>
      <c r="Q173" s="71">
        <f>'Stakeholder list'!R178</f>
        <v/>
      </c>
      <c r="R173" s="71">
        <f>'Stakeholder list'!S178</f>
        <v/>
      </c>
      <c r="S173" s="71">
        <f>'Stakeholder list'!T178</f>
        <v/>
      </c>
      <c r="T173" s="71">
        <f>'Stakeholder list'!U178</f>
        <v/>
      </c>
      <c r="U173" s="71">
        <f>'Stakeholder list'!V178</f>
        <v/>
      </c>
      <c r="V173" s="71">
        <f>'Stakeholder list'!W178</f>
        <v/>
      </c>
      <c r="W173" s="71">
        <f>'Stakeholder list'!X178</f>
        <v/>
      </c>
    </row>
    <row r="174">
      <c r="A174" s="71">
        <f>'Stakeholder list'!B179</f>
        <v/>
      </c>
      <c r="B174" s="71">
        <f>'Stakeholder list'!C179</f>
        <v/>
      </c>
      <c r="C174" s="71">
        <f>'Stakeholder list'!D179</f>
        <v/>
      </c>
      <c r="D174" s="71">
        <f>'Stakeholder list'!E179</f>
        <v/>
      </c>
      <c r="E174" s="71">
        <f>'Stakeholder list'!F179</f>
        <v/>
      </c>
      <c r="F174" s="71">
        <f>'Stakeholder list'!G179</f>
        <v/>
      </c>
      <c r="G174" s="71">
        <f>'Stakeholder list'!H179</f>
        <v/>
      </c>
      <c r="H174" s="71">
        <f>'Stakeholder list'!I179</f>
        <v/>
      </c>
      <c r="I174" s="71">
        <f>'Stakeholder list'!J179</f>
        <v/>
      </c>
      <c r="J174" s="71">
        <f>'Stakeholder list'!K179</f>
        <v/>
      </c>
      <c r="K174" s="71">
        <f>'Stakeholder list'!L179</f>
        <v/>
      </c>
      <c r="L174" s="71">
        <f>'Stakeholder list'!M179</f>
        <v/>
      </c>
      <c r="M174" s="71">
        <f>'Stakeholder list'!N179</f>
        <v/>
      </c>
      <c r="N174" s="71">
        <f>'Stakeholder list'!O179</f>
        <v/>
      </c>
      <c r="O174" s="71">
        <f>'Stakeholder list'!P179</f>
        <v/>
      </c>
      <c r="P174" s="71">
        <f>'Stakeholder list'!Q179</f>
        <v/>
      </c>
      <c r="Q174" s="71">
        <f>'Stakeholder list'!R179</f>
        <v/>
      </c>
      <c r="R174" s="71">
        <f>'Stakeholder list'!S179</f>
        <v/>
      </c>
      <c r="S174" s="71">
        <f>'Stakeholder list'!T179</f>
        <v/>
      </c>
      <c r="T174" s="71">
        <f>'Stakeholder list'!U179</f>
        <v/>
      </c>
      <c r="U174" s="71">
        <f>'Stakeholder list'!V179</f>
        <v/>
      </c>
      <c r="V174" s="71">
        <f>'Stakeholder list'!W179</f>
        <v/>
      </c>
      <c r="W174" s="71">
        <f>'Stakeholder list'!X179</f>
        <v/>
      </c>
    </row>
    <row r="175">
      <c r="A175" s="71">
        <f>'Stakeholder list'!B180</f>
        <v/>
      </c>
      <c r="B175" s="71">
        <f>'Stakeholder list'!C180</f>
        <v/>
      </c>
      <c r="C175" s="71">
        <f>'Stakeholder list'!D180</f>
        <v/>
      </c>
      <c r="D175" s="71">
        <f>'Stakeholder list'!E180</f>
        <v/>
      </c>
      <c r="E175" s="71">
        <f>'Stakeholder list'!F180</f>
        <v/>
      </c>
      <c r="F175" s="71">
        <f>'Stakeholder list'!G180</f>
        <v/>
      </c>
      <c r="G175" s="71">
        <f>'Stakeholder list'!H180</f>
        <v/>
      </c>
      <c r="H175" s="71">
        <f>'Stakeholder list'!I180</f>
        <v/>
      </c>
      <c r="I175" s="71">
        <f>'Stakeholder list'!J180</f>
        <v/>
      </c>
      <c r="J175" s="71">
        <f>'Stakeholder list'!K180</f>
        <v/>
      </c>
      <c r="K175" s="71">
        <f>'Stakeholder list'!L180</f>
        <v/>
      </c>
      <c r="L175" s="71">
        <f>'Stakeholder list'!M180</f>
        <v/>
      </c>
      <c r="M175" s="71">
        <f>'Stakeholder list'!N180</f>
        <v/>
      </c>
      <c r="N175" s="71">
        <f>'Stakeholder list'!O180</f>
        <v/>
      </c>
      <c r="O175" s="71">
        <f>'Stakeholder list'!P180</f>
        <v/>
      </c>
      <c r="P175" s="71">
        <f>'Stakeholder list'!Q180</f>
        <v/>
      </c>
      <c r="Q175" s="71">
        <f>'Stakeholder list'!R180</f>
        <v/>
      </c>
      <c r="R175" s="71">
        <f>'Stakeholder list'!S180</f>
        <v/>
      </c>
      <c r="S175" s="71">
        <f>'Stakeholder list'!T180</f>
        <v/>
      </c>
      <c r="T175" s="71">
        <f>'Stakeholder list'!U180</f>
        <v/>
      </c>
      <c r="U175" s="71">
        <f>'Stakeholder list'!V180</f>
        <v/>
      </c>
      <c r="V175" s="71">
        <f>'Stakeholder list'!W180</f>
        <v/>
      </c>
      <c r="W175" s="71">
        <f>'Stakeholder list'!X180</f>
        <v/>
      </c>
    </row>
    <row r="176">
      <c r="A176" s="71">
        <f>'Stakeholder list'!B181</f>
        <v/>
      </c>
      <c r="B176" s="71">
        <f>'Stakeholder list'!C181</f>
        <v/>
      </c>
      <c r="C176" s="71">
        <f>'Stakeholder list'!D181</f>
        <v/>
      </c>
      <c r="D176" s="71">
        <f>'Stakeholder list'!E181</f>
        <v/>
      </c>
      <c r="E176" s="71">
        <f>'Stakeholder list'!F181</f>
        <v/>
      </c>
      <c r="F176" s="71">
        <f>'Stakeholder list'!G181</f>
        <v/>
      </c>
      <c r="G176" s="71">
        <f>'Stakeholder list'!H181</f>
        <v/>
      </c>
      <c r="H176" s="71">
        <f>'Stakeholder list'!I181</f>
        <v/>
      </c>
      <c r="I176" s="71">
        <f>'Stakeholder list'!J181</f>
        <v/>
      </c>
      <c r="J176" s="71">
        <f>'Stakeholder list'!K181</f>
        <v/>
      </c>
      <c r="K176" s="71">
        <f>'Stakeholder list'!L181</f>
        <v/>
      </c>
      <c r="L176" s="71">
        <f>'Stakeholder list'!M181</f>
        <v/>
      </c>
      <c r="M176" s="71">
        <f>'Stakeholder list'!N181</f>
        <v/>
      </c>
      <c r="N176" s="71">
        <f>'Stakeholder list'!O181</f>
        <v/>
      </c>
      <c r="O176" s="71">
        <f>'Stakeholder list'!P181</f>
        <v/>
      </c>
      <c r="P176" s="71">
        <f>'Stakeholder list'!Q181</f>
        <v/>
      </c>
      <c r="Q176" s="71">
        <f>'Stakeholder list'!R181</f>
        <v/>
      </c>
      <c r="R176" s="71">
        <f>'Stakeholder list'!S181</f>
        <v/>
      </c>
      <c r="S176" s="71">
        <f>'Stakeholder list'!T181</f>
        <v/>
      </c>
      <c r="T176" s="71">
        <f>'Stakeholder list'!U181</f>
        <v/>
      </c>
      <c r="U176" s="71">
        <f>'Stakeholder list'!V181</f>
        <v/>
      </c>
      <c r="V176" s="71">
        <f>'Stakeholder list'!W181</f>
        <v/>
      </c>
      <c r="W176" s="71">
        <f>'Stakeholder list'!X181</f>
        <v/>
      </c>
    </row>
    <row r="177">
      <c r="A177" s="71">
        <f>'Stakeholder list'!B182</f>
        <v/>
      </c>
      <c r="B177" s="71">
        <f>'Stakeholder list'!C182</f>
        <v/>
      </c>
      <c r="C177" s="71">
        <f>'Stakeholder list'!D182</f>
        <v/>
      </c>
      <c r="D177" s="71">
        <f>'Stakeholder list'!E182</f>
        <v/>
      </c>
      <c r="E177" s="71">
        <f>'Stakeholder list'!F182</f>
        <v/>
      </c>
      <c r="F177" s="71">
        <f>'Stakeholder list'!G182</f>
        <v/>
      </c>
      <c r="G177" s="71">
        <f>'Stakeholder list'!H182</f>
        <v/>
      </c>
      <c r="H177" s="71">
        <f>'Stakeholder list'!I182</f>
        <v/>
      </c>
      <c r="I177" s="71">
        <f>'Stakeholder list'!J182</f>
        <v/>
      </c>
      <c r="J177" s="71">
        <f>'Stakeholder list'!K182</f>
        <v/>
      </c>
      <c r="K177" s="71">
        <f>'Stakeholder list'!L182</f>
        <v/>
      </c>
      <c r="L177" s="71">
        <f>'Stakeholder list'!M182</f>
        <v/>
      </c>
      <c r="M177" s="71">
        <f>'Stakeholder list'!N182</f>
        <v/>
      </c>
      <c r="N177" s="71">
        <f>'Stakeholder list'!O182</f>
        <v/>
      </c>
      <c r="O177" s="71">
        <f>'Stakeholder list'!P182</f>
        <v/>
      </c>
      <c r="P177" s="71">
        <f>'Stakeholder list'!Q182</f>
        <v/>
      </c>
      <c r="Q177" s="71">
        <f>'Stakeholder list'!R182</f>
        <v/>
      </c>
      <c r="R177" s="71">
        <f>'Stakeholder list'!S182</f>
        <v/>
      </c>
      <c r="S177" s="71">
        <f>'Stakeholder list'!T182</f>
        <v/>
      </c>
      <c r="T177" s="71">
        <f>'Stakeholder list'!U182</f>
        <v/>
      </c>
      <c r="U177" s="71">
        <f>'Stakeholder list'!V182</f>
        <v/>
      </c>
      <c r="V177" s="71">
        <f>'Stakeholder list'!W182</f>
        <v/>
      </c>
      <c r="W177" s="71">
        <f>'Stakeholder list'!X182</f>
        <v/>
      </c>
    </row>
    <row r="178">
      <c r="A178" s="71">
        <f>'Stakeholder list'!B183</f>
        <v/>
      </c>
      <c r="B178" s="71">
        <f>'Stakeholder list'!C183</f>
        <v/>
      </c>
      <c r="C178" s="71">
        <f>'Stakeholder list'!D183</f>
        <v/>
      </c>
      <c r="D178" s="71">
        <f>'Stakeholder list'!E183</f>
        <v/>
      </c>
      <c r="E178" s="71">
        <f>'Stakeholder list'!F183</f>
        <v/>
      </c>
      <c r="F178" s="71">
        <f>'Stakeholder list'!G183</f>
        <v/>
      </c>
      <c r="G178" s="71">
        <f>'Stakeholder list'!H183</f>
        <v/>
      </c>
      <c r="H178" s="71">
        <f>'Stakeholder list'!I183</f>
        <v/>
      </c>
      <c r="I178" s="71">
        <f>'Stakeholder list'!J183</f>
        <v/>
      </c>
      <c r="J178" s="71">
        <f>'Stakeholder list'!K183</f>
        <v/>
      </c>
      <c r="K178" s="71">
        <f>'Stakeholder list'!L183</f>
        <v/>
      </c>
      <c r="L178" s="71">
        <f>'Stakeholder list'!M183</f>
        <v/>
      </c>
      <c r="M178" s="71">
        <f>'Stakeholder list'!N183</f>
        <v/>
      </c>
      <c r="N178" s="71">
        <f>'Stakeholder list'!O183</f>
        <v/>
      </c>
      <c r="O178" s="71">
        <f>'Stakeholder list'!P183</f>
        <v/>
      </c>
      <c r="P178" s="71">
        <f>'Stakeholder list'!Q183</f>
        <v/>
      </c>
      <c r="Q178" s="71">
        <f>'Stakeholder list'!R183</f>
        <v/>
      </c>
      <c r="R178" s="71">
        <f>'Stakeholder list'!S183</f>
        <v/>
      </c>
      <c r="S178" s="71">
        <f>'Stakeholder list'!T183</f>
        <v/>
      </c>
      <c r="T178" s="71">
        <f>'Stakeholder list'!U183</f>
        <v/>
      </c>
      <c r="U178" s="71">
        <f>'Stakeholder list'!V183</f>
        <v/>
      </c>
      <c r="V178" s="71">
        <f>'Stakeholder list'!W183</f>
        <v/>
      </c>
      <c r="W178" s="71">
        <f>'Stakeholder list'!X183</f>
        <v/>
      </c>
    </row>
    <row r="179">
      <c r="A179" s="71">
        <f>'Stakeholder list'!B184</f>
        <v/>
      </c>
      <c r="B179" s="71">
        <f>'Stakeholder list'!C184</f>
        <v/>
      </c>
      <c r="C179" s="71">
        <f>'Stakeholder list'!D184</f>
        <v/>
      </c>
      <c r="D179" s="71">
        <f>'Stakeholder list'!E184</f>
        <v/>
      </c>
      <c r="E179" s="71">
        <f>'Stakeholder list'!F184</f>
        <v/>
      </c>
      <c r="F179" s="71">
        <f>'Stakeholder list'!G184</f>
        <v/>
      </c>
      <c r="G179" s="71">
        <f>'Stakeholder list'!H184</f>
        <v/>
      </c>
      <c r="H179" s="71">
        <f>'Stakeholder list'!I184</f>
        <v/>
      </c>
      <c r="I179" s="71">
        <f>'Stakeholder list'!J184</f>
        <v/>
      </c>
      <c r="J179" s="71">
        <f>'Stakeholder list'!K184</f>
        <v/>
      </c>
      <c r="K179" s="71">
        <f>'Stakeholder list'!L184</f>
        <v/>
      </c>
      <c r="L179" s="71">
        <f>'Stakeholder list'!M184</f>
        <v/>
      </c>
      <c r="M179" s="71">
        <f>'Stakeholder list'!N184</f>
        <v/>
      </c>
      <c r="N179" s="71">
        <f>'Stakeholder list'!O184</f>
        <v/>
      </c>
      <c r="O179" s="71">
        <f>'Stakeholder list'!P184</f>
        <v/>
      </c>
      <c r="P179" s="71">
        <f>'Stakeholder list'!Q184</f>
        <v/>
      </c>
      <c r="Q179" s="71">
        <f>'Stakeholder list'!R184</f>
        <v/>
      </c>
      <c r="R179" s="71">
        <f>'Stakeholder list'!S184</f>
        <v/>
      </c>
      <c r="S179" s="71">
        <f>'Stakeholder list'!T184</f>
        <v/>
      </c>
      <c r="T179" s="71">
        <f>'Stakeholder list'!U184</f>
        <v/>
      </c>
      <c r="U179" s="71">
        <f>'Stakeholder list'!V184</f>
        <v/>
      </c>
      <c r="V179" s="71">
        <f>'Stakeholder list'!W184</f>
        <v/>
      </c>
      <c r="W179" s="71">
        <f>'Stakeholder list'!X184</f>
        <v/>
      </c>
    </row>
    <row r="180">
      <c r="A180" s="71">
        <f>'Stakeholder list'!B185</f>
        <v/>
      </c>
      <c r="B180" s="71">
        <f>'Stakeholder list'!C185</f>
        <v/>
      </c>
      <c r="C180" s="71">
        <f>'Stakeholder list'!D185</f>
        <v/>
      </c>
      <c r="D180" s="71">
        <f>'Stakeholder list'!E185</f>
        <v/>
      </c>
      <c r="E180" s="71">
        <f>'Stakeholder list'!F185</f>
        <v/>
      </c>
      <c r="F180" s="71">
        <f>'Stakeholder list'!G185</f>
        <v/>
      </c>
      <c r="G180" s="71">
        <f>'Stakeholder list'!H185</f>
        <v/>
      </c>
      <c r="H180" s="71">
        <f>'Stakeholder list'!I185</f>
        <v/>
      </c>
      <c r="I180" s="71">
        <f>'Stakeholder list'!J185</f>
        <v/>
      </c>
      <c r="J180" s="71">
        <f>'Stakeholder list'!K185</f>
        <v/>
      </c>
      <c r="K180" s="71">
        <f>'Stakeholder list'!L185</f>
        <v/>
      </c>
      <c r="L180" s="71">
        <f>'Stakeholder list'!M185</f>
        <v/>
      </c>
      <c r="M180" s="71">
        <f>'Stakeholder list'!N185</f>
        <v/>
      </c>
      <c r="N180" s="71">
        <f>'Stakeholder list'!O185</f>
        <v/>
      </c>
      <c r="O180" s="71">
        <f>'Stakeholder list'!P185</f>
        <v/>
      </c>
      <c r="P180" s="71">
        <f>'Stakeholder list'!Q185</f>
        <v/>
      </c>
      <c r="Q180" s="71">
        <f>'Stakeholder list'!R185</f>
        <v/>
      </c>
      <c r="R180" s="71">
        <f>'Stakeholder list'!S185</f>
        <v/>
      </c>
      <c r="S180" s="71">
        <f>'Stakeholder list'!T185</f>
        <v/>
      </c>
      <c r="T180" s="71">
        <f>'Stakeholder list'!U185</f>
        <v/>
      </c>
      <c r="U180" s="71">
        <f>'Stakeholder list'!V185</f>
        <v/>
      </c>
      <c r="V180" s="71">
        <f>'Stakeholder list'!W185</f>
        <v/>
      </c>
      <c r="W180" s="71">
        <f>'Stakeholder list'!X185</f>
        <v/>
      </c>
    </row>
    <row r="181">
      <c r="A181" s="71">
        <f>'Stakeholder list'!B186</f>
        <v/>
      </c>
      <c r="B181" s="71">
        <f>'Stakeholder list'!C186</f>
        <v/>
      </c>
      <c r="C181" s="71">
        <f>'Stakeholder list'!D186</f>
        <v/>
      </c>
      <c r="D181" s="71">
        <f>'Stakeholder list'!E186</f>
        <v/>
      </c>
      <c r="E181" s="71">
        <f>'Stakeholder list'!F186</f>
        <v/>
      </c>
      <c r="F181" s="71">
        <f>'Stakeholder list'!G186</f>
        <v/>
      </c>
      <c r="G181" s="71">
        <f>'Stakeholder list'!H186</f>
        <v/>
      </c>
      <c r="H181" s="71">
        <f>'Stakeholder list'!I186</f>
        <v/>
      </c>
      <c r="I181" s="71">
        <f>'Stakeholder list'!J186</f>
        <v/>
      </c>
      <c r="J181" s="71">
        <f>'Stakeholder list'!K186</f>
        <v/>
      </c>
      <c r="K181" s="71">
        <f>'Stakeholder list'!L186</f>
        <v/>
      </c>
      <c r="L181" s="71">
        <f>'Stakeholder list'!M186</f>
        <v/>
      </c>
      <c r="M181" s="71">
        <f>'Stakeholder list'!N186</f>
        <v/>
      </c>
      <c r="N181" s="71">
        <f>'Stakeholder list'!O186</f>
        <v/>
      </c>
      <c r="O181" s="71">
        <f>'Stakeholder list'!P186</f>
        <v/>
      </c>
      <c r="P181" s="71">
        <f>'Stakeholder list'!Q186</f>
        <v/>
      </c>
      <c r="Q181" s="71">
        <f>'Stakeholder list'!R186</f>
        <v/>
      </c>
      <c r="R181" s="71">
        <f>'Stakeholder list'!S186</f>
        <v/>
      </c>
      <c r="S181" s="71">
        <f>'Stakeholder list'!T186</f>
        <v/>
      </c>
      <c r="T181" s="71">
        <f>'Stakeholder list'!U186</f>
        <v/>
      </c>
      <c r="U181" s="71">
        <f>'Stakeholder list'!V186</f>
        <v/>
      </c>
      <c r="V181" s="71">
        <f>'Stakeholder list'!W186</f>
        <v/>
      </c>
      <c r="W181" s="71">
        <f>'Stakeholder list'!X186</f>
        <v/>
      </c>
    </row>
    <row r="182">
      <c r="A182" s="71">
        <f>'Stakeholder list'!B187</f>
        <v/>
      </c>
      <c r="B182" s="71">
        <f>'Stakeholder list'!C187</f>
        <v/>
      </c>
      <c r="C182" s="71">
        <f>'Stakeholder list'!D187</f>
        <v/>
      </c>
      <c r="D182" s="71">
        <f>'Stakeholder list'!E187</f>
        <v/>
      </c>
      <c r="E182" s="71">
        <f>'Stakeholder list'!F187</f>
        <v/>
      </c>
      <c r="F182" s="71">
        <f>'Stakeholder list'!G187</f>
        <v/>
      </c>
      <c r="G182" s="71">
        <f>'Stakeholder list'!H187</f>
        <v/>
      </c>
      <c r="H182" s="71">
        <f>'Stakeholder list'!I187</f>
        <v/>
      </c>
      <c r="I182" s="71">
        <f>'Stakeholder list'!J187</f>
        <v/>
      </c>
      <c r="J182" s="71">
        <f>'Stakeholder list'!K187</f>
        <v/>
      </c>
      <c r="K182" s="71">
        <f>'Stakeholder list'!L187</f>
        <v/>
      </c>
      <c r="L182" s="71">
        <f>'Stakeholder list'!M187</f>
        <v/>
      </c>
      <c r="M182" s="71">
        <f>'Stakeholder list'!N187</f>
        <v/>
      </c>
      <c r="N182" s="71">
        <f>'Stakeholder list'!O187</f>
        <v/>
      </c>
      <c r="O182" s="71">
        <f>'Stakeholder list'!P187</f>
        <v/>
      </c>
      <c r="P182" s="71">
        <f>'Stakeholder list'!Q187</f>
        <v/>
      </c>
      <c r="Q182" s="71">
        <f>'Stakeholder list'!R187</f>
        <v/>
      </c>
      <c r="R182" s="71">
        <f>'Stakeholder list'!S187</f>
        <v/>
      </c>
      <c r="S182" s="71">
        <f>'Stakeholder list'!T187</f>
        <v/>
      </c>
      <c r="T182" s="71">
        <f>'Stakeholder list'!U187</f>
        <v/>
      </c>
      <c r="U182" s="71">
        <f>'Stakeholder list'!V187</f>
        <v/>
      </c>
      <c r="V182" s="71">
        <f>'Stakeholder list'!W187</f>
        <v/>
      </c>
      <c r="W182" s="71">
        <f>'Stakeholder list'!X187</f>
        <v/>
      </c>
    </row>
    <row r="183">
      <c r="A183" s="71">
        <f>'Stakeholder list'!B188</f>
        <v/>
      </c>
      <c r="B183" s="71">
        <f>'Stakeholder list'!C188</f>
        <v/>
      </c>
      <c r="C183" s="71">
        <f>'Stakeholder list'!D188</f>
        <v/>
      </c>
      <c r="D183" s="71">
        <f>'Stakeholder list'!E188</f>
        <v/>
      </c>
      <c r="E183" s="71">
        <f>'Stakeholder list'!F188</f>
        <v/>
      </c>
      <c r="F183" s="71">
        <f>'Stakeholder list'!G188</f>
        <v/>
      </c>
      <c r="G183" s="71">
        <f>'Stakeholder list'!H188</f>
        <v/>
      </c>
      <c r="H183" s="71">
        <f>'Stakeholder list'!I188</f>
        <v/>
      </c>
      <c r="I183" s="71">
        <f>'Stakeholder list'!J188</f>
        <v/>
      </c>
      <c r="J183" s="71">
        <f>'Stakeholder list'!K188</f>
        <v/>
      </c>
      <c r="K183" s="71">
        <f>'Stakeholder list'!L188</f>
        <v/>
      </c>
      <c r="L183" s="71">
        <f>'Stakeholder list'!M188</f>
        <v/>
      </c>
      <c r="M183" s="71">
        <f>'Stakeholder list'!N188</f>
        <v/>
      </c>
      <c r="N183" s="71">
        <f>'Stakeholder list'!O188</f>
        <v/>
      </c>
      <c r="O183" s="71">
        <f>'Stakeholder list'!P188</f>
        <v/>
      </c>
      <c r="P183" s="71">
        <f>'Stakeholder list'!Q188</f>
        <v/>
      </c>
      <c r="Q183" s="71">
        <f>'Stakeholder list'!R188</f>
        <v/>
      </c>
      <c r="R183" s="71">
        <f>'Stakeholder list'!S188</f>
        <v/>
      </c>
      <c r="S183" s="71">
        <f>'Stakeholder list'!T188</f>
        <v/>
      </c>
      <c r="T183" s="71">
        <f>'Stakeholder list'!U188</f>
        <v/>
      </c>
      <c r="U183" s="71">
        <f>'Stakeholder list'!V188</f>
        <v/>
      </c>
      <c r="V183" s="71">
        <f>'Stakeholder list'!W188</f>
        <v/>
      </c>
      <c r="W183" s="71">
        <f>'Stakeholder list'!X188</f>
        <v/>
      </c>
    </row>
    <row r="184">
      <c r="A184" s="71">
        <f>'Stakeholder list'!B189</f>
        <v/>
      </c>
      <c r="B184" s="71">
        <f>'Stakeholder list'!C189</f>
        <v/>
      </c>
      <c r="C184" s="71">
        <f>'Stakeholder list'!D189</f>
        <v/>
      </c>
      <c r="D184" s="71">
        <f>'Stakeholder list'!E189</f>
        <v/>
      </c>
      <c r="E184" s="71">
        <f>'Stakeholder list'!F189</f>
        <v/>
      </c>
      <c r="F184" s="71">
        <f>'Stakeholder list'!G189</f>
        <v/>
      </c>
      <c r="G184" s="71">
        <f>'Stakeholder list'!H189</f>
        <v/>
      </c>
      <c r="H184" s="71">
        <f>'Stakeholder list'!I189</f>
        <v/>
      </c>
      <c r="I184" s="71">
        <f>'Stakeholder list'!J189</f>
        <v/>
      </c>
      <c r="J184" s="71">
        <f>'Stakeholder list'!K189</f>
        <v/>
      </c>
      <c r="K184" s="71">
        <f>'Stakeholder list'!L189</f>
        <v/>
      </c>
      <c r="L184" s="71">
        <f>'Stakeholder list'!M189</f>
        <v/>
      </c>
      <c r="M184" s="71">
        <f>'Stakeholder list'!N189</f>
        <v/>
      </c>
      <c r="N184" s="71">
        <f>'Stakeholder list'!O189</f>
        <v/>
      </c>
      <c r="O184" s="71">
        <f>'Stakeholder list'!P189</f>
        <v/>
      </c>
      <c r="P184" s="71">
        <f>'Stakeholder list'!Q189</f>
        <v/>
      </c>
      <c r="Q184" s="71">
        <f>'Stakeholder list'!R189</f>
        <v/>
      </c>
      <c r="R184" s="71">
        <f>'Stakeholder list'!S189</f>
        <v/>
      </c>
      <c r="S184" s="71">
        <f>'Stakeholder list'!T189</f>
        <v/>
      </c>
      <c r="T184" s="71">
        <f>'Stakeholder list'!U189</f>
        <v/>
      </c>
      <c r="U184" s="71">
        <f>'Stakeholder list'!V189</f>
        <v/>
      </c>
      <c r="V184" s="71">
        <f>'Stakeholder list'!W189</f>
        <v/>
      </c>
      <c r="W184" s="71">
        <f>'Stakeholder list'!X189</f>
        <v/>
      </c>
    </row>
    <row r="185">
      <c r="A185" s="71">
        <f>'Stakeholder list'!B190</f>
        <v/>
      </c>
      <c r="B185" s="71">
        <f>'Stakeholder list'!C190</f>
        <v/>
      </c>
      <c r="C185" s="71">
        <f>'Stakeholder list'!D190</f>
        <v/>
      </c>
      <c r="D185" s="71">
        <f>'Stakeholder list'!E190</f>
        <v/>
      </c>
      <c r="E185" s="71">
        <f>'Stakeholder list'!F190</f>
        <v/>
      </c>
      <c r="F185" s="71">
        <f>'Stakeholder list'!G190</f>
        <v/>
      </c>
      <c r="G185" s="71">
        <f>'Stakeholder list'!H190</f>
        <v/>
      </c>
      <c r="H185" s="71">
        <f>'Stakeholder list'!I190</f>
        <v/>
      </c>
      <c r="I185" s="71">
        <f>'Stakeholder list'!J190</f>
        <v/>
      </c>
      <c r="J185" s="71">
        <f>'Stakeholder list'!K190</f>
        <v/>
      </c>
      <c r="K185" s="71">
        <f>'Stakeholder list'!L190</f>
        <v/>
      </c>
      <c r="L185" s="71">
        <f>'Stakeholder list'!M190</f>
        <v/>
      </c>
      <c r="M185" s="71">
        <f>'Stakeholder list'!N190</f>
        <v/>
      </c>
      <c r="N185" s="71">
        <f>'Stakeholder list'!O190</f>
        <v/>
      </c>
      <c r="O185" s="71">
        <f>'Stakeholder list'!P190</f>
        <v/>
      </c>
      <c r="P185" s="71">
        <f>'Stakeholder list'!Q190</f>
        <v/>
      </c>
      <c r="Q185" s="71">
        <f>'Stakeholder list'!R190</f>
        <v/>
      </c>
      <c r="R185" s="71">
        <f>'Stakeholder list'!S190</f>
        <v/>
      </c>
      <c r="S185" s="71">
        <f>'Stakeholder list'!T190</f>
        <v/>
      </c>
      <c r="T185" s="71">
        <f>'Stakeholder list'!U190</f>
        <v/>
      </c>
      <c r="U185" s="71">
        <f>'Stakeholder list'!V190</f>
        <v/>
      </c>
      <c r="V185" s="71">
        <f>'Stakeholder list'!W190</f>
        <v/>
      </c>
      <c r="W185" s="71">
        <f>'Stakeholder list'!X190</f>
        <v/>
      </c>
    </row>
    <row r="186">
      <c r="A186" s="71">
        <f>'Stakeholder list'!B191</f>
        <v/>
      </c>
      <c r="B186" s="71">
        <f>'Stakeholder list'!C191</f>
        <v/>
      </c>
      <c r="C186" s="71">
        <f>'Stakeholder list'!D191</f>
        <v/>
      </c>
      <c r="D186" s="71">
        <f>'Stakeholder list'!E191</f>
        <v/>
      </c>
      <c r="E186" s="71">
        <f>'Stakeholder list'!F191</f>
        <v/>
      </c>
      <c r="F186" s="71">
        <f>'Stakeholder list'!G191</f>
        <v/>
      </c>
      <c r="G186" s="71">
        <f>'Stakeholder list'!H191</f>
        <v/>
      </c>
      <c r="H186" s="71">
        <f>'Stakeholder list'!I191</f>
        <v/>
      </c>
      <c r="I186" s="71">
        <f>'Stakeholder list'!J191</f>
        <v/>
      </c>
      <c r="J186" s="71">
        <f>'Stakeholder list'!K191</f>
        <v/>
      </c>
      <c r="K186" s="71">
        <f>'Stakeholder list'!L191</f>
        <v/>
      </c>
      <c r="L186" s="71">
        <f>'Stakeholder list'!M191</f>
        <v/>
      </c>
      <c r="M186" s="71">
        <f>'Stakeholder list'!N191</f>
        <v/>
      </c>
      <c r="N186" s="71">
        <f>'Stakeholder list'!O191</f>
        <v/>
      </c>
      <c r="O186" s="71">
        <f>'Stakeholder list'!P191</f>
        <v/>
      </c>
      <c r="P186" s="71">
        <f>'Stakeholder list'!Q191</f>
        <v/>
      </c>
      <c r="Q186" s="73">
        <f>'Stakeholder list'!R191</f>
        <v/>
      </c>
      <c r="R186" s="71">
        <f>'Stakeholder list'!S191</f>
        <v/>
      </c>
      <c r="S186" s="71">
        <f>'Stakeholder list'!T191</f>
        <v/>
      </c>
      <c r="T186" s="71">
        <f>'Stakeholder list'!U191</f>
        <v/>
      </c>
      <c r="U186" s="71">
        <f>'Stakeholder list'!V191</f>
        <v/>
      </c>
      <c r="V186" s="71">
        <f>'Stakeholder list'!W191</f>
        <v/>
      </c>
      <c r="W186" s="71">
        <f>'Stakeholder list'!X191</f>
        <v/>
      </c>
    </row>
    <row r="187">
      <c r="A187" s="71">
        <f>'Stakeholder list'!B192</f>
        <v/>
      </c>
      <c r="B187" s="71">
        <f>'Stakeholder list'!C192</f>
        <v/>
      </c>
      <c r="C187" s="71">
        <f>'Stakeholder list'!D192</f>
        <v/>
      </c>
      <c r="D187" s="71">
        <f>'Stakeholder list'!E192</f>
        <v/>
      </c>
      <c r="E187" s="71">
        <f>'Stakeholder list'!F192</f>
        <v/>
      </c>
      <c r="F187" s="71">
        <f>'Stakeholder list'!G192</f>
        <v/>
      </c>
      <c r="G187" s="71">
        <f>'Stakeholder list'!H192</f>
        <v/>
      </c>
      <c r="H187" s="71">
        <f>'Stakeholder list'!I192</f>
        <v/>
      </c>
      <c r="I187" s="71">
        <f>'Stakeholder list'!J192</f>
        <v/>
      </c>
      <c r="J187" s="71">
        <f>'Stakeholder list'!K192</f>
        <v/>
      </c>
      <c r="K187" s="71">
        <f>'Stakeholder list'!L192</f>
        <v/>
      </c>
      <c r="L187" s="71">
        <f>'Stakeholder list'!M192</f>
        <v/>
      </c>
      <c r="M187" s="71">
        <f>'Stakeholder list'!N192</f>
        <v/>
      </c>
      <c r="N187" s="71">
        <f>'Stakeholder list'!O192</f>
        <v/>
      </c>
      <c r="O187" s="71">
        <f>'Stakeholder list'!P192</f>
        <v/>
      </c>
      <c r="P187" s="71">
        <f>'Stakeholder list'!Q192</f>
        <v/>
      </c>
      <c r="Q187" s="71">
        <f>'Stakeholder list'!R192</f>
        <v/>
      </c>
      <c r="R187" s="71">
        <f>'Stakeholder list'!S192</f>
        <v/>
      </c>
      <c r="S187" s="71">
        <f>'Stakeholder list'!T192</f>
        <v/>
      </c>
      <c r="T187" s="71">
        <f>'Stakeholder list'!U192</f>
        <v/>
      </c>
      <c r="U187" s="71">
        <f>'Stakeholder list'!V192</f>
        <v/>
      </c>
      <c r="V187" s="71">
        <f>'Stakeholder list'!W192</f>
        <v/>
      </c>
      <c r="W187" s="71">
        <f>'Stakeholder list'!X192</f>
        <v/>
      </c>
    </row>
    <row r="188">
      <c r="A188" s="71">
        <f>'Stakeholder list'!B193</f>
        <v/>
      </c>
      <c r="B188" s="71">
        <f>'Stakeholder list'!C193</f>
        <v/>
      </c>
      <c r="C188" s="71">
        <f>'Stakeholder list'!D193</f>
        <v/>
      </c>
      <c r="D188" s="71">
        <f>'Stakeholder list'!E193</f>
        <v/>
      </c>
      <c r="E188" s="71">
        <f>'Stakeholder list'!F193</f>
        <v/>
      </c>
      <c r="F188" s="71">
        <f>'Stakeholder list'!G193</f>
        <v/>
      </c>
      <c r="G188" s="71">
        <f>'Stakeholder list'!H193</f>
        <v/>
      </c>
      <c r="H188" s="71">
        <f>'Stakeholder list'!I193</f>
        <v/>
      </c>
      <c r="I188" s="71">
        <f>'Stakeholder list'!J193</f>
        <v/>
      </c>
      <c r="J188" s="71">
        <f>'Stakeholder list'!K193</f>
        <v/>
      </c>
      <c r="K188" s="71">
        <f>'Stakeholder list'!L193</f>
        <v/>
      </c>
      <c r="L188" s="71">
        <f>'Stakeholder list'!M193</f>
        <v/>
      </c>
      <c r="M188" s="71">
        <f>'Stakeholder list'!N193</f>
        <v/>
      </c>
      <c r="N188" s="71">
        <f>'Stakeholder list'!O193</f>
        <v/>
      </c>
      <c r="O188" s="71">
        <f>'Stakeholder list'!P193</f>
        <v/>
      </c>
      <c r="P188" s="71">
        <f>'Stakeholder list'!Q193</f>
        <v/>
      </c>
      <c r="Q188" s="71">
        <f>'Stakeholder list'!R193</f>
        <v/>
      </c>
      <c r="R188" s="71">
        <f>'Stakeholder list'!S193</f>
        <v/>
      </c>
      <c r="S188" s="71">
        <f>'Stakeholder list'!T193</f>
        <v/>
      </c>
      <c r="T188" s="71">
        <f>'Stakeholder list'!U193</f>
        <v/>
      </c>
      <c r="U188" s="71">
        <f>'Stakeholder list'!V193</f>
        <v/>
      </c>
      <c r="V188" s="71">
        <f>'Stakeholder list'!W193</f>
        <v/>
      </c>
      <c r="W188" s="71">
        <f>'Stakeholder list'!X193</f>
        <v/>
      </c>
    </row>
    <row r="189">
      <c r="A189" s="71">
        <f>'Stakeholder list'!B194</f>
        <v/>
      </c>
      <c r="B189" s="71">
        <f>'Stakeholder list'!C194</f>
        <v/>
      </c>
      <c r="C189" s="71">
        <f>'Stakeholder list'!D194</f>
        <v/>
      </c>
      <c r="D189" s="71">
        <f>'Stakeholder list'!E194</f>
        <v/>
      </c>
      <c r="E189" s="71">
        <f>'Stakeholder list'!F194</f>
        <v/>
      </c>
      <c r="F189" s="71">
        <f>'Stakeholder list'!G194</f>
        <v/>
      </c>
      <c r="G189" s="71">
        <f>'Stakeholder list'!H194</f>
        <v/>
      </c>
      <c r="H189" s="71">
        <f>'Stakeholder list'!I194</f>
        <v/>
      </c>
      <c r="I189" s="71">
        <f>'Stakeholder list'!J194</f>
        <v/>
      </c>
      <c r="J189" s="71">
        <f>'Stakeholder list'!K194</f>
        <v/>
      </c>
      <c r="K189" s="71">
        <f>'Stakeholder list'!L194</f>
        <v/>
      </c>
      <c r="L189" s="71">
        <f>'Stakeholder list'!M194</f>
        <v/>
      </c>
      <c r="M189" s="71">
        <f>'Stakeholder list'!N194</f>
        <v/>
      </c>
      <c r="N189" s="71">
        <f>'Stakeholder list'!O194</f>
        <v/>
      </c>
      <c r="O189" s="71">
        <f>'Stakeholder list'!P194</f>
        <v/>
      </c>
      <c r="P189" s="71">
        <f>'Stakeholder list'!Q194</f>
        <v/>
      </c>
      <c r="Q189" s="71">
        <f>'Stakeholder list'!R194</f>
        <v/>
      </c>
      <c r="R189" s="71">
        <f>'Stakeholder list'!S194</f>
        <v/>
      </c>
      <c r="S189" s="71">
        <f>'Stakeholder list'!T194</f>
        <v/>
      </c>
      <c r="T189" s="71">
        <f>'Stakeholder list'!U194</f>
        <v/>
      </c>
      <c r="U189" s="71">
        <f>'Stakeholder list'!V194</f>
        <v/>
      </c>
      <c r="V189" s="71">
        <f>'Stakeholder list'!W194</f>
        <v/>
      </c>
      <c r="W189" s="71">
        <f>'Stakeholder list'!X194</f>
        <v/>
      </c>
    </row>
    <row r="190">
      <c r="A190" s="71">
        <f>'Stakeholder list'!B195</f>
        <v/>
      </c>
      <c r="B190" s="71">
        <f>'Stakeholder list'!C195</f>
        <v/>
      </c>
      <c r="C190" s="71">
        <f>'Stakeholder list'!D195</f>
        <v/>
      </c>
      <c r="D190" s="71">
        <f>'Stakeholder list'!E195</f>
        <v/>
      </c>
      <c r="E190" s="71">
        <f>'Stakeholder list'!F195</f>
        <v/>
      </c>
      <c r="F190" s="71">
        <f>'Stakeholder list'!G195</f>
        <v/>
      </c>
      <c r="G190" s="71">
        <f>'Stakeholder list'!H195</f>
        <v/>
      </c>
      <c r="H190" s="71">
        <f>'Stakeholder list'!I195</f>
        <v/>
      </c>
      <c r="I190" s="71">
        <f>'Stakeholder list'!J195</f>
        <v/>
      </c>
      <c r="J190" s="71">
        <f>'Stakeholder list'!K195</f>
        <v/>
      </c>
      <c r="K190" s="71">
        <f>'Stakeholder list'!L195</f>
        <v/>
      </c>
      <c r="L190" s="71">
        <f>'Stakeholder list'!M195</f>
        <v/>
      </c>
      <c r="M190" s="71">
        <f>'Stakeholder list'!N195</f>
        <v/>
      </c>
      <c r="N190" s="71">
        <f>'Stakeholder list'!O195</f>
        <v/>
      </c>
      <c r="O190" s="71">
        <f>'Stakeholder list'!P195</f>
        <v/>
      </c>
      <c r="P190" s="71">
        <f>'Stakeholder list'!Q195</f>
        <v/>
      </c>
      <c r="Q190" s="71">
        <f>'Stakeholder list'!R195</f>
        <v/>
      </c>
      <c r="R190" s="71">
        <f>'Stakeholder list'!S195</f>
        <v/>
      </c>
      <c r="S190" s="71">
        <f>'Stakeholder list'!T195</f>
        <v/>
      </c>
      <c r="T190" s="71">
        <f>'Stakeholder list'!U195</f>
        <v/>
      </c>
      <c r="U190" s="71">
        <f>'Stakeholder list'!V195</f>
        <v/>
      </c>
      <c r="V190" s="71">
        <f>'Stakeholder list'!W195</f>
        <v/>
      </c>
      <c r="W190" s="71">
        <f>'Stakeholder list'!X195</f>
        <v/>
      </c>
    </row>
    <row r="191">
      <c r="A191" s="71">
        <f>'Stakeholder list'!B196</f>
        <v/>
      </c>
      <c r="B191" s="71">
        <f>'Stakeholder list'!C196</f>
        <v/>
      </c>
      <c r="C191" s="71">
        <f>'Stakeholder list'!D196</f>
        <v/>
      </c>
      <c r="D191" s="71">
        <f>'Stakeholder list'!E196</f>
        <v/>
      </c>
      <c r="E191" s="71">
        <f>'Stakeholder list'!F196</f>
        <v/>
      </c>
      <c r="F191" s="71">
        <f>'Stakeholder list'!G196</f>
        <v/>
      </c>
      <c r="G191" s="71">
        <f>'Stakeholder list'!H196</f>
        <v/>
      </c>
      <c r="H191" s="71">
        <f>'Stakeholder list'!I196</f>
        <v/>
      </c>
      <c r="I191" s="71">
        <f>'Stakeholder list'!J196</f>
        <v/>
      </c>
      <c r="J191" s="71">
        <f>'Stakeholder list'!K196</f>
        <v/>
      </c>
      <c r="K191" s="71">
        <f>'Stakeholder list'!L196</f>
        <v/>
      </c>
      <c r="L191" s="71">
        <f>'Stakeholder list'!M196</f>
        <v/>
      </c>
      <c r="M191" s="71">
        <f>'Stakeholder list'!N196</f>
        <v/>
      </c>
      <c r="N191" s="71">
        <f>'Stakeholder list'!O196</f>
        <v/>
      </c>
      <c r="O191" s="71">
        <f>'Stakeholder list'!P196</f>
        <v/>
      </c>
      <c r="P191" s="71">
        <f>'Stakeholder list'!Q196</f>
        <v/>
      </c>
      <c r="Q191" s="71">
        <f>'Stakeholder list'!R196</f>
        <v/>
      </c>
      <c r="R191" s="71">
        <f>'Stakeholder list'!S196</f>
        <v/>
      </c>
      <c r="S191" s="71">
        <f>'Stakeholder list'!T196</f>
        <v/>
      </c>
      <c r="T191" s="71">
        <f>'Stakeholder list'!U196</f>
        <v/>
      </c>
      <c r="U191" s="71">
        <f>'Stakeholder list'!V196</f>
        <v/>
      </c>
      <c r="V191" s="71">
        <f>'Stakeholder list'!W196</f>
        <v/>
      </c>
      <c r="W191" s="71">
        <f>'Stakeholder list'!X196</f>
        <v/>
      </c>
    </row>
    <row r="192">
      <c r="A192" s="71">
        <f>'Stakeholder list'!B197</f>
        <v/>
      </c>
      <c r="B192" s="71">
        <f>'Stakeholder list'!C197</f>
        <v/>
      </c>
      <c r="C192" s="71">
        <f>'Stakeholder list'!D197</f>
        <v/>
      </c>
      <c r="D192" s="71">
        <f>'Stakeholder list'!E197</f>
        <v/>
      </c>
      <c r="E192" s="71">
        <f>'Stakeholder list'!F197</f>
        <v/>
      </c>
      <c r="F192" s="71">
        <f>'Stakeholder list'!G197</f>
        <v/>
      </c>
      <c r="G192" s="71">
        <f>'Stakeholder list'!H197</f>
        <v/>
      </c>
      <c r="H192" s="71">
        <f>'Stakeholder list'!I197</f>
        <v/>
      </c>
      <c r="I192" s="71">
        <f>'Stakeholder list'!J197</f>
        <v/>
      </c>
      <c r="J192" s="71">
        <f>'Stakeholder list'!K197</f>
        <v/>
      </c>
      <c r="K192" s="71">
        <f>'Stakeholder list'!L197</f>
        <v/>
      </c>
      <c r="L192" s="71">
        <f>'Stakeholder list'!M197</f>
        <v/>
      </c>
      <c r="M192" s="71">
        <f>'Stakeholder list'!N197</f>
        <v/>
      </c>
      <c r="N192" s="71">
        <f>'Stakeholder list'!O197</f>
        <v/>
      </c>
      <c r="O192" s="71">
        <f>'Stakeholder list'!P197</f>
        <v/>
      </c>
      <c r="P192" s="71">
        <f>'Stakeholder list'!Q197</f>
        <v/>
      </c>
      <c r="Q192" s="71">
        <f>'Stakeholder list'!R197</f>
        <v/>
      </c>
      <c r="R192" s="71">
        <f>'Stakeholder list'!S197</f>
        <v/>
      </c>
      <c r="S192" s="71">
        <f>'Stakeholder list'!T197</f>
        <v/>
      </c>
      <c r="T192" s="71">
        <f>'Stakeholder list'!U197</f>
        <v/>
      </c>
      <c r="U192" s="71">
        <f>'Stakeholder list'!V197</f>
        <v/>
      </c>
      <c r="V192" s="71">
        <f>'Stakeholder list'!W197</f>
        <v/>
      </c>
      <c r="W192" s="71">
        <f>'Stakeholder list'!X197</f>
        <v/>
      </c>
    </row>
    <row r="193">
      <c r="A193" s="71">
        <f>'Stakeholder list'!B198</f>
        <v/>
      </c>
      <c r="B193" s="71">
        <f>'Stakeholder list'!C198</f>
        <v/>
      </c>
      <c r="C193" s="71">
        <f>'Stakeholder list'!D198</f>
        <v/>
      </c>
      <c r="D193" s="71">
        <f>'Stakeholder list'!E198</f>
        <v/>
      </c>
      <c r="E193" s="71">
        <f>'Stakeholder list'!F198</f>
        <v/>
      </c>
      <c r="F193" s="71">
        <f>'Stakeholder list'!G198</f>
        <v/>
      </c>
      <c r="G193" s="71">
        <f>'Stakeholder list'!H198</f>
        <v/>
      </c>
      <c r="H193" s="71">
        <f>'Stakeholder list'!I198</f>
        <v/>
      </c>
      <c r="I193" s="71">
        <f>'Stakeholder list'!J198</f>
        <v/>
      </c>
      <c r="J193" s="71">
        <f>'Stakeholder list'!K198</f>
        <v/>
      </c>
      <c r="K193" s="71">
        <f>'Stakeholder list'!L198</f>
        <v/>
      </c>
      <c r="L193" s="71">
        <f>'Stakeholder list'!M198</f>
        <v/>
      </c>
      <c r="M193" s="71">
        <f>'Stakeholder list'!N198</f>
        <v/>
      </c>
      <c r="N193" s="71">
        <f>'Stakeholder list'!O198</f>
        <v/>
      </c>
      <c r="O193" s="71">
        <f>'Stakeholder list'!P198</f>
        <v/>
      </c>
      <c r="P193" s="71">
        <f>'Stakeholder list'!Q198</f>
        <v/>
      </c>
      <c r="Q193" s="71">
        <f>'Stakeholder list'!R198</f>
        <v/>
      </c>
      <c r="R193" s="71">
        <f>'Stakeholder list'!S198</f>
        <v/>
      </c>
      <c r="S193" s="71">
        <f>'Stakeholder list'!T198</f>
        <v/>
      </c>
      <c r="T193" s="71">
        <f>'Stakeholder list'!U198</f>
        <v/>
      </c>
      <c r="U193" s="71">
        <f>'Stakeholder list'!V198</f>
        <v/>
      </c>
      <c r="V193" s="71">
        <f>'Stakeholder list'!W198</f>
        <v/>
      </c>
      <c r="W193" s="71">
        <f>'Stakeholder list'!X198</f>
        <v/>
      </c>
    </row>
    <row r="194">
      <c r="A194" s="71">
        <f>'Stakeholder list'!B199</f>
        <v/>
      </c>
      <c r="B194" s="71">
        <f>'Stakeholder list'!C199</f>
        <v/>
      </c>
      <c r="C194" s="71">
        <f>'Stakeholder list'!D199</f>
        <v/>
      </c>
      <c r="D194" s="71">
        <f>'Stakeholder list'!E199</f>
        <v/>
      </c>
      <c r="E194" s="71">
        <f>'Stakeholder list'!F199</f>
        <v/>
      </c>
      <c r="F194" s="71">
        <f>'Stakeholder list'!G199</f>
        <v/>
      </c>
      <c r="G194" s="71">
        <f>'Stakeholder list'!H199</f>
        <v/>
      </c>
      <c r="H194" s="71">
        <f>'Stakeholder list'!I199</f>
        <v/>
      </c>
      <c r="I194" s="71">
        <f>'Stakeholder list'!J199</f>
        <v/>
      </c>
      <c r="J194" s="71">
        <f>'Stakeholder list'!K199</f>
        <v/>
      </c>
      <c r="K194" s="71">
        <f>'Stakeholder list'!L199</f>
        <v/>
      </c>
      <c r="L194" s="71">
        <f>'Stakeholder list'!M199</f>
        <v/>
      </c>
      <c r="M194" s="71">
        <f>'Stakeholder list'!N199</f>
        <v/>
      </c>
      <c r="N194" s="71">
        <f>'Stakeholder list'!O199</f>
        <v/>
      </c>
      <c r="O194" s="71">
        <f>'Stakeholder list'!P199</f>
        <v/>
      </c>
      <c r="P194" s="71">
        <f>'Stakeholder list'!Q199</f>
        <v/>
      </c>
      <c r="Q194" s="71">
        <f>'Stakeholder list'!R199</f>
        <v/>
      </c>
      <c r="R194" s="71">
        <f>'Stakeholder list'!S199</f>
        <v/>
      </c>
      <c r="S194" s="71">
        <f>'Stakeholder list'!T199</f>
        <v/>
      </c>
      <c r="T194" s="71">
        <f>'Stakeholder list'!U199</f>
        <v/>
      </c>
      <c r="U194" s="71">
        <f>'Stakeholder list'!V199</f>
        <v/>
      </c>
      <c r="V194" s="71">
        <f>'Stakeholder list'!W199</f>
        <v/>
      </c>
      <c r="W194" s="71">
        <f>'Stakeholder list'!X199</f>
        <v/>
      </c>
    </row>
    <row r="195">
      <c r="A195" s="71">
        <f>'Stakeholder list'!B200</f>
        <v/>
      </c>
      <c r="B195" s="71">
        <f>'Stakeholder list'!C200</f>
        <v/>
      </c>
      <c r="C195" s="71">
        <f>'Stakeholder list'!D200</f>
        <v/>
      </c>
      <c r="D195" s="71">
        <f>'Stakeholder list'!E200</f>
        <v/>
      </c>
      <c r="E195" s="71">
        <f>'Stakeholder list'!F200</f>
        <v/>
      </c>
      <c r="F195" s="71">
        <f>'Stakeholder list'!G200</f>
        <v/>
      </c>
      <c r="G195" s="71">
        <f>'Stakeholder list'!H200</f>
        <v/>
      </c>
      <c r="H195" s="71">
        <f>'Stakeholder list'!I200</f>
        <v/>
      </c>
      <c r="I195" s="71">
        <f>'Stakeholder list'!J200</f>
        <v/>
      </c>
      <c r="J195" s="71">
        <f>'Stakeholder list'!K200</f>
        <v/>
      </c>
      <c r="K195" s="71">
        <f>'Stakeholder list'!L200</f>
        <v/>
      </c>
      <c r="L195" s="71">
        <f>'Stakeholder list'!M200</f>
        <v/>
      </c>
      <c r="M195" s="71">
        <f>'Stakeholder list'!N200</f>
        <v/>
      </c>
      <c r="N195" s="71">
        <f>'Stakeholder list'!O200</f>
        <v/>
      </c>
      <c r="O195" s="71">
        <f>'Stakeholder list'!P200</f>
        <v/>
      </c>
      <c r="P195" s="71">
        <f>'Stakeholder list'!Q200</f>
        <v/>
      </c>
      <c r="Q195" s="71">
        <f>'Stakeholder list'!R200</f>
        <v/>
      </c>
      <c r="R195" s="71">
        <f>'Stakeholder list'!S200</f>
        <v/>
      </c>
      <c r="S195" s="71">
        <f>'Stakeholder list'!T200</f>
        <v/>
      </c>
      <c r="T195" s="71">
        <f>'Stakeholder list'!U200</f>
        <v/>
      </c>
      <c r="U195" s="71">
        <f>'Stakeholder list'!V200</f>
        <v/>
      </c>
      <c r="V195" s="71">
        <f>'Stakeholder list'!W200</f>
        <v/>
      </c>
      <c r="W195" s="71">
        <f>'Stakeholder list'!X200</f>
        <v/>
      </c>
    </row>
    <row r="196">
      <c r="A196" s="71">
        <f>'Stakeholder list'!B201</f>
        <v/>
      </c>
      <c r="B196" s="71">
        <f>'Stakeholder list'!C201</f>
        <v/>
      </c>
      <c r="C196" s="71">
        <f>'Stakeholder list'!D201</f>
        <v/>
      </c>
      <c r="D196" s="71">
        <f>'Stakeholder list'!E201</f>
        <v/>
      </c>
      <c r="E196" s="71">
        <f>'Stakeholder list'!F201</f>
        <v/>
      </c>
      <c r="F196" s="71">
        <f>'Stakeholder list'!G201</f>
        <v/>
      </c>
      <c r="G196" s="71">
        <f>'Stakeholder list'!H201</f>
        <v/>
      </c>
      <c r="H196" s="71">
        <f>'Stakeholder list'!I201</f>
        <v/>
      </c>
      <c r="I196" s="71">
        <f>'Stakeholder list'!J201</f>
        <v/>
      </c>
      <c r="J196" s="71">
        <f>'Stakeholder list'!K201</f>
        <v/>
      </c>
      <c r="K196" s="71">
        <f>'Stakeholder list'!L201</f>
        <v/>
      </c>
      <c r="L196" s="71">
        <f>'Stakeholder list'!M201</f>
        <v/>
      </c>
      <c r="M196" s="71">
        <f>'Stakeholder list'!N201</f>
        <v/>
      </c>
      <c r="N196" s="71">
        <f>'Stakeholder list'!O201</f>
        <v/>
      </c>
      <c r="O196" s="71">
        <f>'Stakeholder list'!P201</f>
        <v/>
      </c>
      <c r="P196" s="71">
        <f>'Stakeholder list'!Q201</f>
        <v/>
      </c>
      <c r="Q196" s="71">
        <f>'Stakeholder list'!R201</f>
        <v/>
      </c>
      <c r="R196" s="71">
        <f>'Stakeholder list'!S201</f>
        <v/>
      </c>
      <c r="S196" s="71">
        <f>'Stakeholder list'!T201</f>
        <v/>
      </c>
      <c r="T196" s="71">
        <f>'Stakeholder list'!U201</f>
        <v/>
      </c>
      <c r="U196" s="71">
        <f>'Stakeholder list'!V201</f>
        <v/>
      </c>
      <c r="V196" s="71">
        <f>'Stakeholder list'!W201</f>
        <v/>
      </c>
      <c r="W196" s="71">
        <f>'Stakeholder list'!X201</f>
        <v/>
      </c>
    </row>
    <row r="197">
      <c r="A197" s="71">
        <f>'Stakeholder list'!B202</f>
        <v/>
      </c>
      <c r="B197" s="71">
        <f>'Stakeholder list'!C202</f>
        <v/>
      </c>
      <c r="C197" s="71">
        <f>'Stakeholder list'!D202</f>
        <v/>
      </c>
      <c r="D197" s="71">
        <f>'Stakeholder list'!E202</f>
        <v/>
      </c>
      <c r="E197" s="71">
        <f>'Stakeholder list'!F202</f>
        <v/>
      </c>
      <c r="F197" s="71">
        <f>'Stakeholder list'!G202</f>
        <v/>
      </c>
      <c r="G197" s="71">
        <f>'Stakeholder list'!H202</f>
        <v/>
      </c>
      <c r="H197" s="71">
        <f>'Stakeholder list'!I202</f>
        <v/>
      </c>
      <c r="I197" s="71">
        <f>'Stakeholder list'!J202</f>
        <v/>
      </c>
      <c r="J197" s="71">
        <f>'Stakeholder list'!K202</f>
        <v/>
      </c>
      <c r="K197" s="71">
        <f>'Stakeholder list'!L202</f>
        <v/>
      </c>
      <c r="L197" s="71">
        <f>'Stakeholder list'!M202</f>
        <v/>
      </c>
      <c r="M197" s="71">
        <f>'Stakeholder list'!N202</f>
        <v/>
      </c>
      <c r="N197" s="71">
        <f>'Stakeholder list'!O202</f>
        <v/>
      </c>
      <c r="O197" s="71">
        <f>'Stakeholder list'!P202</f>
        <v/>
      </c>
      <c r="P197" s="71">
        <f>'Stakeholder list'!Q202</f>
        <v/>
      </c>
      <c r="Q197" s="71">
        <f>'Stakeholder list'!R202</f>
        <v/>
      </c>
      <c r="R197" s="71">
        <f>'Stakeholder list'!S202</f>
        <v/>
      </c>
      <c r="S197" s="71">
        <f>'Stakeholder list'!T202</f>
        <v/>
      </c>
      <c r="T197" s="71">
        <f>'Stakeholder list'!U202</f>
        <v/>
      </c>
      <c r="U197" s="71">
        <f>'Stakeholder list'!V202</f>
        <v/>
      </c>
      <c r="V197" s="71">
        <f>'Stakeholder list'!W202</f>
        <v/>
      </c>
      <c r="W197" s="71">
        <f>'Stakeholder list'!X202</f>
        <v/>
      </c>
    </row>
    <row r="198">
      <c r="A198" s="71">
        <f>'Stakeholder list'!B203</f>
        <v/>
      </c>
      <c r="B198" s="71">
        <f>'Stakeholder list'!C203</f>
        <v/>
      </c>
      <c r="C198" s="71">
        <f>'Stakeholder list'!D203</f>
        <v/>
      </c>
      <c r="D198" s="71">
        <f>'Stakeholder list'!E203</f>
        <v/>
      </c>
      <c r="E198" s="71">
        <f>'Stakeholder list'!F203</f>
        <v/>
      </c>
      <c r="F198" s="71">
        <f>'Stakeholder list'!G203</f>
        <v/>
      </c>
      <c r="G198" s="71">
        <f>'Stakeholder list'!H203</f>
        <v/>
      </c>
      <c r="H198" s="71">
        <f>'Stakeholder list'!I203</f>
        <v/>
      </c>
      <c r="I198" s="71">
        <f>'Stakeholder list'!J203</f>
        <v/>
      </c>
      <c r="J198" s="71">
        <f>'Stakeholder list'!K203</f>
        <v/>
      </c>
      <c r="K198" s="71">
        <f>'Stakeholder list'!L203</f>
        <v/>
      </c>
      <c r="L198" s="71">
        <f>'Stakeholder list'!M203</f>
        <v/>
      </c>
      <c r="M198" s="71">
        <f>'Stakeholder list'!N203</f>
        <v/>
      </c>
      <c r="N198" s="71">
        <f>'Stakeholder list'!O203</f>
        <v/>
      </c>
      <c r="O198" s="71">
        <f>'Stakeholder list'!P203</f>
        <v/>
      </c>
      <c r="P198" s="71">
        <f>'Stakeholder list'!Q203</f>
        <v/>
      </c>
      <c r="Q198" s="71">
        <f>'Stakeholder list'!R203</f>
        <v/>
      </c>
      <c r="R198" s="71">
        <f>'Stakeholder list'!S203</f>
        <v/>
      </c>
      <c r="S198" s="71">
        <f>'Stakeholder list'!T203</f>
        <v/>
      </c>
      <c r="T198" s="71">
        <f>'Stakeholder list'!U203</f>
        <v/>
      </c>
      <c r="U198" s="71">
        <f>'Stakeholder list'!V203</f>
        <v/>
      </c>
      <c r="V198" s="71">
        <f>'Stakeholder list'!W203</f>
        <v/>
      </c>
      <c r="W198" s="71">
        <f>'Stakeholder list'!X203</f>
        <v/>
      </c>
    </row>
    <row r="199">
      <c r="A199" s="71">
        <f>'Stakeholder list'!B204</f>
        <v/>
      </c>
      <c r="B199" s="71">
        <f>'Stakeholder list'!C204</f>
        <v/>
      </c>
      <c r="C199" s="71">
        <f>'Stakeholder list'!D204</f>
        <v/>
      </c>
      <c r="D199" s="71">
        <f>'Stakeholder list'!E204</f>
        <v/>
      </c>
      <c r="E199" s="71">
        <f>'Stakeholder list'!F204</f>
        <v/>
      </c>
      <c r="F199" s="71">
        <f>'Stakeholder list'!G204</f>
        <v/>
      </c>
      <c r="G199" s="71">
        <f>'Stakeholder list'!H204</f>
        <v/>
      </c>
      <c r="H199" s="71">
        <f>'Stakeholder list'!I204</f>
        <v/>
      </c>
      <c r="I199" s="71">
        <f>'Stakeholder list'!J204</f>
        <v/>
      </c>
      <c r="J199" s="71">
        <f>'Stakeholder list'!K204</f>
        <v/>
      </c>
      <c r="K199" s="71">
        <f>'Stakeholder list'!L204</f>
        <v/>
      </c>
      <c r="L199" s="71">
        <f>'Stakeholder list'!M204</f>
        <v/>
      </c>
      <c r="M199" s="71">
        <f>'Stakeholder list'!N204</f>
        <v/>
      </c>
      <c r="N199" s="71">
        <f>'Stakeholder list'!O204</f>
        <v/>
      </c>
      <c r="O199" s="71">
        <f>'Stakeholder list'!P204</f>
        <v/>
      </c>
      <c r="P199" s="71">
        <f>'Stakeholder list'!Q204</f>
        <v/>
      </c>
      <c r="Q199" s="73">
        <f>'Stakeholder list'!R204</f>
        <v/>
      </c>
      <c r="R199" s="71">
        <f>'Stakeholder list'!S204</f>
        <v/>
      </c>
      <c r="S199" s="71">
        <f>'Stakeholder list'!T204</f>
        <v/>
      </c>
      <c r="T199" s="71">
        <f>'Stakeholder list'!U204</f>
        <v/>
      </c>
      <c r="U199" s="71">
        <f>'Stakeholder list'!V204</f>
        <v/>
      </c>
      <c r="V199" s="71">
        <f>'Stakeholder list'!W204</f>
        <v/>
      </c>
      <c r="W199" s="71">
        <f>'Stakeholder list'!X204</f>
        <v/>
      </c>
    </row>
    <row r="200">
      <c r="A200" s="71">
        <f>'Stakeholder list'!B205</f>
        <v/>
      </c>
      <c r="B200" s="71">
        <f>'Stakeholder list'!C205</f>
        <v/>
      </c>
      <c r="C200" s="71">
        <f>'Stakeholder list'!D205</f>
        <v/>
      </c>
      <c r="D200" s="71">
        <f>'Stakeholder list'!E205</f>
        <v/>
      </c>
      <c r="E200" s="71">
        <f>'Stakeholder list'!F205</f>
        <v/>
      </c>
      <c r="F200" s="71">
        <f>'Stakeholder list'!G205</f>
        <v/>
      </c>
      <c r="G200" s="71">
        <f>'Stakeholder list'!H205</f>
        <v/>
      </c>
      <c r="H200" s="71">
        <f>'Stakeholder list'!I205</f>
        <v/>
      </c>
      <c r="I200" s="71">
        <f>'Stakeholder list'!J205</f>
        <v/>
      </c>
      <c r="J200" s="71">
        <f>'Stakeholder list'!K205</f>
        <v/>
      </c>
      <c r="K200" s="71">
        <f>'Stakeholder list'!L205</f>
        <v/>
      </c>
      <c r="L200" s="71">
        <f>'Stakeholder list'!M205</f>
        <v/>
      </c>
      <c r="M200" s="71">
        <f>'Stakeholder list'!N205</f>
        <v/>
      </c>
      <c r="N200" s="71">
        <f>'Stakeholder list'!O205</f>
        <v/>
      </c>
      <c r="O200" s="71">
        <f>'Stakeholder list'!P205</f>
        <v/>
      </c>
      <c r="P200" s="71">
        <f>'Stakeholder list'!Q205</f>
        <v/>
      </c>
      <c r="Q200" s="71">
        <f>'Stakeholder list'!R205</f>
        <v/>
      </c>
      <c r="R200" s="71">
        <f>'Stakeholder list'!S205</f>
        <v/>
      </c>
      <c r="S200" s="71">
        <f>'Stakeholder list'!T205</f>
        <v/>
      </c>
      <c r="T200" s="71">
        <f>'Stakeholder list'!U205</f>
        <v/>
      </c>
      <c r="U200" s="71">
        <f>'Stakeholder list'!V205</f>
        <v/>
      </c>
      <c r="V200" s="71">
        <f>'Stakeholder list'!W205</f>
        <v/>
      </c>
      <c r="W200" s="71">
        <f>'Stakeholder list'!X205</f>
        <v/>
      </c>
    </row>
    <row r="201">
      <c r="A201" s="71">
        <f>'Stakeholder list'!B206</f>
        <v/>
      </c>
      <c r="B201" s="71">
        <f>'Stakeholder list'!C206</f>
        <v/>
      </c>
      <c r="C201" s="71">
        <f>'Stakeholder list'!D206</f>
        <v/>
      </c>
      <c r="D201" s="71">
        <f>'Stakeholder list'!E206</f>
        <v/>
      </c>
      <c r="E201" s="71">
        <f>'Stakeholder list'!F206</f>
        <v/>
      </c>
      <c r="F201" s="71">
        <f>'Stakeholder list'!G206</f>
        <v/>
      </c>
      <c r="G201" s="71">
        <f>'Stakeholder list'!H206</f>
        <v/>
      </c>
      <c r="H201" s="71">
        <f>'Stakeholder list'!I206</f>
        <v/>
      </c>
      <c r="I201" s="71">
        <f>'Stakeholder list'!J206</f>
        <v/>
      </c>
      <c r="J201" s="71">
        <f>'Stakeholder list'!K206</f>
        <v/>
      </c>
      <c r="K201" s="71">
        <f>'Stakeholder list'!L206</f>
        <v/>
      </c>
      <c r="L201" s="71">
        <f>'Stakeholder list'!M206</f>
        <v/>
      </c>
      <c r="M201" s="71">
        <f>'Stakeholder list'!N206</f>
        <v/>
      </c>
      <c r="N201" s="71">
        <f>'Stakeholder list'!O206</f>
        <v/>
      </c>
      <c r="O201" s="71">
        <f>'Stakeholder list'!P206</f>
        <v/>
      </c>
      <c r="P201" s="71">
        <f>'Stakeholder list'!Q206</f>
        <v/>
      </c>
      <c r="Q201" s="71">
        <f>'Stakeholder list'!R206</f>
        <v/>
      </c>
      <c r="R201" s="71">
        <f>'Stakeholder list'!S206</f>
        <v/>
      </c>
      <c r="S201" s="71">
        <f>'Stakeholder list'!T206</f>
        <v/>
      </c>
      <c r="T201" s="71">
        <f>'Stakeholder list'!U206</f>
        <v/>
      </c>
      <c r="U201" s="71">
        <f>'Stakeholder list'!V206</f>
        <v/>
      </c>
      <c r="V201" s="71">
        <f>'Stakeholder list'!W206</f>
        <v/>
      </c>
      <c r="W201" s="71">
        <f>'Stakeholder list'!X206</f>
        <v/>
      </c>
    </row>
    <row r="202">
      <c r="A202" s="71">
        <f>'Stakeholder list'!B207</f>
        <v/>
      </c>
      <c r="B202" s="71">
        <f>'Stakeholder list'!C207</f>
        <v/>
      </c>
      <c r="C202" s="71">
        <f>'Stakeholder list'!D207</f>
        <v/>
      </c>
      <c r="D202" s="71">
        <f>'Stakeholder list'!E207</f>
        <v/>
      </c>
      <c r="E202" s="71">
        <f>'Stakeholder list'!F207</f>
        <v/>
      </c>
      <c r="F202" s="71">
        <f>'Stakeholder list'!G207</f>
        <v/>
      </c>
      <c r="G202" s="71">
        <f>'Stakeholder list'!H207</f>
        <v/>
      </c>
      <c r="H202" s="71">
        <f>'Stakeholder list'!I207</f>
        <v/>
      </c>
      <c r="I202" s="71">
        <f>'Stakeholder list'!J207</f>
        <v/>
      </c>
      <c r="J202" s="71">
        <f>'Stakeholder list'!K207</f>
        <v/>
      </c>
      <c r="K202" s="71">
        <f>'Stakeholder list'!L207</f>
        <v/>
      </c>
      <c r="L202" s="71">
        <f>'Stakeholder list'!M207</f>
        <v/>
      </c>
      <c r="M202" s="71">
        <f>'Stakeholder list'!N207</f>
        <v/>
      </c>
      <c r="N202" s="71">
        <f>'Stakeholder list'!O207</f>
        <v/>
      </c>
      <c r="O202" s="71">
        <f>'Stakeholder list'!P207</f>
        <v/>
      </c>
      <c r="P202" s="71">
        <f>'Stakeholder list'!Q207</f>
        <v/>
      </c>
      <c r="Q202" s="71">
        <f>'Stakeholder list'!R207</f>
        <v/>
      </c>
      <c r="R202" s="71">
        <f>'Stakeholder list'!S207</f>
        <v/>
      </c>
      <c r="S202" s="71">
        <f>'Stakeholder list'!T207</f>
        <v/>
      </c>
      <c r="T202" s="71">
        <f>'Stakeholder list'!U207</f>
        <v/>
      </c>
      <c r="U202" s="71">
        <f>'Stakeholder list'!V207</f>
        <v/>
      </c>
      <c r="V202" s="71">
        <f>'Stakeholder list'!W207</f>
        <v/>
      </c>
      <c r="W202" s="71">
        <f>'Stakeholder list'!X207</f>
        <v/>
      </c>
    </row>
    <row r="203">
      <c r="A203" s="71">
        <f>'Stakeholder list'!B208</f>
        <v/>
      </c>
      <c r="B203" s="71">
        <f>'Stakeholder list'!C208</f>
        <v/>
      </c>
      <c r="C203" s="71">
        <f>'Stakeholder list'!D208</f>
        <v/>
      </c>
      <c r="D203" s="71">
        <f>'Stakeholder list'!E208</f>
        <v/>
      </c>
      <c r="E203" s="71">
        <f>'Stakeholder list'!F208</f>
        <v/>
      </c>
      <c r="F203" s="71">
        <f>'Stakeholder list'!G208</f>
        <v/>
      </c>
      <c r="G203" s="71">
        <f>'Stakeholder list'!H208</f>
        <v/>
      </c>
      <c r="H203" s="71">
        <f>'Stakeholder list'!I208</f>
        <v/>
      </c>
      <c r="I203" s="71">
        <f>'Stakeholder list'!J208</f>
        <v/>
      </c>
      <c r="J203" s="71">
        <f>'Stakeholder list'!K208</f>
        <v/>
      </c>
      <c r="K203" s="71">
        <f>'Stakeholder list'!L208</f>
        <v/>
      </c>
      <c r="L203" s="71">
        <f>'Stakeholder list'!M208</f>
        <v/>
      </c>
      <c r="M203" s="71">
        <f>'Stakeholder list'!N208</f>
        <v/>
      </c>
      <c r="N203" s="71">
        <f>'Stakeholder list'!O208</f>
        <v/>
      </c>
      <c r="O203" s="71">
        <f>'Stakeholder list'!P208</f>
        <v/>
      </c>
      <c r="P203" s="71">
        <f>'Stakeholder list'!Q208</f>
        <v/>
      </c>
      <c r="Q203" s="71">
        <f>'Stakeholder list'!R208</f>
        <v/>
      </c>
      <c r="R203" s="71">
        <f>'Stakeholder list'!S208</f>
        <v/>
      </c>
      <c r="S203" s="71">
        <f>'Stakeholder list'!T208</f>
        <v/>
      </c>
      <c r="T203" s="71">
        <f>'Stakeholder list'!U208</f>
        <v/>
      </c>
      <c r="U203" s="71">
        <f>'Stakeholder list'!V208</f>
        <v/>
      </c>
      <c r="V203" s="71">
        <f>'Stakeholder list'!W208</f>
        <v/>
      </c>
      <c r="W203" s="71">
        <f>'Stakeholder list'!X208</f>
        <v/>
      </c>
    </row>
    <row r="204">
      <c r="A204" s="71">
        <f>'Stakeholder list'!B209</f>
        <v/>
      </c>
      <c r="B204" s="71">
        <f>'Stakeholder list'!C209</f>
        <v/>
      </c>
      <c r="C204" s="71">
        <f>'Stakeholder list'!D209</f>
        <v/>
      </c>
      <c r="D204" s="71">
        <f>'Stakeholder list'!E209</f>
        <v/>
      </c>
      <c r="E204" s="71">
        <f>'Stakeholder list'!F209</f>
        <v/>
      </c>
      <c r="F204" s="71">
        <f>'Stakeholder list'!G209</f>
        <v/>
      </c>
      <c r="G204" s="71">
        <f>'Stakeholder list'!H209</f>
        <v/>
      </c>
      <c r="H204" s="71">
        <f>'Stakeholder list'!I209</f>
        <v/>
      </c>
      <c r="I204" s="71">
        <f>'Stakeholder list'!J209</f>
        <v/>
      </c>
      <c r="J204" s="71">
        <f>'Stakeholder list'!K209</f>
        <v/>
      </c>
      <c r="K204" s="71">
        <f>'Stakeholder list'!L209</f>
        <v/>
      </c>
      <c r="L204" s="71">
        <f>'Stakeholder list'!M209</f>
        <v/>
      </c>
      <c r="M204" s="71">
        <f>'Stakeholder list'!N209</f>
        <v/>
      </c>
      <c r="N204" s="71">
        <f>'Stakeholder list'!O209</f>
        <v/>
      </c>
      <c r="O204" s="71">
        <f>'Stakeholder list'!P209</f>
        <v/>
      </c>
      <c r="P204" s="71">
        <f>'Stakeholder list'!Q209</f>
        <v/>
      </c>
      <c r="Q204" s="71">
        <f>'Stakeholder list'!R209</f>
        <v/>
      </c>
      <c r="R204" s="71">
        <f>'Stakeholder list'!S209</f>
        <v/>
      </c>
      <c r="S204" s="71">
        <f>'Stakeholder list'!T209</f>
        <v/>
      </c>
      <c r="T204" s="71">
        <f>'Stakeholder list'!U209</f>
        <v/>
      </c>
      <c r="U204" s="71">
        <f>'Stakeholder list'!V209</f>
        <v/>
      </c>
      <c r="V204" s="71">
        <f>'Stakeholder list'!W209</f>
        <v/>
      </c>
      <c r="W204" s="71">
        <f>'Stakeholder list'!X209</f>
        <v/>
      </c>
    </row>
    <row r="205">
      <c r="A205" s="71">
        <f>'Stakeholder list'!B210</f>
        <v/>
      </c>
      <c r="B205" s="71">
        <f>'Stakeholder list'!C210</f>
        <v/>
      </c>
      <c r="C205" s="71">
        <f>'Stakeholder list'!D210</f>
        <v/>
      </c>
      <c r="D205" s="71">
        <f>'Stakeholder list'!E210</f>
        <v/>
      </c>
      <c r="E205" s="71">
        <f>'Stakeholder list'!F210</f>
        <v/>
      </c>
      <c r="F205" s="71">
        <f>'Stakeholder list'!G210</f>
        <v/>
      </c>
      <c r="G205" s="71">
        <f>'Stakeholder list'!H210</f>
        <v/>
      </c>
      <c r="H205" s="71">
        <f>'Stakeholder list'!I210</f>
        <v/>
      </c>
      <c r="I205" s="71">
        <f>'Stakeholder list'!J210</f>
        <v/>
      </c>
      <c r="J205" s="71">
        <f>'Stakeholder list'!K210</f>
        <v/>
      </c>
      <c r="K205" s="71">
        <f>'Stakeholder list'!L210</f>
        <v/>
      </c>
      <c r="L205" s="71">
        <f>'Stakeholder list'!M210</f>
        <v/>
      </c>
      <c r="M205" s="71">
        <f>'Stakeholder list'!N210</f>
        <v/>
      </c>
      <c r="N205" s="71">
        <f>'Stakeholder list'!O210</f>
        <v/>
      </c>
      <c r="O205" s="71">
        <f>'Stakeholder list'!P210</f>
        <v/>
      </c>
      <c r="P205" s="71">
        <f>'Stakeholder list'!Q210</f>
        <v/>
      </c>
      <c r="Q205" s="71">
        <f>'Stakeholder list'!R210</f>
        <v/>
      </c>
      <c r="R205" s="71">
        <f>'Stakeholder list'!S210</f>
        <v/>
      </c>
      <c r="S205" s="71">
        <f>'Stakeholder list'!T210</f>
        <v/>
      </c>
      <c r="T205" s="71">
        <f>'Stakeholder list'!U210</f>
        <v/>
      </c>
      <c r="U205" s="71">
        <f>'Stakeholder list'!V210</f>
        <v/>
      </c>
      <c r="V205" s="71">
        <f>'Stakeholder list'!W210</f>
        <v/>
      </c>
      <c r="W205" s="71">
        <f>'Stakeholder list'!X210</f>
        <v/>
      </c>
    </row>
    <row r="206">
      <c r="A206" s="71">
        <f>'Stakeholder list'!B211</f>
        <v/>
      </c>
      <c r="B206" s="71">
        <f>'Stakeholder list'!C211</f>
        <v/>
      </c>
      <c r="C206" s="71">
        <f>'Stakeholder list'!D211</f>
        <v/>
      </c>
      <c r="D206" s="71">
        <f>'Stakeholder list'!E211</f>
        <v/>
      </c>
      <c r="E206" s="71">
        <f>'Stakeholder list'!F211</f>
        <v/>
      </c>
      <c r="F206" s="71">
        <f>'Stakeholder list'!G211</f>
        <v/>
      </c>
      <c r="G206" s="71">
        <f>'Stakeholder list'!H211</f>
        <v/>
      </c>
      <c r="H206" s="71">
        <f>'Stakeholder list'!I211</f>
        <v/>
      </c>
      <c r="I206" s="71">
        <f>'Stakeholder list'!J211</f>
        <v/>
      </c>
      <c r="J206" s="71">
        <f>'Stakeholder list'!K211</f>
        <v/>
      </c>
      <c r="K206" s="71">
        <f>'Stakeholder list'!L211</f>
        <v/>
      </c>
      <c r="L206" s="71">
        <f>'Stakeholder list'!M211</f>
        <v/>
      </c>
      <c r="M206" s="71">
        <f>'Stakeholder list'!N211</f>
        <v/>
      </c>
      <c r="N206" s="71">
        <f>'Stakeholder list'!O211</f>
        <v/>
      </c>
      <c r="O206" s="71">
        <f>'Stakeholder list'!P211</f>
        <v/>
      </c>
      <c r="P206" s="71">
        <f>'Stakeholder list'!Q211</f>
        <v/>
      </c>
      <c r="Q206" s="71">
        <f>'Stakeholder list'!R211</f>
        <v/>
      </c>
      <c r="R206" s="71">
        <f>'Stakeholder list'!S211</f>
        <v/>
      </c>
      <c r="S206" s="71">
        <f>'Stakeholder list'!T211</f>
        <v/>
      </c>
      <c r="T206" s="71">
        <f>'Stakeholder list'!U211</f>
        <v/>
      </c>
      <c r="U206" s="71">
        <f>'Stakeholder list'!V211</f>
        <v/>
      </c>
      <c r="V206" s="71">
        <f>'Stakeholder list'!W211</f>
        <v/>
      </c>
      <c r="W206" s="71">
        <f>'Stakeholder list'!X211</f>
        <v/>
      </c>
    </row>
    <row r="207">
      <c r="A207" s="71">
        <f>'Stakeholder list'!B212</f>
        <v/>
      </c>
      <c r="B207" s="71">
        <f>'Stakeholder list'!C212</f>
        <v/>
      </c>
      <c r="C207" s="71">
        <f>'Stakeholder list'!D212</f>
        <v/>
      </c>
      <c r="D207" s="71">
        <f>'Stakeholder list'!E212</f>
        <v/>
      </c>
      <c r="E207" s="71">
        <f>'Stakeholder list'!F212</f>
        <v/>
      </c>
      <c r="F207" s="71">
        <f>'Stakeholder list'!G212</f>
        <v/>
      </c>
      <c r="G207" s="71">
        <f>'Stakeholder list'!H212</f>
        <v/>
      </c>
      <c r="H207" s="71">
        <f>'Stakeholder list'!I212</f>
        <v/>
      </c>
      <c r="I207" s="71">
        <f>'Stakeholder list'!J212</f>
        <v/>
      </c>
      <c r="J207" s="71">
        <f>'Stakeholder list'!K212</f>
        <v/>
      </c>
      <c r="K207" s="71">
        <f>'Stakeholder list'!L212</f>
        <v/>
      </c>
      <c r="L207" s="71">
        <f>'Stakeholder list'!M212</f>
        <v/>
      </c>
      <c r="M207" s="71">
        <f>'Stakeholder list'!N212</f>
        <v/>
      </c>
      <c r="N207" s="71">
        <f>'Stakeholder list'!O212</f>
        <v/>
      </c>
      <c r="O207" s="71">
        <f>'Stakeholder list'!P212</f>
        <v/>
      </c>
      <c r="P207" s="71">
        <f>'Stakeholder list'!Q212</f>
        <v/>
      </c>
      <c r="Q207" s="71">
        <f>'Stakeholder list'!R212</f>
        <v/>
      </c>
      <c r="R207" s="71">
        <f>'Stakeholder list'!S212</f>
        <v/>
      </c>
      <c r="S207" s="71">
        <f>'Stakeholder list'!T212</f>
        <v/>
      </c>
      <c r="T207" s="71">
        <f>'Stakeholder list'!U212</f>
        <v/>
      </c>
      <c r="U207" s="71">
        <f>'Stakeholder list'!V212</f>
        <v/>
      </c>
      <c r="V207" s="71">
        <f>'Stakeholder list'!W212</f>
        <v/>
      </c>
      <c r="W207" s="71">
        <f>'Stakeholder list'!X212</f>
        <v/>
      </c>
    </row>
    <row r="208">
      <c r="A208" s="71">
        <f>'Stakeholder list'!B213</f>
        <v/>
      </c>
      <c r="B208" s="71">
        <f>'Stakeholder list'!C213</f>
        <v/>
      </c>
      <c r="C208" s="71">
        <f>'Stakeholder list'!D213</f>
        <v/>
      </c>
      <c r="D208" s="71">
        <f>'Stakeholder list'!E213</f>
        <v/>
      </c>
      <c r="E208" s="71">
        <f>'Stakeholder list'!F213</f>
        <v/>
      </c>
      <c r="F208" s="71">
        <f>'Stakeholder list'!G213</f>
        <v/>
      </c>
      <c r="G208" s="71">
        <f>'Stakeholder list'!H213</f>
        <v/>
      </c>
      <c r="H208" s="71">
        <f>'Stakeholder list'!I213</f>
        <v/>
      </c>
      <c r="I208" s="71">
        <f>'Stakeholder list'!J213</f>
        <v/>
      </c>
      <c r="J208" s="71">
        <f>'Stakeholder list'!K213</f>
        <v/>
      </c>
      <c r="K208" s="71">
        <f>'Stakeholder list'!L213</f>
        <v/>
      </c>
      <c r="L208" s="71">
        <f>'Stakeholder list'!M213</f>
        <v/>
      </c>
      <c r="M208" s="71">
        <f>'Stakeholder list'!N213</f>
        <v/>
      </c>
      <c r="N208" s="71">
        <f>'Stakeholder list'!O213</f>
        <v/>
      </c>
      <c r="O208" s="71">
        <f>'Stakeholder list'!P213</f>
        <v/>
      </c>
      <c r="P208" s="71">
        <f>'Stakeholder list'!Q213</f>
        <v/>
      </c>
      <c r="Q208" s="71">
        <f>'Stakeholder list'!R213</f>
        <v/>
      </c>
      <c r="R208" s="71">
        <f>'Stakeholder list'!S213</f>
        <v/>
      </c>
      <c r="S208" s="71">
        <f>'Stakeholder list'!T213</f>
        <v/>
      </c>
      <c r="T208" s="71">
        <f>'Stakeholder list'!U213</f>
        <v/>
      </c>
      <c r="U208" s="71">
        <f>'Stakeholder list'!V213</f>
        <v/>
      </c>
      <c r="V208" s="71">
        <f>'Stakeholder list'!W213</f>
        <v/>
      </c>
      <c r="W208" s="71">
        <f>'Stakeholder list'!X213</f>
        <v/>
      </c>
    </row>
    <row r="209">
      <c r="A209" s="71">
        <f>'Stakeholder list'!B214</f>
        <v/>
      </c>
      <c r="B209" s="71">
        <f>'Stakeholder list'!C214</f>
        <v/>
      </c>
      <c r="C209" s="71">
        <f>'Stakeholder list'!D214</f>
        <v/>
      </c>
      <c r="D209" s="71">
        <f>'Stakeholder list'!E214</f>
        <v/>
      </c>
      <c r="E209" s="71">
        <f>'Stakeholder list'!F214</f>
        <v/>
      </c>
      <c r="F209" s="71">
        <f>'Stakeholder list'!G214</f>
        <v/>
      </c>
      <c r="G209" s="71">
        <f>'Stakeholder list'!H214</f>
        <v/>
      </c>
      <c r="H209" s="71">
        <f>'Stakeholder list'!I214</f>
        <v/>
      </c>
      <c r="I209" s="71">
        <f>'Stakeholder list'!J214</f>
        <v/>
      </c>
      <c r="J209" s="71">
        <f>'Stakeholder list'!K214</f>
        <v/>
      </c>
      <c r="K209" s="71">
        <f>'Stakeholder list'!L214</f>
        <v/>
      </c>
      <c r="L209" s="71">
        <f>'Stakeholder list'!M214</f>
        <v/>
      </c>
      <c r="M209" s="71">
        <f>'Stakeholder list'!N214</f>
        <v/>
      </c>
      <c r="N209" s="71">
        <f>'Stakeholder list'!O214</f>
        <v/>
      </c>
      <c r="O209" s="71">
        <f>'Stakeholder list'!P214</f>
        <v/>
      </c>
      <c r="P209" s="71">
        <f>'Stakeholder list'!Q214</f>
        <v/>
      </c>
      <c r="Q209" s="71">
        <f>'Stakeholder list'!R214</f>
        <v/>
      </c>
      <c r="R209" s="71">
        <f>'Stakeholder list'!S214</f>
        <v/>
      </c>
      <c r="S209" s="71">
        <f>'Stakeholder list'!T214</f>
        <v/>
      </c>
      <c r="T209" s="71">
        <f>'Stakeholder list'!U214</f>
        <v/>
      </c>
      <c r="U209" s="71">
        <f>'Stakeholder list'!V214</f>
        <v/>
      </c>
      <c r="V209" s="71">
        <f>'Stakeholder list'!W214</f>
        <v/>
      </c>
      <c r="W209" s="71">
        <f>'Stakeholder list'!X214</f>
        <v/>
      </c>
    </row>
    <row r="210">
      <c r="A210" s="71">
        <f>'Stakeholder list'!B215</f>
        <v/>
      </c>
      <c r="B210" s="71">
        <f>'Stakeholder list'!C215</f>
        <v/>
      </c>
      <c r="C210" s="71">
        <f>'Stakeholder list'!D215</f>
        <v/>
      </c>
      <c r="D210" s="71">
        <f>'Stakeholder list'!E215</f>
        <v/>
      </c>
      <c r="E210" s="71">
        <f>'Stakeholder list'!F215</f>
        <v/>
      </c>
      <c r="F210" s="71">
        <f>'Stakeholder list'!G215</f>
        <v/>
      </c>
      <c r="G210" s="71">
        <f>'Stakeholder list'!H215</f>
        <v/>
      </c>
      <c r="H210" s="71">
        <f>'Stakeholder list'!I215</f>
        <v/>
      </c>
      <c r="I210" s="71">
        <f>'Stakeholder list'!J215</f>
        <v/>
      </c>
      <c r="J210" s="71">
        <f>'Stakeholder list'!K215</f>
        <v/>
      </c>
      <c r="K210" s="71">
        <f>'Stakeholder list'!L215</f>
        <v/>
      </c>
      <c r="L210" s="71">
        <f>'Stakeholder list'!M215</f>
        <v/>
      </c>
      <c r="M210" s="71">
        <f>'Stakeholder list'!N215</f>
        <v/>
      </c>
      <c r="N210" s="71">
        <f>'Stakeholder list'!O215</f>
        <v/>
      </c>
      <c r="O210" s="71">
        <f>'Stakeholder list'!P215</f>
        <v/>
      </c>
      <c r="P210" s="71">
        <f>'Stakeholder list'!Q215</f>
        <v/>
      </c>
      <c r="Q210" s="71">
        <f>'Stakeholder list'!R215</f>
        <v/>
      </c>
      <c r="R210" s="71">
        <f>'Stakeholder list'!S215</f>
        <v/>
      </c>
      <c r="S210" s="71">
        <f>'Stakeholder list'!T215</f>
        <v/>
      </c>
      <c r="T210" s="71">
        <f>'Stakeholder list'!U215</f>
        <v/>
      </c>
      <c r="U210" s="71">
        <f>'Stakeholder list'!V215</f>
        <v/>
      </c>
      <c r="V210" s="71">
        <f>'Stakeholder list'!W215</f>
        <v/>
      </c>
      <c r="W210" s="71">
        <f>'Stakeholder list'!X215</f>
        <v/>
      </c>
    </row>
    <row r="211">
      <c r="A211" s="71">
        <f>'Stakeholder list'!B216</f>
        <v/>
      </c>
      <c r="B211" s="71">
        <f>'Stakeholder list'!C216</f>
        <v/>
      </c>
      <c r="C211" s="71">
        <f>'Stakeholder list'!D216</f>
        <v/>
      </c>
      <c r="D211" s="71">
        <f>'Stakeholder list'!E216</f>
        <v/>
      </c>
      <c r="E211" s="71">
        <f>'Stakeholder list'!F216</f>
        <v/>
      </c>
      <c r="F211" s="71">
        <f>'Stakeholder list'!G216</f>
        <v/>
      </c>
      <c r="G211" s="71">
        <f>'Stakeholder list'!H216</f>
        <v/>
      </c>
      <c r="H211" s="71">
        <f>'Stakeholder list'!I216</f>
        <v/>
      </c>
      <c r="I211" s="71">
        <f>'Stakeholder list'!J216</f>
        <v/>
      </c>
      <c r="J211" s="71">
        <f>'Stakeholder list'!K216</f>
        <v/>
      </c>
      <c r="K211" s="71">
        <f>'Stakeholder list'!L216</f>
        <v/>
      </c>
      <c r="L211" s="71">
        <f>'Stakeholder list'!M216</f>
        <v/>
      </c>
      <c r="M211" s="71">
        <f>'Stakeholder list'!N216</f>
        <v/>
      </c>
      <c r="N211" s="71">
        <f>'Stakeholder list'!O216</f>
        <v/>
      </c>
      <c r="O211" s="71">
        <f>'Stakeholder list'!P216</f>
        <v/>
      </c>
      <c r="P211" s="71">
        <f>'Stakeholder list'!Q216</f>
        <v/>
      </c>
      <c r="Q211" s="71">
        <f>'Stakeholder list'!R216</f>
        <v/>
      </c>
      <c r="R211" s="71">
        <f>'Stakeholder list'!S216</f>
        <v/>
      </c>
      <c r="S211" s="71">
        <f>'Stakeholder list'!T216</f>
        <v/>
      </c>
      <c r="T211" s="71">
        <f>'Stakeholder list'!U216</f>
        <v/>
      </c>
      <c r="U211" s="71">
        <f>'Stakeholder list'!V216</f>
        <v/>
      </c>
      <c r="V211" s="71">
        <f>'Stakeholder list'!W216</f>
        <v/>
      </c>
      <c r="W211" s="71">
        <f>'Stakeholder list'!X216</f>
        <v/>
      </c>
    </row>
    <row r="212">
      <c r="A212" s="71">
        <f>'Stakeholder list'!B217</f>
        <v/>
      </c>
      <c r="B212" s="71">
        <f>'Stakeholder list'!C217</f>
        <v/>
      </c>
      <c r="C212" s="71">
        <f>'Stakeholder list'!D217</f>
        <v/>
      </c>
      <c r="D212" s="71">
        <f>'Stakeholder list'!E217</f>
        <v/>
      </c>
      <c r="E212" s="71">
        <f>'Stakeholder list'!F217</f>
        <v/>
      </c>
      <c r="F212" s="71">
        <f>'Stakeholder list'!G217</f>
        <v/>
      </c>
      <c r="G212" s="71">
        <f>'Stakeholder list'!H217</f>
        <v/>
      </c>
      <c r="H212" s="71">
        <f>'Stakeholder list'!I217</f>
        <v/>
      </c>
      <c r="I212" s="71">
        <f>'Stakeholder list'!J217</f>
        <v/>
      </c>
      <c r="J212" s="71">
        <f>'Stakeholder list'!K217</f>
        <v/>
      </c>
      <c r="K212" s="71">
        <f>'Stakeholder list'!L217</f>
        <v/>
      </c>
      <c r="L212" s="71">
        <f>'Stakeholder list'!M217</f>
        <v/>
      </c>
      <c r="M212" s="71">
        <f>'Stakeholder list'!N217</f>
        <v/>
      </c>
      <c r="N212" s="71">
        <f>'Stakeholder list'!O217</f>
        <v/>
      </c>
      <c r="O212" s="71">
        <f>'Stakeholder list'!P217</f>
        <v/>
      </c>
      <c r="P212" s="71">
        <f>'Stakeholder list'!Q217</f>
        <v/>
      </c>
      <c r="Q212" s="71">
        <f>'Stakeholder list'!R217</f>
        <v/>
      </c>
      <c r="R212" s="71">
        <f>'Stakeholder list'!S217</f>
        <v/>
      </c>
      <c r="S212" s="71">
        <f>'Stakeholder list'!T217</f>
        <v/>
      </c>
      <c r="T212" s="71">
        <f>'Stakeholder list'!U217</f>
        <v/>
      </c>
      <c r="U212" s="71">
        <f>'Stakeholder list'!V217</f>
        <v/>
      </c>
      <c r="V212" s="71">
        <f>'Stakeholder list'!W217</f>
        <v/>
      </c>
      <c r="W212" s="71">
        <f>'Stakeholder list'!X217</f>
        <v/>
      </c>
    </row>
    <row r="213">
      <c r="A213" s="71">
        <f>'Stakeholder list'!B218</f>
        <v/>
      </c>
      <c r="B213" s="71">
        <f>'Stakeholder list'!C218</f>
        <v/>
      </c>
      <c r="C213" s="71">
        <f>'Stakeholder list'!D218</f>
        <v/>
      </c>
      <c r="D213" s="71">
        <f>'Stakeholder list'!E218</f>
        <v/>
      </c>
      <c r="E213" s="71">
        <f>'Stakeholder list'!F218</f>
        <v/>
      </c>
      <c r="F213" s="71">
        <f>'Stakeholder list'!G218</f>
        <v/>
      </c>
      <c r="G213" s="71">
        <f>'Stakeholder list'!H218</f>
        <v/>
      </c>
      <c r="H213" s="71">
        <f>'Stakeholder list'!I218</f>
        <v/>
      </c>
      <c r="I213" s="71">
        <f>'Stakeholder list'!J218</f>
        <v/>
      </c>
      <c r="J213" s="71">
        <f>'Stakeholder list'!K218</f>
        <v/>
      </c>
      <c r="K213" s="71">
        <f>'Stakeholder list'!L218</f>
        <v/>
      </c>
      <c r="L213" s="71">
        <f>'Stakeholder list'!M218</f>
        <v/>
      </c>
      <c r="M213" s="71">
        <f>'Stakeholder list'!N218</f>
        <v/>
      </c>
      <c r="N213" s="71">
        <f>'Stakeholder list'!O218</f>
        <v/>
      </c>
      <c r="O213" s="71">
        <f>'Stakeholder list'!P218</f>
        <v/>
      </c>
      <c r="P213" s="71">
        <f>'Stakeholder list'!Q218</f>
        <v/>
      </c>
      <c r="Q213" s="71">
        <f>'Stakeholder list'!R218</f>
        <v/>
      </c>
      <c r="R213" s="71">
        <f>'Stakeholder list'!S218</f>
        <v/>
      </c>
      <c r="S213" s="71">
        <f>'Stakeholder list'!T218</f>
        <v/>
      </c>
      <c r="T213" s="71">
        <f>'Stakeholder list'!U218</f>
        <v/>
      </c>
      <c r="U213" s="71">
        <f>'Stakeholder list'!V218</f>
        <v/>
      </c>
      <c r="V213" s="71">
        <f>'Stakeholder list'!W218</f>
        <v/>
      </c>
      <c r="W213" s="71">
        <f>'Stakeholder list'!X218</f>
        <v/>
      </c>
    </row>
    <row r="214">
      <c r="A214" s="71">
        <f>'Stakeholder list'!B219</f>
        <v/>
      </c>
      <c r="B214" s="71">
        <f>'Stakeholder list'!C219</f>
        <v/>
      </c>
      <c r="C214" s="71">
        <f>'Stakeholder list'!D219</f>
        <v/>
      </c>
      <c r="D214" s="71">
        <f>'Stakeholder list'!E219</f>
        <v/>
      </c>
      <c r="E214" s="71">
        <f>'Stakeholder list'!F219</f>
        <v/>
      </c>
      <c r="F214" s="71">
        <f>'Stakeholder list'!G219</f>
        <v/>
      </c>
      <c r="G214" s="71">
        <f>'Stakeholder list'!H219</f>
        <v/>
      </c>
      <c r="H214" s="71">
        <f>'Stakeholder list'!I219</f>
        <v/>
      </c>
      <c r="I214" s="71">
        <f>'Stakeholder list'!J219</f>
        <v/>
      </c>
      <c r="J214" s="71">
        <f>'Stakeholder list'!K219</f>
        <v/>
      </c>
      <c r="K214" s="71">
        <f>'Stakeholder list'!L219</f>
        <v/>
      </c>
      <c r="L214" s="71">
        <f>'Stakeholder list'!M219</f>
        <v/>
      </c>
      <c r="M214" s="71">
        <f>'Stakeholder list'!N219</f>
        <v/>
      </c>
      <c r="N214" s="71">
        <f>'Stakeholder list'!O219</f>
        <v/>
      </c>
      <c r="O214" s="71">
        <f>'Stakeholder list'!P219</f>
        <v/>
      </c>
      <c r="P214" s="71">
        <f>'Stakeholder list'!Q219</f>
        <v/>
      </c>
      <c r="Q214" s="71">
        <f>'Stakeholder list'!R219</f>
        <v/>
      </c>
      <c r="R214" s="71">
        <f>'Stakeholder list'!S219</f>
        <v/>
      </c>
      <c r="S214" s="71">
        <f>'Stakeholder list'!T219</f>
        <v/>
      </c>
      <c r="T214" s="71">
        <f>'Stakeholder list'!U219</f>
        <v/>
      </c>
      <c r="U214" s="71">
        <f>'Stakeholder list'!V219</f>
        <v/>
      </c>
      <c r="V214" s="71">
        <f>'Stakeholder list'!W219</f>
        <v/>
      </c>
      <c r="W214" s="71">
        <f>'Stakeholder list'!X219</f>
        <v/>
      </c>
    </row>
    <row r="215">
      <c r="A215" s="71">
        <f>'Stakeholder list'!B220</f>
        <v/>
      </c>
      <c r="B215" s="71">
        <f>'Stakeholder list'!C220</f>
        <v/>
      </c>
      <c r="C215" s="71">
        <f>'Stakeholder list'!D220</f>
        <v/>
      </c>
      <c r="D215" s="71">
        <f>'Stakeholder list'!E220</f>
        <v/>
      </c>
      <c r="E215" s="71">
        <f>'Stakeholder list'!F220</f>
        <v/>
      </c>
      <c r="F215" s="71">
        <f>'Stakeholder list'!G220</f>
        <v/>
      </c>
      <c r="G215" s="71">
        <f>'Stakeholder list'!H220</f>
        <v/>
      </c>
      <c r="H215" s="71">
        <f>'Stakeholder list'!I220</f>
        <v/>
      </c>
      <c r="I215" s="71">
        <f>'Stakeholder list'!J220</f>
        <v/>
      </c>
      <c r="J215" s="71">
        <f>'Stakeholder list'!K220</f>
        <v/>
      </c>
      <c r="K215" s="71">
        <f>'Stakeholder list'!L220</f>
        <v/>
      </c>
      <c r="L215" s="71">
        <f>'Stakeholder list'!M220</f>
        <v/>
      </c>
      <c r="M215" s="71">
        <f>'Stakeholder list'!N220</f>
        <v/>
      </c>
      <c r="N215" s="71">
        <f>'Stakeholder list'!O220</f>
        <v/>
      </c>
      <c r="O215" s="71">
        <f>'Stakeholder list'!P220</f>
        <v/>
      </c>
      <c r="P215" s="71">
        <f>'Stakeholder list'!Q220</f>
        <v/>
      </c>
      <c r="Q215" s="71">
        <f>'Stakeholder list'!R220</f>
        <v/>
      </c>
      <c r="R215" s="71">
        <f>'Stakeholder list'!S220</f>
        <v/>
      </c>
      <c r="S215" s="71">
        <f>'Stakeholder list'!T220</f>
        <v/>
      </c>
      <c r="T215" s="71">
        <f>'Stakeholder list'!U220</f>
        <v/>
      </c>
      <c r="U215" s="71">
        <f>'Stakeholder list'!V220</f>
        <v/>
      </c>
      <c r="V215" s="71">
        <f>'Stakeholder list'!W220</f>
        <v/>
      </c>
      <c r="W215" s="71">
        <f>'Stakeholder list'!X220</f>
        <v/>
      </c>
    </row>
    <row r="216">
      <c r="A216" s="71">
        <f>'Stakeholder list'!B221</f>
        <v/>
      </c>
      <c r="B216" s="71">
        <f>'Stakeholder list'!C221</f>
        <v/>
      </c>
      <c r="C216" s="71">
        <f>'Stakeholder list'!D221</f>
        <v/>
      </c>
      <c r="D216" s="71">
        <f>'Stakeholder list'!E221</f>
        <v/>
      </c>
      <c r="E216" s="71">
        <f>'Stakeholder list'!F221</f>
        <v/>
      </c>
      <c r="F216" s="71">
        <f>'Stakeholder list'!G221</f>
        <v/>
      </c>
      <c r="G216" s="71">
        <f>'Stakeholder list'!H221</f>
        <v/>
      </c>
      <c r="H216" s="71">
        <f>'Stakeholder list'!I221</f>
        <v/>
      </c>
      <c r="I216" s="71">
        <f>'Stakeholder list'!J221</f>
        <v/>
      </c>
      <c r="J216" s="71">
        <f>'Stakeholder list'!K221</f>
        <v/>
      </c>
      <c r="K216" s="71">
        <f>'Stakeholder list'!L221</f>
        <v/>
      </c>
      <c r="L216" s="71">
        <f>'Stakeholder list'!M221</f>
        <v/>
      </c>
      <c r="M216" s="71">
        <f>'Stakeholder list'!N221</f>
        <v/>
      </c>
      <c r="N216" s="71">
        <f>'Stakeholder list'!O221</f>
        <v/>
      </c>
      <c r="O216" s="71">
        <f>'Stakeholder list'!P221</f>
        <v/>
      </c>
      <c r="P216" s="71">
        <f>'Stakeholder list'!Q221</f>
        <v/>
      </c>
      <c r="Q216" s="71">
        <f>'Stakeholder list'!R221</f>
        <v/>
      </c>
      <c r="R216" s="71">
        <f>'Stakeholder list'!S221</f>
        <v/>
      </c>
      <c r="S216" s="71">
        <f>'Stakeholder list'!T221</f>
        <v/>
      </c>
      <c r="T216" s="71">
        <f>'Stakeholder list'!U221</f>
        <v/>
      </c>
      <c r="U216" s="71">
        <f>'Stakeholder list'!V221</f>
        <v/>
      </c>
      <c r="V216" s="71">
        <f>'Stakeholder list'!W221</f>
        <v/>
      </c>
      <c r="W216" s="71">
        <f>'Stakeholder list'!X221</f>
        <v/>
      </c>
    </row>
    <row r="217">
      <c r="A217" s="71">
        <f>'Stakeholder list'!B222</f>
        <v/>
      </c>
      <c r="B217" s="71">
        <f>'Stakeholder list'!C222</f>
        <v/>
      </c>
      <c r="C217" s="71">
        <f>'Stakeholder list'!D222</f>
        <v/>
      </c>
      <c r="D217" s="71">
        <f>'Stakeholder list'!E222</f>
        <v/>
      </c>
      <c r="E217" s="71">
        <f>'Stakeholder list'!F222</f>
        <v/>
      </c>
      <c r="F217" s="71">
        <f>'Stakeholder list'!G222</f>
        <v/>
      </c>
      <c r="G217" s="71">
        <f>'Stakeholder list'!H222</f>
        <v/>
      </c>
      <c r="H217" s="71">
        <f>'Stakeholder list'!I222</f>
        <v/>
      </c>
      <c r="I217" s="71">
        <f>'Stakeholder list'!J222</f>
        <v/>
      </c>
      <c r="J217" s="71">
        <f>'Stakeholder list'!K222</f>
        <v/>
      </c>
      <c r="K217" s="71">
        <f>'Stakeholder list'!L222</f>
        <v/>
      </c>
      <c r="L217" s="71">
        <f>'Stakeholder list'!M222</f>
        <v/>
      </c>
      <c r="M217" s="71">
        <f>'Stakeholder list'!N222</f>
        <v/>
      </c>
      <c r="N217" s="71">
        <f>'Stakeholder list'!O222</f>
        <v/>
      </c>
      <c r="O217" s="71">
        <f>'Stakeholder list'!P222</f>
        <v/>
      </c>
      <c r="P217" s="71">
        <f>'Stakeholder list'!Q222</f>
        <v/>
      </c>
      <c r="Q217" s="71">
        <f>'Stakeholder list'!R222</f>
        <v/>
      </c>
      <c r="R217" s="71">
        <f>'Stakeholder list'!S222</f>
        <v/>
      </c>
      <c r="S217" s="71">
        <f>'Stakeholder list'!T222</f>
        <v/>
      </c>
      <c r="T217" s="71">
        <f>'Stakeholder list'!U222</f>
        <v/>
      </c>
      <c r="U217" s="71">
        <f>'Stakeholder list'!V222</f>
        <v/>
      </c>
      <c r="V217" s="71">
        <f>'Stakeholder list'!W222</f>
        <v/>
      </c>
      <c r="W217" s="71">
        <f>'Stakeholder list'!X222</f>
        <v/>
      </c>
    </row>
    <row r="218">
      <c r="A218" s="71">
        <f>'Stakeholder list'!B223</f>
        <v/>
      </c>
      <c r="B218" s="71">
        <f>'Stakeholder list'!C223</f>
        <v/>
      </c>
      <c r="C218" s="71">
        <f>'Stakeholder list'!D223</f>
        <v/>
      </c>
      <c r="D218" s="71">
        <f>'Stakeholder list'!E223</f>
        <v/>
      </c>
      <c r="E218" s="71">
        <f>'Stakeholder list'!F223</f>
        <v/>
      </c>
      <c r="F218" s="71">
        <f>'Stakeholder list'!G223</f>
        <v/>
      </c>
      <c r="G218" s="71">
        <f>'Stakeholder list'!H223</f>
        <v/>
      </c>
      <c r="H218" s="71">
        <f>'Stakeholder list'!I223</f>
        <v/>
      </c>
      <c r="I218" s="71">
        <f>'Stakeholder list'!J223</f>
        <v/>
      </c>
      <c r="J218" s="71">
        <f>'Stakeholder list'!K223</f>
        <v/>
      </c>
      <c r="K218" s="71">
        <f>'Stakeholder list'!L223</f>
        <v/>
      </c>
      <c r="L218" s="71">
        <f>'Stakeholder list'!M223</f>
        <v/>
      </c>
      <c r="M218" s="71">
        <f>'Stakeholder list'!N223</f>
        <v/>
      </c>
      <c r="N218" s="71">
        <f>'Stakeholder list'!O223</f>
        <v/>
      </c>
      <c r="O218" s="71">
        <f>'Stakeholder list'!P223</f>
        <v/>
      </c>
      <c r="P218" s="71">
        <f>'Stakeholder list'!Q223</f>
        <v/>
      </c>
      <c r="Q218" s="71">
        <f>'Stakeholder list'!R223</f>
        <v/>
      </c>
      <c r="R218" s="71">
        <f>'Stakeholder list'!S223</f>
        <v/>
      </c>
      <c r="S218" s="71">
        <f>'Stakeholder list'!T223</f>
        <v/>
      </c>
      <c r="T218" s="71">
        <f>'Stakeholder list'!U223</f>
        <v/>
      </c>
      <c r="U218" s="71">
        <f>'Stakeholder list'!V223</f>
        <v/>
      </c>
      <c r="V218" s="71">
        <f>'Stakeholder list'!W223</f>
        <v/>
      </c>
      <c r="W218" s="71">
        <f>'Stakeholder list'!X223</f>
        <v/>
      </c>
    </row>
    <row r="219">
      <c r="A219" s="71">
        <f>'Stakeholder list'!B224</f>
        <v/>
      </c>
      <c r="B219" s="71">
        <f>'Stakeholder list'!C224</f>
        <v/>
      </c>
      <c r="C219" s="71">
        <f>'Stakeholder list'!D224</f>
        <v/>
      </c>
      <c r="D219" s="71">
        <f>'Stakeholder list'!E224</f>
        <v/>
      </c>
      <c r="E219" s="71">
        <f>'Stakeholder list'!F224</f>
        <v/>
      </c>
      <c r="F219" s="71">
        <f>'Stakeholder list'!G224</f>
        <v/>
      </c>
      <c r="G219" s="71">
        <f>'Stakeholder list'!H224</f>
        <v/>
      </c>
      <c r="H219" s="71">
        <f>'Stakeholder list'!I224</f>
        <v/>
      </c>
      <c r="I219" s="71">
        <f>'Stakeholder list'!J224</f>
        <v/>
      </c>
      <c r="J219" s="71">
        <f>'Stakeholder list'!K224</f>
        <v/>
      </c>
      <c r="K219" s="71">
        <f>'Stakeholder list'!L224</f>
        <v/>
      </c>
      <c r="L219" s="71">
        <f>'Stakeholder list'!M224</f>
        <v/>
      </c>
      <c r="M219" s="71">
        <f>'Stakeholder list'!N224</f>
        <v/>
      </c>
      <c r="N219" s="71">
        <f>'Stakeholder list'!O224</f>
        <v/>
      </c>
      <c r="O219" s="71">
        <f>'Stakeholder list'!P224</f>
        <v/>
      </c>
      <c r="P219" s="71">
        <f>'Stakeholder list'!Q224</f>
        <v/>
      </c>
      <c r="Q219" s="71">
        <f>'Stakeholder list'!R224</f>
        <v/>
      </c>
      <c r="R219" s="71">
        <f>'Stakeholder list'!S224</f>
        <v/>
      </c>
      <c r="S219" s="71">
        <f>'Stakeholder list'!T224</f>
        <v/>
      </c>
      <c r="T219" s="71">
        <f>'Stakeholder list'!U224</f>
        <v/>
      </c>
      <c r="U219" s="71">
        <f>'Stakeholder list'!V224</f>
        <v/>
      </c>
      <c r="V219" s="71">
        <f>'Stakeholder list'!W224</f>
        <v/>
      </c>
      <c r="W219" s="71">
        <f>'Stakeholder list'!X224</f>
        <v/>
      </c>
    </row>
    <row r="220">
      <c r="A220" s="71">
        <f>'Stakeholder list'!B225</f>
        <v/>
      </c>
      <c r="B220" s="71">
        <f>'Stakeholder list'!C225</f>
        <v/>
      </c>
      <c r="C220" s="71">
        <f>'Stakeholder list'!D225</f>
        <v/>
      </c>
      <c r="D220" s="71">
        <f>'Stakeholder list'!E225</f>
        <v/>
      </c>
      <c r="E220" s="71">
        <f>'Stakeholder list'!F225</f>
        <v/>
      </c>
      <c r="F220" s="71">
        <f>'Stakeholder list'!G225</f>
        <v/>
      </c>
      <c r="G220" s="71">
        <f>'Stakeholder list'!H225</f>
        <v/>
      </c>
      <c r="H220" s="71">
        <f>'Stakeholder list'!I225</f>
        <v/>
      </c>
      <c r="I220" s="71">
        <f>'Stakeholder list'!J225</f>
        <v/>
      </c>
      <c r="J220" s="71">
        <f>'Stakeholder list'!K225</f>
        <v/>
      </c>
      <c r="K220" s="71">
        <f>'Stakeholder list'!L225</f>
        <v/>
      </c>
      <c r="L220" s="71">
        <f>'Stakeholder list'!M225</f>
        <v/>
      </c>
      <c r="M220" s="71">
        <f>'Stakeholder list'!N225</f>
        <v/>
      </c>
      <c r="N220" s="71">
        <f>'Stakeholder list'!O225</f>
        <v/>
      </c>
      <c r="O220" s="71">
        <f>'Stakeholder list'!P225</f>
        <v/>
      </c>
      <c r="P220" s="71">
        <f>'Stakeholder list'!Q225</f>
        <v/>
      </c>
      <c r="Q220" s="71">
        <f>'Stakeholder list'!R225</f>
        <v/>
      </c>
      <c r="R220" s="71">
        <f>'Stakeholder list'!S225</f>
        <v/>
      </c>
      <c r="S220" s="71">
        <f>'Stakeholder list'!T225</f>
        <v/>
      </c>
      <c r="T220" s="71">
        <f>'Stakeholder list'!U225</f>
        <v/>
      </c>
      <c r="U220" s="71">
        <f>'Stakeholder list'!V225</f>
        <v/>
      </c>
      <c r="V220" s="71">
        <f>'Stakeholder list'!W225</f>
        <v/>
      </c>
      <c r="W220" s="71">
        <f>'Stakeholder list'!X225</f>
        <v/>
      </c>
    </row>
    <row r="221">
      <c r="A221" s="71">
        <f>'Stakeholder list'!B226</f>
        <v/>
      </c>
      <c r="B221" s="71">
        <f>'Stakeholder list'!C226</f>
        <v/>
      </c>
      <c r="C221" s="71">
        <f>'Stakeholder list'!D226</f>
        <v/>
      </c>
      <c r="D221" s="71">
        <f>'Stakeholder list'!E226</f>
        <v/>
      </c>
      <c r="E221" s="71">
        <f>'Stakeholder list'!F226</f>
        <v/>
      </c>
      <c r="F221" s="71">
        <f>'Stakeholder list'!G226</f>
        <v/>
      </c>
      <c r="G221" s="71">
        <f>'Stakeholder list'!H226</f>
        <v/>
      </c>
      <c r="H221" s="71">
        <f>'Stakeholder list'!I226</f>
        <v/>
      </c>
      <c r="I221" s="71">
        <f>'Stakeholder list'!J226</f>
        <v/>
      </c>
      <c r="J221" s="71">
        <f>'Stakeholder list'!K226</f>
        <v/>
      </c>
      <c r="K221" s="71">
        <f>'Stakeholder list'!L226</f>
        <v/>
      </c>
      <c r="L221" s="71">
        <f>'Stakeholder list'!M226</f>
        <v/>
      </c>
      <c r="M221" s="71">
        <f>'Stakeholder list'!N226</f>
        <v/>
      </c>
      <c r="N221" s="71">
        <f>'Stakeholder list'!O226</f>
        <v/>
      </c>
      <c r="O221" s="71">
        <f>'Stakeholder list'!P226</f>
        <v/>
      </c>
      <c r="P221" s="71">
        <f>'Stakeholder list'!Q226</f>
        <v/>
      </c>
      <c r="Q221" s="71">
        <f>'Stakeholder list'!R226</f>
        <v/>
      </c>
      <c r="R221" s="71">
        <f>'Stakeholder list'!S226</f>
        <v/>
      </c>
      <c r="S221" s="71">
        <f>'Stakeholder list'!T226</f>
        <v/>
      </c>
      <c r="T221" s="71">
        <f>'Stakeholder list'!U226</f>
        <v/>
      </c>
      <c r="U221" s="71">
        <f>'Stakeholder list'!V226</f>
        <v/>
      </c>
      <c r="V221" s="71">
        <f>'Stakeholder list'!W226</f>
        <v/>
      </c>
      <c r="W221" s="71">
        <f>'Stakeholder list'!X226</f>
        <v/>
      </c>
    </row>
    <row r="222">
      <c r="A222" s="71">
        <f>'Stakeholder list'!B227</f>
        <v/>
      </c>
      <c r="B222" s="71">
        <f>'Stakeholder list'!C227</f>
        <v/>
      </c>
      <c r="C222" s="71">
        <f>'Stakeholder list'!D227</f>
        <v/>
      </c>
      <c r="D222" s="71">
        <f>'Stakeholder list'!E227</f>
        <v/>
      </c>
      <c r="E222" s="71">
        <f>'Stakeholder list'!F227</f>
        <v/>
      </c>
      <c r="F222" s="71">
        <f>'Stakeholder list'!G227</f>
        <v/>
      </c>
      <c r="G222" s="71">
        <f>'Stakeholder list'!H227</f>
        <v/>
      </c>
      <c r="H222" s="71">
        <f>'Stakeholder list'!I227</f>
        <v/>
      </c>
      <c r="I222" s="71">
        <f>'Stakeholder list'!J227</f>
        <v/>
      </c>
      <c r="J222" s="71">
        <f>'Stakeholder list'!K227</f>
        <v/>
      </c>
      <c r="K222" s="71">
        <f>'Stakeholder list'!L227</f>
        <v/>
      </c>
      <c r="L222" s="71">
        <f>'Stakeholder list'!M227</f>
        <v/>
      </c>
      <c r="M222" s="71">
        <f>'Stakeholder list'!N227</f>
        <v/>
      </c>
      <c r="N222" s="71">
        <f>'Stakeholder list'!O227</f>
        <v/>
      </c>
      <c r="O222" s="71">
        <f>'Stakeholder list'!P227</f>
        <v/>
      </c>
      <c r="P222" s="71">
        <f>'Stakeholder list'!Q227</f>
        <v/>
      </c>
      <c r="Q222" s="71">
        <f>'Stakeholder list'!R227</f>
        <v/>
      </c>
      <c r="R222" s="71">
        <f>'Stakeholder list'!S227</f>
        <v/>
      </c>
      <c r="S222" s="71">
        <f>'Stakeholder list'!T227</f>
        <v/>
      </c>
      <c r="T222" s="71">
        <f>'Stakeholder list'!U227</f>
        <v/>
      </c>
      <c r="U222" s="71">
        <f>'Stakeholder list'!V227</f>
        <v/>
      </c>
      <c r="V222" s="71">
        <f>'Stakeholder list'!W227</f>
        <v/>
      </c>
      <c r="W222" s="71">
        <f>'Stakeholder list'!X227</f>
        <v/>
      </c>
    </row>
    <row r="223">
      <c r="A223" s="71">
        <f>'Stakeholder list'!B228</f>
        <v/>
      </c>
      <c r="B223" s="71">
        <f>'Stakeholder list'!C228</f>
        <v/>
      </c>
      <c r="C223" s="71">
        <f>'Stakeholder list'!D228</f>
        <v/>
      </c>
      <c r="D223" s="71">
        <f>'Stakeholder list'!E228</f>
        <v/>
      </c>
      <c r="E223" s="71">
        <f>'Stakeholder list'!F228</f>
        <v/>
      </c>
      <c r="F223" s="71">
        <f>'Stakeholder list'!G228</f>
        <v/>
      </c>
      <c r="G223" s="71">
        <f>'Stakeholder list'!H228</f>
        <v/>
      </c>
      <c r="H223" s="71">
        <f>'Stakeholder list'!I228</f>
        <v/>
      </c>
      <c r="I223" s="71">
        <f>'Stakeholder list'!J228</f>
        <v/>
      </c>
      <c r="J223" s="71">
        <f>'Stakeholder list'!K228</f>
        <v/>
      </c>
      <c r="K223" s="71">
        <f>'Stakeholder list'!L228</f>
        <v/>
      </c>
      <c r="L223" s="71">
        <f>'Stakeholder list'!M228</f>
        <v/>
      </c>
      <c r="M223" s="71">
        <f>'Stakeholder list'!N228</f>
        <v/>
      </c>
      <c r="N223" s="71">
        <f>'Stakeholder list'!O228</f>
        <v/>
      </c>
      <c r="O223" s="71">
        <f>'Stakeholder list'!P228</f>
        <v/>
      </c>
      <c r="P223" s="71">
        <f>'Stakeholder list'!Q228</f>
        <v/>
      </c>
      <c r="Q223" s="71">
        <f>'Stakeholder list'!R228</f>
        <v/>
      </c>
      <c r="R223" s="71">
        <f>'Stakeholder list'!S228</f>
        <v/>
      </c>
      <c r="S223" s="71">
        <f>'Stakeholder list'!T228</f>
        <v/>
      </c>
      <c r="T223" s="71">
        <f>'Stakeholder list'!U228</f>
        <v/>
      </c>
      <c r="U223" s="71">
        <f>'Stakeholder list'!V228</f>
        <v/>
      </c>
      <c r="V223" s="71">
        <f>'Stakeholder list'!W228</f>
        <v/>
      </c>
      <c r="W223" s="71">
        <f>'Stakeholder list'!X228</f>
        <v/>
      </c>
    </row>
    <row r="224">
      <c r="A224" s="71">
        <f>'Stakeholder list'!B229</f>
        <v/>
      </c>
      <c r="B224" s="71">
        <f>'Stakeholder list'!C229</f>
        <v/>
      </c>
      <c r="C224" s="71">
        <f>'Stakeholder list'!D229</f>
        <v/>
      </c>
      <c r="D224" s="71">
        <f>'Stakeholder list'!E229</f>
        <v/>
      </c>
      <c r="E224" s="71">
        <f>'Stakeholder list'!F229</f>
        <v/>
      </c>
      <c r="F224" s="71">
        <f>'Stakeholder list'!G229</f>
        <v/>
      </c>
      <c r="G224" s="71">
        <f>'Stakeholder list'!H229</f>
        <v/>
      </c>
      <c r="H224" s="71">
        <f>'Stakeholder list'!I229</f>
        <v/>
      </c>
      <c r="I224" s="71">
        <f>'Stakeholder list'!J229</f>
        <v/>
      </c>
      <c r="J224" s="71">
        <f>'Stakeholder list'!K229</f>
        <v/>
      </c>
      <c r="K224" s="71">
        <f>'Stakeholder list'!L229</f>
        <v/>
      </c>
      <c r="L224" s="71">
        <f>'Stakeholder list'!M229</f>
        <v/>
      </c>
      <c r="M224" s="71">
        <f>'Stakeholder list'!N229</f>
        <v/>
      </c>
      <c r="N224" s="71">
        <f>'Stakeholder list'!O229</f>
        <v/>
      </c>
      <c r="O224" s="71">
        <f>'Stakeholder list'!P229</f>
        <v/>
      </c>
      <c r="P224" s="71">
        <f>'Stakeholder list'!Q229</f>
        <v/>
      </c>
      <c r="Q224" s="73">
        <f>'Stakeholder list'!R229</f>
        <v/>
      </c>
      <c r="R224" s="71">
        <f>'Stakeholder list'!S229</f>
        <v/>
      </c>
      <c r="S224" s="71">
        <f>'Stakeholder list'!T229</f>
        <v/>
      </c>
      <c r="T224" s="71">
        <f>'Stakeholder list'!U229</f>
        <v/>
      </c>
      <c r="U224" s="71">
        <f>'Stakeholder list'!V229</f>
        <v/>
      </c>
      <c r="V224" s="71">
        <f>'Stakeholder list'!W229</f>
        <v/>
      </c>
      <c r="W224" s="71">
        <f>'Stakeholder list'!X229</f>
        <v/>
      </c>
    </row>
    <row r="225">
      <c r="A225" s="71">
        <f>'Stakeholder list'!B230</f>
        <v/>
      </c>
      <c r="B225" s="71">
        <f>'Stakeholder list'!C230</f>
        <v/>
      </c>
      <c r="C225" s="71">
        <f>'Stakeholder list'!D230</f>
        <v/>
      </c>
      <c r="D225" s="71">
        <f>'Stakeholder list'!E230</f>
        <v/>
      </c>
      <c r="E225" s="71">
        <f>'Stakeholder list'!F230</f>
        <v/>
      </c>
      <c r="F225" s="71">
        <f>'Stakeholder list'!G230</f>
        <v/>
      </c>
      <c r="G225" s="71">
        <f>'Stakeholder list'!H230</f>
        <v/>
      </c>
      <c r="H225" s="71">
        <f>'Stakeholder list'!I230</f>
        <v/>
      </c>
      <c r="I225" s="71">
        <f>'Stakeholder list'!J230</f>
        <v/>
      </c>
      <c r="J225" s="71">
        <f>'Stakeholder list'!K230</f>
        <v/>
      </c>
      <c r="K225" s="71">
        <f>'Stakeholder list'!L230</f>
        <v/>
      </c>
      <c r="L225" s="71">
        <f>'Stakeholder list'!M230</f>
        <v/>
      </c>
      <c r="M225" s="71">
        <f>'Stakeholder list'!N230</f>
        <v/>
      </c>
      <c r="N225" s="71">
        <f>'Stakeholder list'!O230</f>
        <v/>
      </c>
      <c r="O225" s="71">
        <f>'Stakeholder list'!P230</f>
        <v/>
      </c>
      <c r="P225" s="71">
        <f>'Stakeholder list'!Q230</f>
        <v/>
      </c>
      <c r="Q225" s="71">
        <f>'Stakeholder list'!R230</f>
        <v/>
      </c>
      <c r="R225" s="71">
        <f>'Stakeholder list'!S230</f>
        <v/>
      </c>
      <c r="S225" s="71">
        <f>'Stakeholder list'!T230</f>
        <v/>
      </c>
      <c r="T225" s="71">
        <f>'Stakeholder list'!U230</f>
        <v/>
      </c>
      <c r="U225" s="71">
        <f>'Stakeholder list'!V230</f>
        <v/>
      </c>
      <c r="V225" s="71">
        <f>'Stakeholder list'!W230</f>
        <v/>
      </c>
      <c r="W225" s="71">
        <f>'Stakeholder list'!X230</f>
        <v/>
      </c>
    </row>
    <row r="226">
      <c r="A226" s="71">
        <f>'Stakeholder list'!B231</f>
        <v/>
      </c>
      <c r="B226" s="71">
        <f>'Stakeholder list'!C231</f>
        <v/>
      </c>
      <c r="C226" s="71">
        <f>'Stakeholder list'!D231</f>
        <v/>
      </c>
      <c r="D226" s="71">
        <f>'Stakeholder list'!E231</f>
        <v/>
      </c>
      <c r="E226" s="71">
        <f>'Stakeholder list'!F231</f>
        <v/>
      </c>
      <c r="F226" s="71">
        <f>'Stakeholder list'!G231</f>
        <v/>
      </c>
      <c r="G226" s="71">
        <f>'Stakeholder list'!H231</f>
        <v/>
      </c>
      <c r="H226" s="71">
        <f>'Stakeholder list'!I231</f>
        <v/>
      </c>
      <c r="I226" s="71">
        <f>'Stakeholder list'!J231</f>
        <v/>
      </c>
      <c r="J226" s="71">
        <f>'Stakeholder list'!K231</f>
        <v/>
      </c>
      <c r="K226" s="71">
        <f>'Stakeholder list'!L231</f>
        <v/>
      </c>
      <c r="L226" s="71">
        <f>'Stakeholder list'!M231</f>
        <v/>
      </c>
      <c r="M226" s="71">
        <f>'Stakeholder list'!N231</f>
        <v/>
      </c>
      <c r="N226" s="71">
        <f>'Stakeholder list'!O231</f>
        <v/>
      </c>
      <c r="O226" s="71">
        <f>'Stakeholder list'!P231</f>
        <v/>
      </c>
      <c r="P226" s="71">
        <f>'Stakeholder list'!Q231</f>
        <v/>
      </c>
      <c r="Q226" s="71">
        <f>'Stakeholder list'!R231</f>
        <v/>
      </c>
      <c r="R226" s="71">
        <f>'Stakeholder list'!S231</f>
        <v/>
      </c>
      <c r="S226" s="71">
        <f>'Stakeholder list'!T231</f>
        <v/>
      </c>
      <c r="T226" s="71">
        <f>'Stakeholder list'!U231</f>
        <v/>
      </c>
      <c r="U226" s="71">
        <f>'Stakeholder list'!V231</f>
        <v/>
      </c>
      <c r="V226" s="71">
        <f>'Stakeholder list'!W231</f>
        <v/>
      </c>
      <c r="W226" s="71">
        <f>'Stakeholder list'!X231</f>
        <v/>
      </c>
    </row>
    <row r="227">
      <c r="A227" s="71">
        <f>'Stakeholder list'!B232</f>
        <v/>
      </c>
      <c r="B227" s="71">
        <f>'Stakeholder list'!C232</f>
        <v/>
      </c>
      <c r="C227" s="71">
        <f>'Stakeholder list'!D232</f>
        <v/>
      </c>
      <c r="D227" s="71">
        <f>'Stakeholder list'!E232</f>
        <v/>
      </c>
      <c r="E227" s="71">
        <f>'Stakeholder list'!F232</f>
        <v/>
      </c>
      <c r="F227" s="71">
        <f>'Stakeholder list'!G232</f>
        <v/>
      </c>
      <c r="G227" s="71">
        <f>'Stakeholder list'!H232</f>
        <v/>
      </c>
      <c r="H227" s="71">
        <f>'Stakeholder list'!I232</f>
        <v/>
      </c>
      <c r="I227" s="71">
        <f>'Stakeholder list'!J232</f>
        <v/>
      </c>
      <c r="J227" s="71">
        <f>'Stakeholder list'!K232</f>
        <v/>
      </c>
      <c r="K227" s="71">
        <f>'Stakeholder list'!L232</f>
        <v/>
      </c>
      <c r="L227" s="71">
        <f>'Stakeholder list'!M232</f>
        <v/>
      </c>
      <c r="M227" s="71">
        <f>'Stakeholder list'!N232</f>
        <v/>
      </c>
      <c r="N227" s="71">
        <f>'Stakeholder list'!O232</f>
        <v/>
      </c>
      <c r="O227" s="71">
        <f>'Stakeholder list'!P232</f>
        <v/>
      </c>
      <c r="P227" s="71">
        <f>'Stakeholder list'!Q232</f>
        <v/>
      </c>
      <c r="Q227" s="71">
        <f>'Stakeholder list'!R232</f>
        <v/>
      </c>
      <c r="R227" s="71">
        <f>'Stakeholder list'!S232</f>
        <v/>
      </c>
      <c r="S227" s="71">
        <f>'Stakeholder list'!T232</f>
        <v/>
      </c>
      <c r="T227" s="71">
        <f>'Stakeholder list'!U232</f>
        <v/>
      </c>
      <c r="U227" s="71">
        <f>'Stakeholder list'!V232</f>
        <v/>
      </c>
      <c r="V227" s="71">
        <f>'Stakeholder list'!W232</f>
        <v/>
      </c>
      <c r="W227" s="71">
        <f>'Stakeholder list'!X232</f>
        <v/>
      </c>
    </row>
    <row r="228">
      <c r="A228" s="71">
        <f>'Stakeholder list'!B233</f>
        <v/>
      </c>
      <c r="B228" s="71">
        <f>'Stakeholder list'!C233</f>
        <v/>
      </c>
      <c r="C228" s="71">
        <f>'Stakeholder list'!D233</f>
        <v/>
      </c>
      <c r="D228" s="71">
        <f>'Stakeholder list'!E233</f>
        <v/>
      </c>
      <c r="E228" s="71">
        <f>'Stakeholder list'!F233</f>
        <v/>
      </c>
      <c r="F228" s="71">
        <f>'Stakeholder list'!G233</f>
        <v/>
      </c>
      <c r="G228" s="71">
        <f>'Stakeholder list'!H233</f>
        <v/>
      </c>
      <c r="H228" s="71">
        <f>'Stakeholder list'!I233</f>
        <v/>
      </c>
      <c r="I228" s="71">
        <f>'Stakeholder list'!J233</f>
        <v/>
      </c>
      <c r="J228" s="71">
        <f>'Stakeholder list'!K233</f>
        <v/>
      </c>
      <c r="K228" s="71">
        <f>'Stakeholder list'!L233</f>
        <v/>
      </c>
      <c r="L228" s="71">
        <f>'Stakeholder list'!M233</f>
        <v/>
      </c>
      <c r="M228" s="71">
        <f>'Stakeholder list'!N233</f>
        <v/>
      </c>
      <c r="N228" s="71">
        <f>'Stakeholder list'!O233</f>
        <v/>
      </c>
      <c r="O228" s="71">
        <f>'Stakeholder list'!P233</f>
        <v/>
      </c>
      <c r="P228" s="71">
        <f>'Stakeholder list'!Q233</f>
        <v/>
      </c>
      <c r="Q228" s="71">
        <f>'Stakeholder list'!R233</f>
        <v/>
      </c>
      <c r="R228" s="71">
        <f>'Stakeholder list'!S233</f>
        <v/>
      </c>
      <c r="S228" s="71">
        <f>'Stakeholder list'!T233</f>
        <v/>
      </c>
      <c r="T228" s="71">
        <f>'Stakeholder list'!U233</f>
        <v/>
      </c>
      <c r="U228" s="71">
        <f>'Stakeholder list'!V233</f>
        <v/>
      </c>
      <c r="V228" s="71">
        <f>'Stakeholder list'!W233</f>
        <v/>
      </c>
      <c r="W228" s="71">
        <f>'Stakeholder list'!X233</f>
        <v/>
      </c>
    </row>
    <row r="229">
      <c r="A229" s="71">
        <f>'Stakeholder list'!B234</f>
        <v/>
      </c>
      <c r="B229" s="71">
        <f>'Stakeholder list'!C234</f>
        <v/>
      </c>
      <c r="C229" s="71">
        <f>'Stakeholder list'!D234</f>
        <v/>
      </c>
      <c r="D229" s="71">
        <f>'Stakeholder list'!E234</f>
        <v/>
      </c>
      <c r="E229" s="71">
        <f>'Stakeholder list'!F234</f>
        <v/>
      </c>
      <c r="F229" s="71">
        <f>'Stakeholder list'!G234</f>
        <v/>
      </c>
      <c r="G229" s="71">
        <f>'Stakeholder list'!H234</f>
        <v/>
      </c>
      <c r="H229" s="71">
        <f>'Stakeholder list'!I234</f>
        <v/>
      </c>
      <c r="I229" s="71">
        <f>'Stakeholder list'!J234</f>
        <v/>
      </c>
      <c r="J229" s="71">
        <f>'Stakeholder list'!K234</f>
        <v/>
      </c>
      <c r="K229" s="71">
        <f>'Stakeholder list'!L234</f>
        <v/>
      </c>
      <c r="L229" s="71">
        <f>'Stakeholder list'!M234</f>
        <v/>
      </c>
      <c r="M229" s="71">
        <f>'Stakeholder list'!N234</f>
        <v/>
      </c>
      <c r="N229" s="71">
        <f>'Stakeholder list'!O234</f>
        <v/>
      </c>
      <c r="O229" s="71">
        <f>'Stakeholder list'!P234</f>
        <v/>
      </c>
      <c r="P229" s="71">
        <f>'Stakeholder list'!Q234</f>
        <v/>
      </c>
      <c r="Q229" s="71">
        <f>'Stakeholder list'!R234</f>
        <v/>
      </c>
      <c r="R229" s="71">
        <f>'Stakeholder list'!S234</f>
        <v/>
      </c>
      <c r="S229" s="71">
        <f>'Stakeholder list'!T234</f>
        <v/>
      </c>
      <c r="T229" s="71">
        <f>'Stakeholder list'!U234</f>
        <v/>
      </c>
      <c r="U229" s="71">
        <f>'Stakeholder list'!V234</f>
        <v/>
      </c>
      <c r="V229" s="71">
        <f>'Stakeholder list'!W234</f>
        <v/>
      </c>
      <c r="W229" s="71">
        <f>'Stakeholder list'!X234</f>
        <v/>
      </c>
    </row>
    <row r="230">
      <c r="A230" s="71">
        <f>'Stakeholder list'!B235</f>
        <v/>
      </c>
      <c r="B230" s="71">
        <f>'Stakeholder list'!C235</f>
        <v/>
      </c>
      <c r="C230" s="71">
        <f>'Stakeholder list'!D235</f>
        <v/>
      </c>
      <c r="D230" s="71">
        <f>'Stakeholder list'!E235</f>
        <v/>
      </c>
      <c r="E230" s="71">
        <f>'Stakeholder list'!F235</f>
        <v/>
      </c>
      <c r="F230" s="71">
        <f>'Stakeholder list'!G235</f>
        <v/>
      </c>
      <c r="G230" s="71">
        <f>'Stakeholder list'!H235</f>
        <v/>
      </c>
      <c r="H230" s="71">
        <f>'Stakeholder list'!I235</f>
        <v/>
      </c>
      <c r="I230" s="71">
        <f>'Stakeholder list'!J235</f>
        <v/>
      </c>
      <c r="J230" s="71">
        <f>'Stakeholder list'!K235</f>
        <v/>
      </c>
      <c r="K230" s="71">
        <f>'Stakeholder list'!L235</f>
        <v/>
      </c>
      <c r="L230" s="71">
        <f>'Stakeholder list'!M235</f>
        <v/>
      </c>
      <c r="M230" s="71">
        <f>'Stakeholder list'!N235</f>
        <v/>
      </c>
      <c r="N230" s="71">
        <f>'Stakeholder list'!O235</f>
        <v/>
      </c>
      <c r="O230" s="71">
        <f>'Stakeholder list'!P235</f>
        <v/>
      </c>
      <c r="P230" s="71">
        <f>'Stakeholder list'!Q235</f>
        <v/>
      </c>
      <c r="Q230" s="71">
        <f>'Stakeholder list'!R235</f>
        <v/>
      </c>
      <c r="R230" s="71">
        <f>'Stakeholder list'!S235</f>
        <v/>
      </c>
      <c r="S230" s="71">
        <f>'Stakeholder list'!T235</f>
        <v/>
      </c>
      <c r="T230" s="71">
        <f>'Stakeholder list'!U235</f>
        <v/>
      </c>
      <c r="U230" s="71">
        <f>'Stakeholder list'!V235</f>
        <v/>
      </c>
      <c r="V230" s="71">
        <f>'Stakeholder list'!W235</f>
        <v/>
      </c>
      <c r="W230" s="71">
        <f>'Stakeholder list'!X235</f>
        <v/>
      </c>
    </row>
    <row r="231">
      <c r="A231" s="71">
        <f>'Stakeholder list'!B236</f>
        <v/>
      </c>
      <c r="B231" s="71">
        <f>'Stakeholder list'!C236</f>
        <v/>
      </c>
      <c r="C231" s="71">
        <f>'Stakeholder list'!D236</f>
        <v/>
      </c>
      <c r="D231" s="71">
        <f>'Stakeholder list'!E236</f>
        <v/>
      </c>
      <c r="E231" s="71">
        <f>'Stakeholder list'!F236</f>
        <v/>
      </c>
      <c r="F231" s="71">
        <f>'Stakeholder list'!G236</f>
        <v/>
      </c>
      <c r="G231" s="71">
        <f>'Stakeholder list'!H236</f>
        <v/>
      </c>
      <c r="H231" s="71">
        <f>'Stakeholder list'!I236</f>
        <v/>
      </c>
      <c r="I231" s="71">
        <f>'Stakeholder list'!J236</f>
        <v/>
      </c>
      <c r="J231" s="71">
        <f>'Stakeholder list'!K236</f>
        <v/>
      </c>
      <c r="K231" s="71">
        <f>'Stakeholder list'!L236</f>
        <v/>
      </c>
      <c r="L231" s="71">
        <f>'Stakeholder list'!M236</f>
        <v/>
      </c>
      <c r="M231" s="71">
        <f>'Stakeholder list'!N236</f>
        <v/>
      </c>
      <c r="N231" s="71">
        <f>'Stakeholder list'!O236</f>
        <v/>
      </c>
      <c r="O231" s="71">
        <f>'Stakeholder list'!P236</f>
        <v/>
      </c>
      <c r="P231" s="71">
        <f>'Stakeholder list'!Q236</f>
        <v/>
      </c>
      <c r="Q231" s="71">
        <f>'Stakeholder list'!R236</f>
        <v/>
      </c>
      <c r="R231" s="71">
        <f>'Stakeholder list'!S236</f>
        <v/>
      </c>
      <c r="S231" s="71">
        <f>'Stakeholder list'!T236</f>
        <v/>
      </c>
      <c r="T231" s="71">
        <f>'Stakeholder list'!U236</f>
        <v/>
      </c>
      <c r="U231" s="71">
        <f>'Stakeholder list'!V236</f>
        <v/>
      </c>
      <c r="V231" s="71">
        <f>'Stakeholder list'!W236</f>
        <v/>
      </c>
      <c r="W231" s="71">
        <f>'Stakeholder list'!X236</f>
        <v/>
      </c>
    </row>
    <row r="232">
      <c r="A232" s="71">
        <f>'Stakeholder list'!B237</f>
        <v/>
      </c>
      <c r="B232" s="71">
        <f>'Stakeholder list'!C237</f>
        <v/>
      </c>
      <c r="C232" s="71">
        <f>'Stakeholder list'!D237</f>
        <v/>
      </c>
      <c r="D232" s="71">
        <f>'Stakeholder list'!E237</f>
        <v/>
      </c>
      <c r="E232" s="71">
        <f>'Stakeholder list'!F237</f>
        <v/>
      </c>
      <c r="F232" s="71">
        <f>'Stakeholder list'!G237</f>
        <v/>
      </c>
      <c r="G232" s="71">
        <f>'Stakeholder list'!H237</f>
        <v/>
      </c>
      <c r="H232" s="71">
        <f>'Stakeholder list'!I237</f>
        <v/>
      </c>
      <c r="I232" s="71">
        <f>'Stakeholder list'!J237</f>
        <v/>
      </c>
      <c r="J232" s="71">
        <f>'Stakeholder list'!K237</f>
        <v/>
      </c>
      <c r="K232" s="71">
        <f>'Stakeholder list'!L237</f>
        <v/>
      </c>
      <c r="L232" s="71">
        <f>'Stakeholder list'!M237</f>
        <v/>
      </c>
      <c r="M232" s="71">
        <f>'Stakeholder list'!N237</f>
        <v/>
      </c>
      <c r="N232" s="71">
        <f>'Stakeholder list'!O237</f>
        <v/>
      </c>
      <c r="O232" s="71">
        <f>'Stakeholder list'!P237</f>
        <v/>
      </c>
      <c r="P232" s="71">
        <f>'Stakeholder list'!Q237</f>
        <v/>
      </c>
      <c r="Q232" s="71">
        <f>'Stakeholder list'!R237</f>
        <v/>
      </c>
      <c r="R232" s="71">
        <f>'Stakeholder list'!S237</f>
        <v/>
      </c>
      <c r="S232" s="71">
        <f>'Stakeholder list'!T237</f>
        <v/>
      </c>
      <c r="T232" s="71">
        <f>'Stakeholder list'!U237</f>
        <v/>
      </c>
      <c r="U232" s="71">
        <f>'Stakeholder list'!V237</f>
        <v/>
      </c>
      <c r="V232" s="71">
        <f>'Stakeholder list'!W237</f>
        <v/>
      </c>
      <c r="W232" s="71">
        <f>'Stakeholder list'!X237</f>
        <v/>
      </c>
    </row>
    <row r="233">
      <c r="A233" s="71">
        <f>'Stakeholder list'!B238</f>
        <v/>
      </c>
      <c r="B233" s="71">
        <f>'Stakeholder list'!C238</f>
        <v/>
      </c>
      <c r="C233" s="71">
        <f>'Stakeholder list'!D238</f>
        <v/>
      </c>
      <c r="D233" s="71">
        <f>'Stakeholder list'!E238</f>
        <v/>
      </c>
      <c r="E233" s="71">
        <f>'Stakeholder list'!F238</f>
        <v/>
      </c>
      <c r="F233" s="71">
        <f>'Stakeholder list'!G238</f>
        <v/>
      </c>
      <c r="G233" s="71">
        <f>'Stakeholder list'!H238</f>
        <v/>
      </c>
      <c r="H233" s="71">
        <f>'Stakeholder list'!I238</f>
        <v/>
      </c>
      <c r="I233" s="71">
        <f>'Stakeholder list'!J238</f>
        <v/>
      </c>
      <c r="J233" s="71">
        <f>'Stakeholder list'!K238</f>
        <v/>
      </c>
      <c r="K233" s="71">
        <f>'Stakeholder list'!L238</f>
        <v/>
      </c>
      <c r="L233" s="71">
        <f>'Stakeholder list'!M238</f>
        <v/>
      </c>
      <c r="M233" s="71">
        <f>'Stakeholder list'!N238</f>
        <v/>
      </c>
      <c r="N233" s="71">
        <f>'Stakeholder list'!O238</f>
        <v/>
      </c>
      <c r="O233" s="71">
        <f>'Stakeholder list'!P238</f>
        <v/>
      </c>
      <c r="P233" s="71">
        <f>'Stakeholder list'!Q238</f>
        <v/>
      </c>
      <c r="Q233" s="71">
        <f>'Stakeholder list'!R238</f>
        <v/>
      </c>
      <c r="R233" s="71">
        <f>'Stakeholder list'!S238</f>
        <v/>
      </c>
      <c r="S233" s="71">
        <f>'Stakeholder list'!T238</f>
        <v/>
      </c>
      <c r="T233" s="71">
        <f>'Stakeholder list'!U238</f>
        <v/>
      </c>
      <c r="U233" s="71">
        <f>'Stakeholder list'!V238</f>
        <v/>
      </c>
      <c r="V233" s="71">
        <f>'Stakeholder list'!W238</f>
        <v/>
      </c>
      <c r="W233" s="71">
        <f>'Stakeholder list'!X238</f>
        <v/>
      </c>
    </row>
    <row r="234">
      <c r="A234" s="71">
        <f>'Stakeholder list'!B239</f>
        <v/>
      </c>
      <c r="B234" s="71">
        <f>'Stakeholder list'!C239</f>
        <v/>
      </c>
      <c r="C234" s="71">
        <f>'Stakeholder list'!D239</f>
        <v/>
      </c>
      <c r="D234" s="71">
        <f>'Stakeholder list'!E239</f>
        <v/>
      </c>
      <c r="E234" s="71">
        <f>'Stakeholder list'!F239</f>
        <v/>
      </c>
      <c r="F234" s="71">
        <f>'Stakeholder list'!G239</f>
        <v/>
      </c>
      <c r="G234" s="71">
        <f>'Stakeholder list'!H239</f>
        <v/>
      </c>
      <c r="H234" s="71">
        <f>'Stakeholder list'!I239</f>
        <v/>
      </c>
      <c r="I234" s="71">
        <f>'Stakeholder list'!J239</f>
        <v/>
      </c>
      <c r="J234" s="71">
        <f>'Stakeholder list'!K239</f>
        <v/>
      </c>
      <c r="K234" s="71">
        <f>'Stakeholder list'!L239</f>
        <v/>
      </c>
      <c r="L234" s="71">
        <f>'Stakeholder list'!M239</f>
        <v/>
      </c>
      <c r="M234" s="71">
        <f>'Stakeholder list'!N239</f>
        <v/>
      </c>
      <c r="N234" s="71">
        <f>'Stakeholder list'!O239</f>
        <v/>
      </c>
      <c r="O234" s="71">
        <f>'Stakeholder list'!P239</f>
        <v/>
      </c>
      <c r="P234" s="71">
        <f>'Stakeholder list'!Q239</f>
        <v/>
      </c>
      <c r="Q234" s="71">
        <f>'Stakeholder list'!R239</f>
        <v/>
      </c>
      <c r="R234" s="71">
        <f>'Stakeholder list'!S239</f>
        <v/>
      </c>
      <c r="S234" s="71">
        <f>'Stakeholder list'!T239</f>
        <v/>
      </c>
      <c r="T234" s="71">
        <f>'Stakeholder list'!U239</f>
        <v/>
      </c>
      <c r="U234" s="71">
        <f>'Stakeholder list'!V239</f>
        <v/>
      </c>
      <c r="V234" s="71">
        <f>'Stakeholder list'!W239</f>
        <v/>
      </c>
      <c r="W234" s="71">
        <f>'Stakeholder list'!X239</f>
        <v/>
      </c>
    </row>
    <row r="235">
      <c r="A235" s="71">
        <f>'Stakeholder list'!B240</f>
        <v/>
      </c>
      <c r="B235" s="71">
        <f>'Stakeholder list'!C240</f>
        <v/>
      </c>
      <c r="C235" s="71">
        <f>'Stakeholder list'!D240</f>
        <v/>
      </c>
      <c r="D235" s="71">
        <f>'Stakeholder list'!E240</f>
        <v/>
      </c>
      <c r="E235" s="71">
        <f>'Stakeholder list'!F240</f>
        <v/>
      </c>
      <c r="F235" s="71">
        <f>'Stakeholder list'!G240</f>
        <v/>
      </c>
      <c r="G235" s="71">
        <f>'Stakeholder list'!H240</f>
        <v/>
      </c>
      <c r="H235" s="71">
        <f>'Stakeholder list'!I240</f>
        <v/>
      </c>
      <c r="I235" s="71">
        <f>'Stakeholder list'!J240</f>
        <v/>
      </c>
      <c r="J235" s="71">
        <f>'Stakeholder list'!K240</f>
        <v/>
      </c>
      <c r="K235" s="71">
        <f>'Stakeholder list'!L240</f>
        <v/>
      </c>
      <c r="L235" s="71">
        <f>'Stakeholder list'!M240</f>
        <v/>
      </c>
      <c r="M235" s="71">
        <f>'Stakeholder list'!N240</f>
        <v/>
      </c>
      <c r="N235" s="71">
        <f>'Stakeholder list'!O240</f>
        <v/>
      </c>
      <c r="O235" s="71">
        <f>'Stakeholder list'!P240</f>
        <v/>
      </c>
      <c r="P235" s="71">
        <f>'Stakeholder list'!Q240</f>
        <v/>
      </c>
      <c r="Q235" s="71">
        <f>'Stakeholder list'!R240</f>
        <v/>
      </c>
      <c r="R235" s="71">
        <f>'Stakeholder list'!S240</f>
        <v/>
      </c>
      <c r="S235" s="71">
        <f>'Stakeholder list'!T240</f>
        <v/>
      </c>
      <c r="T235" s="71">
        <f>'Stakeholder list'!U240</f>
        <v/>
      </c>
      <c r="U235" s="71">
        <f>'Stakeholder list'!V240</f>
        <v/>
      </c>
      <c r="V235" s="71">
        <f>'Stakeholder list'!W240</f>
        <v/>
      </c>
      <c r="W235" s="71">
        <f>'Stakeholder list'!X240</f>
        <v/>
      </c>
    </row>
    <row r="236">
      <c r="A236" s="71">
        <f>'Stakeholder list'!B241</f>
        <v/>
      </c>
      <c r="B236" s="71">
        <f>'Stakeholder list'!C241</f>
        <v/>
      </c>
      <c r="C236" s="71">
        <f>'Stakeholder list'!D241</f>
        <v/>
      </c>
      <c r="D236" s="71">
        <f>'Stakeholder list'!E241</f>
        <v/>
      </c>
      <c r="E236" s="71">
        <f>'Stakeholder list'!F241</f>
        <v/>
      </c>
      <c r="F236" s="71">
        <f>'Stakeholder list'!G241</f>
        <v/>
      </c>
      <c r="G236" s="71">
        <f>'Stakeholder list'!H241</f>
        <v/>
      </c>
      <c r="H236" s="71">
        <f>'Stakeholder list'!I241</f>
        <v/>
      </c>
      <c r="I236" s="71">
        <f>'Stakeholder list'!J241</f>
        <v/>
      </c>
      <c r="J236" s="71">
        <f>'Stakeholder list'!K241</f>
        <v/>
      </c>
      <c r="K236" s="71">
        <f>'Stakeholder list'!L241</f>
        <v/>
      </c>
      <c r="L236" s="71">
        <f>'Stakeholder list'!M241</f>
        <v/>
      </c>
      <c r="M236" s="71">
        <f>'Stakeholder list'!N241</f>
        <v/>
      </c>
      <c r="N236" s="71">
        <f>'Stakeholder list'!O241</f>
        <v/>
      </c>
      <c r="O236" s="71">
        <f>'Stakeholder list'!P241</f>
        <v/>
      </c>
      <c r="P236" s="71">
        <f>'Stakeholder list'!Q241</f>
        <v/>
      </c>
      <c r="Q236" s="71">
        <f>'Stakeholder list'!R241</f>
        <v/>
      </c>
      <c r="R236" s="71">
        <f>'Stakeholder list'!S241</f>
        <v/>
      </c>
      <c r="S236" s="71">
        <f>'Stakeholder list'!T241</f>
        <v/>
      </c>
      <c r="T236" s="71">
        <f>'Stakeholder list'!U241</f>
        <v/>
      </c>
      <c r="U236" s="71">
        <f>'Stakeholder list'!V241</f>
        <v/>
      </c>
      <c r="V236" s="71">
        <f>'Stakeholder list'!W241</f>
        <v/>
      </c>
      <c r="W236" s="71">
        <f>'Stakeholder list'!X241</f>
        <v/>
      </c>
    </row>
    <row r="237">
      <c r="A237" s="71">
        <f>'Stakeholder list'!B242</f>
        <v/>
      </c>
      <c r="B237" s="71">
        <f>'Stakeholder list'!C242</f>
        <v/>
      </c>
      <c r="C237" s="71">
        <f>'Stakeholder list'!D242</f>
        <v/>
      </c>
      <c r="D237" s="71">
        <f>'Stakeholder list'!E242</f>
        <v/>
      </c>
      <c r="E237" s="71">
        <f>'Stakeholder list'!F242</f>
        <v/>
      </c>
      <c r="F237" s="71">
        <f>'Stakeholder list'!G242</f>
        <v/>
      </c>
      <c r="G237" s="71">
        <f>'Stakeholder list'!H242</f>
        <v/>
      </c>
      <c r="H237" s="71">
        <f>'Stakeholder list'!I242</f>
        <v/>
      </c>
      <c r="I237" s="71">
        <f>'Stakeholder list'!J242</f>
        <v/>
      </c>
      <c r="J237" s="71">
        <f>'Stakeholder list'!K242</f>
        <v/>
      </c>
      <c r="K237" s="71">
        <f>'Stakeholder list'!L242</f>
        <v/>
      </c>
      <c r="L237" s="71">
        <f>'Stakeholder list'!M242</f>
        <v/>
      </c>
      <c r="M237" s="71">
        <f>'Stakeholder list'!N242</f>
        <v/>
      </c>
      <c r="N237" s="71">
        <f>'Stakeholder list'!O242</f>
        <v/>
      </c>
      <c r="O237" s="71">
        <f>'Stakeholder list'!P242</f>
        <v/>
      </c>
      <c r="P237" s="71">
        <f>'Stakeholder list'!Q242</f>
        <v/>
      </c>
      <c r="Q237" s="71">
        <f>'Stakeholder list'!R242</f>
        <v/>
      </c>
      <c r="R237" s="71">
        <f>'Stakeholder list'!S242</f>
        <v/>
      </c>
      <c r="S237" s="71">
        <f>'Stakeholder list'!T242</f>
        <v/>
      </c>
      <c r="T237" s="71">
        <f>'Stakeholder list'!U242</f>
        <v/>
      </c>
      <c r="U237" s="71">
        <f>'Stakeholder list'!V242</f>
        <v/>
      </c>
      <c r="V237" s="71">
        <f>'Stakeholder list'!W242</f>
        <v/>
      </c>
      <c r="W237" s="71">
        <f>'Stakeholder list'!X242</f>
        <v/>
      </c>
    </row>
    <row r="238">
      <c r="A238" s="71">
        <f>'Stakeholder list'!B243</f>
        <v/>
      </c>
      <c r="B238" s="71">
        <f>'Stakeholder list'!C243</f>
        <v/>
      </c>
      <c r="C238" s="71">
        <f>'Stakeholder list'!D243</f>
        <v/>
      </c>
      <c r="D238" s="71">
        <f>'Stakeholder list'!E243</f>
        <v/>
      </c>
      <c r="E238" s="71">
        <f>'Stakeholder list'!F243</f>
        <v/>
      </c>
      <c r="F238" s="71">
        <f>'Stakeholder list'!G243</f>
        <v/>
      </c>
      <c r="G238" s="71">
        <f>'Stakeholder list'!H243</f>
        <v/>
      </c>
      <c r="H238" s="71">
        <f>'Stakeholder list'!I243</f>
        <v/>
      </c>
      <c r="I238" s="71">
        <f>'Stakeholder list'!J243</f>
        <v/>
      </c>
      <c r="J238" s="71">
        <f>'Stakeholder list'!K243</f>
        <v/>
      </c>
      <c r="K238" s="71">
        <f>'Stakeholder list'!L243</f>
        <v/>
      </c>
      <c r="L238" s="71">
        <f>'Stakeholder list'!M243</f>
        <v/>
      </c>
      <c r="M238" s="71">
        <f>'Stakeholder list'!N243</f>
        <v/>
      </c>
      <c r="N238" s="71">
        <f>'Stakeholder list'!O243</f>
        <v/>
      </c>
      <c r="O238" s="71">
        <f>'Stakeholder list'!P243</f>
        <v/>
      </c>
      <c r="P238" s="71">
        <f>'Stakeholder list'!Q243</f>
        <v/>
      </c>
      <c r="Q238" s="71">
        <f>'Stakeholder list'!R243</f>
        <v/>
      </c>
      <c r="R238" s="71">
        <f>'Stakeholder list'!S243</f>
        <v/>
      </c>
      <c r="S238" s="71">
        <f>'Stakeholder list'!T243</f>
        <v/>
      </c>
      <c r="T238" s="71">
        <f>'Stakeholder list'!U243</f>
        <v/>
      </c>
      <c r="U238" s="71">
        <f>'Stakeholder list'!V243</f>
        <v/>
      </c>
      <c r="V238" s="71">
        <f>'Stakeholder list'!W243</f>
        <v/>
      </c>
      <c r="W238" s="71">
        <f>'Stakeholder list'!X243</f>
        <v/>
      </c>
    </row>
    <row r="239">
      <c r="A239" s="71">
        <f>'Stakeholder list'!B244</f>
        <v/>
      </c>
      <c r="B239" s="71">
        <f>'Stakeholder list'!C244</f>
        <v/>
      </c>
      <c r="C239" s="71">
        <f>'Stakeholder list'!D244</f>
        <v/>
      </c>
      <c r="D239" s="71">
        <f>'Stakeholder list'!E244</f>
        <v/>
      </c>
      <c r="E239" s="71">
        <f>'Stakeholder list'!F244</f>
        <v/>
      </c>
      <c r="F239" s="71">
        <f>'Stakeholder list'!G244</f>
        <v/>
      </c>
      <c r="G239" s="71">
        <f>'Stakeholder list'!H244</f>
        <v/>
      </c>
      <c r="H239" s="71">
        <f>'Stakeholder list'!I244</f>
        <v/>
      </c>
      <c r="I239" s="71">
        <f>'Stakeholder list'!J244</f>
        <v/>
      </c>
      <c r="J239" s="71">
        <f>'Stakeholder list'!K244</f>
        <v/>
      </c>
      <c r="K239" s="71">
        <f>'Stakeholder list'!L244</f>
        <v/>
      </c>
      <c r="L239" s="71">
        <f>'Stakeholder list'!M244</f>
        <v/>
      </c>
      <c r="M239" s="71">
        <f>'Stakeholder list'!N244</f>
        <v/>
      </c>
      <c r="N239" s="71">
        <f>'Stakeholder list'!O244</f>
        <v/>
      </c>
      <c r="O239" s="71">
        <f>'Stakeholder list'!P244</f>
        <v/>
      </c>
      <c r="P239" s="71">
        <f>'Stakeholder list'!Q244</f>
        <v/>
      </c>
      <c r="Q239" s="71">
        <f>'Stakeholder list'!R244</f>
        <v/>
      </c>
      <c r="R239" s="71">
        <f>'Stakeholder list'!S244</f>
        <v/>
      </c>
      <c r="S239" s="71">
        <f>'Stakeholder list'!T244</f>
        <v/>
      </c>
      <c r="T239" s="71">
        <f>'Stakeholder list'!U244</f>
        <v/>
      </c>
      <c r="U239" s="71">
        <f>'Stakeholder list'!V244</f>
        <v/>
      </c>
      <c r="V239" s="71">
        <f>'Stakeholder list'!W244</f>
        <v/>
      </c>
      <c r="W239" s="71">
        <f>'Stakeholder list'!X244</f>
        <v/>
      </c>
    </row>
    <row r="240">
      <c r="A240" s="71">
        <f>'Stakeholder list'!B245</f>
        <v/>
      </c>
      <c r="B240" s="71">
        <f>'Stakeholder list'!C245</f>
        <v/>
      </c>
      <c r="C240" s="71">
        <f>'Stakeholder list'!D245</f>
        <v/>
      </c>
      <c r="D240" s="71">
        <f>'Stakeholder list'!E245</f>
        <v/>
      </c>
      <c r="E240" s="71">
        <f>'Stakeholder list'!F245</f>
        <v/>
      </c>
      <c r="F240" s="71">
        <f>'Stakeholder list'!G245</f>
        <v/>
      </c>
      <c r="G240" s="71">
        <f>'Stakeholder list'!H245</f>
        <v/>
      </c>
      <c r="H240" s="71">
        <f>'Stakeholder list'!I245</f>
        <v/>
      </c>
      <c r="I240" s="71">
        <f>'Stakeholder list'!J245</f>
        <v/>
      </c>
      <c r="J240" s="71">
        <f>'Stakeholder list'!K245</f>
        <v/>
      </c>
      <c r="K240" s="71">
        <f>'Stakeholder list'!L245</f>
        <v/>
      </c>
      <c r="L240" s="71">
        <f>'Stakeholder list'!M245</f>
        <v/>
      </c>
      <c r="M240" s="71">
        <f>'Stakeholder list'!N245</f>
        <v/>
      </c>
      <c r="N240" s="71">
        <f>'Stakeholder list'!O245</f>
        <v/>
      </c>
      <c r="O240" s="71">
        <f>'Stakeholder list'!P245</f>
        <v/>
      </c>
      <c r="P240" s="71">
        <f>'Stakeholder list'!Q245</f>
        <v/>
      </c>
      <c r="Q240" s="71">
        <f>'Stakeholder list'!R245</f>
        <v/>
      </c>
      <c r="R240" s="71">
        <f>'Stakeholder list'!S245</f>
        <v/>
      </c>
      <c r="S240" s="71">
        <f>'Stakeholder list'!T245</f>
        <v/>
      </c>
      <c r="T240" s="71">
        <f>'Stakeholder list'!U245</f>
        <v/>
      </c>
      <c r="U240" s="71">
        <f>'Stakeholder list'!V245</f>
        <v/>
      </c>
      <c r="V240" s="71">
        <f>'Stakeholder list'!W245</f>
        <v/>
      </c>
      <c r="W240" s="71">
        <f>'Stakeholder list'!X245</f>
        <v/>
      </c>
    </row>
    <row r="241">
      <c r="A241" s="71">
        <f>'Stakeholder list'!B246</f>
        <v/>
      </c>
      <c r="B241" s="71">
        <f>'Stakeholder list'!C246</f>
        <v/>
      </c>
      <c r="C241" s="71">
        <f>'Stakeholder list'!D246</f>
        <v/>
      </c>
      <c r="D241" s="71">
        <f>'Stakeholder list'!E246</f>
        <v/>
      </c>
      <c r="E241" s="71">
        <f>'Stakeholder list'!F246</f>
        <v/>
      </c>
      <c r="F241" s="71">
        <f>'Stakeholder list'!G246</f>
        <v/>
      </c>
      <c r="G241" s="71">
        <f>'Stakeholder list'!H246</f>
        <v/>
      </c>
      <c r="H241" s="71">
        <f>'Stakeholder list'!I246</f>
        <v/>
      </c>
      <c r="I241" s="71">
        <f>'Stakeholder list'!J246</f>
        <v/>
      </c>
      <c r="J241" s="71">
        <f>'Stakeholder list'!K246</f>
        <v/>
      </c>
      <c r="K241" s="71">
        <f>'Stakeholder list'!L246</f>
        <v/>
      </c>
      <c r="L241" s="71">
        <f>'Stakeholder list'!M246</f>
        <v/>
      </c>
      <c r="M241" s="71">
        <f>'Stakeholder list'!N246</f>
        <v/>
      </c>
      <c r="N241" s="71">
        <f>'Stakeholder list'!O246</f>
        <v/>
      </c>
      <c r="O241" s="71">
        <f>'Stakeholder list'!P246</f>
        <v/>
      </c>
      <c r="P241" s="71">
        <f>'Stakeholder list'!Q246</f>
        <v/>
      </c>
      <c r="Q241" s="71">
        <f>'Stakeholder list'!R246</f>
        <v/>
      </c>
      <c r="R241" s="71">
        <f>'Stakeholder list'!S246</f>
        <v/>
      </c>
      <c r="S241" s="71">
        <f>'Stakeholder list'!T246</f>
        <v/>
      </c>
      <c r="T241" s="71">
        <f>'Stakeholder list'!U246</f>
        <v/>
      </c>
      <c r="U241" s="71">
        <f>'Stakeholder list'!V246</f>
        <v/>
      </c>
      <c r="V241" s="71">
        <f>'Stakeholder list'!W246</f>
        <v/>
      </c>
      <c r="W241" s="71">
        <f>'Stakeholder list'!X246</f>
        <v/>
      </c>
    </row>
    <row r="242">
      <c r="A242" s="71">
        <f>'Stakeholder list'!B247</f>
        <v/>
      </c>
      <c r="B242" s="71">
        <f>'Stakeholder list'!C247</f>
        <v/>
      </c>
      <c r="C242" s="71">
        <f>'Stakeholder list'!D247</f>
        <v/>
      </c>
      <c r="D242" s="71">
        <f>'Stakeholder list'!E247</f>
        <v/>
      </c>
      <c r="E242" s="71">
        <f>'Stakeholder list'!F247</f>
        <v/>
      </c>
      <c r="F242" s="71">
        <f>'Stakeholder list'!G247</f>
        <v/>
      </c>
      <c r="G242" s="71">
        <f>'Stakeholder list'!H247</f>
        <v/>
      </c>
      <c r="H242" s="71">
        <f>'Stakeholder list'!I247</f>
        <v/>
      </c>
      <c r="I242" s="71">
        <f>'Stakeholder list'!J247</f>
        <v/>
      </c>
      <c r="J242" s="71">
        <f>'Stakeholder list'!K247</f>
        <v/>
      </c>
      <c r="K242" s="71">
        <f>'Stakeholder list'!L247</f>
        <v/>
      </c>
      <c r="L242" s="71">
        <f>'Stakeholder list'!M247</f>
        <v/>
      </c>
      <c r="M242" s="71">
        <f>'Stakeholder list'!N247</f>
        <v/>
      </c>
      <c r="N242" s="71">
        <f>'Stakeholder list'!O247</f>
        <v/>
      </c>
      <c r="O242" s="71">
        <f>'Stakeholder list'!P247</f>
        <v/>
      </c>
      <c r="P242" s="71">
        <f>'Stakeholder list'!Q247</f>
        <v/>
      </c>
      <c r="Q242" s="71">
        <f>'Stakeholder list'!R247</f>
        <v/>
      </c>
      <c r="R242" s="71">
        <f>'Stakeholder list'!S247</f>
        <v/>
      </c>
      <c r="S242" s="71">
        <f>'Stakeholder list'!T247</f>
        <v/>
      </c>
      <c r="T242" s="71">
        <f>'Stakeholder list'!U247</f>
        <v/>
      </c>
      <c r="U242" s="71">
        <f>'Stakeholder list'!V247</f>
        <v/>
      </c>
      <c r="V242" s="71">
        <f>'Stakeholder list'!W247</f>
        <v/>
      </c>
      <c r="W242" s="71">
        <f>'Stakeholder list'!X247</f>
        <v/>
      </c>
    </row>
    <row r="243">
      <c r="A243" s="71">
        <f>'Stakeholder list'!B248</f>
        <v/>
      </c>
      <c r="B243" s="71">
        <f>'Stakeholder list'!C248</f>
        <v/>
      </c>
      <c r="C243" s="71">
        <f>'Stakeholder list'!D248</f>
        <v/>
      </c>
      <c r="D243" s="71">
        <f>'Stakeholder list'!E248</f>
        <v/>
      </c>
      <c r="E243" s="71">
        <f>'Stakeholder list'!F248</f>
        <v/>
      </c>
      <c r="F243" s="71">
        <f>'Stakeholder list'!G248</f>
        <v/>
      </c>
      <c r="G243" s="71">
        <f>'Stakeholder list'!H248</f>
        <v/>
      </c>
      <c r="H243" s="71">
        <f>'Stakeholder list'!I248</f>
        <v/>
      </c>
      <c r="I243" s="71">
        <f>'Stakeholder list'!J248</f>
        <v/>
      </c>
      <c r="J243" s="71">
        <f>'Stakeholder list'!K248</f>
        <v/>
      </c>
      <c r="K243" s="71">
        <f>'Stakeholder list'!L248</f>
        <v/>
      </c>
      <c r="L243" s="71">
        <f>'Stakeholder list'!M248</f>
        <v/>
      </c>
      <c r="M243" s="71">
        <f>'Stakeholder list'!N248</f>
        <v/>
      </c>
      <c r="N243" s="71">
        <f>'Stakeholder list'!O248</f>
        <v/>
      </c>
      <c r="O243" s="71">
        <f>'Stakeholder list'!P248</f>
        <v/>
      </c>
      <c r="P243" s="71">
        <f>'Stakeholder list'!Q248</f>
        <v/>
      </c>
      <c r="Q243" s="71">
        <f>'Stakeholder list'!R248</f>
        <v/>
      </c>
      <c r="R243" s="71">
        <f>'Stakeholder list'!S248</f>
        <v/>
      </c>
      <c r="S243" s="71">
        <f>'Stakeholder list'!T248</f>
        <v/>
      </c>
      <c r="T243" s="71">
        <f>'Stakeholder list'!U248</f>
        <v/>
      </c>
      <c r="U243" s="71">
        <f>'Stakeholder list'!V248</f>
        <v/>
      </c>
      <c r="V243" s="71">
        <f>'Stakeholder list'!W248</f>
        <v/>
      </c>
      <c r="W243" s="71">
        <f>'Stakeholder list'!X248</f>
        <v/>
      </c>
    </row>
    <row r="244">
      <c r="A244" s="71">
        <f>'Stakeholder list'!B249</f>
        <v/>
      </c>
      <c r="B244" s="71">
        <f>'Stakeholder list'!C249</f>
        <v/>
      </c>
      <c r="C244" s="71">
        <f>'Stakeholder list'!D249</f>
        <v/>
      </c>
      <c r="D244" s="71">
        <f>'Stakeholder list'!E249</f>
        <v/>
      </c>
      <c r="E244" s="71">
        <f>'Stakeholder list'!F249</f>
        <v/>
      </c>
      <c r="F244" s="71">
        <f>'Stakeholder list'!G249</f>
        <v/>
      </c>
      <c r="G244" s="71">
        <f>'Stakeholder list'!H249</f>
        <v/>
      </c>
      <c r="H244" s="71">
        <f>'Stakeholder list'!I249</f>
        <v/>
      </c>
      <c r="I244" s="71">
        <f>'Stakeholder list'!J249</f>
        <v/>
      </c>
      <c r="J244" s="71">
        <f>'Stakeholder list'!K249</f>
        <v/>
      </c>
      <c r="K244" s="71">
        <f>'Stakeholder list'!L249</f>
        <v/>
      </c>
      <c r="L244" s="71">
        <f>'Stakeholder list'!M249</f>
        <v/>
      </c>
      <c r="M244" s="71">
        <f>'Stakeholder list'!N249</f>
        <v/>
      </c>
      <c r="N244" s="71">
        <f>'Stakeholder list'!O249</f>
        <v/>
      </c>
      <c r="O244" s="71">
        <f>'Stakeholder list'!P249</f>
        <v/>
      </c>
      <c r="P244" s="71">
        <f>'Stakeholder list'!Q249</f>
        <v/>
      </c>
      <c r="Q244" s="71">
        <f>'Stakeholder list'!R249</f>
        <v/>
      </c>
      <c r="R244" s="71">
        <f>'Stakeholder list'!S249</f>
        <v/>
      </c>
      <c r="S244" s="71">
        <f>'Stakeholder list'!T249</f>
        <v/>
      </c>
      <c r="T244" s="71">
        <f>'Stakeholder list'!U249</f>
        <v/>
      </c>
      <c r="U244" s="71">
        <f>'Stakeholder list'!V249</f>
        <v/>
      </c>
      <c r="V244" s="71">
        <f>'Stakeholder list'!W249</f>
        <v/>
      </c>
      <c r="W244" s="71">
        <f>'Stakeholder list'!X249</f>
        <v/>
      </c>
    </row>
    <row r="245">
      <c r="A245" s="71">
        <f>'Stakeholder list'!B250</f>
        <v/>
      </c>
      <c r="B245" s="71">
        <f>'Stakeholder list'!C250</f>
        <v/>
      </c>
      <c r="C245" s="71">
        <f>'Stakeholder list'!D250</f>
        <v/>
      </c>
      <c r="D245" s="71">
        <f>'Stakeholder list'!E250</f>
        <v/>
      </c>
      <c r="E245" s="71">
        <f>'Stakeholder list'!F250</f>
        <v/>
      </c>
      <c r="F245" s="71">
        <f>'Stakeholder list'!G250</f>
        <v/>
      </c>
      <c r="G245" s="71">
        <f>'Stakeholder list'!H250</f>
        <v/>
      </c>
      <c r="H245" s="71">
        <f>'Stakeholder list'!I250</f>
        <v/>
      </c>
      <c r="I245" s="71">
        <f>'Stakeholder list'!J250</f>
        <v/>
      </c>
      <c r="J245" s="71">
        <f>'Stakeholder list'!K250</f>
        <v/>
      </c>
      <c r="K245" s="71">
        <f>'Stakeholder list'!L250</f>
        <v/>
      </c>
      <c r="L245" s="71">
        <f>'Stakeholder list'!M250</f>
        <v/>
      </c>
      <c r="M245" s="71">
        <f>'Stakeholder list'!N250</f>
        <v/>
      </c>
      <c r="N245" s="71">
        <f>'Stakeholder list'!O250</f>
        <v/>
      </c>
      <c r="O245" s="71">
        <f>'Stakeholder list'!P250</f>
        <v/>
      </c>
      <c r="P245" s="71">
        <f>'Stakeholder list'!Q250</f>
        <v/>
      </c>
      <c r="Q245" s="71">
        <f>'Stakeholder list'!R250</f>
        <v/>
      </c>
      <c r="R245" s="71">
        <f>'Stakeholder list'!S250</f>
        <v/>
      </c>
      <c r="S245" s="71">
        <f>'Stakeholder list'!T250</f>
        <v/>
      </c>
      <c r="T245" s="71">
        <f>'Stakeholder list'!U250</f>
        <v/>
      </c>
      <c r="U245" s="71">
        <f>'Stakeholder list'!V250</f>
        <v/>
      </c>
      <c r="V245" s="71">
        <f>'Stakeholder list'!W250</f>
        <v/>
      </c>
      <c r="W245" s="71">
        <f>'Stakeholder list'!X250</f>
        <v/>
      </c>
    </row>
    <row r="246">
      <c r="A246" s="71">
        <f>'Stakeholder list'!B251</f>
        <v/>
      </c>
      <c r="B246" s="71">
        <f>'Stakeholder list'!C251</f>
        <v/>
      </c>
      <c r="C246" s="71">
        <f>'Stakeholder list'!D251</f>
        <v/>
      </c>
      <c r="D246" s="71">
        <f>'Stakeholder list'!E251</f>
        <v/>
      </c>
      <c r="E246" s="71">
        <f>'Stakeholder list'!F251</f>
        <v/>
      </c>
      <c r="F246" s="71">
        <f>'Stakeholder list'!G251</f>
        <v/>
      </c>
      <c r="G246" s="71">
        <f>'Stakeholder list'!H251</f>
        <v/>
      </c>
      <c r="H246" s="71">
        <f>'Stakeholder list'!I251</f>
        <v/>
      </c>
      <c r="I246" s="71">
        <f>'Stakeholder list'!J251</f>
        <v/>
      </c>
      <c r="J246" s="71">
        <f>'Stakeholder list'!K251</f>
        <v/>
      </c>
      <c r="K246" s="71">
        <f>'Stakeholder list'!L251</f>
        <v/>
      </c>
      <c r="L246" s="71">
        <f>'Stakeholder list'!M251</f>
        <v/>
      </c>
      <c r="M246" s="71">
        <f>'Stakeholder list'!N251</f>
        <v/>
      </c>
      <c r="N246" s="71">
        <f>'Stakeholder list'!O251</f>
        <v/>
      </c>
      <c r="O246" s="71">
        <f>'Stakeholder list'!P251</f>
        <v/>
      </c>
      <c r="P246" s="71">
        <f>'Stakeholder list'!Q251</f>
        <v/>
      </c>
      <c r="Q246" s="71">
        <f>'Stakeholder list'!R251</f>
        <v/>
      </c>
      <c r="R246" s="71">
        <f>'Stakeholder list'!S251</f>
        <v/>
      </c>
      <c r="S246" s="71">
        <f>'Stakeholder list'!T251</f>
        <v/>
      </c>
      <c r="T246" s="71">
        <f>'Stakeholder list'!U251</f>
        <v/>
      </c>
      <c r="U246" s="71">
        <f>'Stakeholder list'!V251</f>
        <v/>
      </c>
      <c r="V246" s="71">
        <f>'Stakeholder list'!W251</f>
        <v/>
      </c>
      <c r="W246" s="71">
        <f>'Stakeholder list'!X251</f>
        <v/>
      </c>
    </row>
    <row r="247">
      <c r="A247" s="71">
        <f>'Stakeholder list'!B252</f>
        <v/>
      </c>
      <c r="B247" s="71">
        <f>'Stakeholder list'!C252</f>
        <v/>
      </c>
      <c r="C247" s="71">
        <f>'Stakeholder list'!D252</f>
        <v/>
      </c>
      <c r="D247" s="71">
        <f>'Stakeholder list'!E252</f>
        <v/>
      </c>
      <c r="E247" s="71">
        <f>'Stakeholder list'!F252</f>
        <v/>
      </c>
      <c r="F247" s="71">
        <f>'Stakeholder list'!G252</f>
        <v/>
      </c>
      <c r="G247" s="71">
        <f>'Stakeholder list'!H252</f>
        <v/>
      </c>
      <c r="H247" s="71">
        <f>'Stakeholder list'!I252</f>
        <v/>
      </c>
      <c r="I247" s="71">
        <f>'Stakeholder list'!J252</f>
        <v/>
      </c>
      <c r="J247" s="71">
        <f>'Stakeholder list'!K252</f>
        <v/>
      </c>
      <c r="K247" s="71">
        <f>'Stakeholder list'!L252</f>
        <v/>
      </c>
      <c r="L247" s="71">
        <f>'Stakeholder list'!M252</f>
        <v/>
      </c>
      <c r="M247" s="71">
        <f>'Stakeholder list'!N252</f>
        <v/>
      </c>
      <c r="N247" s="71">
        <f>'Stakeholder list'!O252</f>
        <v/>
      </c>
      <c r="O247" s="71">
        <f>'Stakeholder list'!P252</f>
        <v/>
      </c>
      <c r="P247" s="71">
        <f>'Stakeholder list'!Q252</f>
        <v/>
      </c>
      <c r="Q247" s="71">
        <f>'Stakeholder list'!R252</f>
        <v/>
      </c>
      <c r="R247" s="71">
        <f>'Stakeholder list'!S252</f>
        <v/>
      </c>
      <c r="S247" s="71">
        <f>'Stakeholder list'!T252</f>
        <v/>
      </c>
      <c r="T247" s="71">
        <f>'Stakeholder list'!U252</f>
        <v/>
      </c>
      <c r="U247" s="71">
        <f>'Stakeholder list'!V252</f>
        <v/>
      </c>
      <c r="V247" s="71">
        <f>'Stakeholder list'!W252</f>
        <v/>
      </c>
      <c r="W247" s="71">
        <f>'Stakeholder list'!X252</f>
        <v/>
      </c>
    </row>
    <row r="248">
      <c r="A248" s="71">
        <f>'Stakeholder list'!B253</f>
        <v/>
      </c>
      <c r="B248" s="71">
        <f>'Stakeholder list'!C253</f>
        <v/>
      </c>
      <c r="C248" s="71">
        <f>'Stakeholder list'!D253</f>
        <v/>
      </c>
      <c r="D248" s="71">
        <f>'Stakeholder list'!E253</f>
        <v/>
      </c>
      <c r="E248" s="71">
        <f>'Stakeholder list'!F253</f>
        <v/>
      </c>
      <c r="F248" s="71">
        <f>'Stakeholder list'!G253</f>
        <v/>
      </c>
      <c r="G248" s="71">
        <f>'Stakeholder list'!H253</f>
        <v/>
      </c>
      <c r="H248" s="71">
        <f>'Stakeholder list'!I253</f>
        <v/>
      </c>
      <c r="I248" s="71">
        <f>'Stakeholder list'!J253</f>
        <v/>
      </c>
      <c r="J248" s="71">
        <f>'Stakeholder list'!K253</f>
        <v/>
      </c>
      <c r="K248" s="71">
        <f>'Stakeholder list'!L253</f>
        <v/>
      </c>
      <c r="L248" s="71">
        <f>'Stakeholder list'!M253</f>
        <v/>
      </c>
      <c r="M248" s="71">
        <f>'Stakeholder list'!N253</f>
        <v/>
      </c>
      <c r="N248" s="71">
        <f>'Stakeholder list'!O253</f>
        <v/>
      </c>
      <c r="O248" s="71">
        <f>'Stakeholder list'!P253</f>
        <v/>
      </c>
      <c r="P248" s="71">
        <f>'Stakeholder list'!Q253</f>
        <v/>
      </c>
      <c r="Q248" s="71">
        <f>'Stakeholder list'!R253</f>
        <v/>
      </c>
      <c r="R248" s="71">
        <f>'Stakeholder list'!S253</f>
        <v/>
      </c>
      <c r="S248" s="71">
        <f>'Stakeholder list'!T253</f>
        <v/>
      </c>
      <c r="T248" s="71">
        <f>'Stakeholder list'!U253</f>
        <v/>
      </c>
      <c r="U248" s="71">
        <f>'Stakeholder list'!V253</f>
        <v/>
      </c>
      <c r="V248" s="71">
        <f>'Stakeholder list'!W253</f>
        <v/>
      </c>
      <c r="W248" s="71">
        <f>'Stakeholder list'!X253</f>
        <v/>
      </c>
    </row>
    <row r="249">
      <c r="A249" s="71">
        <f>'Stakeholder list'!B254</f>
        <v/>
      </c>
      <c r="B249" s="71">
        <f>'Stakeholder list'!C254</f>
        <v/>
      </c>
      <c r="C249" s="71">
        <f>'Stakeholder list'!D254</f>
        <v/>
      </c>
      <c r="D249" s="71">
        <f>'Stakeholder list'!E254</f>
        <v/>
      </c>
      <c r="E249" s="71">
        <f>'Stakeholder list'!F254</f>
        <v/>
      </c>
      <c r="F249" s="71">
        <f>'Stakeholder list'!G254</f>
        <v/>
      </c>
      <c r="G249" s="71">
        <f>'Stakeholder list'!H254</f>
        <v/>
      </c>
      <c r="H249" s="71">
        <f>'Stakeholder list'!I254</f>
        <v/>
      </c>
      <c r="I249" s="71">
        <f>'Stakeholder list'!J254</f>
        <v/>
      </c>
      <c r="J249" s="71">
        <f>'Stakeholder list'!K254</f>
        <v/>
      </c>
      <c r="K249" s="71">
        <f>'Stakeholder list'!L254</f>
        <v/>
      </c>
      <c r="L249" s="71">
        <f>'Stakeholder list'!M254</f>
        <v/>
      </c>
      <c r="M249" s="71">
        <f>'Stakeholder list'!N254</f>
        <v/>
      </c>
      <c r="N249" s="71">
        <f>'Stakeholder list'!O254</f>
        <v/>
      </c>
      <c r="O249" s="71">
        <f>'Stakeholder list'!P254</f>
        <v/>
      </c>
      <c r="P249" s="71">
        <f>'Stakeholder list'!Q254</f>
        <v/>
      </c>
      <c r="Q249" s="71">
        <f>'Stakeholder list'!R254</f>
        <v/>
      </c>
      <c r="R249" s="71">
        <f>'Stakeholder list'!S254</f>
        <v/>
      </c>
      <c r="S249" s="71">
        <f>'Stakeholder list'!T254</f>
        <v/>
      </c>
      <c r="T249" s="71">
        <f>'Stakeholder list'!U254</f>
        <v/>
      </c>
      <c r="U249" s="71">
        <f>'Stakeholder list'!V254</f>
        <v/>
      </c>
      <c r="V249" s="71">
        <f>'Stakeholder list'!W254</f>
        <v/>
      </c>
      <c r="W249" s="71">
        <f>'Stakeholder list'!X254</f>
        <v/>
      </c>
    </row>
    <row r="250">
      <c r="A250" s="71">
        <f>'Stakeholder list'!B255</f>
        <v/>
      </c>
      <c r="B250" s="71">
        <f>'Stakeholder list'!C255</f>
        <v/>
      </c>
      <c r="C250" s="71">
        <f>'Stakeholder list'!D255</f>
        <v/>
      </c>
      <c r="D250" s="71">
        <f>'Stakeholder list'!E255</f>
        <v/>
      </c>
      <c r="E250" s="71">
        <f>'Stakeholder list'!F255</f>
        <v/>
      </c>
      <c r="F250" s="71">
        <f>'Stakeholder list'!G255</f>
        <v/>
      </c>
      <c r="G250" s="71">
        <f>'Stakeholder list'!H255</f>
        <v/>
      </c>
      <c r="H250" s="71">
        <f>'Stakeholder list'!I255</f>
        <v/>
      </c>
      <c r="I250" s="71">
        <f>'Stakeholder list'!J255</f>
        <v/>
      </c>
      <c r="J250" s="71">
        <f>'Stakeholder list'!K255</f>
        <v/>
      </c>
      <c r="K250" s="71">
        <f>'Stakeholder list'!L255</f>
        <v/>
      </c>
      <c r="L250" s="71">
        <f>'Stakeholder list'!M255</f>
        <v/>
      </c>
      <c r="M250" s="71">
        <f>'Stakeholder list'!N255</f>
        <v/>
      </c>
      <c r="N250" s="71">
        <f>'Stakeholder list'!O255</f>
        <v/>
      </c>
      <c r="O250" s="71">
        <f>'Stakeholder list'!P255</f>
        <v/>
      </c>
      <c r="P250" s="71">
        <f>'Stakeholder list'!Q255</f>
        <v/>
      </c>
      <c r="Q250" s="71">
        <f>'Stakeholder list'!R255</f>
        <v/>
      </c>
      <c r="R250" s="71">
        <f>'Stakeholder list'!S255</f>
        <v/>
      </c>
      <c r="S250" s="71">
        <f>'Stakeholder list'!T255</f>
        <v/>
      </c>
      <c r="T250" s="71">
        <f>'Stakeholder list'!U255</f>
        <v/>
      </c>
      <c r="U250" s="71">
        <f>'Stakeholder list'!V255</f>
        <v/>
      </c>
      <c r="V250" s="71">
        <f>'Stakeholder list'!W255</f>
        <v/>
      </c>
      <c r="W250" s="71">
        <f>'Stakeholder list'!X255</f>
        <v/>
      </c>
    </row>
    <row r="251">
      <c r="A251" s="71">
        <f>'Stakeholder list'!B256</f>
        <v/>
      </c>
      <c r="B251" s="71">
        <f>'Stakeholder list'!C256</f>
        <v/>
      </c>
      <c r="C251" s="71">
        <f>'Stakeholder list'!D256</f>
        <v/>
      </c>
      <c r="D251" s="71">
        <f>'Stakeholder list'!E256</f>
        <v/>
      </c>
      <c r="E251" s="71">
        <f>'Stakeholder list'!F256</f>
        <v/>
      </c>
      <c r="F251" s="71">
        <f>'Stakeholder list'!G256</f>
        <v/>
      </c>
      <c r="G251" s="71">
        <f>'Stakeholder list'!H256</f>
        <v/>
      </c>
      <c r="H251" s="71">
        <f>'Stakeholder list'!I256</f>
        <v/>
      </c>
      <c r="I251" s="71">
        <f>'Stakeholder list'!J256</f>
        <v/>
      </c>
      <c r="J251" s="71">
        <f>'Stakeholder list'!K256</f>
        <v/>
      </c>
      <c r="K251" s="71">
        <f>'Stakeholder list'!L256</f>
        <v/>
      </c>
      <c r="L251" s="71">
        <f>'Stakeholder list'!M256</f>
        <v/>
      </c>
      <c r="M251" s="71">
        <f>'Stakeholder list'!N256</f>
        <v/>
      </c>
      <c r="N251" s="71">
        <f>'Stakeholder list'!O256</f>
        <v/>
      </c>
      <c r="O251" s="71">
        <f>'Stakeholder list'!P256</f>
        <v/>
      </c>
      <c r="P251" s="71">
        <f>'Stakeholder list'!Q256</f>
        <v/>
      </c>
      <c r="Q251" s="71">
        <f>'Stakeholder list'!R256</f>
        <v/>
      </c>
      <c r="R251" s="71">
        <f>'Stakeholder list'!S256</f>
        <v/>
      </c>
      <c r="S251" s="71">
        <f>'Stakeholder list'!T256</f>
        <v/>
      </c>
      <c r="T251" s="71">
        <f>'Stakeholder list'!U256</f>
        <v/>
      </c>
      <c r="U251" s="71">
        <f>'Stakeholder list'!V256</f>
        <v/>
      </c>
      <c r="V251" s="71">
        <f>'Stakeholder list'!W256</f>
        <v/>
      </c>
      <c r="W251" s="71">
        <f>'Stakeholder list'!X256</f>
        <v/>
      </c>
    </row>
    <row r="252">
      <c r="A252" s="71">
        <f>'Stakeholder list'!B257</f>
        <v/>
      </c>
      <c r="B252" s="71">
        <f>'Stakeholder list'!C257</f>
        <v/>
      </c>
      <c r="C252" s="71">
        <f>'Stakeholder list'!D257</f>
        <v/>
      </c>
      <c r="D252" s="71">
        <f>'Stakeholder list'!E257</f>
        <v/>
      </c>
      <c r="E252" s="71">
        <f>'Stakeholder list'!F257</f>
        <v/>
      </c>
      <c r="F252" s="71">
        <f>'Stakeholder list'!G257</f>
        <v/>
      </c>
      <c r="G252" s="71">
        <f>'Stakeholder list'!H257</f>
        <v/>
      </c>
      <c r="H252" s="71">
        <f>'Stakeholder list'!I257</f>
        <v/>
      </c>
      <c r="I252" s="71">
        <f>'Stakeholder list'!J257</f>
        <v/>
      </c>
      <c r="J252" s="71">
        <f>'Stakeholder list'!K257</f>
        <v/>
      </c>
      <c r="K252" s="71">
        <f>'Stakeholder list'!L257</f>
        <v/>
      </c>
      <c r="L252" s="71">
        <f>'Stakeholder list'!M257</f>
        <v/>
      </c>
      <c r="M252" s="71">
        <f>'Stakeholder list'!N257</f>
        <v/>
      </c>
      <c r="N252" s="71">
        <f>'Stakeholder list'!O257</f>
        <v/>
      </c>
      <c r="O252" s="71">
        <f>'Stakeholder list'!P257</f>
        <v/>
      </c>
      <c r="P252" s="71">
        <f>'Stakeholder list'!Q257</f>
        <v/>
      </c>
      <c r="Q252" s="71">
        <f>'Stakeholder list'!R257</f>
        <v/>
      </c>
      <c r="R252" s="71">
        <f>'Stakeholder list'!S257</f>
        <v/>
      </c>
      <c r="S252" s="71">
        <f>'Stakeholder list'!T257</f>
        <v/>
      </c>
      <c r="T252" s="71">
        <f>'Stakeholder list'!U257</f>
        <v/>
      </c>
      <c r="U252" s="71">
        <f>'Stakeholder list'!V257</f>
        <v/>
      </c>
      <c r="V252" s="71">
        <f>'Stakeholder list'!W257</f>
        <v/>
      </c>
      <c r="W252" s="71">
        <f>'Stakeholder list'!X257</f>
        <v/>
      </c>
    </row>
    <row r="253">
      <c r="A253" s="71">
        <f>'Stakeholder list'!B258</f>
        <v/>
      </c>
      <c r="B253" s="71">
        <f>'Stakeholder list'!C258</f>
        <v/>
      </c>
      <c r="C253" s="71">
        <f>'Stakeholder list'!D258</f>
        <v/>
      </c>
      <c r="D253" s="71">
        <f>'Stakeholder list'!E258</f>
        <v/>
      </c>
      <c r="E253" s="71">
        <f>'Stakeholder list'!F258</f>
        <v/>
      </c>
      <c r="F253" s="71">
        <f>'Stakeholder list'!G258</f>
        <v/>
      </c>
      <c r="G253" s="71">
        <f>'Stakeholder list'!H258</f>
        <v/>
      </c>
      <c r="H253" s="71">
        <f>'Stakeholder list'!I258</f>
        <v/>
      </c>
      <c r="I253" s="71">
        <f>'Stakeholder list'!J258</f>
        <v/>
      </c>
      <c r="J253" s="71">
        <f>'Stakeholder list'!K258</f>
        <v/>
      </c>
      <c r="K253" s="71">
        <f>'Stakeholder list'!L258</f>
        <v/>
      </c>
      <c r="L253" s="71">
        <f>'Stakeholder list'!M258</f>
        <v/>
      </c>
      <c r="M253" s="71">
        <f>'Stakeholder list'!N258</f>
        <v/>
      </c>
      <c r="N253" s="71">
        <f>'Stakeholder list'!O258</f>
        <v/>
      </c>
      <c r="O253" s="71">
        <f>'Stakeholder list'!P258</f>
        <v/>
      </c>
      <c r="P253" s="71">
        <f>'Stakeholder list'!Q258</f>
        <v/>
      </c>
      <c r="Q253" s="71">
        <f>'Stakeholder list'!R258</f>
        <v/>
      </c>
      <c r="R253" s="71">
        <f>'Stakeholder list'!S258</f>
        <v/>
      </c>
      <c r="S253" s="71">
        <f>'Stakeholder list'!T258</f>
        <v/>
      </c>
      <c r="T253" s="71">
        <f>'Stakeholder list'!U258</f>
        <v/>
      </c>
      <c r="U253" s="71">
        <f>'Stakeholder list'!V258</f>
        <v/>
      </c>
      <c r="V253" s="71">
        <f>'Stakeholder list'!W258</f>
        <v/>
      </c>
      <c r="W253" s="71">
        <f>'Stakeholder list'!X258</f>
        <v/>
      </c>
    </row>
    <row r="254">
      <c r="A254" s="71">
        <f>'Stakeholder list'!B259</f>
        <v/>
      </c>
      <c r="B254" s="71">
        <f>'Stakeholder list'!C259</f>
        <v/>
      </c>
      <c r="C254" s="71">
        <f>'Stakeholder list'!D259</f>
        <v/>
      </c>
      <c r="D254" s="71">
        <f>'Stakeholder list'!E259</f>
        <v/>
      </c>
      <c r="E254" s="71">
        <f>'Stakeholder list'!F259</f>
        <v/>
      </c>
      <c r="F254" s="71">
        <f>'Stakeholder list'!G259</f>
        <v/>
      </c>
      <c r="G254" s="71">
        <f>'Stakeholder list'!H259</f>
        <v/>
      </c>
      <c r="H254" s="71">
        <f>'Stakeholder list'!I259</f>
        <v/>
      </c>
      <c r="I254" s="71">
        <f>'Stakeholder list'!J259</f>
        <v/>
      </c>
      <c r="J254" s="71">
        <f>'Stakeholder list'!K259</f>
        <v/>
      </c>
      <c r="K254" s="71">
        <f>'Stakeholder list'!L259</f>
        <v/>
      </c>
      <c r="L254" s="71">
        <f>'Stakeholder list'!M259</f>
        <v/>
      </c>
      <c r="M254" s="71">
        <f>'Stakeholder list'!N259</f>
        <v/>
      </c>
      <c r="N254" s="71">
        <f>'Stakeholder list'!O259</f>
        <v/>
      </c>
      <c r="O254" s="71">
        <f>'Stakeholder list'!P259</f>
        <v/>
      </c>
      <c r="P254" s="71">
        <f>'Stakeholder list'!Q259</f>
        <v/>
      </c>
      <c r="Q254" s="71">
        <f>'Stakeholder list'!R259</f>
        <v/>
      </c>
      <c r="R254" s="71">
        <f>'Stakeholder list'!S259</f>
        <v/>
      </c>
      <c r="S254" s="71">
        <f>'Stakeholder list'!T259</f>
        <v/>
      </c>
      <c r="T254" s="71">
        <f>'Stakeholder list'!U259</f>
        <v/>
      </c>
      <c r="U254" s="71">
        <f>'Stakeholder list'!V259</f>
        <v/>
      </c>
      <c r="V254" s="71">
        <f>'Stakeholder list'!W259</f>
        <v/>
      </c>
      <c r="W254" s="71">
        <f>'Stakeholder list'!X259</f>
        <v/>
      </c>
    </row>
    <row r="255">
      <c r="A255" s="71">
        <f>'Stakeholder list'!B260</f>
        <v/>
      </c>
      <c r="B255" s="71">
        <f>'Stakeholder list'!C260</f>
        <v/>
      </c>
      <c r="C255" s="71">
        <f>'Stakeholder list'!D260</f>
        <v/>
      </c>
      <c r="D255" s="71">
        <f>'Stakeholder list'!E260</f>
        <v/>
      </c>
      <c r="E255" s="71">
        <f>'Stakeholder list'!F260</f>
        <v/>
      </c>
      <c r="F255" s="71">
        <f>'Stakeholder list'!G260</f>
        <v/>
      </c>
      <c r="G255" s="71">
        <f>'Stakeholder list'!H260</f>
        <v/>
      </c>
      <c r="H255" s="71">
        <f>'Stakeholder list'!I260</f>
        <v/>
      </c>
      <c r="I255" s="71">
        <f>'Stakeholder list'!J260</f>
        <v/>
      </c>
      <c r="J255" s="71">
        <f>'Stakeholder list'!K260</f>
        <v/>
      </c>
      <c r="K255" s="71">
        <f>'Stakeholder list'!L260</f>
        <v/>
      </c>
      <c r="L255" s="71">
        <f>'Stakeholder list'!M260</f>
        <v/>
      </c>
      <c r="M255" s="71">
        <f>'Stakeholder list'!N260</f>
        <v/>
      </c>
      <c r="N255" s="71">
        <f>'Stakeholder list'!O260</f>
        <v/>
      </c>
      <c r="O255" s="71">
        <f>'Stakeholder list'!P260</f>
        <v/>
      </c>
      <c r="P255" s="71">
        <f>'Stakeholder list'!Q260</f>
        <v/>
      </c>
      <c r="Q255" s="71">
        <f>'Stakeholder list'!R260</f>
        <v/>
      </c>
      <c r="R255" s="71">
        <f>'Stakeholder list'!S260</f>
        <v/>
      </c>
      <c r="S255" s="71">
        <f>'Stakeholder list'!T260</f>
        <v/>
      </c>
      <c r="T255" s="71">
        <f>'Stakeholder list'!U260</f>
        <v/>
      </c>
      <c r="U255" s="71">
        <f>'Stakeholder list'!V260</f>
        <v/>
      </c>
      <c r="V255" s="71">
        <f>'Stakeholder list'!W260</f>
        <v/>
      </c>
      <c r="W255" s="71">
        <f>'Stakeholder list'!X260</f>
        <v/>
      </c>
    </row>
    <row r="256">
      <c r="A256" s="71">
        <f>'Stakeholder list'!B261</f>
        <v/>
      </c>
      <c r="B256" s="71">
        <f>'Stakeholder list'!C261</f>
        <v/>
      </c>
      <c r="C256" s="71">
        <f>'Stakeholder list'!D261</f>
        <v/>
      </c>
      <c r="D256" s="71">
        <f>'Stakeholder list'!E261</f>
        <v/>
      </c>
      <c r="E256" s="71">
        <f>'Stakeholder list'!F261</f>
        <v/>
      </c>
      <c r="F256" s="71">
        <f>'Stakeholder list'!G261</f>
        <v/>
      </c>
      <c r="G256" s="71">
        <f>'Stakeholder list'!H261</f>
        <v/>
      </c>
      <c r="H256" s="71">
        <f>'Stakeholder list'!I261</f>
        <v/>
      </c>
      <c r="I256" s="71">
        <f>'Stakeholder list'!J261</f>
        <v/>
      </c>
      <c r="J256" s="71">
        <f>'Stakeholder list'!K261</f>
        <v/>
      </c>
      <c r="K256" s="71">
        <f>'Stakeholder list'!L261</f>
        <v/>
      </c>
      <c r="L256" s="71">
        <f>'Stakeholder list'!M261</f>
        <v/>
      </c>
      <c r="M256" s="71">
        <f>'Stakeholder list'!N261</f>
        <v/>
      </c>
      <c r="N256" s="71">
        <f>'Stakeholder list'!O261</f>
        <v/>
      </c>
      <c r="O256" s="71">
        <f>'Stakeholder list'!P261</f>
        <v/>
      </c>
      <c r="P256" s="71">
        <f>'Stakeholder list'!Q261</f>
        <v/>
      </c>
      <c r="Q256" s="71">
        <f>'Stakeholder list'!R261</f>
        <v/>
      </c>
      <c r="R256" s="71">
        <f>'Stakeholder list'!S261</f>
        <v/>
      </c>
      <c r="S256" s="71">
        <f>'Stakeholder list'!T261</f>
        <v/>
      </c>
      <c r="T256" s="71">
        <f>'Stakeholder list'!U261</f>
        <v/>
      </c>
      <c r="U256" s="71">
        <f>'Stakeholder list'!V261</f>
        <v/>
      </c>
      <c r="V256" s="71">
        <f>'Stakeholder list'!W261</f>
        <v/>
      </c>
      <c r="W256" s="71">
        <f>'Stakeholder list'!X261</f>
        <v/>
      </c>
    </row>
    <row r="257">
      <c r="A257" s="71">
        <f>'Stakeholder list'!B262</f>
        <v/>
      </c>
      <c r="B257" s="71">
        <f>'Stakeholder list'!C262</f>
        <v/>
      </c>
      <c r="C257" s="71">
        <f>'Stakeholder list'!D262</f>
        <v/>
      </c>
      <c r="D257" s="71">
        <f>'Stakeholder list'!E262</f>
        <v/>
      </c>
      <c r="E257" s="71">
        <f>'Stakeholder list'!F262</f>
        <v/>
      </c>
      <c r="F257" s="71">
        <f>'Stakeholder list'!G262</f>
        <v/>
      </c>
      <c r="G257" s="71">
        <f>'Stakeholder list'!H262</f>
        <v/>
      </c>
      <c r="H257" s="71">
        <f>'Stakeholder list'!I262</f>
        <v/>
      </c>
      <c r="I257" s="71">
        <f>'Stakeholder list'!J262</f>
        <v/>
      </c>
      <c r="J257" s="71">
        <f>'Stakeholder list'!K262</f>
        <v/>
      </c>
      <c r="K257" s="71">
        <f>'Stakeholder list'!L262</f>
        <v/>
      </c>
      <c r="L257" s="71">
        <f>'Stakeholder list'!M262</f>
        <v/>
      </c>
      <c r="M257" s="71">
        <f>'Stakeholder list'!N262</f>
        <v/>
      </c>
      <c r="N257" s="71">
        <f>'Stakeholder list'!O262</f>
        <v/>
      </c>
      <c r="O257" s="71">
        <f>'Stakeholder list'!P262</f>
        <v/>
      </c>
      <c r="P257" s="71">
        <f>'Stakeholder list'!Q262</f>
        <v/>
      </c>
      <c r="Q257" s="71">
        <f>'Stakeholder list'!R262</f>
        <v/>
      </c>
      <c r="R257" s="71">
        <f>'Stakeholder list'!S262</f>
        <v/>
      </c>
      <c r="S257" s="71">
        <f>'Stakeholder list'!T262</f>
        <v/>
      </c>
      <c r="T257" s="71">
        <f>'Stakeholder list'!U262</f>
        <v/>
      </c>
      <c r="U257" s="71">
        <f>'Stakeholder list'!V262</f>
        <v/>
      </c>
      <c r="V257" s="71">
        <f>'Stakeholder list'!W262</f>
        <v/>
      </c>
      <c r="W257" s="71">
        <f>'Stakeholder list'!X262</f>
        <v/>
      </c>
    </row>
    <row r="258">
      <c r="A258" s="71">
        <f>'Stakeholder list'!B263</f>
        <v/>
      </c>
      <c r="B258" s="71">
        <f>'Stakeholder list'!C263</f>
        <v/>
      </c>
      <c r="C258" s="71">
        <f>'Stakeholder list'!D263</f>
        <v/>
      </c>
      <c r="D258" s="71">
        <f>'Stakeholder list'!E263</f>
        <v/>
      </c>
      <c r="E258" s="71">
        <f>'Stakeholder list'!F263</f>
        <v/>
      </c>
      <c r="F258" s="71">
        <f>'Stakeholder list'!G263</f>
        <v/>
      </c>
      <c r="G258" s="71">
        <f>'Stakeholder list'!H263</f>
        <v/>
      </c>
      <c r="H258" s="71">
        <f>'Stakeholder list'!I263</f>
        <v/>
      </c>
      <c r="I258" s="71">
        <f>'Stakeholder list'!J263</f>
        <v/>
      </c>
      <c r="J258" s="71">
        <f>'Stakeholder list'!K263</f>
        <v/>
      </c>
      <c r="K258" s="71">
        <f>'Stakeholder list'!L263</f>
        <v/>
      </c>
      <c r="L258" s="71">
        <f>'Stakeholder list'!M263</f>
        <v/>
      </c>
      <c r="M258" s="71">
        <f>'Stakeholder list'!N263</f>
        <v/>
      </c>
      <c r="N258" s="71">
        <f>'Stakeholder list'!O263</f>
        <v/>
      </c>
      <c r="O258" s="71">
        <f>'Stakeholder list'!P263</f>
        <v/>
      </c>
      <c r="P258" s="71">
        <f>'Stakeholder list'!Q263</f>
        <v/>
      </c>
      <c r="Q258" s="71">
        <f>'Stakeholder list'!R263</f>
        <v/>
      </c>
      <c r="R258" s="71">
        <f>'Stakeholder list'!S263</f>
        <v/>
      </c>
      <c r="S258" s="71">
        <f>'Stakeholder list'!T263</f>
        <v/>
      </c>
      <c r="T258" s="71">
        <f>'Stakeholder list'!U263</f>
        <v/>
      </c>
      <c r="U258" s="71">
        <f>'Stakeholder list'!V263</f>
        <v/>
      </c>
      <c r="V258" s="71">
        <f>'Stakeholder list'!W263</f>
        <v/>
      </c>
      <c r="W258" s="71">
        <f>'Stakeholder list'!X263</f>
        <v/>
      </c>
    </row>
    <row r="259">
      <c r="A259" s="71">
        <f>'Stakeholder list'!B264</f>
        <v/>
      </c>
      <c r="B259" s="71">
        <f>'Stakeholder list'!C264</f>
        <v/>
      </c>
      <c r="C259" s="71">
        <f>'Stakeholder list'!D264</f>
        <v/>
      </c>
      <c r="D259" s="71">
        <f>'Stakeholder list'!E264</f>
        <v/>
      </c>
      <c r="E259" s="71">
        <f>'Stakeholder list'!F264</f>
        <v/>
      </c>
      <c r="F259" s="71">
        <f>'Stakeholder list'!G264</f>
        <v/>
      </c>
      <c r="G259" s="71">
        <f>'Stakeholder list'!H264</f>
        <v/>
      </c>
      <c r="H259" s="71">
        <f>'Stakeholder list'!I264</f>
        <v/>
      </c>
      <c r="I259" s="71">
        <f>'Stakeholder list'!J264</f>
        <v/>
      </c>
      <c r="J259" s="71">
        <f>'Stakeholder list'!K264</f>
        <v/>
      </c>
      <c r="K259" s="71">
        <f>'Stakeholder list'!L264</f>
        <v/>
      </c>
      <c r="L259" s="71">
        <f>'Stakeholder list'!M264</f>
        <v/>
      </c>
      <c r="M259" s="71">
        <f>'Stakeholder list'!N264</f>
        <v/>
      </c>
      <c r="N259" s="71">
        <f>'Stakeholder list'!O264</f>
        <v/>
      </c>
      <c r="O259" s="71">
        <f>'Stakeholder list'!P264</f>
        <v/>
      </c>
      <c r="P259" s="71">
        <f>'Stakeholder list'!Q264</f>
        <v/>
      </c>
      <c r="Q259" s="71">
        <f>'Stakeholder list'!R264</f>
        <v/>
      </c>
      <c r="R259" s="71">
        <f>'Stakeholder list'!S264</f>
        <v/>
      </c>
      <c r="S259" s="71">
        <f>'Stakeholder list'!T264</f>
        <v/>
      </c>
      <c r="T259" s="71">
        <f>'Stakeholder list'!U264</f>
        <v/>
      </c>
      <c r="U259" s="71">
        <f>'Stakeholder list'!V264</f>
        <v/>
      </c>
      <c r="V259" s="71">
        <f>'Stakeholder list'!W264</f>
        <v/>
      </c>
      <c r="W259" s="71">
        <f>'Stakeholder list'!X264</f>
        <v/>
      </c>
    </row>
    <row r="260">
      <c r="A260" s="71">
        <f>'Stakeholder list'!B265</f>
        <v/>
      </c>
      <c r="B260" s="71">
        <f>'Stakeholder list'!C265</f>
        <v/>
      </c>
      <c r="C260" s="71">
        <f>'Stakeholder list'!D265</f>
        <v/>
      </c>
      <c r="D260" s="71">
        <f>'Stakeholder list'!E265</f>
        <v/>
      </c>
      <c r="E260" s="71">
        <f>'Stakeholder list'!F265</f>
        <v/>
      </c>
      <c r="F260" s="71">
        <f>'Stakeholder list'!G265</f>
        <v/>
      </c>
      <c r="G260" s="71">
        <f>'Stakeholder list'!H265</f>
        <v/>
      </c>
      <c r="H260" s="71">
        <f>'Stakeholder list'!I265</f>
        <v/>
      </c>
      <c r="I260" s="71">
        <f>'Stakeholder list'!J265</f>
        <v/>
      </c>
      <c r="J260" s="71">
        <f>'Stakeholder list'!K265</f>
        <v/>
      </c>
      <c r="K260" s="71">
        <f>'Stakeholder list'!L265</f>
        <v/>
      </c>
      <c r="L260" s="71">
        <f>'Stakeholder list'!M265</f>
        <v/>
      </c>
      <c r="M260" s="71">
        <f>'Stakeholder list'!N265</f>
        <v/>
      </c>
      <c r="N260" s="71">
        <f>'Stakeholder list'!O265</f>
        <v/>
      </c>
      <c r="O260" s="71">
        <f>'Stakeholder list'!P265</f>
        <v/>
      </c>
      <c r="P260" s="71">
        <f>'Stakeholder list'!Q265</f>
        <v/>
      </c>
      <c r="Q260" s="71">
        <f>'Stakeholder list'!R265</f>
        <v/>
      </c>
      <c r="R260" s="71">
        <f>'Stakeholder list'!S265</f>
        <v/>
      </c>
      <c r="S260" s="71">
        <f>'Stakeholder list'!T265</f>
        <v/>
      </c>
      <c r="T260" s="71">
        <f>'Stakeholder list'!U265</f>
        <v/>
      </c>
      <c r="U260" s="71">
        <f>'Stakeholder list'!V265</f>
        <v/>
      </c>
      <c r="V260" s="71">
        <f>'Stakeholder list'!W265</f>
        <v/>
      </c>
      <c r="W260" s="71">
        <f>'Stakeholder list'!X265</f>
        <v/>
      </c>
    </row>
    <row r="261">
      <c r="A261" s="71">
        <f>'Stakeholder list'!B266</f>
        <v/>
      </c>
      <c r="B261" s="71">
        <f>'Stakeholder list'!C266</f>
        <v/>
      </c>
      <c r="C261" s="71">
        <f>'Stakeholder list'!D266</f>
        <v/>
      </c>
      <c r="D261" s="71">
        <f>'Stakeholder list'!E266</f>
        <v/>
      </c>
      <c r="E261" s="71">
        <f>'Stakeholder list'!F266</f>
        <v/>
      </c>
      <c r="F261" s="71">
        <f>'Stakeholder list'!G266</f>
        <v/>
      </c>
      <c r="G261" s="71">
        <f>'Stakeholder list'!H266</f>
        <v/>
      </c>
      <c r="H261" s="71">
        <f>'Stakeholder list'!I266</f>
        <v/>
      </c>
      <c r="I261" s="71">
        <f>'Stakeholder list'!J266</f>
        <v/>
      </c>
      <c r="J261" s="71">
        <f>'Stakeholder list'!K266</f>
        <v/>
      </c>
      <c r="K261" s="71">
        <f>'Stakeholder list'!L266</f>
        <v/>
      </c>
      <c r="L261" s="71">
        <f>'Stakeholder list'!M266</f>
        <v/>
      </c>
      <c r="M261" s="71">
        <f>'Stakeholder list'!N266</f>
        <v/>
      </c>
      <c r="N261" s="71">
        <f>'Stakeholder list'!O266</f>
        <v/>
      </c>
      <c r="O261" s="71">
        <f>'Stakeholder list'!P266</f>
        <v/>
      </c>
      <c r="P261" s="71">
        <f>'Stakeholder list'!Q266</f>
        <v/>
      </c>
      <c r="Q261" s="71">
        <f>'Stakeholder list'!R266</f>
        <v/>
      </c>
      <c r="R261" s="71">
        <f>'Stakeholder list'!S266</f>
        <v/>
      </c>
      <c r="S261" s="71">
        <f>'Stakeholder list'!T266</f>
        <v/>
      </c>
      <c r="T261" s="71">
        <f>'Stakeholder list'!U266</f>
        <v/>
      </c>
      <c r="U261" s="71">
        <f>'Stakeholder list'!V266</f>
        <v/>
      </c>
      <c r="V261" s="71">
        <f>'Stakeholder list'!W266</f>
        <v/>
      </c>
      <c r="W261" s="71">
        <f>'Stakeholder list'!X266</f>
        <v/>
      </c>
    </row>
    <row r="262">
      <c r="A262" s="71">
        <f>'Stakeholder list'!B267</f>
        <v/>
      </c>
      <c r="B262" s="71">
        <f>'Stakeholder list'!C267</f>
        <v/>
      </c>
      <c r="C262" s="71">
        <f>'Stakeholder list'!D267</f>
        <v/>
      </c>
      <c r="D262" s="71">
        <f>'Stakeholder list'!E267</f>
        <v/>
      </c>
      <c r="E262" s="71">
        <f>'Stakeholder list'!F267</f>
        <v/>
      </c>
      <c r="F262" s="71">
        <f>'Stakeholder list'!G267</f>
        <v/>
      </c>
      <c r="G262" s="71">
        <f>'Stakeholder list'!H267</f>
        <v/>
      </c>
      <c r="H262" s="71">
        <f>'Stakeholder list'!I267</f>
        <v/>
      </c>
      <c r="I262" s="71">
        <f>'Stakeholder list'!J267</f>
        <v/>
      </c>
      <c r="J262" s="71">
        <f>'Stakeholder list'!K267</f>
        <v/>
      </c>
      <c r="K262" s="71">
        <f>'Stakeholder list'!L267</f>
        <v/>
      </c>
      <c r="L262" s="71">
        <f>'Stakeholder list'!M267</f>
        <v/>
      </c>
      <c r="M262" s="71">
        <f>'Stakeholder list'!N267</f>
        <v/>
      </c>
      <c r="N262" s="71">
        <f>'Stakeholder list'!O267</f>
        <v/>
      </c>
      <c r="O262" s="71">
        <f>'Stakeholder list'!P267</f>
        <v/>
      </c>
      <c r="P262" s="71">
        <f>'Stakeholder list'!Q267</f>
        <v/>
      </c>
      <c r="Q262" s="71">
        <f>'Stakeholder list'!R267</f>
        <v/>
      </c>
      <c r="R262" s="71">
        <f>'Stakeholder list'!S267</f>
        <v/>
      </c>
      <c r="S262" s="71">
        <f>'Stakeholder list'!T267</f>
        <v/>
      </c>
      <c r="T262" s="71">
        <f>'Stakeholder list'!U267</f>
        <v/>
      </c>
      <c r="U262" s="71">
        <f>'Stakeholder list'!V267</f>
        <v/>
      </c>
      <c r="V262" s="71">
        <f>'Stakeholder list'!W267</f>
        <v/>
      </c>
      <c r="W262" s="71">
        <f>'Stakeholder list'!X267</f>
        <v/>
      </c>
    </row>
    <row r="263">
      <c r="A263" s="71">
        <f>'Stakeholder list'!B268</f>
        <v/>
      </c>
      <c r="B263" s="71">
        <f>'Stakeholder list'!C268</f>
        <v/>
      </c>
      <c r="C263" s="71">
        <f>'Stakeholder list'!D268</f>
        <v/>
      </c>
      <c r="D263" s="71">
        <f>'Stakeholder list'!E268</f>
        <v/>
      </c>
      <c r="E263" s="71">
        <f>'Stakeholder list'!F268</f>
        <v/>
      </c>
      <c r="F263" s="71">
        <f>'Stakeholder list'!G268</f>
        <v/>
      </c>
      <c r="G263" s="71">
        <f>'Stakeholder list'!H268</f>
        <v/>
      </c>
      <c r="H263" s="71">
        <f>'Stakeholder list'!I268</f>
        <v/>
      </c>
      <c r="I263" s="71">
        <f>'Stakeholder list'!J268</f>
        <v/>
      </c>
      <c r="J263" s="71">
        <f>'Stakeholder list'!K268</f>
        <v/>
      </c>
      <c r="K263" s="71">
        <f>'Stakeholder list'!L268</f>
        <v/>
      </c>
      <c r="L263" s="71">
        <f>'Stakeholder list'!M268</f>
        <v/>
      </c>
      <c r="M263" s="71">
        <f>'Stakeholder list'!N268</f>
        <v/>
      </c>
      <c r="N263" s="71">
        <f>'Stakeholder list'!O268</f>
        <v/>
      </c>
      <c r="O263" s="71">
        <f>'Stakeholder list'!P268</f>
        <v/>
      </c>
      <c r="P263" s="71">
        <f>'Stakeholder list'!Q268</f>
        <v/>
      </c>
      <c r="Q263" s="71">
        <f>'Stakeholder list'!R268</f>
        <v/>
      </c>
      <c r="R263" s="71">
        <f>'Stakeholder list'!S268</f>
        <v/>
      </c>
      <c r="S263" s="71">
        <f>'Stakeholder list'!T268</f>
        <v/>
      </c>
      <c r="T263" s="71">
        <f>'Stakeholder list'!U268</f>
        <v/>
      </c>
      <c r="U263" s="71">
        <f>'Stakeholder list'!V268</f>
        <v/>
      </c>
      <c r="V263" s="71">
        <f>'Stakeholder list'!W268</f>
        <v/>
      </c>
      <c r="W263" s="71">
        <f>'Stakeholder list'!X268</f>
        <v/>
      </c>
    </row>
    <row r="264">
      <c r="A264" s="71">
        <f>'Stakeholder list'!B269</f>
        <v/>
      </c>
      <c r="B264" s="71">
        <f>'Stakeholder list'!C269</f>
        <v/>
      </c>
      <c r="C264" s="71">
        <f>'Stakeholder list'!D269</f>
        <v/>
      </c>
      <c r="D264" s="71">
        <f>'Stakeholder list'!E269</f>
        <v/>
      </c>
      <c r="E264" s="71">
        <f>'Stakeholder list'!F269</f>
        <v/>
      </c>
      <c r="F264" s="71">
        <f>'Stakeholder list'!G269</f>
        <v/>
      </c>
      <c r="G264" s="71">
        <f>'Stakeholder list'!H269</f>
        <v/>
      </c>
      <c r="H264" s="71">
        <f>'Stakeholder list'!I269</f>
        <v/>
      </c>
      <c r="I264" s="71">
        <f>'Stakeholder list'!J269</f>
        <v/>
      </c>
      <c r="J264" s="71">
        <f>'Stakeholder list'!K269</f>
        <v/>
      </c>
      <c r="K264" s="71">
        <f>'Stakeholder list'!L269</f>
        <v/>
      </c>
      <c r="L264" s="71">
        <f>'Stakeholder list'!M269</f>
        <v/>
      </c>
      <c r="M264" s="71">
        <f>'Stakeholder list'!N269</f>
        <v/>
      </c>
      <c r="N264" s="71">
        <f>'Stakeholder list'!O269</f>
        <v/>
      </c>
      <c r="O264" s="71">
        <f>'Stakeholder list'!P269</f>
        <v/>
      </c>
      <c r="P264" s="71">
        <f>'Stakeholder list'!Q269</f>
        <v/>
      </c>
      <c r="Q264" s="71">
        <f>'Stakeholder list'!R269</f>
        <v/>
      </c>
      <c r="R264" s="71">
        <f>'Stakeholder list'!S269</f>
        <v/>
      </c>
      <c r="S264" s="71">
        <f>'Stakeholder list'!T269</f>
        <v/>
      </c>
      <c r="T264" s="71">
        <f>'Stakeholder list'!U269</f>
        <v/>
      </c>
      <c r="U264" s="71">
        <f>'Stakeholder list'!V269</f>
        <v/>
      </c>
      <c r="V264" s="71">
        <f>'Stakeholder list'!W269</f>
        <v/>
      </c>
      <c r="W264" s="71">
        <f>'Stakeholder list'!X269</f>
        <v/>
      </c>
    </row>
    <row r="265">
      <c r="A265" s="71">
        <f>'Stakeholder list'!B270</f>
        <v/>
      </c>
      <c r="B265" s="71">
        <f>'Stakeholder list'!C270</f>
        <v/>
      </c>
      <c r="C265" s="71">
        <f>'Stakeholder list'!D270</f>
        <v/>
      </c>
      <c r="D265" s="71">
        <f>'Stakeholder list'!E270</f>
        <v/>
      </c>
      <c r="E265" s="71">
        <f>'Stakeholder list'!F270</f>
        <v/>
      </c>
      <c r="F265" s="71">
        <f>'Stakeholder list'!G270</f>
        <v/>
      </c>
      <c r="G265" s="71">
        <f>'Stakeholder list'!H270</f>
        <v/>
      </c>
      <c r="H265" s="71">
        <f>'Stakeholder list'!I270</f>
        <v/>
      </c>
      <c r="I265" s="71">
        <f>'Stakeholder list'!J270</f>
        <v/>
      </c>
      <c r="J265" s="71">
        <f>'Stakeholder list'!K270</f>
        <v/>
      </c>
      <c r="K265" s="71">
        <f>'Stakeholder list'!L270</f>
        <v/>
      </c>
      <c r="L265" s="71">
        <f>'Stakeholder list'!M270</f>
        <v/>
      </c>
      <c r="M265" s="71">
        <f>'Stakeholder list'!N270</f>
        <v/>
      </c>
      <c r="N265" s="71">
        <f>'Stakeholder list'!O270</f>
        <v/>
      </c>
      <c r="O265" s="71">
        <f>'Stakeholder list'!P270</f>
        <v/>
      </c>
      <c r="P265" s="71">
        <f>'Stakeholder list'!Q270</f>
        <v/>
      </c>
      <c r="Q265" s="71">
        <f>'Stakeholder list'!R270</f>
        <v/>
      </c>
      <c r="R265" s="71">
        <f>'Stakeholder list'!S270</f>
        <v/>
      </c>
      <c r="S265" s="71">
        <f>'Stakeholder list'!T270</f>
        <v/>
      </c>
      <c r="T265" s="71">
        <f>'Stakeholder list'!U270</f>
        <v/>
      </c>
      <c r="U265" s="71">
        <f>'Stakeholder list'!V270</f>
        <v/>
      </c>
      <c r="V265" s="71">
        <f>'Stakeholder list'!W270</f>
        <v/>
      </c>
      <c r="W265" s="71">
        <f>'Stakeholder list'!X270</f>
        <v/>
      </c>
    </row>
    <row r="266">
      <c r="A266" s="71">
        <f>'Stakeholder list'!B271</f>
        <v/>
      </c>
      <c r="B266" s="71">
        <f>'Stakeholder list'!C271</f>
        <v/>
      </c>
      <c r="C266" s="71">
        <f>'Stakeholder list'!D271</f>
        <v/>
      </c>
      <c r="D266" s="71">
        <f>'Stakeholder list'!E271</f>
        <v/>
      </c>
      <c r="E266" s="71">
        <f>'Stakeholder list'!F271</f>
        <v/>
      </c>
      <c r="F266" s="71">
        <f>'Stakeholder list'!G271</f>
        <v/>
      </c>
      <c r="G266" s="71">
        <f>'Stakeholder list'!H271</f>
        <v/>
      </c>
      <c r="H266" s="71">
        <f>'Stakeholder list'!I271</f>
        <v/>
      </c>
      <c r="I266" s="71">
        <f>'Stakeholder list'!J271</f>
        <v/>
      </c>
      <c r="J266" s="71">
        <f>'Stakeholder list'!K271</f>
        <v/>
      </c>
      <c r="K266" s="71">
        <f>'Stakeholder list'!L271</f>
        <v/>
      </c>
      <c r="L266" s="71">
        <f>'Stakeholder list'!M271</f>
        <v/>
      </c>
      <c r="M266" s="71">
        <f>'Stakeholder list'!N271</f>
        <v/>
      </c>
      <c r="N266" s="71">
        <f>'Stakeholder list'!O271</f>
        <v/>
      </c>
      <c r="O266" s="71">
        <f>'Stakeholder list'!P271</f>
        <v/>
      </c>
      <c r="P266" s="71">
        <f>'Stakeholder list'!Q271</f>
        <v/>
      </c>
      <c r="Q266" s="71">
        <f>'Stakeholder list'!R271</f>
        <v/>
      </c>
      <c r="R266" s="71">
        <f>'Stakeholder list'!S271</f>
        <v/>
      </c>
      <c r="S266" s="71">
        <f>'Stakeholder list'!T271</f>
        <v/>
      </c>
      <c r="T266" s="71">
        <f>'Stakeholder list'!U271</f>
        <v/>
      </c>
      <c r="U266" s="71">
        <f>'Stakeholder list'!V271</f>
        <v/>
      </c>
      <c r="V266" s="71">
        <f>'Stakeholder list'!W271</f>
        <v/>
      </c>
      <c r="W266" s="71">
        <f>'Stakeholder list'!X271</f>
        <v/>
      </c>
    </row>
    <row r="267">
      <c r="A267" s="71">
        <f>'Stakeholder list'!B272</f>
        <v/>
      </c>
      <c r="B267" s="71">
        <f>'Stakeholder list'!C272</f>
        <v/>
      </c>
      <c r="C267" s="71">
        <f>'Stakeholder list'!D272</f>
        <v/>
      </c>
      <c r="D267" s="71">
        <f>'Stakeholder list'!E272</f>
        <v/>
      </c>
      <c r="E267" s="71">
        <f>'Stakeholder list'!F272</f>
        <v/>
      </c>
      <c r="F267" s="71">
        <f>'Stakeholder list'!G272</f>
        <v/>
      </c>
      <c r="G267" s="71">
        <f>'Stakeholder list'!H272</f>
        <v/>
      </c>
      <c r="H267" s="71">
        <f>'Stakeholder list'!I272</f>
        <v/>
      </c>
      <c r="I267" s="71">
        <f>'Stakeholder list'!J272</f>
        <v/>
      </c>
      <c r="J267" s="71">
        <f>'Stakeholder list'!K272</f>
        <v/>
      </c>
      <c r="K267" s="71">
        <f>'Stakeholder list'!L272</f>
        <v/>
      </c>
      <c r="L267" s="71">
        <f>'Stakeholder list'!M272</f>
        <v/>
      </c>
      <c r="M267" s="71">
        <f>'Stakeholder list'!N272</f>
        <v/>
      </c>
      <c r="N267" s="71">
        <f>'Stakeholder list'!O272</f>
        <v/>
      </c>
      <c r="O267" s="71">
        <f>'Stakeholder list'!P272</f>
        <v/>
      </c>
      <c r="P267" s="71">
        <f>'Stakeholder list'!Q272</f>
        <v/>
      </c>
      <c r="Q267" s="71">
        <f>'Stakeholder list'!R272</f>
        <v/>
      </c>
      <c r="R267" s="71">
        <f>'Stakeholder list'!S272</f>
        <v/>
      </c>
      <c r="S267" s="71">
        <f>'Stakeholder list'!T272</f>
        <v/>
      </c>
      <c r="T267" s="71">
        <f>'Stakeholder list'!U272</f>
        <v/>
      </c>
      <c r="U267" s="71">
        <f>'Stakeholder list'!V272</f>
        <v/>
      </c>
      <c r="V267" s="71">
        <f>'Stakeholder list'!W272</f>
        <v/>
      </c>
      <c r="W267" s="71">
        <f>'Stakeholder list'!X272</f>
        <v/>
      </c>
    </row>
    <row r="268">
      <c r="A268" s="71">
        <f>'Stakeholder list'!B273</f>
        <v/>
      </c>
      <c r="B268" s="71">
        <f>'Stakeholder list'!C273</f>
        <v/>
      </c>
      <c r="C268" s="71">
        <f>'Stakeholder list'!D273</f>
        <v/>
      </c>
      <c r="D268" s="71">
        <f>'Stakeholder list'!E273</f>
        <v/>
      </c>
      <c r="E268" s="71">
        <f>'Stakeholder list'!F273</f>
        <v/>
      </c>
      <c r="F268" s="71">
        <f>'Stakeholder list'!G273</f>
        <v/>
      </c>
      <c r="G268" s="71">
        <f>'Stakeholder list'!H273</f>
        <v/>
      </c>
      <c r="H268" s="71">
        <f>'Stakeholder list'!I273</f>
        <v/>
      </c>
      <c r="I268" s="71">
        <f>'Stakeholder list'!J273</f>
        <v/>
      </c>
      <c r="J268" s="71">
        <f>'Stakeholder list'!K273</f>
        <v/>
      </c>
      <c r="K268" s="71">
        <f>'Stakeholder list'!L273</f>
        <v/>
      </c>
      <c r="L268" s="71">
        <f>'Stakeholder list'!M273</f>
        <v/>
      </c>
      <c r="M268" s="71">
        <f>'Stakeholder list'!N273</f>
        <v/>
      </c>
      <c r="N268" s="71">
        <f>'Stakeholder list'!O273</f>
        <v/>
      </c>
      <c r="O268" s="71">
        <f>'Stakeholder list'!P273</f>
        <v/>
      </c>
      <c r="P268" s="71">
        <f>'Stakeholder list'!Q273</f>
        <v/>
      </c>
      <c r="Q268" s="71">
        <f>'Stakeholder list'!R273</f>
        <v/>
      </c>
      <c r="R268" s="71">
        <f>'Stakeholder list'!S273</f>
        <v/>
      </c>
      <c r="S268" s="71">
        <f>'Stakeholder list'!T273</f>
        <v/>
      </c>
      <c r="T268" s="71">
        <f>'Stakeholder list'!U273</f>
        <v/>
      </c>
      <c r="U268" s="71">
        <f>'Stakeholder list'!V273</f>
        <v/>
      </c>
      <c r="V268" s="71">
        <f>'Stakeholder list'!W273</f>
        <v/>
      </c>
      <c r="W268" s="71">
        <f>'Stakeholder list'!X273</f>
        <v/>
      </c>
    </row>
    <row r="269">
      <c r="A269" s="71">
        <f>'Stakeholder list'!B274</f>
        <v/>
      </c>
      <c r="B269" s="71">
        <f>'Stakeholder list'!C274</f>
        <v/>
      </c>
      <c r="C269" s="71">
        <f>'Stakeholder list'!D274</f>
        <v/>
      </c>
      <c r="D269" s="71">
        <f>'Stakeholder list'!E274</f>
        <v/>
      </c>
      <c r="E269" s="71">
        <f>'Stakeholder list'!F274</f>
        <v/>
      </c>
      <c r="F269" s="71">
        <f>'Stakeholder list'!G274</f>
        <v/>
      </c>
      <c r="G269" s="71">
        <f>'Stakeholder list'!H274</f>
        <v/>
      </c>
      <c r="H269" s="71">
        <f>'Stakeholder list'!I274</f>
        <v/>
      </c>
      <c r="I269" s="71">
        <f>'Stakeholder list'!J274</f>
        <v/>
      </c>
      <c r="J269" s="71">
        <f>'Stakeholder list'!K274</f>
        <v/>
      </c>
      <c r="K269" s="71">
        <f>'Stakeholder list'!L274</f>
        <v/>
      </c>
      <c r="L269" s="71">
        <f>'Stakeholder list'!M274</f>
        <v/>
      </c>
      <c r="M269" s="71">
        <f>'Stakeholder list'!N274</f>
        <v/>
      </c>
      <c r="N269" s="71">
        <f>'Stakeholder list'!O274</f>
        <v/>
      </c>
      <c r="O269" s="71">
        <f>'Stakeholder list'!P274</f>
        <v/>
      </c>
      <c r="P269" s="71">
        <f>'Stakeholder list'!Q274</f>
        <v/>
      </c>
      <c r="Q269" s="71">
        <f>'Stakeholder list'!R274</f>
        <v/>
      </c>
      <c r="R269" s="71">
        <f>'Stakeholder list'!S274</f>
        <v/>
      </c>
      <c r="S269" s="71">
        <f>'Stakeholder list'!T274</f>
        <v/>
      </c>
      <c r="T269" s="71">
        <f>'Stakeholder list'!U274</f>
        <v/>
      </c>
      <c r="U269" s="71">
        <f>'Stakeholder list'!V274</f>
        <v/>
      </c>
      <c r="V269" s="71">
        <f>'Stakeholder list'!W274</f>
        <v/>
      </c>
      <c r="W269" s="71">
        <f>'Stakeholder list'!X274</f>
        <v/>
      </c>
    </row>
    <row r="270">
      <c r="A270" s="71">
        <f>'Stakeholder list'!B275</f>
        <v/>
      </c>
      <c r="B270" s="71">
        <f>'Stakeholder list'!C275</f>
        <v/>
      </c>
      <c r="C270" s="71">
        <f>'Stakeholder list'!D275</f>
        <v/>
      </c>
      <c r="D270" s="71">
        <f>'Stakeholder list'!E275</f>
        <v/>
      </c>
      <c r="E270" s="71">
        <f>'Stakeholder list'!F275</f>
        <v/>
      </c>
      <c r="F270" s="71">
        <f>'Stakeholder list'!G275</f>
        <v/>
      </c>
      <c r="G270" s="71">
        <f>'Stakeholder list'!H275</f>
        <v/>
      </c>
      <c r="H270" s="71">
        <f>'Stakeholder list'!I275</f>
        <v/>
      </c>
      <c r="I270" s="71">
        <f>'Stakeholder list'!J275</f>
        <v/>
      </c>
      <c r="J270" s="71">
        <f>'Stakeholder list'!K275</f>
        <v/>
      </c>
      <c r="K270" s="71">
        <f>'Stakeholder list'!L275</f>
        <v/>
      </c>
      <c r="L270" s="71">
        <f>'Stakeholder list'!M275</f>
        <v/>
      </c>
      <c r="M270" s="71">
        <f>'Stakeholder list'!N275</f>
        <v/>
      </c>
      <c r="N270" s="71">
        <f>'Stakeholder list'!O275</f>
        <v/>
      </c>
      <c r="O270" s="71">
        <f>'Stakeholder list'!P275</f>
        <v/>
      </c>
      <c r="P270" s="71">
        <f>'Stakeholder list'!Q275</f>
        <v/>
      </c>
      <c r="Q270" s="71">
        <f>'Stakeholder list'!R275</f>
        <v/>
      </c>
      <c r="R270" s="71">
        <f>'Stakeholder list'!S275</f>
        <v/>
      </c>
      <c r="S270" s="71">
        <f>'Stakeholder list'!T275</f>
        <v/>
      </c>
      <c r="T270" s="71">
        <f>'Stakeholder list'!U275</f>
        <v/>
      </c>
      <c r="U270" s="71">
        <f>'Stakeholder list'!V275</f>
        <v/>
      </c>
      <c r="V270" s="71">
        <f>'Stakeholder list'!W275</f>
        <v/>
      </c>
      <c r="W270" s="71">
        <f>'Stakeholder list'!X275</f>
        <v/>
      </c>
    </row>
    <row r="271">
      <c r="A271" s="71">
        <f>'Stakeholder list'!B276</f>
        <v/>
      </c>
      <c r="B271" s="71">
        <f>'Stakeholder list'!C276</f>
        <v/>
      </c>
      <c r="C271" s="71">
        <f>'Stakeholder list'!D276</f>
        <v/>
      </c>
      <c r="D271" s="71">
        <f>'Stakeholder list'!E276</f>
        <v/>
      </c>
      <c r="E271" s="71">
        <f>'Stakeholder list'!F276</f>
        <v/>
      </c>
      <c r="F271" s="71">
        <f>'Stakeholder list'!G276</f>
        <v/>
      </c>
      <c r="G271" s="71">
        <f>'Stakeholder list'!H276</f>
        <v/>
      </c>
      <c r="H271" s="71">
        <f>'Stakeholder list'!I276</f>
        <v/>
      </c>
      <c r="I271" s="71">
        <f>'Stakeholder list'!J276</f>
        <v/>
      </c>
      <c r="J271" s="71">
        <f>'Stakeholder list'!K276</f>
        <v/>
      </c>
      <c r="K271" s="71">
        <f>'Stakeholder list'!L276</f>
        <v/>
      </c>
      <c r="L271" s="71">
        <f>'Stakeholder list'!M276</f>
        <v/>
      </c>
      <c r="M271" s="71">
        <f>'Stakeholder list'!N276</f>
        <v/>
      </c>
      <c r="N271" s="71">
        <f>'Stakeholder list'!O276</f>
        <v/>
      </c>
      <c r="O271" s="71">
        <f>'Stakeholder list'!P276</f>
        <v/>
      </c>
      <c r="P271" s="71">
        <f>'Stakeholder list'!Q276</f>
        <v/>
      </c>
      <c r="Q271" s="71">
        <f>'Stakeholder list'!R276</f>
        <v/>
      </c>
      <c r="R271" s="71">
        <f>'Stakeholder list'!S276</f>
        <v/>
      </c>
      <c r="S271" s="71">
        <f>'Stakeholder list'!T276</f>
        <v/>
      </c>
      <c r="T271" s="71">
        <f>'Stakeholder list'!U276</f>
        <v/>
      </c>
      <c r="U271" s="71">
        <f>'Stakeholder list'!V276</f>
        <v/>
      </c>
      <c r="V271" s="71">
        <f>'Stakeholder list'!W276</f>
        <v/>
      </c>
      <c r="W271" s="71">
        <f>'Stakeholder list'!X276</f>
        <v/>
      </c>
    </row>
    <row r="272">
      <c r="A272" s="71">
        <f>'Stakeholder list'!B277</f>
        <v/>
      </c>
      <c r="B272" s="71">
        <f>'Stakeholder list'!C277</f>
        <v/>
      </c>
      <c r="C272" s="71">
        <f>'Stakeholder list'!D277</f>
        <v/>
      </c>
      <c r="D272" s="71">
        <f>'Stakeholder list'!E277</f>
        <v/>
      </c>
      <c r="E272" s="71">
        <f>'Stakeholder list'!F277</f>
        <v/>
      </c>
      <c r="F272" s="71">
        <f>'Stakeholder list'!G277</f>
        <v/>
      </c>
      <c r="G272" s="71">
        <f>'Stakeholder list'!H277</f>
        <v/>
      </c>
      <c r="H272" s="71">
        <f>'Stakeholder list'!I277</f>
        <v/>
      </c>
      <c r="I272" s="71">
        <f>'Stakeholder list'!J277</f>
        <v/>
      </c>
      <c r="J272" s="71">
        <f>'Stakeholder list'!K277</f>
        <v/>
      </c>
      <c r="K272" s="71">
        <f>'Stakeholder list'!L277</f>
        <v/>
      </c>
      <c r="L272" s="71">
        <f>'Stakeholder list'!M277</f>
        <v/>
      </c>
      <c r="M272" s="71">
        <f>'Stakeholder list'!N277</f>
        <v/>
      </c>
      <c r="N272" s="71">
        <f>'Stakeholder list'!O277</f>
        <v/>
      </c>
      <c r="O272" s="71">
        <f>'Stakeholder list'!P277</f>
        <v/>
      </c>
      <c r="P272" s="71">
        <f>'Stakeholder list'!Q277</f>
        <v/>
      </c>
      <c r="Q272" s="71">
        <f>'Stakeholder list'!R277</f>
        <v/>
      </c>
      <c r="R272" s="71">
        <f>'Stakeholder list'!S277</f>
        <v/>
      </c>
      <c r="S272" s="71">
        <f>'Stakeholder list'!T277</f>
        <v/>
      </c>
      <c r="T272" s="71">
        <f>'Stakeholder list'!U277</f>
        <v/>
      </c>
      <c r="U272" s="71">
        <f>'Stakeholder list'!V277</f>
        <v/>
      </c>
      <c r="V272" s="71">
        <f>'Stakeholder list'!W277</f>
        <v/>
      </c>
      <c r="W272" s="71">
        <f>'Stakeholder list'!X277</f>
        <v/>
      </c>
    </row>
    <row r="273">
      <c r="A273" s="71">
        <f>'Stakeholder list'!B278</f>
        <v/>
      </c>
      <c r="B273" s="71">
        <f>'Stakeholder list'!C278</f>
        <v/>
      </c>
      <c r="C273" s="71">
        <f>'Stakeholder list'!D278</f>
        <v/>
      </c>
      <c r="D273" s="71">
        <f>'Stakeholder list'!E278</f>
        <v/>
      </c>
      <c r="E273" s="71">
        <f>'Stakeholder list'!F278</f>
        <v/>
      </c>
      <c r="F273" s="71">
        <f>'Stakeholder list'!G278</f>
        <v/>
      </c>
      <c r="G273" s="71">
        <f>'Stakeholder list'!H278</f>
        <v/>
      </c>
      <c r="H273" s="71">
        <f>'Stakeholder list'!I278</f>
        <v/>
      </c>
      <c r="I273" s="71">
        <f>'Stakeholder list'!J278</f>
        <v/>
      </c>
      <c r="J273" s="71">
        <f>'Stakeholder list'!K278</f>
        <v/>
      </c>
      <c r="K273" s="71">
        <f>'Stakeholder list'!L278</f>
        <v/>
      </c>
      <c r="L273" s="71">
        <f>'Stakeholder list'!M278</f>
        <v/>
      </c>
      <c r="M273" s="71">
        <f>'Stakeholder list'!N278</f>
        <v/>
      </c>
      <c r="N273" s="71">
        <f>'Stakeholder list'!O278</f>
        <v/>
      </c>
      <c r="O273" s="71">
        <f>'Stakeholder list'!P278</f>
        <v/>
      </c>
      <c r="P273" s="71">
        <f>'Stakeholder list'!Q278</f>
        <v/>
      </c>
      <c r="Q273" s="71">
        <f>'Stakeholder list'!R278</f>
        <v/>
      </c>
      <c r="R273" s="71">
        <f>'Stakeholder list'!S278</f>
        <v/>
      </c>
      <c r="S273" s="71">
        <f>'Stakeholder list'!T278</f>
        <v/>
      </c>
      <c r="T273" s="71">
        <f>'Stakeholder list'!U278</f>
        <v/>
      </c>
      <c r="U273" s="71">
        <f>'Stakeholder list'!V278</f>
        <v/>
      </c>
      <c r="V273" s="71">
        <f>'Stakeholder list'!W278</f>
        <v/>
      </c>
      <c r="W273" s="71">
        <f>'Stakeholder list'!X278</f>
        <v/>
      </c>
    </row>
    <row r="274">
      <c r="A274" s="71">
        <f>'Stakeholder list'!B279</f>
        <v/>
      </c>
      <c r="B274" s="71">
        <f>'Stakeholder list'!C279</f>
        <v/>
      </c>
      <c r="C274" s="71">
        <f>'Stakeholder list'!D279</f>
        <v/>
      </c>
      <c r="D274" s="71">
        <f>'Stakeholder list'!E279</f>
        <v/>
      </c>
      <c r="E274" s="71">
        <f>'Stakeholder list'!F279</f>
        <v/>
      </c>
      <c r="F274" s="71">
        <f>'Stakeholder list'!G279</f>
        <v/>
      </c>
      <c r="G274" s="71">
        <f>'Stakeholder list'!H279</f>
        <v/>
      </c>
      <c r="H274" s="71">
        <f>'Stakeholder list'!I279</f>
        <v/>
      </c>
      <c r="I274" s="71">
        <f>'Stakeholder list'!J279</f>
        <v/>
      </c>
      <c r="J274" s="71">
        <f>'Stakeholder list'!K279</f>
        <v/>
      </c>
      <c r="K274" s="71">
        <f>'Stakeholder list'!L279</f>
        <v/>
      </c>
      <c r="L274" s="71">
        <f>'Stakeholder list'!M279</f>
        <v/>
      </c>
      <c r="M274" s="71">
        <f>'Stakeholder list'!N279</f>
        <v/>
      </c>
      <c r="N274" s="71">
        <f>'Stakeholder list'!O279</f>
        <v/>
      </c>
      <c r="O274" s="71">
        <f>'Stakeholder list'!P279</f>
        <v/>
      </c>
      <c r="P274" s="71">
        <f>'Stakeholder list'!Q279</f>
        <v/>
      </c>
      <c r="Q274" s="71">
        <f>'Stakeholder list'!R279</f>
        <v/>
      </c>
      <c r="R274" s="71">
        <f>'Stakeholder list'!S279</f>
        <v/>
      </c>
      <c r="S274" s="71">
        <f>'Stakeholder list'!T279</f>
        <v/>
      </c>
      <c r="T274" s="71">
        <f>'Stakeholder list'!U279</f>
        <v/>
      </c>
      <c r="U274" s="71">
        <f>'Stakeholder list'!V279</f>
        <v/>
      </c>
      <c r="V274" s="71">
        <f>'Stakeholder list'!W279</f>
        <v/>
      </c>
      <c r="W274" s="71">
        <f>'Stakeholder list'!X279</f>
        <v/>
      </c>
    </row>
    <row r="275">
      <c r="A275" s="71">
        <f>'Stakeholder list'!B280</f>
        <v/>
      </c>
      <c r="B275" s="71">
        <f>'Stakeholder list'!C280</f>
        <v/>
      </c>
      <c r="C275" s="71">
        <f>'Stakeholder list'!D280</f>
        <v/>
      </c>
      <c r="D275" s="71">
        <f>'Stakeholder list'!E280</f>
        <v/>
      </c>
      <c r="E275" s="71">
        <f>'Stakeholder list'!F280</f>
        <v/>
      </c>
      <c r="F275" s="71">
        <f>'Stakeholder list'!G280</f>
        <v/>
      </c>
      <c r="G275" s="71">
        <f>'Stakeholder list'!H280</f>
        <v/>
      </c>
      <c r="H275" s="71">
        <f>'Stakeholder list'!I280</f>
        <v/>
      </c>
      <c r="I275" s="71">
        <f>'Stakeholder list'!J280</f>
        <v/>
      </c>
      <c r="J275" s="71">
        <f>'Stakeholder list'!K280</f>
        <v/>
      </c>
      <c r="K275" s="71">
        <f>'Stakeholder list'!L280</f>
        <v/>
      </c>
      <c r="L275" s="71">
        <f>'Stakeholder list'!M280</f>
        <v/>
      </c>
      <c r="M275" s="71">
        <f>'Stakeholder list'!N280</f>
        <v/>
      </c>
      <c r="N275" s="71">
        <f>'Stakeholder list'!O280</f>
        <v/>
      </c>
      <c r="O275" s="71">
        <f>'Stakeholder list'!P280</f>
        <v/>
      </c>
      <c r="P275" s="71">
        <f>'Stakeholder list'!Q280</f>
        <v/>
      </c>
      <c r="Q275" s="71">
        <f>'Stakeholder list'!R280</f>
        <v/>
      </c>
      <c r="R275" s="71">
        <f>'Stakeholder list'!S280</f>
        <v/>
      </c>
      <c r="S275" s="71">
        <f>'Stakeholder list'!T280</f>
        <v/>
      </c>
      <c r="T275" s="71">
        <f>'Stakeholder list'!U280</f>
        <v/>
      </c>
      <c r="U275" s="71">
        <f>'Stakeholder list'!V280</f>
        <v/>
      </c>
      <c r="V275" s="71">
        <f>'Stakeholder list'!W280</f>
        <v/>
      </c>
      <c r="W275" s="71">
        <f>'Stakeholder list'!X280</f>
        <v/>
      </c>
    </row>
    <row r="276">
      <c r="A276" s="71">
        <f>'Stakeholder list'!B281</f>
        <v/>
      </c>
      <c r="B276" s="71">
        <f>'Stakeholder list'!C281</f>
        <v/>
      </c>
      <c r="C276" s="71">
        <f>'Stakeholder list'!D281</f>
        <v/>
      </c>
      <c r="D276" s="71">
        <f>'Stakeholder list'!E281</f>
        <v/>
      </c>
      <c r="E276" s="71">
        <f>'Stakeholder list'!F281</f>
        <v/>
      </c>
      <c r="F276" s="71">
        <f>'Stakeholder list'!G281</f>
        <v/>
      </c>
      <c r="G276" s="71">
        <f>'Stakeholder list'!H281</f>
        <v/>
      </c>
      <c r="H276" s="71">
        <f>'Stakeholder list'!I281</f>
        <v/>
      </c>
      <c r="I276" s="71">
        <f>'Stakeholder list'!J281</f>
        <v/>
      </c>
      <c r="J276" s="71">
        <f>'Stakeholder list'!K281</f>
        <v/>
      </c>
      <c r="K276" s="71">
        <f>'Stakeholder list'!L281</f>
        <v/>
      </c>
      <c r="L276" s="71">
        <f>'Stakeholder list'!M281</f>
        <v/>
      </c>
      <c r="M276" s="71">
        <f>'Stakeholder list'!N281</f>
        <v/>
      </c>
      <c r="N276" s="71">
        <f>'Stakeholder list'!O281</f>
        <v/>
      </c>
      <c r="O276" s="71">
        <f>'Stakeholder list'!P281</f>
        <v/>
      </c>
      <c r="P276" s="71">
        <f>'Stakeholder list'!Q281</f>
        <v/>
      </c>
      <c r="Q276" s="71">
        <f>'Stakeholder list'!R281</f>
        <v/>
      </c>
      <c r="R276" s="71">
        <f>'Stakeholder list'!S281</f>
        <v/>
      </c>
      <c r="S276" s="71">
        <f>'Stakeholder list'!T281</f>
        <v/>
      </c>
      <c r="T276" s="71">
        <f>'Stakeholder list'!U281</f>
        <v/>
      </c>
      <c r="U276" s="71">
        <f>'Stakeholder list'!V281</f>
        <v/>
      </c>
      <c r="V276" s="71">
        <f>'Stakeholder list'!W281</f>
        <v/>
      </c>
      <c r="W276" s="71">
        <f>'Stakeholder list'!X281</f>
        <v/>
      </c>
    </row>
    <row r="277">
      <c r="A277" s="71">
        <f>'Stakeholder list'!B282</f>
        <v/>
      </c>
      <c r="B277" s="71">
        <f>'Stakeholder list'!C282</f>
        <v/>
      </c>
      <c r="C277" s="71">
        <f>'Stakeholder list'!D282</f>
        <v/>
      </c>
      <c r="D277" s="71">
        <f>'Stakeholder list'!E282</f>
        <v/>
      </c>
      <c r="E277" s="71">
        <f>'Stakeholder list'!F282</f>
        <v/>
      </c>
      <c r="F277" s="71">
        <f>'Stakeholder list'!G282</f>
        <v/>
      </c>
      <c r="G277" s="71">
        <f>'Stakeholder list'!H282</f>
        <v/>
      </c>
      <c r="H277" s="71">
        <f>'Stakeholder list'!I282</f>
        <v/>
      </c>
      <c r="I277" s="71">
        <f>'Stakeholder list'!J282</f>
        <v/>
      </c>
      <c r="J277" s="71">
        <f>'Stakeholder list'!K282</f>
        <v/>
      </c>
      <c r="K277" s="71">
        <f>'Stakeholder list'!L282</f>
        <v/>
      </c>
      <c r="L277" s="71">
        <f>'Stakeholder list'!M282</f>
        <v/>
      </c>
      <c r="M277" s="71">
        <f>'Stakeholder list'!N282</f>
        <v/>
      </c>
      <c r="N277" s="71">
        <f>'Stakeholder list'!O282</f>
        <v/>
      </c>
      <c r="O277" s="71">
        <f>'Stakeholder list'!P282</f>
        <v/>
      </c>
      <c r="P277" s="71">
        <f>'Stakeholder list'!Q282</f>
        <v/>
      </c>
      <c r="Q277" s="71">
        <f>'Stakeholder list'!R282</f>
        <v/>
      </c>
      <c r="R277" s="71">
        <f>'Stakeholder list'!S282</f>
        <v/>
      </c>
      <c r="S277" s="71">
        <f>'Stakeholder list'!T282</f>
        <v/>
      </c>
      <c r="T277" s="71">
        <f>'Stakeholder list'!U282</f>
        <v/>
      </c>
      <c r="U277" s="71">
        <f>'Stakeholder list'!V282</f>
        <v/>
      </c>
      <c r="V277" s="71">
        <f>'Stakeholder list'!W282</f>
        <v/>
      </c>
      <c r="W277" s="71">
        <f>'Stakeholder list'!X282</f>
        <v/>
      </c>
    </row>
    <row r="278">
      <c r="A278" s="71">
        <f>'Stakeholder list'!B283</f>
        <v/>
      </c>
      <c r="B278" s="71">
        <f>'Stakeholder list'!C283</f>
        <v/>
      </c>
      <c r="C278" s="71">
        <f>'Stakeholder list'!D283</f>
        <v/>
      </c>
      <c r="D278" s="71">
        <f>'Stakeholder list'!E283</f>
        <v/>
      </c>
      <c r="E278" s="71">
        <f>'Stakeholder list'!F283</f>
        <v/>
      </c>
      <c r="F278" s="71">
        <f>'Stakeholder list'!G283</f>
        <v/>
      </c>
      <c r="G278" s="71">
        <f>'Stakeholder list'!H283</f>
        <v/>
      </c>
      <c r="H278" s="71">
        <f>'Stakeholder list'!I283</f>
        <v/>
      </c>
      <c r="I278" s="71">
        <f>'Stakeholder list'!J283</f>
        <v/>
      </c>
      <c r="J278" s="71">
        <f>'Stakeholder list'!K283</f>
        <v/>
      </c>
      <c r="K278" s="71">
        <f>'Stakeholder list'!L283</f>
        <v/>
      </c>
      <c r="L278" s="71">
        <f>'Stakeholder list'!M283</f>
        <v/>
      </c>
      <c r="M278" s="71">
        <f>'Stakeholder list'!N283</f>
        <v/>
      </c>
      <c r="N278" s="71">
        <f>'Stakeholder list'!O283</f>
        <v/>
      </c>
      <c r="O278" s="71">
        <f>'Stakeholder list'!P283</f>
        <v/>
      </c>
      <c r="P278" s="71">
        <f>'Stakeholder list'!Q283</f>
        <v/>
      </c>
      <c r="Q278" s="71">
        <f>'Stakeholder list'!R283</f>
        <v/>
      </c>
      <c r="R278" s="71">
        <f>'Stakeholder list'!S283</f>
        <v/>
      </c>
      <c r="S278" s="71">
        <f>'Stakeholder list'!T283</f>
        <v/>
      </c>
      <c r="T278" s="71">
        <f>'Stakeholder list'!U283</f>
        <v/>
      </c>
      <c r="U278" s="71">
        <f>'Stakeholder list'!V283</f>
        <v/>
      </c>
      <c r="V278" s="71">
        <f>'Stakeholder list'!W283</f>
        <v/>
      </c>
      <c r="W278" s="71">
        <f>'Stakeholder list'!X283</f>
        <v/>
      </c>
    </row>
    <row r="279">
      <c r="A279" s="71">
        <f>'Stakeholder list'!B284</f>
        <v/>
      </c>
      <c r="B279" s="71">
        <f>'Stakeholder list'!C284</f>
        <v/>
      </c>
      <c r="C279" s="71">
        <f>'Stakeholder list'!D284</f>
        <v/>
      </c>
      <c r="D279" s="71">
        <f>'Stakeholder list'!E284</f>
        <v/>
      </c>
      <c r="E279" s="71">
        <f>'Stakeholder list'!F284</f>
        <v/>
      </c>
      <c r="F279" s="71">
        <f>'Stakeholder list'!G284</f>
        <v/>
      </c>
      <c r="G279" s="71">
        <f>'Stakeholder list'!H284</f>
        <v/>
      </c>
      <c r="H279" s="71">
        <f>'Stakeholder list'!I284</f>
        <v/>
      </c>
      <c r="I279" s="71">
        <f>'Stakeholder list'!J284</f>
        <v/>
      </c>
      <c r="J279" s="71">
        <f>'Stakeholder list'!K284</f>
        <v/>
      </c>
      <c r="K279" s="71">
        <f>'Stakeholder list'!L284</f>
        <v/>
      </c>
      <c r="L279" s="71">
        <f>'Stakeholder list'!M284</f>
        <v/>
      </c>
      <c r="M279" s="71">
        <f>'Stakeholder list'!N284</f>
        <v/>
      </c>
      <c r="N279" s="71">
        <f>'Stakeholder list'!O284</f>
        <v/>
      </c>
      <c r="O279" s="71">
        <f>'Stakeholder list'!P284</f>
        <v/>
      </c>
      <c r="P279" s="71">
        <f>'Stakeholder list'!Q284</f>
        <v/>
      </c>
      <c r="Q279" s="71">
        <f>'Stakeholder list'!R284</f>
        <v/>
      </c>
      <c r="R279" s="71">
        <f>'Stakeholder list'!S284</f>
        <v/>
      </c>
      <c r="S279" s="71">
        <f>'Stakeholder list'!T284</f>
        <v/>
      </c>
      <c r="T279" s="71">
        <f>'Stakeholder list'!U284</f>
        <v/>
      </c>
      <c r="U279" s="71">
        <f>'Stakeholder list'!V284</f>
        <v/>
      </c>
      <c r="V279" s="71">
        <f>'Stakeholder list'!W284</f>
        <v/>
      </c>
      <c r="W279" s="71">
        <f>'Stakeholder list'!X284</f>
        <v/>
      </c>
    </row>
    <row r="280">
      <c r="A280" s="71">
        <f>'Stakeholder list'!B285</f>
        <v/>
      </c>
      <c r="B280" s="71">
        <f>'Stakeholder list'!C285</f>
        <v/>
      </c>
      <c r="C280" s="71">
        <f>'Stakeholder list'!D285</f>
        <v/>
      </c>
      <c r="D280" s="71">
        <f>'Stakeholder list'!E285</f>
        <v/>
      </c>
      <c r="E280" s="71">
        <f>'Stakeholder list'!F285</f>
        <v/>
      </c>
      <c r="F280" s="71">
        <f>'Stakeholder list'!G285</f>
        <v/>
      </c>
      <c r="G280" s="71">
        <f>'Stakeholder list'!H285</f>
        <v/>
      </c>
      <c r="H280" s="71">
        <f>'Stakeholder list'!I285</f>
        <v/>
      </c>
      <c r="I280" s="71">
        <f>'Stakeholder list'!J285</f>
        <v/>
      </c>
      <c r="J280" s="71">
        <f>'Stakeholder list'!K285</f>
        <v/>
      </c>
      <c r="K280" s="71">
        <f>'Stakeholder list'!L285</f>
        <v/>
      </c>
      <c r="L280" s="71">
        <f>'Stakeholder list'!M285</f>
        <v/>
      </c>
      <c r="M280" s="71">
        <f>'Stakeholder list'!N285</f>
        <v/>
      </c>
      <c r="N280" s="71">
        <f>'Stakeholder list'!O285</f>
        <v/>
      </c>
      <c r="O280" s="71">
        <f>'Stakeholder list'!P285</f>
        <v/>
      </c>
      <c r="P280" s="71">
        <f>'Stakeholder list'!Q285</f>
        <v/>
      </c>
      <c r="Q280" s="71">
        <f>'Stakeholder list'!R285</f>
        <v/>
      </c>
      <c r="R280" s="71">
        <f>'Stakeholder list'!S285</f>
        <v/>
      </c>
      <c r="S280" s="71">
        <f>'Stakeholder list'!T285</f>
        <v/>
      </c>
      <c r="T280" s="71">
        <f>'Stakeholder list'!U285</f>
        <v/>
      </c>
      <c r="U280" s="71">
        <f>'Stakeholder list'!V285</f>
        <v/>
      </c>
      <c r="V280" s="71">
        <f>'Stakeholder list'!W285</f>
        <v/>
      </c>
      <c r="W280" s="71">
        <f>'Stakeholder list'!X285</f>
        <v/>
      </c>
    </row>
    <row r="281">
      <c r="A281" s="71">
        <f>'Stakeholder list'!B286</f>
        <v/>
      </c>
      <c r="B281" s="71">
        <f>'Stakeholder list'!C286</f>
        <v/>
      </c>
      <c r="C281" s="71">
        <f>'Stakeholder list'!D286</f>
        <v/>
      </c>
      <c r="D281" s="71">
        <f>'Stakeholder list'!E286</f>
        <v/>
      </c>
      <c r="E281" s="71">
        <f>'Stakeholder list'!F286</f>
        <v/>
      </c>
      <c r="F281" s="71">
        <f>'Stakeholder list'!G286</f>
        <v/>
      </c>
      <c r="G281" s="71">
        <f>'Stakeholder list'!H286</f>
        <v/>
      </c>
      <c r="H281" s="71">
        <f>'Stakeholder list'!I286</f>
        <v/>
      </c>
      <c r="I281" s="71">
        <f>'Stakeholder list'!J286</f>
        <v/>
      </c>
      <c r="J281" s="71">
        <f>'Stakeholder list'!K286</f>
        <v/>
      </c>
      <c r="K281" s="71">
        <f>'Stakeholder list'!L286</f>
        <v/>
      </c>
      <c r="L281" s="71">
        <f>'Stakeholder list'!M286</f>
        <v/>
      </c>
      <c r="M281" s="71">
        <f>'Stakeholder list'!N286</f>
        <v/>
      </c>
      <c r="N281" s="71">
        <f>'Stakeholder list'!O286</f>
        <v/>
      </c>
      <c r="O281" s="71">
        <f>'Stakeholder list'!P286</f>
        <v/>
      </c>
      <c r="P281" s="71">
        <f>'Stakeholder list'!Q286</f>
        <v/>
      </c>
      <c r="Q281" s="71">
        <f>'Stakeholder list'!R286</f>
        <v/>
      </c>
      <c r="R281" s="71">
        <f>'Stakeholder list'!S286</f>
        <v/>
      </c>
      <c r="S281" s="71">
        <f>'Stakeholder list'!T286</f>
        <v/>
      </c>
      <c r="T281" s="71">
        <f>'Stakeholder list'!U286</f>
        <v/>
      </c>
      <c r="U281" s="71">
        <f>'Stakeholder list'!V286</f>
        <v/>
      </c>
      <c r="V281" s="71">
        <f>'Stakeholder list'!W286</f>
        <v/>
      </c>
      <c r="W281" s="71">
        <f>'Stakeholder list'!X286</f>
        <v/>
      </c>
    </row>
    <row r="282">
      <c r="A282" s="71">
        <f>'Stakeholder list'!B287</f>
        <v/>
      </c>
      <c r="B282" s="71">
        <f>'Stakeholder list'!C287</f>
        <v/>
      </c>
      <c r="C282" s="71">
        <f>'Stakeholder list'!D287</f>
        <v/>
      </c>
      <c r="D282" s="71">
        <f>'Stakeholder list'!E287</f>
        <v/>
      </c>
      <c r="E282" s="71">
        <f>'Stakeholder list'!F287</f>
        <v/>
      </c>
      <c r="F282" s="71">
        <f>'Stakeholder list'!G287</f>
        <v/>
      </c>
      <c r="G282" s="71">
        <f>'Stakeholder list'!H287</f>
        <v/>
      </c>
      <c r="H282" s="71">
        <f>'Stakeholder list'!I287</f>
        <v/>
      </c>
      <c r="I282" s="71">
        <f>'Stakeholder list'!J287</f>
        <v/>
      </c>
      <c r="J282" s="71">
        <f>'Stakeholder list'!K287</f>
        <v/>
      </c>
      <c r="K282" s="71">
        <f>'Stakeholder list'!L287</f>
        <v/>
      </c>
      <c r="L282" s="71">
        <f>'Stakeholder list'!M287</f>
        <v/>
      </c>
      <c r="M282" s="71">
        <f>'Stakeholder list'!N287</f>
        <v/>
      </c>
      <c r="N282" s="71">
        <f>'Stakeholder list'!O287</f>
        <v/>
      </c>
      <c r="O282" s="71">
        <f>'Stakeholder list'!P287</f>
        <v/>
      </c>
      <c r="P282" s="71">
        <f>'Stakeholder list'!Q287</f>
        <v/>
      </c>
      <c r="Q282" s="71">
        <f>'Stakeholder list'!R287</f>
        <v/>
      </c>
      <c r="R282" s="71">
        <f>'Stakeholder list'!S287</f>
        <v/>
      </c>
      <c r="S282" s="71">
        <f>'Stakeholder list'!T287</f>
        <v/>
      </c>
      <c r="T282" s="71">
        <f>'Stakeholder list'!U287</f>
        <v/>
      </c>
      <c r="U282" s="71">
        <f>'Stakeholder list'!V287</f>
        <v/>
      </c>
      <c r="V282" s="71">
        <f>'Stakeholder list'!W287</f>
        <v/>
      </c>
      <c r="W282" s="71">
        <f>'Stakeholder list'!X287</f>
        <v/>
      </c>
    </row>
    <row r="283">
      <c r="A283" s="71">
        <f>'Stakeholder list'!B288</f>
        <v/>
      </c>
      <c r="B283" s="71">
        <f>'Stakeholder list'!C288</f>
        <v/>
      </c>
      <c r="C283" s="71">
        <f>'Stakeholder list'!D288</f>
        <v/>
      </c>
      <c r="D283" s="71">
        <f>'Stakeholder list'!E288</f>
        <v/>
      </c>
      <c r="E283" s="71">
        <f>'Stakeholder list'!F288</f>
        <v/>
      </c>
      <c r="F283" s="71">
        <f>'Stakeholder list'!G288</f>
        <v/>
      </c>
      <c r="G283" s="71">
        <f>'Stakeholder list'!H288</f>
        <v/>
      </c>
      <c r="H283" s="71">
        <f>'Stakeholder list'!I288</f>
        <v/>
      </c>
      <c r="I283" s="71">
        <f>'Stakeholder list'!J288</f>
        <v/>
      </c>
      <c r="J283" s="71">
        <f>'Stakeholder list'!K288</f>
        <v/>
      </c>
      <c r="K283" s="71">
        <f>'Stakeholder list'!L288</f>
        <v/>
      </c>
      <c r="L283" s="71">
        <f>'Stakeholder list'!M288</f>
        <v/>
      </c>
      <c r="M283" s="71">
        <f>'Stakeholder list'!N288</f>
        <v/>
      </c>
      <c r="N283" s="71">
        <f>'Stakeholder list'!O288</f>
        <v/>
      </c>
      <c r="O283" s="71">
        <f>'Stakeholder list'!P288</f>
        <v/>
      </c>
      <c r="P283" s="71">
        <f>'Stakeholder list'!Q288</f>
        <v/>
      </c>
      <c r="Q283" s="71">
        <f>'Stakeholder list'!R288</f>
        <v/>
      </c>
      <c r="R283" s="71">
        <f>'Stakeholder list'!S288</f>
        <v/>
      </c>
      <c r="S283" s="71">
        <f>'Stakeholder list'!T288</f>
        <v/>
      </c>
      <c r="T283" s="71">
        <f>'Stakeholder list'!U288</f>
        <v/>
      </c>
      <c r="U283" s="71">
        <f>'Stakeholder list'!V288</f>
        <v/>
      </c>
      <c r="V283" s="71">
        <f>'Stakeholder list'!W288</f>
        <v/>
      </c>
      <c r="W283" s="71">
        <f>'Stakeholder list'!X288</f>
        <v/>
      </c>
    </row>
    <row r="284">
      <c r="A284" s="71">
        <f>'Stakeholder list'!B289</f>
        <v/>
      </c>
      <c r="B284" s="71">
        <f>'Stakeholder list'!C289</f>
        <v/>
      </c>
      <c r="C284" s="71">
        <f>'Stakeholder list'!D289</f>
        <v/>
      </c>
      <c r="D284" s="71">
        <f>'Stakeholder list'!E289</f>
        <v/>
      </c>
      <c r="E284" s="71">
        <f>'Stakeholder list'!F289</f>
        <v/>
      </c>
      <c r="F284" s="71">
        <f>'Stakeholder list'!G289</f>
        <v/>
      </c>
      <c r="G284" s="71">
        <f>'Stakeholder list'!H289</f>
        <v/>
      </c>
      <c r="H284" s="71">
        <f>'Stakeholder list'!I289</f>
        <v/>
      </c>
      <c r="I284" s="71">
        <f>'Stakeholder list'!J289</f>
        <v/>
      </c>
      <c r="J284" s="71">
        <f>'Stakeholder list'!K289</f>
        <v/>
      </c>
      <c r="K284" s="71">
        <f>'Stakeholder list'!L289</f>
        <v/>
      </c>
      <c r="L284" s="71">
        <f>'Stakeholder list'!M289</f>
        <v/>
      </c>
      <c r="M284" s="71">
        <f>'Stakeholder list'!N289</f>
        <v/>
      </c>
      <c r="N284" s="71">
        <f>'Stakeholder list'!O289</f>
        <v/>
      </c>
      <c r="O284" s="71">
        <f>'Stakeholder list'!P289</f>
        <v/>
      </c>
      <c r="P284" s="71">
        <f>'Stakeholder list'!Q289</f>
        <v/>
      </c>
      <c r="Q284" s="71">
        <f>'Stakeholder list'!R289</f>
        <v/>
      </c>
      <c r="R284" s="71">
        <f>'Stakeholder list'!S289</f>
        <v/>
      </c>
      <c r="S284" s="71">
        <f>'Stakeholder list'!T289</f>
        <v/>
      </c>
      <c r="T284" s="71">
        <f>'Stakeholder list'!U289</f>
        <v/>
      </c>
      <c r="U284" s="71">
        <f>'Stakeholder list'!V289</f>
        <v/>
      </c>
      <c r="V284" s="71">
        <f>'Stakeholder list'!W289</f>
        <v/>
      </c>
      <c r="W284" s="71">
        <f>'Stakeholder list'!X289</f>
        <v/>
      </c>
    </row>
    <row r="285">
      <c r="A285" s="71">
        <f>'Stakeholder list'!B290</f>
        <v/>
      </c>
      <c r="B285" s="71">
        <f>'Stakeholder list'!C290</f>
        <v/>
      </c>
      <c r="C285" s="71">
        <f>'Stakeholder list'!D290</f>
        <v/>
      </c>
      <c r="D285" s="71">
        <f>'Stakeholder list'!E290</f>
        <v/>
      </c>
      <c r="E285" s="71">
        <f>'Stakeholder list'!F290</f>
        <v/>
      </c>
      <c r="F285" s="71">
        <f>'Stakeholder list'!G290</f>
        <v/>
      </c>
      <c r="G285" s="71">
        <f>'Stakeholder list'!H290</f>
        <v/>
      </c>
      <c r="H285" s="71">
        <f>'Stakeholder list'!I290</f>
        <v/>
      </c>
      <c r="I285" s="71">
        <f>'Stakeholder list'!J290</f>
        <v/>
      </c>
      <c r="J285" s="71">
        <f>'Stakeholder list'!K290</f>
        <v/>
      </c>
      <c r="K285" s="71">
        <f>'Stakeholder list'!L290</f>
        <v/>
      </c>
      <c r="L285" s="71">
        <f>'Stakeholder list'!M290</f>
        <v/>
      </c>
      <c r="M285" s="71">
        <f>'Stakeholder list'!N290</f>
        <v/>
      </c>
      <c r="N285" s="71">
        <f>'Stakeholder list'!O290</f>
        <v/>
      </c>
      <c r="O285" s="71">
        <f>'Stakeholder list'!P290</f>
        <v/>
      </c>
      <c r="P285" s="71">
        <f>'Stakeholder list'!Q290</f>
        <v/>
      </c>
      <c r="Q285" s="71">
        <f>'Stakeholder list'!R290</f>
        <v/>
      </c>
      <c r="R285" s="71">
        <f>'Stakeholder list'!S290</f>
        <v/>
      </c>
      <c r="S285" s="71">
        <f>'Stakeholder list'!T290</f>
        <v/>
      </c>
      <c r="T285" s="71">
        <f>'Stakeholder list'!U290</f>
        <v/>
      </c>
      <c r="U285" s="71">
        <f>'Stakeholder list'!V290</f>
        <v/>
      </c>
      <c r="V285" s="71">
        <f>'Stakeholder list'!W290</f>
        <v/>
      </c>
      <c r="W285" s="71">
        <f>'Stakeholder list'!X290</f>
        <v/>
      </c>
    </row>
    <row r="286">
      <c r="A286" s="71">
        <f>'Stakeholder list'!B291</f>
        <v/>
      </c>
      <c r="B286" s="71">
        <f>'Stakeholder list'!C291</f>
        <v/>
      </c>
      <c r="C286" s="71">
        <f>'Stakeholder list'!D291</f>
        <v/>
      </c>
      <c r="D286" s="71">
        <f>'Stakeholder list'!E291</f>
        <v/>
      </c>
      <c r="E286" s="71">
        <f>'Stakeholder list'!F291</f>
        <v/>
      </c>
      <c r="F286" s="71">
        <f>'Stakeholder list'!G291</f>
        <v/>
      </c>
      <c r="G286" s="71">
        <f>'Stakeholder list'!H291</f>
        <v/>
      </c>
      <c r="H286" s="71">
        <f>'Stakeholder list'!I291</f>
        <v/>
      </c>
      <c r="I286" s="71">
        <f>'Stakeholder list'!J291</f>
        <v/>
      </c>
      <c r="J286" s="71">
        <f>'Stakeholder list'!K291</f>
        <v/>
      </c>
      <c r="K286" s="71">
        <f>'Stakeholder list'!L291</f>
        <v/>
      </c>
      <c r="L286" s="71">
        <f>'Stakeholder list'!M291</f>
        <v/>
      </c>
      <c r="M286" s="71">
        <f>'Stakeholder list'!N291</f>
        <v/>
      </c>
      <c r="N286" s="71">
        <f>'Stakeholder list'!O291</f>
        <v/>
      </c>
      <c r="O286" s="71">
        <f>'Stakeholder list'!P291</f>
        <v/>
      </c>
      <c r="P286" s="71">
        <f>'Stakeholder list'!Q291</f>
        <v/>
      </c>
      <c r="Q286" s="71">
        <f>'Stakeholder list'!R291</f>
        <v/>
      </c>
      <c r="R286" s="71">
        <f>'Stakeholder list'!S291</f>
        <v/>
      </c>
      <c r="S286" s="71">
        <f>'Stakeholder list'!T291</f>
        <v/>
      </c>
      <c r="T286" s="71">
        <f>'Stakeholder list'!U291</f>
        <v/>
      </c>
      <c r="U286" s="71">
        <f>'Stakeholder list'!V291</f>
        <v/>
      </c>
      <c r="V286" s="71">
        <f>'Stakeholder list'!W291</f>
        <v/>
      </c>
      <c r="W286" s="71">
        <f>'Stakeholder list'!X291</f>
        <v/>
      </c>
    </row>
    <row r="287">
      <c r="A287" s="71">
        <f>'Stakeholder list'!B292</f>
        <v/>
      </c>
      <c r="B287" s="71">
        <f>'Stakeholder list'!C292</f>
        <v/>
      </c>
      <c r="C287" s="71">
        <f>'Stakeholder list'!D292</f>
        <v/>
      </c>
      <c r="D287" s="71">
        <f>'Stakeholder list'!E292</f>
        <v/>
      </c>
      <c r="E287" s="71">
        <f>'Stakeholder list'!F292</f>
        <v/>
      </c>
      <c r="F287" s="71">
        <f>'Stakeholder list'!G292</f>
        <v/>
      </c>
      <c r="G287" s="71">
        <f>'Stakeholder list'!H292</f>
        <v/>
      </c>
      <c r="H287" s="71">
        <f>'Stakeholder list'!I292</f>
        <v/>
      </c>
      <c r="I287" s="71">
        <f>'Stakeholder list'!J292</f>
        <v/>
      </c>
      <c r="J287" s="71">
        <f>'Stakeholder list'!K292</f>
        <v/>
      </c>
      <c r="K287" s="71">
        <f>'Stakeholder list'!L292</f>
        <v/>
      </c>
      <c r="L287" s="71">
        <f>'Stakeholder list'!M292</f>
        <v/>
      </c>
      <c r="M287" s="71">
        <f>'Stakeholder list'!N292</f>
        <v/>
      </c>
      <c r="N287" s="71">
        <f>'Stakeholder list'!O292</f>
        <v/>
      </c>
      <c r="O287" s="71">
        <f>'Stakeholder list'!P292</f>
        <v/>
      </c>
      <c r="P287" s="71">
        <f>'Stakeholder list'!Q292</f>
        <v/>
      </c>
      <c r="Q287" s="71">
        <f>'Stakeholder list'!R292</f>
        <v/>
      </c>
      <c r="R287" s="71">
        <f>'Stakeholder list'!S292</f>
        <v/>
      </c>
      <c r="S287" s="71">
        <f>'Stakeholder list'!T292</f>
        <v/>
      </c>
      <c r="T287" s="71">
        <f>'Stakeholder list'!U292</f>
        <v/>
      </c>
      <c r="U287" s="71">
        <f>'Stakeholder list'!V292</f>
        <v/>
      </c>
      <c r="V287" s="71">
        <f>'Stakeholder list'!W292</f>
        <v/>
      </c>
      <c r="W287" s="71">
        <f>'Stakeholder list'!X292</f>
        <v/>
      </c>
    </row>
    <row r="288">
      <c r="A288" s="71">
        <f>'Stakeholder list'!B293</f>
        <v/>
      </c>
      <c r="B288" s="71">
        <f>'Stakeholder list'!C293</f>
        <v/>
      </c>
      <c r="C288" s="71">
        <f>'Stakeholder list'!D293</f>
        <v/>
      </c>
      <c r="D288" s="71">
        <f>'Stakeholder list'!E293</f>
        <v/>
      </c>
      <c r="E288" s="71">
        <f>'Stakeholder list'!F293</f>
        <v/>
      </c>
      <c r="F288" s="71">
        <f>'Stakeholder list'!G293</f>
        <v/>
      </c>
      <c r="G288" s="71">
        <f>'Stakeholder list'!H293</f>
        <v/>
      </c>
      <c r="H288" s="71">
        <f>'Stakeholder list'!I293</f>
        <v/>
      </c>
      <c r="I288" s="71">
        <f>'Stakeholder list'!J293</f>
        <v/>
      </c>
      <c r="J288" s="71">
        <f>'Stakeholder list'!K293</f>
        <v/>
      </c>
      <c r="K288" s="71">
        <f>'Stakeholder list'!L293</f>
        <v/>
      </c>
      <c r="L288" s="71">
        <f>'Stakeholder list'!M293</f>
        <v/>
      </c>
      <c r="M288" s="71">
        <f>'Stakeholder list'!N293</f>
        <v/>
      </c>
      <c r="N288" s="71">
        <f>'Stakeholder list'!O293</f>
        <v/>
      </c>
      <c r="O288" s="71">
        <f>'Stakeholder list'!P293</f>
        <v/>
      </c>
      <c r="P288" s="71">
        <f>'Stakeholder list'!Q293</f>
        <v/>
      </c>
      <c r="Q288" s="71">
        <f>'Stakeholder list'!R293</f>
        <v/>
      </c>
      <c r="R288" s="71">
        <f>'Stakeholder list'!S293</f>
        <v/>
      </c>
      <c r="S288" s="71">
        <f>'Stakeholder list'!T293</f>
        <v/>
      </c>
      <c r="T288" s="71">
        <f>'Stakeholder list'!U293</f>
        <v/>
      </c>
      <c r="U288" s="71">
        <f>'Stakeholder list'!V293</f>
        <v/>
      </c>
      <c r="V288" s="71">
        <f>'Stakeholder list'!W293</f>
        <v/>
      </c>
      <c r="W288" s="71">
        <f>'Stakeholder list'!X293</f>
        <v/>
      </c>
    </row>
    <row r="289">
      <c r="A289" s="71">
        <f>'Stakeholder list'!B294</f>
        <v/>
      </c>
      <c r="B289" s="71">
        <f>'Stakeholder list'!C294</f>
        <v/>
      </c>
      <c r="C289" s="71">
        <f>'Stakeholder list'!D294</f>
        <v/>
      </c>
      <c r="D289" s="71">
        <f>'Stakeholder list'!E294</f>
        <v/>
      </c>
      <c r="E289" s="71">
        <f>'Stakeholder list'!F294</f>
        <v/>
      </c>
      <c r="F289" s="71">
        <f>'Stakeholder list'!G294</f>
        <v/>
      </c>
      <c r="G289" s="71">
        <f>'Stakeholder list'!H294</f>
        <v/>
      </c>
      <c r="H289" s="71">
        <f>'Stakeholder list'!I294</f>
        <v/>
      </c>
      <c r="I289" s="71">
        <f>'Stakeholder list'!J294</f>
        <v/>
      </c>
      <c r="J289" s="71">
        <f>'Stakeholder list'!K294</f>
        <v/>
      </c>
      <c r="K289" s="71">
        <f>'Stakeholder list'!L294</f>
        <v/>
      </c>
      <c r="L289" s="71">
        <f>'Stakeholder list'!M294</f>
        <v/>
      </c>
      <c r="M289" s="71">
        <f>'Stakeholder list'!N294</f>
        <v/>
      </c>
      <c r="N289" s="71">
        <f>'Stakeholder list'!O294</f>
        <v/>
      </c>
      <c r="O289" s="71">
        <f>'Stakeholder list'!P294</f>
        <v/>
      </c>
      <c r="P289" s="71">
        <f>'Stakeholder list'!Q294</f>
        <v/>
      </c>
      <c r="Q289" s="71">
        <f>'Stakeholder list'!R294</f>
        <v/>
      </c>
      <c r="R289" s="71">
        <f>'Stakeholder list'!S294</f>
        <v/>
      </c>
      <c r="S289" s="71">
        <f>'Stakeholder list'!T294</f>
        <v/>
      </c>
      <c r="T289" s="71">
        <f>'Stakeholder list'!U294</f>
        <v/>
      </c>
      <c r="U289" s="71">
        <f>'Stakeholder list'!V294</f>
        <v/>
      </c>
      <c r="V289" s="71">
        <f>'Stakeholder list'!W294</f>
        <v/>
      </c>
      <c r="W289" s="71">
        <f>'Stakeholder list'!X294</f>
        <v/>
      </c>
    </row>
    <row r="290">
      <c r="A290" s="71">
        <f>'Stakeholder list'!B295</f>
        <v/>
      </c>
      <c r="B290" s="71">
        <f>'Stakeholder list'!C295</f>
        <v/>
      </c>
      <c r="C290" s="71">
        <f>'Stakeholder list'!D295</f>
        <v/>
      </c>
      <c r="D290" s="71">
        <f>'Stakeholder list'!E295</f>
        <v/>
      </c>
      <c r="E290" s="71">
        <f>'Stakeholder list'!F295</f>
        <v/>
      </c>
      <c r="F290" s="71">
        <f>'Stakeholder list'!G295</f>
        <v/>
      </c>
      <c r="G290" s="71">
        <f>'Stakeholder list'!H295</f>
        <v/>
      </c>
      <c r="H290" s="71">
        <f>'Stakeholder list'!I295</f>
        <v/>
      </c>
      <c r="I290" s="71">
        <f>'Stakeholder list'!J295</f>
        <v/>
      </c>
      <c r="J290" s="71">
        <f>'Stakeholder list'!K295</f>
        <v/>
      </c>
      <c r="K290" s="71">
        <f>'Stakeholder list'!L295</f>
        <v/>
      </c>
      <c r="L290" s="71">
        <f>'Stakeholder list'!M295</f>
        <v/>
      </c>
      <c r="M290" s="71">
        <f>'Stakeholder list'!N295</f>
        <v/>
      </c>
      <c r="N290" s="71">
        <f>'Stakeholder list'!O295</f>
        <v/>
      </c>
      <c r="O290" s="71">
        <f>'Stakeholder list'!P295</f>
        <v/>
      </c>
      <c r="P290" s="71">
        <f>'Stakeholder list'!Q295</f>
        <v/>
      </c>
      <c r="Q290" s="71">
        <f>'Stakeholder list'!R295</f>
        <v/>
      </c>
      <c r="R290" s="71">
        <f>'Stakeholder list'!S295</f>
        <v/>
      </c>
      <c r="S290" s="71">
        <f>'Stakeholder list'!T295</f>
        <v/>
      </c>
      <c r="T290" s="71">
        <f>'Stakeholder list'!U295</f>
        <v/>
      </c>
      <c r="U290" s="71">
        <f>'Stakeholder list'!V295</f>
        <v/>
      </c>
      <c r="V290" s="71">
        <f>'Stakeholder list'!W295</f>
        <v/>
      </c>
      <c r="W290" s="71">
        <f>'Stakeholder list'!X295</f>
        <v/>
      </c>
    </row>
    <row r="291">
      <c r="A291" s="71">
        <f>'Stakeholder list'!B296</f>
        <v/>
      </c>
      <c r="B291" s="71">
        <f>'Stakeholder list'!C296</f>
        <v/>
      </c>
      <c r="C291" s="71">
        <f>'Stakeholder list'!D296</f>
        <v/>
      </c>
      <c r="D291" s="71">
        <f>'Stakeholder list'!E296</f>
        <v/>
      </c>
      <c r="E291" s="71">
        <f>'Stakeholder list'!F296</f>
        <v/>
      </c>
      <c r="F291" s="71">
        <f>'Stakeholder list'!G296</f>
        <v/>
      </c>
      <c r="G291" s="71">
        <f>'Stakeholder list'!H296</f>
        <v/>
      </c>
      <c r="H291" s="71">
        <f>'Stakeholder list'!I296</f>
        <v/>
      </c>
      <c r="I291" s="71">
        <f>'Stakeholder list'!J296</f>
        <v/>
      </c>
      <c r="J291" s="71">
        <f>'Stakeholder list'!K296</f>
        <v/>
      </c>
      <c r="K291" s="71">
        <f>'Stakeholder list'!L296</f>
        <v/>
      </c>
      <c r="L291" s="71">
        <f>'Stakeholder list'!M296</f>
        <v/>
      </c>
      <c r="M291" s="71">
        <f>'Stakeholder list'!N296</f>
        <v/>
      </c>
      <c r="N291" s="71">
        <f>'Stakeholder list'!O296</f>
        <v/>
      </c>
      <c r="O291" s="71">
        <f>'Stakeholder list'!P296</f>
        <v/>
      </c>
      <c r="P291" s="71">
        <f>'Stakeholder list'!Q296</f>
        <v/>
      </c>
      <c r="Q291" s="71">
        <f>'Stakeholder list'!R296</f>
        <v/>
      </c>
      <c r="R291" s="71">
        <f>'Stakeholder list'!S296</f>
        <v/>
      </c>
      <c r="S291" s="71">
        <f>'Stakeholder list'!T296</f>
        <v/>
      </c>
      <c r="T291" s="71">
        <f>'Stakeholder list'!U296</f>
        <v/>
      </c>
      <c r="U291" s="71">
        <f>'Stakeholder list'!V296</f>
        <v/>
      </c>
      <c r="V291" s="71">
        <f>'Stakeholder list'!W296</f>
        <v/>
      </c>
      <c r="W291" s="71">
        <f>'Stakeholder list'!X296</f>
        <v/>
      </c>
    </row>
    <row r="292">
      <c r="A292" s="71">
        <f>'Stakeholder list'!B297</f>
        <v/>
      </c>
      <c r="B292" s="71">
        <f>'Stakeholder list'!C297</f>
        <v/>
      </c>
      <c r="C292" s="71">
        <f>'Stakeholder list'!D297</f>
        <v/>
      </c>
      <c r="D292" s="71">
        <f>'Stakeholder list'!E297</f>
        <v/>
      </c>
      <c r="E292" s="71">
        <f>'Stakeholder list'!F297</f>
        <v/>
      </c>
      <c r="F292" s="71">
        <f>'Stakeholder list'!G297</f>
        <v/>
      </c>
      <c r="G292" s="71">
        <f>'Stakeholder list'!H297</f>
        <v/>
      </c>
      <c r="H292" s="71">
        <f>'Stakeholder list'!I297</f>
        <v/>
      </c>
      <c r="I292" s="71">
        <f>'Stakeholder list'!J297</f>
        <v/>
      </c>
      <c r="J292" s="71">
        <f>'Stakeholder list'!K297</f>
        <v/>
      </c>
      <c r="K292" s="71">
        <f>'Stakeholder list'!L297</f>
        <v/>
      </c>
      <c r="L292" s="71">
        <f>'Stakeholder list'!M297</f>
        <v/>
      </c>
      <c r="M292" s="71">
        <f>'Stakeholder list'!N297</f>
        <v/>
      </c>
      <c r="N292" s="71">
        <f>'Stakeholder list'!O297</f>
        <v/>
      </c>
      <c r="O292" s="71">
        <f>'Stakeholder list'!P297</f>
        <v/>
      </c>
      <c r="P292" s="71">
        <f>'Stakeholder list'!Q297</f>
        <v/>
      </c>
      <c r="Q292" s="71">
        <f>'Stakeholder list'!R297</f>
        <v/>
      </c>
      <c r="R292" s="71">
        <f>'Stakeholder list'!S297</f>
        <v/>
      </c>
      <c r="S292" s="71">
        <f>'Stakeholder list'!T297</f>
        <v/>
      </c>
      <c r="T292" s="71">
        <f>'Stakeholder list'!U297</f>
        <v/>
      </c>
      <c r="U292" s="71">
        <f>'Stakeholder list'!V297</f>
        <v/>
      </c>
      <c r="V292" s="71">
        <f>'Stakeholder list'!W297</f>
        <v/>
      </c>
      <c r="W292" s="71">
        <f>'Stakeholder list'!X297</f>
        <v/>
      </c>
    </row>
    <row r="293">
      <c r="A293" s="71">
        <f>'Stakeholder list'!B298</f>
        <v/>
      </c>
      <c r="B293" s="71">
        <f>'Stakeholder list'!C298</f>
        <v/>
      </c>
      <c r="C293" s="71">
        <f>'Stakeholder list'!D298</f>
        <v/>
      </c>
      <c r="D293" s="71">
        <f>'Stakeholder list'!E298</f>
        <v/>
      </c>
      <c r="E293" s="71">
        <f>'Stakeholder list'!F298</f>
        <v/>
      </c>
      <c r="F293" s="71">
        <f>'Stakeholder list'!G298</f>
        <v/>
      </c>
      <c r="G293" s="71">
        <f>'Stakeholder list'!H298</f>
        <v/>
      </c>
      <c r="H293" s="71">
        <f>'Stakeholder list'!I298</f>
        <v/>
      </c>
      <c r="I293" s="71">
        <f>'Stakeholder list'!J298</f>
        <v/>
      </c>
      <c r="J293" s="71">
        <f>'Stakeholder list'!K298</f>
        <v/>
      </c>
      <c r="K293" s="71">
        <f>'Stakeholder list'!L298</f>
        <v/>
      </c>
      <c r="L293" s="71">
        <f>'Stakeholder list'!M298</f>
        <v/>
      </c>
      <c r="M293" s="71">
        <f>'Stakeholder list'!N298</f>
        <v/>
      </c>
      <c r="N293" s="71">
        <f>'Stakeholder list'!O298</f>
        <v/>
      </c>
      <c r="O293" s="71">
        <f>'Stakeholder list'!P298</f>
        <v/>
      </c>
      <c r="P293" s="71">
        <f>'Stakeholder list'!Q298</f>
        <v/>
      </c>
      <c r="Q293" s="71">
        <f>'Stakeholder list'!R298</f>
        <v/>
      </c>
      <c r="R293" s="71">
        <f>'Stakeholder list'!S298</f>
        <v/>
      </c>
      <c r="S293" s="71">
        <f>'Stakeholder list'!T298</f>
        <v/>
      </c>
      <c r="T293" s="71">
        <f>'Stakeholder list'!U298</f>
        <v/>
      </c>
      <c r="U293" s="71">
        <f>'Stakeholder list'!V298</f>
        <v/>
      </c>
      <c r="V293" s="71">
        <f>'Stakeholder list'!W298</f>
        <v/>
      </c>
      <c r="W293" s="71">
        <f>'Stakeholder list'!X298</f>
        <v/>
      </c>
    </row>
    <row r="294">
      <c r="A294" s="71">
        <f>'Stakeholder list'!B299</f>
        <v/>
      </c>
      <c r="B294" s="71">
        <f>'Stakeholder list'!C299</f>
        <v/>
      </c>
      <c r="C294" s="71">
        <f>'Stakeholder list'!D299</f>
        <v/>
      </c>
      <c r="D294" s="71">
        <f>'Stakeholder list'!E299</f>
        <v/>
      </c>
      <c r="E294" s="71">
        <f>'Stakeholder list'!F299</f>
        <v/>
      </c>
      <c r="F294" s="71">
        <f>'Stakeholder list'!G299</f>
        <v/>
      </c>
      <c r="G294" s="71">
        <f>'Stakeholder list'!H299</f>
        <v/>
      </c>
      <c r="H294" s="71">
        <f>'Stakeholder list'!I299</f>
        <v/>
      </c>
      <c r="I294" s="71">
        <f>'Stakeholder list'!J299</f>
        <v/>
      </c>
      <c r="J294" s="71">
        <f>'Stakeholder list'!K299</f>
        <v/>
      </c>
      <c r="K294" s="71">
        <f>'Stakeholder list'!L299</f>
        <v/>
      </c>
      <c r="L294" s="71">
        <f>'Stakeholder list'!M299</f>
        <v/>
      </c>
      <c r="M294" s="71">
        <f>'Stakeholder list'!N299</f>
        <v/>
      </c>
      <c r="N294" s="71">
        <f>'Stakeholder list'!O299</f>
        <v/>
      </c>
      <c r="O294" s="71">
        <f>'Stakeholder list'!P299</f>
        <v/>
      </c>
      <c r="P294" s="71">
        <f>'Stakeholder list'!Q299</f>
        <v/>
      </c>
      <c r="Q294" s="71">
        <f>'Stakeholder list'!R299</f>
        <v/>
      </c>
      <c r="R294" s="71">
        <f>'Stakeholder list'!S299</f>
        <v/>
      </c>
      <c r="S294" s="71">
        <f>'Stakeholder list'!T299</f>
        <v/>
      </c>
      <c r="T294" s="71">
        <f>'Stakeholder list'!U299</f>
        <v/>
      </c>
      <c r="U294" s="71">
        <f>'Stakeholder list'!V299</f>
        <v/>
      </c>
      <c r="V294" s="71">
        <f>'Stakeholder list'!W299</f>
        <v/>
      </c>
      <c r="W294" s="71">
        <f>'Stakeholder list'!X299</f>
        <v/>
      </c>
    </row>
    <row r="295">
      <c r="A295" s="71">
        <f>'Stakeholder list'!B300</f>
        <v/>
      </c>
      <c r="B295" s="71">
        <f>'Stakeholder list'!C300</f>
        <v/>
      </c>
      <c r="C295" s="71">
        <f>'Stakeholder list'!D300</f>
        <v/>
      </c>
      <c r="D295" s="71">
        <f>'Stakeholder list'!E300</f>
        <v/>
      </c>
      <c r="E295" s="71">
        <f>'Stakeholder list'!F300</f>
        <v/>
      </c>
      <c r="F295" s="71">
        <f>'Stakeholder list'!G300</f>
        <v/>
      </c>
      <c r="G295" s="71">
        <f>'Stakeholder list'!H300</f>
        <v/>
      </c>
      <c r="H295" s="71">
        <f>'Stakeholder list'!I300</f>
        <v/>
      </c>
      <c r="I295" s="71">
        <f>'Stakeholder list'!J300</f>
        <v/>
      </c>
      <c r="J295" s="71">
        <f>'Stakeholder list'!K300</f>
        <v/>
      </c>
      <c r="K295" s="71">
        <f>'Stakeholder list'!L300</f>
        <v/>
      </c>
      <c r="L295" s="71">
        <f>'Stakeholder list'!M300</f>
        <v/>
      </c>
      <c r="M295" s="71">
        <f>'Stakeholder list'!N300</f>
        <v/>
      </c>
      <c r="N295" s="71">
        <f>'Stakeholder list'!O300</f>
        <v/>
      </c>
      <c r="O295" s="71">
        <f>'Stakeholder list'!P300</f>
        <v/>
      </c>
      <c r="P295" s="71">
        <f>'Stakeholder list'!Q300</f>
        <v/>
      </c>
      <c r="Q295" s="71">
        <f>'Stakeholder list'!R300</f>
        <v/>
      </c>
      <c r="R295" s="71">
        <f>'Stakeholder list'!S300</f>
        <v/>
      </c>
      <c r="S295" s="71">
        <f>'Stakeholder list'!T300</f>
        <v/>
      </c>
      <c r="T295" s="71">
        <f>'Stakeholder list'!U300</f>
        <v/>
      </c>
      <c r="U295" s="71">
        <f>'Stakeholder list'!V300</f>
        <v/>
      </c>
      <c r="V295" s="71">
        <f>'Stakeholder list'!W300</f>
        <v/>
      </c>
      <c r="W295" s="71">
        <f>'Stakeholder list'!X300</f>
        <v/>
      </c>
    </row>
    <row r="296">
      <c r="A296" s="71">
        <f>'Stakeholder list'!B301</f>
        <v/>
      </c>
      <c r="B296" s="71">
        <f>'Stakeholder list'!C301</f>
        <v/>
      </c>
      <c r="C296" s="71">
        <f>'Stakeholder list'!D301</f>
        <v/>
      </c>
      <c r="D296" s="71">
        <f>'Stakeholder list'!E301</f>
        <v/>
      </c>
      <c r="E296" s="71">
        <f>'Stakeholder list'!F301</f>
        <v/>
      </c>
      <c r="F296" s="71">
        <f>'Stakeholder list'!G301</f>
        <v/>
      </c>
      <c r="G296" s="71">
        <f>'Stakeholder list'!H301</f>
        <v/>
      </c>
      <c r="H296" s="71">
        <f>'Stakeholder list'!I301</f>
        <v/>
      </c>
      <c r="I296" s="71">
        <f>'Stakeholder list'!J301</f>
        <v/>
      </c>
      <c r="J296" s="71">
        <f>'Stakeholder list'!K301</f>
        <v/>
      </c>
      <c r="K296" s="71">
        <f>'Stakeholder list'!L301</f>
        <v/>
      </c>
      <c r="L296" s="71">
        <f>'Stakeholder list'!M301</f>
        <v/>
      </c>
      <c r="M296" s="71">
        <f>'Stakeholder list'!N301</f>
        <v/>
      </c>
      <c r="N296" s="71">
        <f>'Stakeholder list'!O301</f>
        <v/>
      </c>
      <c r="O296" s="71">
        <f>'Stakeholder list'!P301</f>
        <v/>
      </c>
      <c r="P296" s="71">
        <f>'Stakeholder list'!Q301</f>
        <v/>
      </c>
      <c r="Q296" s="71">
        <f>'Stakeholder list'!R301</f>
        <v/>
      </c>
      <c r="R296" s="71">
        <f>'Stakeholder list'!S301</f>
        <v/>
      </c>
      <c r="S296" s="71">
        <f>'Stakeholder list'!T301</f>
        <v/>
      </c>
      <c r="T296" s="71">
        <f>'Stakeholder list'!U301</f>
        <v/>
      </c>
      <c r="U296" s="71">
        <f>'Stakeholder list'!V301</f>
        <v/>
      </c>
      <c r="V296" s="71">
        <f>'Stakeholder list'!W301</f>
        <v/>
      </c>
      <c r="W296" s="71">
        <f>'Stakeholder list'!X301</f>
        <v/>
      </c>
    </row>
    <row r="297">
      <c r="A297" s="71">
        <f>'Stakeholder list'!B302</f>
        <v/>
      </c>
      <c r="B297" s="71">
        <f>'Stakeholder list'!C302</f>
        <v/>
      </c>
      <c r="C297" s="71">
        <f>'Stakeholder list'!D302</f>
        <v/>
      </c>
      <c r="D297" s="71">
        <f>'Stakeholder list'!E302</f>
        <v/>
      </c>
      <c r="E297" s="71">
        <f>'Stakeholder list'!F302</f>
        <v/>
      </c>
      <c r="F297" s="71">
        <f>'Stakeholder list'!G302</f>
        <v/>
      </c>
      <c r="G297" s="71">
        <f>'Stakeholder list'!H302</f>
        <v/>
      </c>
      <c r="H297" s="71">
        <f>'Stakeholder list'!I302</f>
        <v/>
      </c>
      <c r="I297" s="71">
        <f>'Stakeholder list'!J302</f>
        <v/>
      </c>
      <c r="J297" s="71">
        <f>'Stakeholder list'!K302</f>
        <v/>
      </c>
      <c r="K297" s="71">
        <f>'Stakeholder list'!L302</f>
        <v/>
      </c>
      <c r="L297" s="71">
        <f>'Stakeholder list'!M302</f>
        <v/>
      </c>
      <c r="M297" s="71">
        <f>'Stakeholder list'!N302</f>
        <v/>
      </c>
      <c r="N297" s="71">
        <f>'Stakeholder list'!O302</f>
        <v/>
      </c>
      <c r="O297" s="71">
        <f>'Stakeholder list'!P302</f>
        <v/>
      </c>
      <c r="P297" s="71">
        <f>'Stakeholder list'!Q302</f>
        <v/>
      </c>
      <c r="Q297" s="71">
        <f>'Stakeholder list'!R302</f>
        <v/>
      </c>
      <c r="R297" s="71">
        <f>'Stakeholder list'!S302</f>
        <v/>
      </c>
      <c r="S297" s="71">
        <f>'Stakeholder list'!T302</f>
        <v/>
      </c>
      <c r="T297" s="71">
        <f>'Stakeholder list'!U302</f>
        <v/>
      </c>
      <c r="U297" s="71">
        <f>'Stakeholder list'!V302</f>
        <v/>
      </c>
      <c r="V297" s="71">
        <f>'Stakeholder list'!W302</f>
        <v/>
      </c>
      <c r="W297" s="71">
        <f>'Stakeholder list'!X302</f>
        <v/>
      </c>
    </row>
    <row r="298">
      <c r="A298" s="71">
        <f>'Stakeholder list'!B303</f>
        <v/>
      </c>
      <c r="B298" s="71">
        <f>'Stakeholder list'!C303</f>
        <v/>
      </c>
      <c r="C298" s="71">
        <f>'Stakeholder list'!D303</f>
        <v/>
      </c>
      <c r="D298" s="71">
        <f>'Stakeholder list'!E303</f>
        <v/>
      </c>
      <c r="E298" s="71">
        <f>'Stakeholder list'!F303</f>
        <v/>
      </c>
      <c r="F298" s="71">
        <f>'Stakeholder list'!G303</f>
        <v/>
      </c>
      <c r="G298" s="71">
        <f>'Stakeholder list'!H303</f>
        <v/>
      </c>
      <c r="H298" s="71">
        <f>'Stakeholder list'!I303</f>
        <v/>
      </c>
      <c r="I298" s="71">
        <f>'Stakeholder list'!J303</f>
        <v/>
      </c>
      <c r="J298" s="71">
        <f>'Stakeholder list'!K303</f>
        <v/>
      </c>
      <c r="K298" s="71">
        <f>'Stakeholder list'!L303</f>
        <v/>
      </c>
      <c r="L298" s="71">
        <f>'Stakeholder list'!M303</f>
        <v/>
      </c>
      <c r="M298" s="71">
        <f>'Stakeholder list'!N303</f>
        <v/>
      </c>
      <c r="N298" s="71">
        <f>'Stakeholder list'!O303</f>
        <v/>
      </c>
      <c r="O298" s="71">
        <f>'Stakeholder list'!P303</f>
        <v/>
      </c>
      <c r="P298" s="71">
        <f>'Stakeholder list'!Q303</f>
        <v/>
      </c>
      <c r="Q298" s="71">
        <f>'Stakeholder list'!R303</f>
        <v/>
      </c>
      <c r="R298" s="71">
        <f>'Stakeholder list'!S303</f>
        <v/>
      </c>
      <c r="S298" s="71">
        <f>'Stakeholder list'!T303</f>
        <v/>
      </c>
      <c r="T298" s="71">
        <f>'Stakeholder list'!U303</f>
        <v/>
      </c>
      <c r="U298" s="71">
        <f>'Stakeholder list'!V303</f>
        <v/>
      </c>
      <c r="V298" s="71">
        <f>'Stakeholder list'!W303</f>
        <v/>
      </c>
      <c r="W298" s="71">
        <f>'Stakeholder list'!X303</f>
        <v/>
      </c>
    </row>
    <row r="299">
      <c r="A299" s="71">
        <f>'Stakeholder list'!B304</f>
        <v/>
      </c>
      <c r="B299" s="71">
        <f>'Stakeholder list'!C304</f>
        <v/>
      </c>
      <c r="C299" s="71">
        <f>'Stakeholder list'!D304</f>
        <v/>
      </c>
      <c r="D299" s="71">
        <f>'Stakeholder list'!E304</f>
        <v/>
      </c>
      <c r="E299" s="71">
        <f>'Stakeholder list'!F304</f>
        <v/>
      </c>
      <c r="F299" s="71">
        <f>'Stakeholder list'!G304</f>
        <v/>
      </c>
      <c r="G299" s="71">
        <f>'Stakeholder list'!H304</f>
        <v/>
      </c>
      <c r="H299" s="71">
        <f>'Stakeholder list'!I304</f>
        <v/>
      </c>
      <c r="I299" s="71">
        <f>'Stakeholder list'!J304</f>
        <v/>
      </c>
      <c r="J299" s="71">
        <f>'Stakeholder list'!K304</f>
        <v/>
      </c>
      <c r="K299" s="71">
        <f>'Stakeholder list'!L304</f>
        <v/>
      </c>
      <c r="L299" s="71">
        <f>'Stakeholder list'!M304</f>
        <v/>
      </c>
      <c r="M299" s="71">
        <f>'Stakeholder list'!N304</f>
        <v/>
      </c>
      <c r="N299" s="71">
        <f>'Stakeholder list'!O304</f>
        <v/>
      </c>
      <c r="O299" s="71">
        <f>'Stakeholder list'!P304</f>
        <v/>
      </c>
      <c r="P299" s="71">
        <f>'Stakeholder list'!Q304</f>
        <v/>
      </c>
      <c r="Q299" s="71">
        <f>'Stakeholder list'!R304</f>
        <v/>
      </c>
      <c r="R299" s="71">
        <f>'Stakeholder list'!S304</f>
        <v/>
      </c>
      <c r="S299" s="71">
        <f>'Stakeholder list'!T304</f>
        <v/>
      </c>
      <c r="T299" s="71">
        <f>'Stakeholder list'!U304</f>
        <v/>
      </c>
      <c r="U299" s="71">
        <f>'Stakeholder list'!V304</f>
        <v/>
      </c>
      <c r="V299" s="71">
        <f>'Stakeholder list'!W304</f>
        <v/>
      </c>
      <c r="W299" s="71">
        <f>'Stakeholder list'!X304</f>
        <v/>
      </c>
    </row>
    <row r="300">
      <c r="A300" s="71">
        <f>'Stakeholder list'!B305</f>
        <v/>
      </c>
      <c r="B300" s="71">
        <f>'Stakeholder list'!C305</f>
        <v/>
      </c>
      <c r="C300" s="71">
        <f>'Stakeholder list'!D305</f>
        <v/>
      </c>
      <c r="D300" s="71">
        <f>'Stakeholder list'!E305</f>
        <v/>
      </c>
      <c r="E300" s="71">
        <f>'Stakeholder list'!F305</f>
        <v/>
      </c>
      <c r="F300" s="71">
        <f>'Stakeholder list'!G305</f>
        <v/>
      </c>
      <c r="G300" s="71">
        <f>'Stakeholder list'!H305</f>
        <v/>
      </c>
      <c r="H300" s="71">
        <f>'Stakeholder list'!I305</f>
        <v/>
      </c>
      <c r="I300" s="71">
        <f>'Stakeholder list'!J305</f>
        <v/>
      </c>
      <c r="J300" s="71">
        <f>'Stakeholder list'!K305</f>
        <v/>
      </c>
      <c r="K300" s="71">
        <f>'Stakeholder list'!L305</f>
        <v/>
      </c>
      <c r="L300" s="71">
        <f>'Stakeholder list'!M305</f>
        <v/>
      </c>
      <c r="M300" s="71">
        <f>'Stakeholder list'!N305</f>
        <v/>
      </c>
      <c r="N300" s="71">
        <f>'Stakeholder list'!O305</f>
        <v/>
      </c>
      <c r="O300" s="71">
        <f>'Stakeholder list'!P305</f>
        <v/>
      </c>
      <c r="P300" s="71">
        <f>'Stakeholder list'!Q305</f>
        <v/>
      </c>
      <c r="Q300" s="71">
        <f>'Stakeholder list'!R305</f>
        <v/>
      </c>
      <c r="R300" s="71">
        <f>'Stakeholder list'!S305</f>
        <v/>
      </c>
      <c r="S300" s="71">
        <f>'Stakeholder list'!T305</f>
        <v/>
      </c>
      <c r="T300" s="71">
        <f>'Stakeholder list'!U305</f>
        <v/>
      </c>
      <c r="U300" s="71">
        <f>'Stakeholder list'!V305</f>
        <v/>
      </c>
      <c r="V300" s="71">
        <f>'Stakeholder list'!W305</f>
        <v/>
      </c>
      <c r="W300" s="71">
        <f>'Stakeholder list'!X305</f>
        <v/>
      </c>
    </row>
    <row r="301">
      <c r="A301" s="71">
        <f>'Stakeholder list'!B306</f>
        <v/>
      </c>
      <c r="B301" s="71">
        <f>'Stakeholder list'!C306</f>
        <v/>
      </c>
      <c r="C301" s="71">
        <f>'Stakeholder list'!D306</f>
        <v/>
      </c>
      <c r="D301" s="71">
        <f>'Stakeholder list'!E306</f>
        <v/>
      </c>
      <c r="E301" s="71">
        <f>'Stakeholder list'!F306</f>
        <v/>
      </c>
      <c r="F301" s="71">
        <f>'Stakeholder list'!G306</f>
        <v/>
      </c>
      <c r="G301" s="71">
        <f>'Stakeholder list'!H306</f>
        <v/>
      </c>
      <c r="H301" s="71">
        <f>'Stakeholder list'!I306</f>
        <v/>
      </c>
      <c r="I301" s="71">
        <f>'Stakeholder list'!J306</f>
        <v/>
      </c>
      <c r="J301" s="71">
        <f>'Stakeholder list'!K306</f>
        <v/>
      </c>
      <c r="K301" s="71">
        <f>'Stakeholder list'!L306</f>
        <v/>
      </c>
      <c r="L301" s="71">
        <f>'Stakeholder list'!M306</f>
        <v/>
      </c>
      <c r="M301" s="71">
        <f>'Stakeholder list'!N306</f>
        <v/>
      </c>
      <c r="N301" s="71">
        <f>'Stakeholder list'!O306</f>
        <v/>
      </c>
      <c r="O301" s="71">
        <f>'Stakeholder list'!P306</f>
        <v/>
      </c>
      <c r="P301" s="71">
        <f>'Stakeholder list'!Q306</f>
        <v/>
      </c>
      <c r="Q301" s="71">
        <f>'Stakeholder list'!R306</f>
        <v/>
      </c>
      <c r="R301" s="71">
        <f>'Stakeholder list'!S306</f>
        <v/>
      </c>
      <c r="S301" s="71">
        <f>'Stakeholder list'!T306</f>
        <v/>
      </c>
      <c r="T301" s="71">
        <f>'Stakeholder list'!U306</f>
        <v/>
      </c>
      <c r="U301" s="71">
        <f>'Stakeholder list'!V306</f>
        <v/>
      </c>
      <c r="V301" s="71">
        <f>'Stakeholder list'!W306</f>
        <v/>
      </c>
      <c r="W301" s="71">
        <f>'Stakeholder list'!X306</f>
        <v/>
      </c>
    </row>
    <row r="302">
      <c r="A302" s="71">
        <f>'Stakeholder list'!B307</f>
        <v/>
      </c>
      <c r="B302" s="71">
        <f>'Stakeholder list'!C307</f>
        <v/>
      </c>
      <c r="C302" s="71">
        <f>'Stakeholder list'!D307</f>
        <v/>
      </c>
      <c r="D302" s="71">
        <f>'Stakeholder list'!E307</f>
        <v/>
      </c>
      <c r="E302" s="71">
        <f>'Stakeholder list'!F307</f>
        <v/>
      </c>
      <c r="F302" s="71">
        <f>'Stakeholder list'!G307</f>
        <v/>
      </c>
      <c r="G302" s="71">
        <f>'Stakeholder list'!H307</f>
        <v/>
      </c>
      <c r="H302" s="71">
        <f>'Stakeholder list'!I307</f>
        <v/>
      </c>
      <c r="I302" s="71">
        <f>'Stakeholder list'!J307</f>
        <v/>
      </c>
      <c r="J302" s="71">
        <f>'Stakeholder list'!K307</f>
        <v/>
      </c>
      <c r="K302" s="71">
        <f>'Stakeholder list'!L307</f>
        <v/>
      </c>
      <c r="L302" s="71">
        <f>'Stakeholder list'!M307</f>
        <v/>
      </c>
      <c r="M302" s="71">
        <f>'Stakeholder list'!N307</f>
        <v/>
      </c>
      <c r="N302" s="71">
        <f>'Stakeholder list'!O307</f>
        <v/>
      </c>
      <c r="O302" s="71">
        <f>'Stakeholder list'!P307</f>
        <v/>
      </c>
      <c r="P302" s="71">
        <f>'Stakeholder list'!Q307</f>
        <v/>
      </c>
      <c r="Q302" s="71">
        <f>'Stakeholder list'!R307</f>
        <v/>
      </c>
      <c r="R302" s="71">
        <f>'Stakeholder list'!S307</f>
        <v/>
      </c>
      <c r="S302" s="71">
        <f>'Stakeholder list'!T307</f>
        <v/>
      </c>
      <c r="T302" s="71">
        <f>'Stakeholder list'!U307</f>
        <v/>
      </c>
      <c r="U302" s="71">
        <f>'Stakeholder list'!V307</f>
        <v/>
      </c>
      <c r="V302" s="71">
        <f>'Stakeholder list'!W307</f>
        <v/>
      </c>
      <c r="W302" s="71">
        <f>'Stakeholder list'!X307</f>
        <v/>
      </c>
    </row>
    <row r="303">
      <c r="A303" s="71">
        <f>'Stakeholder list'!B308</f>
        <v/>
      </c>
      <c r="B303" s="71">
        <f>'Stakeholder list'!C308</f>
        <v/>
      </c>
      <c r="C303" s="71">
        <f>'Stakeholder list'!D308</f>
        <v/>
      </c>
      <c r="D303" s="71">
        <f>'Stakeholder list'!E308</f>
        <v/>
      </c>
      <c r="E303" s="71">
        <f>'Stakeholder list'!F308</f>
        <v/>
      </c>
      <c r="F303" s="71">
        <f>'Stakeholder list'!G308</f>
        <v/>
      </c>
      <c r="G303" s="71">
        <f>'Stakeholder list'!H308</f>
        <v/>
      </c>
      <c r="H303" s="71">
        <f>'Stakeholder list'!I308</f>
        <v/>
      </c>
      <c r="I303" s="71">
        <f>'Stakeholder list'!J308</f>
        <v/>
      </c>
      <c r="J303" s="71">
        <f>'Stakeholder list'!K308</f>
        <v/>
      </c>
      <c r="K303" s="71">
        <f>'Stakeholder list'!L308</f>
        <v/>
      </c>
      <c r="L303" s="71">
        <f>'Stakeholder list'!M308</f>
        <v/>
      </c>
      <c r="M303" s="71">
        <f>'Stakeholder list'!N308</f>
        <v/>
      </c>
      <c r="N303" s="71">
        <f>'Stakeholder list'!O308</f>
        <v/>
      </c>
      <c r="O303" s="71">
        <f>'Stakeholder list'!P308</f>
        <v/>
      </c>
      <c r="P303" s="71">
        <f>'Stakeholder list'!Q308</f>
        <v/>
      </c>
      <c r="Q303" s="71">
        <f>'Stakeholder list'!R308</f>
        <v/>
      </c>
      <c r="R303" s="71">
        <f>'Stakeholder list'!S308</f>
        <v/>
      </c>
      <c r="S303" s="71">
        <f>'Stakeholder list'!T308</f>
        <v/>
      </c>
      <c r="T303" s="71">
        <f>'Stakeholder list'!U308</f>
        <v/>
      </c>
      <c r="U303" s="71">
        <f>'Stakeholder list'!V308</f>
        <v/>
      </c>
      <c r="V303" s="71">
        <f>'Stakeholder list'!W308</f>
        <v/>
      </c>
      <c r="W303" s="71">
        <f>'Stakeholder list'!X308</f>
        <v/>
      </c>
    </row>
    <row r="304">
      <c r="A304" s="71">
        <f>'Stakeholder list'!B309</f>
        <v/>
      </c>
      <c r="B304" s="71">
        <f>'Stakeholder list'!C309</f>
        <v/>
      </c>
      <c r="C304" s="71">
        <f>'Stakeholder list'!D309</f>
        <v/>
      </c>
      <c r="D304" s="71">
        <f>'Stakeholder list'!E309</f>
        <v/>
      </c>
      <c r="E304" s="71">
        <f>'Stakeholder list'!F309</f>
        <v/>
      </c>
      <c r="F304" s="71">
        <f>'Stakeholder list'!G309</f>
        <v/>
      </c>
      <c r="G304" s="71">
        <f>'Stakeholder list'!H309</f>
        <v/>
      </c>
      <c r="H304" s="71">
        <f>'Stakeholder list'!I309</f>
        <v/>
      </c>
      <c r="I304" s="71">
        <f>'Stakeholder list'!J309</f>
        <v/>
      </c>
      <c r="J304" s="71">
        <f>'Stakeholder list'!K309</f>
        <v/>
      </c>
      <c r="K304" s="71">
        <f>'Stakeholder list'!L309</f>
        <v/>
      </c>
      <c r="L304" s="71">
        <f>'Stakeholder list'!M309</f>
        <v/>
      </c>
      <c r="M304" s="71">
        <f>'Stakeholder list'!N309</f>
        <v/>
      </c>
      <c r="N304" s="71">
        <f>'Stakeholder list'!O309</f>
        <v/>
      </c>
      <c r="O304" s="71">
        <f>'Stakeholder list'!P309</f>
        <v/>
      </c>
      <c r="P304" s="71">
        <f>'Stakeholder list'!Q309</f>
        <v/>
      </c>
      <c r="Q304" s="71">
        <f>'Stakeholder list'!R309</f>
        <v/>
      </c>
      <c r="R304" s="71">
        <f>'Stakeholder list'!S309</f>
        <v/>
      </c>
      <c r="S304" s="71">
        <f>'Stakeholder list'!T309</f>
        <v/>
      </c>
      <c r="T304" s="71">
        <f>'Stakeholder list'!U309</f>
        <v/>
      </c>
      <c r="U304" s="71">
        <f>'Stakeholder list'!V309</f>
        <v/>
      </c>
      <c r="V304" s="71">
        <f>'Stakeholder list'!W309</f>
        <v/>
      </c>
      <c r="W304" s="71">
        <f>'Stakeholder list'!X309</f>
        <v/>
      </c>
    </row>
    <row r="305">
      <c r="A305" s="71">
        <f>'Stakeholder list'!B310</f>
        <v/>
      </c>
      <c r="B305" s="71">
        <f>'Stakeholder list'!C310</f>
        <v/>
      </c>
      <c r="C305" s="71">
        <f>'Stakeholder list'!D310</f>
        <v/>
      </c>
      <c r="D305" s="71">
        <f>'Stakeholder list'!E310</f>
        <v/>
      </c>
      <c r="E305" s="71">
        <f>'Stakeholder list'!F310</f>
        <v/>
      </c>
      <c r="F305" s="71">
        <f>'Stakeholder list'!G310</f>
        <v/>
      </c>
      <c r="G305" s="71">
        <f>'Stakeholder list'!H310</f>
        <v/>
      </c>
      <c r="H305" s="71">
        <f>'Stakeholder list'!I310</f>
        <v/>
      </c>
      <c r="I305" s="71">
        <f>'Stakeholder list'!J310</f>
        <v/>
      </c>
      <c r="J305" s="71">
        <f>'Stakeholder list'!K310</f>
        <v/>
      </c>
      <c r="K305" s="71">
        <f>'Stakeholder list'!L310</f>
        <v/>
      </c>
      <c r="L305" s="71">
        <f>'Stakeholder list'!M310</f>
        <v/>
      </c>
      <c r="M305" s="71">
        <f>'Stakeholder list'!N310</f>
        <v/>
      </c>
      <c r="N305" s="71">
        <f>'Stakeholder list'!O310</f>
        <v/>
      </c>
      <c r="O305" s="71">
        <f>'Stakeholder list'!P310</f>
        <v/>
      </c>
      <c r="P305" s="71">
        <f>'Stakeholder list'!Q310</f>
        <v/>
      </c>
      <c r="Q305" s="71">
        <f>'Stakeholder list'!R310</f>
        <v/>
      </c>
      <c r="R305" s="71">
        <f>'Stakeholder list'!S310</f>
        <v/>
      </c>
      <c r="S305" s="71">
        <f>'Stakeholder list'!T310</f>
        <v/>
      </c>
      <c r="T305" s="71">
        <f>'Stakeholder list'!U310</f>
        <v/>
      </c>
      <c r="U305" s="71">
        <f>'Stakeholder list'!V310</f>
        <v/>
      </c>
      <c r="V305" s="71">
        <f>'Stakeholder list'!W310</f>
        <v/>
      </c>
      <c r="W305" s="71">
        <f>'Stakeholder list'!X310</f>
        <v/>
      </c>
    </row>
    <row r="306">
      <c r="A306" s="71">
        <f>'Stakeholder list'!B311</f>
        <v/>
      </c>
      <c r="B306" s="71">
        <f>'Stakeholder list'!C311</f>
        <v/>
      </c>
      <c r="C306" s="71">
        <f>'Stakeholder list'!D311</f>
        <v/>
      </c>
      <c r="D306" s="71">
        <f>'Stakeholder list'!E311</f>
        <v/>
      </c>
      <c r="E306" s="71">
        <f>'Stakeholder list'!F311</f>
        <v/>
      </c>
      <c r="F306" s="71">
        <f>'Stakeholder list'!G311</f>
        <v/>
      </c>
      <c r="G306" s="71">
        <f>'Stakeholder list'!H311</f>
        <v/>
      </c>
      <c r="H306" s="71">
        <f>'Stakeholder list'!I311</f>
        <v/>
      </c>
      <c r="I306" s="71">
        <f>'Stakeholder list'!J311</f>
        <v/>
      </c>
      <c r="J306" s="71">
        <f>'Stakeholder list'!K311</f>
        <v/>
      </c>
      <c r="K306" s="71">
        <f>'Stakeholder list'!L311</f>
        <v/>
      </c>
      <c r="L306" s="71">
        <f>'Stakeholder list'!M311</f>
        <v/>
      </c>
      <c r="M306" s="71">
        <f>'Stakeholder list'!N311</f>
        <v/>
      </c>
      <c r="N306" s="71">
        <f>'Stakeholder list'!O311</f>
        <v/>
      </c>
      <c r="O306" s="71">
        <f>'Stakeholder list'!P311</f>
        <v/>
      </c>
      <c r="P306" s="71">
        <f>'Stakeholder list'!Q311</f>
        <v/>
      </c>
      <c r="Q306" s="71">
        <f>'Stakeholder list'!R311</f>
        <v/>
      </c>
      <c r="R306" s="71">
        <f>'Stakeholder list'!S311</f>
        <v/>
      </c>
      <c r="S306" s="71">
        <f>'Stakeholder list'!T311</f>
        <v/>
      </c>
      <c r="T306" s="71">
        <f>'Stakeholder list'!U311</f>
        <v/>
      </c>
      <c r="U306" s="71">
        <f>'Stakeholder list'!V311</f>
        <v/>
      </c>
      <c r="V306" s="71">
        <f>'Stakeholder list'!W311</f>
        <v/>
      </c>
      <c r="W306" s="71">
        <f>'Stakeholder list'!X311</f>
        <v/>
      </c>
    </row>
    <row r="307">
      <c r="A307" s="71">
        <f>'Stakeholder list'!B312</f>
        <v/>
      </c>
      <c r="B307" s="71">
        <f>'Stakeholder list'!C312</f>
        <v/>
      </c>
      <c r="C307" s="71">
        <f>'Stakeholder list'!D312</f>
        <v/>
      </c>
      <c r="D307" s="71">
        <f>'Stakeholder list'!E312</f>
        <v/>
      </c>
      <c r="E307" s="71">
        <f>'Stakeholder list'!F312</f>
        <v/>
      </c>
      <c r="F307" s="71">
        <f>'Stakeholder list'!G312</f>
        <v/>
      </c>
      <c r="G307" s="71">
        <f>'Stakeholder list'!H312</f>
        <v/>
      </c>
      <c r="H307" s="71">
        <f>'Stakeholder list'!I312</f>
        <v/>
      </c>
      <c r="I307" s="71">
        <f>'Stakeholder list'!J312</f>
        <v/>
      </c>
      <c r="J307" s="71">
        <f>'Stakeholder list'!K312</f>
        <v/>
      </c>
      <c r="K307" s="71">
        <f>'Stakeholder list'!L312</f>
        <v/>
      </c>
      <c r="L307" s="71">
        <f>'Stakeholder list'!M312</f>
        <v/>
      </c>
      <c r="M307" s="71">
        <f>'Stakeholder list'!N312</f>
        <v/>
      </c>
      <c r="N307" s="71">
        <f>'Stakeholder list'!O312</f>
        <v/>
      </c>
      <c r="O307" s="71">
        <f>'Stakeholder list'!P312</f>
        <v/>
      </c>
      <c r="P307" s="71">
        <f>'Stakeholder list'!Q312</f>
        <v/>
      </c>
      <c r="Q307" s="71">
        <f>'Stakeholder list'!R312</f>
        <v/>
      </c>
      <c r="R307" s="71">
        <f>'Stakeholder list'!S312</f>
        <v/>
      </c>
      <c r="S307" s="71">
        <f>'Stakeholder list'!T312</f>
        <v/>
      </c>
      <c r="T307" s="71">
        <f>'Stakeholder list'!U312</f>
        <v/>
      </c>
      <c r="U307" s="71">
        <f>'Stakeholder list'!V312</f>
        <v/>
      </c>
      <c r="V307" s="71">
        <f>'Stakeholder list'!W312</f>
        <v/>
      </c>
      <c r="W307" s="71">
        <f>'Stakeholder list'!X312</f>
        <v/>
      </c>
    </row>
    <row r="308">
      <c r="A308" s="71">
        <f>'Stakeholder list'!B313</f>
        <v/>
      </c>
      <c r="B308" s="71">
        <f>'Stakeholder list'!C313</f>
        <v/>
      </c>
      <c r="C308" s="71">
        <f>'Stakeholder list'!D313</f>
        <v/>
      </c>
      <c r="D308" s="71">
        <f>'Stakeholder list'!E313</f>
        <v/>
      </c>
      <c r="E308" s="71">
        <f>'Stakeholder list'!F313</f>
        <v/>
      </c>
      <c r="F308" s="71">
        <f>'Stakeholder list'!G313</f>
        <v/>
      </c>
      <c r="G308" s="71">
        <f>'Stakeholder list'!H313</f>
        <v/>
      </c>
      <c r="H308" s="71">
        <f>'Stakeholder list'!I313</f>
        <v/>
      </c>
      <c r="I308" s="71">
        <f>'Stakeholder list'!J313</f>
        <v/>
      </c>
      <c r="J308" s="71">
        <f>'Stakeholder list'!K313</f>
        <v/>
      </c>
      <c r="K308" s="71">
        <f>'Stakeholder list'!L313</f>
        <v/>
      </c>
      <c r="L308" s="71">
        <f>'Stakeholder list'!M313</f>
        <v/>
      </c>
      <c r="M308" s="71">
        <f>'Stakeholder list'!N313</f>
        <v/>
      </c>
      <c r="N308" s="71">
        <f>'Stakeholder list'!O313</f>
        <v/>
      </c>
      <c r="O308" s="71">
        <f>'Stakeholder list'!P313</f>
        <v/>
      </c>
      <c r="P308" s="71">
        <f>'Stakeholder list'!Q313</f>
        <v/>
      </c>
      <c r="Q308" s="71">
        <f>'Stakeholder list'!R313</f>
        <v/>
      </c>
      <c r="R308" s="71">
        <f>'Stakeholder list'!S313</f>
        <v/>
      </c>
      <c r="S308" s="71">
        <f>'Stakeholder list'!T313</f>
        <v/>
      </c>
      <c r="T308" s="71">
        <f>'Stakeholder list'!U313</f>
        <v/>
      </c>
      <c r="U308" s="71">
        <f>'Stakeholder list'!V313</f>
        <v/>
      </c>
      <c r="V308" s="71">
        <f>'Stakeholder list'!W313</f>
        <v/>
      </c>
      <c r="W308" s="71">
        <f>'Stakeholder list'!X313</f>
        <v/>
      </c>
    </row>
    <row r="309">
      <c r="A309" s="71">
        <f>'Stakeholder list'!B314</f>
        <v/>
      </c>
      <c r="B309" s="71">
        <f>'Stakeholder list'!C314</f>
        <v/>
      </c>
      <c r="C309" s="71">
        <f>'Stakeholder list'!D314</f>
        <v/>
      </c>
      <c r="D309" s="71">
        <f>'Stakeholder list'!E314</f>
        <v/>
      </c>
      <c r="E309" s="71">
        <f>'Stakeholder list'!F314</f>
        <v/>
      </c>
      <c r="F309" s="71">
        <f>'Stakeholder list'!G314</f>
        <v/>
      </c>
      <c r="G309" s="71">
        <f>'Stakeholder list'!H314</f>
        <v/>
      </c>
      <c r="H309" s="71">
        <f>'Stakeholder list'!I314</f>
        <v/>
      </c>
      <c r="I309" s="71">
        <f>'Stakeholder list'!J314</f>
        <v/>
      </c>
      <c r="J309" s="71">
        <f>'Stakeholder list'!K314</f>
        <v/>
      </c>
      <c r="K309" s="71">
        <f>'Stakeholder list'!L314</f>
        <v/>
      </c>
      <c r="L309" s="71">
        <f>'Stakeholder list'!M314</f>
        <v/>
      </c>
      <c r="M309" s="71">
        <f>'Stakeholder list'!N314</f>
        <v/>
      </c>
      <c r="N309" s="71">
        <f>'Stakeholder list'!O314</f>
        <v/>
      </c>
      <c r="O309" s="71">
        <f>'Stakeholder list'!P314</f>
        <v/>
      </c>
      <c r="P309" s="71">
        <f>'Stakeholder list'!Q314</f>
        <v/>
      </c>
      <c r="Q309" s="71">
        <f>'Stakeholder list'!R314</f>
        <v/>
      </c>
      <c r="R309" s="71">
        <f>'Stakeholder list'!S314</f>
        <v/>
      </c>
      <c r="S309" s="71">
        <f>'Stakeholder list'!T314</f>
        <v/>
      </c>
      <c r="T309" s="71">
        <f>'Stakeholder list'!U314</f>
        <v/>
      </c>
      <c r="U309" s="71">
        <f>'Stakeholder list'!V314</f>
        <v/>
      </c>
      <c r="V309" s="71">
        <f>'Stakeholder list'!W314</f>
        <v/>
      </c>
      <c r="W309" s="71">
        <f>'Stakeholder list'!X314</f>
        <v/>
      </c>
    </row>
    <row r="310">
      <c r="A310" s="71">
        <f>'Stakeholder list'!B315</f>
        <v/>
      </c>
      <c r="B310" s="71">
        <f>'Stakeholder list'!C315</f>
        <v/>
      </c>
      <c r="C310" s="71">
        <f>'Stakeholder list'!D315</f>
        <v/>
      </c>
      <c r="D310" s="71">
        <f>'Stakeholder list'!E315</f>
        <v/>
      </c>
      <c r="E310" s="71">
        <f>'Stakeholder list'!F315</f>
        <v/>
      </c>
      <c r="F310" s="71">
        <f>'Stakeholder list'!G315</f>
        <v/>
      </c>
      <c r="G310" s="71">
        <f>'Stakeholder list'!H315</f>
        <v/>
      </c>
      <c r="H310" s="71">
        <f>'Stakeholder list'!I315</f>
        <v/>
      </c>
      <c r="I310" s="71">
        <f>'Stakeholder list'!J315</f>
        <v/>
      </c>
      <c r="J310" s="71">
        <f>'Stakeholder list'!K315</f>
        <v/>
      </c>
      <c r="K310" s="71">
        <f>'Stakeholder list'!L315</f>
        <v/>
      </c>
      <c r="L310" s="71">
        <f>'Stakeholder list'!M315</f>
        <v/>
      </c>
      <c r="M310" s="71">
        <f>'Stakeholder list'!N315</f>
        <v/>
      </c>
      <c r="N310" s="71">
        <f>'Stakeholder list'!O315</f>
        <v/>
      </c>
      <c r="O310" s="71">
        <f>'Stakeholder list'!P315</f>
        <v/>
      </c>
      <c r="P310" s="71">
        <f>'Stakeholder list'!Q315</f>
        <v/>
      </c>
      <c r="Q310" s="71">
        <f>'Stakeholder list'!R315</f>
        <v/>
      </c>
      <c r="R310" s="71">
        <f>'Stakeholder list'!S315</f>
        <v/>
      </c>
      <c r="S310" s="71">
        <f>'Stakeholder list'!T315</f>
        <v/>
      </c>
      <c r="T310" s="71">
        <f>'Stakeholder list'!U315</f>
        <v/>
      </c>
      <c r="U310" s="71">
        <f>'Stakeholder list'!V315</f>
        <v/>
      </c>
      <c r="V310" s="71">
        <f>'Stakeholder list'!W315</f>
        <v/>
      </c>
      <c r="W310" s="71">
        <f>'Stakeholder list'!X315</f>
        <v/>
      </c>
    </row>
    <row r="311">
      <c r="A311" s="71">
        <f>'Stakeholder list'!B316</f>
        <v/>
      </c>
      <c r="B311" s="71">
        <f>'Stakeholder list'!C316</f>
        <v/>
      </c>
      <c r="C311" s="71">
        <f>'Stakeholder list'!D316</f>
        <v/>
      </c>
      <c r="D311" s="71">
        <f>'Stakeholder list'!E316</f>
        <v/>
      </c>
      <c r="E311" s="71">
        <f>'Stakeholder list'!F316</f>
        <v/>
      </c>
      <c r="F311" s="71">
        <f>'Stakeholder list'!G316</f>
        <v/>
      </c>
      <c r="G311" s="71">
        <f>'Stakeholder list'!H316</f>
        <v/>
      </c>
      <c r="H311" s="71">
        <f>'Stakeholder list'!I316</f>
        <v/>
      </c>
      <c r="I311" s="71">
        <f>'Stakeholder list'!J316</f>
        <v/>
      </c>
      <c r="J311" s="71">
        <f>'Stakeholder list'!K316</f>
        <v/>
      </c>
      <c r="K311" s="71">
        <f>'Stakeholder list'!L316</f>
        <v/>
      </c>
      <c r="L311" s="71">
        <f>'Stakeholder list'!M316</f>
        <v/>
      </c>
      <c r="M311" s="71">
        <f>'Stakeholder list'!N316</f>
        <v/>
      </c>
      <c r="N311" s="71">
        <f>'Stakeholder list'!O316</f>
        <v/>
      </c>
      <c r="O311" s="71">
        <f>'Stakeholder list'!P316</f>
        <v/>
      </c>
      <c r="P311" s="71">
        <f>'Stakeholder list'!Q316</f>
        <v/>
      </c>
      <c r="Q311" s="71">
        <f>'Stakeholder list'!R316</f>
        <v/>
      </c>
      <c r="R311" s="71">
        <f>'Stakeholder list'!S316</f>
        <v/>
      </c>
      <c r="S311" s="71">
        <f>'Stakeholder list'!T316</f>
        <v/>
      </c>
      <c r="T311" s="71">
        <f>'Stakeholder list'!U316</f>
        <v/>
      </c>
      <c r="U311" s="71">
        <f>'Stakeholder list'!V316</f>
        <v/>
      </c>
      <c r="V311" s="71">
        <f>'Stakeholder list'!W316</f>
        <v/>
      </c>
      <c r="W311" s="71">
        <f>'Stakeholder list'!X316</f>
        <v/>
      </c>
    </row>
    <row r="312">
      <c r="A312" s="71">
        <f>'Stakeholder list'!B317</f>
        <v/>
      </c>
      <c r="B312" s="71">
        <f>'Stakeholder list'!C317</f>
        <v/>
      </c>
      <c r="C312" s="71">
        <f>'Stakeholder list'!D317</f>
        <v/>
      </c>
      <c r="D312" s="71">
        <f>'Stakeholder list'!E317</f>
        <v/>
      </c>
      <c r="E312" s="71">
        <f>'Stakeholder list'!F317</f>
        <v/>
      </c>
      <c r="F312" s="71">
        <f>'Stakeholder list'!G317</f>
        <v/>
      </c>
      <c r="G312" s="71">
        <f>'Stakeholder list'!H317</f>
        <v/>
      </c>
      <c r="H312" s="71">
        <f>'Stakeholder list'!I317</f>
        <v/>
      </c>
      <c r="I312" s="71">
        <f>'Stakeholder list'!J317</f>
        <v/>
      </c>
      <c r="J312" s="71">
        <f>'Stakeholder list'!K317</f>
        <v/>
      </c>
      <c r="K312" s="71">
        <f>'Stakeholder list'!L317</f>
        <v/>
      </c>
      <c r="L312" s="71">
        <f>'Stakeholder list'!M317</f>
        <v/>
      </c>
      <c r="M312" s="71">
        <f>'Stakeholder list'!N317</f>
        <v/>
      </c>
      <c r="N312" s="71">
        <f>'Stakeholder list'!O317</f>
        <v/>
      </c>
      <c r="O312" s="71">
        <f>'Stakeholder list'!P317</f>
        <v/>
      </c>
      <c r="P312" s="71">
        <f>'Stakeholder list'!Q317</f>
        <v/>
      </c>
      <c r="Q312" s="71">
        <f>'Stakeholder list'!R317</f>
        <v/>
      </c>
      <c r="R312" s="71">
        <f>'Stakeholder list'!S317</f>
        <v/>
      </c>
      <c r="S312" s="71">
        <f>'Stakeholder list'!T317</f>
        <v/>
      </c>
      <c r="T312" s="71">
        <f>'Stakeholder list'!U317</f>
        <v/>
      </c>
      <c r="U312" s="71">
        <f>'Stakeholder list'!V317</f>
        <v/>
      </c>
      <c r="V312" s="71">
        <f>'Stakeholder list'!W317</f>
        <v/>
      </c>
      <c r="W312" s="71">
        <f>'Stakeholder list'!X317</f>
        <v/>
      </c>
    </row>
    <row r="313">
      <c r="A313" s="71">
        <f>'Stakeholder list'!B318</f>
        <v/>
      </c>
      <c r="B313" s="71">
        <f>'Stakeholder list'!C318</f>
        <v/>
      </c>
      <c r="C313" s="71">
        <f>'Stakeholder list'!D318</f>
        <v/>
      </c>
      <c r="D313" s="71">
        <f>'Stakeholder list'!E318</f>
        <v/>
      </c>
      <c r="E313" s="71">
        <f>'Stakeholder list'!F318</f>
        <v/>
      </c>
      <c r="F313" s="71">
        <f>'Stakeholder list'!G318</f>
        <v/>
      </c>
      <c r="G313" s="71">
        <f>'Stakeholder list'!H318</f>
        <v/>
      </c>
      <c r="H313" s="71">
        <f>'Stakeholder list'!I318</f>
        <v/>
      </c>
      <c r="I313" s="71">
        <f>'Stakeholder list'!J318</f>
        <v/>
      </c>
      <c r="J313" s="71">
        <f>'Stakeholder list'!K318</f>
        <v/>
      </c>
      <c r="K313" s="71">
        <f>'Stakeholder list'!L318</f>
        <v/>
      </c>
      <c r="L313" s="71">
        <f>'Stakeholder list'!M318</f>
        <v/>
      </c>
      <c r="M313" s="71">
        <f>'Stakeholder list'!N318</f>
        <v/>
      </c>
      <c r="N313" s="71">
        <f>'Stakeholder list'!O318</f>
        <v/>
      </c>
      <c r="O313" s="71">
        <f>'Stakeholder list'!P318</f>
        <v/>
      </c>
      <c r="P313" s="71">
        <f>'Stakeholder list'!Q318</f>
        <v/>
      </c>
      <c r="Q313" s="71">
        <f>'Stakeholder list'!R318</f>
        <v/>
      </c>
      <c r="R313" s="71">
        <f>'Stakeholder list'!S318</f>
        <v/>
      </c>
      <c r="S313" s="71">
        <f>'Stakeholder list'!T318</f>
        <v/>
      </c>
      <c r="T313" s="71">
        <f>'Stakeholder list'!U318</f>
        <v/>
      </c>
      <c r="U313" s="71">
        <f>'Stakeholder list'!V318</f>
        <v/>
      </c>
      <c r="V313" s="71">
        <f>'Stakeholder list'!W318</f>
        <v/>
      </c>
      <c r="W313" s="71">
        <f>'Stakeholder list'!X318</f>
        <v/>
      </c>
    </row>
    <row r="314">
      <c r="A314" s="71">
        <f>'Stakeholder list'!B319</f>
        <v/>
      </c>
      <c r="B314" s="71">
        <f>'Stakeholder list'!C319</f>
        <v/>
      </c>
      <c r="C314" s="71">
        <f>'Stakeholder list'!D319</f>
        <v/>
      </c>
      <c r="D314" s="71">
        <f>'Stakeholder list'!E319</f>
        <v/>
      </c>
      <c r="E314" s="71">
        <f>'Stakeholder list'!F319</f>
        <v/>
      </c>
      <c r="F314" s="71">
        <f>'Stakeholder list'!G319</f>
        <v/>
      </c>
      <c r="G314" s="71">
        <f>'Stakeholder list'!H319</f>
        <v/>
      </c>
      <c r="H314" s="71">
        <f>'Stakeholder list'!I319</f>
        <v/>
      </c>
      <c r="I314" s="71">
        <f>'Stakeholder list'!J319</f>
        <v/>
      </c>
      <c r="J314" s="71">
        <f>'Stakeholder list'!K319</f>
        <v/>
      </c>
      <c r="K314" s="71">
        <f>'Stakeholder list'!L319</f>
        <v/>
      </c>
      <c r="L314" s="71">
        <f>'Stakeholder list'!M319</f>
        <v/>
      </c>
      <c r="M314" s="71">
        <f>'Stakeholder list'!N319</f>
        <v/>
      </c>
      <c r="N314" s="71">
        <f>'Stakeholder list'!O319</f>
        <v/>
      </c>
      <c r="O314" s="71">
        <f>'Stakeholder list'!P319</f>
        <v/>
      </c>
      <c r="P314" s="71">
        <f>'Stakeholder list'!Q319</f>
        <v/>
      </c>
      <c r="Q314" s="71">
        <f>'Stakeholder list'!R319</f>
        <v/>
      </c>
      <c r="R314" s="71">
        <f>'Stakeholder list'!S319</f>
        <v/>
      </c>
      <c r="S314" s="71">
        <f>'Stakeholder list'!T319</f>
        <v/>
      </c>
      <c r="T314" s="71">
        <f>'Stakeholder list'!U319</f>
        <v/>
      </c>
      <c r="U314" s="71">
        <f>'Stakeholder list'!V319</f>
        <v/>
      </c>
      <c r="V314" s="71">
        <f>'Stakeholder list'!W319</f>
        <v/>
      </c>
      <c r="W314" s="71">
        <f>'Stakeholder list'!X319</f>
        <v/>
      </c>
    </row>
    <row r="315">
      <c r="A315" s="71">
        <f>'Stakeholder list'!B320</f>
        <v/>
      </c>
      <c r="B315" s="71">
        <f>'Stakeholder list'!C320</f>
        <v/>
      </c>
      <c r="C315" s="71">
        <f>'Stakeholder list'!D320</f>
        <v/>
      </c>
      <c r="D315" s="71">
        <f>'Stakeholder list'!E320</f>
        <v/>
      </c>
      <c r="E315" s="71">
        <f>'Stakeholder list'!F320</f>
        <v/>
      </c>
      <c r="F315" s="71">
        <f>'Stakeholder list'!G320</f>
        <v/>
      </c>
      <c r="G315" s="71">
        <f>'Stakeholder list'!H320</f>
        <v/>
      </c>
      <c r="H315" s="71">
        <f>'Stakeholder list'!I320</f>
        <v/>
      </c>
      <c r="I315" s="71">
        <f>'Stakeholder list'!J320</f>
        <v/>
      </c>
      <c r="J315" s="71">
        <f>'Stakeholder list'!K320</f>
        <v/>
      </c>
      <c r="K315" s="71">
        <f>'Stakeholder list'!L320</f>
        <v/>
      </c>
      <c r="L315" s="71">
        <f>'Stakeholder list'!M320</f>
        <v/>
      </c>
      <c r="M315" s="71">
        <f>'Stakeholder list'!N320</f>
        <v/>
      </c>
      <c r="N315" s="71">
        <f>'Stakeholder list'!O320</f>
        <v/>
      </c>
      <c r="O315" s="71">
        <f>'Stakeholder list'!P320</f>
        <v/>
      </c>
      <c r="P315" s="71">
        <f>'Stakeholder list'!Q320</f>
        <v/>
      </c>
      <c r="Q315" s="71">
        <f>'Stakeholder list'!R320</f>
        <v/>
      </c>
      <c r="R315" s="71">
        <f>'Stakeholder list'!S320</f>
        <v/>
      </c>
      <c r="S315" s="71">
        <f>'Stakeholder list'!T320</f>
        <v/>
      </c>
      <c r="T315" s="71">
        <f>'Stakeholder list'!U320</f>
        <v/>
      </c>
      <c r="U315" s="71">
        <f>'Stakeholder list'!V320</f>
        <v/>
      </c>
      <c r="V315" s="71">
        <f>'Stakeholder list'!W320</f>
        <v/>
      </c>
      <c r="W315" s="71">
        <f>'Stakeholder list'!X320</f>
        <v/>
      </c>
    </row>
    <row r="316">
      <c r="A316" s="71">
        <f>'Stakeholder list'!B321</f>
        <v/>
      </c>
      <c r="B316" s="71">
        <f>'Stakeholder list'!C321</f>
        <v/>
      </c>
      <c r="C316" s="71">
        <f>'Stakeholder list'!D321</f>
        <v/>
      </c>
      <c r="D316" s="71">
        <f>'Stakeholder list'!E321</f>
        <v/>
      </c>
      <c r="E316" s="71">
        <f>'Stakeholder list'!F321</f>
        <v/>
      </c>
      <c r="F316" s="71">
        <f>'Stakeholder list'!G321</f>
        <v/>
      </c>
      <c r="G316" s="71">
        <f>'Stakeholder list'!H321</f>
        <v/>
      </c>
      <c r="H316" s="71">
        <f>'Stakeholder list'!I321</f>
        <v/>
      </c>
      <c r="I316" s="71">
        <f>'Stakeholder list'!J321</f>
        <v/>
      </c>
      <c r="J316" s="71">
        <f>'Stakeholder list'!K321</f>
        <v/>
      </c>
      <c r="K316" s="71">
        <f>'Stakeholder list'!L321</f>
        <v/>
      </c>
      <c r="L316" s="71">
        <f>'Stakeholder list'!M321</f>
        <v/>
      </c>
      <c r="M316" s="71">
        <f>'Stakeholder list'!N321</f>
        <v/>
      </c>
      <c r="N316" s="71">
        <f>'Stakeholder list'!O321</f>
        <v/>
      </c>
      <c r="O316" s="71">
        <f>'Stakeholder list'!P321</f>
        <v/>
      </c>
      <c r="P316" s="71">
        <f>'Stakeholder list'!Q321</f>
        <v/>
      </c>
      <c r="Q316" s="71">
        <f>'Stakeholder list'!R321</f>
        <v/>
      </c>
      <c r="R316" s="71">
        <f>'Stakeholder list'!S321</f>
        <v/>
      </c>
      <c r="S316" s="71">
        <f>'Stakeholder list'!T321</f>
        <v/>
      </c>
      <c r="T316" s="71">
        <f>'Stakeholder list'!U321</f>
        <v/>
      </c>
      <c r="U316" s="71">
        <f>'Stakeholder list'!V321</f>
        <v/>
      </c>
      <c r="V316" s="71">
        <f>'Stakeholder list'!W321</f>
        <v/>
      </c>
      <c r="W316" s="71">
        <f>'Stakeholder list'!X321</f>
        <v/>
      </c>
    </row>
    <row r="317">
      <c r="A317" s="71">
        <f>'Stakeholder list'!B322</f>
        <v/>
      </c>
      <c r="B317" s="71">
        <f>'Stakeholder list'!C322</f>
        <v/>
      </c>
      <c r="C317" s="71">
        <f>'Stakeholder list'!D322</f>
        <v/>
      </c>
      <c r="D317" s="71">
        <f>'Stakeholder list'!E322</f>
        <v/>
      </c>
      <c r="E317" s="71">
        <f>'Stakeholder list'!F322</f>
        <v/>
      </c>
      <c r="F317" s="71">
        <f>'Stakeholder list'!G322</f>
        <v/>
      </c>
      <c r="G317" s="71">
        <f>'Stakeholder list'!H322</f>
        <v/>
      </c>
      <c r="H317" s="71">
        <f>'Stakeholder list'!I322</f>
        <v/>
      </c>
      <c r="I317" s="71">
        <f>'Stakeholder list'!J322</f>
        <v/>
      </c>
      <c r="J317" s="71">
        <f>'Stakeholder list'!K322</f>
        <v/>
      </c>
      <c r="K317" s="71">
        <f>'Stakeholder list'!L322</f>
        <v/>
      </c>
      <c r="L317" s="71">
        <f>'Stakeholder list'!M322</f>
        <v/>
      </c>
      <c r="M317" s="71">
        <f>'Stakeholder list'!N322</f>
        <v/>
      </c>
      <c r="N317" s="71">
        <f>'Stakeholder list'!O322</f>
        <v/>
      </c>
      <c r="O317" s="71">
        <f>'Stakeholder list'!P322</f>
        <v/>
      </c>
      <c r="P317" s="71">
        <f>'Stakeholder list'!Q322</f>
        <v/>
      </c>
      <c r="Q317" s="71">
        <f>'Stakeholder list'!R322</f>
        <v/>
      </c>
      <c r="R317" s="71">
        <f>'Stakeholder list'!S322</f>
        <v/>
      </c>
      <c r="S317" s="71">
        <f>'Stakeholder list'!T322</f>
        <v/>
      </c>
      <c r="T317" s="71">
        <f>'Stakeholder list'!U322</f>
        <v/>
      </c>
      <c r="U317" s="71">
        <f>'Stakeholder list'!V322</f>
        <v/>
      </c>
      <c r="V317" s="71">
        <f>'Stakeholder list'!W322</f>
        <v/>
      </c>
      <c r="W317" s="71">
        <f>'Stakeholder list'!X322</f>
        <v/>
      </c>
    </row>
    <row r="318">
      <c r="A318" s="71">
        <f>'Stakeholder list'!B323</f>
        <v/>
      </c>
      <c r="B318" s="71">
        <f>'Stakeholder list'!C323</f>
        <v/>
      </c>
      <c r="C318" s="71">
        <f>'Stakeholder list'!D323</f>
        <v/>
      </c>
      <c r="D318" s="71">
        <f>'Stakeholder list'!E323</f>
        <v/>
      </c>
      <c r="E318" s="71">
        <f>'Stakeholder list'!F323</f>
        <v/>
      </c>
      <c r="F318" s="71">
        <f>'Stakeholder list'!G323</f>
        <v/>
      </c>
      <c r="G318" s="71">
        <f>'Stakeholder list'!H323</f>
        <v/>
      </c>
      <c r="H318" s="71">
        <f>'Stakeholder list'!I323</f>
        <v/>
      </c>
      <c r="I318" s="71">
        <f>'Stakeholder list'!J323</f>
        <v/>
      </c>
      <c r="J318" s="71">
        <f>'Stakeholder list'!K323</f>
        <v/>
      </c>
      <c r="K318" s="71">
        <f>'Stakeholder list'!L323</f>
        <v/>
      </c>
      <c r="L318" s="71">
        <f>'Stakeholder list'!M323</f>
        <v/>
      </c>
      <c r="M318" s="71">
        <f>'Stakeholder list'!N323</f>
        <v/>
      </c>
      <c r="N318" s="71">
        <f>'Stakeholder list'!O323</f>
        <v/>
      </c>
      <c r="O318" s="71">
        <f>'Stakeholder list'!P323</f>
        <v/>
      </c>
      <c r="P318" s="71">
        <f>'Stakeholder list'!Q323</f>
        <v/>
      </c>
      <c r="Q318" s="71">
        <f>'Stakeholder list'!R323</f>
        <v/>
      </c>
      <c r="R318" s="71">
        <f>'Stakeholder list'!S323</f>
        <v/>
      </c>
      <c r="S318" s="71">
        <f>'Stakeholder list'!T323</f>
        <v/>
      </c>
      <c r="T318" s="71">
        <f>'Stakeholder list'!U323</f>
        <v/>
      </c>
      <c r="U318" s="71">
        <f>'Stakeholder list'!V323</f>
        <v/>
      </c>
      <c r="V318" s="71">
        <f>'Stakeholder list'!W323</f>
        <v/>
      </c>
      <c r="W318" s="71">
        <f>'Stakeholder list'!X323</f>
        <v/>
      </c>
    </row>
    <row r="319">
      <c r="A319" s="71">
        <f>'Stakeholder list'!B324</f>
        <v/>
      </c>
      <c r="B319" s="71">
        <f>'Stakeholder list'!C324</f>
        <v/>
      </c>
      <c r="C319" s="71">
        <f>'Stakeholder list'!D324</f>
        <v/>
      </c>
      <c r="D319" s="71">
        <f>'Stakeholder list'!E324</f>
        <v/>
      </c>
      <c r="E319" s="71">
        <f>'Stakeholder list'!F324</f>
        <v/>
      </c>
      <c r="F319" s="71">
        <f>'Stakeholder list'!G324</f>
        <v/>
      </c>
      <c r="G319" s="71">
        <f>'Stakeholder list'!H324</f>
        <v/>
      </c>
      <c r="H319" s="71">
        <f>'Stakeholder list'!I324</f>
        <v/>
      </c>
      <c r="I319" s="71">
        <f>'Stakeholder list'!J324</f>
        <v/>
      </c>
      <c r="J319" s="71">
        <f>'Stakeholder list'!K324</f>
        <v/>
      </c>
      <c r="K319" s="71">
        <f>'Stakeholder list'!L324</f>
        <v/>
      </c>
      <c r="L319" s="71">
        <f>'Stakeholder list'!M324</f>
        <v/>
      </c>
      <c r="M319" s="71">
        <f>'Stakeholder list'!N324</f>
        <v/>
      </c>
      <c r="N319" s="71">
        <f>'Stakeholder list'!O324</f>
        <v/>
      </c>
      <c r="O319" s="71">
        <f>'Stakeholder list'!P324</f>
        <v/>
      </c>
      <c r="P319" s="71">
        <f>'Stakeholder list'!Q324</f>
        <v/>
      </c>
      <c r="Q319" s="71">
        <f>'Stakeholder list'!R324</f>
        <v/>
      </c>
      <c r="R319" s="71">
        <f>'Stakeholder list'!S324</f>
        <v/>
      </c>
      <c r="S319" s="71">
        <f>'Stakeholder list'!T324</f>
        <v/>
      </c>
      <c r="T319" s="71">
        <f>'Stakeholder list'!U324</f>
        <v/>
      </c>
      <c r="U319" s="71">
        <f>'Stakeholder list'!V324</f>
        <v/>
      </c>
      <c r="V319" s="71">
        <f>'Stakeholder list'!W324</f>
        <v/>
      </c>
      <c r="W319" s="71">
        <f>'Stakeholder list'!X324</f>
        <v/>
      </c>
    </row>
    <row r="320">
      <c r="A320" s="71">
        <f>'Stakeholder list'!B325</f>
        <v/>
      </c>
      <c r="B320" s="71">
        <f>'Stakeholder list'!C325</f>
        <v/>
      </c>
      <c r="C320" s="71">
        <f>'Stakeholder list'!D325</f>
        <v/>
      </c>
      <c r="D320" s="71">
        <f>'Stakeholder list'!E325</f>
        <v/>
      </c>
      <c r="E320" s="71">
        <f>'Stakeholder list'!F325</f>
        <v/>
      </c>
      <c r="F320" s="71">
        <f>'Stakeholder list'!G325</f>
        <v/>
      </c>
      <c r="G320" s="71">
        <f>'Stakeholder list'!H325</f>
        <v/>
      </c>
      <c r="H320" s="71">
        <f>'Stakeholder list'!I325</f>
        <v/>
      </c>
      <c r="I320" s="71">
        <f>'Stakeholder list'!J325</f>
        <v/>
      </c>
      <c r="J320" s="71">
        <f>'Stakeholder list'!K325</f>
        <v/>
      </c>
      <c r="K320" s="71">
        <f>'Stakeholder list'!L325</f>
        <v/>
      </c>
      <c r="L320" s="71">
        <f>'Stakeholder list'!M325</f>
        <v/>
      </c>
      <c r="M320" s="71">
        <f>'Stakeholder list'!N325</f>
        <v/>
      </c>
      <c r="N320" s="71">
        <f>'Stakeholder list'!O325</f>
        <v/>
      </c>
      <c r="O320" s="71">
        <f>'Stakeholder list'!P325</f>
        <v/>
      </c>
      <c r="P320" s="71">
        <f>'Stakeholder list'!Q325</f>
        <v/>
      </c>
      <c r="Q320" s="71">
        <f>'Stakeholder list'!R325</f>
        <v/>
      </c>
      <c r="R320" s="71">
        <f>'Stakeholder list'!S325</f>
        <v/>
      </c>
      <c r="S320" s="71">
        <f>'Stakeholder list'!T325</f>
        <v/>
      </c>
      <c r="T320" s="71">
        <f>'Stakeholder list'!U325</f>
        <v/>
      </c>
      <c r="U320" s="71">
        <f>'Stakeholder list'!V325</f>
        <v/>
      </c>
      <c r="V320" s="71">
        <f>'Stakeholder list'!W325</f>
        <v/>
      </c>
      <c r="W320" s="71">
        <f>'Stakeholder list'!X325</f>
        <v/>
      </c>
    </row>
    <row r="321">
      <c r="A321" s="71">
        <f>'Stakeholder list'!B326</f>
        <v/>
      </c>
      <c r="B321" s="71">
        <f>'Stakeholder list'!C326</f>
        <v/>
      </c>
      <c r="C321" s="71">
        <f>'Stakeholder list'!D326</f>
        <v/>
      </c>
      <c r="D321" s="71">
        <f>'Stakeholder list'!E326</f>
        <v/>
      </c>
      <c r="E321" s="71">
        <f>'Stakeholder list'!F326</f>
        <v/>
      </c>
      <c r="F321" s="71">
        <f>'Stakeholder list'!G326</f>
        <v/>
      </c>
      <c r="G321" s="71">
        <f>'Stakeholder list'!H326</f>
        <v/>
      </c>
      <c r="H321" s="71">
        <f>'Stakeholder list'!I326</f>
        <v/>
      </c>
      <c r="I321" s="71">
        <f>'Stakeholder list'!J326</f>
        <v/>
      </c>
      <c r="J321" s="71">
        <f>'Stakeholder list'!K326</f>
        <v/>
      </c>
      <c r="K321" s="71">
        <f>'Stakeholder list'!L326</f>
        <v/>
      </c>
      <c r="L321" s="71">
        <f>'Stakeholder list'!M326</f>
        <v/>
      </c>
      <c r="M321" s="71">
        <f>'Stakeholder list'!N326</f>
        <v/>
      </c>
      <c r="N321" s="71">
        <f>'Stakeholder list'!O326</f>
        <v/>
      </c>
      <c r="O321" s="71">
        <f>'Stakeholder list'!P326</f>
        <v/>
      </c>
      <c r="P321" s="71">
        <f>'Stakeholder list'!Q326</f>
        <v/>
      </c>
      <c r="Q321" s="71">
        <f>'Stakeholder list'!R326</f>
        <v/>
      </c>
      <c r="R321" s="71">
        <f>'Stakeholder list'!S326</f>
        <v/>
      </c>
      <c r="S321" s="71">
        <f>'Stakeholder list'!T326</f>
        <v/>
      </c>
      <c r="T321" s="71">
        <f>'Stakeholder list'!U326</f>
        <v/>
      </c>
      <c r="U321" s="71">
        <f>'Stakeholder list'!V326</f>
        <v/>
      </c>
      <c r="V321" s="71">
        <f>'Stakeholder list'!W326</f>
        <v/>
      </c>
      <c r="W321" s="71">
        <f>'Stakeholder list'!X326</f>
        <v/>
      </c>
    </row>
    <row r="322">
      <c r="A322" s="71">
        <f>'Stakeholder list'!B327</f>
        <v/>
      </c>
      <c r="B322" s="71">
        <f>'Stakeholder list'!C327</f>
        <v/>
      </c>
      <c r="C322" s="71">
        <f>'Stakeholder list'!D327</f>
        <v/>
      </c>
      <c r="D322" s="71">
        <f>'Stakeholder list'!E327</f>
        <v/>
      </c>
      <c r="E322" s="71">
        <f>'Stakeholder list'!F327</f>
        <v/>
      </c>
      <c r="F322" s="71">
        <f>'Stakeholder list'!G327</f>
        <v/>
      </c>
      <c r="G322" s="71">
        <f>'Stakeholder list'!H327</f>
        <v/>
      </c>
      <c r="H322" s="71">
        <f>'Stakeholder list'!I327</f>
        <v/>
      </c>
      <c r="I322" s="71">
        <f>'Stakeholder list'!J327</f>
        <v/>
      </c>
      <c r="J322" s="71">
        <f>'Stakeholder list'!K327</f>
        <v/>
      </c>
      <c r="K322" s="71">
        <f>'Stakeholder list'!L327</f>
        <v/>
      </c>
      <c r="L322" s="71">
        <f>'Stakeholder list'!M327</f>
        <v/>
      </c>
      <c r="M322" s="71">
        <f>'Stakeholder list'!N327</f>
        <v/>
      </c>
      <c r="N322" s="71">
        <f>'Stakeholder list'!O327</f>
        <v/>
      </c>
      <c r="O322" s="71">
        <f>'Stakeholder list'!P327</f>
        <v/>
      </c>
      <c r="P322" s="71">
        <f>'Stakeholder list'!Q327</f>
        <v/>
      </c>
      <c r="Q322" s="71">
        <f>'Stakeholder list'!R327</f>
        <v/>
      </c>
      <c r="R322" s="71">
        <f>'Stakeholder list'!S327</f>
        <v/>
      </c>
      <c r="S322" s="71">
        <f>'Stakeholder list'!T327</f>
        <v/>
      </c>
      <c r="T322" s="71">
        <f>'Stakeholder list'!U327</f>
        <v/>
      </c>
      <c r="U322" s="71">
        <f>'Stakeholder list'!V327</f>
        <v/>
      </c>
      <c r="V322" s="71">
        <f>'Stakeholder list'!W327</f>
        <v/>
      </c>
      <c r="W322" s="71">
        <f>'Stakeholder list'!X327</f>
        <v/>
      </c>
    </row>
    <row r="323">
      <c r="A323" s="71">
        <f>'Stakeholder list'!B328</f>
        <v/>
      </c>
      <c r="B323" s="71">
        <f>'Stakeholder list'!C328</f>
        <v/>
      </c>
      <c r="C323" s="71">
        <f>'Stakeholder list'!D328</f>
        <v/>
      </c>
      <c r="D323" s="71">
        <f>'Stakeholder list'!E328</f>
        <v/>
      </c>
      <c r="E323" s="71">
        <f>'Stakeholder list'!F328</f>
        <v/>
      </c>
      <c r="F323" s="71">
        <f>'Stakeholder list'!G328</f>
        <v/>
      </c>
      <c r="G323" s="71">
        <f>'Stakeholder list'!H328</f>
        <v/>
      </c>
      <c r="H323" s="71">
        <f>'Stakeholder list'!I328</f>
        <v/>
      </c>
      <c r="I323" s="71">
        <f>'Stakeholder list'!J328</f>
        <v/>
      </c>
      <c r="J323" s="71">
        <f>'Stakeholder list'!K328</f>
        <v/>
      </c>
      <c r="K323" s="71">
        <f>'Stakeholder list'!L328</f>
        <v/>
      </c>
      <c r="L323" s="71">
        <f>'Stakeholder list'!M328</f>
        <v/>
      </c>
      <c r="M323" s="71">
        <f>'Stakeholder list'!N328</f>
        <v/>
      </c>
      <c r="N323" s="71">
        <f>'Stakeholder list'!O328</f>
        <v/>
      </c>
      <c r="O323" s="71">
        <f>'Stakeholder list'!P328</f>
        <v/>
      </c>
      <c r="P323" s="71">
        <f>'Stakeholder list'!Q328</f>
        <v/>
      </c>
      <c r="Q323" s="71">
        <f>'Stakeholder list'!R328</f>
        <v/>
      </c>
      <c r="R323" s="71">
        <f>'Stakeholder list'!S328</f>
        <v/>
      </c>
      <c r="S323" s="71">
        <f>'Stakeholder list'!T328</f>
        <v/>
      </c>
      <c r="T323" s="71">
        <f>'Stakeholder list'!U328</f>
        <v/>
      </c>
      <c r="U323" s="71">
        <f>'Stakeholder list'!V328</f>
        <v/>
      </c>
      <c r="V323" s="71">
        <f>'Stakeholder list'!W328</f>
        <v/>
      </c>
      <c r="W323" s="71">
        <f>'Stakeholder list'!X328</f>
        <v/>
      </c>
    </row>
    <row r="324">
      <c r="A324" s="71">
        <f>'Stakeholder list'!B329</f>
        <v/>
      </c>
      <c r="B324" s="71">
        <f>'Stakeholder list'!C329</f>
        <v/>
      </c>
      <c r="C324" s="71">
        <f>'Stakeholder list'!D329</f>
        <v/>
      </c>
      <c r="D324" s="71">
        <f>'Stakeholder list'!E329</f>
        <v/>
      </c>
      <c r="E324" s="71">
        <f>'Stakeholder list'!F329</f>
        <v/>
      </c>
      <c r="F324" s="71">
        <f>'Stakeholder list'!G329</f>
        <v/>
      </c>
      <c r="G324" s="71">
        <f>'Stakeholder list'!H329</f>
        <v/>
      </c>
      <c r="H324" s="71">
        <f>'Stakeholder list'!I329</f>
        <v/>
      </c>
      <c r="I324" s="71">
        <f>'Stakeholder list'!J329</f>
        <v/>
      </c>
      <c r="J324" s="71">
        <f>'Stakeholder list'!K329</f>
        <v/>
      </c>
      <c r="K324" s="71">
        <f>'Stakeholder list'!L329</f>
        <v/>
      </c>
      <c r="L324" s="71">
        <f>'Stakeholder list'!M329</f>
        <v/>
      </c>
      <c r="M324" s="71">
        <f>'Stakeholder list'!N329</f>
        <v/>
      </c>
      <c r="N324" s="71">
        <f>'Stakeholder list'!O329</f>
        <v/>
      </c>
      <c r="O324" s="71">
        <f>'Stakeholder list'!P329</f>
        <v/>
      </c>
      <c r="P324" s="71">
        <f>'Stakeholder list'!Q329</f>
        <v/>
      </c>
      <c r="Q324" s="71">
        <f>'Stakeholder list'!R329</f>
        <v/>
      </c>
      <c r="R324" s="71">
        <f>'Stakeholder list'!S329</f>
        <v/>
      </c>
      <c r="S324" s="71">
        <f>'Stakeholder list'!T329</f>
        <v/>
      </c>
      <c r="T324" s="71">
        <f>'Stakeholder list'!U329</f>
        <v/>
      </c>
      <c r="U324" s="71">
        <f>'Stakeholder list'!V329</f>
        <v/>
      </c>
      <c r="V324" s="71">
        <f>'Stakeholder list'!W329</f>
        <v/>
      </c>
      <c r="W324" s="71">
        <f>'Stakeholder list'!X329</f>
        <v/>
      </c>
    </row>
    <row r="325">
      <c r="A325" s="71">
        <f>'Stakeholder list'!B330</f>
        <v/>
      </c>
      <c r="B325" s="71">
        <f>'Stakeholder list'!C330</f>
        <v/>
      </c>
      <c r="C325" s="71">
        <f>'Stakeholder list'!D330</f>
        <v/>
      </c>
      <c r="D325" s="71">
        <f>'Stakeholder list'!E330</f>
        <v/>
      </c>
      <c r="E325" s="71">
        <f>'Stakeholder list'!F330</f>
        <v/>
      </c>
      <c r="F325" s="71">
        <f>'Stakeholder list'!G330</f>
        <v/>
      </c>
      <c r="G325" s="71">
        <f>'Stakeholder list'!H330</f>
        <v/>
      </c>
      <c r="H325" s="71">
        <f>'Stakeholder list'!I330</f>
        <v/>
      </c>
      <c r="I325" s="71">
        <f>'Stakeholder list'!J330</f>
        <v/>
      </c>
      <c r="J325" s="71">
        <f>'Stakeholder list'!K330</f>
        <v/>
      </c>
      <c r="K325" s="71">
        <f>'Stakeholder list'!L330</f>
        <v/>
      </c>
      <c r="L325" s="71">
        <f>'Stakeholder list'!M330</f>
        <v/>
      </c>
      <c r="M325" s="71">
        <f>'Stakeholder list'!N330</f>
        <v/>
      </c>
      <c r="N325" s="71">
        <f>'Stakeholder list'!O330</f>
        <v/>
      </c>
      <c r="O325" s="71">
        <f>'Stakeholder list'!P330</f>
        <v/>
      </c>
      <c r="P325" s="71">
        <f>'Stakeholder list'!Q330</f>
        <v/>
      </c>
      <c r="Q325" s="71">
        <f>'Stakeholder list'!R330</f>
        <v/>
      </c>
      <c r="R325" s="71">
        <f>'Stakeholder list'!S330</f>
        <v/>
      </c>
      <c r="S325" s="71">
        <f>'Stakeholder list'!T330</f>
        <v/>
      </c>
      <c r="T325" s="71">
        <f>'Stakeholder list'!U330</f>
        <v/>
      </c>
      <c r="U325" s="71">
        <f>'Stakeholder list'!V330</f>
        <v/>
      </c>
      <c r="V325" s="71">
        <f>'Stakeholder list'!W330</f>
        <v/>
      </c>
      <c r="W325" s="71">
        <f>'Stakeholder list'!X330</f>
        <v/>
      </c>
    </row>
    <row r="326">
      <c r="A326" s="71">
        <f>'Stakeholder list'!B331</f>
        <v/>
      </c>
      <c r="B326" s="71">
        <f>'Stakeholder list'!C331</f>
        <v/>
      </c>
      <c r="C326" s="71">
        <f>'Stakeholder list'!D331</f>
        <v/>
      </c>
      <c r="D326" s="71">
        <f>'Stakeholder list'!E331</f>
        <v/>
      </c>
      <c r="E326" s="71">
        <f>'Stakeholder list'!F331</f>
        <v/>
      </c>
      <c r="F326" s="71">
        <f>'Stakeholder list'!G331</f>
        <v/>
      </c>
      <c r="G326" s="71">
        <f>'Stakeholder list'!H331</f>
        <v/>
      </c>
      <c r="H326" s="71">
        <f>'Stakeholder list'!I331</f>
        <v/>
      </c>
      <c r="I326" s="71">
        <f>'Stakeholder list'!J331</f>
        <v/>
      </c>
      <c r="J326" s="71">
        <f>'Stakeholder list'!K331</f>
        <v/>
      </c>
      <c r="K326" s="71">
        <f>'Stakeholder list'!L331</f>
        <v/>
      </c>
      <c r="L326" s="71">
        <f>'Stakeholder list'!M331</f>
        <v/>
      </c>
      <c r="M326" s="71">
        <f>'Stakeholder list'!N331</f>
        <v/>
      </c>
      <c r="N326" s="71">
        <f>'Stakeholder list'!O331</f>
        <v/>
      </c>
      <c r="O326" s="71">
        <f>'Stakeholder list'!P331</f>
        <v/>
      </c>
      <c r="P326" s="71">
        <f>'Stakeholder list'!Q331</f>
        <v/>
      </c>
      <c r="Q326" s="71">
        <f>'Stakeholder list'!R331</f>
        <v/>
      </c>
      <c r="R326" s="71">
        <f>'Stakeholder list'!S331</f>
        <v/>
      </c>
      <c r="S326" s="71">
        <f>'Stakeholder list'!T331</f>
        <v/>
      </c>
      <c r="T326" s="71">
        <f>'Stakeholder list'!U331</f>
        <v/>
      </c>
      <c r="U326" s="71">
        <f>'Stakeholder list'!V331</f>
        <v/>
      </c>
      <c r="V326" s="71">
        <f>'Stakeholder list'!W331</f>
        <v/>
      </c>
      <c r="W326" s="71">
        <f>'Stakeholder list'!X331</f>
        <v/>
      </c>
    </row>
    <row r="327">
      <c r="A327" s="71">
        <f>'Stakeholder list'!B332</f>
        <v/>
      </c>
      <c r="B327" s="71">
        <f>'Stakeholder list'!C332</f>
        <v/>
      </c>
      <c r="C327" s="71">
        <f>'Stakeholder list'!D332</f>
        <v/>
      </c>
      <c r="D327" s="71">
        <f>'Stakeholder list'!E332</f>
        <v/>
      </c>
      <c r="E327" s="71">
        <f>'Stakeholder list'!F332</f>
        <v/>
      </c>
      <c r="F327" s="71">
        <f>'Stakeholder list'!G332</f>
        <v/>
      </c>
      <c r="G327" s="71">
        <f>'Stakeholder list'!H332</f>
        <v/>
      </c>
      <c r="H327" s="71">
        <f>'Stakeholder list'!I332</f>
        <v/>
      </c>
      <c r="I327" s="71">
        <f>'Stakeholder list'!J332</f>
        <v/>
      </c>
      <c r="J327" s="71">
        <f>'Stakeholder list'!K332</f>
        <v/>
      </c>
      <c r="K327" s="71">
        <f>'Stakeholder list'!L332</f>
        <v/>
      </c>
      <c r="L327" s="71">
        <f>'Stakeholder list'!M332</f>
        <v/>
      </c>
      <c r="M327" s="71">
        <f>'Stakeholder list'!N332</f>
        <v/>
      </c>
      <c r="N327" s="71">
        <f>'Stakeholder list'!O332</f>
        <v/>
      </c>
      <c r="O327" s="71">
        <f>'Stakeholder list'!P332</f>
        <v/>
      </c>
      <c r="P327" s="71">
        <f>'Stakeholder list'!Q332</f>
        <v/>
      </c>
      <c r="Q327" s="71">
        <f>'Stakeholder list'!R332</f>
        <v/>
      </c>
      <c r="R327" s="71">
        <f>'Stakeholder list'!S332</f>
        <v/>
      </c>
      <c r="S327" s="71">
        <f>'Stakeholder list'!T332</f>
        <v/>
      </c>
      <c r="T327" s="71">
        <f>'Stakeholder list'!U332</f>
        <v/>
      </c>
      <c r="U327" s="71">
        <f>'Stakeholder list'!V332</f>
        <v/>
      </c>
      <c r="V327" s="71">
        <f>'Stakeholder list'!W332</f>
        <v/>
      </c>
      <c r="W327" s="71">
        <f>'Stakeholder list'!X332</f>
        <v/>
      </c>
    </row>
    <row r="328">
      <c r="A328" s="71">
        <f>'Stakeholder list'!B333</f>
        <v/>
      </c>
      <c r="B328" s="71">
        <f>'Stakeholder list'!C333</f>
        <v/>
      </c>
      <c r="C328" s="71">
        <f>'Stakeholder list'!D333</f>
        <v/>
      </c>
      <c r="D328" s="71">
        <f>'Stakeholder list'!E333</f>
        <v/>
      </c>
      <c r="E328" s="71">
        <f>'Stakeholder list'!F333</f>
        <v/>
      </c>
      <c r="F328" s="71">
        <f>'Stakeholder list'!G333</f>
        <v/>
      </c>
      <c r="G328" s="71">
        <f>'Stakeholder list'!H333</f>
        <v/>
      </c>
      <c r="H328" s="71">
        <f>'Stakeholder list'!I333</f>
        <v/>
      </c>
      <c r="I328" s="71">
        <f>'Stakeholder list'!J333</f>
        <v/>
      </c>
      <c r="J328" s="71">
        <f>'Stakeholder list'!K333</f>
        <v/>
      </c>
      <c r="K328" s="71">
        <f>'Stakeholder list'!L333</f>
        <v/>
      </c>
      <c r="L328" s="71">
        <f>'Stakeholder list'!M333</f>
        <v/>
      </c>
      <c r="M328" s="71">
        <f>'Stakeholder list'!N333</f>
        <v/>
      </c>
      <c r="N328" s="71">
        <f>'Stakeholder list'!O333</f>
        <v/>
      </c>
      <c r="O328" s="71">
        <f>'Stakeholder list'!P333</f>
        <v/>
      </c>
      <c r="P328" s="71">
        <f>'Stakeholder list'!Q333</f>
        <v/>
      </c>
      <c r="Q328" s="71">
        <f>'Stakeholder list'!R333</f>
        <v/>
      </c>
      <c r="R328" s="71">
        <f>'Stakeholder list'!S333</f>
        <v/>
      </c>
      <c r="S328" s="71">
        <f>'Stakeholder list'!T333</f>
        <v/>
      </c>
      <c r="T328" s="71">
        <f>'Stakeholder list'!U333</f>
        <v/>
      </c>
      <c r="U328" s="71">
        <f>'Stakeholder list'!V333</f>
        <v/>
      </c>
      <c r="V328" s="71">
        <f>'Stakeholder list'!W333</f>
        <v/>
      </c>
      <c r="W328" s="71">
        <f>'Stakeholder list'!X333</f>
        <v/>
      </c>
    </row>
    <row r="329">
      <c r="A329" s="71">
        <f>'Stakeholder list'!B334</f>
        <v/>
      </c>
      <c r="B329" s="71">
        <f>'Stakeholder list'!C334</f>
        <v/>
      </c>
      <c r="C329" s="71">
        <f>'Stakeholder list'!D334</f>
        <v/>
      </c>
      <c r="D329" s="71">
        <f>'Stakeholder list'!E334</f>
        <v/>
      </c>
      <c r="E329" s="71">
        <f>'Stakeholder list'!F334</f>
        <v/>
      </c>
      <c r="F329" s="71">
        <f>'Stakeholder list'!G334</f>
        <v/>
      </c>
      <c r="G329" s="71">
        <f>'Stakeholder list'!H334</f>
        <v/>
      </c>
      <c r="H329" s="71">
        <f>'Stakeholder list'!I334</f>
        <v/>
      </c>
      <c r="I329" s="71">
        <f>'Stakeholder list'!J334</f>
        <v/>
      </c>
      <c r="J329" s="71">
        <f>'Stakeholder list'!K334</f>
        <v/>
      </c>
      <c r="K329" s="71">
        <f>'Stakeholder list'!L334</f>
        <v/>
      </c>
      <c r="L329" s="71">
        <f>'Stakeholder list'!M334</f>
        <v/>
      </c>
      <c r="M329" s="71">
        <f>'Stakeholder list'!N334</f>
        <v/>
      </c>
      <c r="N329" s="71">
        <f>'Stakeholder list'!O334</f>
        <v/>
      </c>
      <c r="O329" s="71">
        <f>'Stakeholder list'!P334</f>
        <v/>
      </c>
      <c r="P329" s="71">
        <f>'Stakeholder list'!Q334</f>
        <v/>
      </c>
      <c r="Q329" s="71">
        <f>'Stakeholder list'!R334</f>
        <v/>
      </c>
      <c r="R329" s="71">
        <f>'Stakeholder list'!S334</f>
        <v/>
      </c>
      <c r="S329" s="71">
        <f>'Stakeholder list'!T334</f>
        <v/>
      </c>
      <c r="T329" s="71">
        <f>'Stakeholder list'!U334</f>
        <v/>
      </c>
      <c r="U329" s="71">
        <f>'Stakeholder list'!V334</f>
        <v/>
      </c>
      <c r="V329" s="71">
        <f>'Stakeholder list'!W334</f>
        <v/>
      </c>
      <c r="W329" s="71">
        <f>'Stakeholder list'!X334</f>
        <v/>
      </c>
    </row>
    <row r="330">
      <c r="A330" s="71">
        <f>'Stakeholder list'!B335</f>
        <v/>
      </c>
      <c r="B330" s="71">
        <f>'Stakeholder list'!C335</f>
        <v/>
      </c>
      <c r="C330" s="71">
        <f>'Stakeholder list'!D335</f>
        <v/>
      </c>
      <c r="D330" s="71">
        <f>'Stakeholder list'!E335</f>
        <v/>
      </c>
      <c r="E330" s="71">
        <f>'Stakeholder list'!F335</f>
        <v/>
      </c>
      <c r="F330" s="71">
        <f>'Stakeholder list'!G335</f>
        <v/>
      </c>
      <c r="G330" s="71">
        <f>'Stakeholder list'!H335</f>
        <v/>
      </c>
      <c r="H330" s="71">
        <f>'Stakeholder list'!I335</f>
        <v/>
      </c>
      <c r="I330" s="71">
        <f>'Stakeholder list'!J335</f>
        <v/>
      </c>
      <c r="J330" s="71">
        <f>'Stakeholder list'!K335</f>
        <v/>
      </c>
      <c r="K330" s="71">
        <f>'Stakeholder list'!L335</f>
        <v/>
      </c>
      <c r="L330" s="71">
        <f>'Stakeholder list'!M335</f>
        <v/>
      </c>
      <c r="M330" s="71">
        <f>'Stakeholder list'!N335</f>
        <v/>
      </c>
      <c r="N330" s="71">
        <f>'Stakeholder list'!O335</f>
        <v/>
      </c>
      <c r="O330" s="71">
        <f>'Stakeholder list'!P335</f>
        <v/>
      </c>
      <c r="P330" s="71">
        <f>'Stakeholder list'!Q335</f>
        <v/>
      </c>
      <c r="Q330" s="71">
        <f>'Stakeholder list'!R335</f>
        <v/>
      </c>
      <c r="R330" s="71">
        <f>'Stakeholder list'!S335</f>
        <v/>
      </c>
      <c r="S330" s="71">
        <f>'Stakeholder list'!T335</f>
        <v/>
      </c>
      <c r="T330" s="71">
        <f>'Stakeholder list'!U335</f>
        <v/>
      </c>
      <c r="U330" s="71">
        <f>'Stakeholder list'!V335</f>
        <v/>
      </c>
      <c r="V330" s="71">
        <f>'Stakeholder list'!W335</f>
        <v/>
      </c>
      <c r="W330" s="71">
        <f>'Stakeholder list'!X335</f>
        <v/>
      </c>
    </row>
    <row r="331">
      <c r="A331" s="71">
        <f>'Stakeholder list'!B336</f>
        <v/>
      </c>
      <c r="B331" s="71">
        <f>'Stakeholder list'!C336</f>
        <v/>
      </c>
      <c r="C331" s="71">
        <f>'Stakeholder list'!D336</f>
        <v/>
      </c>
      <c r="D331" s="71">
        <f>'Stakeholder list'!E336</f>
        <v/>
      </c>
      <c r="E331" s="71">
        <f>'Stakeholder list'!F336</f>
        <v/>
      </c>
      <c r="F331" s="71">
        <f>'Stakeholder list'!G336</f>
        <v/>
      </c>
      <c r="G331" s="71">
        <f>'Stakeholder list'!H336</f>
        <v/>
      </c>
      <c r="H331" s="71">
        <f>'Stakeholder list'!I336</f>
        <v/>
      </c>
      <c r="I331" s="71">
        <f>'Stakeholder list'!J336</f>
        <v/>
      </c>
      <c r="J331" s="71">
        <f>'Stakeholder list'!K336</f>
        <v/>
      </c>
      <c r="K331" s="71">
        <f>'Stakeholder list'!L336</f>
        <v/>
      </c>
      <c r="L331" s="71">
        <f>'Stakeholder list'!M336</f>
        <v/>
      </c>
      <c r="M331" s="71">
        <f>'Stakeholder list'!N336</f>
        <v/>
      </c>
      <c r="N331" s="71">
        <f>'Stakeholder list'!O336</f>
        <v/>
      </c>
      <c r="O331" s="71">
        <f>'Stakeholder list'!P336</f>
        <v/>
      </c>
      <c r="P331" s="71">
        <f>'Stakeholder list'!Q336</f>
        <v/>
      </c>
      <c r="Q331" s="71">
        <f>'Stakeholder list'!R336</f>
        <v/>
      </c>
      <c r="R331" s="71">
        <f>'Stakeholder list'!S336</f>
        <v/>
      </c>
      <c r="S331" s="71">
        <f>'Stakeholder list'!T336</f>
        <v/>
      </c>
      <c r="T331" s="71">
        <f>'Stakeholder list'!U336</f>
        <v/>
      </c>
      <c r="U331" s="71">
        <f>'Stakeholder list'!V336</f>
        <v/>
      </c>
      <c r="V331" s="71">
        <f>'Stakeholder list'!W336</f>
        <v/>
      </c>
      <c r="W331" s="71">
        <f>'Stakeholder list'!X336</f>
        <v/>
      </c>
    </row>
    <row r="332">
      <c r="A332" s="71">
        <f>'Stakeholder list'!B337</f>
        <v/>
      </c>
      <c r="B332" s="71">
        <f>'Stakeholder list'!C337</f>
        <v/>
      </c>
      <c r="C332" s="71">
        <f>'Stakeholder list'!D337</f>
        <v/>
      </c>
      <c r="D332" s="71">
        <f>'Stakeholder list'!E337</f>
        <v/>
      </c>
      <c r="E332" s="71">
        <f>'Stakeholder list'!F337</f>
        <v/>
      </c>
      <c r="F332" s="71">
        <f>'Stakeholder list'!G337</f>
        <v/>
      </c>
      <c r="G332" s="71">
        <f>'Stakeholder list'!H337</f>
        <v/>
      </c>
      <c r="H332" s="71">
        <f>'Stakeholder list'!I337</f>
        <v/>
      </c>
      <c r="I332" s="71">
        <f>'Stakeholder list'!J337</f>
        <v/>
      </c>
      <c r="J332" s="71">
        <f>'Stakeholder list'!K337</f>
        <v/>
      </c>
      <c r="K332" s="71">
        <f>'Stakeholder list'!L337</f>
        <v/>
      </c>
      <c r="L332" s="71">
        <f>'Stakeholder list'!M337</f>
        <v/>
      </c>
      <c r="M332" s="71">
        <f>'Stakeholder list'!N337</f>
        <v/>
      </c>
      <c r="N332" s="71">
        <f>'Stakeholder list'!O337</f>
        <v/>
      </c>
      <c r="O332" s="71">
        <f>'Stakeholder list'!P337</f>
        <v/>
      </c>
      <c r="P332" s="71">
        <f>'Stakeholder list'!Q337</f>
        <v/>
      </c>
      <c r="Q332" s="71">
        <f>'Stakeholder list'!R337</f>
        <v/>
      </c>
      <c r="R332" s="71">
        <f>'Stakeholder list'!S337</f>
        <v/>
      </c>
      <c r="S332" s="71">
        <f>'Stakeholder list'!T337</f>
        <v/>
      </c>
      <c r="T332" s="71">
        <f>'Stakeholder list'!U337</f>
        <v/>
      </c>
      <c r="U332" s="71">
        <f>'Stakeholder list'!V337</f>
        <v/>
      </c>
      <c r="V332" s="71">
        <f>'Stakeholder list'!W337</f>
        <v/>
      </c>
      <c r="W332" s="71">
        <f>'Stakeholder list'!X337</f>
        <v/>
      </c>
    </row>
    <row r="333">
      <c r="A333" s="71">
        <f>'Stakeholder list'!B338</f>
        <v/>
      </c>
      <c r="B333" s="71">
        <f>'Stakeholder list'!C338</f>
        <v/>
      </c>
      <c r="C333" s="71">
        <f>'Stakeholder list'!D338</f>
        <v/>
      </c>
      <c r="D333" s="71">
        <f>'Stakeholder list'!E338</f>
        <v/>
      </c>
      <c r="E333" s="71">
        <f>'Stakeholder list'!F338</f>
        <v/>
      </c>
      <c r="F333" s="71">
        <f>'Stakeholder list'!G338</f>
        <v/>
      </c>
      <c r="G333" s="71">
        <f>'Stakeholder list'!H338</f>
        <v/>
      </c>
      <c r="H333" s="71">
        <f>'Stakeholder list'!I338</f>
        <v/>
      </c>
      <c r="I333" s="71">
        <f>'Stakeholder list'!J338</f>
        <v/>
      </c>
      <c r="J333" s="71">
        <f>'Stakeholder list'!K338</f>
        <v/>
      </c>
      <c r="K333" s="71">
        <f>'Stakeholder list'!L338</f>
        <v/>
      </c>
      <c r="L333" s="71">
        <f>'Stakeholder list'!M338</f>
        <v/>
      </c>
      <c r="M333" s="71">
        <f>'Stakeholder list'!N338</f>
        <v/>
      </c>
      <c r="N333" s="71">
        <f>'Stakeholder list'!O338</f>
        <v/>
      </c>
      <c r="O333" s="71">
        <f>'Stakeholder list'!P338</f>
        <v/>
      </c>
      <c r="P333" s="71">
        <f>'Stakeholder list'!Q338</f>
        <v/>
      </c>
      <c r="Q333" s="71">
        <f>'Stakeholder list'!R338</f>
        <v/>
      </c>
      <c r="R333" s="71">
        <f>'Stakeholder list'!S338</f>
        <v/>
      </c>
      <c r="S333" s="71">
        <f>'Stakeholder list'!T338</f>
        <v/>
      </c>
      <c r="T333" s="71">
        <f>'Stakeholder list'!U338</f>
        <v/>
      </c>
      <c r="U333" s="71">
        <f>'Stakeholder list'!V338</f>
        <v/>
      </c>
      <c r="V333" s="71">
        <f>'Stakeholder list'!W338</f>
        <v/>
      </c>
      <c r="W333" s="71">
        <f>'Stakeholder list'!X338</f>
        <v/>
      </c>
    </row>
    <row r="334">
      <c r="A334" s="71">
        <f>'Stakeholder list'!B339</f>
        <v/>
      </c>
      <c r="B334" s="71">
        <f>'Stakeholder list'!C339</f>
        <v/>
      </c>
      <c r="C334" s="71">
        <f>'Stakeholder list'!D339</f>
        <v/>
      </c>
      <c r="D334" s="71">
        <f>'Stakeholder list'!E339</f>
        <v/>
      </c>
      <c r="E334" s="71">
        <f>'Stakeholder list'!F339</f>
        <v/>
      </c>
      <c r="F334" s="71">
        <f>'Stakeholder list'!G339</f>
        <v/>
      </c>
      <c r="G334" s="71">
        <f>'Stakeholder list'!H339</f>
        <v/>
      </c>
      <c r="H334" s="71">
        <f>'Stakeholder list'!I339</f>
        <v/>
      </c>
      <c r="I334" s="71">
        <f>'Stakeholder list'!J339</f>
        <v/>
      </c>
      <c r="J334" s="71">
        <f>'Stakeholder list'!K339</f>
        <v/>
      </c>
      <c r="K334" s="71">
        <f>'Stakeholder list'!L339</f>
        <v/>
      </c>
      <c r="L334" s="71">
        <f>'Stakeholder list'!M339</f>
        <v/>
      </c>
      <c r="M334" s="71">
        <f>'Stakeholder list'!N339</f>
        <v/>
      </c>
      <c r="N334" s="71">
        <f>'Stakeholder list'!O339</f>
        <v/>
      </c>
      <c r="O334" s="71">
        <f>'Stakeholder list'!P339</f>
        <v/>
      </c>
      <c r="P334" s="71">
        <f>'Stakeholder list'!Q339</f>
        <v/>
      </c>
      <c r="Q334" s="71">
        <f>'Stakeholder list'!R339</f>
        <v/>
      </c>
      <c r="R334" s="71">
        <f>'Stakeholder list'!S339</f>
        <v/>
      </c>
      <c r="S334" s="71">
        <f>'Stakeholder list'!T339</f>
        <v/>
      </c>
      <c r="T334" s="71">
        <f>'Stakeholder list'!U339</f>
        <v/>
      </c>
      <c r="U334" s="71">
        <f>'Stakeholder list'!V339</f>
        <v/>
      </c>
      <c r="V334" s="71">
        <f>'Stakeholder list'!W339</f>
        <v/>
      </c>
      <c r="W334" s="71">
        <f>'Stakeholder list'!X339</f>
        <v/>
      </c>
    </row>
    <row r="335">
      <c r="A335" s="71">
        <f>'Stakeholder list'!B340</f>
        <v/>
      </c>
      <c r="B335" s="71">
        <f>'Stakeholder list'!C340</f>
        <v/>
      </c>
      <c r="C335" s="71">
        <f>'Stakeholder list'!D340</f>
        <v/>
      </c>
      <c r="D335" s="71">
        <f>'Stakeholder list'!E340</f>
        <v/>
      </c>
      <c r="E335" s="71">
        <f>'Stakeholder list'!F340</f>
        <v/>
      </c>
      <c r="F335" s="71">
        <f>'Stakeholder list'!G340</f>
        <v/>
      </c>
      <c r="G335" s="71">
        <f>'Stakeholder list'!H340</f>
        <v/>
      </c>
      <c r="H335" s="71">
        <f>'Stakeholder list'!I340</f>
        <v/>
      </c>
      <c r="I335" s="71">
        <f>'Stakeholder list'!J340</f>
        <v/>
      </c>
      <c r="J335" s="71">
        <f>'Stakeholder list'!K340</f>
        <v/>
      </c>
      <c r="K335" s="71">
        <f>'Stakeholder list'!L340</f>
        <v/>
      </c>
      <c r="L335" s="71">
        <f>'Stakeholder list'!M340</f>
        <v/>
      </c>
      <c r="M335" s="71">
        <f>'Stakeholder list'!N340</f>
        <v/>
      </c>
      <c r="N335" s="71">
        <f>'Stakeholder list'!O340</f>
        <v/>
      </c>
      <c r="O335" s="71">
        <f>'Stakeholder list'!P340</f>
        <v/>
      </c>
      <c r="P335" s="71">
        <f>'Stakeholder list'!Q340</f>
        <v/>
      </c>
      <c r="Q335" s="71">
        <f>'Stakeholder list'!R340</f>
        <v/>
      </c>
      <c r="R335" s="71">
        <f>'Stakeholder list'!S340</f>
        <v/>
      </c>
      <c r="S335" s="71">
        <f>'Stakeholder list'!T340</f>
        <v/>
      </c>
      <c r="T335" s="71">
        <f>'Stakeholder list'!U340</f>
        <v/>
      </c>
      <c r="U335" s="71">
        <f>'Stakeholder list'!V340</f>
        <v/>
      </c>
      <c r="V335" s="71">
        <f>'Stakeholder list'!W340</f>
        <v/>
      </c>
      <c r="W335" s="71">
        <f>'Stakeholder list'!X340</f>
        <v/>
      </c>
    </row>
    <row r="336">
      <c r="A336" s="71">
        <f>'Stakeholder list'!B341</f>
        <v/>
      </c>
      <c r="B336" s="71">
        <f>'Stakeholder list'!C341</f>
        <v/>
      </c>
      <c r="C336" s="71">
        <f>'Stakeholder list'!D341</f>
        <v/>
      </c>
      <c r="D336" s="71">
        <f>'Stakeholder list'!E341</f>
        <v/>
      </c>
      <c r="E336" s="71">
        <f>'Stakeholder list'!F341</f>
        <v/>
      </c>
      <c r="F336" s="71">
        <f>'Stakeholder list'!G341</f>
        <v/>
      </c>
      <c r="G336" s="71">
        <f>'Stakeholder list'!H341</f>
        <v/>
      </c>
      <c r="H336" s="71">
        <f>'Stakeholder list'!I341</f>
        <v/>
      </c>
      <c r="I336" s="71">
        <f>'Stakeholder list'!J341</f>
        <v/>
      </c>
      <c r="J336" s="71">
        <f>'Stakeholder list'!K341</f>
        <v/>
      </c>
      <c r="K336" s="71">
        <f>'Stakeholder list'!L341</f>
        <v/>
      </c>
      <c r="L336" s="71">
        <f>'Stakeholder list'!M341</f>
        <v/>
      </c>
      <c r="M336" s="71">
        <f>'Stakeholder list'!N341</f>
        <v/>
      </c>
      <c r="N336" s="71">
        <f>'Stakeholder list'!O341</f>
        <v/>
      </c>
      <c r="O336" s="71">
        <f>'Stakeholder list'!P341</f>
        <v/>
      </c>
      <c r="P336" s="71">
        <f>'Stakeholder list'!Q341</f>
        <v/>
      </c>
      <c r="Q336" s="71">
        <f>'Stakeholder list'!R341</f>
        <v/>
      </c>
      <c r="R336" s="71">
        <f>'Stakeholder list'!S341</f>
        <v/>
      </c>
      <c r="S336" s="71">
        <f>'Stakeholder list'!T341</f>
        <v/>
      </c>
      <c r="T336" s="71">
        <f>'Stakeholder list'!U341</f>
        <v/>
      </c>
      <c r="U336" s="71">
        <f>'Stakeholder list'!V341</f>
        <v/>
      </c>
      <c r="V336" s="71">
        <f>'Stakeholder list'!W341</f>
        <v/>
      </c>
      <c r="W336" s="71">
        <f>'Stakeholder list'!X341</f>
        <v/>
      </c>
    </row>
    <row r="337">
      <c r="A337" s="71">
        <f>'Stakeholder list'!B342</f>
        <v/>
      </c>
      <c r="B337" s="71">
        <f>'Stakeholder list'!C342</f>
        <v/>
      </c>
      <c r="C337" s="71">
        <f>'Stakeholder list'!D342</f>
        <v/>
      </c>
      <c r="D337" s="71">
        <f>'Stakeholder list'!E342</f>
        <v/>
      </c>
      <c r="E337" s="71">
        <f>'Stakeholder list'!F342</f>
        <v/>
      </c>
      <c r="F337" s="71">
        <f>'Stakeholder list'!G342</f>
        <v/>
      </c>
      <c r="G337" s="71">
        <f>'Stakeholder list'!H342</f>
        <v/>
      </c>
      <c r="H337" s="71">
        <f>'Stakeholder list'!I342</f>
        <v/>
      </c>
      <c r="I337" s="71">
        <f>'Stakeholder list'!J342</f>
        <v/>
      </c>
      <c r="J337" s="71">
        <f>'Stakeholder list'!K342</f>
        <v/>
      </c>
      <c r="K337" s="71">
        <f>'Stakeholder list'!L342</f>
        <v/>
      </c>
      <c r="L337" s="71">
        <f>'Stakeholder list'!M342</f>
        <v/>
      </c>
      <c r="M337" s="71">
        <f>'Stakeholder list'!N342</f>
        <v/>
      </c>
      <c r="N337" s="71">
        <f>'Stakeholder list'!O342</f>
        <v/>
      </c>
      <c r="O337" s="71">
        <f>'Stakeholder list'!P342</f>
        <v/>
      </c>
      <c r="P337" s="71">
        <f>'Stakeholder list'!Q342</f>
        <v/>
      </c>
      <c r="Q337" s="71">
        <f>'Stakeholder list'!R342</f>
        <v/>
      </c>
      <c r="R337" s="71">
        <f>'Stakeholder list'!S342</f>
        <v/>
      </c>
      <c r="S337" s="71">
        <f>'Stakeholder list'!T342</f>
        <v/>
      </c>
      <c r="T337" s="71">
        <f>'Stakeholder list'!U342</f>
        <v/>
      </c>
      <c r="U337" s="71">
        <f>'Stakeholder list'!V342</f>
        <v/>
      </c>
      <c r="V337" s="71">
        <f>'Stakeholder list'!W342</f>
        <v/>
      </c>
      <c r="W337" s="71">
        <f>'Stakeholder list'!X342</f>
        <v/>
      </c>
    </row>
    <row r="338">
      <c r="A338" s="71">
        <f>'Stakeholder list'!B343</f>
        <v/>
      </c>
      <c r="B338" s="71">
        <f>'Stakeholder list'!C343</f>
        <v/>
      </c>
      <c r="C338" s="71">
        <f>'Stakeholder list'!D343</f>
        <v/>
      </c>
      <c r="D338" s="71">
        <f>'Stakeholder list'!E343</f>
        <v/>
      </c>
      <c r="E338" s="71">
        <f>'Stakeholder list'!F343</f>
        <v/>
      </c>
      <c r="F338" s="71">
        <f>'Stakeholder list'!G343</f>
        <v/>
      </c>
      <c r="G338" s="71">
        <f>'Stakeholder list'!H343</f>
        <v/>
      </c>
      <c r="H338" s="71">
        <f>'Stakeholder list'!I343</f>
        <v/>
      </c>
      <c r="I338" s="71">
        <f>'Stakeholder list'!J343</f>
        <v/>
      </c>
      <c r="J338" s="71">
        <f>'Stakeholder list'!K343</f>
        <v/>
      </c>
      <c r="K338" s="71">
        <f>'Stakeholder list'!L343</f>
        <v/>
      </c>
      <c r="L338" s="71">
        <f>'Stakeholder list'!M343</f>
        <v/>
      </c>
      <c r="M338" s="71">
        <f>'Stakeholder list'!N343</f>
        <v/>
      </c>
      <c r="N338" s="71">
        <f>'Stakeholder list'!O343</f>
        <v/>
      </c>
      <c r="O338" s="71">
        <f>'Stakeholder list'!P343</f>
        <v/>
      </c>
      <c r="P338" s="71">
        <f>'Stakeholder list'!Q343</f>
        <v/>
      </c>
      <c r="Q338" s="71">
        <f>'Stakeholder list'!R343</f>
        <v/>
      </c>
      <c r="R338" s="71">
        <f>'Stakeholder list'!S343</f>
        <v/>
      </c>
      <c r="S338" s="71">
        <f>'Stakeholder list'!T343</f>
        <v/>
      </c>
      <c r="T338" s="71">
        <f>'Stakeholder list'!U343</f>
        <v/>
      </c>
      <c r="U338" s="71">
        <f>'Stakeholder list'!V343</f>
        <v/>
      </c>
      <c r="V338" s="71">
        <f>'Stakeholder list'!W343</f>
        <v/>
      </c>
      <c r="W338" s="71">
        <f>'Stakeholder list'!X343</f>
        <v/>
      </c>
    </row>
    <row r="339">
      <c r="A339" s="71">
        <f>'Stakeholder list'!B344</f>
        <v/>
      </c>
      <c r="B339" s="71">
        <f>'Stakeholder list'!C344</f>
        <v/>
      </c>
      <c r="C339" s="71">
        <f>'Stakeholder list'!D344</f>
        <v/>
      </c>
      <c r="D339" s="71">
        <f>'Stakeholder list'!E344</f>
        <v/>
      </c>
      <c r="E339" s="71">
        <f>'Stakeholder list'!F344</f>
        <v/>
      </c>
      <c r="F339" s="71">
        <f>'Stakeholder list'!G344</f>
        <v/>
      </c>
      <c r="G339" s="71">
        <f>'Stakeholder list'!H344</f>
        <v/>
      </c>
      <c r="H339" s="71">
        <f>'Stakeholder list'!I344</f>
        <v/>
      </c>
      <c r="I339" s="71">
        <f>'Stakeholder list'!J344</f>
        <v/>
      </c>
      <c r="J339" s="71">
        <f>'Stakeholder list'!K344</f>
        <v/>
      </c>
      <c r="K339" s="71">
        <f>'Stakeholder list'!L344</f>
        <v/>
      </c>
      <c r="L339" s="71">
        <f>'Stakeholder list'!M344</f>
        <v/>
      </c>
      <c r="M339" s="71">
        <f>'Stakeholder list'!N344</f>
        <v/>
      </c>
      <c r="N339" s="71">
        <f>'Stakeholder list'!O344</f>
        <v/>
      </c>
      <c r="O339" s="71">
        <f>'Stakeholder list'!P344</f>
        <v/>
      </c>
      <c r="P339" s="71">
        <f>'Stakeholder list'!Q344</f>
        <v/>
      </c>
      <c r="Q339" s="71">
        <f>'Stakeholder list'!R344</f>
        <v/>
      </c>
      <c r="R339" s="71">
        <f>'Stakeholder list'!S344</f>
        <v/>
      </c>
      <c r="S339" s="71">
        <f>'Stakeholder list'!T344</f>
        <v/>
      </c>
      <c r="T339" s="71">
        <f>'Stakeholder list'!U344</f>
        <v/>
      </c>
      <c r="U339" s="71">
        <f>'Stakeholder list'!V344</f>
        <v/>
      </c>
      <c r="V339" s="71">
        <f>'Stakeholder list'!W344</f>
        <v/>
      </c>
      <c r="W339" s="71">
        <f>'Stakeholder list'!X344</f>
        <v/>
      </c>
    </row>
    <row r="340">
      <c r="A340" s="71">
        <f>'Stakeholder list'!B345</f>
        <v/>
      </c>
      <c r="B340" s="71">
        <f>'Stakeholder list'!C345</f>
        <v/>
      </c>
      <c r="C340" s="71">
        <f>'Stakeholder list'!D345</f>
        <v/>
      </c>
      <c r="D340" s="71">
        <f>'Stakeholder list'!E345</f>
        <v/>
      </c>
      <c r="E340" s="71">
        <f>'Stakeholder list'!F345</f>
        <v/>
      </c>
      <c r="F340" s="71">
        <f>'Stakeholder list'!G345</f>
        <v/>
      </c>
      <c r="G340" s="71">
        <f>'Stakeholder list'!H345</f>
        <v/>
      </c>
      <c r="H340" s="71">
        <f>'Stakeholder list'!I345</f>
        <v/>
      </c>
      <c r="I340" s="71">
        <f>'Stakeholder list'!J345</f>
        <v/>
      </c>
      <c r="J340" s="71">
        <f>'Stakeholder list'!K345</f>
        <v/>
      </c>
      <c r="K340" s="71">
        <f>'Stakeholder list'!L345</f>
        <v/>
      </c>
      <c r="L340" s="71">
        <f>'Stakeholder list'!M345</f>
        <v/>
      </c>
      <c r="M340" s="71">
        <f>'Stakeholder list'!N345</f>
        <v/>
      </c>
      <c r="N340" s="71">
        <f>'Stakeholder list'!O345</f>
        <v/>
      </c>
      <c r="O340" s="71">
        <f>'Stakeholder list'!P345</f>
        <v/>
      </c>
      <c r="P340" s="71">
        <f>'Stakeholder list'!Q345</f>
        <v/>
      </c>
      <c r="Q340" s="71">
        <f>'Stakeholder list'!R345</f>
        <v/>
      </c>
      <c r="R340" s="71">
        <f>'Stakeholder list'!S345</f>
        <v/>
      </c>
      <c r="S340" s="71">
        <f>'Stakeholder list'!T345</f>
        <v/>
      </c>
      <c r="T340" s="71">
        <f>'Stakeholder list'!U345</f>
        <v/>
      </c>
      <c r="U340" s="71">
        <f>'Stakeholder list'!V345</f>
        <v/>
      </c>
      <c r="V340" s="71">
        <f>'Stakeholder list'!W345</f>
        <v/>
      </c>
      <c r="W340" s="71">
        <f>'Stakeholder list'!X345</f>
        <v/>
      </c>
    </row>
    <row r="341">
      <c r="A341" s="71">
        <f>'Stakeholder list'!B346</f>
        <v/>
      </c>
      <c r="B341" s="71">
        <f>'Stakeholder list'!C346</f>
        <v/>
      </c>
      <c r="C341" s="71">
        <f>'Stakeholder list'!D346</f>
        <v/>
      </c>
      <c r="D341" s="71">
        <f>'Stakeholder list'!E346</f>
        <v/>
      </c>
      <c r="E341" s="71">
        <f>'Stakeholder list'!F346</f>
        <v/>
      </c>
      <c r="F341" s="71">
        <f>'Stakeholder list'!G346</f>
        <v/>
      </c>
      <c r="G341" s="71">
        <f>'Stakeholder list'!H346</f>
        <v/>
      </c>
      <c r="H341" s="71">
        <f>'Stakeholder list'!I346</f>
        <v/>
      </c>
      <c r="I341" s="71">
        <f>'Stakeholder list'!J346</f>
        <v/>
      </c>
      <c r="J341" s="71">
        <f>'Stakeholder list'!K346</f>
        <v/>
      </c>
      <c r="K341" s="71">
        <f>'Stakeholder list'!L346</f>
        <v/>
      </c>
      <c r="L341" s="71">
        <f>'Stakeholder list'!M346</f>
        <v/>
      </c>
      <c r="M341" s="71">
        <f>'Stakeholder list'!N346</f>
        <v/>
      </c>
      <c r="N341" s="71">
        <f>'Stakeholder list'!O346</f>
        <v/>
      </c>
      <c r="O341" s="71">
        <f>'Stakeholder list'!P346</f>
        <v/>
      </c>
      <c r="P341" s="71">
        <f>'Stakeholder list'!Q346</f>
        <v/>
      </c>
      <c r="Q341" s="71">
        <f>'Stakeholder list'!R346</f>
        <v/>
      </c>
      <c r="R341" s="71">
        <f>'Stakeholder list'!S346</f>
        <v/>
      </c>
      <c r="S341" s="71">
        <f>'Stakeholder list'!T346</f>
        <v/>
      </c>
      <c r="T341" s="71">
        <f>'Stakeholder list'!U346</f>
        <v/>
      </c>
      <c r="U341" s="71">
        <f>'Stakeholder list'!V346</f>
        <v/>
      </c>
      <c r="V341" s="71">
        <f>'Stakeholder list'!W346</f>
        <v/>
      </c>
      <c r="W341" s="71">
        <f>'Stakeholder list'!X346</f>
        <v/>
      </c>
    </row>
    <row r="342">
      <c r="A342" s="71">
        <f>'Stakeholder list'!B347</f>
        <v/>
      </c>
      <c r="B342" s="71">
        <f>'Stakeholder list'!C347</f>
        <v/>
      </c>
      <c r="C342" s="71">
        <f>'Stakeholder list'!D347</f>
        <v/>
      </c>
      <c r="D342" s="71">
        <f>'Stakeholder list'!E347</f>
        <v/>
      </c>
      <c r="E342" s="71">
        <f>'Stakeholder list'!F347</f>
        <v/>
      </c>
      <c r="F342" s="71">
        <f>'Stakeholder list'!G347</f>
        <v/>
      </c>
      <c r="G342" s="71">
        <f>'Stakeholder list'!H347</f>
        <v/>
      </c>
      <c r="H342" s="71">
        <f>'Stakeholder list'!I347</f>
        <v/>
      </c>
      <c r="I342" s="71">
        <f>'Stakeholder list'!J347</f>
        <v/>
      </c>
      <c r="J342" s="71">
        <f>'Stakeholder list'!K347</f>
        <v/>
      </c>
      <c r="K342" s="71">
        <f>'Stakeholder list'!L347</f>
        <v/>
      </c>
      <c r="L342" s="71">
        <f>'Stakeholder list'!M347</f>
        <v/>
      </c>
      <c r="M342" s="71">
        <f>'Stakeholder list'!N347</f>
        <v/>
      </c>
      <c r="N342" s="71">
        <f>'Stakeholder list'!O347</f>
        <v/>
      </c>
      <c r="O342" s="71">
        <f>'Stakeholder list'!P347</f>
        <v/>
      </c>
      <c r="P342" s="71">
        <f>'Stakeholder list'!Q347</f>
        <v/>
      </c>
      <c r="Q342" s="71">
        <f>'Stakeholder list'!R347</f>
        <v/>
      </c>
      <c r="R342" s="71">
        <f>'Stakeholder list'!S347</f>
        <v/>
      </c>
      <c r="S342" s="71">
        <f>'Stakeholder list'!T347</f>
        <v/>
      </c>
      <c r="T342" s="71">
        <f>'Stakeholder list'!U347</f>
        <v/>
      </c>
      <c r="U342" s="71">
        <f>'Stakeholder list'!V347</f>
        <v/>
      </c>
      <c r="V342" s="71">
        <f>'Stakeholder list'!W347</f>
        <v/>
      </c>
      <c r="W342" s="71">
        <f>'Stakeholder list'!X347</f>
        <v/>
      </c>
    </row>
    <row r="343">
      <c r="A343" s="71">
        <f>'Stakeholder list'!B348</f>
        <v/>
      </c>
      <c r="B343" s="71">
        <f>'Stakeholder list'!C348</f>
        <v/>
      </c>
      <c r="C343" s="71">
        <f>'Stakeholder list'!D348</f>
        <v/>
      </c>
      <c r="D343" s="71">
        <f>'Stakeholder list'!E348</f>
        <v/>
      </c>
      <c r="E343" s="71">
        <f>'Stakeholder list'!F348</f>
        <v/>
      </c>
      <c r="F343" s="71">
        <f>'Stakeholder list'!G348</f>
        <v/>
      </c>
      <c r="G343" s="71">
        <f>'Stakeholder list'!H348</f>
        <v/>
      </c>
      <c r="H343" s="71">
        <f>'Stakeholder list'!I348</f>
        <v/>
      </c>
      <c r="I343" s="71">
        <f>'Stakeholder list'!J348</f>
        <v/>
      </c>
      <c r="J343" s="71">
        <f>'Stakeholder list'!K348</f>
        <v/>
      </c>
      <c r="K343" s="71">
        <f>'Stakeholder list'!L348</f>
        <v/>
      </c>
      <c r="L343" s="71">
        <f>'Stakeholder list'!M348</f>
        <v/>
      </c>
      <c r="M343" s="71">
        <f>'Stakeholder list'!N348</f>
        <v/>
      </c>
      <c r="N343" s="71">
        <f>'Stakeholder list'!O348</f>
        <v/>
      </c>
      <c r="O343" s="71">
        <f>'Stakeholder list'!P348</f>
        <v/>
      </c>
      <c r="P343" s="71">
        <f>'Stakeholder list'!Q348</f>
        <v/>
      </c>
      <c r="Q343" s="71">
        <f>'Stakeholder list'!R348</f>
        <v/>
      </c>
      <c r="R343" s="71">
        <f>'Stakeholder list'!S348</f>
        <v/>
      </c>
      <c r="S343" s="71">
        <f>'Stakeholder list'!T348</f>
        <v/>
      </c>
      <c r="T343" s="71">
        <f>'Stakeholder list'!U348</f>
        <v/>
      </c>
      <c r="U343" s="71">
        <f>'Stakeholder list'!V348</f>
        <v/>
      </c>
      <c r="V343" s="71">
        <f>'Stakeholder list'!W348</f>
        <v/>
      </c>
      <c r="W343" s="71">
        <f>'Stakeholder list'!X348</f>
        <v/>
      </c>
    </row>
    <row r="344">
      <c r="A344" s="71">
        <f>'Stakeholder list'!B349</f>
        <v/>
      </c>
      <c r="B344" s="71">
        <f>'Stakeholder list'!C349</f>
        <v/>
      </c>
      <c r="C344" s="71">
        <f>'Stakeholder list'!D349</f>
        <v/>
      </c>
      <c r="D344" s="71">
        <f>'Stakeholder list'!E349</f>
        <v/>
      </c>
      <c r="E344" s="71">
        <f>'Stakeholder list'!F349</f>
        <v/>
      </c>
      <c r="F344" s="71">
        <f>'Stakeholder list'!G349</f>
        <v/>
      </c>
      <c r="G344" s="71">
        <f>'Stakeholder list'!H349</f>
        <v/>
      </c>
      <c r="H344" s="71">
        <f>'Stakeholder list'!I349</f>
        <v/>
      </c>
      <c r="I344" s="71">
        <f>'Stakeholder list'!J349</f>
        <v/>
      </c>
      <c r="J344" s="71">
        <f>'Stakeholder list'!K349</f>
        <v/>
      </c>
      <c r="K344" s="71">
        <f>'Stakeholder list'!L349</f>
        <v/>
      </c>
      <c r="L344" s="71">
        <f>'Stakeholder list'!M349</f>
        <v/>
      </c>
      <c r="M344" s="71">
        <f>'Stakeholder list'!N349</f>
        <v/>
      </c>
      <c r="N344" s="71">
        <f>'Stakeholder list'!O349</f>
        <v/>
      </c>
      <c r="O344" s="71">
        <f>'Stakeholder list'!P349</f>
        <v/>
      </c>
      <c r="P344" s="71">
        <f>'Stakeholder list'!Q349</f>
        <v/>
      </c>
      <c r="Q344" s="71">
        <f>'Stakeholder list'!R349</f>
        <v/>
      </c>
      <c r="R344" s="71">
        <f>'Stakeholder list'!S349</f>
        <v/>
      </c>
      <c r="S344" s="71">
        <f>'Stakeholder list'!T349</f>
        <v/>
      </c>
      <c r="T344" s="71">
        <f>'Stakeholder list'!U349</f>
        <v/>
      </c>
      <c r="U344" s="71">
        <f>'Stakeholder list'!V349</f>
        <v/>
      </c>
      <c r="V344" s="71">
        <f>'Stakeholder list'!W349</f>
        <v/>
      </c>
      <c r="W344" s="71">
        <f>'Stakeholder list'!X349</f>
        <v/>
      </c>
    </row>
    <row r="345">
      <c r="A345" s="71">
        <f>'Stakeholder list'!B350</f>
        <v/>
      </c>
      <c r="B345" s="71">
        <f>'Stakeholder list'!C350</f>
        <v/>
      </c>
      <c r="C345" s="71">
        <f>'Stakeholder list'!D350</f>
        <v/>
      </c>
      <c r="D345" s="71">
        <f>'Stakeholder list'!E350</f>
        <v/>
      </c>
      <c r="E345" s="71">
        <f>'Stakeholder list'!F350</f>
        <v/>
      </c>
      <c r="F345" s="71">
        <f>'Stakeholder list'!G350</f>
        <v/>
      </c>
      <c r="G345" s="71">
        <f>'Stakeholder list'!H350</f>
        <v/>
      </c>
      <c r="H345" s="71">
        <f>'Stakeholder list'!I350</f>
        <v/>
      </c>
      <c r="I345" s="71">
        <f>'Stakeholder list'!J350</f>
        <v/>
      </c>
      <c r="J345" s="71">
        <f>'Stakeholder list'!K350</f>
        <v/>
      </c>
      <c r="K345" s="71">
        <f>'Stakeholder list'!L350</f>
        <v/>
      </c>
      <c r="L345" s="71">
        <f>'Stakeholder list'!M350</f>
        <v/>
      </c>
      <c r="M345" s="71">
        <f>'Stakeholder list'!N350</f>
        <v/>
      </c>
      <c r="N345" s="71">
        <f>'Stakeholder list'!O350</f>
        <v/>
      </c>
      <c r="O345" s="71">
        <f>'Stakeholder list'!P350</f>
        <v/>
      </c>
      <c r="P345" s="71">
        <f>'Stakeholder list'!Q350</f>
        <v/>
      </c>
      <c r="Q345" s="71">
        <f>'Stakeholder list'!R350</f>
        <v/>
      </c>
      <c r="R345" s="71">
        <f>'Stakeholder list'!S350</f>
        <v/>
      </c>
      <c r="S345" s="71">
        <f>'Stakeholder list'!T350</f>
        <v/>
      </c>
      <c r="T345" s="71">
        <f>'Stakeholder list'!U350</f>
        <v/>
      </c>
      <c r="U345" s="71">
        <f>'Stakeholder list'!V350</f>
        <v/>
      </c>
      <c r="V345" s="71">
        <f>'Stakeholder list'!W350</f>
        <v/>
      </c>
      <c r="W345" s="71">
        <f>'Stakeholder list'!X350</f>
        <v/>
      </c>
    </row>
    <row r="346">
      <c r="A346" s="71">
        <f>'Stakeholder list'!B351</f>
        <v/>
      </c>
      <c r="B346" s="71">
        <f>'Stakeholder list'!C351</f>
        <v/>
      </c>
      <c r="C346" s="71">
        <f>'Stakeholder list'!D351</f>
        <v/>
      </c>
      <c r="D346" s="71">
        <f>'Stakeholder list'!E351</f>
        <v/>
      </c>
      <c r="E346" s="71">
        <f>'Stakeholder list'!F351</f>
        <v/>
      </c>
      <c r="F346" s="71">
        <f>'Stakeholder list'!G351</f>
        <v/>
      </c>
      <c r="G346" s="71">
        <f>'Stakeholder list'!H351</f>
        <v/>
      </c>
      <c r="H346" s="71">
        <f>'Stakeholder list'!I351</f>
        <v/>
      </c>
      <c r="I346" s="71">
        <f>'Stakeholder list'!J351</f>
        <v/>
      </c>
      <c r="J346" s="71">
        <f>'Stakeholder list'!K351</f>
        <v/>
      </c>
      <c r="K346" s="71">
        <f>'Stakeholder list'!L351</f>
        <v/>
      </c>
      <c r="L346" s="71">
        <f>'Stakeholder list'!M351</f>
        <v/>
      </c>
      <c r="M346" s="71">
        <f>'Stakeholder list'!N351</f>
        <v/>
      </c>
      <c r="N346" s="71">
        <f>'Stakeholder list'!O351</f>
        <v/>
      </c>
      <c r="O346" s="71">
        <f>'Stakeholder list'!P351</f>
        <v/>
      </c>
      <c r="P346" s="71">
        <f>'Stakeholder list'!Q351</f>
        <v/>
      </c>
      <c r="Q346" s="71">
        <f>'Stakeholder list'!R351</f>
        <v/>
      </c>
      <c r="R346" s="71">
        <f>'Stakeholder list'!S351</f>
        <v/>
      </c>
      <c r="S346" s="71">
        <f>'Stakeholder list'!T351</f>
        <v/>
      </c>
      <c r="T346" s="71">
        <f>'Stakeholder list'!U351</f>
        <v/>
      </c>
      <c r="U346" s="71">
        <f>'Stakeholder list'!V351</f>
        <v/>
      </c>
      <c r="V346" s="71">
        <f>'Stakeholder list'!W351</f>
        <v/>
      </c>
      <c r="W346" s="71">
        <f>'Stakeholder list'!X351</f>
        <v/>
      </c>
    </row>
    <row r="347">
      <c r="A347" s="71">
        <f>'Stakeholder list'!B352</f>
        <v/>
      </c>
      <c r="B347" s="71">
        <f>'Stakeholder list'!C352</f>
        <v/>
      </c>
      <c r="C347" s="71">
        <f>'Stakeholder list'!D352</f>
        <v/>
      </c>
      <c r="D347" s="71">
        <f>'Stakeholder list'!E352</f>
        <v/>
      </c>
      <c r="E347" s="71">
        <f>'Stakeholder list'!F352</f>
        <v/>
      </c>
      <c r="F347" s="71">
        <f>'Stakeholder list'!G352</f>
        <v/>
      </c>
      <c r="G347" s="71">
        <f>'Stakeholder list'!H352</f>
        <v/>
      </c>
      <c r="H347" s="71">
        <f>'Stakeholder list'!I352</f>
        <v/>
      </c>
      <c r="I347" s="71">
        <f>'Stakeholder list'!J352</f>
        <v/>
      </c>
      <c r="J347" s="71">
        <f>'Stakeholder list'!K352</f>
        <v/>
      </c>
      <c r="K347" s="71">
        <f>'Stakeholder list'!L352</f>
        <v/>
      </c>
      <c r="L347" s="71">
        <f>'Stakeholder list'!M352</f>
        <v/>
      </c>
      <c r="M347" s="71">
        <f>'Stakeholder list'!N352</f>
        <v/>
      </c>
      <c r="N347" s="71">
        <f>'Stakeholder list'!O352</f>
        <v/>
      </c>
      <c r="O347" s="71">
        <f>'Stakeholder list'!P352</f>
        <v/>
      </c>
      <c r="P347" s="71">
        <f>'Stakeholder list'!Q352</f>
        <v/>
      </c>
      <c r="Q347" s="71">
        <f>'Stakeholder list'!R352</f>
        <v/>
      </c>
      <c r="R347" s="71">
        <f>'Stakeholder list'!S352</f>
        <v/>
      </c>
      <c r="S347" s="71">
        <f>'Stakeholder list'!T352</f>
        <v/>
      </c>
      <c r="T347" s="71">
        <f>'Stakeholder list'!U352</f>
        <v/>
      </c>
      <c r="U347" s="71">
        <f>'Stakeholder list'!V352</f>
        <v/>
      </c>
      <c r="V347" s="71">
        <f>'Stakeholder list'!W352</f>
        <v/>
      </c>
      <c r="W347" s="71">
        <f>'Stakeholder list'!X352</f>
        <v/>
      </c>
    </row>
    <row r="348">
      <c r="A348" s="71">
        <f>'Stakeholder list'!B353</f>
        <v/>
      </c>
      <c r="B348" s="71">
        <f>'Stakeholder list'!C353</f>
        <v/>
      </c>
      <c r="C348" s="71">
        <f>'Stakeholder list'!D353</f>
        <v/>
      </c>
      <c r="D348" s="71">
        <f>'Stakeholder list'!E353</f>
        <v/>
      </c>
      <c r="E348" s="71">
        <f>'Stakeholder list'!F353</f>
        <v/>
      </c>
      <c r="F348" s="71">
        <f>'Stakeholder list'!G353</f>
        <v/>
      </c>
      <c r="G348" s="71">
        <f>'Stakeholder list'!H353</f>
        <v/>
      </c>
      <c r="H348" s="71">
        <f>'Stakeholder list'!I353</f>
        <v/>
      </c>
      <c r="I348" s="71">
        <f>'Stakeholder list'!J353</f>
        <v/>
      </c>
      <c r="J348" s="71">
        <f>'Stakeholder list'!K353</f>
        <v/>
      </c>
      <c r="K348" s="71">
        <f>'Stakeholder list'!L353</f>
        <v/>
      </c>
      <c r="L348" s="71">
        <f>'Stakeholder list'!M353</f>
        <v/>
      </c>
      <c r="M348" s="71">
        <f>'Stakeholder list'!N353</f>
        <v/>
      </c>
      <c r="N348" s="71">
        <f>'Stakeholder list'!O353</f>
        <v/>
      </c>
      <c r="O348" s="71">
        <f>'Stakeholder list'!P353</f>
        <v/>
      </c>
      <c r="P348" s="71">
        <f>'Stakeholder list'!Q353</f>
        <v/>
      </c>
      <c r="Q348" s="71">
        <f>'Stakeholder list'!R353</f>
        <v/>
      </c>
      <c r="R348" s="71">
        <f>'Stakeholder list'!S353</f>
        <v/>
      </c>
      <c r="S348" s="71">
        <f>'Stakeholder list'!T353</f>
        <v/>
      </c>
      <c r="T348" s="71">
        <f>'Stakeholder list'!U353</f>
        <v/>
      </c>
      <c r="U348" s="71">
        <f>'Stakeholder list'!V353</f>
        <v/>
      </c>
      <c r="V348" s="71">
        <f>'Stakeholder list'!W353</f>
        <v/>
      </c>
      <c r="W348" s="71">
        <f>'Stakeholder list'!X353</f>
        <v/>
      </c>
    </row>
    <row r="349">
      <c r="A349" s="71">
        <f>'Stakeholder list'!B354</f>
        <v/>
      </c>
      <c r="B349" s="71">
        <f>'Stakeholder list'!C354</f>
        <v/>
      </c>
      <c r="C349" s="71">
        <f>'Stakeholder list'!D354</f>
        <v/>
      </c>
      <c r="D349" s="71">
        <f>'Stakeholder list'!E354</f>
        <v/>
      </c>
      <c r="E349" s="71">
        <f>'Stakeholder list'!F354</f>
        <v/>
      </c>
      <c r="F349" s="71">
        <f>'Stakeholder list'!G354</f>
        <v/>
      </c>
      <c r="G349" s="71">
        <f>'Stakeholder list'!H354</f>
        <v/>
      </c>
      <c r="H349" s="71">
        <f>'Stakeholder list'!I354</f>
        <v/>
      </c>
      <c r="I349" s="71">
        <f>'Stakeholder list'!J354</f>
        <v/>
      </c>
      <c r="J349" s="71">
        <f>'Stakeholder list'!K354</f>
        <v/>
      </c>
      <c r="K349" s="71">
        <f>'Stakeholder list'!L354</f>
        <v/>
      </c>
      <c r="L349" s="71">
        <f>'Stakeholder list'!M354</f>
        <v/>
      </c>
      <c r="M349" s="71">
        <f>'Stakeholder list'!N354</f>
        <v/>
      </c>
      <c r="N349" s="71">
        <f>'Stakeholder list'!O354</f>
        <v/>
      </c>
      <c r="O349" s="71">
        <f>'Stakeholder list'!P354</f>
        <v/>
      </c>
      <c r="P349" s="71">
        <f>'Stakeholder list'!Q354</f>
        <v/>
      </c>
      <c r="Q349" s="71">
        <f>'Stakeholder list'!R354</f>
        <v/>
      </c>
      <c r="R349" s="71">
        <f>'Stakeholder list'!S354</f>
        <v/>
      </c>
      <c r="S349" s="71">
        <f>'Stakeholder list'!T354</f>
        <v/>
      </c>
      <c r="T349" s="71">
        <f>'Stakeholder list'!U354</f>
        <v/>
      </c>
      <c r="U349" s="71">
        <f>'Stakeholder list'!V354</f>
        <v/>
      </c>
      <c r="V349" s="71">
        <f>'Stakeholder list'!W354</f>
        <v/>
      </c>
      <c r="W349" s="71">
        <f>'Stakeholder list'!X354</f>
        <v/>
      </c>
    </row>
    <row r="350">
      <c r="A350" s="71">
        <f>'Stakeholder list'!B355</f>
        <v/>
      </c>
      <c r="B350" s="71">
        <f>'Stakeholder list'!C355</f>
        <v/>
      </c>
      <c r="C350" s="71">
        <f>'Stakeholder list'!D355</f>
        <v/>
      </c>
      <c r="D350" s="71">
        <f>'Stakeholder list'!E355</f>
        <v/>
      </c>
      <c r="E350" s="71">
        <f>'Stakeholder list'!F355</f>
        <v/>
      </c>
      <c r="F350" s="71">
        <f>'Stakeholder list'!G355</f>
        <v/>
      </c>
      <c r="G350" s="71">
        <f>'Stakeholder list'!H355</f>
        <v/>
      </c>
      <c r="H350" s="71">
        <f>'Stakeholder list'!I355</f>
        <v/>
      </c>
      <c r="I350" s="71">
        <f>'Stakeholder list'!J355</f>
        <v/>
      </c>
      <c r="J350" s="71">
        <f>'Stakeholder list'!K355</f>
        <v/>
      </c>
      <c r="K350" s="71">
        <f>'Stakeholder list'!L355</f>
        <v/>
      </c>
      <c r="L350" s="71">
        <f>'Stakeholder list'!M355</f>
        <v/>
      </c>
      <c r="M350" s="71">
        <f>'Stakeholder list'!N355</f>
        <v/>
      </c>
      <c r="N350" s="71">
        <f>'Stakeholder list'!O355</f>
        <v/>
      </c>
      <c r="O350" s="71">
        <f>'Stakeholder list'!P355</f>
        <v/>
      </c>
      <c r="P350" s="71">
        <f>'Stakeholder list'!Q355</f>
        <v/>
      </c>
      <c r="Q350" s="71">
        <f>'Stakeholder list'!R355</f>
        <v/>
      </c>
      <c r="R350" s="71">
        <f>'Stakeholder list'!S355</f>
        <v/>
      </c>
      <c r="S350" s="71">
        <f>'Stakeholder list'!T355</f>
        <v/>
      </c>
      <c r="T350" s="71">
        <f>'Stakeholder list'!U355</f>
        <v/>
      </c>
      <c r="U350" s="71">
        <f>'Stakeholder list'!V355</f>
        <v/>
      </c>
      <c r="V350" s="71">
        <f>'Stakeholder list'!W355</f>
        <v/>
      </c>
      <c r="W350" s="71">
        <f>'Stakeholder list'!X355</f>
        <v/>
      </c>
    </row>
    <row r="351">
      <c r="A351" s="71">
        <f>'Stakeholder list'!B356</f>
        <v/>
      </c>
      <c r="B351" s="71">
        <f>'Stakeholder list'!C356</f>
        <v/>
      </c>
      <c r="C351" s="71">
        <f>'Stakeholder list'!D356</f>
        <v/>
      </c>
      <c r="D351" s="71">
        <f>'Stakeholder list'!E356</f>
        <v/>
      </c>
      <c r="E351" s="71">
        <f>'Stakeholder list'!F356</f>
        <v/>
      </c>
      <c r="F351" s="71">
        <f>'Stakeholder list'!G356</f>
        <v/>
      </c>
      <c r="G351" s="71">
        <f>'Stakeholder list'!H356</f>
        <v/>
      </c>
      <c r="H351" s="71">
        <f>'Stakeholder list'!I356</f>
        <v/>
      </c>
      <c r="I351" s="71">
        <f>'Stakeholder list'!J356</f>
        <v/>
      </c>
      <c r="J351" s="71">
        <f>'Stakeholder list'!K356</f>
        <v/>
      </c>
      <c r="K351" s="71">
        <f>'Stakeholder list'!L356</f>
        <v/>
      </c>
      <c r="L351" s="71">
        <f>'Stakeholder list'!M356</f>
        <v/>
      </c>
      <c r="M351" s="71">
        <f>'Stakeholder list'!N356</f>
        <v/>
      </c>
      <c r="N351" s="71">
        <f>'Stakeholder list'!O356</f>
        <v/>
      </c>
      <c r="O351" s="71">
        <f>'Stakeholder list'!P356</f>
        <v/>
      </c>
      <c r="P351" s="71">
        <f>'Stakeholder list'!Q356</f>
        <v/>
      </c>
      <c r="Q351" s="71">
        <f>'Stakeholder list'!R356</f>
        <v/>
      </c>
      <c r="R351" s="71">
        <f>'Stakeholder list'!S356</f>
        <v/>
      </c>
      <c r="S351" s="71">
        <f>'Stakeholder list'!T356</f>
        <v/>
      </c>
      <c r="T351" s="71">
        <f>'Stakeholder list'!U356</f>
        <v/>
      </c>
      <c r="U351" s="71">
        <f>'Stakeholder list'!V356</f>
        <v/>
      </c>
      <c r="V351" s="71">
        <f>'Stakeholder list'!W356</f>
        <v/>
      </c>
      <c r="W351" s="71">
        <f>'Stakeholder list'!X356</f>
        <v/>
      </c>
    </row>
    <row r="352">
      <c r="A352" s="71">
        <f>'Stakeholder list'!B357</f>
        <v/>
      </c>
      <c r="B352" s="71">
        <f>'Stakeholder list'!C357</f>
        <v/>
      </c>
      <c r="C352" s="71">
        <f>'Stakeholder list'!D357</f>
        <v/>
      </c>
      <c r="D352" s="71">
        <f>'Stakeholder list'!E357</f>
        <v/>
      </c>
      <c r="E352" s="71">
        <f>'Stakeholder list'!F357</f>
        <v/>
      </c>
      <c r="F352" s="71">
        <f>'Stakeholder list'!G357</f>
        <v/>
      </c>
      <c r="G352" s="71">
        <f>'Stakeholder list'!H357</f>
        <v/>
      </c>
      <c r="H352" s="71">
        <f>'Stakeholder list'!I357</f>
        <v/>
      </c>
      <c r="I352" s="71">
        <f>'Stakeholder list'!J357</f>
        <v/>
      </c>
      <c r="J352" s="71">
        <f>'Stakeholder list'!K357</f>
        <v/>
      </c>
      <c r="K352" s="71">
        <f>'Stakeholder list'!L357</f>
        <v/>
      </c>
      <c r="L352" s="71">
        <f>'Stakeholder list'!M357</f>
        <v/>
      </c>
      <c r="M352" s="71">
        <f>'Stakeholder list'!N357</f>
        <v/>
      </c>
      <c r="N352" s="71">
        <f>'Stakeholder list'!O357</f>
        <v/>
      </c>
      <c r="O352" s="71">
        <f>'Stakeholder list'!P357</f>
        <v/>
      </c>
      <c r="P352" s="71">
        <f>'Stakeholder list'!Q357</f>
        <v/>
      </c>
      <c r="Q352" s="71">
        <f>'Stakeholder list'!R357</f>
        <v/>
      </c>
      <c r="R352" s="71">
        <f>'Stakeholder list'!S357</f>
        <v/>
      </c>
      <c r="S352" s="71">
        <f>'Stakeholder list'!T357</f>
        <v/>
      </c>
      <c r="T352" s="71">
        <f>'Stakeholder list'!U357</f>
        <v/>
      </c>
      <c r="U352" s="71">
        <f>'Stakeholder list'!V357</f>
        <v/>
      </c>
      <c r="V352" s="71">
        <f>'Stakeholder list'!W357</f>
        <v/>
      </c>
      <c r="W352" s="71">
        <f>'Stakeholder list'!X357</f>
        <v/>
      </c>
    </row>
    <row r="353">
      <c r="A353" s="71">
        <f>'Stakeholder list'!B358</f>
        <v/>
      </c>
      <c r="B353" s="71">
        <f>'Stakeholder list'!C358</f>
        <v/>
      </c>
      <c r="C353" s="71">
        <f>'Stakeholder list'!D358</f>
        <v/>
      </c>
      <c r="D353" s="71">
        <f>'Stakeholder list'!E358</f>
        <v/>
      </c>
      <c r="E353" s="71">
        <f>'Stakeholder list'!F358</f>
        <v/>
      </c>
      <c r="F353" s="71">
        <f>'Stakeholder list'!G358</f>
        <v/>
      </c>
      <c r="G353" s="71">
        <f>'Stakeholder list'!H358</f>
        <v/>
      </c>
      <c r="H353" s="71">
        <f>'Stakeholder list'!I358</f>
        <v/>
      </c>
      <c r="I353" s="71">
        <f>'Stakeholder list'!J358</f>
        <v/>
      </c>
      <c r="J353" s="71">
        <f>'Stakeholder list'!K358</f>
        <v/>
      </c>
      <c r="K353" s="71">
        <f>'Stakeholder list'!L358</f>
        <v/>
      </c>
      <c r="L353" s="71">
        <f>'Stakeholder list'!M358</f>
        <v/>
      </c>
      <c r="M353" s="71">
        <f>'Stakeholder list'!N358</f>
        <v/>
      </c>
      <c r="N353" s="71">
        <f>'Stakeholder list'!O358</f>
        <v/>
      </c>
      <c r="O353" s="71">
        <f>'Stakeholder list'!P358</f>
        <v/>
      </c>
      <c r="P353" s="71">
        <f>'Stakeholder list'!Q358</f>
        <v/>
      </c>
      <c r="Q353" s="71">
        <f>'Stakeholder list'!R358</f>
        <v/>
      </c>
      <c r="R353" s="71">
        <f>'Stakeholder list'!S358</f>
        <v/>
      </c>
      <c r="S353" s="71">
        <f>'Stakeholder list'!T358</f>
        <v/>
      </c>
      <c r="T353" s="71">
        <f>'Stakeholder list'!U358</f>
        <v/>
      </c>
      <c r="U353" s="71">
        <f>'Stakeholder list'!V358</f>
        <v/>
      </c>
      <c r="V353" s="71">
        <f>'Stakeholder list'!W358</f>
        <v/>
      </c>
      <c r="W353" s="71">
        <f>'Stakeholder list'!X358</f>
        <v/>
      </c>
    </row>
    <row r="354">
      <c r="A354" s="71">
        <f>'Stakeholder list'!B359</f>
        <v/>
      </c>
      <c r="B354" s="71">
        <f>'Stakeholder list'!C359</f>
        <v/>
      </c>
      <c r="C354" s="71">
        <f>'Stakeholder list'!D359</f>
        <v/>
      </c>
      <c r="D354" s="71">
        <f>'Stakeholder list'!E359</f>
        <v/>
      </c>
      <c r="E354" s="71">
        <f>'Stakeholder list'!F359</f>
        <v/>
      </c>
      <c r="F354" s="71">
        <f>'Stakeholder list'!G359</f>
        <v/>
      </c>
      <c r="G354" s="71">
        <f>'Stakeholder list'!H359</f>
        <v/>
      </c>
      <c r="H354" s="71">
        <f>'Stakeholder list'!I359</f>
        <v/>
      </c>
      <c r="I354" s="71">
        <f>'Stakeholder list'!J359</f>
        <v/>
      </c>
      <c r="J354" s="71">
        <f>'Stakeholder list'!K359</f>
        <v/>
      </c>
      <c r="K354" s="71">
        <f>'Stakeholder list'!L359</f>
        <v/>
      </c>
      <c r="L354" s="71">
        <f>'Stakeholder list'!M359</f>
        <v/>
      </c>
      <c r="M354" s="71">
        <f>'Stakeholder list'!N359</f>
        <v/>
      </c>
      <c r="N354" s="71">
        <f>'Stakeholder list'!O359</f>
        <v/>
      </c>
      <c r="O354" s="71">
        <f>'Stakeholder list'!P359</f>
        <v/>
      </c>
      <c r="P354" s="71">
        <f>'Stakeholder list'!Q359</f>
        <v/>
      </c>
      <c r="Q354" s="71">
        <f>'Stakeholder list'!R359</f>
        <v/>
      </c>
      <c r="R354" s="71">
        <f>'Stakeholder list'!S359</f>
        <v/>
      </c>
      <c r="S354" s="71">
        <f>'Stakeholder list'!T359</f>
        <v/>
      </c>
      <c r="T354" s="71">
        <f>'Stakeholder list'!U359</f>
        <v/>
      </c>
      <c r="U354" s="71">
        <f>'Stakeholder list'!V359</f>
        <v/>
      </c>
      <c r="V354" s="71">
        <f>'Stakeholder list'!W359</f>
        <v/>
      </c>
      <c r="W354" s="71">
        <f>'Stakeholder list'!X359</f>
        <v/>
      </c>
    </row>
    <row r="355">
      <c r="A355" s="71">
        <f>'Stakeholder list'!B360</f>
        <v/>
      </c>
      <c r="B355" s="71">
        <f>'Stakeholder list'!C360</f>
        <v/>
      </c>
      <c r="C355" s="71">
        <f>'Stakeholder list'!D360</f>
        <v/>
      </c>
      <c r="D355" s="71">
        <f>'Stakeholder list'!E360</f>
        <v/>
      </c>
      <c r="E355" s="71">
        <f>'Stakeholder list'!F360</f>
        <v/>
      </c>
      <c r="F355" s="71">
        <f>'Stakeholder list'!G360</f>
        <v/>
      </c>
      <c r="G355" s="71">
        <f>'Stakeholder list'!H360</f>
        <v/>
      </c>
      <c r="H355" s="71">
        <f>'Stakeholder list'!I360</f>
        <v/>
      </c>
      <c r="I355" s="71">
        <f>'Stakeholder list'!J360</f>
        <v/>
      </c>
      <c r="J355" s="71">
        <f>'Stakeholder list'!K360</f>
        <v/>
      </c>
      <c r="K355" s="71">
        <f>'Stakeholder list'!L360</f>
        <v/>
      </c>
      <c r="L355" s="71">
        <f>'Stakeholder list'!M360</f>
        <v/>
      </c>
      <c r="M355" s="71">
        <f>'Stakeholder list'!N360</f>
        <v/>
      </c>
      <c r="N355" s="71">
        <f>'Stakeholder list'!O360</f>
        <v/>
      </c>
      <c r="O355" s="71">
        <f>'Stakeholder list'!P360</f>
        <v/>
      </c>
      <c r="P355" s="71">
        <f>'Stakeholder list'!Q360</f>
        <v/>
      </c>
      <c r="Q355" s="71">
        <f>'Stakeholder list'!R360</f>
        <v/>
      </c>
      <c r="R355" s="71">
        <f>'Stakeholder list'!S360</f>
        <v/>
      </c>
      <c r="S355" s="71">
        <f>'Stakeholder list'!T360</f>
        <v/>
      </c>
      <c r="T355" s="71">
        <f>'Stakeholder list'!U360</f>
        <v/>
      </c>
      <c r="U355" s="71">
        <f>'Stakeholder list'!V360</f>
        <v/>
      </c>
      <c r="V355" s="71">
        <f>'Stakeholder list'!W360</f>
        <v/>
      </c>
      <c r="W355" s="71">
        <f>'Stakeholder list'!X360</f>
        <v/>
      </c>
    </row>
    <row r="356">
      <c r="A356" s="71">
        <f>'Stakeholder list'!B361</f>
        <v/>
      </c>
      <c r="B356" s="71">
        <f>'Stakeholder list'!C361</f>
        <v/>
      </c>
      <c r="C356" s="71">
        <f>'Stakeholder list'!D361</f>
        <v/>
      </c>
      <c r="D356" s="71">
        <f>'Stakeholder list'!E361</f>
        <v/>
      </c>
      <c r="E356" s="71">
        <f>'Stakeholder list'!F361</f>
        <v/>
      </c>
      <c r="F356" s="71">
        <f>'Stakeholder list'!G361</f>
        <v/>
      </c>
      <c r="G356" s="71">
        <f>'Stakeholder list'!H361</f>
        <v/>
      </c>
      <c r="H356" s="71">
        <f>'Stakeholder list'!I361</f>
        <v/>
      </c>
      <c r="I356" s="71">
        <f>'Stakeholder list'!J361</f>
        <v/>
      </c>
      <c r="J356" s="71">
        <f>'Stakeholder list'!K361</f>
        <v/>
      </c>
      <c r="K356" s="71">
        <f>'Stakeholder list'!L361</f>
        <v/>
      </c>
      <c r="L356" s="71">
        <f>'Stakeholder list'!M361</f>
        <v/>
      </c>
      <c r="M356" s="71">
        <f>'Stakeholder list'!N361</f>
        <v/>
      </c>
      <c r="N356" s="71">
        <f>'Stakeholder list'!O361</f>
        <v/>
      </c>
      <c r="O356" s="71">
        <f>'Stakeholder list'!P361</f>
        <v/>
      </c>
      <c r="P356" s="71">
        <f>'Stakeholder list'!Q361</f>
        <v/>
      </c>
      <c r="Q356" s="71">
        <f>'Stakeholder list'!R361</f>
        <v/>
      </c>
      <c r="R356" s="71">
        <f>'Stakeholder list'!S361</f>
        <v/>
      </c>
      <c r="S356" s="71">
        <f>'Stakeholder list'!T361</f>
        <v/>
      </c>
      <c r="T356" s="71">
        <f>'Stakeholder list'!U361</f>
        <v/>
      </c>
      <c r="U356" s="71">
        <f>'Stakeholder list'!V361</f>
        <v/>
      </c>
      <c r="V356" s="71">
        <f>'Stakeholder list'!W361</f>
        <v/>
      </c>
      <c r="W356" s="71">
        <f>'Stakeholder list'!X361</f>
        <v/>
      </c>
    </row>
    <row r="357">
      <c r="A357" s="71">
        <f>'Stakeholder list'!B362</f>
        <v/>
      </c>
      <c r="B357" s="71">
        <f>'Stakeholder list'!C362</f>
        <v/>
      </c>
      <c r="C357" s="71">
        <f>'Stakeholder list'!D362</f>
        <v/>
      </c>
      <c r="D357" s="71">
        <f>'Stakeholder list'!E362</f>
        <v/>
      </c>
      <c r="E357" s="71">
        <f>'Stakeholder list'!F362</f>
        <v/>
      </c>
      <c r="F357" s="71">
        <f>'Stakeholder list'!G362</f>
        <v/>
      </c>
      <c r="G357" s="71">
        <f>'Stakeholder list'!H362</f>
        <v/>
      </c>
      <c r="H357" s="71">
        <f>'Stakeholder list'!I362</f>
        <v/>
      </c>
      <c r="I357" s="71">
        <f>'Stakeholder list'!J362</f>
        <v/>
      </c>
      <c r="J357" s="71">
        <f>'Stakeholder list'!K362</f>
        <v/>
      </c>
      <c r="K357" s="71">
        <f>'Stakeholder list'!L362</f>
        <v/>
      </c>
      <c r="L357" s="71">
        <f>'Stakeholder list'!M362</f>
        <v/>
      </c>
      <c r="M357" s="71">
        <f>'Stakeholder list'!N362</f>
        <v/>
      </c>
      <c r="N357" s="71">
        <f>'Stakeholder list'!O362</f>
        <v/>
      </c>
      <c r="O357" s="71">
        <f>'Stakeholder list'!P362</f>
        <v/>
      </c>
      <c r="P357" s="71">
        <f>'Stakeholder list'!Q362</f>
        <v/>
      </c>
      <c r="Q357" s="71">
        <f>'Stakeholder list'!R362</f>
        <v/>
      </c>
      <c r="R357" s="71">
        <f>'Stakeholder list'!S362</f>
        <v/>
      </c>
      <c r="S357" s="71">
        <f>'Stakeholder list'!T362</f>
        <v/>
      </c>
      <c r="T357" s="71">
        <f>'Stakeholder list'!U362</f>
        <v/>
      </c>
      <c r="U357" s="71">
        <f>'Stakeholder list'!V362</f>
        <v/>
      </c>
      <c r="V357" s="71">
        <f>'Stakeholder list'!W362</f>
        <v/>
      </c>
      <c r="W357" s="71">
        <f>'Stakeholder list'!X362</f>
        <v/>
      </c>
    </row>
    <row r="358">
      <c r="A358" s="71">
        <f>'Stakeholder list'!B363</f>
        <v/>
      </c>
      <c r="B358" s="71">
        <f>'Stakeholder list'!C363</f>
        <v/>
      </c>
      <c r="C358" s="71">
        <f>'Stakeholder list'!D363</f>
        <v/>
      </c>
      <c r="D358" s="71">
        <f>'Stakeholder list'!E363</f>
        <v/>
      </c>
      <c r="E358" s="71">
        <f>'Stakeholder list'!F363</f>
        <v/>
      </c>
      <c r="F358" s="71">
        <f>'Stakeholder list'!G363</f>
        <v/>
      </c>
      <c r="G358" s="71">
        <f>'Stakeholder list'!H363</f>
        <v/>
      </c>
      <c r="H358" s="71">
        <f>'Stakeholder list'!I363</f>
        <v/>
      </c>
      <c r="I358" s="71">
        <f>'Stakeholder list'!J363</f>
        <v/>
      </c>
      <c r="J358" s="71">
        <f>'Stakeholder list'!K363</f>
        <v/>
      </c>
      <c r="K358" s="71">
        <f>'Stakeholder list'!L363</f>
        <v/>
      </c>
      <c r="L358" s="71">
        <f>'Stakeholder list'!M363</f>
        <v/>
      </c>
      <c r="M358" s="71">
        <f>'Stakeholder list'!N363</f>
        <v/>
      </c>
      <c r="N358" s="71">
        <f>'Stakeholder list'!O363</f>
        <v/>
      </c>
      <c r="O358" s="71">
        <f>'Stakeholder list'!P363</f>
        <v/>
      </c>
      <c r="P358" s="71">
        <f>'Stakeholder list'!Q363</f>
        <v/>
      </c>
      <c r="Q358" s="71">
        <f>'Stakeholder list'!R363</f>
        <v/>
      </c>
      <c r="R358" s="71">
        <f>'Stakeholder list'!S363</f>
        <v/>
      </c>
      <c r="S358" s="71">
        <f>'Stakeholder list'!T363</f>
        <v/>
      </c>
      <c r="T358" s="71">
        <f>'Stakeholder list'!U363</f>
        <v/>
      </c>
      <c r="U358" s="71">
        <f>'Stakeholder list'!V363</f>
        <v/>
      </c>
      <c r="V358" s="71">
        <f>'Stakeholder list'!W363</f>
        <v/>
      </c>
      <c r="W358" s="71">
        <f>'Stakeholder list'!X363</f>
        <v/>
      </c>
    </row>
    <row r="359">
      <c r="A359" s="71">
        <f>'Stakeholder list'!B364</f>
        <v/>
      </c>
      <c r="B359" s="71">
        <f>'Stakeholder list'!C364</f>
        <v/>
      </c>
      <c r="C359" s="71">
        <f>'Stakeholder list'!D364</f>
        <v/>
      </c>
      <c r="D359" s="71">
        <f>'Stakeholder list'!E364</f>
        <v/>
      </c>
      <c r="E359" s="71">
        <f>'Stakeholder list'!F364</f>
        <v/>
      </c>
      <c r="F359" s="71">
        <f>'Stakeholder list'!G364</f>
        <v/>
      </c>
      <c r="G359" s="71">
        <f>'Stakeholder list'!H364</f>
        <v/>
      </c>
      <c r="H359" s="71">
        <f>'Stakeholder list'!I364</f>
        <v/>
      </c>
      <c r="I359" s="71">
        <f>'Stakeholder list'!J364</f>
        <v/>
      </c>
      <c r="J359" s="71">
        <f>'Stakeholder list'!K364</f>
        <v/>
      </c>
      <c r="K359" s="71">
        <f>'Stakeholder list'!L364</f>
        <v/>
      </c>
      <c r="L359" s="71">
        <f>'Stakeholder list'!M364</f>
        <v/>
      </c>
      <c r="M359" s="71">
        <f>'Stakeholder list'!N364</f>
        <v/>
      </c>
      <c r="N359" s="71">
        <f>'Stakeholder list'!O364</f>
        <v/>
      </c>
      <c r="O359" s="71">
        <f>'Stakeholder list'!P364</f>
        <v/>
      </c>
      <c r="P359" s="71">
        <f>'Stakeholder list'!Q364</f>
        <v/>
      </c>
      <c r="Q359" s="71">
        <f>'Stakeholder list'!R364</f>
        <v/>
      </c>
      <c r="R359" s="71">
        <f>'Stakeholder list'!S364</f>
        <v/>
      </c>
      <c r="S359" s="71">
        <f>'Stakeholder list'!T364</f>
        <v/>
      </c>
      <c r="T359" s="71">
        <f>'Stakeholder list'!U364</f>
        <v/>
      </c>
      <c r="U359" s="71">
        <f>'Stakeholder list'!V364</f>
        <v/>
      </c>
      <c r="V359" s="71">
        <f>'Stakeholder list'!W364</f>
        <v/>
      </c>
      <c r="W359" s="71">
        <f>'Stakeholder list'!X364</f>
        <v/>
      </c>
    </row>
    <row r="360">
      <c r="A360" s="71">
        <f>'Stakeholder list'!B365</f>
        <v/>
      </c>
      <c r="B360" s="71">
        <f>'Stakeholder list'!C365</f>
        <v/>
      </c>
      <c r="C360" s="71">
        <f>'Stakeholder list'!D365</f>
        <v/>
      </c>
      <c r="D360" s="71">
        <f>'Stakeholder list'!E365</f>
        <v/>
      </c>
      <c r="E360" s="71">
        <f>'Stakeholder list'!F365</f>
        <v/>
      </c>
      <c r="F360" s="71">
        <f>'Stakeholder list'!G365</f>
        <v/>
      </c>
      <c r="G360" s="71">
        <f>'Stakeholder list'!H365</f>
        <v/>
      </c>
      <c r="H360" s="71">
        <f>'Stakeholder list'!I365</f>
        <v/>
      </c>
      <c r="I360" s="71">
        <f>'Stakeholder list'!J365</f>
        <v/>
      </c>
      <c r="J360" s="71">
        <f>'Stakeholder list'!K365</f>
        <v/>
      </c>
      <c r="K360" s="71">
        <f>'Stakeholder list'!L365</f>
        <v/>
      </c>
      <c r="L360" s="71">
        <f>'Stakeholder list'!M365</f>
        <v/>
      </c>
      <c r="M360" s="71">
        <f>'Stakeholder list'!N365</f>
        <v/>
      </c>
      <c r="N360" s="71">
        <f>'Stakeholder list'!O365</f>
        <v/>
      </c>
      <c r="O360" s="71">
        <f>'Stakeholder list'!P365</f>
        <v/>
      </c>
      <c r="P360" s="71">
        <f>'Stakeholder list'!Q365</f>
        <v/>
      </c>
      <c r="Q360" s="73">
        <f>'Stakeholder list'!R365</f>
        <v/>
      </c>
      <c r="R360" s="71">
        <f>'Stakeholder list'!S365</f>
        <v/>
      </c>
      <c r="S360" s="71">
        <f>'Stakeholder list'!T365</f>
        <v/>
      </c>
      <c r="T360" s="71">
        <f>'Stakeholder list'!U365</f>
        <v/>
      </c>
      <c r="U360" s="71">
        <f>'Stakeholder list'!V365</f>
        <v/>
      </c>
      <c r="V360" s="71">
        <f>'Stakeholder list'!W365</f>
        <v/>
      </c>
      <c r="W360" s="71">
        <f>'Stakeholder list'!X365</f>
        <v/>
      </c>
    </row>
    <row r="361">
      <c r="A361" s="71">
        <f>'Stakeholder list'!B366</f>
        <v/>
      </c>
      <c r="B361" s="71">
        <f>'Stakeholder list'!C366</f>
        <v/>
      </c>
      <c r="C361" s="71">
        <f>'Stakeholder list'!D366</f>
        <v/>
      </c>
      <c r="D361" s="71">
        <f>'Stakeholder list'!E366</f>
        <v/>
      </c>
      <c r="E361" s="71">
        <f>'Stakeholder list'!F366</f>
        <v/>
      </c>
      <c r="F361" s="71">
        <f>'Stakeholder list'!G366</f>
        <v/>
      </c>
      <c r="G361" s="71">
        <f>'Stakeholder list'!H366</f>
        <v/>
      </c>
      <c r="H361" s="71">
        <f>'Stakeholder list'!I366</f>
        <v/>
      </c>
      <c r="I361" s="71">
        <f>'Stakeholder list'!J366</f>
        <v/>
      </c>
      <c r="J361" s="71">
        <f>'Stakeholder list'!K366</f>
        <v/>
      </c>
      <c r="K361" s="71">
        <f>'Stakeholder list'!L366</f>
        <v/>
      </c>
      <c r="L361" s="71">
        <f>'Stakeholder list'!M366</f>
        <v/>
      </c>
      <c r="M361" s="71">
        <f>'Stakeholder list'!N366</f>
        <v/>
      </c>
      <c r="N361" s="71">
        <f>'Stakeholder list'!O366</f>
        <v/>
      </c>
      <c r="O361" s="71">
        <f>'Stakeholder list'!P366</f>
        <v/>
      </c>
      <c r="P361" s="71">
        <f>'Stakeholder list'!Q366</f>
        <v/>
      </c>
      <c r="Q361" s="71">
        <f>'Stakeholder list'!R366</f>
        <v/>
      </c>
      <c r="R361" s="71">
        <f>'Stakeholder list'!S366</f>
        <v/>
      </c>
      <c r="S361" s="71">
        <f>'Stakeholder list'!T366</f>
        <v/>
      </c>
      <c r="T361" s="71">
        <f>'Stakeholder list'!U366</f>
        <v/>
      </c>
      <c r="U361" s="71">
        <f>'Stakeholder list'!V366</f>
        <v/>
      </c>
      <c r="V361" s="71">
        <f>'Stakeholder list'!W366</f>
        <v/>
      </c>
      <c r="W361" s="71">
        <f>'Stakeholder list'!X366</f>
        <v/>
      </c>
    </row>
    <row r="362">
      <c r="A362" s="71">
        <f>'Stakeholder list'!B368</f>
        <v/>
      </c>
      <c r="B362" s="71">
        <f>'Stakeholder list'!C368</f>
        <v/>
      </c>
      <c r="C362" s="71">
        <f>'Stakeholder list'!D368</f>
        <v/>
      </c>
      <c r="D362" s="71">
        <f>'Stakeholder list'!E368</f>
        <v/>
      </c>
      <c r="E362" s="71">
        <f>'Stakeholder list'!F368</f>
        <v/>
      </c>
      <c r="F362" s="71">
        <f>'Stakeholder list'!G368</f>
        <v/>
      </c>
      <c r="G362" s="71">
        <f>'Stakeholder list'!H368</f>
        <v/>
      </c>
      <c r="H362" s="71">
        <f>'Stakeholder list'!I368</f>
        <v/>
      </c>
      <c r="I362" s="71">
        <f>'Stakeholder list'!J368</f>
        <v/>
      </c>
      <c r="J362" s="71">
        <f>'Stakeholder list'!K368</f>
        <v/>
      </c>
      <c r="K362" s="71">
        <f>'Stakeholder list'!L368</f>
        <v/>
      </c>
      <c r="L362" s="71">
        <f>'Stakeholder list'!M368</f>
        <v/>
      </c>
      <c r="M362" s="71">
        <f>'Stakeholder list'!N368</f>
        <v/>
      </c>
      <c r="N362" s="71">
        <f>'Stakeholder list'!O368</f>
        <v/>
      </c>
      <c r="O362" s="71">
        <f>'Stakeholder list'!P368</f>
        <v/>
      </c>
      <c r="P362" s="71">
        <f>'Stakeholder list'!Q368</f>
        <v/>
      </c>
      <c r="Q362" s="71">
        <f>'Stakeholder list'!R368</f>
        <v/>
      </c>
      <c r="R362" s="71">
        <f>'Stakeholder list'!S368</f>
        <v/>
      </c>
      <c r="S362" s="74" t="n"/>
      <c r="T362" s="74" t="n"/>
      <c r="U362" s="74" t="n"/>
      <c r="V362" s="74" t="n"/>
      <c r="W362" s="74" t="n"/>
    </row>
    <row r="363">
      <c r="A363" s="71">
        <f>'Stakeholder list'!B369</f>
        <v/>
      </c>
      <c r="B363" s="71">
        <f>'Stakeholder list'!C369</f>
        <v/>
      </c>
      <c r="C363" s="71">
        <f>'Stakeholder list'!D369</f>
        <v/>
      </c>
      <c r="D363" s="71">
        <f>'Stakeholder list'!E369</f>
        <v/>
      </c>
      <c r="E363" s="71">
        <f>'Stakeholder list'!F369</f>
        <v/>
      </c>
      <c r="F363" s="71">
        <f>'Stakeholder list'!G369</f>
        <v/>
      </c>
      <c r="G363" s="71">
        <f>'Stakeholder list'!H369</f>
        <v/>
      </c>
      <c r="H363" s="71">
        <f>'Stakeholder list'!I369</f>
        <v/>
      </c>
      <c r="I363" s="71">
        <f>'Stakeholder list'!J369</f>
        <v/>
      </c>
      <c r="J363" s="71">
        <f>'Stakeholder list'!K369</f>
        <v/>
      </c>
      <c r="K363" s="71">
        <f>'Stakeholder list'!L369</f>
        <v/>
      </c>
      <c r="L363" s="71">
        <f>'Stakeholder list'!M369</f>
        <v/>
      </c>
      <c r="M363" s="71">
        <f>'Stakeholder list'!N369</f>
        <v/>
      </c>
      <c r="N363" s="71">
        <f>'Stakeholder list'!O369</f>
        <v/>
      </c>
      <c r="O363" s="71">
        <f>'Stakeholder list'!P369</f>
        <v/>
      </c>
      <c r="P363" s="71">
        <f>'Stakeholder list'!Q369</f>
        <v/>
      </c>
      <c r="Q363" s="71">
        <f>'Stakeholder list'!R369</f>
        <v/>
      </c>
      <c r="R363" s="71">
        <f>'Stakeholder list'!S369</f>
        <v/>
      </c>
      <c r="S363" s="74" t="n"/>
      <c r="T363" s="74" t="n"/>
      <c r="U363" s="74" t="n"/>
      <c r="V363" s="74" t="n"/>
      <c r="W363" s="74" t="n"/>
    </row>
    <row r="364">
      <c r="A364" s="71">
        <f>'Stakeholder list'!B370</f>
        <v/>
      </c>
      <c r="B364" s="71">
        <f>'Stakeholder list'!C370</f>
        <v/>
      </c>
      <c r="C364" s="71">
        <f>'Stakeholder list'!D370</f>
        <v/>
      </c>
      <c r="D364" s="71">
        <f>'Stakeholder list'!E370</f>
        <v/>
      </c>
      <c r="E364" s="71">
        <f>'Stakeholder list'!F370</f>
        <v/>
      </c>
      <c r="F364" s="71">
        <f>'Stakeholder list'!G370</f>
        <v/>
      </c>
      <c r="G364" s="71">
        <f>'Stakeholder list'!H370</f>
        <v/>
      </c>
      <c r="H364" s="71">
        <f>'Stakeholder list'!I370</f>
        <v/>
      </c>
      <c r="I364" s="71">
        <f>'Stakeholder list'!J370</f>
        <v/>
      </c>
      <c r="J364" s="71">
        <f>'Stakeholder list'!K370</f>
        <v/>
      </c>
      <c r="K364" s="71">
        <f>'Stakeholder list'!L370</f>
        <v/>
      </c>
      <c r="L364" s="71">
        <f>'Stakeholder list'!M370</f>
        <v/>
      </c>
      <c r="M364" s="71">
        <f>'Stakeholder list'!N370</f>
        <v/>
      </c>
      <c r="N364" s="71">
        <f>'Stakeholder list'!O370</f>
        <v/>
      </c>
      <c r="O364" s="71">
        <f>'Stakeholder list'!P370</f>
        <v/>
      </c>
      <c r="P364" s="71">
        <f>'Stakeholder list'!Q370</f>
        <v/>
      </c>
      <c r="Q364" s="71">
        <f>'Stakeholder list'!R370</f>
        <v/>
      </c>
      <c r="R364" s="71">
        <f>'Stakeholder list'!S370</f>
        <v/>
      </c>
      <c r="S364" s="74" t="n"/>
      <c r="T364" s="74" t="n"/>
      <c r="U364" s="74" t="n"/>
      <c r="V364" s="74" t="n"/>
      <c r="W364" s="74" t="n"/>
    </row>
    <row r="365">
      <c r="A365" s="71">
        <f>'Stakeholder list'!B371</f>
        <v/>
      </c>
      <c r="B365" s="71">
        <f>'Stakeholder list'!C371</f>
        <v/>
      </c>
      <c r="C365" s="71">
        <f>'Stakeholder list'!D371</f>
        <v/>
      </c>
      <c r="D365" s="71">
        <f>'Stakeholder list'!E371</f>
        <v/>
      </c>
      <c r="E365" s="71">
        <f>'Stakeholder list'!F371</f>
        <v/>
      </c>
      <c r="F365" s="71">
        <f>'Stakeholder list'!G371</f>
        <v/>
      </c>
      <c r="G365" s="71">
        <f>'Stakeholder list'!H371</f>
        <v/>
      </c>
      <c r="H365" s="71">
        <f>'Stakeholder list'!I371</f>
        <v/>
      </c>
      <c r="I365" s="71">
        <f>'Stakeholder list'!J371</f>
        <v/>
      </c>
      <c r="J365" s="71">
        <f>'Stakeholder list'!K371</f>
        <v/>
      </c>
      <c r="K365" s="71">
        <f>'Stakeholder list'!L371</f>
        <v/>
      </c>
      <c r="L365" s="71">
        <f>'Stakeholder list'!M371</f>
        <v/>
      </c>
      <c r="M365" s="71">
        <f>'Stakeholder list'!N371</f>
        <v/>
      </c>
      <c r="N365" s="71">
        <f>'Stakeholder list'!O371</f>
        <v/>
      </c>
      <c r="O365" s="71">
        <f>'Stakeholder list'!P371</f>
        <v/>
      </c>
      <c r="P365" s="71">
        <f>'Stakeholder list'!Q371</f>
        <v/>
      </c>
      <c r="Q365" s="71">
        <f>'Stakeholder list'!R371</f>
        <v/>
      </c>
      <c r="R365" s="71">
        <f>'Stakeholder list'!S371</f>
        <v/>
      </c>
      <c r="S365" s="74" t="n"/>
      <c r="T365" s="74" t="n"/>
      <c r="U365" s="74" t="n"/>
      <c r="V365" s="74" t="n"/>
      <c r="W365" s="74" t="n"/>
    </row>
    <row r="366">
      <c r="A366" s="71">
        <f>'Stakeholder list'!B372</f>
        <v/>
      </c>
      <c r="B366" s="71">
        <f>'Stakeholder list'!C372</f>
        <v/>
      </c>
      <c r="C366" s="71">
        <f>'Stakeholder list'!D372</f>
        <v/>
      </c>
      <c r="D366" s="71">
        <f>'Stakeholder list'!E372</f>
        <v/>
      </c>
      <c r="E366" s="71">
        <f>'Stakeholder list'!F372</f>
        <v/>
      </c>
      <c r="F366" s="71">
        <f>'Stakeholder list'!G372</f>
        <v/>
      </c>
      <c r="G366" s="71">
        <f>'Stakeholder list'!H372</f>
        <v/>
      </c>
      <c r="H366" s="71">
        <f>'Stakeholder list'!I372</f>
        <v/>
      </c>
      <c r="I366" s="71">
        <f>'Stakeholder list'!J372</f>
        <v/>
      </c>
      <c r="J366" s="71">
        <f>'Stakeholder list'!K372</f>
        <v/>
      </c>
      <c r="K366" s="71">
        <f>'Stakeholder list'!L372</f>
        <v/>
      </c>
      <c r="L366" s="71">
        <f>'Stakeholder list'!M372</f>
        <v/>
      </c>
      <c r="M366" s="71">
        <f>'Stakeholder list'!N372</f>
        <v/>
      </c>
      <c r="N366" s="71">
        <f>'Stakeholder list'!O372</f>
        <v/>
      </c>
      <c r="O366" s="71">
        <f>'Stakeholder list'!P372</f>
        <v/>
      </c>
      <c r="P366" s="71">
        <f>'Stakeholder list'!Q372</f>
        <v/>
      </c>
      <c r="Q366" s="71">
        <f>'Stakeholder list'!R372</f>
        <v/>
      </c>
      <c r="R366" s="71">
        <f>'Stakeholder list'!S372</f>
        <v/>
      </c>
      <c r="S366" s="74" t="n"/>
      <c r="T366" s="74" t="n"/>
      <c r="U366" s="74" t="n"/>
      <c r="V366" s="74" t="n"/>
      <c r="W366" s="74" t="n"/>
    </row>
    <row r="367">
      <c r="A367" s="71">
        <f>'Stakeholder list'!B373</f>
        <v/>
      </c>
      <c r="B367" s="71">
        <f>'Stakeholder list'!C373</f>
        <v/>
      </c>
      <c r="C367" s="71">
        <f>'Stakeholder list'!D373</f>
        <v/>
      </c>
      <c r="D367" s="71">
        <f>'Stakeholder list'!E373</f>
        <v/>
      </c>
      <c r="E367" s="71">
        <f>'Stakeholder list'!F373</f>
        <v/>
      </c>
      <c r="F367" s="71">
        <f>'Stakeholder list'!G373</f>
        <v/>
      </c>
      <c r="G367" s="71">
        <f>'Stakeholder list'!H373</f>
        <v/>
      </c>
      <c r="H367" s="71">
        <f>'Stakeholder list'!I373</f>
        <v/>
      </c>
      <c r="I367" s="71">
        <f>'Stakeholder list'!J373</f>
        <v/>
      </c>
      <c r="J367" s="71">
        <f>'Stakeholder list'!K373</f>
        <v/>
      </c>
      <c r="K367" s="71">
        <f>'Stakeholder list'!L373</f>
        <v/>
      </c>
      <c r="L367" s="71">
        <f>'Stakeholder list'!M373</f>
        <v/>
      </c>
      <c r="M367" s="71">
        <f>'Stakeholder list'!N373</f>
        <v/>
      </c>
      <c r="N367" s="71">
        <f>'Stakeholder list'!O373</f>
        <v/>
      </c>
      <c r="O367" s="71">
        <f>'Stakeholder list'!P373</f>
        <v/>
      </c>
      <c r="P367" s="71">
        <f>'Stakeholder list'!Q373</f>
        <v/>
      </c>
      <c r="Q367" s="71">
        <f>'Stakeholder list'!R373</f>
        <v/>
      </c>
      <c r="R367" s="71">
        <f>'Stakeholder list'!S373</f>
        <v/>
      </c>
      <c r="S367" s="74" t="n"/>
      <c r="T367" s="74" t="n"/>
      <c r="U367" s="74" t="n"/>
      <c r="V367" s="74" t="n"/>
      <c r="W367" s="74" t="n"/>
    </row>
    <row r="368">
      <c r="A368" s="71">
        <f>'Stakeholder list'!B374</f>
        <v/>
      </c>
      <c r="B368" s="71">
        <f>'Stakeholder list'!C374</f>
        <v/>
      </c>
      <c r="C368" s="71">
        <f>'Stakeholder list'!D374</f>
        <v/>
      </c>
      <c r="D368" s="71">
        <f>'Stakeholder list'!E374</f>
        <v/>
      </c>
      <c r="E368" s="71">
        <f>'Stakeholder list'!F374</f>
        <v/>
      </c>
      <c r="F368" s="71">
        <f>'Stakeholder list'!G374</f>
        <v/>
      </c>
      <c r="G368" s="71">
        <f>'Stakeholder list'!H374</f>
        <v/>
      </c>
      <c r="H368" s="74" t="n"/>
      <c r="I368" s="74" t="n"/>
      <c r="J368" s="74" t="n"/>
      <c r="K368" s="74" t="n"/>
      <c r="L368" s="74" t="n"/>
      <c r="M368" s="74" t="n"/>
      <c r="N368" s="74" t="n"/>
      <c r="O368" s="74" t="n"/>
      <c r="P368" s="74" t="n"/>
      <c r="Q368" s="74" t="n"/>
      <c r="R368" s="74" t="n"/>
      <c r="S368" s="74" t="n"/>
      <c r="T368" s="74" t="n"/>
      <c r="U368" s="74" t="n"/>
      <c r="V368" s="74" t="n"/>
      <c r="W368" s="74" t="n"/>
    </row>
    <row r="369">
      <c r="A369" s="71">
        <f>'Stakeholder list'!B375</f>
        <v/>
      </c>
      <c r="B369" s="71">
        <f>'Stakeholder list'!C375</f>
        <v/>
      </c>
      <c r="C369" s="71">
        <f>'Stakeholder list'!D375</f>
        <v/>
      </c>
      <c r="D369" s="71">
        <f>'Stakeholder list'!E375</f>
        <v/>
      </c>
      <c r="E369" s="71">
        <f>'Stakeholder list'!F375</f>
        <v/>
      </c>
      <c r="F369" s="71">
        <f>'Stakeholder list'!G375</f>
        <v/>
      </c>
      <c r="G369" s="71">
        <f>'Stakeholder list'!H375</f>
        <v/>
      </c>
      <c r="H369" s="74" t="n"/>
      <c r="I369" s="74" t="n"/>
      <c r="J369" s="74" t="n"/>
      <c r="K369" s="74" t="n"/>
      <c r="L369" s="74" t="n"/>
      <c r="M369" s="74" t="n"/>
      <c r="N369" s="74" t="n"/>
      <c r="O369" s="74" t="n"/>
      <c r="P369" s="74" t="n"/>
      <c r="Q369" s="74" t="n"/>
      <c r="R369" s="74" t="n"/>
      <c r="S369" s="74" t="n"/>
      <c r="T369" s="74" t="n"/>
      <c r="U369" s="74" t="n"/>
      <c r="V369" s="74" t="n"/>
      <c r="W369" s="74" t="n"/>
    </row>
    <row r="370">
      <c r="A370" s="74" t="n"/>
      <c r="B370" s="74" t="n"/>
      <c r="C370" s="74" t="n"/>
      <c r="D370" s="74" t="n"/>
      <c r="E370" s="74" t="n"/>
      <c r="F370" s="74" t="n"/>
      <c r="G370" s="74" t="n"/>
      <c r="H370" s="74" t="n"/>
      <c r="I370" s="74" t="n"/>
      <c r="J370" s="74" t="n"/>
      <c r="K370" s="74" t="n"/>
      <c r="L370" s="74" t="n"/>
      <c r="M370" s="74" t="n"/>
      <c r="N370" s="74" t="n"/>
      <c r="O370" s="74" t="n"/>
      <c r="P370" s="74" t="n"/>
      <c r="Q370" s="74" t="n"/>
      <c r="R370" s="74" t="n"/>
      <c r="S370" s="74" t="n"/>
      <c r="T370" s="74" t="n"/>
      <c r="U370" s="74" t="n"/>
      <c r="V370" s="74" t="n"/>
      <c r="W370" s="74" t="n"/>
    </row>
    <row r="371">
      <c r="A371" s="74" t="n"/>
      <c r="B371" s="74" t="n"/>
      <c r="C371" s="74" t="n"/>
      <c r="D371" s="74" t="n"/>
      <c r="E371" s="74" t="n"/>
      <c r="F371" s="74" t="n"/>
      <c r="G371" s="74" t="n"/>
      <c r="H371" s="74" t="n"/>
      <c r="I371" s="74" t="n"/>
      <c r="J371" s="74" t="n"/>
      <c r="K371" s="74" t="n"/>
      <c r="L371" s="74" t="n"/>
      <c r="M371" s="74" t="n"/>
      <c r="N371" s="74" t="n"/>
      <c r="O371" s="74" t="n"/>
      <c r="P371" s="74" t="n"/>
      <c r="Q371" s="74" t="n"/>
      <c r="R371" s="74" t="n"/>
      <c r="S371" s="74" t="n"/>
      <c r="T371" s="74" t="n"/>
      <c r="U371" s="74" t="n"/>
      <c r="V371" s="74" t="n"/>
      <c r="W371" s="74" t="n"/>
    </row>
    <row r="372">
      <c r="A372" s="74" t="n"/>
      <c r="B372" s="74" t="n"/>
      <c r="C372" s="74" t="n"/>
      <c r="D372" s="74" t="n"/>
      <c r="E372" s="74" t="n"/>
      <c r="F372" s="74" t="n"/>
      <c r="G372" s="74" t="n"/>
      <c r="H372" s="74" t="n"/>
      <c r="I372" s="74" t="n"/>
      <c r="J372" s="74" t="n"/>
      <c r="K372" s="74" t="n"/>
      <c r="L372" s="74" t="n"/>
      <c r="M372" s="74" t="n"/>
      <c r="N372" s="74" t="n"/>
      <c r="O372" s="74" t="n"/>
      <c r="P372" s="74" t="n"/>
      <c r="Q372" s="74" t="n"/>
      <c r="R372" s="74" t="n"/>
      <c r="S372" s="74" t="n"/>
      <c r="T372" s="74" t="n"/>
      <c r="U372" s="74" t="n"/>
      <c r="V372" s="74" t="n"/>
      <c r="W372" s="74" t="n"/>
    </row>
    <row r="373">
      <c r="A373" s="74" t="n"/>
      <c r="B373" s="74" t="n"/>
      <c r="C373" s="74" t="n"/>
      <c r="D373" s="74" t="n"/>
      <c r="E373" s="74" t="n"/>
      <c r="F373" s="74" t="n"/>
      <c r="G373" s="74" t="n"/>
      <c r="H373" s="74" t="n"/>
      <c r="I373" s="74" t="n"/>
      <c r="J373" s="74" t="n"/>
      <c r="K373" s="74" t="n"/>
      <c r="L373" s="74" t="n"/>
      <c r="M373" s="74" t="n"/>
      <c r="N373" s="74" t="n"/>
      <c r="O373" s="74" t="n"/>
      <c r="P373" s="74" t="n"/>
      <c r="Q373" s="74" t="n"/>
      <c r="R373" s="74" t="n"/>
      <c r="S373" s="74" t="n"/>
      <c r="T373" s="74" t="n"/>
      <c r="U373" s="74" t="n"/>
      <c r="V373" s="74" t="n"/>
      <c r="W373" s="74" t="n"/>
    </row>
    <row r="374">
      <c r="A374" s="74" t="n"/>
      <c r="B374" s="74" t="n"/>
      <c r="C374" s="74" t="n"/>
      <c r="D374" s="74" t="n"/>
      <c r="E374" s="74" t="n"/>
      <c r="F374" s="74" t="n"/>
      <c r="G374" s="74" t="n"/>
      <c r="H374" s="74" t="n"/>
      <c r="I374" s="74" t="n"/>
      <c r="J374" s="74" t="n"/>
      <c r="K374" s="74" t="n"/>
      <c r="L374" s="74" t="n"/>
      <c r="M374" s="74" t="n"/>
      <c r="N374" s="74" t="n"/>
      <c r="O374" s="74" t="n"/>
      <c r="P374" s="74" t="n"/>
      <c r="Q374" s="74" t="n"/>
      <c r="R374" s="74" t="n"/>
      <c r="S374" s="74" t="n"/>
      <c r="T374" s="74" t="n"/>
      <c r="U374" s="74" t="n"/>
      <c r="V374" s="74" t="n"/>
      <c r="W374" s="74" t="n"/>
    </row>
    <row r="375">
      <c r="A375" s="74" t="n"/>
      <c r="B375" s="74" t="n"/>
      <c r="C375" s="74" t="n"/>
      <c r="D375" s="74" t="n"/>
      <c r="E375" s="74" t="n"/>
      <c r="F375" s="74" t="n"/>
      <c r="G375" s="74" t="n"/>
      <c r="H375" s="74" t="n"/>
      <c r="I375" s="74" t="n"/>
      <c r="J375" s="74" t="n"/>
      <c r="K375" s="74" t="n"/>
      <c r="L375" s="74" t="n"/>
      <c r="M375" s="74" t="n"/>
      <c r="N375" s="74" t="n"/>
      <c r="O375" s="74" t="n"/>
      <c r="P375" s="74" t="n"/>
      <c r="Q375" s="74" t="n"/>
      <c r="R375" s="74" t="n"/>
      <c r="S375" s="74" t="n"/>
      <c r="T375" s="74" t="n"/>
      <c r="U375" s="74" t="n"/>
      <c r="V375" s="74" t="n"/>
      <c r="W375" s="74" t="n"/>
    </row>
    <row r="376">
      <c r="A376" s="74" t="n"/>
      <c r="B376" s="74" t="n"/>
      <c r="C376" s="74" t="n"/>
      <c r="D376" s="74" t="n"/>
      <c r="E376" s="74" t="n"/>
      <c r="F376" s="74" t="n"/>
      <c r="G376" s="74" t="n"/>
      <c r="H376" s="74" t="n"/>
      <c r="I376" s="74" t="n"/>
      <c r="J376" s="74" t="n"/>
      <c r="K376" s="74" t="n"/>
      <c r="L376" s="74" t="n"/>
      <c r="M376" s="74" t="n"/>
      <c r="N376" s="74" t="n"/>
      <c r="O376" s="74" t="n"/>
      <c r="P376" s="74" t="n"/>
      <c r="Q376" s="74" t="n"/>
      <c r="R376" s="74" t="n"/>
      <c r="S376" s="74" t="n"/>
      <c r="T376" s="74" t="n"/>
      <c r="U376" s="74" t="n"/>
      <c r="V376" s="74" t="n"/>
      <c r="W376" s="74" t="n"/>
    </row>
    <row r="377">
      <c r="A377" s="74" t="n"/>
      <c r="B377" s="74" t="n"/>
      <c r="C377" s="74" t="n"/>
      <c r="D377" s="74" t="n"/>
      <c r="E377" s="74" t="n"/>
      <c r="F377" s="74" t="n"/>
      <c r="G377" s="74" t="n"/>
      <c r="H377" s="74" t="n"/>
      <c r="I377" s="74" t="n"/>
      <c r="J377" s="74" t="n"/>
      <c r="K377" s="74" t="n"/>
      <c r="L377" s="74" t="n"/>
      <c r="M377" s="74" t="n"/>
      <c r="N377" s="74" t="n"/>
      <c r="O377" s="74" t="n"/>
      <c r="P377" s="74" t="n"/>
      <c r="Q377" s="74" t="n"/>
      <c r="R377" s="74" t="n"/>
      <c r="S377" s="74" t="n"/>
      <c r="T377" s="74" t="n"/>
      <c r="U377" s="74" t="n"/>
      <c r="V377" s="74" t="n"/>
      <c r="W377" s="74" t="n"/>
    </row>
    <row r="378">
      <c r="A378" s="74" t="n"/>
      <c r="B378" s="74" t="n"/>
      <c r="C378" s="74" t="n"/>
      <c r="D378" s="74" t="n"/>
      <c r="E378" s="74" t="n"/>
      <c r="F378" s="74" t="n"/>
      <c r="G378" s="74" t="n"/>
      <c r="H378" s="74" t="n"/>
      <c r="I378" s="74" t="n"/>
      <c r="J378" s="74" t="n"/>
      <c r="K378" s="74" t="n"/>
      <c r="L378" s="74" t="n"/>
      <c r="M378" s="74" t="n"/>
      <c r="N378" s="74" t="n"/>
      <c r="O378" s="74" t="n"/>
      <c r="P378" s="74" t="n"/>
      <c r="Q378" s="74" t="n"/>
      <c r="R378" s="74" t="n"/>
      <c r="S378" s="74" t="n"/>
      <c r="T378" s="74" t="n"/>
      <c r="U378" s="74" t="n"/>
      <c r="V378" s="74" t="n"/>
      <c r="W378" s="74" t="n"/>
    </row>
    <row r="379">
      <c r="A379" s="74" t="n"/>
      <c r="B379" s="74" t="n"/>
      <c r="C379" s="74" t="n"/>
      <c r="D379" s="74" t="n"/>
      <c r="E379" s="74" t="n"/>
      <c r="F379" s="74" t="n"/>
      <c r="G379" s="74" t="n"/>
      <c r="H379" s="74" t="n"/>
      <c r="I379" s="74" t="n"/>
      <c r="J379" s="74" t="n"/>
      <c r="K379" s="74" t="n"/>
      <c r="L379" s="74" t="n"/>
      <c r="M379" s="74" t="n"/>
      <c r="N379" s="74" t="n"/>
      <c r="O379" s="74" t="n"/>
      <c r="P379" s="74" t="n"/>
      <c r="Q379" s="74" t="n"/>
      <c r="R379" s="74" t="n"/>
      <c r="S379" s="74" t="n"/>
      <c r="T379" s="74" t="n"/>
      <c r="U379" s="74" t="n"/>
      <c r="V379" s="74" t="n"/>
      <c r="W379" s="74" t="n"/>
    </row>
    <row r="380">
      <c r="A380" s="74" t="n"/>
      <c r="B380" s="74" t="n"/>
      <c r="C380" s="74" t="n"/>
      <c r="D380" s="74" t="n"/>
      <c r="E380" s="74" t="n"/>
      <c r="F380" s="74" t="n"/>
      <c r="G380" s="74" t="n"/>
      <c r="H380" s="74" t="n"/>
      <c r="I380" s="74" t="n"/>
      <c r="J380" s="74" t="n"/>
      <c r="K380" s="74" t="n"/>
      <c r="L380" s="74" t="n"/>
      <c r="M380" s="74" t="n"/>
      <c r="N380" s="74" t="n"/>
      <c r="O380" s="74" t="n"/>
      <c r="P380" s="74" t="n"/>
      <c r="Q380" s="74" t="n"/>
      <c r="R380" s="74" t="n"/>
      <c r="S380" s="74" t="n"/>
      <c r="T380" s="74" t="n"/>
      <c r="U380" s="74" t="n"/>
      <c r="V380" s="74" t="n"/>
      <c r="W380" s="74" t="n"/>
    </row>
    <row r="381">
      <c r="A381" s="74" t="n"/>
      <c r="B381" s="74" t="n"/>
      <c r="C381" s="74" t="n"/>
      <c r="D381" s="74" t="n"/>
      <c r="E381" s="74" t="n"/>
      <c r="F381" s="74" t="n"/>
      <c r="G381" s="74" t="n"/>
      <c r="H381" s="74" t="n"/>
      <c r="I381" s="74" t="n"/>
      <c r="J381" s="74" t="n"/>
      <c r="K381" s="74" t="n"/>
      <c r="L381" s="74" t="n"/>
      <c r="M381" s="74" t="n"/>
      <c r="N381" s="74" t="n"/>
      <c r="O381" s="74" t="n"/>
      <c r="P381" s="74" t="n"/>
      <c r="Q381" s="74" t="n"/>
      <c r="R381" s="74" t="n"/>
      <c r="S381" s="74" t="n"/>
      <c r="T381" s="74" t="n"/>
      <c r="U381" s="74" t="n"/>
      <c r="V381" s="74" t="n"/>
      <c r="W381" s="74" t="n"/>
    </row>
    <row r="382">
      <c r="A382" s="74" t="n"/>
      <c r="B382" s="74" t="n"/>
      <c r="C382" s="74" t="n"/>
      <c r="D382" s="74" t="n"/>
      <c r="E382" s="74" t="n"/>
      <c r="F382" s="74" t="n"/>
      <c r="G382" s="74" t="n"/>
      <c r="H382" s="74" t="n"/>
      <c r="I382" s="74" t="n"/>
      <c r="J382" s="74" t="n"/>
      <c r="K382" s="74" t="n"/>
      <c r="L382" s="74" t="n"/>
      <c r="M382" s="74" t="n"/>
      <c r="N382" s="74" t="n"/>
      <c r="O382" s="74" t="n"/>
      <c r="P382" s="74" t="n"/>
      <c r="Q382" s="74" t="n"/>
      <c r="R382" s="74" t="n"/>
      <c r="S382" s="74" t="n"/>
      <c r="T382" s="74" t="n"/>
      <c r="U382" s="74" t="n"/>
      <c r="V382" s="74" t="n"/>
      <c r="W382" s="74" t="n"/>
    </row>
    <row r="383">
      <c r="A383" s="74" t="n"/>
      <c r="B383" s="74" t="n"/>
      <c r="C383" s="74" t="n"/>
      <c r="D383" s="74" t="n"/>
      <c r="E383" s="74" t="n"/>
      <c r="F383" s="74" t="n"/>
      <c r="G383" s="74" t="n"/>
      <c r="H383" s="74" t="n"/>
      <c r="I383" s="74" t="n"/>
      <c r="J383" s="74" t="n"/>
      <c r="K383" s="74" t="n"/>
      <c r="L383" s="74" t="n"/>
      <c r="M383" s="74" t="n"/>
      <c r="N383" s="74" t="n"/>
      <c r="O383" s="74" t="n"/>
      <c r="P383" s="74" t="n"/>
      <c r="Q383" s="74" t="n"/>
      <c r="R383" s="74" t="n"/>
      <c r="S383" s="74" t="n"/>
      <c r="T383" s="74" t="n"/>
      <c r="U383" s="74" t="n"/>
      <c r="V383" s="74" t="n"/>
      <c r="W383" s="74" t="n"/>
    </row>
    <row r="384">
      <c r="A384" s="74" t="n"/>
      <c r="B384" s="74" t="n"/>
      <c r="C384" s="74" t="n"/>
      <c r="D384" s="74" t="n"/>
      <c r="E384" s="74" t="n"/>
      <c r="F384" s="74" t="n"/>
      <c r="G384" s="74" t="n"/>
      <c r="H384" s="74" t="n"/>
      <c r="I384" s="74" t="n"/>
      <c r="J384" s="74" t="n"/>
      <c r="K384" s="74" t="n"/>
      <c r="L384" s="74" t="n"/>
      <c r="M384" s="74" t="n"/>
      <c r="N384" s="74" t="n"/>
      <c r="O384" s="74" t="n"/>
      <c r="P384" s="74" t="n"/>
      <c r="Q384" s="74" t="n"/>
      <c r="R384" s="74" t="n"/>
      <c r="S384" s="74" t="n"/>
      <c r="T384" s="74" t="n"/>
      <c r="U384" s="74" t="n"/>
      <c r="V384" s="74" t="n"/>
      <c r="W384" s="74" t="n"/>
    </row>
    <row r="385">
      <c r="A385" s="74" t="n"/>
      <c r="B385" s="74" t="n"/>
      <c r="C385" s="74" t="n"/>
      <c r="D385" s="74" t="n"/>
      <c r="E385" s="74" t="n"/>
      <c r="F385" s="74" t="n"/>
      <c r="G385" s="74" t="n"/>
      <c r="H385" s="74" t="n"/>
      <c r="I385" s="74" t="n"/>
      <c r="J385" s="74" t="n"/>
      <c r="K385" s="74" t="n"/>
      <c r="L385" s="74" t="n"/>
      <c r="M385" s="74" t="n"/>
      <c r="N385" s="74" t="n"/>
      <c r="O385" s="74" t="n"/>
      <c r="P385" s="74" t="n"/>
      <c r="Q385" s="74" t="n"/>
      <c r="R385" s="74" t="n"/>
      <c r="S385" s="74" t="n"/>
      <c r="T385" s="74" t="n"/>
      <c r="U385" s="74" t="n"/>
      <c r="V385" s="74" t="n"/>
      <c r="W385" s="74" t="n"/>
    </row>
    <row r="386">
      <c r="A386" s="74" t="n"/>
      <c r="B386" s="74" t="n"/>
      <c r="C386" s="74" t="n"/>
      <c r="D386" s="74" t="n"/>
      <c r="E386" s="74" t="n"/>
      <c r="F386" s="74" t="n"/>
      <c r="G386" s="74" t="n"/>
      <c r="H386" s="74" t="n"/>
      <c r="I386" s="74" t="n"/>
      <c r="J386" s="74" t="n"/>
      <c r="K386" s="74" t="n"/>
      <c r="L386" s="74" t="n"/>
      <c r="M386" s="74" t="n"/>
      <c r="N386" s="74" t="n"/>
      <c r="O386" s="74" t="n"/>
      <c r="P386" s="74" t="n"/>
      <c r="Q386" s="74" t="n"/>
      <c r="R386" s="74" t="n"/>
      <c r="S386" s="74" t="n"/>
      <c r="T386" s="74" t="n"/>
      <c r="U386" s="74" t="n"/>
      <c r="V386" s="74" t="n"/>
      <c r="W386" s="74" t="n"/>
    </row>
    <row r="387">
      <c r="A387" s="74" t="n"/>
      <c r="B387" s="74" t="n"/>
      <c r="C387" s="74" t="n"/>
      <c r="D387" s="74" t="n"/>
      <c r="E387" s="74" t="n"/>
      <c r="F387" s="74" t="n"/>
      <c r="G387" s="74" t="n"/>
      <c r="H387" s="74" t="n"/>
      <c r="I387" s="74" t="n"/>
      <c r="J387" s="74" t="n"/>
      <c r="K387" s="74" t="n"/>
      <c r="L387" s="74" t="n"/>
      <c r="M387" s="74" t="n"/>
      <c r="N387" s="74" t="n"/>
      <c r="O387" s="74" t="n"/>
      <c r="P387" s="74" t="n"/>
      <c r="Q387" s="74" t="n"/>
      <c r="R387" s="74" t="n"/>
      <c r="S387" s="74" t="n"/>
      <c r="T387" s="74" t="n"/>
      <c r="U387" s="74" t="n"/>
      <c r="V387" s="74" t="n"/>
      <c r="W387" s="74" t="n"/>
    </row>
    <row r="388">
      <c r="A388" s="74" t="n"/>
      <c r="B388" s="74" t="n"/>
      <c r="C388" s="74" t="n"/>
      <c r="D388" s="74" t="n"/>
      <c r="E388" s="74" t="n"/>
      <c r="F388" s="74" t="n"/>
      <c r="G388" s="74" t="n"/>
      <c r="H388" s="74" t="n"/>
      <c r="I388" s="74" t="n"/>
      <c r="J388" s="74" t="n"/>
      <c r="K388" s="74" t="n"/>
      <c r="L388" s="74" t="n"/>
      <c r="M388" s="74" t="n"/>
      <c r="N388" s="74" t="n"/>
      <c r="O388" s="74" t="n"/>
      <c r="P388" s="74" t="n"/>
      <c r="Q388" s="74" t="n"/>
      <c r="R388" s="74" t="n"/>
      <c r="S388" s="74" t="n"/>
      <c r="T388" s="74" t="n"/>
      <c r="U388" s="74" t="n"/>
      <c r="V388" s="74" t="n"/>
      <c r="W388" s="74" t="n"/>
    </row>
    <row r="389">
      <c r="A389" s="74" t="n"/>
      <c r="B389" s="74" t="n"/>
      <c r="C389" s="74" t="n"/>
      <c r="D389" s="74" t="n"/>
      <c r="E389" s="74" t="n"/>
      <c r="F389" s="74" t="n"/>
      <c r="G389" s="74" t="n"/>
      <c r="H389" s="74" t="n"/>
      <c r="I389" s="74" t="n"/>
      <c r="J389" s="74" t="n"/>
      <c r="K389" s="74" t="n"/>
      <c r="L389" s="74" t="n"/>
      <c r="M389" s="74" t="n"/>
      <c r="N389" s="74" t="n"/>
      <c r="O389" s="74" t="n"/>
      <c r="P389" s="74" t="n"/>
      <c r="Q389" s="74" t="n"/>
      <c r="R389" s="74" t="n"/>
      <c r="S389" s="74" t="n"/>
      <c r="T389" s="74" t="n"/>
      <c r="U389" s="74" t="n"/>
      <c r="V389" s="74" t="n"/>
      <c r="W389" s="74" t="n"/>
    </row>
    <row r="390">
      <c r="A390" s="74" t="n"/>
      <c r="B390" s="74" t="n"/>
      <c r="C390" s="74" t="n"/>
      <c r="D390" s="74" t="n"/>
      <c r="E390" s="74" t="n"/>
      <c r="F390" s="74" t="n"/>
      <c r="G390" s="74" t="n"/>
      <c r="H390" s="74" t="n"/>
      <c r="I390" s="74" t="n"/>
      <c r="J390" s="74" t="n"/>
      <c r="K390" s="74" t="n"/>
      <c r="L390" s="74" t="n"/>
      <c r="M390" s="74" t="n"/>
      <c r="N390" s="74" t="n"/>
      <c r="O390" s="74" t="n"/>
      <c r="P390" s="74" t="n"/>
      <c r="Q390" s="74" t="n"/>
      <c r="R390" s="74" t="n"/>
      <c r="S390" s="74" t="n"/>
      <c r="T390" s="74" t="n"/>
      <c r="U390" s="74" t="n"/>
      <c r="V390" s="74" t="n"/>
      <c r="W390" s="74" t="n"/>
    </row>
    <row r="391">
      <c r="A391" s="74" t="n"/>
      <c r="B391" s="74" t="n"/>
      <c r="C391" s="74" t="n"/>
      <c r="D391" s="74" t="n"/>
      <c r="E391" s="74" t="n"/>
      <c r="F391" s="74" t="n"/>
      <c r="G391" s="74" t="n"/>
      <c r="H391" s="74" t="n"/>
      <c r="I391" s="74" t="n"/>
      <c r="J391" s="74" t="n"/>
      <c r="K391" s="74" t="n"/>
      <c r="L391" s="74" t="n"/>
      <c r="M391" s="74" t="n"/>
      <c r="N391" s="74" t="n"/>
      <c r="O391" s="74" t="n"/>
      <c r="P391" s="74" t="n"/>
      <c r="Q391" s="74" t="n"/>
      <c r="R391" s="74" t="n"/>
      <c r="S391" s="74" t="n"/>
      <c r="T391" s="74" t="n"/>
      <c r="U391" s="74" t="n"/>
      <c r="V391" s="74" t="n"/>
      <c r="W391" s="74" t="n"/>
    </row>
    <row r="392">
      <c r="A392" s="74" t="n"/>
      <c r="B392" s="74" t="n"/>
      <c r="C392" s="74" t="n"/>
      <c r="D392" s="74" t="n"/>
      <c r="E392" s="74" t="n"/>
      <c r="F392" s="74" t="n"/>
      <c r="G392" s="74" t="n"/>
      <c r="H392" s="74" t="n"/>
      <c r="I392" s="74" t="n"/>
      <c r="J392" s="74" t="n"/>
      <c r="K392" s="74" t="n"/>
      <c r="L392" s="74" t="n"/>
      <c r="M392" s="74" t="n"/>
      <c r="N392" s="74" t="n"/>
      <c r="O392" s="74" t="n"/>
      <c r="P392" s="74" t="n"/>
      <c r="Q392" s="74" t="n"/>
      <c r="R392" s="74" t="n"/>
      <c r="S392" s="74" t="n"/>
      <c r="T392" s="74" t="n"/>
      <c r="U392" s="74" t="n"/>
      <c r="V392" s="74" t="n"/>
      <c r="W392" s="74" t="n"/>
    </row>
    <row r="393">
      <c r="A393" s="74" t="n"/>
      <c r="B393" s="74" t="n"/>
      <c r="C393" s="74" t="n"/>
      <c r="D393" s="74" t="n"/>
      <c r="E393" s="74" t="n"/>
      <c r="F393" s="74" t="n"/>
      <c r="G393" s="74" t="n"/>
      <c r="H393" s="74" t="n"/>
      <c r="I393" s="74" t="n"/>
      <c r="J393" s="74" t="n"/>
      <c r="K393" s="74" t="n"/>
      <c r="L393" s="74" t="n"/>
      <c r="M393" s="74" t="n"/>
      <c r="N393" s="74" t="n"/>
      <c r="O393" s="74" t="n"/>
      <c r="P393" s="74" t="n"/>
      <c r="Q393" s="74" t="n"/>
      <c r="R393" s="74" t="n"/>
      <c r="S393" s="74" t="n"/>
      <c r="T393" s="74" t="n"/>
      <c r="U393" s="74" t="n"/>
      <c r="V393" s="74" t="n"/>
      <c r="W393" s="74" t="n"/>
    </row>
    <row r="394">
      <c r="A394" s="74" t="n"/>
      <c r="B394" s="74" t="n"/>
      <c r="C394" s="74" t="n"/>
      <c r="D394" s="74" t="n"/>
      <c r="E394" s="74" t="n"/>
      <c r="F394" s="74" t="n"/>
      <c r="G394" s="74" t="n"/>
      <c r="H394" s="74" t="n"/>
      <c r="I394" s="74" t="n"/>
      <c r="J394" s="74" t="n"/>
      <c r="K394" s="74" t="n"/>
      <c r="L394" s="74" t="n"/>
      <c r="M394" s="74" t="n"/>
      <c r="N394" s="74" t="n"/>
      <c r="O394" s="74" t="n"/>
      <c r="P394" s="74" t="n"/>
      <c r="Q394" s="74" t="n"/>
      <c r="R394" s="74" t="n"/>
      <c r="S394" s="74" t="n"/>
      <c r="T394" s="74" t="n"/>
      <c r="U394" s="74" t="n"/>
      <c r="V394" s="74" t="n"/>
      <c r="W394" s="74" t="n"/>
    </row>
    <row r="395">
      <c r="A395" s="74" t="n"/>
      <c r="B395" s="74" t="n"/>
      <c r="C395" s="74" t="n"/>
      <c r="D395" s="74" t="n"/>
      <c r="E395" s="74" t="n"/>
      <c r="F395" s="74" t="n"/>
      <c r="G395" s="74" t="n"/>
      <c r="H395" s="74" t="n"/>
      <c r="I395" s="74" t="n"/>
      <c r="J395" s="74" t="n"/>
      <c r="K395" s="74" t="n"/>
      <c r="L395" s="74" t="n"/>
      <c r="M395" s="74" t="n"/>
      <c r="N395" s="74" t="n"/>
      <c r="O395" s="74" t="n"/>
      <c r="P395" s="74" t="n"/>
      <c r="Q395" s="74" t="n"/>
      <c r="R395" s="74" t="n"/>
      <c r="S395" s="74" t="n"/>
      <c r="T395" s="74" t="n"/>
      <c r="U395" s="74" t="n"/>
      <c r="V395" s="74" t="n"/>
      <c r="W395" s="74" t="n"/>
    </row>
    <row r="396">
      <c r="A396" s="74" t="n"/>
      <c r="B396" s="74" t="n"/>
      <c r="C396" s="74" t="n"/>
      <c r="D396" s="74" t="n"/>
      <c r="E396" s="74" t="n"/>
      <c r="F396" s="74" t="n"/>
      <c r="G396" s="74" t="n"/>
      <c r="H396" s="74" t="n"/>
      <c r="I396" s="74" t="n"/>
      <c r="J396" s="74" t="n"/>
      <c r="K396" s="74" t="n"/>
      <c r="L396" s="74" t="n"/>
      <c r="M396" s="74" t="n"/>
      <c r="N396" s="74" t="n"/>
      <c r="O396" s="74" t="n"/>
      <c r="P396" s="74" t="n"/>
      <c r="Q396" s="74" t="n"/>
      <c r="R396" s="74" t="n"/>
      <c r="S396" s="74" t="n"/>
      <c r="T396" s="74" t="n"/>
      <c r="U396" s="74" t="n"/>
      <c r="V396" s="74" t="n"/>
      <c r="W396" s="74" t="n"/>
    </row>
    <row r="397">
      <c r="A397" s="74" t="n"/>
      <c r="B397" s="74" t="n"/>
      <c r="C397" s="74" t="n"/>
      <c r="D397" s="74" t="n"/>
      <c r="E397" s="74" t="n"/>
      <c r="F397" s="74" t="n"/>
      <c r="G397" s="74" t="n"/>
      <c r="H397" s="74" t="n"/>
      <c r="I397" s="74" t="n"/>
      <c r="J397" s="74" t="n"/>
      <c r="K397" s="74" t="n"/>
      <c r="L397" s="74" t="n"/>
      <c r="M397" s="74" t="n"/>
      <c r="N397" s="74" t="n"/>
      <c r="O397" s="74" t="n"/>
      <c r="P397" s="74" t="n"/>
      <c r="Q397" s="74" t="n"/>
      <c r="R397" s="74" t="n"/>
      <c r="S397" s="74" t="n"/>
      <c r="T397" s="74" t="n"/>
      <c r="U397" s="74" t="n"/>
      <c r="V397" s="74" t="n"/>
      <c r="W397" s="74" t="n"/>
    </row>
    <row r="398">
      <c r="A398" s="74" t="n"/>
      <c r="B398" s="74" t="n"/>
      <c r="C398" s="74" t="n"/>
      <c r="D398" s="74" t="n"/>
      <c r="E398" s="74" t="n"/>
      <c r="F398" s="74" t="n"/>
      <c r="G398" s="74" t="n"/>
      <c r="H398" s="74" t="n"/>
      <c r="I398" s="74" t="n"/>
      <c r="J398" s="74" t="n"/>
      <c r="K398" s="74" t="n"/>
      <c r="L398" s="74" t="n"/>
      <c r="M398" s="74" t="n"/>
      <c r="N398" s="74" t="n"/>
      <c r="O398" s="74" t="n"/>
      <c r="P398" s="74" t="n"/>
      <c r="Q398" s="74" t="n"/>
      <c r="R398" s="74" t="n"/>
      <c r="S398" s="74" t="n"/>
      <c r="T398" s="74" t="n"/>
      <c r="U398" s="74" t="n"/>
      <c r="V398" s="74" t="n"/>
      <c r="W398" s="74" t="n"/>
    </row>
    <row r="399">
      <c r="A399" s="74" t="n"/>
      <c r="B399" s="74" t="n"/>
      <c r="C399" s="74" t="n"/>
      <c r="D399" s="74" t="n"/>
      <c r="E399" s="74" t="n"/>
      <c r="F399" s="74" t="n"/>
      <c r="G399" s="74" t="n"/>
      <c r="H399" s="74" t="n"/>
      <c r="I399" s="74" t="n"/>
      <c r="J399" s="74" t="n"/>
      <c r="K399" s="74" t="n"/>
      <c r="L399" s="74" t="n"/>
      <c r="M399" s="74" t="n"/>
      <c r="N399" s="74" t="n"/>
      <c r="O399" s="74" t="n"/>
      <c r="P399" s="74" t="n"/>
      <c r="Q399" s="74" t="n"/>
      <c r="R399" s="74" t="n"/>
      <c r="S399" s="74" t="n"/>
      <c r="T399" s="74" t="n"/>
      <c r="U399" s="74" t="n"/>
      <c r="V399" s="74" t="n"/>
      <c r="W399" s="74" t="n"/>
    </row>
    <row r="400">
      <c r="A400" s="74" t="n"/>
      <c r="B400" s="74" t="n"/>
      <c r="C400" s="74" t="n"/>
      <c r="D400" s="74" t="n"/>
      <c r="E400" s="74" t="n"/>
      <c r="F400" s="74" t="n"/>
      <c r="G400" s="74" t="n"/>
      <c r="H400" s="74" t="n"/>
      <c r="I400" s="74" t="n"/>
      <c r="J400" s="74" t="n"/>
      <c r="K400" s="74" t="n"/>
      <c r="L400" s="74" t="n"/>
      <c r="M400" s="74" t="n"/>
      <c r="N400" s="74" t="n"/>
      <c r="O400" s="74" t="n"/>
      <c r="P400" s="74" t="n"/>
      <c r="Q400" s="74" t="n"/>
      <c r="R400" s="74" t="n"/>
      <c r="S400" s="74" t="n"/>
      <c r="T400" s="74" t="n"/>
      <c r="U400" s="74" t="n"/>
      <c r="V400" s="74" t="n"/>
      <c r="W400" s="74" t="n"/>
    </row>
    <row r="401">
      <c r="A401" s="74" t="n"/>
      <c r="B401" s="74" t="n"/>
      <c r="C401" s="74" t="n"/>
      <c r="D401" s="74" t="n"/>
      <c r="E401" s="74" t="n"/>
      <c r="F401" s="74" t="n"/>
      <c r="G401" s="74" t="n"/>
      <c r="H401" s="74" t="n"/>
      <c r="I401" s="74" t="n"/>
      <c r="J401" s="74" t="n"/>
      <c r="K401" s="74" t="n"/>
      <c r="L401" s="74" t="n"/>
      <c r="M401" s="74" t="n"/>
      <c r="N401" s="74" t="n"/>
      <c r="O401" s="74" t="n"/>
      <c r="P401" s="74" t="n"/>
      <c r="Q401" s="74" t="n"/>
      <c r="R401" s="74" t="n"/>
      <c r="S401" s="74" t="n"/>
      <c r="T401" s="74" t="n"/>
      <c r="U401" s="74" t="n"/>
      <c r="V401" s="74" t="n"/>
      <c r="W401" s="74" t="n"/>
    </row>
    <row r="402">
      <c r="A402" s="74" t="n"/>
      <c r="B402" s="74" t="n"/>
      <c r="C402" s="74" t="n"/>
      <c r="D402" s="74" t="n"/>
      <c r="E402" s="74" t="n"/>
      <c r="F402" s="74" t="n"/>
      <c r="G402" s="74" t="n"/>
      <c r="H402" s="74" t="n"/>
      <c r="I402" s="74" t="n"/>
      <c r="J402" s="74" t="n"/>
      <c r="K402" s="74" t="n"/>
      <c r="L402" s="74" t="n"/>
      <c r="M402" s="74" t="n"/>
      <c r="N402" s="74" t="n"/>
      <c r="O402" s="74" t="n"/>
      <c r="P402" s="74" t="n"/>
      <c r="Q402" s="74" t="n"/>
      <c r="R402" s="74" t="n"/>
      <c r="S402" s="74" t="n"/>
      <c r="T402" s="74" t="n"/>
      <c r="U402" s="74" t="n"/>
      <c r="V402" s="74" t="n"/>
      <c r="W402" s="74" t="n"/>
    </row>
    <row r="403">
      <c r="A403" s="74" t="n"/>
      <c r="B403" s="74" t="n"/>
      <c r="C403" s="74" t="n"/>
      <c r="D403" s="74" t="n"/>
      <c r="E403" s="74" t="n"/>
      <c r="F403" s="74" t="n"/>
      <c r="G403" s="74" t="n"/>
      <c r="H403" s="74" t="n"/>
      <c r="I403" s="74" t="n"/>
      <c r="J403" s="74" t="n"/>
      <c r="K403" s="74" t="n"/>
      <c r="L403" s="74" t="n"/>
      <c r="M403" s="74" t="n"/>
      <c r="N403" s="74" t="n"/>
      <c r="O403" s="74" t="n"/>
      <c r="P403" s="74" t="n"/>
      <c r="Q403" s="74" t="n"/>
      <c r="R403" s="74" t="n"/>
      <c r="S403" s="74" t="n"/>
      <c r="T403" s="74" t="n"/>
      <c r="U403" s="74" t="n"/>
      <c r="V403" s="74" t="n"/>
      <c r="W403" s="74" t="n"/>
    </row>
    <row r="404">
      <c r="A404" s="74" t="n"/>
      <c r="B404" s="74" t="n"/>
      <c r="C404" s="74" t="n"/>
      <c r="D404" s="74" t="n"/>
      <c r="E404" s="74" t="n"/>
      <c r="F404" s="74" t="n"/>
      <c r="G404" s="74" t="n"/>
      <c r="H404" s="74" t="n"/>
      <c r="I404" s="74" t="n"/>
      <c r="J404" s="74" t="n"/>
      <c r="K404" s="74" t="n"/>
      <c r="L404" s="74" t="n"/>
      <c r="M404" s="74" t="n"/>
      <c r="N404" s="74" t="n"/>
      <c r="O404" s="74" t="n"/>
      <c r="P404" s="74" t="n"/>
      <c r="Q404" s="74" t="n"/>
      <c r="R404" s="74" t="n"/>
      <c r="S404" s="74" t="n"/>
      <c r="T404" s="74" t="n"/>
      <c r="U404" s="74" t="n"/>
      <c r="V404" s="74" t="n"/>
      <c r="W404" s="74" t="n"/>
    </row>
    <row r="405">
      <c r="A405" s="74" t="n"/>
      <c r="B405" s="74" t="n"/>
      <c r="C405" s="74" t="n"/>
      <c r="D405" s="74" t="n"/>
      <c r="E405" s="74" t="n"/>
      <c r="F405" s="74" t="n"/>
      <c r="G405" s="74" t="n"/>
      <c r="H405" s="74" t="n"/>
      <c r="I405" s="74" t="n"/>
      <c r="J405" s="74" t="n"/>
      <c r="K405" s="74" t="n"/>
      <c r="L405" s="74" t="n"/>
      <c r="M405" s="74" t="n"/>
      <c r="N405" s="74" t="n"/>
      <c r="O405" s="74" t="n"/>
      <c r="P405" s="74" t="n"/>
      <c r="Q405" s="74" t="n"/>
      <c r="R405" s="74" t="n"/>
      <c r="S405" s="74" t="n"/>
      <c r="T405" s="74" t="n"/>
      <c r="U405" s="74" t="n"/>
      <c r="V405" s="74" t="n"/>
      <c r="W405" s="74" t="n"/>
    </row>
    <row r="406">
      <c r="A406" s="74" t="n"/>
      <c r="B406" s="74" t="n"/>
      <c r="C406" s="74" t="n"/>
      <c r="D406" s="74" t="n"/>
      <c r="E406" s="74" t="n"/>
      <c r="F406" s="74" t="n"/>
      <c r="G406" s="74" t="n"/>
      <c r="H406" s="74" t="n"/>
      <c r="I406" s="74" t="n"/>
      <c r="J406" s="74" t="n"/>
      <c r="K406" s="74" t="n"/>
      <c r="L406" s="74" t="n"/>
      <c r="M406" s="74" t="n"/>
      <c r="N406" s="74" t="n"/>
      <c r="O406" s="74" t="n"/>
      <c r="P406" s="74" t="n"/>
      <c r="Q406" s="74" t="n"/>
      <c r="R406" s="74" t="n"/>
      <c r="S406" s="74" t="n"/>
      <c r="T406" s="74" t="n"/>
      <c r="U406" s="74" t="n"/>
      <c r="V406" s="74" t="n"/>
      <c r="W406" s="74" t="n"/>
    </row>
    <row r="407">
      <c r="A407" s="74" t="n"/>
      <c r="B407" s="74" t="n"/>
      <c r="C407" s="74" t="n"/>
      <c r="D407" s="74" t="n"/>
      <c r="E407" s="74" t="n"/>
      <c r="F407" s="74" t="n"/>
      <c r="G407" s="74" t="n"/>
      <c r="H407" s="74" t="n"/>
      <c r="I407" s="74" t="n"/>
      <c r="J407" s="74" t="n"/>
      <c r="K407" s="74" t="n"/>
      <c r="L407" s="74" t="n"/>
      <c r="M407" s="74" t="n"/>
      <c r="N407" s="74" t="n"/>
      <c r="O407" s="74" t="n"/>
      <c r="P407" s="74" t="n"/>
      <c r="Q407" s="74" t="n"/>
      <c r="R407" s="74" t="n"/>
      <c r="S407" s="74" t="n"/>
      <c r="T407" s="74" t="n"/>
      <c r="U407" s="74" t="n"/>
      <c r="V407" s="74" t="n"/>
      <c r="W407" s="74" t="n"/>
    </row>
    <row r="408">
      <c r="A408" s="74" t="n"/>
      <c r="B408" s="74" t="n"/>
      <c r="C408" s="74" t="n"/>
      <c r="D408" s="74" t="n"/>
      <c r="E408" s="74" t="n"/>
      <c r="F408" s="74" t="n"/>
      <c r="G408" s="74" t="n"/>
      <c r="H408" s="74" t="n"/>
      <c r="I408" s="74" t="n"/>
      <c r="J408" s="74" t="n"/>
      <c r="K408" s="74" t="n"/>
      <c r="L408" s="74" t="n"/>
      <c r="M408" s="74" t="n"/>
      <c r="N408" s="74" t="n"/>
      <c r="O408" s="74" t="n"/>
      <c r="P408" s="74" t="n"/>
      <c r="Q408" s="74" t="n"/>
      <c r="R408" s="74" t="n"/>
      <c r="S408" s="74" t="n"/>
      <c r="T408" s="74" t="n"/>
      <c r="U408" s="74" t="n"/>
      <c r="V408" s="74" t="n"/>
      <c r="W408" s="74" t="n"/>
    </row>
    <row r="409">
      <c r="A409" s="74" t="n"/>
      <c r="B409" s="74" t="n"/>
      <c r="C409" s="74" t="n"/>
      <c r="D409" s="74" t="n"/>
      <c r="E409" s="74" t="n"/>
      <c r="F409" s="74" t="n"/>
      <c r="G409" s="74" t="n"/>
      <c r="H409" s="74" t="n"/>
      <c r="I409" s="74" t="n"/>
      <c r="J409" s="74" t="n"/>
      <c r="K409" s="74" t="n"/>
      <c r="L409" s="74" t="n"/>
      <c r="M409" s="74" t="n"/>
      <c r="N409" s="74" t="n"/>
      <c r="O409" s="74" t="n"/>
      <c r="P409" s="74" t="n"/>
      <c r="Q409" s="74" t="n"/>
      <c r="R409" s="74" t="n"/>
      <c r="S409" s="74" t="n"/>
      <c r="T409" s="74" t="n"/>
      <c r="U409" s="74" t="n"/>
      <c r="V409" s="74" t="n"/>
      <c r="W409" s="74" t="n"/>
    </row>
    <row r="410">
      <c r="A410" s="74" t="n"/>
      <c r="B410" s="74" t="n"/>
      <c r="C410" s="74" t="n"/>
      <c r="D410" s="74" t="n"/>
      <c r="E410" s="74" t="n"/>
      <c r="F410" s="74" t="n"/>
      <c r="G410" s="74" t="n"/>
      <c r="H410" s="74" t="n"/>
      <c r="I410" s="74" t="n"/>
      <c r="J410" s="74" t="n"/>
      <c r="K410" s="74" t="n"/>
      <c r="L410" s="74" t="n"/>
      <c r="M410" s="74" t="n"/>
      <c r="N410" s="74" t="n"/>
      <c r="O410" s="74" t="n"/>
      <c r="P410" s="74" t="n"/>
      <c r="Q410" s="74" t="n"/>
      <c r="R410" s="74" t="n"/>
      <c r="S410" s="74" t="n"/>
      <c r="T410" s="74" t="n"/>
      <c r="U410" s="74" t="n"/>
      <c r="V410" s="74" t="n"/>
      <c r="W410" s="74" t="n"/>
    </row>
    <row r="411">
      <c r="A411" s="74" t="n"/>
      <c r="B411" s="74" t="n"/>
      <c r="C411" s="74" t="n"/>
      <c r="D411" s="74" t="n"/>
      <c r="E411" s="74" t="n"/>
      <c r="F411" s="74" t="n"/>
      <c r="G411" s="74" t="n"/>
      <c r="H411" s="74" t="n"/>
      <c r="I411" s="74" t="n"/>
      <c r="J411" s="74" t="n"/>
      <c r="K411" s="74" t="n"/>
      <c r="L411" s="74" t="n"/>
      <c r="M411" s="74" t="n"/>
      <c r="N411" s="74" t="n"/>
      <c r="O411" s="74" t="n"/>
      <c r="P411" s="74" t="n"/>
      <c r="Q411" s="74" t="n"/>
      <c r="R411" s="74" t="n"/>
      <c r="S411" s="74" t="n"/>
      <c r="T411" s="74" t="n"/>
      <c r="U411" s="74" t="n"/>
      <c r="V411" s="74" t="n"/>
      <c r="W411" s="74" t="n"/>
    </row>
    <row r="412">
      <c r="A412" s="74" t="n"/>
      <c r="B412" s="74" t="n"/>
      <c r="C412" s="74" t="n"/>
      <c r="D412" s="74" t="n"/>
      <c r="E412" s="74" t="n"/>
      <c r="F412" s="74" t="n"/>
      <c r="G412" s="74" t="n"/>
      <c r="H412" s="74" t="n"/>
      <c r="I412" s="74" t="n"/>
      <c r="J412" s="74" t="n"/>
      <c r="K412" s="74" t="n"/>
      <c r="L412" s="74" t="n"/>
      <c r="M412" s="74" t="n"/>
      <c r="N412" s="74" t="n"/>
      <c r="O412" s="74" t="n"/>
      <c r="P412" s="74" t="n"/>
      <c r="Q412" s="74" t="n"/>
      <c r="R412" s="74" t="n"/>
      <c r="S412" s="74" t="n"/>
      <c r="T412" s="74" t="n"/>
      <c r="U412" s="74" t="n"/>
      <c r="V412" s="74" t="n"/>
      <c r="W412" s="74" t="n"/>
    </row>
    <row r="413">
      <c r="A413" s="74" t="n"/>
      <c r="B413" s="74" t="n"/>
      <c r="C413" s="74" t="n"/>
      <c r="D413" s="74" t="n"/>
      <c r="E413" s="74" t="n"/>
      <c r="F413" s="74" t="n"/>
      <c r="G413" s="74" t="n"/>
      <c r="H413" s="74" t="n"/>
      <c r="I413" s="74" t="n"/>
      <c r="J413" s="74" t="n"/>
      <c r="K413" s="74" t="n"/>
      <c r="L413" s="74" t="n"/>
      <c r="M413" s="74" t="n"/>
      <c r="N413" s="74" t="n"/>
      <c r="O413" s="74" t="n"/>
      <c r="P413" s="74" t="n"/>
      <c r="Q413" s="74" t="n"/>
      <c r="R413" s="74" t="n"/>
      <c r="S413" s="74" t="n"/>
      <c r="T413" s="74" t="n"/>
      <c r="U413" s="74" t="n"/>
      <c r="V413" s="74" t="n"/>
      <c r="W413" s="74" t="n"/>
    </row>
    <row r="414">
      <c r="A414" s="74" t="n"/>
      <c r="B414" s="74" t="n"/>
      <c r="C414" s="74" t="n"/>
      <c r="D414" s="74" t="n"/>
      <c r="E414" s="74" t="n"/>
      <c r="F414" s="74" t="n"/>
      <c r="G414" s="74" t="n"/>
      <c r="H414" s="74" t="n"/>
      <c r="I414" s="74" t="n"/>
      <c r="J414" s="74" t="n"/>
      <c r="K414" s="74" t="n"/>
      <c r="L414" s="74" t="n"/>
      <c r="M414" s="74" t="n"/>
      <c r="N414" s="74" t="n"/>
      <c r="O414" s="74" t="n"/>
      <c r="P414" s="74" t="n"/>
      <c r="Q414" s="74" t="n"/>
      <c r="R414" s="74" t="n"/>
      <c r="S414" s="74" t="n"/>
      <c r="T414" s="74" t="n"/>
      <c r="U414" s="74" t="n"/>
      <c r="V414" s="74" t="n"/>
      <c r="W414" s="74" t="n"/>
    </row>
    <row r="415">
      <c r="A415" s="74" t="n"/>
      <c r="B415" s="74" t="n"/>
      <c r="C415" s="74" t="n"/>
      <c r="D415" s="74" t="n"/>
      <c r="E415" s="74" t="n"/>
      <c r="F415" s="74" t="n"/>
      <c r="G415" s="74" t="n"/>
      <c r="H415" s="74" t="n"/>
      <c r="I415" s="74" t="n"/>
      <c r="J415" s="74" t="n"/>
      <c r="K415" s="74" t="n"/>
      <c r="L415" s="74" t="n"/>
      <c r="M415" s="74" t="n"/>
      <c r="N415" s="74" t="n"/>
      <c r="O415" s="74" t="n"/>
      <c r="P415" s="74" t="n"/>
      <c r="Q415" s="74" t="n"/>
      <c r="R415" s="74" t="n"/>
      <c r="S415" s="74" t="n"/>
      <c r="T415" s="74" t="n"/>
      <c r="U415" s="74" t="n"/>
      <c r="V415" s="74" t="n"/>
      <c r="W415" s="74" t="n"/>
    </row>
    <row r="416">
      <c r="A416" s="74" t="n"/>
      <c r="B416" s="74" t="n"/>
      <c r="C416" s="74" t="n"/>
      <c r="D416" s="74" t="n"/>
      <c r="E416" s="74" t="n"/>
      <c r="F416" s="74" t="n"/>
      <c r="G416" s="74" t="n"/>
      <c r="H416" s="74" t="n"/>
      <c r="I416" s="74" t="n"/>
      <c r="J416" s="74" t="n"/>
      <c r="K416" s="74" t="n"/>
      <c r="L416" s="74" t="n"/>
      <c r="M416" s="74" t="n"/>
      <c r="N416" s="74" t="n"/>
      <c r="O416" s="74" t="n"/>
      <c r="P416" s="74" t="n"/>
      <c r="Q416" s="74" t="n"/>
      <c r="R416" s="74" t="n"/>
      <c r="S416" s="74" t="n"/>
      <c r="T416" s="74" t="n"/>
      <c r="U416" s="74" t="n"/>
      <c r="V416" s="74" t="n"/>
      <c r="W416" s="74" t="n"/>
    </row>
    <row r="417">
      <c r="A417" s="74" t="n"/>
      <c r="B417" s="74" t="n"/>
      <c r="C417" s="74" t="n"/>
      <c r="D417" s="74" t="n"/>
      <c r="E417" s="74" t="n"/>
      <c r="F417" s="74" t="n"/>
      <c r="G417" s="74" t="n"/>
      <c r="H417" s="74" t="n"/>
      <c r="I417" s="74" t="n"/>
      <c r="J417" s="74" t="n"/>
      <c r="K417" s="74" t="n"/>
      <c r="L417" s="74" t="n"/>
      <c r="M417" s="74" t="n"/>
      <c r="N417" s="74" t="n"/>
      <c r="O417" s="74" t="n"/>
      <c r="P417" s="74" t="n"/>
      <c r="Q417" s="74" t="n"/>
      <c r="R417" s="74" t="n"/>
      <c r="S417" s="74" t="n"/>
      <c r="T417" s="74" t="n"/>
      <c r="U417" s="74" t="n"/>
      <c r="V417" s="74" t="n"/>
      <c r="W417" s="74" t="n"/>
    </row>
    <row r="418">
      <c r="A418" s="74" t="n"/>
      <c r="B418" s="74" t="n"/>
      <c r="C418" s="74" t="n"/>
      <c r="D418" s="74" t="n"/>
      <c r="E418" s="74" t="n"/>
      <c r="F418" s="74" t="n"/>
      <c r="G418" s="74" t="n"/>
      <c r="H418" s="74" t="n"/>
      <c r="I418" s="74" t="n"/>
      <c r="J418" s="74" t="n"/>
      <c r="K418" s="74" t="n"/>
      <c r="L418" s="74" t="n"/>
      <c r="M418" s="74" t="n"/>
      <c r="N418" s="74" t="n"/>
      <c r="O418" s="74" t="n"/>
      <c r="P418" s="74" t="n"/>
      <c r="Q418" s="74" t="n"/>
      <c r="R418" s="74" t="n"/>
      <c r="S418" s="74" t="n"/>
      <c r="T418" s="74" t="n"/>
      <c r="U418" s="74" t="n"/>
      <c r="V418" s="74" t="n"/>
      <c r="W418" s="74" t="n"/>
    </row>
    <row r="419">
      <c r="A419" s="74" t="n"/>
      <c r="B419" s="74" t="n"/>
      <c r="C419" s="74" t="n"/>
      <c r="D419" s="74" t="n"/>
      <c r="E419" s="74" t="n"/>
      <c r="F419" s="74" t="n"/>
      <c r="G419" s="74" t="n"/>
      <c r="H419" s="74" t="n"/>
      <c r="I419" s="74" t="n"/>
      <c r="J419" s="74" t="n"/>
      <c r="K419" s="74" t="n"/>
      <c r="L419" s="74" t="n"/>
      <c r="M419" s="74" t="n"/>
      <c r="N419" s="74" t="n"/>
      <c r="O419" s="74" t="n"/>
      <c r="P419" s="74" t="n"/>
      <c r="Q419" s="74" t="n"/>
      <c r="R419" s="74" t="n"/>
      <c r="S419" s="74" t="n"/>
      <c r="T419" s="74" t="n"/>
      <c r="U419" s="74" t="n"/>
      <c r="V419" s="74" t="n"/>
      <c r="W419" s="74" t="n"/>
    </row>
    <row r="420">
      <c r="A420" s="74" t="n"/>
      <c r="B420" s="74" t="n"/>
      <c r="C420" s="74" t="n"/>
      <c r="D420" s="74" t="n"/>
      <c r="E420" s="74" t="n"/>
      <c r="F420" s="74" t="n"/>
      <c r="G420" s="74" t="n"/>
      <c r="H420" s="74" t="n"/>
      <c r="I420" s="74" t="n"/>
      <c r="J420" s="74" t="n"/>
      <c r="K420" s="74" t="n"/>
      <c r="L420" s="74" t="n"/>
      <c r="M420" s="74" t="n"/>
      <c r="N420" s="74" t="n"/>
      <c r="O420" s="74" t="n"/>
      <c r="P420" s="74" t="n"/>
      <c r="Q420" s="74" t="n"/>
      <c r="R420" s="74" t="n"/>
      <c r="S420" s="74" t="n"/>
      <c r="T420" s="74" t="n"/>
      <c r="U420" s="74" t="n"/>
      <c r="V420" s="74" t="n"/>
      <c r="W420" s="74" t="n"/>
    </row>
    <row r="421">
      <c r="A421" s="74" t="n"/>
      <c r="B421" s="74" t="n"/>
      <c r="C421" s="74" t="n"/>
      <c r="D421" s="74" t="n"/>
      <c r="E421" s="74" t="n"/>
      <c r="F421" s="74" t="n"/>
      <c r="G421" s="74" t="n"/>
      <c r="H421" s="74" t="n"/>
      <c r="I421" s="74" t="n"/>
      <c r="J421" s="74" t="n"/>
      <c r="K421" s="74" t="n"/>
      <c r="L421" s="74" t="n"/>
      <c r="M421" s="74" t="n"/>
      <c r="N421" s="74" t="n"/>
      <c r="O421" s="74" t="n"/>
      <c r="P421" s="74" t="n"/>
      <c r="Q421" s="74" t="n"/>
      <c r="R421" s="74" t="n"/>
      <c r="S421" s="74" t="n"/>
      <c r="T421" s="74" t="n"/>
      <c r="U421" s="74" t="n"/>
      <c r="V421" s="74" t="n"/>
      <c r="W421" s="74" t="n"/>
    </row>
    <row r="422">
      <c r="A422" s="74" t="n"/>
      <c r="B422" s="74" t="n"/>
      <c r="C422" s="74" t="n"/>
      <c r="D422" s="74" t="n"/>
      <c r="E422" s="74" t="n"/>
      <c r="F422" s="74" t="n"/>
      <c r="G422" s="74" t="n"/>
      <c r="H422" s="74" t="n"/>
      <c r="I422" s="74" t="n"/>
      <c r="J422" s="74" t="n"/>
      <c r="K422" s="74" t="n"/>
      <c r="L422" s="74" t="n"/>
      <c r="M422" s="74" t="n"/>
      <c r="N422" s="74" t="n"/>
      <c r="O422" s="74" t="n"/>
      <c r="P422" s="74" t="n"/>
      <c r="Q422" s="74" t="n"/>
      <c r="R422" s="74" t="n"/>
      <c r="S422" s="74" t="n"/>
      <c r="T422" s="74" t="n"/>
      <c r="U422" s="74" t="n"/>
      <c r="V422" s="74" t="n"/>
      <c r="W422" s="74" t="n"/>
    </row>
    <row r="423">
      <c r="A423" s="74" t="n"/>
      <c r="B423" s="74" t="n"/>
      <c r="C423" s="74" t="n"/>
      <c r="D423" s="74" t="n"/>
      <c r="E423" s="74" t="n"/>
      <c r="F423" s="74" t="n"/>
      <c r="G423" s="74" t="n"/>
      <c r="H423" s="74" t="n"/>
      <c r="I423" s="74" t="n"/>
      <c r="J423" s="74" t="n"/>
      <c r="K423" s="74" t="n"/>
      <c r="L423" s="74" t="n"/>
      <c r="M423" s="74" t="n"/>
      <c r="N423" s="74" t="n"/>
      <c r="O423" s="74" t="n"/>
      <c r="P423" s="74" t="n"/>
      <c r="Q423" s="74" t="n"/>
      <c r="R423" s="74" t="n"/>
      <c r="S423" s="74" t="n"/>
      <c r="T423" s="74" t="n"/>
      <c r="U423" s="74" t="n"/>
      <c r="V423" s="74" t="n"/>
      <c r="W423" s="74" t="n"/>
    </row>
    <row r="424">
      <c r="A424" s="74" t="n"/>
      <c r="B424" s="74" t="n"/>
      <c r="C424" s="74" t="n"/>
      <c r="D424" s="74" t="n"/>
      <c r="E424" s="74" t="n"/>
      <c r="F424" s="74" t="n"/>
      <c r="G424" s="74" t="n"/>
      <c r="H424" s="74" t="n"/>
      <c r="I424" s="74" t="n"/>
      <c r="J424" s="74" t="n"/>
      <c r="K424" s="74" t="n"/>
      <c r="L424" s="74" t="n"/>
      <c r="M424" s="74" t="n"/>
      <c r="N424" s="74" t="n"/>
      <c r="O424" s="74" t="n"/>
      <c r="P424" s="74" t="n"/>
      <c r="Q424" s="74" t="n"/>
      <c r="R424" s="74" t="n"/>
      <c r="S424" s="74" t="n"/>
      <c r="T424" s="74" t="n"/>
      <c r="U424" s="74" t="n"/>
      <c r="V424" s="74" t="n"/>
      <c r="W424" s="74" t="n"/>
    </row>
    <row r="425">
      <c r="A425" s="74" t="n"/>
      <c r="B425" s="74" t="n"/>
      <c r="C425" s="74" t="n"/>
      <c r="D425" s="74" t="n"/>
      <c r="E425" s="74" t="n"/>
      <c r="F425" s="74" t="n"/>
      <c r="G425" s="74" t="n"/>
      <c r="H425" s="74" t="n"/>
      <c r="I425" s="74" t="n"/>
      <c r="J425" s="74" t="n"/>
      <c r="K425" s="74" t="n"/>
      <c r="L425" s="74" t="n"/>
      <c r="M425" s="74" t="n"/>
      <c r="N425" s="74" t="n"/>
      <c r="O425" s="74" t="n"/>
      <c r="P425" s="74" t="n"/>
      <c r="Q425" s="74" t="n"/>
      <c r="R425" s="74" t="n"/>
      <c r="S425" s="74" t="n"/>
      <c r="T425" s="74" t="n"/>
      <c r="U425" s="74" t="n"/>
      <c r="V425" s="74" t="n"/>
      <c r="W425" s="74" t="n"/>
    </row>
    <row r="426">
      <c r="A426" s="74" t="n"/>
      <c r="B426" s="74" t="n"/>
      <c r="C426" s="74" t="n"/>
      <c r="D426" s="74" t="n"/>
      <c r="E426" s="74" t="n"/>
      <c r="F426" s="74" t="n"/>
      <c r="G426" s="74" t="n"/>
      <c r="H426" s="74" t="n"/>
      <c r="I426" s="74" t="n"/>
      <c r="J426" s="74" t="n"/>
      <c r="K426" s="74" t="n"/>
      <c r="L426" s="74" t="n"/>
      <c r="M426" s="74" t="n"/>
      <c r="N426" s="74" t="n"/>
      <c r="O426" s="74" t="n"/>
      <c r="P426" s="74" t="n"/>
      <c r="Q426" s="74" t="n"/>
      <c r="R426" s="74" t="n"/>
      <c r="S426" s="74" t="n"/>
      <c r="T426" s="74" t="n"/>
      <c r="U426" s="74" t="n"/>
      <c r="V426" s="74" t="n"/>
      <c r="W426" s="74" t="n"/>
    </row>
    <row r="427">
      <c r="A427" s="74" t="n"/>
      <c r="B427" s="74" t="n"/>
      <c r="C427" s="74" t="n"/>
      <c r="D427" s="74" t="n"/>
      <c r="E427" s="74" t="n"/>
      <c r="F427" s="74" t="n"/>
      <c r="G427" s="74" t="n"/>
      <c r="H427" s="74" t="n"/>
      <c r="I427" s="74" t="n"/>
      <c r="J427" s="74" t="n"/>
      <c r="K427" s="74" t="n"/>
      <c r="L427" s="74" t="n"/>
      <c r="M427" s="74" t="n"/>
      <c r="N427" s="74" t="n"/>
      <c r="O427" s="74" t="n"/>
      <c r="P427" s="74" t="n"/>
      <c r="Q427" s="74" t="n"/>
      <c r="R427" s="74" t="n"/>
      <c r="S427" s="74" t="n"/>
      <c r="T427" s="74" t="n"/>
      <c r="U427" s="74" t="n"/>
      <c r="V427" s="74" t="n"/>
      <c r="W427" s="74" t="n"/>
    </row>
    <row r="428">
      <c r="A428" s="74" t="n"/>
      <c r="B428" s="74" t="n"/>
      <c r="C428" s="74" t="n"/>
      <c r="D428" s="74" t="n"/>
      <c r="E428" s="74" t="n"/>
      <c r="F428" s="74" t="n"/>
      <c r="G428" s="74" t="n"/>
      <c r="H428" s="74" t="n"/>
      <c r="I428" s="74" t="n"/>
      <c r="J428" s="74" t="n"/>
      <c r="K428" s="74" t="n"/>
      <c r="L428" s="74" t="n"/>
      <c r="M428" s="74" t="n"/>
      <c r="N428" s="74" t="n"/>
      <c r="O428" s="74" t="n"/>
      <c r="P428" s="74" t="n"/>
      <c r="Q428" s="74" t="n"/>
      <c r="R428" s="74" t="n"/>
      <c r="S428" s="74" t="n"/>
      <c r="T428" s="74" t="n"/>
      <c r="U428" s="74" t="n"/>
      <c r="V428" s="74" t="n"/>
      <c r="W428" s="74" t="n"/>
    </row>
    <row r="429">
      <c r="A429" s="74" t="n"/>
      <c r="B429" s="74" t="n"/>
      <c r="C429" s="74" t="n"/>
      <c r="D429" s="74" t="n"/>
      <c r="E429" s="74" t="n"/>
      <c r="F429" s="74" t="n"/>
      <c r="G429" s="74" t="n"/>
      <c r="H429" s="74" t="n"/>
      <c r="I429" s="74" t="n"/>
      <c r="J429" s="74" t="n"/>
      <c r="K429" s="74" t="n"/>
      <c r="L429" s="74" t="n"/>
      <c r="M429" s="74" t="n"/>
      <c r="N429" s="74" t="n"/>
      <c r="O429" s="74" t="n"/>
      <c r="P429" s="74" t="n"/>
      <c r="Q429" s="74" t="n"/>
      <c r="R429" s="74" t="n"/>
      <c r="S429" s="74" t="n"/>
      <c r="T429" s="74" t="n"/>
      <c r="U429" s="74" t="n"/>
      <c r="V429" s="74" t="n"/>
      <c r="W429" s="74" t="n"/>
    </row>
    <row r="430">
      <c r="A430" s="74" t="n"/>
      <c r="B430" s="74" t="n"/>
      <c r="C430" s="74" t="n"/>
      <c r="D430" s="74" t="n"/>
      <c r="E430" s="74" t="n"/>
      <c r="F430" s="74" t="n"/>
      <c r="G430" s="74" t="n"/>
      <c r="H430" s="74" t="n"/>
      <c r="I430" s="74" t="n"/>
      <c r="J430" s="74" t="n"/>
      <c r="K430" s="74" t="n"/>
      <c r="L430" s="74" t="n"/>
      <c r="M430" s="74" t="n"/>
      <c r="N430" s="74" t="n"/>
      <c r="O430" s="74" t="n"/>
      <c r="P430" s="74" t="n"/>
      <c r="Q430" s="74" t="n"/>
      <c r="R430" s="74" t="n"/>
      <c r="S430" s="74" t="n"/>
      <c r="T430" s="74" t="n"/>
      <c r="U430" s="74" t="n"/>
      <c r="V430" s="74" t="n"/>
      <c r="W430" s="74" t="n"/>
    </row>
    <row r="431">
      <c r="A431" s="74" t="n"/>
      <c r="B431" s="74" t="n"/>
      <c r="C431" s="74" t="n"/>
      <c r="D431" s="74" t="n"/>
      <c r="E431" s="74" t="n"/>
      <c r="F431" s="74" t="n"/>
      <c r="G431" s="74" t="n"/>
      <c r="H431" s="74" t="n"/>
      <c r="I431" s="74" t="n"/>
      <c r="J431" s="74" t="n"/>
      <c r="K431" s="74" t="n"/>
      <c r="L431" s="74" t="n"/>
      <c r="M431" s="74" t="n"/>
      <c r="N431" s="74" t="n"/>
      <c r="O431" s="74" t="n"/>
      <c r="P431" s="74" t="n"/>
      <c r="Q431" s="74" t="n"/>
      <c r="R431" s="74" t="n"/>
      <c r="S431" s="74" t="n"/>
      <c r="T431" s="74" t="n"/>
      <c r="U431" s="74" t="n"/>
      <c r="V431" s="74" t="n"/>
      <c r="W431" s="74" t="n"/>
    </row>
    <row r="432">
      <c r="A432" s="74" t="n"/>
      <c r="B432" s="74" t="n"/>
      <c r="C432" s="74" t="n"/>
      <c r="D432" s="74" t="n"/>
      <c r="E432" s="74" t="n"/>
      <c r="F432" s="74" t="n"/>
      <c r="G432" s="74" t="n"/>
      <c r="H432" s="74" t="n"/>
      <c r="I432" s="74" t="n"/>
      <c r="J432" s="74" t="n"/>
      <c r="K432" s="74" t="n"/>
      <c r="L432" s="74" t="n"/>
      <c r="M432" s="74" t="n"/>
      <c r="N432" s="74" t="n"/>
      <c r="O432" s="74" t="n"/>
      <c r="P432" s="74" t="n"/>
      <c r="Q432" s="74" t="n"/>
      <c r="R432" s="74" t="n"/>
      <c r="S432" s="74" t="n"/>
      <c r="T432" s="74" t="n"/>
      <c r="U432" s="74" t="n"/>
      <c r="V432" s="74" t="n"/>
      <c r="W432" s="74" t="n"/>
    </row>
    <row r="433">
      <c r="A433" s="74" t="n"/>
      <c r="B433" s="74" t="n"/>
      <c r="C433" s="74" t="n"/>
      <c r="D433" s="74" t="n"/>
      <c r="E433" s="74" t="n"/>
      <c r="F433" s="74" t="n"/>
      <c r="G433" s="74" t="n"/>
      <c r="H433" s="74" t="n"/>
      <c r="I433" s="74" t="n"/>
      <c r="J433" s="74" t="n"/>
      <c r="K433" s="74" t="n"/>
      <c r="L433" s="74" t="n"/>
      <c r="M433" s="74" t="n"/>
      <c r="N433" s="74" t="n"/>
      <c r="O433" s="74" t="n"/>
      <c r="P433" s="74" t="n"/>
      <c r="Q433" s="74" t="n"/>
      <c r="R433" s="74" t="n"/>
      <c r="S433" s="74" t="n"/>
      <c r="T433" s="74" t="n"/>
      <c r="U433" s="74" t="n"/>
      <c r="V433" s="74" t="n"/>
      <c r="W433" s="74" t="n"/>
    </row>
    <row r="434">
      <c r="A434" s="74" t="n"/>
      <c r="B434" s="74" t="n"/>
      <c r="C434" s="74" t="n"/>
      <c r="D434" s="74" t="n"/>
      <c r="E434" s="74" t="n"/>
      <c r="F434" s="74" t="n"/>
      <c r="G434" s="74" t="n"/>
      <c r="H434" s="74" t="n"/>
      <c r="I434" s="74" t="n"/>
      <c r="J434" s="74" t="n"/>
      <c r="K434" s="74" t="n"/>
      <c r="L434" s="74" t="n"/>
      <c r="M434" s="74" t="n"/>
      <c r="N434" s="74" t="n"/>
      <c r="O434" s="74" t="n"/>
      <c r="P434" s="74" t="n"/>
      <c r="Q434" s="74" t="n"/>
      <c r="R434" s="74" t="n"/>
      <c r="S434" s="74" t="n"/>
      <c r="T434" s="74" t="n"/>
      <c r="U434" s="74" t="n"/>
      <c r="V434" s="74" t="n"/>
      <c r="W434" s="74" t="n"/>
    </row>
    <row r="435">
      <c r="A435" s="74" t="n"/>
      <c r="B435" s="74" t="n"/>
      <c r="C435" s="74" t="n"/>
      <c r="D435" s="74" t="n"/>
      <c r="E435" s="74" t="n"/>
      <c r="F435" s="74" t="n"/>
      <c r="G435" s="74" t="n"/>
      <c r="H435" s="74" t="n"/>
      <c r="I435" s="74" t="n"/>
      <c r="J435" s="74" t="n"/>
      <c r="K435" s="74" t="n"/>
      <c r="L435" s="74" t="n"/>
      <c r="M435" s="74" t="n"/>
      <c r="N435" s="74" t="n"/>
      <c r="O435" s="74" t="n"/>
      <c r="P435" s="74" t="n"/>
      <c r="Q435" s="74" t="n"/>
      <c r="R435" s="74" t="n"/>
      <c r="S435" s="74" t="n"/>
      <c r="T435" s="74" t="n"/>
      <c r="U435" s="74" t="n"/>
      <c r="V435" s="74" t="n"/>
      <c r="W435" s="74" t="n"/>
    </row>
    <row r="436">
      <c r="A436" s="74" t="n"/>
      <c r="B436" s="74" t="n"/>
      <c r="C436" s="74" t="n"/>
      <c r="D436" s="74" t="n"/>
      <c r="E436" s="74" t="n"/>
      <c r="F436" s="74" t="n"/>
      <c r="G436" s="74" t="n"/>
      <c r="H436" s="74" t="n"/>
      <c r="I436" s="74" t="n"/>
      <c r="J436" s="74" t="n"/>
      <c r="K436" s="74" t="n"/>
      <c r="L436" s="74" t="n"/>
      <c r="M436" s="74" t="n"/>
      <c r="N436" s="74" t="n"/>
      <c r="O436" s="74" t="n"/>
      <c r="P436" s="74" t="n"/>
      <c r="Q436" s="74" t="n"/>
      <c r="R436" s="74" t="n"/>
      <c r="S436" s="74" t="n"/>
      <c r="T436" s="74" t="n"/>
      <c r="U436" s="74" t="n"/>
      <c r="V436" s="74" t="n"/>
      <c r="W436" s="74" t="n"/>
    </row>
    <row r="437">
      <c r="A437" s="74" t="n"/>
      <c r="B437" s="74" t="n"/>
      <c r="C437" s="74" t="n"/>
      <c r="D437" s="74" t="n"/>
      <c r="E437" s="74" t="n"/>
      <c r="F437" s="74" t="n"/>
      <c r="G437" s="74" t="n"/>
      <c r="H437" s="74" t="n"/>
      <c r="I437" s="74" t="n"/>
      <c r="J437" s="74" t="n"/>
      <c r="K437" s="74" t="n"/>
      <c r="L437" s="74" t="n"/>
      <c r="M437" s="74" t="n"/>
      <c r="N437" s="74" t="n"/>
      <c r="O437" s="74" t="n"/>
      <c r="P437" s="74" t="n"/>
      <c r="Q437" s="74" t="n"/>
      <c r="R437" s="74" t="n"/>
      <c r="S437" s="74" t="n"/>
      <c r="T437" s="74" t="n"/>
      <c r="U437" s="74" t="n"/>
      <c r="V437" s="74" t="n"/>
      <c r="W437" s="74" t="n"/>
    </row>
    <row r="438">
      <c r="A438" s="74" t="n"/>
      <c r="B438" s="74" t="n"/>
      <c r="C438" s="74" t="n"/>
      <c r="D438" s="74" t="n"/>
      <c r="E438" s="74" t="n"/>
      <c r="F438" s="74" t="n"/>
      <c r="G438" s="74" t="n"/>
      <c r="H438" s="74" t="n"/>
      <c r="I438" s="74" t="n"/>
      <c r="J438" s="74" t="n"/>
      <c r="K438" s="74" t="n"/>
      <c r="L438" s="74" t="n"/>
      <c r="M438" s="74" t="n"/>
      <c r="N438" s="74" t="n"/>
      <c r="O438" s="74" t="n"/>
      <c r="P438" s="74" t="n"/>
      <c r="Q438" s="74" t="n"/>
      <c r="R438" s="74" t="n"/>
      <c r="S438" s="74" t="n"/>
      <c r="T438" s="74" t="n"/>
      <c r="U438" s="74" t="n"/>
      <c r="V438" s="74" t="n"/>
      <c r="W438" s="74" t="n"/>
    </row>
    <row r="439">
      <c r="A439" s="74" t="n"/>
      <c r="B439" s="74" t="n"/>
      <c r="C439" s="74" t="n"/>
      <c r="D439" s="74" t="n"/>
      <c r="E439" s="74" t="n"/>
      <c r="F439" s="74" t="n"/>
      <c r="G439" s="74" t="n"/>
      <c r="H439" s="74" t="n"/>
      <c r="I439" s="74" t="n"/>
      <c r="J439" s="74" t="n"/>
      <c r="K439" s="74" t="n"/>
      <c r="L439" s="74" t="n"/>
      <c r="M439" s="74" t="n"/>
      <c r="N439" s="74" t="n"/>
      <c r="O439" s="74" t="n"/>
      <c r="P439" s="74" t="n"/>
      <c r="Q439" s="74" t="n"/>
      <c r="R439" s="74" t="n"/>
      <c r="S439" s="74" t="n"/>
      <c r="T439" s="74" t="n"/>
      <c r="U439" s="74" t="n"/>
      <c r="V439" s="74" t="n"/>
      <c r="W439" s="74" t="n"/>
    </row>
    <row r="440">
      <c r="A440" s="74" t="n"/>
      <c r="B440" s="74" t="n"/>
      <c r="C440" s="74" t="n"/>
      <c r="D440" s="74" t="n"/>
      <c r="E440" s="74" t="n"/>
      <c r="F440" s="74" t="n"/>
      <c r="G440" s="74" t="n"/>
      <c r="H440" s="74" t="n"/>
      <c r="I440" s="74" t="n"/>
      <c r="J440" s="74" t="n"/>
      <c r="K440" s="74" t="n"/>
      <c r="L440" s="74" t="n"/>
      <c r="M440" s="74" t="n"/>
      <c r="N440" s="74" t="n"/>
      <c r="O440" s="74" t="n"/>
      <c r="P440" s="74" t="n"/>
      <c r="Q440" s="74" t="n"/>
      <c r="R440" s="74" t="n"/>
      <c r="S440" s="74" t="n"/>
      <c r="T440" s="74" t="n"/>
      <c r="U440" s="74" t="n"/>
      <c r="V440" s="74" t="n"/>
      <c r="W440" s="74" t="n"/>
    </row>
    <row r="441">
      <c r="A441" s="74" t="n"/>
      <c r="B441" s="74" t="n"/>
      <c r="C441" s="74" t="n"/>
      <c r="D441" s="74" t="n"/>
      <c r="E441" s="74" t="n"/>
      <c r="F441" s="74" t="n"/>
      <c r="G441" s="74" t="n"/>
      <c r="H441" s="74" t="n"/>
      <c r="I441" s="74" t="n"/>
      <c r="J441" s="74" t="n"/>
      <c r="K441" s="74" t="n"/>
      <c r="L441" s="74" t="n"/>
      <c r="M441" s="74" t="n"/>
      <c r="N441" s="74" t="n"/>
      <c r="O441" s="74" t="n"/>
      <c r="P441" s="74" t="n"/>
      <c r="Q441" s="74" t="n"/>
      <c r="R441" s="74" t="n"/>
      <c r="S441" s="74" t="n"/>
      <c r="T441" s="74" t="n"/>
      <c r="U441" s="74" t="n"/>
      <c r="V441" s="74" t="n"/>
      <c r="W441" s="74" t="n"/>
    </row>
    <row r="442">
      <c r="A442" s="74" t="n"/>
      <c r="B442" s="74" t="n"/>
      <c r="C442" s="74" t="n"/>
      <c r="D442" s="74" t="n"/>
      <c r="E442" s="74" t="n"/>
      <c r="F442" s="74" t="n"/>
      <c r="G442" s="74" t="n"/>
      <c r="H442" s="74" t="n"/>
      <c r="I442" s="74" t="n"/>
      <c r="J442" s="74" t="n"/>
      <c r="K442" s="74" t="n"/>
      <c r="L442" s="74" t="n"/>
      <c r="M442" s="74" t="n"/>
      <c r="N442" s="74" t="n"/>
      <c r="O442" s="74" t="n"/>
      <c r="P442" s="74" t="n"/>
      <c r="Q442" s="74" t="n"/>
      <c r="R442" s="74" t="n"/>
      <c r="S442" s="74" t="n"/>
      <c r="T442" s="74" t="n"/>
      <c r="U442" s="74" t="n"/>
      <c r="V442" s="74" t="n"/>
      <c r="W442" s="74" t="n"/>
    </row>
    <row r="443">
      <c r="A443" s="74" t="n"/>
      <c r="B443" s="74" t="n"/>
      <c r="C443" s="74" t="n"/>
      <c r="D443" s="74" t="n"/>
      <c r="E443" s="74" t="n"/>
      <c r="F443" s="74" t="n"/>
      <c r="G443" s="74" t="n"/>
      <c r="H443" s="74" t="n"/>
      <c r="I443" s="74" t="n"/>
      <c r="J443" s="74" t="n"/>
      <c r="K443" s="74" t="n"/>
      <c r="L443" s="74" t="n"/>
      <c r="M443" s="74" t="n"/>
      <c r="N443" s="74" t="n"/>
      <c r="O443" s="74" t="n"/>
      <c r="P443" s="74" t="n"/>
      <c r="Q443" s="74" t="n"/>
      <c r="R443" s="74" t="n"/>
      <c r="S443" s="74" t="n"/>
      <c r="T443" s="74" t="n"/>
      <c r="U443" s="74" t="n"/>
      <c r="V443" s="74" t="n"/>
      <c r="W443" s="74" t="n"/>
    </row>
    <row r="444">
      <c r="A444" s="74" t="n"/>
      <c r="B444" s="74" t="n"/>
      <c r="C444" s="74" t="n"/>
      <c r="D444" s="74" t="n"/>
      <c r="E444" s="74" t="n"/>
      <c r="F444" s="74" t="n"/>
      <c r="G444" s="74" t="n"/>
      <c r="H444" s="74" t="n"/>
      <c r="I444" s="74" t="n"/>
      <c r="J444" s="74" t="n"/>
      <c r="K444" s="74" t="n"/>
      <c r="L444" s="74" t="n"/>
      <c r="M444" s="74" t="n"/>
      <c r="N444" s="74" t="n"/>
      <c r="O444" s="74" t="n"/>
      <c r="P444" s="74" t="n"/>
      <c r="Q444" s="74" t="n"/>
      <c r="R444" s="74" t="n"/>
      <c r="S444" s="74" t="n"/>
      <c r="T444" s="74" t="n"/>
      <c r="U444" s="74" t="n"/>
      <c r="V444" s="74" t="n"/>
      <c r="W444" s="74" t="n"/>
    </row>
    <row r="445">
      <c r="A445" s="74" t="n"/>
      <c r="B445" s="74" t="n"/>
      <c r="C445" s="74" t="n"/>
      <c r="D445" s="74" t="n"/>
      <c r="E445" s="74" t="n"/>
      <c r="F445" s="74" t="n"/>
      <c r="G445" s="74" t="n"/>
      <c r="H445" s="74" t="n"/>
      <c r="I445" s="74" t="n"/>
      <c r="J445" s="74" t="n"/>
      <c r="K445" s="74" t="n"/>
      <c r="L445" s="74" t="n"/>
      <c r="M445" s="74" t="n"/>
      <c r="N445" s="74" t="n"/>
      <c r="O445" s="74" t="n"/>
      <c r="P445" s="74" t="n"/>
      <c r="Q445" s="74" t="n"/>
      <c r="R445" s="74" t="n"/>
      <c r="S445" s="74" t="n"/>
      <c r="T445" s="74" t="n"/>
      <c r="U445" s="74" t="n"/>
      <c r="V445" s="74" t="n"/>
      <c r="W445" s="74" t="n"/>
    </row>
    <row r="446">
      <c r="A446" s="74" t="n"/>
      <c r="B446" s="74" t="n"/>
      <c r="C446" s="74" t="n"/>
      <c r="D446" s="74" t="n"/>
      <c r="E446" s="74" t="n"/>
      <c r="F446" s="74" t="n"/>
      <c r="G446" s="74" t="n"/>
      <c r="H446" s="74" t="n"/>
      <c r="I446" s="74" t="n"/>
      <c r="J446" s="74" t="n"/>
      <c r="K446" s="74" t="n"/>
      <c r="L446" s="74" t="n"/>
      <c r="M446" s="74" t="n"/>
      <c r="N446" s="74" t="n"/>
      <c r="O446" s="74" t="n"/>
      <c r="P446" s="74" t="n"/>
      <c r="Q446" s="74" t="n"/>
      <c r="R446" s="74" t="n"/>
      <c r="S446" s="74" t="n"/>
      <c r="T446" s="74" t="n"/>
      <c r="U446" s="74" t="n"/>
      <c r="V446" s="74" t="n"/>
      <c r="W446" s="74" t="n"/>
    </row>
    <row r="447">
      <c r="A447" s="74" t="n"/>
      <c r="B447" s="74" t="n"/>
      <c r="C447" s="74" t="n"/>
      <c r="D447" s="74" t="n"/>
      <c r="E447" s="74" t="n"/>
      <c r="F447" s="74" t="n"/>
      <c r="G447" s="74" t="n"/>
      <c r="H447" s="74" t="n"/>
      <c r="I447" s="74" t="n"/>
      <c r="J447" s="74" t="n"/>
      <c r="K447" s="74" t="n"/>
      <c r="L447" s="74" t="n"/>
      <c r="M447" s="74" t="n"/>
      <c r="N447" s="74" t="n"/>
      <c r="O447" s="74" t="n"/>
      <c r="P447" s="74" t="n"/>
      <c r="Q447" s="74" t="n"/>
      <c r="R447" s="74" t="n"/>
      <c r="S447" s="74" t="n"/>
      <c r="T447" s="74" t="n"/>
      <c r="U447" s="74" t="n"/>
      <c r="V447" s="74" t="n"/>
      <c r="W447" s="74" t="n"/>
    </row>
    <row r="448">
      <c r="A448" s="74" t="n"/>
      <c r="B448" s="74" t="n"/>
      <c r="C448" s="74" t="n"/>
      <c r="D448" s="74" t="n"/>
      <c r="E448" s="74" t="n"/>
      <c r="F448" s="74" t="n"/>
      <c r="G448" s="74" t="n"/>
      <c r="H448" s="74" t="n"/>
      <c r="I448" s="74" t="n"/>
      <c r="J448" s="74" t="n"/>
      <c r="K448" s="74" t="n"/>
      <c r="L448" s="74" t="n"/>
      <c r="M448" s="74" t="n"/>
      <c r="N448" s="74" t="n"/>
      <c r="O448" s="74" t="n"/>
      <c r="P448" s="74" t="n"/>
      <c r="Q448" s="74" t="n"/>
      <c r="R448" s="74" t="n"/>
      <c r="S448" s="74" t="n"/>
      <c r="T448" s="74" t="n"/>
      <c r="U448" s="74" t="n"/>
      <c r="V448" s="74" t="n"/>
      <c r="W448" s="74" t="n"/>
    </row>
    <row r="449">
      <c r="A449" s="74" t="n"/>
      <c r="B449" s="74" t="n"/>
      <c r="C449" s="74" t="n"/>
      <c r="D449" s="74" t="n"/>
      <c r="E449" s="74" t="n"/>
      <c r="F449" s="74" t="n"/>
      <c r="G449" s="74" t="n"/>
      <c r="H449" s="74" t="n"/>
      <c r="I449" s="74" t="n"/>
      <c r="J449" s="74" t="n"/>
      <c r="K449" s="74" t="n"/>
      <c r="L449" s="74" t="n"/>
      <c r="M449" s="74" t="n"/>
      <c r="N449" s="74" t="n"/>
      <c r="O449" s="74" t="n"/>
      <c r="P449" s="74" t="n"/>
      <c r="Q449" s="74" t="n"/>
      <c r="R449" s="74" t="n"/>
      <c r="S449" s="74" t="n"/>
      <c r="T449" s="74" t="n"/>
      <c r="U449" s="74" t="n"/>
      <c r="V449" s="74" t="n"/>
      <c r="W449" s="74" t="n"/>
    </row>
    <row r="450">
      <c r="A450" s="74" t="n"/>
      <c r="B450" s="74" t="n"/>
      <c r="C450" s="74" t="n"/>
      <c r="D450" s="74" t="n"/>
      <c r="E450" s="74" t="n"/>
      <c r="F450" s="74" t="n"/>
      <c r="G450" s="74" t="n"/>
      <c r="H450" s="74" t="n"/>
      <c r="I450" s="74" t="n"/>
      <c r="J450" s="74" t="n"/>
      <c r="K450" s="74" t="n"/>
      <c r="L450" s="74" t="n"/>
      <c r="M450" s="74" t="n"/>
      <c r="N450" s="74" t="n"/>
      <c r="O450" s="74" t="n"/>
      <c r="P450" s="74" t="n"/>
      <c r="Q450" s="74" t="n"/>
      <c r="R450" s="74" t="n"/>
      <c r="S450" s="74" t="n"/>
      <c r="T450" s="74" t="n"/>
      <c r="U450" s="74" t="n"/>
      <c r="V450" s="74" t="n"/>
      <c r="W450" s="74" t="n"/>
    </row>
    <row r="451">
      <c r="A451" s="74" t="n"/>
      <c r="B451" s="74" t="n"/>
      <c r="C451" s="74" t="n"/>
      <c r="D451" s="74" t="n"/>
      <c r="E451" s="74" t="n"/>
      <c r="F451" s="74" t="n"/>
      <c r="G451" s="74" t="n"/>
      <c r="H451" s="74" t="n"/>
      <c r="I451" s="74" t="n"/>
      <c r="J451" s="74" t="n"/>
      <c r="K451" s="74" t="n"/>
      <c r="L451" s="74" t="n"/>
      <c r="M451" s="74" t="n"/>
      <c r="N451" s="74" t="n"/>
      <c r="O451" s="74" t="n"/>
      <c r="P451" s="74" t="n"/>
      <c r="Q451" s="74" t="n"/>
      <c r="R451" s="74" t="n"/>
      <c r="S451" s="74" t="n"/>
      <c r="T451" s="74" t="n"/>
      <c r="U451" s="74" t="n"/>
      <c r="V451" s="74" t="n"/>
      <c r="W451" s="74" t="n"/>
    </row>
    <row r="452">
      <c r="A452" s="74" t="n"/>
      <c r="B452" s="74" t="n"/>
      <c r="C452" s="74" t="n"/>
      <c r="D452" s="74" t="n"/>
      <c r="E452" s="74" t="n"/>
      <c r="F452" s="74" t="n"/>
      <c r="G452" s="74" t="n"/>
      <c r="H452" s="74" t="n"/>
      <c r="I452" s="74" t="n"/>
      <c r="J452" s="74" t="n"/>
      <c r="K452" s="74" t="n"/>
      <c r="L452" s="74" t="n"/>
      <c r="M452" s="74" t="n"/>
      <c r="N452" s="74" t="n"/>
      <c r="O452" s="74" t="n"/>
      <c r="P452" s="74" t="n"/>
      <c r="Q452" s="74" t="n"/>
      <c r="R452" s="74" t="n"/>
      <c r="S452" s="74" t="n"/>
      <c r="T452" s="74" t="n"/>
      <c r="U452" s="74" t="n"/>
      <c r="V452" s="74" t="n"/>
      <c r="W452" s="74" t="n"/>
    </row>
    <row r="453">
      <c r="A453" s="74" t="n"/>
      <c r="B453" s="74" t="n"/>
      <c r="C453" s="74" t="n"/>
      <c r="D453" s="74" t="n"/>
      <c r="E453" s="74" t="n"/>
      <c r="F453" s="74" t="n"/>
      <c r="G453" s="74" t="n"/>
      <c r="H453" s="74" t="n"/>
      <c r="I453" s="74" t="n"/>
      <c r="J453" s="74" t="n"/>
      <c r="K453" s="74" t="n"/>
      <c r="L453" s="74" t="n"/>
      <c r="M453" s="74" t="n"/>
      <c r="N453" s="74" t="n"/>
      <c r="O453" s="74" t="n"/>
      <c r="P453" s="74" t="n"/>
      <c r="Q453" s="74" t="n"/>
      <c r="R453" s="74" t="n"/>
      <c r="S453" s="74" t="n"/>
      <c r="T453" s="74" t="n"/>
      <c r="U453" s="74" t="n"/>
      <c r="V453" s="74" t="n"/>
      <c r="W453" s="74" t="n"/>
    </row>
    <row r="454">
      <c r="A454" s="74" t="n"/>
      <c r="B454" s="74" t="n"/>
      <c r="C454" s="74" t="n"/>
      <c r="D454" s="74" t="n"/>
      <c r="E454" s="74" t="n"/>
      <c r="F454" s="74" t="n"/>
      <c r="G454" s="74" t="n"/>
      <c r="H454" s="74" t="n"/>
      <c r="I454" s="74" t="n"/>
      <c r="J454" s="74" t="n"/>
      <c r="K454" s="74" t="n"/>
      <c r="L454" s="74" t="n"/>
      <c r="M454" s="74" t="n"/>
      <c r="N454" s="74" t="n"/>
      <c r="O454" s="74" t="n"/>
      <c r="P454" s="74" t="n"/>
      <c r="Q454" s="74" t="n"/>
      <c r="R454" s="74" t="n"/>
      <c r="S454" s="74" t="n"/>
      <c r="T454" s="74" t="n"/>
      <c r="U454" s="74" t="n"/>
      <c r="V454" s="74" t="n"/>
      <c r="W454" s="74" t="n"/>
    </row>
    <row r="455">
      <c r="A455" s="74" t="n"/>
      <c r="B455" s="74" t="n"/>
      <c r="C455" s="74" t="n"/>
      <c r="D455" s="74" t="n"/>
      <c r="E455" s="74" t="n"/>
      <c r="F455" s="74" t="n"/>
      <c r="G455" s="74" t="n"/>
      <c r="H455" s="74" t="n"/>
      <c r="I455" s="74" t="n"/>
      <c r="J455" s="74" t="n"/>
      <c r="K455" s="74" t="n"/>
      <c r="L455" s="74" t="n"/>
      <c r="M455" s="74" t="n"/>
      <c r="N455" s="74" t="n"/>
      <c r="O455" s="74" t="n"/>
      <c r="P455" s="74" t="n"/>
      <c r="Q455" s="74" t="n"/>
      <c r="R455" s="74" t="n"/>
      <c r="S455" s="74" t="n"/>
      <c r="T455" s="74" t="n"/>
      <c r="U455" s="74" t="n"/>
      <c r="V455" s="74" t="n"/>
      <c r="W455" s="74" t="n"/>
    </row>
    <row r="456">
      <c r="A456" s="74" t="n"/>
      <c r="B456" s="74" t="n"/>
      <c r="C456" s="74" t="n"/>
      <c r="D456" s="74" t="n"/>
      <c r="E456" s="74" t="n"/>
      <c r="F456" s="74" t="n"/>
      <c r="G456" s="74" t="n"/>
      <c r="H456" s="74" t="n"/>
      <c r="I456" s="74" t="n"/>
      <c r="J456" s="74" t="n"/>
      <c r="K456" s="74" t="n"/>
      <c r="L456" s="74" t="n"/>
      <c r="M456" s="74" t="n"/>
      <c r="N456" s="74" t="n"/>
      <c r="O456" s="74" t="n"/>
      <c r="P456" s="74" t="n"/>
      <c r="Q456" s="74" t="n"/>
      <c r="R456" s="74" t="n"/>
      <c r="S456" s="74" t="n"/>
      <c r="T456" s="74" t="n"/>
      <c r="U456" s="74" t="n"/>
      <c r="V456" s="74" t="n"/>
      <c r="W456" s="74" t="n"/>
    </row>
    <row r="457">
      <c r="A457" s="74" t="n"/>
      <c r="B457" s="74" t="n"/>
      <c r="C457" s="74" t="n"/>
      <c r="D457" s="74" t="n"/>
      <c r="E457" s="74" t="n"/>
      <c r="F457" s="74" t="n"/>
      <c r="G457" s="74" t="n"/>
      <c r="H457" s="74" t="n"/>
      <c r="I457" s="74" t="n"/>
      <c r="J457" s="74" t="n"/>
      <c r="K457" s="74" t="n"/>
      <c r="L457" s="74" t="n"/>
      <c r="M457" s="74" t="n"/>
      <c r="N457" s="74" t="n"/>
      <c r="O457" s="74" t="n"/>
      <c r="P457" s="74" t="n"/>
      <c r="Q457" s="74" t="n"/>
      <c r="R457" s="74" t="n"/>
      <c r="S457" s="74" t="n"/>
      <c r="T457" s="74" t="n"/>
      <c r="U457" s="74" t="n"/>
      <c r="V457" s="74" t="n"/>
      <c r="W457" s="74" t="n"/>
    </row>
    <row r="458">
      <c r="A458" s="74" t="n"/>
      <c r="B458" s="74" t="n"/>
      <c r="C458" s="74" t="n"/>
      <c r="D458" s="74" t="n"/>
      <c r="E458" s="74" t="n"/>
      <c r="F458" s="74" t="n"/>
      <c r="G458" s="74" t="n"/>
      <c r="H458" s="74" t="n"/>
      <c r="I458" s="74" t="n"/>
      <c r="J458" s="74" t="n"/>
      <c r="K458" s="74" t="n"/>
      <c r="L458" s="74" t="n"/>
      <c r="M458" s="74" t="n"/>
      <c r="N458" s="74" t="n"/>
      <c r="O458" s="74" t="n"/>
      <c r="P458" s="74" t="n"/>
      <c r="Q458" s="74" t="n"/>
      <c r="R458" s="74" t="n"/>
      <c r="S458" s="74" t="n"/>
      <c r="T458" s="74" t="n"/>
      <c r="U458" s="74" t="n"/>
      <c r="V458" s="74" t="n"/>
      <c r="W458" s="74" t="n"/>
    </row>
    <row r="459">
      <c r="A459" s="74" t="n"/>
      <c r="B459" s="74" t="n"/>
      <c r="C459" s="74" t="n"/>
      <c r="D459" s="74" t="n"/>
      <c r="E459" s="74" t="n"/>
      <c r="F459" s="74" t="n"/>
      <c r="G459" s="74" t="n"/>
      <c r="H459" s="74" t="n"/>
      <c r="I459" s="74" t="n"/>
      <c r="J459" s="74" t="n"/>
      <c r="K459" s="74" t="n"/>
      <c r="L459" s="74" t="n"/>
      <c r="M459" s="74" t="n"/>
      <c r="N459" s="74" t="n"/>
      <c r="O459" s="74" t="n"/>
      <c r="P459" s="74" t="n"/>
      <c r="Q459" s="74" t="n"/>
      <c r="R459" s="74" t="n"/>
      <c r="S459" s="74" t="n"/>
      <c r="T459" s="74" t="n"/>
      <c r="U459" s="74" t="n"/>
      <c r="V459" s="74" t="n"/>
      <c r="W459" s="74" t="n"/>
    </row>
    <row r="460">
      <c r="A460" s="74" t="n"/>
      <c r="B460" s="74" t="n"/>
      <c r="C460" s="74" t="n"/>
      <c r="D460" s="74" t="n"/>
      <c r="E460" s="74" t="n"/>
      <c r="F460" s="74" t="n"/>
      <c r="G460" s="74" t="n"/>
      <c r="H460" s="74" t="n"/>
      <c r="I460" s="74" t="n"/>
      <c r="J460" s="74" t="n"/>
      <c r="K460" s="74" t="n"/>
      <c r="L460" s="74" t="n"/>
      <c r="M460" s="74" t="n"/>
      <c r="N460" s="74" t="n"/>
      <c r="O460" s="74" t="n"/>
      <c r="P460" s="74" t="n"/>
      <c r="Q460" s="74" t="n"/>
      <c r="R460" s="74" t="n"/>
      <c r="S460" s="74" t="n"/>
      <c r="T460" s="74" t="n"/>
      <c r="U460" s="74" t="n"/>
      <c r="V460" s="74" t="n"/>
      <c r="W460" s="74" t="n"/>
    </row>
    <row r="461">
      <c r="A461" s="74" t="n"/>
      <c r="B461" s="74" t="n"/>
      <c r="C461" s="74" t="n"/>
      <c r="D461" s="74" t="n"/>
      <c r="E461" s="74" t="n"/>
      <c r="F461" s="74" t="n"/>
      <c r="G461" s="74" t="n"/>
      <c r="H461" s="74" t="n"/>
      <c r="I461" s="74" t="n"/>
      <c r="J461" s="74" t="n"/>
      <c r="K461" s="74" t="n"/>
      <c r="L461" s="74" t="n"/>
      <c r="M461" s="74" t="n"/>
      <c r="N461" s="74" t="n"/>
      <c r="O461" s="74" t="n"/>
      <c r="P461" s="74" t="n"/>
      <c r="Q461" s="74" t="n"/>
      <c r="R461" s="74" t="n"/>
      <c r="S461" s="74" t="n"/>
      <c r="T461" s="74" t="n"/>
      <c r="U461" s="74" t="n"/>
      <c r="V461" s="74" t="n"/>
      <c r="W461" s="74" t="n"/>
    </row>
    <row r="462">
      <c r="A462" s="74" t="n"/>
      <c r="B462" s="74" t="n"/>
      <c r="C462" s="74" t="n"/>
      <c r="D462" s="74" t="n"/>
      <c r="E462" s="74" t="n"/>
      <c r="F462" s="74" t="n"/>
      <c r="G462" s="74" t="n"/>
      <c r="H462" s="74" t="n"/>
      <c r="I462" s="74" t="n"/>
      <c r="J462" s="74" t="n"/>
      <c r="K462" s="74" t="n"/>
      <c r="L462" s="74" t="n"/>
      <c r="M462" s="74" t="n"/>
      <c r="N462" s="74" t="n"/>
      <c r="O462" s="74" t="n"/>
      <c r="P462" s="74" t="n"/>
      <c r="Q462" s="74" t="n"/>
      <c r="R462" s="74" t="n"/>
      <c r="S462" s="74" t="n"/>
      <c r="T462" s="74" t="n"/>
      <c r="U462" s="74" t="n"/>
      <c r="V462" s="74" t="n"/>
      <c r="W462" s="74" t="n"/>
    </row>
    <row r="463">
      <c r="A463" s="74" t="n"/>
      <c r="B463" s="74" t="n"/>
      <c r="C463" s="74" t="n"/>
      <c r="D463" s="74" t="n"/>
      <c r="E463" s="74" t="n"/>
      <c r="F463" s="74" t="n"/>
      <c r="G463" s="74" t="n"/>
      <c r="H463" s="74" t="n"/>
      <c r="I463" s="74" t="n"/>
      <c r="J463" s="74" t="n"/>
      <c r="K463" s="74" t="n"/>
      <c r="L463" s="74" t="n"/>
      <c r="M463" s="74" t="n"/>
      <c r="N463" s="74" t="n"/>
      <c r="O463" s="74" t="n"/>
      <c r="P463" s="74" t="n"/>
      <c r="Q463" s="74" t="n"/>
      <c r="R463" s="74" t="n"/>
      <c r="S463" s="74" t="n"/>
      <c r="T463" s="74" t="n"/>
      <c r="U463" s="74" t="n"/>
      <c r="V463" s="74" t="n"/>
      <c r="W463" s="74" t="n"/>
    </row>
    <row r="464">
      <c r="A464" s="74" t="n"/>
      <c r="B464" s="74" t="n"/>
      <c r="C464" s="74" t="n"/>
      <c r="D464" s="74" t="n"/>
      <c r="E464" s="74" t="n"/>
      <c r="F464" s="74" t="n"/>
      <c r="G464" s="74" t="n"/>
      <c r="H464" s="74" t="n"/>
      <c r="I464" s="74" t="n"/>
      <c r="J464" s="74" t="n"/>
      <c r="K464" s="74" t="n"/>
      <c r="L464" s="74" t="n"/>
      <c r="M464" s="74" t="n"/>
      <c r="N464" s="74" t="n"/>
      <c r="O464" s="74" t="n"/>
      <c r="P464" s="74" t="n"/>
      <c r="Q464" s="74" t="n"/>
      <c r="R464" s="74" t="n"/>
      <c r="S464" s="74" t="n"/>
      <c r="T464" s="74" t="n"/>
      <c r="U464" s="74" t="n"/>
      <c r="V464" s="74" t="n"/>
      <c r="W464" s="74" t="n"/>
    </row>
    <row r="465">
      <c r="A465" s="74" t="n"/>
      <c r="B465" s="74" t="n"/>
      <c r="C465" s="74" t="n"/>
      <c r="D465" s="74" t="n"/>
      <c r="E465" s="74" t="n"/>
      <c r="F465" s="74" t="n"/>
      <c r="G465" s="74" t="n"/>
      <c r="H465" s="74" t="n"/>
      <c r="I465" s="74" t="n"/>
      <c r="J465" s="74" t="n"/>
      <c r="K465" s="74" t="n"/>
      <c r="L465" s="74" t="n"/>
      <c r="M465" s="74" t="n"/>
      <c r="N465" s="74" t="n"/>
      <c r="O465" s="74" t="n"/>
      <c r="P465" s="74" t="n"/>
      <c r="Q465" s="74" t="n"/>
      <c r="R465" s="74" t="n"/>
      <c r="S465" s="74" t="n"/>
      <c r="T465" s="74" t="n"/>
      <c r="U465" s="74" t="n"/>
      <c r="V465" s="74" t="n"/>
      <c r="W465" s="74" t="n"/>
    </row>
    <row r="466">
      <c r="A466" s="74" t="n"/>
      <c r="B466" s="74" t="n"/>
      <c r="C466" s="74" t="n"/>
      <c r="D466" s="74" t="n"/>
      <c r="E466" s="74" t="n"/>
      <c r="F466" s="74" t="n"/>
      <c r="G466" s="74" t="n"/>
      <c r="H466" s="74" t="n"/>
      <c r="I466" s="74" t="n"/>
      <c r="J466" s="74" t="n"/>
      <c r="K466" s="74" t="n"/>
      <c r="L466" s="74" t="n"/>
      <c r="M466" s="74" t="n"/>
      <c r="N466" s="74" t="n"/>
      <c r="O466" s="74" t="n"/>
      <c r="P466" s="74" t="n"/>
      <c r="Q466" s="74" t="n"/>
      <c r="R466" s="74" t="n"/>
      <c r="S466" s="74" t="n"/>
      <c r="T466" s="74" t="n"/>
      <c r="U466" s="74" t="n"/>
      <c r="V466" s="74" t="n"/>
      <c r="W466" s="74" t="n"/>
    </row>
    <row r="467">
      <c r="A467" s="74" t="n"/>
      <c r="B467" s="74" t="n"/>
      <c r="C467" s="74" t="n"/>
      <c r="D467" s="74" t="n"/>
      <c r="E467" s="74" t="n"/>
      <c r="F467" s="74" t="n"/>
      <c r="G467" s="74" t="n"/>
      <c r="H467" s="74" t="n"/>
      <c r="I467" s="74" t="n"/>
      <c r="J467" s="74" t="n"/>
      <c r="K467" s="74" t="n"/>
      <c r="L467" s="74" t="n"/>
      <c r="M467" s="74" t="n"/>
      <c r="N467" s="74" t="n"/>
      <c r="O467" s="74" t="n"/>
      <c r="P467" s="74" t="n"/>
      <c r="Q467" s="74" t="n"/>
      <c r="R467" s="74" t="n"/>
      <c r="S467" s="74" t="n"/>
      <c r="T467" s="74" t="n"/>
      <c r="U467" s="74" t="n"/>
      <c r="V467" s="74" t="n"/>
      <c r="W467" s="74" t="n"/>
    </row>
    <row r="468">
      <c r="A468" s="74" t="n"/>
      <c r="B468" s="74" t="n"/>
      <c r="C468" s="74" t="n"/>
      <c r="D468" s="74" t="n"/>
      <c r="E468" s="74" t="n"/>
      <c r="F468" s="74" t="n"/>
      <c r="G468" s="74" t="n"/>
      <c r="H468" s="74" t="n"/>
      <c r="I468" s="74" t="n"/>
      <c r="J468" s="74" t="n"/>
      <c r="K468" s="74" t="n"/>
      <c r="L468" s="74" t="n"/>
      <c r="M468" s="74" t="n"/>
      <c r="N468" s="74" t="n"/>
      <c r="O468" s="74" t="n"/>
      <c r="P468" s="74" t="n"/>
      <c r="Q468" s="74" t="n"/>
      <c r="R468" s="74" t="n"/>
      <c r="S468" s="74" t="n"/>
      <c r="T468" s="74" t="n"/>
      <c r="U468" s="74" t="n"/>
      <c r="V468" s="74" t="n"/>
      <c r="W468" s="74" t="n"/>
    </row>
    <row r="469">
      <c r="A469" s="74" t="n"/>
      <c r="B469" s="74" t="n"/>
      <c r="C469" s="74" t="n"/>
      <c r="D469" s="74" t="n"/>
      <c r="E469" s="74" t="n"/>
      <c r="F469" s="74" t="n"/>
      <c r="G469" s="74" t="n"/>
      <c r="H469" s="74" t="n"/>
      <c r="I469" s="74" t="n"/>
      <c r="J469" s="74" t="n"/>
      <c r="K469" s="74" t="n"/>
      <c r="L469" s="74" t="n"/>
      <c r="M469" s="74" t="n"/>
      <c r="N469" s="74" t="n"/>
      <c r="O469" s="74" t="n"/>
      <c r="P469" s="74" t="n"/>
      <c r="Q469" s="74" t="n"/>
      <c r="R469" s="74" t="n"/>
      <c r="S469" s="74" t="n"/>
      <c r="T469" s="74" t="n"/>
      <c r="U469" s="74" t="n"/>
      <c r="V469" s="74" t="n"/>
      <c r="W469" s="74" t="n"/>
    </row>
    <row r="470">
      <c r="A470" s="74" t="n"/>
      <c r="B470" s="74" t="n"/>
      <c r="C470" s="74" t="n"/>
      <c r="D470" s="74" t="n"/>
      <c r="E470" s="74" t="n"/>
      <c r="F470" s="74" t="n"/>
      <c r="G470" s="74" t="n"/>
      <c r="H470" s="74" t="n"/>
      <c r="I470" s="74" t="n"/>
      <c r="J470" s="74" t="n"/>
      <c r="K470" s="74" t="n"/>
      <c r="L470" s="74" t="n"/>
      <c r="M470" s="74" t="n"/>
      <c r="N470" s="74" t="n"/>
      <c r="O470" s="74" t="n"/>
      <c r="P470" s="74" t="n"/>
      <c r="Q470" s="74" t="n"/>
      <c r="R470" s="74" t="n"/>
      <c r="S470" s="74" t="n"/>
      <c r="T470" s="74" t="n"/>
      <c r="U470" s="74" t="n"/>
      <c r="V470" s="74" t="n"/>
      <c r="W470" s="74" t="n"/>
    </row>
    <row r="471">
      <c r="A471" s="74" t="n"/>
      <c r="B471" s="74" t="n"/>
      <c r="C471" s="74" t="n"/>
      <c r="D471" s="74" t="n"/>
      <c r="E471" s="74" t="n"/>
      <c r="F471" s="74" t="n"/>
      <c r="G471" s="74" t="n"/>
      <c r="H471" s="74" t="n"/>
      <c r="I471" s="74" t="n"/>
      <c r="J471" s="74" t="n"/>
      <c r="K471" s="74" t="n"/>
      <c r="L471" s="74" t="n"/>
      <c r="M471" s="74" t="n"/>
      <c r="N471" s="74" t="n"/>
      <c r="O471" s="74" t="n"/>
      <c r="P471" s="74" t="n"/>
      <c r="Q471" s="74" t="n"/>
      <c r="R471" s="74" t="n"/>
      <c r="S471" s="74" t="n"/>
      <c r="T471" s="74" t="n"/>
      <c r="U471" s="74" t="n"/>
      <c r="V471" s="74" t="n"/>
      <c r="W471" s="74" t="n"/>
    </row>
    <row r="472">
      <c r="A472" s="74" t="n"/>
      <c r="B472" s="74" t="n"/>
      <c r="C472" s="74" t="n"/>
      <c r="D472" s="74" t="n"/>
      <c r="E472" s="74" t="n"/>
      <c r="F472" s="74" t="n"/>
      <c r="G472" s="74" t="n"/>
      <c r="H472" s="74" t="n"/>
      <c r="I472" s="74" t="n"/>
      <c r="J472" s="74" t="n"/>
      <c r="K472" s="74" t="n"/>
      <c r="L472" s="74" t="n"/>
      <c r="M472" s="74" t="n"/>
      <c r="N472" s="74" t="n"/>
      <c r="O472" s="74" t="n"/>
      <c r="P472" s="74" t="n"/>
      <c r="Q472" s="74" t="n"/>
      <c r="R472" s="74" t="n"/>
      <c r="S472" s="74" t="n"/>
      <c r="T472" s="74" t="n"/>
      <c r="U472" s="74" t="n"/>
      <c r="V472" s="74" t="n"/>
      <c r="W472" s="74" t="n"/>
    </row>
    <row r="473">
      <c r="A473" s="74" t="n"/>
      <c r="B473" s="74" t="n"/>
      <c r="C473" s="74" t="n"/>
      <c r="D473" s="74" t="n"/>
      <c r="E473" s="74" t="n"/>
      <c r="F473" s="74" t="n"/>
      <c r="G473" s="74" t="n"/>
      <c r="H473" s="74" t="n"/>
      <c r="I473" s="74" t="n"/>
      <c r="J473" s="74" t="n"/>
      <c r="K473" s="74" t="n"/>
      <c r="L473" s="74" t="n"/>
      <c r="M473" s="74" t="n"/>
      <c r="N473" s="74" t="n"/>
      <c r="O473" s="74" t="n"/>
      <c r="P473" s="74" t="n"/>
      <c r="Q473" s="74" t="n"/>
      <c r="R473" s="74" t="n"/>
      <c r="S473" s="74" t="n"/>
      <c r="T473" s="74" t="n"/>
      <c r="U473" s="74" t="n"/>
      <c r="V473" s="74" t="n"/>
      <c r="W473" s="74" t="n"/>
    </row>
    <row r="474">
      <c r="A474" s="74" t="n"/>
      <c r="B474" s="74" t="n"/>
      <c r="C474" s="74" t="n"/>
      <c r="D474" s="74" t="n"/>
      <c r="E474" s="74" t="n"/>
      <c r="F474" s="74" t="n"/>
      <c r="G474" s="74" t="n"/>
      <c r="H474" s="74" t="n"/>
      <c r="I474" s="74" t="n"/>
      <c r="J474" s="74" t="n"/>
      <c r="K474" s="74" t="n"/>
      <c r="L474" s="74" t="n"/>
      <c r="M474" s="74" t="n"/>
      <c r="N474" s="74" t="n"/>
      <c r="O474" s="74" t="n"/>
      <c r="P474" s="74" t="n"/>
      <c r="Q474" s="74" t="n"/>
      <c r="R474" s="74" t="n"/>
      <c r="S474" s="74" t="n"/>
      <c r="T474" s="74" t="n"/>
      <c r="U474" s="74" t="n"/>
      <c r="V474" s="74" t="n"/>
      <c r="W474" s="74" t="n"/>
    </row>
    <row r="475">
      <c r="A475" s="74" t="n"/>
      <c r="B475" s="74" t="n"/>
      <c r="C475" s="74" t="n"/>
      <c r="D475" s="74" t="n"/>
      <c r="E475" s="74" t="n"/>
      <c r="F475" s="74" t="n"/>
      <c r="G475" s="74" t="n"/>
      <c r="H475" s="74" t="n"/>
      <c r="I475" s="74" t="n"/>
      <c r="J475" s="74" t="n"/>
      <c r="K475" s="74" t="n"/>
      <c r="L475" s="74" t="n"/>
      <c r="M475" s="74" t="n"/>
      <c r="N475" s="74" t="n"/>
      <c r="O475" s="74" t="n"/>
      <c r="P475" s="74" t="n"/>
      <c r="Q475" s="74" t="n"/>
      <c r="R475" s="74" t="n"/>
      <c r="S475" s="74" t="n"/>
      <c r="T475" s="74" t="n"/>
      <c r="U475" s="74" t="n"/>
      <c r="V475" s="74" t="n"/>
      <c r="W475" s="74" t="n"/>
    </row>
    <row r="476">
      <c r="A476" s="74" t="n"/>
      <c r="B476" s="74" t="n"/>
      <c r="C476" s="74" t="n"/>
      <c r="D476" s="74" t="n"/>
      <c r="E476" s="74" t="n"/>
      <c r="F476" s="74" t="n"/>
      <c r="G476" s="74" t="n"/>
      <c r="H476" s="74" t="n"/>
      <c r="I476" s="74" t="n"/>
      <c r="J476" s="74" t="n"/>
      <c r="K476" s="74" t="n"/>
      <c r="L476" s="74" t="n"/>
      <c r="M476" s="74" t="n"/>
      <c r="N476" s="74" t="n"/>
      <c r="O476" s="74" t="n"/>
      <c r="P476" s="74" t="n"/>
      <c r="Q476" s="74" t="n"/>
      <c r="R476" s="74" t="n"/>
      <c r="S476" s="74" t="n"/>
      <c r="T476" s="74" t="n"/>
      <c r="U476" s="74" t="n"/>
      <c r="V476" s="74" t="n"/>
      <c r="W476" s="74" t="n"/>
    </row>
    <row r="477">
      <c r="A477" s="74" t="n"/>
      <c r="B477" s="74" t="n"/>
      <c r="C477" s="74" t="n"/>
      <c r="D477" s="74" t="n"/>
      <c r="E477" s="74" t="n"/>
      <c r="F477" s="74" t="n"/>
      <c r="G477" s="74" t="n"/>
      <c r="H477" s="74" t="n"/>
      <c r="I477" s="74" t="n"/>
      <c r="J477" s="74" t="n"/>
      <c r="K477" s="74" t="n"/>
      <c r="L477" s="74" t="n"/>
      <c r="M477" s="74" t="n"/>
      <c r="N477" s="74" t="n"/>
      <c r="O477" s="74" t="n"/>
      <c r="P477" s="74" t="n"/>
      <c r="Q477" s="74" t="n"/>
      <c r="R477" s="74" t="n"/>
      <c r="S477" s="74" t="n"/>
      <c r="T477" s="74" t="n"/>
      <c r="U477" s="74" t="n"/>
      <c r="V477" s="74" t="n"/>
      <c r="W477" s="74" t="n"/>
    </row>
    <row r="478">
      <c r="A478" s="74" t="n"/>
      <c r="B478" s="74" t="n"/>
      <c r="C478" s="74" t="n"/>
      <c r="D478" s="74" t="n"/>
      <c r="E478" s="74" t="n"/>
      <c r="F478" s="74" t="n"/>
      <c r="G478" s="74" t="n"/>
      <c r="H478" s="74" t="n"/>
      <c r="I478" s="74" t="n"/>
      <c r="J478" s="74" t="n"/>
      <c r="K478" s="74" t="n"/>
      <c r="L478" s="74" t="n"/>
      <c r="M478" s="74" t="n"/>
      <c r="N478" s="74" t="n"/>
      <c r="O478" s="74" t="n"/>
      <c r="P478" s="74" t="n"/>
      <c r="Q478" s="74" t="n"/>
      <c r="R478" s="74" t="n"/>
      <c r="S478" s="74" t="n"/>
      <c r="T478" s="74" t="n"/>
      <c r="U478" s="74" t="n"/>
      <c r="V478" s="74" t="n"/>
      <c r="W478" s="74" t="n"/>
    </row>
    <row r="479">
      <c r="A479" s="74" t="n"/>
      <c r="B479" s="74" t="n"/>
      <c r="C479" s="74" t="n"/>
      <c r="D479" s="74" t="n"/>
      <c r="E479" s="74" t="n"/>
      <c r="F479" s="74" t="n"/>
      <c r="G479" s="74" t="n"/>
      <c r="H479" s="74" t="n"/>
      <c r="I479" s="74" t="n"/>
      <c r="J479" s="74" t="n"/>
      <c r="K479" s="74" t="n"/>
      <c r="L479" s="74" t="n"/>
      <c r="M479" s="74" t="n"/>
      <c r="N479" s="74" t="n"/>
      <c r="O479" s="74" t="n"/>
      <c r="P479" s="74" t="n"/>
      <c r="Q479" s="74" t="n"/>
      <c r="R479" s="74" t="n"/>
      <c r="S479" s="74" t="n"/>
      <c r="T479" s="74" t="n"/>
      <c r="U479" s="74" t="n"/>
      <c r="V479" s="74" t="n"/>
      <c r="W479" s="74" t="n"/>
    </row>
    <row r="480">
      <c r="A480" s="74" t="n"/>
      <c r="B480" s="74" t="n"/>
      <c r="C480" s="74" t="n"/>
      <c r="D480" s="74" t="n"/>
      <c r="E480" s="74" t="n"/>
      <c r="F480" s="74" t="n"/>
      <c r="G480" s="74" t="n"/>
      <c r="H480" s="74" t="n"/>
      <c r="I480" s="74" t="n"/>
      <c r="J480" s="74" t="n"/>
      <c r="K480" s="74" t="n"/>
      <c r="L480" s="74" t="n"/>
      <c r="M480" s="74" t="n"/>
      <c r="N480" s="74" t="n"/>
      <c r="O480" s="74" t="n"/>
      <c r="P480" s="74" t="n"/>
      <c r="Q480" s="74" t="n"/>
      <c r="R480" s="74" t="n"/>
      <c r="S480" s="74" t="n"/>
      <c r="T480" s="74" t="n"/>
      <c r="U480" s="74" t="n"/>
      <c r="V480" s="74" t="n"/>
      <c r="W480" s="74" t="n"/>
    </row>
    <row r="481">
      <c r="A481" s="74" t="n"/>
      <c r="B481" s="74" t="n"/>
      <c r="C481" s="74" t="n"/>
      <c r="D481" s="74" t="n"/>
      <c r="E481" s="74" t="n"/>
      <c r="F481" s="74" t="n"/>
      <c r="G481" s="74" t="n"/>
      <c r="H481" s="74" t="n"/>
      <c r="I481" s="74" t="n"/>
      <c r="J481" s="74" t="n"/>
      <c r="K481" s="74" t="n"/>
      <c r="L481" s="74" t="n"/>
      <c r="M481" s="74" t="n"/>
      <c r="N481" s="74" t="n"/>
      <c r="O481" s="74" t="n"/>
      <c r="P481" s="74" t="n"/>
      <c r="Q481" s="74" t="n"/>
      <c r="R481" s="74" t="n"/>
      <c r="S481" s="74" t="n"/>
      <c r="T481" s="74" t="n"/>
      <c r="U481" s="74" t="n"/>
      <c r="V481" s="74" t="n"/>
      <c r="W481" s="74" t="n"/>
    </row>
    <row r="482">
      <c r="A482" s="74" t="n"/>
      <c r="B482" s="74" t="n"/>
      <c r="C482" s="74" t="n"/>
      <c r="D482" s="74" t="n"/>
      <c r="E482" s="74" t="n"/>
      <c r="F482" s="74" t="n"/>
      <c r="G482" s="74" t="n"/>
      <c r="H482" s="74" t="n"/>
      <c r="I482" s="74" t="n"/>
      <c r="J482" s="74" t="n"/>
      <c r="K482" s="74" t="n"/>
      <c r="L482" s="74" t="n"/>
      <c r="M482" s="74" t="n"/>
      <c r="N482" s="74" t="n"/>
      <c r="O482" s="74" t="n"/>
      <c r="P482" s="74" t="n"/>
      <c r="Q482" s="74" t="n"/>
      <c r="R482" s="74" t="n"/>
      <c r="S482" s="74" t="n"/>
      <c r="T482" s="74" t="n"/>
      <c r="U482" s="74" t="n"/>
      <c r="V482" s="74" t="n"/>
      <c r="W482" s="74" t="n"/>
    </row>
    <row r="483">
      <c r="A483" s="74" t="n"/>
      <c r="B483" s="74" t="n"/>
      <c r="C483" s="74" t="n"/>
      <c r="D483" s="74" t="n"/>
      <c r="E483" s="74" t="n"/>
      <c r="F483" s="74" t="n"/>
      <c r="G483" s="74" t="n"/>
      <c r="H483" s="74" t="n"/>
      <c r="I483" s="74" t="n"/>
      <c r="J483" s="74" t="n"/>
      <c r="K483" s="74" t="n"/>
      <c r="L483" s="74" t="n"/>
      <c r="M483" s="74" t="n"/>
      <c r="N483" s="74" t="n"/>
      <c r="O483" s="74" t="n"/>
      <c r="P483" s="74" t="n"/>
      <c r="Q483" s="74" t="n"/>
      <c r="R483" s="74" t="n"/>
      <c r="S483" s="74" t="n"/>
      <c r="T483" s="74" t="n"/>
      <c r="U483" s="74" t="n"/>
      <c r="V483" s="74" t="n"/>
      <c r="W483" s="74" t="n"/>
    </row>
    <row r="484">
      <c r="A484" s="74" t="n"/>
      <c r="B484" s="74" t="n"/>
      <c r="C484" s="74" t="n"/>
      <c r="D484" s="74" t="n"/>
      <c r="E484" s="74" t="n"/>
      <c r="F484" s="74" t="n"/>
      <c r="G484" s="74" t="n"/>
      <c r="H484" s="74" t="n"/>
      <c r="I484" s="74" t="n"/>
      <c r="J484" s="74" t="n"/>
      <c r="K484" s="74" t="n"/>
      <c r="L484" s="74" t="n"/>
      <c r="M484" s="74" t="n"/>
      <c r="N484" s="74" t="n"/>
      <c r="O484" s="74" t="n"/>
      <c r="P484" s="74" t="n"/>
      <c r="Q484" s="74" t="n"/>
      <c r="R484" s="74" t="n"/>
      <c r="S484" s="74" t="n"/>
      <c r="T484" s="74" t="n"/>
      <c r="U484" s="74" t="n"/>
      <c r="V484" s="74" t="n"/>
      <c r="W484" s="74" t="n"/>
    </row>
    <row r="485">
      <c r="A485" s="74" t="n"/>
      <c r="B485" s="74" t="n"/>
      <c r="C485" s="74" t="n"/>
      <c r="D485" s="74" t="n"/>
      <c r="E485" s="74" t="n"/>
      <c r="F485" s="74" t="n"/>
      <c r="G485" s="74" t="n"/>
      <c r="H485" s="74" t="n"/>
      <c r="I485" s="74" t="n"/>
      <c r="J485" s="74" t="n"/>
      <c r="K485" s="74" t="n"/>
      <c r="L485" s="74" t="n"/>
      <c r="M485" s="74" t="n"/>
      <c r="N485" s="74" t="n"/>
      <c r="O485" s="74" t="n"/>
      <c r="P485" s="74" t="n"/>
      <c r="Q485" s="74" t="n"/>
      <c r="R485" s="74" t="n"/>
      <c r="S485" s="74" t="n"/>
      <c r="T485" s="74" t="n"/>
      <c r="U485" s="74" t="n"/>
      <c r="V485" s="74" t="n"/>
      <c r="W485" s="74" t="n"/>
    </row>
    <row r="486">
      <c r="A486" s="74" t="n"/>
      <c r="B486" s="74" t="n"/>
      <c r="C486" s="74" t="n"/>
      <c r="D486" s="74" t="n"/>
      <c r="E486" s="74" t="n"/>
      <c r="F486" s="74" t="n"/>
      <c r="G486" s="74" t="n"/>
      <c r="H486" s="74" t="n"/>
      <c r="I486" s="74" t="n"/>
      <c r="J486" s="74" t="n"/>
      <c r="K486" s="74" t="n"/>
      <c r="L486" s="74" t="n"/>
      <c r="M486" s="74" t="n"/>
      <c r="N486" s="74" t="n"/>
      <c r="O486" s="74" t="n"/>
      <c r="P486" s="74" t="n"/>
      <c r="Q486" s="74" t="n"/>
      <c r="R486" s="74" t="n"/>
      <c r="S486" s="74" t="n"/>
      <c r="T486" s="74" t="n"/>
      <c r="U486" s="74" t="n"/>
      <c r="V486" s="74" t="n"/>
      <c r="W486" s="74" t="n"/>
    </row>
    <row r="487">
      <c r="A487" s="74" t="n"/>
      <c r="B487" s="74" t="n"/>
      <c r="C487" s="74" t="n"/>
      <c r="D487" s="74" t="n"/>
      <c r="E487" s="74" t="n"/>
      <c r="F487" s="74" t="n"/>
      <c r="G487" s="74" t="n"/>
      <c r="H487" s="74" t="n"/>
      <c r="I487" s="74" t="n"/>
      <c r="J487" s="74" t="n"/>
      <c r="K487" s="74" t="n"/>
      <c r="L487" s="74" t="n"/>
      <c r="M487" s="74" t="n"/>
      <c r="N487" s="74" t="n"/>
      <c r="O487" s="74" t="n"/>
      <c r="P487" s="74" t="n"/>
      <c r="Q487" s="74" t="n"/>
      <c r="R487" s="74" t="n"/>
      <c r="S487" s="74" t="n"/>
      <c r="T487" s="74" t="n"/>
      <c r="U487" s="74" t="n"/>
      <c r="V487" s="74" t="n"/>
      <c r="W487" s="74" t="n"/>
    </row>
    <row r="488">
      <c r="A488" s="74" t="n"/>
      <c r="B488" s="74" t="n"/>
      <c r="C488" s="74" t="n"/>
      <c r="D488" s="74" t="n"/>
      <c r="E488" s="74" t="n"/>
      <c r="F488" s="74" t="n"/>
      <c r="G488" s="74" t="n"/>
      <c r="H488" s="74" t="n"/>
      <c r="I488" s="74" t="n"/>
      <c r="J488" s="74" t="n"/>
      <c r="K488" s="74" t="n"/>
      <c r="L488" s="74" t="n"/>
      <c r="M488" s="74" t="n"/>
      <c r="N488" s="74" t="n"/>
      <c r="O488" s="74" t="n"/>
      <c r="P488" s="74" t="n"/>
      <c r="Q488" s="74" t="n"/>
      <c r="R488" s="74" t="n"/>
      <c r="S488" s="74" t="n"/>
      <c r="T488" s="74" t="n"/>
      <c r="U488" s="74" t="n"/>
      <c r="V488" s="74" t="n"/>
      <c r="W488" s="74" t="n"/>
    </row>
    <row r="489">
      <c r="A489" s="74" t="n"/>
      <c r="B489" s="74" t="n"/>
      <c r="C489" s="74" t="n"/>
      <c r="D489" s="74" t="n"/>
      <c r="E489" s="74" t="n"/>
      <c r="F489" s="74" t="n"/>
      <c r="G489" s="74" t="n"/>
      <c r="H489" s="74" t="n"/>
      <c r="I489" s="74" t="n"/>
      <c r="J489" s="74" t="n"/>
      <c r="K489" s="74" t="n"/>
      <c r="L489" s="74" t="n"/>
      <c r="M489" s="74" t="n"/>
      <c r="N489" s="74" t="n"/>
      <c r="O489" s="74" t="n"/>
      <c r="P489" s="74" t="n"/>
      <c r="Q489" s="74" t="n"/>
      <c r="R489" s="74" t="n"/>
      <c r="S489" s="74" t="n"/>
      <c r="T489" s="74" t="n"/>
      <c r="U489" s="74" t="n"/>
      <c r="V489" s="74" t="n"/>
      <c r="W489" s="74" t="n"/>
    </row>
    <row r="490">
      <c r="A490" s="74" t="n"/>
      <c r="B490" s="74" t="n"/>
      <c r="C490" s="74" t="n"/>
      <c r="D490" s="74" t="n"/>
      <c r="E490" s="74" t="n"/>
      <c r="F490" s="74" t="n"/>
      <c r="G490" s="74" t="n"/>
      <c r="H490" s="74" t="n"/>
      <c r="I490" s="74" t="n"/>
      <c r="J490" s="74" t="n"/>
      <c r="K490" s="74" t="n"/>
      <c r="L490" s="74" t="n"/>
      <c r="M490" s="74" t="n"/>
      <c r="N490" s="74" t="n"/>
      <c r="O490" s="74" t="n"/>
      <c r="P490" s="74" t="n"/>
      <c r="Q490" s="74" t="n"/>
      <c r="R490" s="74" t="n"/>
      <c r="S490" s="74" t="n"/>
      <c r="T490" s="74" t="n"/>
      <c r="U490" s="74" t="n"/>
      <c r="V490" s="74" t="n"/>
      <c r="W490" s="74" t="n"/>
    </row>
    <row r="491">
      <c r="A491" s="74" t="n"/>
      <c r="B491" s="74" t="n"/>
      <c r="C491" s="74" t="n"/>
      <c r="D491" s="74" t="n"/>
      <c r="E491" s="74" t="n"/>
      <c r="F491" s="74" t="n"/>
      <c r="G491" s="74" t="n"/>
      <c r="H491" s="74" t="n"/>
      <c r="I491" s="74" t="n"/>
      <c r="J491" s="74" t="n"/>
      <c r="K491" s="74" t="n"/>
      <c r="L491" s="74" t="n"/>
      <c r="M491" s="74" t="n"/>
      <c r="N491" s="74" t="n"/>
      <c r="O491" s="74" t="n"/>
      <c r="P491" s="74" t="n"/>
      <c r="Q491" s="74" t="n"/>
      <c r="R491" s="74" t="n"/>
      <c r="S491" s="74" t="n"/>
      <c r="T491" s="74" t="n"/>
      <c r="U491" s="74" t="n"/>
      <c r="V491" s="74" t="n"/>
      <c r="W491" s="74" t="n"/>
    </row>
    <row r="492">
      <c r="A492" s="74" t="n"/>
      <c r="B492" s="74" t="n"/>
      <c r="C492" s="74" t="n"/>
      <c r="D492" s="74" t="n"/>
      <c r="E492" s="74" t="n"/>
      <c r="F492" s="74" t="n"/>
      <c r="G492" s="74" t="n"/>
      <c r="H492" s="74" t="n"/>
      <c r="I492" s="74" t="n"/>
      <c r="J492" s="74" t="n"/>
      <c r="K492" s="74" t="n"/>
      <c r="L492" s="74" t="n"/>
      <c r="M492" s="74" t="n"/>
      <c r="N492" s="74" t="n"/>
      <c r="O492" s="74" t="n"/>
      <c r="P492" s="74" t="n"/>
      <c r="Q492" s="74" t="n"/>
      <c r="R492" s="74" t="n"/>
      <c r="S492" s="74" t="n"/>
      <c r="T492" s="74" t="n"/>
      <c r="U492" s="74" t="n"/>
      <c r="V492" s="74" t="n"/>
      <c r="W492" s="74" t="n"/>
    </row>
    <row r="493">
      <c r="A493" s="74" t="n"/>
      <c r="B493" s="74" t="n"/>
      <c r="C493" s="74" t="n"/>
      <c r="D493" s="74" t="n"/>
      <c r="E493" s="74" t="n"/>
      <c r="F493" s="74" t="n"/>
      <c r="G493" s="74" t="n"/>
      <c r="H493" s="74" t="n"/>
      <c r="I493" s="74" t="n"/>
      <c r="J493" s="74" t="n"/>
      <c r="K493" s="74" t="n"/>
      <c r="L493" s="74" t="n"/>
      <c r="M493" s="74" t="n"/>
      <c r="N493" s="74" t="n"/>
      <c r="O493" s="74" t="n"/>
      <c r="P493" s="74" t="n"/>
      <c r="Q493" s="74" t="n"/>
      <c r="R493" s="74" t="n"/>
      <c r="S493" s="74" t="n"/>
      <c r="T493" s="74" t="n"/>
      <c r="U493" s="74" t="n"/>
      <c r="V493" s="74" t="n"/>
      <c r="W493" s="74" t="n"/>
    </row>
    <row r="494">
      <c r="A494" s="74" t="n"/>
      <c r="B494" s="74" t="n"/>
      <c r="C494" s="74" t="n"/>
      <c r="D494" s="74" t="n"/>
      <c r="E494" s="74" t="n"/>
      <c r="F494" s="74" t="n"/>
      <c r="G494" s="74" t="n"/>
      <c r="H494" s="74" t="n"/>
      <c r="I494" s="74" t="n"/>
      <c r="J494" s="74" t="n"/>
      <c r="K494" s="74" t="n"/>
      <c r="L494" s="74" t="n"/>
      <c r="M494" s="74" t="n"/>
      <c r="N494" s="74" t="n"/>
      <c r="O494" s="74" t="n"/>
      <c r="P494" s="74" t="n"/>
      <c r="Q494" s="74" t="n"/>
      <c r="R494" s="74" t="n"/>
      <c r="S494" s="74" t="n"/>
      <c r="T494" s="74" t="n"/>
      <c r="U494" s="74" t="n"/>
      <c r="V494" s="74" t="n"/>
      <c r="W494" s="74" t="n"/>
    </row>
    <row r="495">
      <c r="A495" s="74" t="n"/>
      <c r="B495" s="74" t="n"/>
      <c r="C495" s="74" t="n"/>
      <c r="D495" s="74" t="n"/>
      <c r="E495" s="74" t="n"/>
      <c r="F495" s="74" t="n"/>
      <c r="G495" s="74" t="n"/>
      <c r="H495" s="74" t="n"/>
      <c r="I495" s="74" t="n"/>
      <c r="J495" s="74" t="n"/>
      <c r="K495" s="74" t="n"/>
      <c r="L495" s="74" t="n"/>
      <c r="M495" s="74" t="n"/>
      <c r="N495" s="74" t="n"/>
      <c r="O495" s="74" t="n"/>
      <c r="P495" s="74" t="n"/>
      <c r="Q495" s="74" t="n"/>
      <c r="R495" s="74" t="n"/>
      <c r="S495" s="74" t="n"/>
      <c r="T495" s="74" t="n"/>
      <c r="U495" s="74" t="n"/>
      <c r="V495" s="74" t="n"/>
      <c r="W495" s="74" t="n"/>
    </row>
    <row r="496">
      <c r="A496" s="74" t="n"/>
      <c r="B496" s="74" t="n"/>
      <c r="C496" s="74" t="n"/>
      <c r="D496" s="74" t="n"/>
      <c r="E496" s="74" t="n"/>
      <c r="F496" s="74" t="n"/>
      <c r="G496" s="74" t="n"/>
      <c r="H496" s="74" t="n"/>
      <c r="I496" s="74" t="n"/>
      <c r="J496" s="74" t="n"/>
      <c r="K496" s="74" t="n"/>
      <c r="L496" s="74" t="n"/>
      <c r="M496" s="74" t="n"/>
      <c r="N496" s="74" t="n"/>
      <c r="O496" s="74" t="n"/>
      <c r="P496" s="74" t="n"/>
      <c r="Q496" s="74" t="n"/>
      <c r="R496" s="74" t="n"/>
      <c r="S496" s="74" t="n"/>
      <c r="T496" s="74" t="n"/>
      <c r="U496" s="74" t="n"/>
      <c r="V496" s="74" t="n"/>
      <c r="W496" s="74" t="n"/>
    </row>
    <row r="497">
      <c r="A497" s="74" t="n"/>
      <c r="B497" s="74" t="n"/>
      <c r="C497" s="74" t="n"/>
      <c r="D497" s="74" t="n"/>
      <c r="E497" s="74" t="n"/>
      <c r="F497" s="74" t="n"/>
      <c r="G497" s="74" t="n"/>
      <c r="H497" s="74" t="n"/>
      <c r="I497" s="74" t="n"/>
      <c r="J497" s="74" t="n"/>
      <c r="K497" s="74" t="n"/>
      <c r="L497" s="74" t="n"/>
      <c r="M497" s="74" t="n"/>
      <c r="N497" s="74" t="n"/>
      <c r="O497" s="74" t="n"/>
      <c r="P497" s="74" t="n"/>
      <c r="Q497" s="74" t="n"/>
      <c r="R497" s="74" t="n"/>
      <c r="S497" s="74" t="n"/>
      <c r="T497" s="74" t="n"/>
      <c r="U497" s="74" t="n"/>
      <c r="V497" s="74" t="n"/>
      <c r="W497" s="74" t="n"/>
    </row>
    <row r="498">
      <c r="A498" s="74" t="n"/>
      <c r="B498" s="74" t="n"/>
      <c r="C498" s="74" t="n"/>
      <c r="D498" s="74" t="n"/>
      <c r="E498" s="74" t="n"/>
      <c r="F498" s="74" t="n"/>
      <c r="G498" s="74" t="n"/>
      <c r="H498" s="74" t="n"/>
      <c r="I498" s="74" t="n"/>
      <c r="J498" s="74" t="n"/>
      <c r="K498" s="74" t="n"/>
      <c r="L498" s="74" t="n"/>
      <c r="M498" s="74" t="n"/>
      <c r="N498" s="74" t="n"/>
      <c r="O498" s="74" t="n"/>
      <c r="P498" s="74" t="n"/>
      <c r="Q498" s="74" t="n"/>
      <c r="R498" s="74" t="n"/>
      <c r="S498" s="74" t="n"/>
      <c r="T498" s="74" t="n"/>
      <c r="U498" s="74" t="n"/>
      <c r="V498" s="74" t="n"/>
      <c r="W498" s="74" t="n"/>
    </row>
    <row r="499">
      <c r="A499" s="74" t="n"/>
      <c r="B499" s="74" t="n"/>
      <c r="C499" s="74" t="n"/>
      <c r="D499" s="74" t="n"/>
      <c r="E499" s="74" t="n"/>
      <c r="F499" s="74" t="n"/>
      <c r="G499" s="74" t="n"/>
      <c r="H499" s="74" t="n"/>
      <c r="I499" s="74" t="n"/>
      <c r="J499" s="74" t="n"/>
      <c r="K499" s="74" t="n"/>
      <c r="L499" s="74" t="n"/>
      <c r="M499" s="74" t="n"/>
      <c r="N499" s="74" t="n"/>
      <c r="O499" s="74" t="n"/>
      <c r="P499" s="74" t="n"/>
      <c r="Q499" s="74" t="n"/>
      <c r="R499" s="74" t="n"/>
      <c r="S499" s="74" t="n"/>
      <c r="T499" s="74" t="n"/>
      <c r="U499" s="74" t="n"/>
      <c r="V499" s="74" t="n"/>
      <c r="W499" s="74" t="n"/>
    </row>
    <row r="500">
      <c r="A500" s="74" t="n"/>
      <c r="B500" s="74" t="n"/>
      <c r="C500" s="74" t="n"/>
      <c r="D500" s="74" t="n"/>
      <c r="E500" s="74" t="n"/>
      <c r="F500" s="74" t="n"/>
      <c r="G500" s="74" t="n"/>
      <c r="H500" s="74" t="n"/>
      <c r="I500" s="74" t="n"/>
      <c r="J500" s="74" t="n"/>
      <c r="K500" s="74" t="n"/>
      <c r="L500" s="74" t="n"/>
      <c r="M500" s="74" t="n"/>
      <c r="N500" s="74" t="n"/>
      <c r="O500" s="74" t="n"/>
      <c r="P500" s="74" t="n"/>
      <c r="Q500" s="74" t="n"/>
      <c r="R500" s="74" t="n"/>
      <c r="S500" s="74" t="n"/>
      <c r="T500" s="74" t="n"/>
      <c r="U500" s="74" t="n"/>
      <c r="V500" s="74" t="n"/>
      <c r="W500" s="74" t="n"/>
    </row>
    <row r="501">
      <c r="A501" s="74" t="n"/>
      <c r="B501" s="74" t="n"/>
      <c r="C501" s="74" t="n"/>
      <c r="D501" s="74" t="n"/>
      <c r="E501" s="74" t="n"/>
      <c r="F501" s="74" t="n"/>
      <c r="G501" s="74" t="n"/>
      <c r="H501" s="74" t="n"/>
      <c r="I501" s="74" t="n"/>
      <c r="J501" s="74" t="n"/>
      <c r="K501" s="74" t="n"/>
      <c r="L501" s="74" t="n"/>
      <c r="M501" s="74" t="n"/>
      <c r="N501" s="74" t="n"/>
      <c r="O501" s="74" t="n"/>
      <c r="P501" s="74" t="n"/>
      <c r="Q501" s="74" t="n"/>
      <c r="R501" s="74" t="n"/>
      <c r="S501" s="74" t="n"/>
      <c r="T501" s="74" t="n"/>
      <c r="U501" s="74" t="n"/>
      <c r="V501" s="74" t="n"/>
      <c r="W501" s="74" t="n"/>
    </row>
    <row r="502">
      <c r="A502" s="74" t="n"/>
      <c r="B502" s="74" t="n"/>
      <c r="C502" s="74" t="n"/>
      <c r="D502" s="74" t="n"/>
      <c r="E502" s="74" t="n"/>
      <c r="F502" s="74" t="n"/>
      <c r="G502" s="74" t="n"/>
      <c r="H502" s="74" t="n"/>
      <c r="I502" s="74" t="n"/>
      <c r="J502" s="74" t="n"/>
      <c r="K502" s="74" t="n"/>
      <c r="L502" s="74" t="n"/>
      <c r="M502" s="74" t="n"/>
      <c r="N502" s="74" t="n"/>
      <c r="O502" s="74" t="n"/>
      <c r="P502" s="74" t="n"/>
      <c r="Q502" s="74" t="n"/>
      <c r="R502" s="74" t="n"/>
      <c r="S502" s="74" t="n"/>
      <c r="T502" s="74" t="n"/>
      <c r="U502" s="74" t="n"/>
      <c r="V502" s="74" t="n"/>
      <c r="W502" s="74" t="n"/>
    </row>
    <row r="503">
      <c r="A503" s="74" t="n"/>
      <c r="B503" s="74" t="n"/>
      <c r="C503" s="74" t="n"/>
      <c r="D503" s="74" t="n"/>
      <c r="E503" s="74" t="n"/>
      <c r="F503" s="74" t="n"/>
      <c r="G503" s="74" t="n"/>
      <c r="H503" s="74" t="n"/>
      <c r="I503" s="74" t="n"/>
      <c r="J503" s="74" t="n"/>
      <c r="K503" s="74" t="n"/>
      <c r="L503" s="74" t="n"/>
      <c r="M503" s="74" t="n"/>
      <c r="N503" s="74" t="n"/>
      <c r="O503" s="74" t="n"/>
      <c r="P503" s="74" t="n"/>
      <c r="Q503" s="74" t="n"/>
      <c r="R503" s="74" t="n"/>
      <c r="S503" s="74" t="n"/>
      <c r="T503" s="74" t="n"/>
      <c r="U503" s="74" t="n"/>
      <c r="V503" s="74" t="n"/>
      <c r="W503" s="74" t="n"/>
    </row>
    <row r="504">
      <c r="A504" s="74" t="n"/>
      <c r="B504" s="74" t="n"/>
      <c r="C504" s="74" t="n"/>
      <c r="D504" s="74" t="n"/>
      <c r="E504" s="74" t="n"/>
      <c r="F504" s="74" t="n"/>
      <c r="G504" s="74" t="n"/>
      <c r="H504" s="74" t="n"/>
      <c r="I504" s="74" t="n"/>
      <c r="J504" s="74" t="n"/>
      <c r="K504" s="74" t="n"/>
      <c r="L504" s="74" t="n"/>
      <c r="M504" s="74" t="n"/>
      <c r="N504" s="74" t="n"/>
      <c r="O504" s="74" t="n"/>
      <c r="P504" s="74" t="n"/>
      <c r="Q504" s="74" t="n"/>
      <c r="R504" s="74" t="n"/>
      <c r="S504" s="74" t="n"/>
      <c r="T504" s="74" t="n"/>
      <c r="U504" s="74" t="n"/>
      <c r="V504" s="74" t="n"/>
      <c r="W504" s="74" t="n"/>
    </row>
    <row r="505">
      <c r="A505" s="74" t="n"/>
      <c r="B505" s="74" t="n"/>
      <c r="C505" s="74" t="n"/>
      <c r="D505" s="74" t="n"/>
      <c r="E505" s="74" t="n"/>
      <c r="F505" s="74" t="n"/>
      <c r="G505" s="74" t="n"/>
      <c r="H505" s="74" t="n"/>
      <c r="I505" s="74" t="n"/>
      <c r="J505" s="74" t="n"/>
      <c r="K505" s="74" t="n"/>
      <c r="L505" s="74" t="n"/>
      <c r="M505" s="74" t="n"/>
      <c r="N505" s="74" t="n"/>
      <c r="O505" s="74" t="n"/>
      <c r="P505" s="74" t="n"/>
      <c r="Q505" s="74" t="n"/>
      <c r="R505" s="74" t="n"/>
      <c r="S505" s="74" t="n"/>
      <c r="T505" s="74" t="n"/>
      <c r="U505" s="74" t="n"/>
      <c r="V505" s="74" t="n"/>
      <c r="W505" s="74" t="n"/>
    </row>
    <row r="506">
      <c r="A506" s="74" t="n"/>
      <c r="B506" s="74" t="n"/>
      <c r="C506" s="74" t="n"/>
      <c r="D506" s="74" t="n"/>
      <c r="E506" s="74" t="n"/>
      <c r="F506" s="74" t="n"/>
      <c r="G506" s="74" t="n"/>
      <c r="H506" s="74" t="n"/>
      <c r="I506" s="74" t="n"/>
      <c r="J506" s="74" t="n"/>
      <c r="K506" s="74" t="n"/>
      <c r="L506" s="74" t="n"/>
      <c r="M506" s="74" t="n"/>
      <c r="N506" s="74" t="n"/>
      <c r="O506" s="74" t="n"/>
      <c r="P506" s="74" t="n"/>
      <c r="Q506" s="74" t="n"/>
      <c r="R506" s="74" t="n"/>
      <c r="S506" s="74" t="n"/>
      <c r="T506" s="74" t="n"/>
      <c r="U506" s="74" t="n"/>
      <c r="V506" s="74" t="n"/>
      <c r="W506" s="74" t="n"/>
    </row>
    <row r="507">
      <c r="A507" s="74" t="n"/>
      <c r="B507" s="74" t="n"/>
      <c r="C507" s="74" t="n"/>
      <c r="D507" s="74" t="n"/>
      <c r="E507" s="74" t="n"/>
      <c r="F507" s="74" t="n"/>
      <c r="G507" s="74" t="n"/>
      <c r="H507" s="74" t="n"/>
      <c r="I507" s="74" t="n"/>
      <c r="J507" s="74" t="n"/>
      <c r="K507" s="74" t="n"/>
      <c r="L507" s="74" t="n"/>
      <c r="M507" s="74" t="n"/>
      <c r="N507" s="74" t="n"/>
      <c r="O507" s="74" t="n"/>
      <c r="P507" s="74" t="n"/>
      <c r="Q507" s="74" t="n"/>
      <c r="R507" s="74" t="n"/>
      <c r="S507" s="74" t="n"/>
      <c r="T507" s="74" t="n"/>
      <c r="U507" s="74" t="n"/>
      <c r="V507" s="74" t="n"/>
      <c r="W507" s="74" t="n"/>
    </row>
    <row r="508">
      <c r="A508" s="74" t="n"/>
      <c r="B508" s="74" t="n"/>
      <c r="C508" s="74" t="n"/>
      <c r="D508" s="74" t="n"/>
      <c r="E508" s="74" t="n"/>
      <c r="F508" s="74" t="n"/>
      <c r="G508" s="74" t="n"/>
      <c r="H508" s="74" t="n"/>
      <c r="I508" s="74" t="n"/>
      <c r="J508" s="74" t="n"/>
      <c r="K508" s="74" t="n"/>
      <c r="L508" s="74" t="n"/>
      <c r="M508" s="74" t="n"/>
      <c r="N508" s="74" t="n"/>
      <c r="O508" s="74" t="n"/>
      <c r="P508" s="74" t="n"/>
      <c r="Q508" s="74" t="n"/>
      <c r="R508" s="74" t="n"/>
      <c r="S508" s="74" t="n"/>
      <c r="T508" s="74" t="n"/>
      <c r="U508" s="74" t="n"/>
      <c r="V508" s="74" t="n"/>
      <c r="W508" s="74" t="n"/>
    </row>
    <row r="509">
      <c r="A509" s="74" t="n"/>
      <c r="B509" s="74" t="n"/>
      <c r="C509" s="74" t="n"/>
      <c r="D509" s="74" t="n"/>
      <c r="E509" s="74" t="n"/>
      <c r="F509" s="74" t="n"/>
      <c r="G509" s="74" t="n"/>
      <c r="H509" s="74" t="n"/>
      <c r="I509" s="74" t="n"/>
      <c r="J509" s="74" t="n"/>
      <c r="K509" s="74" t="n"/>
      <c r="L509" s="74" t="n"/>
      <c r="M509" s="74" t="n"/>
      <c r="N509" s="74" t="n"/>
      <c r="O509" s="74" t="n"/>
      <c r="P509" s="74" t="n"/>
      <c r="Q509" s="74" t="n"/>
      <c r="R509" s="74" t="n"/>
      <c r="S509" s="74" t="n"/>
      <c r="T509" s="74" t="n"/>
      <c r="U509" s="74" t="n"/>
      <c r="V509" s="74" t="n"/>
      <c r="W509" s="74" t="n"/>
    </row>
    <row r="510">
      <c r="A510" s="74" t="n"/>
      <c r="B510" s="74" t="n"/>
      <c r="C510" s="74" t="n"/>
      <c r="D510" s="74" t="n"/>
      <c r="E510" s="74" t="n"/>
      <c r="F510" s="74" t="n"/>
      <c r="G510" s="74" t="n"/>
      <c r="H510" s="74" t="n"/>
      <c r="I510" s="74" t="n"/>
      <c r="J510" s="74" t="n"/>
      <c r="K510" s="74" t="n"/>
      <c r="L510" s="74" t="n"/>
      <c r="M510" s="74" t="n"/>
      <c r="N510" s="74" t="n"/>
      <c r="O510" s="74" t="n"/>
      <c r="P510" s="74" t="n"/>
      <c r="Q510" s="74" t="n"/>
      <c r="R510" s="74" t="n"/>
      <c r="S510" s="74" t="n"/>
      <c r="T510" s="74" t="n"/>
      <c r="U510" s="74" t="n"/>
      <c r="V510" s="74" t="n"/>
      <c r="W510" s="74" t="n"/>
    </row>
    <row r="511">
      <c r="A511" s="74" t="n"/>
      <c r="B511" s="74" t="n"/>
      <c r="C511" s="74" t="n"/>
      <c r="D511" s="74" t="n"/>
      <c r="E511" s="74" t="n"/>
      <c r="F511" s="74" t="n"/>
      <c r="G511" s="74" t="n"/>
      <c r="H511" s="74" t="n"/>
      <c r="I511" s="74" t="n"/>
      <c r="J511" s="74" t="n"/>
      <c r="K511" s="74" t="n"/>
      <c r="L511" s="74" t="n"/>
      <c r="M511" s="74" t="n"/>
      <c r="N511" s="74" t="n"/>
      <c r="O511" s="74" t="n"/>
      <c r="P511" s="74" t="n"/>
      <c r="Q511" s="74" t="n"/>
      <c r="R511" s="74" t="n"/>
      <c r="S511" s="74" t="n"/>
      <c r="T511" s="74" t="n"/>
      <c r="U511" s="74" t="n"/>
      <c r="V511" s="74" t="n"/>
      <c r="W511" s="74" t="n"/>
    </row>
    <row r="512">
      <c r="A512" s="74" t="n"/>
      <c r="B512" s="74" t="n"/>
      <c r="C512" s="74" t="n"/>
      <c r="D512" s="74" t="n"/>
      <c r="E512" s="74" t="n"/>
      <c r="F512" s="74" t="n"/>
      <c r="G512" s="74" t="n"/>
      <c r="H512" s="74" t="n"/>
      <c r="I512" s="74" t="n"/>
      <c r="J512" s="74" t="n"/>
      <c r="K512" s="74" t="n"/>
      <c r="L512" s="74" t="n"/>
      <c r="M512" s="74" t="n"/>
      <c r="N512" s="74" t="n"/>
      <c r="O512" s="74" t="n"/>
      <c r="P512" s="74" t="n"/>
      <c r="Q512" s="74" t="n"/>
      <c r="R512" s="74" t="n"/>
      <c r="S512" s="74" t="n"/>
      <c r="T512" s="74" t="n"/>
      <c r="U512" s="74" t="n"/>
      <c r="V512" s="74" t="n"/>
      <c r="W512" s="74" t="n"/>
    </row>
    <row r="513">
      <c r="A513" s="74" t="n"/>
      <c r="B513" s="74" t="n"/>
      <c r="C513" s="74" t="n"/>
      <c r="D513" s="74" t="n"/>
      <c r="E513" s="74" t="n"/>
      <c r="F513" s="74" t="n"/>
      <c r="G513" s="74" t="n"/>
      <c r="H513" s="74" t="n"/>
      <c r="I513" s="74" t="n"/>
      <c r="J513" s="74" t="n"/>
      <c r="K513" s="74" t="n"/>
      <c r="L513" s="74" t="n"/>
      <c r="M513" s="74" t="n"/>
      <c r="N513" s="74" t="n"/>
      <c r="O513" s="74" t="n"/>
      <c r="P513" s="74" t="n"/>
      <c r="Q513" s="74" t="n"/>
      <c r="R513" s="74" t="n"/>
      <c r="S513" s="74" t="n"/>
      <c r="T513" s="74" t="n"/>
      <c r="U513" s="74" t="n"/>
      <c r="V513" s="74" t="n"/>
      <c r="W513" s="74" t="n"/>
    </row>
    <row r="514">
      <c r="A514" s="74" t="n"/>
      <c r="B514" s="74" t="n"/>
      <c r="C514" s="74" t="n"/>
      <c r="D514" s="74" t="n"/>
      <c r="E514" s="74" t="n"/>
      <c r="F514" s="74" t="n"/>
      <c r="G514" s="74" t="n"/>
      <c r="H514" s="74" t="n"/>
      <c r="I514" s="74" t="n"/>
      <c r="J514" s="74" t="n"/>
      <c r="K514" s="74" t="n"/>
      <c r="L514" s="74" t="n"/>
      <c r="M514" s="74" t="n"/>
      <c r="N514" s="74" t="n"/>
      <c r="O514" s="74" t="n"/>
      <c r="P514" s="74" t="n"/>
      <c r="Q514" s="74" t="n"/>
      <c r="R514" s="74" t="n"/>
      <c r="S514" s="74" t="n"/>
      <c r="T514" s="74" t="n"/>
      <c r="U514" s="74" t="n"/>
      <c r="V514" s="74" t="n"/>
      <c r="W514" s="74" t="n"/>
    </row>
    <row r="515">
      <c r="A515" s="74" t="n"/>
      <c r="B515" s="74" t="n"/>
      <c r="C515" s="74" t="n"/>
      <c r="D515" s="74" t="n"/>
      <c r="E515" s="74" t="n"/>
      <c r="F515" s="74" t="n"/>
      <c r="G515" s="74" t="n"/>
      <c r="H515" s="74" t="n"/>
      <c r="I515" s="74" t="n"/>
      <c r="J515" s="74" t="n"/>
      <c r="K515" s="74" t="n"/>
      <c r="L515" s="74" t="n"/>
      <c r="M515" s="74" t="n"/>
      <c r="N515" s="74" t="n"/>
      <c r="O515" s="74" t="n"/>
      <c r="P515" s="74" t="n"/>
      <c r="Q515" s="74" t="n"/>
      <c r="R515" s="74" t="n"/>
      <c r="S515" s="74" t="n"/>
      <c r="T515" s="74" t="n"/>
      <c r="U515" s="74" t="n"/>
      <c r="V515" s="74" t="n"/>
      <c r="W515" s="74" t="n"/>
    </row>
    <row r="516">
      <c r="A516" s="74" t="n"/>
      <c r="B516" s="74" t="n"/>
      <c r="C516" s="74" t="n"/>
      <c r="D516" s="74" t="n"/>
      <c r="E516" s="74" t="n"/>
      <c r="F516" s="74" t="n"/>
      <c r="G516" s="74" t="n"/>
      <c r="H516" s="74" t="n"/>
      <c r="I516" s="74" t="n"/>
      <c r="J516" s="74" t="n"/>
      <c r="K516" s="74" t="n"/>
      <c r="L516" s="74" t="n"/>
      <c r="M516" s="74" t="n"/>
      <c r="N516" s="74" t="n"/>
      <c r="O516" s="74" t="n"/>
      <c r="P516" s="74" t="n"/>
      <c r="Q516" s="74" t="n"/>
      <c r="R516" s="74" t="n"/>
      <c r="S516" s="74" t="n"/>
      <c r="T516" s="74" t="n"/>
      <c r="U516" s="74" t="n"/>
      <c r="V516" s="74" t="n"/>
      <c r="W516" s="74" t="n"/>
    </row>
    <row r="517">
      <c r="A517" s="74" t="n"/>
      <c r="B517" s="74" t="n"/>
      <c r="C517" s="74" t="n"/>
      <c r="D517" s="74" t="n"/>
      <c r="E517" s="74" t="n"/>
      <c r="F517" s="74" t="n"/>
      <c r="G517" s="74" t="n"/>
      <c r="H517" s="74" t="n"/>
      <c r="I517" s="74" t="n"/>
      <c r="J517" s="74" t="n"/>
      <c r="K517" s="74" t="n"/>
      <c r="L517" s="74" t="n"/>
      <c r="M517" s="74" t="n"/>
      <c r="N517" s="74" t="n"/>
      <c r="O517" s="74" t="n"/>
      <c r="P517" s="74" t="n"/>
      <c r="Q517" s="74" t="n"/>
      <c r="R517" s="74" t="n"/>
      <c r="S517" s="74" t="n"/>
      <c r="T517" s="74" t="n"/>
      <c r="U517" s="74" t="n"/>
      <c r="V517" s="74" t="n"/>
      <c r="W517" s="74" t="n"/>
    </row>
    <row r="518">
      <c r="A518" s="74" t="n"/>
      <c r="B518" s="74" t="n"/>
      <c r="C518" s="74" t="n"/>
      <c r="D518" s="74" t="n"/>
      <c r="E518" s="74" t="n"/>
      <c r="F518" s="74" t="n"/>
      <c r="G518" s="74" t="n"/>
      <c r="H518" s="74" t="n"/>
      <c r="I518" s="74" t="n"/>
      <c r="J518" s="74" t="n"/>
      <c r="K518" s="74" t="n"/>
      <c r="L518" s="74" t="n"/>
      <c r="M518" s="74" t="n"/>
      <c r="N518" s="74" t="n"/>
      <c r="O518" s="74" t="n"/>
      <c r="P518" s="74" t="n"/>
      <c r="Q518" s="74" t="n"/>
      <c r="R518" s="74" t="n"/>
      <c r="S518" s="74" t="n"/>
      <c r="T518" s="74" t="n"/>
      <c r="U518" s="74" t="n"/>
      <c r="V518" s="74" t="n"/>
      <c r="W518" s="74" t="n"/>
    </row>
    <row r="519">
      <c r="A519" s="74" t="n"/>
      <c r="B519" s="74" t="n"/>
      <c r="C519" s="74" t="n"/>
      <c r="D519" s="74" t="n"/>
      <c r="E519" s="74" t="n"/>
      <c r="F519" s="74" t="n"/>
      <c r="G519" s="74" t="n"/>
      <c r="H519" s="74" t="n"/>
      <c r="I519" s="74" t="n"/>
      <c r="J519" s="74" t="n"/>
      <c r="K519" s="74" t="n"/>
      <c r="L519" s="74" t="n"/>
      <c r="M519" s="74" t="n"/>
      <c r="N519" s="74" t="n"/>
      <c r="O519" s="74" t="n"/>
      <c r="P519" s="74" t="n"/>
      <c r="Q519" s="74" t="n"/>
      <c r="R519" s="74" t="n"/>
      <c r="S519" s="74" t="n"/>
      <c r="T519" s="74" t="n"/>
      <c r="U519" s="74" t="n"/>
      <c r="V519" s="74" t="n"/>
      <c r="W519" s="74" t="n"/>
    </row>
    <row r="520">
      <c r="A520" s="74" t="n"/>
      <c r="B520" s="74" t="n"/>
      <c r="C520" s="74" t="n"/>
      <c r="D520" s="74" t="n"/>
      <c r="E520" s="74" t="n"/>
      <c r="F520" s="74" t="n"/>
      <c r="G520" s="74" t="n"/>
      <c r="H520" s="74" t="n"/>
      <c r="I520" s="74" t="n"/>
      <c r="J520" s="74" t="n"/>
      <c r="K520" s="74" t="n"/>
      <c r="L520" s="74" t="n"/>
      <c r="M520" s="74" t="n"/>
      <c r="N520" s="74" t="n"/>
      <c r="O520" s="74" t="n"/>
      <c r="P520" s="74" t="n"/>
      <c r="Q520" s="74" t="n"/>
      <c r="R520" s="74" t="n"/>
      <c r="S520" s="74" t="n"/>
      <c r="T520" s="74" t="n"/>
      <c r="U520" s="74" t="n"/>
      <c r="V520" s="74" t="n"/>
      <c r="W520" s="74" t="n"/>
    </row>
    <row r="521">
      <c r="A521" s="74" t="n"/>
      <c r="B521" s="74" t="n"/>
      <c r="C521" s="74" t="n"/>
      <c r="D521" s="74" t="n"/>
      <c r="E521" s="74" t="n"/>
      <c r="F521" s="74" t="n"/>
      <c r="G521" s="74" t="n"/>
      <c r="H521" s="74" t="n"/>
      <c r="I521" s="74" t="n"/>
      <c r="J521" s="74" t="n"/>
      <c r="K521" s="74" t="n"/>
      <c r="L521" s="74" t="n"/>
      <c r="M521" s="74" t="n"/>
      <c r="N521" s="74" t="n"/>
      <c r="O521" s="74" t="n"/>
      <c r="P521" s="74" t="n"/>
      <c r="Q521" s="74" t="n"/>
      <c r="R521" s="74" t="n"/>
      <c r="S521" s="74" t="n"/>
      <c r="T521" s="74" t="n"/>
      <c r="U521" s="74" t="n"/>
      <c r="V521" s="74" t="n"/>
      <c r="W521" s="74" t="n"/>
    </row>
    <row r="522">
      <c r="A522" s="74" t="n"/>
      <c r="B522" s="74" t="n"/>
      <c r="C522" s="74" t="n"/>
      <c r="D522" s="74" t="n"/>
      <c r="E522" s="74" t="n"/>
      <c r="F522" s="74" t="n"/>
      <c r="G522" s="74" t="n"/>
      <c r="H522" s="74" t="n"/>
      <c r="I522" s="74" t="n"/>
      <c r="J522" s="74" t="n"/>
      <c r="K522" s="74" t="n"/>
      <c r="L522" s="74" t="n"/>
      <c r="M522" s="74" t="n"/>
      <c r="N522" s="74" t="n"/>
      <c r="O522" s="74" t="n"/>
      <c r="P522" s="74" t="n"/>
      <c r="Q522" s="74" t="n"/>
      <c r="R522" s="74" t="n"/>
      <c r="S522" s="74" t="n"/>
      <c r="T522" s="74" t="n"/>
      <c r="U522" s="74" t="n"/>
      <c r="V522" s="74" t="n"/>
      <c r="W522" s="74" t="n"/>
    </row>
    <row r="523">
      <c r="A523" s="74" t="n"/>
      <c r="B523" s="74" t="n"/>
      <c r="C523" s="74" t="n"/>
      <c r="D523" s="74" t="n"/>
      <c r="E523" s="74" t="n"/>
      <c r="F523" s="74" t="n"/>
      <c r="G523" s="74" t="n"/>
      <c r="H523" s="74" t="n"/>
      <c r="I523" s="74" t="n"/>
      <c r="J523" s="74" t="n"/>
      <c r="K523" s="74" t="n"/>
      <c r="L523" s="74" t="n"/>
      <c r="M523" s="74" t="n"/>
      <c r="N523" s="74" t="n"/>
      <c r="O523" s="74" t="n"/>
      <c r="P523" s="74" t="n"/>
      <c r="Q523" s="74" t="n"/>
      <c r="R523" s="74" t="n"/>
      <c r="S523" s="74" t="n"/>
      <c r="T523" s="74" t="n"/>
      <c r="U523" s="74" t="n"/>
      <c r="V523" s="74" t="n"/>
      <c r="W523" s="74" t="n"/>
    </row>
    <row r="524">
      <c r="A524" s="74" t="n"/>
      <c r="B524" s="74" t="n"/>
      <c r="C524" s="74" t="n"/>
      <c r="D524" s="74" t="n"/>
      <c r="E524" s="74" t="n"/>
      <c r="F524" s="74" t="n"/>
      <c r="G524" s="74" t="n"/>
      <c r="H524" s="74" t="n"/>
      <c r="I524" s="74" t="n"/>
      <c r="J524" s="74" t="n"/>
      <c r="K524" s="74" t="n"/>
      <c r="L524" s="74" t="n"/>
      <c r="M524" s="74" t="n"/>
      <c r="N524" s="74" t="n"/>
      <c r="O524" s="74" t="n"/>
      <c r="P524" s="74" t="n"/>
      <c r="Q524" s="74" t="n"/>
      <c r="R524" s="74" t="n"/>
      <c r="S524" s="74" t="n"/>
      <c r="T524" s="74" t="n"/>
      <c r="U524" s="74" t="n"/>
      <c r="V524" s="74" t="n"/>
      <c r="W524" s="74" t="n"/>
    </row>
    <row r="525">
      <c r="A525" s="74" t="n"/>
      <c r="B525" s="74" t="n"/>
      <c r="C525" s="74" t="n"/>
      <c r="D525" s="74" t="n"/>
      <c r="E525" s="74" t="n"/>
      <c r="F525" s="74" t="n"/>
      <c r="G525" s="74" t="n"/>
      <c r="H525" s="74" t="n"/>
      <c r="I525" s="74" t="n"/>
      <c r="J525" s="74" t="n"/>
      <c r="K525" s="74" t="n"/>
      <c r="L525" s="74" t="n"/>
      <c r="M525" s="74" t="n"/>
      <c r="N525" s="74" t="n"/>
      <c r="O525" s="74" t="n"/>
      <c r="P525" s="74" t="n"/>
      <c r="Q525" s="74" t="n"/>
      <c r="R525" s="74" t="n"/>
      <c r="S525" s="74" t="n"/>
      <c r="T525" s="74" t="n"/>
      <c r="U525" s="74" t="n"/>
      <c r="V525" s="74" t="n"/>
      <c r="W525" s="74" t="n"/>
    </row>
    <row r="526">
      <c r="A526" s="74" t="n"/>
      <c r="B526" s="74" t="n"/>
      <c r="C526" s="74" t="n"/>
      <c r="D526" s="74" t="n"/>
      <c r="E526" s="74" t="n"/>
      <c r="F526" s="74" t="n"/>
      <c r="G526" s="74" t="n"/>
      <c r="H526" s="74" t="n"/>
      <c r="I526" s="74" t="n"/>
      <c r="J526" s="74" t="n"/>
      <c r="K526" s="74" t="n"/>
      <c r="L526" s="74" t="n"/>
      <c r="M526" s="74" t="n"/>
      <c r="N526" s="74" t="n"/>
      <c r="O526" s="74" t="n"/>
      <c r="P526" s="74" t="n"/>
      <c r="Q526" s="74" t="n"/>
      <c r="R526" s="74" t="n"/>
      <c r="S526" s="74" t="n"/>
      <c r="T526" s="74" t="n"/>
      <c r="U526" s="74" t="n"/>
      <c r="V526" s="74" t="n"/>
      <c r="W526" s="74" t="n"/>
    </row>
    <row r="527">
      <c r="A527" s="74" t="n"/>
      <c r="B527" s="74" t="n"/>
      <c r="C527" s="74" t="n"/>
      <c r="D527" s="74" t="n"/>
      <c r="E527" s="74" t="n"/>
      <c r="F527" s="74" t="n"/>
      <c r="G527" s="74" t="n"/>
      <c r="H527" s="74" t="n"/>
      <c r="I527" s="74" t="n"/>
      <c r="J527" s="74" t="n"/>
      <c r="K527" s="74" t="n"/>
      <c r="L527" s="74" t="n"/>
      <c r="M527" s="74" t="n"/>
      <c r="N527" s="74" t="n"/>
      <c r="O527" s="74" t="n"/>
      <c r="P527" s="74" t="n"/>
      <c r="Q527" s="74" t="n"/>
      <c r="R527" s="74" t="n"/>
      <c r="S527" s="74" t="n"/>
      <c r="T527" s="74" t="n"/>
      <c r="U527" s="74" t="n"/>
      <c r="V527" s="74" t="n"/>
      <c r="W527" s="74" t="n"/>
    </row>
    <row r="528">
      <c r="A528" s="74" t="n"/>
      <c r="B528" s="74" t="n"/>
      <c r="C528" s="74" t="n"/>
      <c r="D528" s="74" t="n"/>
      <c r="E528" s="74" t="n"/>
      <c r="F528" s="74" t="n"/>
      <c r="G528" s="74" t="n"/>
      <c r="H528" s="74" t="n"/>
      <c r="I528" s="74" t="n"/>
      <c r="J528" s="74" t="n"/>
      <c r="K528" s="74" t="n"/>
      <c r="L528" s="74" t="n"/>
      <c r="M528" s="74" t="n"/>
      <c r="N528" s="74" t="n"/>
      <c r="O528" s="74" t="n"/>
      <c r="P528" s="74" t="n"/>
      <c r="Q528" s="74" t="n"/>
      <c r="R528" s="74" t="n"/>
      <c r="S528" s="74" t="n"/>
      <c r="T528" s="74" t="n"/>
      <c r="U528" s="74" t="n"/>
      <c r="V528" s="74" t="n"/>
      <c r="W528" s="74" t="n"/>
    </row>
    <row r="529">
      <c r="A529" s="74" t="n"/>
      <c r="B529" s="74" t="n"/>
      <c r="C529" s="74" t="n"/>
      <c r="D529" s="74" t="n"/>
      <c r="E529" s="74" t="n"/>
      <c r="F529" s="74" t="n"/>
      <c r="G529" s="74" t="n"/>
      <c r="H529" s="74" t="n"/>
      <c r="I529" s="74" t="n"/>
      <c r="J529" s="74" t="n"/>
      <c r="K529" s="74" t="n"/>
      <c r="L529" s="74" t="n"/>
      <c r="M529" s="74" t="n"/>
      <c r="N529" s="74" t="n"/>
      <c r="O529" s="74" t="n"/>
      <c r="P529" s="74" t="n"/>
      <c r="Q529" s="74" t="n"/>
      <c r="R529" s="74" t="n"/>
      <c r="S529" s="74" t="n"/>
      <c r="T529" s="74" t="n"/>
      <c r="U529" s="74" t="n"/>
      <c r="V529" s="74" t="n"/>
      <c r="W529" s="74" t="n"/>
    </row>
    <row r="530">
      <c r="A530" s="74" t="n"/>
      <c r="B530" s="74" t="n"/>
      <c r="C530" s="74" t="n"/>
      <c r="D530" s="74" t="n"/>
      <c r="E530" s="74" t="n"/>
      <c r="F530" s="74" t="n"/>
      <c r="G530" s="74" t="n"/>
      <c r="H530" s="74" t="n"/>
      <c r="I530" s="74" t="n"/>
      <c r="J530" s="74" t="n"/>
      <c r="K530" s="74" t="n"/>
      <c r="L530" s="74" t="n"/>
      <c r="M530" s="74" t="n"/>
      <c r="N530" s="74" t="n"/>
      <c r="O530" s="74" t="n"/>
      <c r="P530" s="74" t="n"/>
      <c r="Q530" s="74" t="n"/>
      <c r="R530" s="74" t="n"/>
      <c r="S530" s="74" t="n"/>
      <c r="T530" s="74" t="n"/>
      <c r="U530" s="74" t="n"/>
      <c r="V530" s="74" t="n"/>
      <c r="W530" s="74" t="n"/>
    </row>
    <row r="531">
      <c r="A531" s="74" t="n"/>
      <c r="B531" s="74" t="n"/>
      <c r="C531" s="74" t="n"/>
      <c r="D531" s="74" t="n"/>
      <c r="E531" s="74" t="n"/>
      <c r="F531" s="74" t="n"/>
      <c r="G531" s="74" t="n"/>
      <c r="H531" s="74" t="n"/>
      <c r="I531" s="74" t="n"/>
      <c r="J531" s="74" t="n"/>
      <c r="K531" s="74" t="n"/>
      <c r="L531" s="74" t="n"/>
      <c r="M531" s="74" t="n"/>
      <c r="N531" s="74" t="n"/>
      <c r="O531" s="74" t="n"/>
      <c r="P531" s="74" t="n"/>
      <c r="Q531" s="74" t="n"/>
      <c r="R531" s="74" t="n"/>
      <c r="S531" s="74" t="n"/>
      <c r="T531" s="74" t="n"/>
      <c r="U531" s="74" t="n"/>
      <c r="V531" s="74" t="n"/>
      <c r="W531" s="74" t="n"/>
    </row>
    <row r="532">
      <c r="A532" s="74" t="n"/>
      <c r="B532" s="74" t="n"/>
      <c r="C532" s="74" t="n"/>
      <c r="D532" s="74" t="n"/>
      <c r="E532" s="74" t="n"/>
      <c r="F532" s="74" t="n"/>
      <c r="G532" s="74" t="n"/>
      <c r="H532" s="74" t="n"/>
      <c r="I532" s="74" t="n"/>
      <c r="J532" s="74" t="n"/>
      <c r="K532" s="74" t="n"/>
      <c r="L532" s="74" t="n"/>
      <c r="M532" s="74" t="n"/>
      <c r="N532" s="74" t="n"/>
      <c r="O532" s="74" t="n"/>
      <c r="P532" s="74" t="n"/>
      <c r="Q532" s="74" t="n"/>
      <c r="R532" s="74" t="n"/>
      <c r="S532" s="74" t="n"/>
      <c r="T532" s="74" t="n"/>
      <c r="U532" s="74" t="n"/>
      <c r="V532" s="74" t="n"/>
      <c r="W532" s="74" t="n"/>
    </row>
    <row r="533">
      <c r="A533" s="74" t="n"/>
      <c r="B533" s="74" t="n"/>
      <c r="C533" s="74" t="n"/>
      <c r="D533" s="74" t="n"/>
      <c r="E533" s="74" t="n"/>
      <c r="F533" s="74" t="n"/>
      <c r="G533" s="74" t="n"/>
      <c r="H533" s="74" t="n"/>
      <c r="I533" s="74" t="n"/>
      <c r="J533" s="74" t="n"/>
      <c r="K533" s="74" t="n"/>
      <c r="L533" s="74" t="n"/>
      <c r="M533" s="74" t="n"/>
      <c r="N533" s="74" t="n"/>
      <c r="O533" s="74" t="n"/>
      <c r="P533" s="74" t="n"/>
      <c r="Q533" s="74" t="n"/>
      <c r="R533" s="74" t="n"/>
      <c r="S533" s="74" t="n"/>
      <c r="T533" s="74" t="n"/>
      <c r="U533" s="74" t="n"/>
      <c r="V533" s="74" t="n"/>
      <c r="W533" s="74" t="n"/>
    </row>
    <row r="534">
      <c r="A534" s="74" t="n"/>
      <c r="B534" s="74" t="n"/>
      <c r="C534" s="74" t="n"/>
      <c r="D534" s="74" t="n"/>
      <c r="E534" s="74" t="n"/>
      <c r="F534" s="74" t="n"/>
      <c r="G534" s="74" t="n"/>
      <c r="H534" s="74" t="n"/>
      <c r="I534" s="74" t="n"/>
      <c r="J534" s="74" t="n"/>
      <c r="K534" s="74" t="n"/>
      <c r="L534" s="74" t="n"/>
      <c r="M534" s="74" t="n"/>
      <c r="N534" s="74" t="n"/>
      <c r="O534" s="74" t="n"/>
      <c r="P534" s="74" t="n"/>
      <c r="Q534" s="74" t="n"/>
      <c r="R534" s="74" t="n"/>
      <c r="S534" s="74" t="n"/>
      <c r="T534" s="74" t="n"/>
      <c r="U534" s="74" t="n"/>
      <c r="V534" s="74" t="n"/>
      <c r="W534" s="74" t="n"/>
    </row>
    <row r="535">
      <c r="A535" s="74" t="n"/>
      <c r="B535" s="74" t="n"/>
      <c r="C535" s="74" t="n"/>
      <c r="D535" s="74" t="n"/>
      <c r="E535" s="74" t="n"/>
      <c r="F535" s="74" t="n"/>
      <c r="G535" s="74" t="n"/>
      <c r="H535" s="74" t="n"/>
      <c r="I535" s="74" t="n"/>
      <c r="J535" s="74" t="n"/>
      <c r="K535" s="74" t="n"/>
      <c r="L535" s="74" t="n"/>
      <c r="M535" s="74" t="n"/>
      <c r="N535" s="74" t="n"/>
      <c r="O535" s="74" t="n"/>
      <c r="P535" s="74" t="n"/>
      <c r="Q535" s="74" t="n"/>
      <c r="R535" s="74" t="n"/>
      <c r="S535" s="74" t="n"/>
      <c r="T535" s="74" t="n"/>
      <c r="U535" s="74" t="n"/>
      <c r="V535" s="74" t="n"/>
      <c r="W535" s="74" t="n"/>
    </row>
    <row r="536">
      <c r="A536" s="74" t="n"/>
      <c r="B536" s="74" t="n"/>
      <c r="C536" s="74" t="n"/>
      <c r="D536" s="74" t="n"/>
      <c r="E536" s="74" t="n"/>
      <c r="F536" s="74" t="n"/>
      <c r="G536" s="74" t="n"/>
      <c r="H536" s="74" t="n"/>
      <c r="I536" s="74" t="n"/>
      <c r="J536" s="74" t="n"/>
      <c r="K536" s="74" t="n"/>
      <c r="L536" s="74" t="n"/>
      <c r="M536" s="74" t="n"/>
      <c r="N536" s="74" t="n"/>
      <c r="O536" s="74" t="n"/>
      <c r="P536" s="74" t="n"/>
      <c r="Q536" s="74" t="n"/>
      <c r="R536" s="74" t="n"/>
      <c r="S536" s="74" t="n"/>
      <c r="T536" s="74" t="n"/>
      <c r="U536" s="74" t="n"/>
      <c r="V536" s="74" t="n"/>
      <c r="W536" s="74" t="n"/>
    </row>
    <row r="537">
      <c r="A537" s="74" t="n"/>
      <c r="B537" s="74" t="n"/>
      <c r="C537" s="74" t="n"/>
      <c r="D537" s="74" t="n"/>
      <c r="E537" s="74" t="n"/>
      <c r="F537" s="74" t="n"/>
      <c r="G537" s="74" t="n"/>
      <c r="H537" s="74" t="n"/>
      <c r="I537" s="74" t="n"/>
      <c r="J537" s="74" t="n"/>
      <c r="K537" s="74" t="n"/>
      <c r="L537" s="74" t="n"/>
      <c r="M537" s="74" t="n"/>
      <c r="N537" s="74" t="n"/>
      <c r="O537" s="74" t="n"/>
      <c r="P537" s="74" t="n"/>
      <c r="Q537" s="74" t="n"/>
      <c r="R537" s="74" t="n"/>
      <c r="S537" s="74" t="n"/>
      <c r="T537" s="74" t="n"/>
      <c r="U537" s="74" t="n"/>
      <c r="V537" s="74" t="n"/>
      <c r="W537" s="74" t="n"/>
    </row>
    <row r="538">
      <c r="A538" s="74" t="n"/>
      <c r="B538" s="74" t="n"/>
      <c r="C538" s="74" t="n"/>
      <c r="D538" s="74" t="n"/>
      <c r="E538" s="74" t="n"/>
      <c r="F538" s="74" t="n"/>
      <c r="G538" s="74" t="n"/>
      <c r="H538" s="74" t="n"/>
      <c r="I538" s="74" t="n"/>
      <c r="J538" s="74" t="n"/>
      <c r="K538" s="74" t="n"/>
      <c r="L538" s="74" t="n"/>
      <c r="M538" s="74" t="n"/>
      <c r="N538" s="74" t="n"/>
      <c r="O538" s="74" t="n"/>
      <c r="P538" s="74" t="n"/>
      <c r="Q538" s="74" t="n"/>
      <c r="R538" s="74" t="n"/>
      <c r="S538" s="74" t="n"/>
      <c r="T538" s="74" t="n"/>
      <c r="U538" s="74" t="n"/>
      <c r="V538" s="74" t="n"/>
      <c r="W538" s="74" t="n"/>
    </row>
    <row r="539">
      <c r="A539" s="74" t="n"/>
      <c r="B539" s="74" t="n"/>
      <c r="C539" s="74" t="n"/>
      <c r="D539" s="74" t="n"/>
      <c r="E539" s="74" t="n"/>
      <c r="F539" s="74" t="n"/>
      <c r="G539" s="74" t="n"/>
      <c r="H539" s="74" t="n"/>
      <c r="I539" s="74" t="n"/>
      <c r="J539" s="74" t="n"/>
      <c r="K539" s="74" t="n"/>
      <c r="L539" s="74" t="n"/>
      <c r="M539" s="74" t="n"/>
      <c r="N539" s="74" t="n"/>
      <c r="O539" s="74" t="n"/>
      <c r="P539" s="74" t="n"/>
      <c r="Q539" s="74" t="n"/>
      <c r="R539" s="74" t="n"/>
      <c r="S539" s="74" t="n"/>
      <c r="T539" s="74" t="n"/>
      <c r="U539" s="74" t="n"/>
      <c r="V539" s="74" t="n"/>
      <c r="W539" s="74" t="n"/>
    </row>
    <row r="540">
      <c r="A540" s="74" t="n"/>
      <c r="B540" s="74" t="n"/>
      <c r="C540" s="74" t="n"/>
      <c r="D540" s="74" t="n"/>
      <c r="E540" s="74" t="n"/>
      <c r="F540" s="74" t="n"/>
      <c r="G540" s="74" t="n"/>
      <c r="H540" s="74" t="n"/>
      <c r="I540" s="74" t="n"/>
      <c r="J540" s="74" t="n"/>
      <c r="K540" s="74" t="n"/>
      <c r="L540" s="74" t="n"/>
      <c r="M540" s="74" t="n"/>
      <c r="N540" s="74" t="n"/>
      <c r="O540" s="74" t="n"/>
      <c r="P540" s="74" t="n"/>
      <c r="Q540" s="74" t="n"/>
      <c r="R540" s="74" t="n"/>
      <c r="S540" s="74" t="n"/>
      <c r="T540" s="74" t="n"/>
      <c r="U540" s="74" t="n"/>
      <c r="V540" s="74" t="n"/>
      <c r="W540" s="74" t="n"/>
    </row>
    <row r="541">
      <c r="A541" s="74" t="n"/>
      <c r="B541" s="74" t="n"/>
      <c r="C541" s="74" t="n"/>
      <c r="D541" s="74" t="n"/>
      <c r="E541" s="74" t="n"/>
      <c r="F541" s="74" t="n"/>
      <c r="G541" s="74" t="n"/>
      <c r="H541" s="74" t="n"/>
      <c r="I541" s="74" t="n"/>
      <c r="J541" s="74" t="n"/>
      <c r="K541" s="74" t="n"/>
      <c r="L541" s="74" t="n"/>
      <c r="M541" s="74" t="n"/>
      <c r="N541" s="74" t="n"/>
      <c r="O541" s="74" t="n"/>
      <c r="P541" s="74" t="n"/>
      <c r="Q541" s="74" t="n"/>
      <c r="R541" s="74" t="n"/>
      <c r="S541" s="74" t="n"/>
      <c r="T541" s="74" t="n"/>
      <c r="U541" s="74" t="n"/>
      <c r="V541" s="74" t="n"/>
      <c r="W541" s="74" t="n"/>
    </row>
    <row r="542">
      <c r="A542" s="74" t="n"/>
      <c r="B542" s="74" t="n"/>
      <c r="C542" s="74" t="n"/>
      <c r="D542" s="74" t="n"/>
      <c r="E542" s="74" t="n"/>
      <c r="F542" s="74" t="n"/>
      <c r="G542" s="74" t="n"/>
      <c r="H542" s="74" t="n"/>
      <c r="I542" s="74" t="n"/>
      <c r="J542" s="74" t="n"/>
      <c r="K542" s="74" t="n"/>
      <c r="L542" s="74" t="n"/>
      <c r="M542" s="74" t="n"/>
      <c r="N542" s="74" t="n"/>
      <c r="O542" s="74" t="n"/>
      <c r="P542" s="74" t="n"/>
      <c r="Q542" s="74" t="n"/>
      <c r="R542" s="74" t="n"/>
      <c r="S542" s="74" t="n"/>
      <c r="T542" s="74" t="n"/>
      <c r="U542" s="74" t="n"/>
      <c r="V542" s="74" t="n"/>
      <c r="W542" s="74" t="n"/>
    </row>
    <row r="543">
      <c r="A543" s="74" t="n"/>
      <c r="B543" s="74" t="n"/>
      <c r="C543" s="74" t="n"/>
      <c r="D543" s="74" t="n"/>
      <c r="E543" s="74" t="n"/>
      <c r="F543" s="74" t="n"/>
      <c r="G543" s="74" t="n"/>
      <c r="H543" s="74" t="n"/>
      <c r="I543" s="74" t="n"/>
      <c r="J543" s="74" t="n"/>
      <c r="K543" s="74" t="n"/>
      <c r="L543" s="74" t="n"/>
      <c r="M543" s="74" t="n"/>
      <c r="N543" s="74" t="n"/>
      <c r="O543" s="74" t="n"/>
      <c r="P543" s="74" t="n"/>
      <c r="Q543" s="74" t="n"/>
      <c r="R543" s="74" t="n"/>
      <c r="S543" s="74" t="n"/>
      <c r="T543" s="74" t="n"/>
      <c r="U543" s="74" t="n"/>
      <c r="V543" s="74" t="n"/>
      <c r="W543" s="74" t="n"/>
    </row>
    <row r="544">
      <c r="A544" s="74" t="n"/>
      <c r="B544" s="74" t="n"/>
      <c r="C544" s="74" t="n"/>
      <c r="D544" s="74" t="n"/>
      <c r="E544" s="74" t="n"/>
      <c r="F544" s="74" t="n"/>
      <c r="G544" s="74" t="n"/>
      <c r="H544" s="74" t="n"/>
      <c r="I544" s="74" t="n"/>
      <c r="J544" s="74" t="n"/>
      <c r="K544" s="74" t="n"/>
      <c r="L544" s="74" t="n"/>
      <c r="M544" s="74" t="n"/>
      <c r="N544" s="74" t="n"/>
      <c r="O544" s="74" t="n"/>
      <c r="P544" s="74" t="n"/>
      <c r="Q544" s="74" t="n"/>
      <c r="R544" s="74" t="n"/>
      <c r="S544" s="74" t="n"/>
      <c r="T544" s="74" t="n"/>
      <c r="U544" s="74" t="n"/>
      <c r="V544" s="74" t="n"/>
      <c r="W544" s="74" t="n"/>
    </row>
    <row r="545">
      <c r="A545" s="74" t="n"/>
      <c r="B545" s="74" t="n"/>
      <c r="C545" s="74" t="n"/>
      <c r="D545" s="74" t="n"/>
      <c r="E545" s="74" t="n"/>
      <c r="F545" s="74" t="n"/>
      <c r="G545" s="74" t="n"/>
      <c r="H545" s="74" t="n"/>
      <c r="I545" s="74" t="n"/>
      <c r="J545" s="74" t="n"/>
      <c r="K545" s="74" t="n"/>
      <c r="L545" s="74" t="n"/>
      <c r="M545" s="74" t="n"/>
      <c r="N545" s="74" t="n"/>
      <c r="O545" s="74" t="n"/>
      <c r="P545" s="74" t="n"/>
      <c r="Q545" s="74" t="n"/>
      <c r="R545" s="74" t="n"/>
      <c r="S545" s="74" t="n"/>
      <c r="T545" s="74" t="n"/>
      <c r="U545" s="74" t="n"/>
      <c r="V545" s="74" t="n"/>
      <c r="W545" s="74" t="n"/>
    </row>
    <row r="546">
      <c r="A546" s="74" t="n"/>
      <c r="B546" s="74" t="n"/>
      <c r="C546" s="74" t="n"/>
      <c r="D546" s="74" t="n"/>
      <c r="E546" s="74" t="n"/>
      <c r="F546" s="74" t="n"/>
      <c r="G546" s="74" t="n"/>
      <c r="H546" s="74" t="n"/>
      <c r="I546" s="74" t="n"/>
      <c r="J546" s="74" t="n"/>
      <c r="K546" s="74" t="n"/>
      <c r="L546" s="74" t="n"/>
      <c r="M546" s="74" t="n"/>
      <c r="N546" s="74" t="n"/>
      <c r="O546" s="74" t="n"/>
      <c r="P546" s="74" t="n"/>
      <c r="Q546" s="74" t="n"/>
      <c r="R546" s="74" t="n"/>
      <c r="S546" s="74" t="n"/>
      <c r="T546" s="74" t="n"/>
      <c r="U546" s="74" t="n"/>
      <c r="V546" s="74" t="n"/>
      <c r="W546" s="74" t="n"/>
    </row>
    <row r="547">
      <c r="A547" s="74" t="n"/>
      <c r="B547" s="74" t="n"/>
      <c r="C547" s="74" t="n"/>
      <c r="D547" s="74" t="n"/>
      <c r="E547" s="74" t="n"/>
      <c r="F547" s="74" t="n"/>
      <c r="G547" s="74" t="n"/>
      <c r="H547" s="74" t="n"/>
      <c r="I547" s="74" t="n"/>
      <c r="J547" s="74" t="n"/>
      <c r="K547" s="74" t="n"/>
      <c r="L547" s="74" t="n"/>
      <c r="M547" s="74" t="n"/>
      <c r="N547" s="74" t="n"/>
      <c r="O547" s="74" t="n"/>
      <c r="P547" s="74" t="n"/>
      <c r="Q547" s="74" t="n"/>
      <c r="R547" s="74" t="n"/>
      <c r="S547" s="74" t="n"/>
      <c r="T547" s="74" t="n"/>
      <c r="U547" s="74" t="n"/>
      <c r="V547" s="74" t="n"/>
      <c r="W547" s="74" t="n"/>
    </row>
    <row r="548">
      <c r="A548" s="74" t="n"/>
      <c r="B548" s="74" t="n"/>
      <c r="C548" s="74" t="n"/>
      <c r="D548" s="74" t="n"/>
      <c r="E548" s="74" t="n"/>
      <c r="F548" s="74" t="n"/>
      <c r="G548" s="74" t="n"/>
      <c r="H548" s="74" t="n"/>
      <c r="I548" s="74" t="n"/>
      <c r="J548" s="74" t="n"/>
      <c r="K548" s="74" t="n"/>
      <c r="L548" s="74" t="n"/>
      <c r="M548" s="74" t="n"/>
      <c r="N548" s="74" t="n"/>
      <c r="O548" s="74" t="n"/>
      <c r="P548" s="74" t="n"/>
      <c r="Q548" s="74" t="n"/>
      <c r="R548" s="74" t="n"/>
      <c r="S548" s="74" t="n"/>
      <c r="T548" s="74" t="n"/>
      <c r="U548" s="74" t="n"/>
      <c r="V548" s="74" t="n"/>
      <c r="W548" s="74" t="n"/>
    </row>
    <row r="549">
      <c r="A549" s="74" t="n"/>
      <c r="B549" s="74" t="n"/>
      <c r="C549" s="74" t="n"/>
      <c r="D549" s="74" t="n"/>
      <c r="E549" s="74" t="n"/>
      <c r="F549" s="74" t="n"/>
      <c r="G549" s="74" t="n"/>
      <c r="H549" s="74" t="n"/>
      <c r="I549" s="74" t="n"/>
      <c r="J549" s="74" t="n"/>
      <c r="K549" s="74" t="n"/>
      <c r="L549" s="74" t="n"/>
      <c r="M549" s="74" t="n"/>
      <c r="N549" s="74" t="n"/>
      <c r="O549" s="74" t="n"/>
      <c r="P549" s="74" t="n"/>
      <c r="Q549" s="74" t="n"/>
      <c r="R549" s="74" t="n"/>
      <c r="S549" s="74" t="n"/>
      <c r="T549" s="74" t="n"/>
      <c r="U549" s="74" t="n"/>
      <c r="V549" s="74" t="n"/>
      <c r="W549" s="74" t="n"/>
    </row>
    <row r="550">
      <c r="A550" s="74" t="n"/>
      <c r="B550" s="74" t="n"/>
      <c r="C550" s="74" t="n"/>
      <c r="D550" s="74" t="n"/>
      <c r="E550" s="74" t="n"/>
      <c r="F550" s="74" t="n"/>
      <c r="G550" s="74" t="n"/>
      <c r="H550" s="74" t="n"/>
      <c r="I550" s="74" t="n"/>
      <c r="J550" s="74" t="n"/>
      <c r="K550" s="74" t="n"/>
      <c r="L550" s="74" t="n"/>
      <c r="M550" s="74" t="n"/>
      <c r="N550" s="74" t="n"/>
      <c r="O550" s="74" t="n"/>
      <c r="P550" s="74" t="n"/>
      <c r="Q550" s="74" t="n"/>
      <c r="R550" s="74" t="n"/>
      <c r="S550" s="74" t="n"/>
      <c r="T550" s="74" t="n"/>
      <c r="U550" s="74" t="n"/>
      <c r="V550" s="74" t="n"/>
      <c r="W550" s="74" t="n"/>
    </row>
    <row r="551">
      <c r="A551" s="74" t="n"/>
      <c r="B551" s="74" t="n"/>
      <c r="C551" s="74" t="n"/>
      <c r="D551" s="74" t="n"/>
      <c r="E551" s="74" t="n"/>
      <c r="F551" s="74" t="n"/>
      <c r="G551" s="74" t="n"/>
      <c r="H551" s="74" t="n"/>
      <c r="I551" s="74" t="n"/>
      <c r="J551" s="74" t="n"/>
      <c r="K551" s="74" t="n"/>
      <c r="L551" s="74" t="n"/>
      <c r="M551" s="74" t="n"/>
      <c r="N551" s="74" t="n"/>
      <c r="O551" s="74" t="n"/>
      <c r="P551" s="74" t="n"/>
      <c r="Q551" s="74" t="n"/>
      <c r="R551" s="74" t="n"/>
      <c r="S551" s="74" t="n"/>
      <c r="T551" s="74" t="n"/>
      <c r="U551" s="74" t="n"/>
      <c r="V551" s="74" t="n"/>
      <c r="W551" s="74" t="n"/>
    </row>
    <row r="552">
      <c r="A552" s="74" t="n"/>
      <c r="B552" s="74" t="n"/>
      <c r="C552" s="74" t="n"/>
      <c r="D552" s="74" t="n"/>
      <c r="E552" s="74" t="n"/>
      <c r="F552" s="74" t="n"/>
      <c r="G552" s="74" t="n"/>
      <c r="H552" s="74" t="n"/>
      <c r="I552" s="74" t="n"/>
      <c r="J552" s="74" t="n"/>
      <c r="K552" s="74" t="n"/>
      <c r="L552" s="74" t="n"/>
      <c r="M552" s="74" t="n"/>
      <c r="N552" s="74" t="n"/>
      <c r="O552" s="74" t="n"/>
      <c r="P552" s="74" t="n"/>
      <c r="Q552" s="74" t="n"/>
      <c r="R552" s="74" t="n"/>
      <c r="S552" s="74" t="n"/>
      <c r="T552" s="74" t="n"/>
      <c r="U552" s="74" t="n"/>
      <c r="V552" s="74" t="n"/>
      <c r="W552" s="74" t="n"/>
    </row>
    <row r="553">
      <c r="A553" s="74" t="n"/>
      <c r="B553" s="74" t="n"/>
      <c r="C553" s="74" t="n"/>
      <c r="D553" s="74" t="n"/>
      <c r="E553" s="74" t="n"/>
      <c r="F553" s="74" t="n"/>
      <c r="G553" s="74" t="n"/>
      <c r="H553" s="74" t="n"/>
      <c r="I553" s="74" t="n"/>
      <c r="J553" s="74" t="n"/>
      <c r="K553" s="74" t="n"/>
      <c r="L553" s="74" t="n"/>
      <c r="M553" s="74" t="n"/>
      <c r="N553" s="74" t="n"/>
      <c r="O553" s="74" t="n"/>
      <c r="P553" s="74" t="n"/>
      <c r="Q553" s="74" t="n"/>
      <c r="R553" s="74" t="n"/>
      <c r="S553" s="74" t="n"/>
      <c r="T553" s="74" t="n"/>
      <c r="U553" s="74" t="n"/>
      <c r="V553" s="74" t="n"/>
      <c r="W553" s="74" t="n"/>
    </row>
    <row r="554">
      <c r="A554" s="74" t="n"/>
      <c r="B554" s="74" t="n"/>
      <c r="C554" s="74" t="n"/>
      <c r="D554" s="74" t="n"/>
      <c r="E554" s="74" t="n"/>
      <c r="F554" s="74" t="n"/>
      <c r="G554" s="74" t="n"/>
      <c r="H554" s="74" t="n"/>
      <c r="I554" s="74" t="n"/>
      <c r="J554" s="74" t="n"/>
      <c r="K554" s="74" t="n"/>
      <c r="L554" s="74" t="n"/>
      <c r="M554" s="74" t="n"/>
      <c r="N554" s="74" t="n"/>
      <c r="O554" s="74" t="n"/>
      <c r="P554" s="74" t="n"/>
      <c r="Q554" s="74" t="n"/>
      <c r="R554" s="74" t="n"/>
      <c r="S554" s="74" t="n"/>
      <c r="T554" s="74" t="n"/>
      <c r="U554" s="74" t="n"/>
      <c r="V554" s="74" t="n"/>
      <c r="W554" s="74" t="n"/>
    </row>
    <row r="555">
      <c r="A555" s="74" t="n"/>
      <c r="B555" s="74" t="n"/>
      <c r="C555" s="74" t="n"/>
      <c r="D555" s="74" t="n"/>
      <c r="E555" s="74" t="n"/>
      <c r="F555" s="74" t="n"/>
      <c r="G555" s="74" t="n"/>
      <c r="H555" s="74" t="n"/>
      <c r="I555" s="74" t="n"/>
      <c r="J555" s="74" t="n"/>
      <c r="K555" s="74" t="n"/>
      <c r="L555" s="74" t="n"/>
      <c r="M555" s="74" t="n"/>
      <c r="N555" s="74" t="n"/>
      <c r="O555" s="74" t="n"/>
      <c r="P555" s="74" t="n"/>
      <c r="Q555" s="74" t="n"/>
      <c r="R555" s="74" t="n"/>
      <c r="S555" s="74" t="n"/>
      <c r="T555" s="74" t="n"/>
      <c r="U555" s="74" t="n"/>
      <c r="V555" s="74" t="n"/>
      <c r="W555" s="74" t="n"/>
    </row>
    <row r="556">
      <c r="A556" s="74" t="n"/>
      <c r="B556" s="74" t="n"/>
      <c r="C556" s="74" t="n"/>
      <c r="D556" s="74" t="n"/>
      <c r="E556" s="74" t="n"/>
      <c r="F556" s="74" t="n"/>
      <c r="G556" s="74" t="n"/>
      <c r="H556" s="74" t="n"/>
      <c r="I556" s="74" t="n"/>
      <c r="J556" s="74" t="n"/>
      <c r="K556" s="74" t="n"/>
      <c r="L556" s="74" t="n"/>
      <c r="M556" s="74" t="n"/>
      <c r="N556" s="74" t="n"/>
      <c r="O556" s="74" t="n"/>
      <c r="P556" s="74" t="n"/>
      <c r="Q556" s="74" t="n"/>
      <c r="R556" s="74" t="n"/>
      <c r="S556" s="74" t="n"/>
      <c r="T556" s="74" t="n"/>
      <c r="U556" s="74" t="n"/>
      <c r="V556" s="74" t="n"/>
      <c r="W556" s="74" t="n"/>
    </row>
    <row r="557">
      <c r="A557" s="74" t="n"/>
      <c r="B557" s="74" t="n"/>
      <c r="C557" s="74" t="n"/>
      <c r="D557" s="74" t="n"/>
      <c r="E557" s="74" t="n"/>
      <c r="F557" s="74" t="n"/>
      <c r="G557" s="74" t="n"/>
      <c r="H557" s="74" t="n"/>
      <c r="I557" s="74" t="n"/>
      <c r="J557" s="74" t="n"/>
      <c r="K557" s="74" t="n"/>
      <c r="L557" s="74" t="n"/>
      <c r="M557" s="74" t="n"/>
      <c r="N557" s="74" t="n"/>
      <c r="O557" s="74" t="n"/>
      <c r="P557" s="74" t="n"/>
      <c r="Q557" s="74" t="n"/>
      <c r="R557" s="74" t="n"/>
      <c r="S557" s="74" t="n"/>
      <c r="T557" s="74" t="n"/>
      <c r="U557" s="74" t="n"/>
      <c r="V557" s="74" t="n"/>
      <c r="W557" s="74" t="n"/>
    </row>
    <row r="558">
      <c r="A558" s="74" t="n"/>
      <c r="B558" s="74" t="n"/>
      <c r="C558" s="74" t="n"/>
      <c r="D558" s="74" t="n"/>
      <c r="E558" s="74" t="n"/>
      <c r="F558" s="74" t="n"/>
      <c r="G558" s="74" t="n"/>
      <c r="H558" s="74" t="n"/>
      <c r="I558" s="74" t="n"/>
      <c r="J558" s="74" t="n"/>
      <c r="K558" s="74" t="n"/>
      <c r="L558" s="74" t="n"/>
      <c r="M558" s="74" t="n"/>
      <c r="N558" s="74" t="n"/>
      <c r="O558" s="74" t="n"/>
      <c r="P558" s="74" t="n"/>
      <c r="Q558" s="74" t="n"/>
      <c r="R558" s="74" t="n"/>
      <c r="S558" s="74" t="n"/>
      <c r="T558" s="74" t="n"/>
      <c r="U558" s="74" t="n"/>
      <c r="V558" s="74" t="n"/>
      <c r="W558" s="74" t="n"/>
    </row>
    <row r="559">
      <c r="A559" s="74" t="n"/>
      <c r="B559" s="74" t="n"/>
      <c r="C559" s="74" t="n"/>
      <c r="D559" s="74" t="n"/>
      <c r="E559" s="74" t="n"/>
      <c r="F559" s="74" t="n"/>
      <c r="G559" s="74" t="n"/>
      <c r="H559" s="74" t="n"/>
      <c r="I559" s="74" t="n"/>
      <c r="J559" s="74" t="n"/>
      <c r="K559" s="74" t="n"/>
      <c r="L559" s="74" t="n"/>
      <c r="M559" s="74" t="n"/>
      <c r="N559" s="74" t="n"/>
      <c r="O559" s="74" t="n"/>
      <c r="P559" s="74" t="n"/>
      <c r="Q559" s="74" t="n"/>
      <c r="R559" s="74" t="n"/>
      <c r="S559" s="74" t="n"/>
      <c r="T559" s="74" t="n"/>
      <c r="U559" s="74" t="n"/>
      <c r="V559" s="74" t="n"/>
      <c r="W559" s="74" t="n"/>
    </row>
    <row r="560">
      <c r="A560" s="74" t="n"/>
      <c r="B560" s="74" t="n"/>
      <c r="C560" s="74" t="n"/>
      <c r="D560" s="74" t="n"/>
      <c r="E560" s="74" t="n"/>
      <c r="F560" s="74" t="n"/>
      <c r="G560" s="74" t="n"/>
      <c r="H560" s="74" t="n"/>
      <c r="I560" s="74" t="n"/>
      <c r="J560" s="74" t="n"/>
      <c r="K560" s="74" t="n"/>
      <c r="L560" s="74" t="n"/>
      <c r="M560" s="74" t="n"/>
      <c r="N560" s="74" t="n"/>
      <c r="O560" s="74" t="n"/>
      <c r="P560" s="74" t="n"/>
      <c r="Q560" s="74" t="n"/>
      <c r="R560" s="74" t="n"/>
      <c r="S560" s="74" t="n"/>
      <c r="T560" s="74" t="n"/>
      <c r="U560" s="74" t="n"/>
      <c r="V560" s="74" t="n"/>
      <c r="W560" s="74" t="n"/>
    </row>
    <row r="561">
      <c r="A561" s="74" t="n"/>
      <c r="B561" s="74" t="n"/>
      <c r="C561" s="74" t="n"/>
      <c r="D561" s="74" t="n"/>
      <c r="E561" s="74" t="n"/>
      <c r="F561" s="74" t="n"/>
      <c r="G561" s="74" t="n"/>
      <c r="H561" s="74" t="n"/>
      <c r="I561" s="74" t="n"/>
      <c r="J561" s="74" t="n"/>
      <c r="K561" s="74" t="n"/>
      <c r="L561" s="74" t="n"/>
      <c r="M561" s="74" t="n"/>
      <c r="N561" s="74" t="n"/>
      <c r="O561" s="74" t="n"/>
      <c r="P561" s="74" t="n"/>
      <c r="Q561" s="74" t="n"/>
      <c r="R561" s="74" t="n"/>
      <c r="S561" s="74" t="n"/>
      <c r="T561" s="74" t="n"/>
      <c r="U561" s="74" t="n"/>
      <c r="V561" s="74" t="n"/>
      <c r="W561" s="74" t="n"/>
    </row>
    <row r="562">
      <c r="A562" s="74" t="n"/>
      <c r="B562" s="74" t="n"/>
      <c r="C562" s="74" t="n"/>
      <c r="D562" s="74" t="n"/>
      <c r="E562" s="74" t="n"/>
      <c r="F562" s="74" t="n"/>
      <c r="G562" s="74" t="n"/>
      <c r="H562" s="74" t="n"/>
      <c r="I562" s="74" t="n"/>
      <c r="J562" s="74" t="n"/>
      <c r="K562" s="74" t="n"/>
      <c r="L562" s="74" t="n"/>
      <c r="M562" s="74" t="n"/>
      <c r="N562" s="74" t="n"/>
      <c r="O562" s="74" t="n"/>
      <c r="P562" s="74" t="n"/>
      <c r="Q562" s="74" t="n"/>
      <c r="R562" s="74" t="n"/>
      <c r="S562" s="74" t="n"/>
      <c r="T562" s="74" t="n"/>
      <c r="U562" s="74" t="n"/>
      <c r="V562" s="74" t="n"/>
      <c r="W562" s="74" t="n"/>
    </row>
    <row r="563">
      <c r="A563" s="74" t="n"/>
      <c r="B563" s="74" t="n"/>
      <c r="C563" s="74" t="n"/>
      <c r="D563" s="74" t="n"/>
      <c r="E563" s="74" t="n"/>
      <c r="F563" s="74" t="n"/>
      <c r="G563" s="74" t="n"/>
      <c r="H563" s="74" t="n"/>
      <c r="I563" s="74" t="n"/>
      <c r="J563" s="74" t="n"/>
      <c r="K563" s="74" t="n"/>
      <c r="L563" s="74" t="n"/>
      <c r="M563" s="74" t="n"/>
      <c r="N563" s="74" t="n"/>
      <c r="O563" s="74" t="n"/>
      <c r="P563" s="74" t="n"/>
      <c r="Q563" s="74" t="n"/>
      <c r="R563" s="74" t="n"/>
      <c r="S563" s="74" t="n"/>
      <c r="T563" s="74" t="n"/>
      <c r="U563" s="74" t="n"/>
      <c r="V563" s="74" t="n"/>
      <c r="W563" s="74" t="n"/>
    </row>
    <row r="564">
      <c r="A564" s="74" t="n"/>
      <c r="B564" s="74" t="n"/>
      <c r="C564" s="74" t="n"/>
      <c r="D564" s="74" t="n"/>
      <c r="E564" s="74" t="n"/>
      <c r="F564" s="74" t="n"/>
      <c r="G564" s="74" t="n"/>
      <c r="H564" s="74" t="n"/>
      <c r="I564" s="74" t="n"/>
      <c r="J564" s="74" t="n"/>
      <c r="K564" s="74" t="n"/>
      <c r="L564" s="74" t="n"/>
      <c r="M564" s="74" t="n"/>
      <c r="N564" s="74" t="n"/>
      <c r="O564" s="74" t="n"/>
      <c r="P564" s="74" t="n"/>
      <c r="Q564" s="74" t="n"/>
      <c r="R564" s="74" t="n"/>
      <c r="S564" s="74" t="n"/>
      <c r="T564" s="74" t="n"/>
      <c r="U564" s="74" t="n"/>
      <c r="V564" s="74" t="n"/>
      <c r="W564" s="74" t="n"/>
    </row>
    <row r="565">
      <c r="A565" s="74" t="n"/>
      <c r="B565" s="74" t="n"/>
      <c r="C565" s="74" t="n"/>
      <c r="D565" s="74" t="n"/>
      <c r="E565" s="74" t="n"/>
      <c r="F565" s="74" t="n"/>
      <c r="G565" s="74" t="n"/>
      <c r="H565" s="74" t="n"/>
      <c r="I565" s="74" t="n"/>
      <c r="J565" s="74" t="n"/>
      <c r="K565" s="74" t="n"/>
      <c r="L565" s="74" t="n"/>
      <c r="M565" s="74" t="n"/>
      <c r="N565" s="74" t="n"/>
      <c r="O565" s="74" t="n"/>
      <c r="P565" s="74" t="n"/>
      <c r="Q565" s="74" t="n"/>
      <c r="R565" s="74" t="n"/>
      <c r="S565" s="74" t="n"/>
      <c r="T565" s="74" t="n"/>
      <c r="U565" s="74" t="n"/>
      <c r="V565" s="74" t="n"/>
      <c r="W565" s="74" t="n"/>
    </row>
    <row r="566">
      <c r="A566" s="74" t="n"/>
      <c r="B566" s="74" t="n"/>
      <c r="C566" s="74" t="n"/>
      <c r="D566" s="74" t="n"/>
      <c r="E566" s="74" t="n"/>
      <c r="F566" s="74" t="n"/>
      <c r="G566" s="74" t="n"/>
      <c r="H566" s="74" t="n"/>
      <c r="I566" s="74" t="n"/>
      <c r="J566" s="74" t="n"/>
      <c r="K566" s="74" t="n"/>
      <c r="L566" s="74" t="n"/>
      <c r="M566" s="74" t="n"/>
      <c r="N566" s="74" t="n"/>
      <c r="O566" s="74" t="n"/>
      <c r="P566" s="74" t="n"/>
      <c r="Q566" s="74" t="n"/>
      <c r="R566" s="74" t="n"/>
      <c r="S566" s="74" t="n"/>
      <c r="T566" s="74" t="n"/>
      <c r="U566" s="74" t="n"/>
      <c r="V566" s="74" t="n"/>
      <c r="W566" s="74" t="n"/>
    </row>
    <row r="567">
      <c r="A567" s="74" t="n"/>
      <c r="B567" s="74" t="n"/>
      <c r="C567" s="74" t="n"/>
      <c r="D567" s="74" t="n"/>
      <c r="E567" s="74" t="n"/>
      <c r="F567" s="74" t="n"/>
      <c r="G567" s="74" t="n"/>
      <c r="H567" s="74" t="n"/>
      <c r="I567" s="74" t="n"/>
      <c r="J567" s="74" t="n"/>
      <c r="K567" s="74" t="n"/>
      <c r="L567" s="74" t="n"/>
      <c r="M567" s="74" t="n"/>
      <c r="N567" s="74" t="n"/>
      <c r="O567" s="74" t="n"/>
      <c r="P567" s="74" t="n"/>
      <c r="Q567" s="74" t="n"/>
      <c r="R567" s="74" t="n"/>
      <c r="S567" s="74" t="n"/>
      <c r="T567" s="74" t="n"/>
      <c r="U567" s="74" t="n"/>
      <c r="V567" s="74" t="n"/>
      <c r="W567" s="74" t="n"/>
    </row>
    <row r="568">
      <c r="A568" s="74" t="n"/>
      <c r="B568" s="74" t="n"/>
      <c r="C568" s="74" t="n"/>
      <c r="D568" s="74" t="n"/>
      <c r="E568" s="74" t="n"/>
      <c r="F568" s="74" t="n"/>
      <c r="G568" s="74" t="n"/>
      <c r="H568" s="74" t="n"/>
      <c r="I568" s="74" t="n"/>
      <c r="J568" s="74" t="n"/>
      <c r="K568" s="74" t="n"/>
      <c r="L568" s="74" t="n"/>
      <c r="M568" s="74" t="n"/>
      <c r="N568" s="74" t="n"/>
      <c r="O568" s="74" t="n"/>
      <c r="P568" s="74" t="n"/>
      <c r="Q568" s="74" t="n"/>
      <c r="R568" s="74" t="n"/>
      <c r="S568" s="74" t="n"/>
      <c r="T568" s="74" t="n"/>
      <c r="U568" s="74" t="n"/>
      <c r="V568" s="74" t="n"/>
      <c r="W568" s="74" t="n"/>
    </row>
    <row r="569">
      <c r="A569" s="74" t="n"/>
      <c r="B569" s="74" t="n"/>
      <c r="C569" s="74" t="n"/>
      <c r="D569" s="74" t="n"/>
      <c r="E569" s="74" t="n"/>
      <c r="F569" s="74" t="n"/>
      <c r="G569" s="74" t="n"/>
      <c r="H569" s="74" t="n"/>
      <c r="I569" s="74" t="n"/>
      <c r="J569" s="74" t="n"/>
      <c r="K569" s="74" t="n"/>
      <c r="L569" s="74" t="n"/>
      <c r="M569" s="74" t="n"/>
      <c r="N569" s="74" t="n"/>
      <c r="O569" s="74" t="n"/>
      <c r="P569" s="74" t="n"/>
      <c r="Q569" s="74" t="n"/>
      <c r="R569" s="74" t="n"/>
      <c r="S569" s="74" t="n"/>
      <c r="T569" s="74" t="n"/>
      <c r="U569" s="74" t="n"/>
      <c r="V569" s="74" t="n"/>
      <c r="W569" s="74" t="n"/>
    </row>
    <row r="570">
      <c r="A570" s="74" t="n"/>
      <c r="B570" s="74" t="n"/>
      <c r="C570" s="74" t="n"/>
      <c r="D570" s="74" t="n"/>
      <c r="E570" s="74" t="n"/>
      <c r="F570" s="74" t="n"/>
      <c r="G570" s="74" t="n"/>
      <c r="H570" s="74" t="n"/>
      <c r="I570" s="74" t="n"/>
      <c r="J570" s="74" t="n"/>
      <c r="K570" s="74" t="n"/>
      <c r="L570" s="74" t="n"/>
      <c r="M570" s="74" t="n"/>
      <c r="N570" s="74" t="n"/>
      <c r="O570" s="74" t="n"/>
      <c r="P570" s="74" t="n"/>
      <c r="Q570" s="74" t="n"/>
      <c r="R570" s="74" t="n"/>
      <c r="S570" s="74" t="n"/>
      <c r="T570" s="74" t="n"/>
      <c r="U570" s="74" t="n"/>
      <c r="V570" s="74" t="n"/>
      <c r="W570" s="74" t="n"/>
    </row>
    <row r="571">
      <c r="A571" s="74" t="n"/>
      <c r="B571" s="74" t="n"/>
      <c r="C571" s="74" t="n"/>
      <c r="D571" s="74" t="n"/>
      <c r="E571" s="74" t="n"/>
      <c r="F571" s="74" t="n"/>
      <c r="G571" s="74" t="n"/>
      <c r="H571" s="74" t="n"/>
      <c r="I571" s="74" t="n"/>
      <c r="J571" s="74" t="n"/>
      <c r="K571" s="74" t="n"/>
      <c r="L571" s="74" t="n"/>
      <c r="M571" s="74" t="n"/>
      <c r="N571" s="74" t="n"/>
      <c r="O571" s="74" t="n"/>
      <c r="P571" s="74" t="n"/>
      <c r="Q571" s="74" t="n"/>
      <c r="R571" s="74" t="n"/>
      <c r="S571" s="74" t="n"/>
      <c r="T571" s="74" t="n"/>
      <c r="U571" s="74" t="n"/>
      <c r="V571" s="74" t="n"/>
      <c r="W571" s="74" t="n"/>
    </row>
    <row r="572">
      <c r="A572" s="74" t="n"/>
      <c r="B572" s="74" t="n"/>
      <c r="C572" s="74" t="n"/>
      <c r="D572" s="74" t="n"/>
      <c r="E572" s="74" t="n"/>
      <c r="F572" s="74" t="n"/>
      <c r="G572" s="74" t="n"/>
      <c r="H572" s="74" t="n"/>
      <c r="I572" s="74" t="n"/>
      <c r="J572" s="74" t="n"/>
      <c r="K572" s="74" t="n"/>
      <c r="L572" s="74" t="n"/>
      <c r="M572" s="74" t="n"/>
      <c r="N572" s="74" t="n"/>
      <c r="O572" s="74" t="n"/>
      <c r="P572" s="74" t="n"/>
      <c r="Q572" s="74" t="n"/>
      <c r="R572" s="74" t="n"/>
      <c r="S572" s="74" t="n"/>
      <c r="T572" s="74" t="n"/>
      <c r="U572" s="74" t="n"/>
      <c r="V572" s="74" t="n"/>
      <c r="W572" s="74" t="n"/>
    </row>
    <row r="573">
      <c r="A573" s="74" t="n"/>
      <c r="B573" s="74" t="n"/>
      <c r="C573" s="74" t="n"/>
      <c r="D573" s="74" t="n"/>
      <c r="E573" s="74" t="n"/>
      <c r="F573" s="74" t="n"/>
      <c r="G573" s="74" t="n"/>
      <c r="H573" s="74" t="n"/>
      <c r="I573" s="74" t="n"/>
      <c r="J573" s="74" t="n"/>
      <c r="K573" s="74" t="n"/>
      <c r="L573" s="74" t="n"/>
      <c r="M573" s="74" t="n"/>
      <c r="N573" s="74" t="n"/>
      <c r="O573" s="74" t="n"/>
      <c r="P573" s="74" t="n"/>
      <c r="Q573" s="74" t="n"/>
      <c r="R573" s="74" t="n"/>
      <c r="S573" s="74" t="n"/>
      <c r="T573" s="74" t="n"/>
      <c r="U573" s="74" t="n"/>
      <c r="V573" s="74" t="n"/>
      <c r="W573" s="74" t="n"/>
    </row>
    <row r="574">
      <c r="A574" s="74" t="n"/>
      <c r="B574" s="74" t="n"/>
      <c r="C574" s="74" t="n"/>
      <c r="D574" s="74" t="n"/>
      <c r="E574" s="74" t="n"/>
      <c r="F574" s="74" t="n"/>
      <c r="G574" s="74" t="n"/>
      <c r="H574" s="74" t="n"/>
      <c r="I574" s="74" t="n"/>
      <c r="J574" s="74" t="n"/>
      <c r="K574" s="74" t="n"/>
      <c r="L574" s="74" t="n"/>
      <c r="M574" s="74" t="n"/>
      <c r="N574" s="74" t="n"/>
      <c r="O574" s="74" t="n"/>
      <c r="P574" s="74" t="n"/>
      <c r="Q574" s="74" t="n"/>
      <c r="R574" s="74" t="n"/>
      <c r="S574" s="74" t="n"/>
      <c r="T574" s="74" t="n"/>
      <c r="U574" s="74" t="n"/>
      <c r="V574" s="74" t="n"/>
      <c r="W574" s="74" t="n"/>
    </row>
    <row r="575">
      <c r="A575" s="74" t="n"/>
      <c r="B575" s="74" t="n"/>
      <c r="C575" s="74" t="n"/>
      <c r="D575" s="74" t="n"/>
      <c r="E575" s="74" t="n"/>
      <c r="F575" s="74" t="n"/>
      <c r="G575" s="74" t="n"/>
      <c r="H575" s="74" t="n"/>
      <c r="I575" s="74" t="n"/>
      <c r="J575" s="74" t="n"/>
      <c r="K575" s="74" t="n"/>
      <c r="L575" s="74" t="n"/>
      <c r="M575" s="74" t="n"/>
      <c r="N575" s="74" t="n"/>
      <c r="O575" s="74" t="n"/>
      <c r="P575" s="74" t="n"/>
      <c r="Q575" s="74" t="n"/>
      <c r="R575" s="74" t="n"/>
      <c r="S575" s="74" t="n"/>
      <c r="T575" s="74" t="n"/>
      <c r="U575" s="74" t="n"/>
      <c r="V575" s="74" t="n"/>
      <c r="W575" s="74" t="n"/>
    </row>
    <row r="576">
      <c r="A576" s="74" t="n"/>
      <c r="B576" s="74" t="n"/>
      <c r="C576" s="74" t="n"/>
      <c r="D576" s="74" t="n"/>
      <c r="E576" s="74" t="n"/>
      <c r="F576" s="74" t="n"/>
      <c r="G576" s="74" t="n"/>
      <c r="H576" s="74" t="n"/>
      <c r="I576" s="74" t="n"/>
      <c r="J576" s="74" t="n"/>
      <c r="K576" s="74" t="n"/>
      <c r="L576" s="74" t="n"/>
      <c r="M576" s="74" t="n"/>
      <c r="N576" s="74" t="n"/>
      <c r="O576" s="74" t="n"/>
      <c r="P576" s="74" t="n"/>
      <c r="Q576" s="74" t="n"/>
      <c r="R576" s="74" t="n"/>
      <c r="S576" s="74" t="n"/>
      <c r="T576" s="74" t="n"/>
      <c r="U576" s="74" t="n"/>
      <c r="V576" s="74" t="n"/>
      <c r="W576" s="74" t="n"/>
    </row>
    <row r="577">
      <c r="A577" s="74" t="n"/>
      <c r="B577" s="74" t="n"/>
      <c r="C577" s="74" t="n"/>
      <c r="D577" s="74" t="n"/>
      <c r="E577" s="74" t="n"/>
      <c r="F577" s="74" t="n"/>
      <c r="G577" s="74" t="n"/>
      <c r="H577" s="74" t="n"/>
      <c r="I577" s="74" t="n"/>
      <c r="J577" s="74" t="n"/>
      <c r="K577" s="74" t="n"/>
      <c r="L577" s="74" t="n"/>
      <c r="M577" s="74" t="n"/>
      <c r="N577" s="74" t="n"/>
      <c r="O577" s="74" t="n"/>
      <c r="P577" s="74" t="n"/>
      <c r="Q577" s="74" t="n"/>
      <c r="R577" s="74" t="n"/>
      <c r="S577" s="74" t="n"/>
      <c r="T577" s="74" t="n"/>
      <c r="U577" s="74" t="n"/>
      <c r="V577" s="74" t="n"/>
      <c r="W577" s="74" t="n"/>
    </row>
    <row r="578">
      <c r="A578" s="74" t="n"/>
      <c r="B578" s="74" t="n"/>
      <c r="C578" s="74" t="n"/>
      <c r="D578" s="74" t="n"/>
      <c r="E578" s="74" t="n"/>
      <c r="F578" s="74" t="n"/>
      <c r="G578" s="74" t="n"/>
      <c r="H578" s="74" t="n"/>
      <c r="I578" s="74" t="n"/>
      <c r="J578" s="74" t="n"/>
      <c r="K578" s="74" t="n"/>
      <c r="L578" s="74" t="n"/>
      <c r="M578" s="74" t="n"/>
      <c r="N578" s="74" t="n"/>
      <c r="O578" s="74" t="n"/>
      <c r="P578" s="74" t="n"/>
      <c r="Q578" s="74" t="n"/>
      <c r="R578" s="74" t="n"/>
      <c r="S578" s="74" t="n"/>
      <c r="T578" s="74" t="n"/>
      <c r="U578" s="74" t="n"/>
      <c r="V578" s="74" t="n"/>
      <c r="W578" s="74" t="n"/>
    </row>
    <row r="579">
      <c r="A579" s="74" t="n"/>
      <c r="B579" s="74" t="n"/>
      <c r="C579" s="74" t="n"/>
      <c r="D579" s="74" t="n"/>
      <c r="E579" s="74" t="n"/>
      <c r="F579" s="74" t="n"/>
      <c r="G579" s="74" t="n"/>
      <c r="H579" s="74" t="n"/>
      <c r="I579" s="74" t="n"/>
      <c r="J579" s="74" t="n"/>
      <c r="K579" s="74" t="n"/>
      <c r="L579" s="74" t="n"/>
      <c r="M579" s="74" t="n"/>
      <c r="N579" s="74" t="n"/>
      <c r="O579" s="74" t="n"/>
      <c r="P579" s="74" t="n"/>
      <c r="Q579" s="74" t="n"/>
      <c r="R579" s="74" t="n"/>
      <c r="S579" s="74" t="n"/>
      <c r="T579" s="74" t="n"/>
      <c r="U579" s="74" t="n"/>
      <c r="V579" s="74" t="n"/>
      <c r="W579" s="74" t="n"/>
    </row>
    <row r="580">
      <c r="A580" s="74" t="n"/>
      <c r="B580" s="74" t="n"/>
      <c r="C580" s="74" t="n"/>
      <c r="D580" s="74" t="n"/>
      <c r="E580" s="74" t="n"/>
      <c r="F580" s="74" t="n"/>
      <c r="G580" s="74" t="n"/>
      <c r="H580" s="74" t="n"/>
      <c r="I580" s="74" t="n"/>
      <c r="J580" s="74" t="n"/>
      <c r="K580" s="74" t="n"/>
      <c r="L580" s="74" t="n"/>
      <c r="M580" s="74" t="n"/>
      <c r="N580" s="74" t="n"/>
      <c r="O580" s="74" t="n"/>
      <c r="P580" s="74" t="n"/>
      <c r="Q580" s="74" t="n"/>
      <c r="R580" s="74" t="n"/>
      <c r="S580" s="74" t="n"/>
      <c r="T580" s="74" t="n"/>
      <c r="U580" s="74" t="n"/>
      <c r="V580" s="74" t="n"/>
      <c r="W580" s="74" t="n"/>
    </row>
    <row r="581">
      <c r="A581" s="74" t="n"/>
      <c r="B581" s="74" t="n"/>
      <c r="C581" s="74" t="n"/>
      <c r="D581" s="74" t="n"/>
      <c r="E581" s="74" t="n"/>
      <c r="F581" s="74" t="n"/>
      <c r="G581" s="74" t="n"/>
      <c r="H581" s="74" t="n"/>
      <c r="I581" s="74" t="n"/>
      <c r="J581" s="74" t="n"/>
      <c r="K581" s="74" t="n"/>
      <c r="L581" s="74" t="n"/>
      <c r="M581" s="74" t="n"/>
      <c r="N581" s="74" t="n"/>
      <c r="O581" s="74" t="n"/>
      <c r="P581" s="74" t="n"/>
      <c r="Q581" s="74" t="n"/>
      <c r="R581" s="74" t="n"/>
      <c r="S581" s="74" t="n"/>
      <c r="T581" s="74" t="n"/>
      <c r="U581" s="74" t="n"/>
      <c r="V581" s="74" t="n"/>
      <c r="W581" s="74" t="n"/>
    </row>
    <row r="582">
      <c r="A582" s="74" t="n"/>
      <c r="B582" s="74" t="n"/>
      <c r="C582" s="74" t="n"/>
      <c r="D582" s="74" t="n"/>
      <c r="E582" s="74" t="n"/>
      <c r="F582" s="74" t="n"/>
      <c r="G582" s="74" t="n"/>
      <c r="H582" s="74" t="n"/>
      <c r="I582" s="74" t="n"/>
      <c r="J582" s="74" t="n"/>
      <c r="K582" s="74" t="n"/>
      <c r="L582" s="74" t="n"/>
      <c r="M582" s="74" t="n"/>
      <c r="N582" s="74" t="n"/>
      <c r="O582" s="74" t="n"/>
      <c r="P582" s="74" t="n"/>
      <c r="Q582" s="74" t="n"/>
      <c r="R582" s="74" t="n"/>
      <c r="S582" s="74" t="n"/>
      <c r="T582" s="74" t="n"/>
      <c r="U582" s="74" t="n"/>
      <c r="V582" s="74" t="n"/>
      <c r="W582" s="74" t="n"/>
    </row>
    <row r="583">
      <c r="A583" s="74" t="n"/>
      <c r="B583" s="74" t="n"/>
      <c r="C583" s="74" t="n"/>
      <c r="D583" s="74" t="n"/>
      <c r="E583" s="74" t="n"/>
      <c r="F583" s="74" t="n"/>
      <c r="G583" s="74" t="n"/>
      <c r="H583" s="74" t="n"/>
      <c r="I583" s="74" t="n"/>
      <c r="J583" s="74" t="n"/>
      <c r="K583" s="74" t="n"/>
      <c r="L583" s="74" t="n"/>
      <c r="M583" s="74" t="n"/>
      <c r="N583" s="74" t="n"/>
      <c r="O583" s="74" t="n"/>
      <c r="P583" s="74" t="n"/>
      <c r="Q583" s="74" t="n"/>
      <c r="R583" s="74" t="n"/>
      <c r="S583" s="74" t="n"/>
      <c r="T583" s="74" t="n"/>
      <c r="U583" s="74" t="n"/>
      <c r="V583" s="74" t="n"/>
      <c r="W583" s="74" t="n"/>
    </row>
    <row r="584">
      <c r="A584" s="74" t="n"/>
      <c r="B584" s="74" t="n"/>
      <c r="C584" s="74" t="n"/>
      <c r="D584" s="74" t="n"/>
      <c r="E584" s="74" t="n"/>
      <c r="F584" s="74" t="n"/>
      <c r="G584" s="74" t="n"/>
      <c r="H584" s="74" t="n"/>
      <c r="I584" s="74" t="n"/>
      <c r="J584" s="74" t="n"/>
      <c r="K584" s="74" t="n"/>
      <c r="L584" s="74" t="n"/>
      <c r="M584" s="74" t="n"/>
      <c r="N584" s="74" t="n"/>
      <c r="O584" s="74" t="n"/>
      <c r="P584" s="74" t="n"/>
      <c r="Q584" s="74" t="n"/>
      <c r="R584" s="74" t="n"/>
      <c r="S584" s="74" t="n"/>
      <c r="T584" s="74" t="n"/>
      <c r="U584" s="74" t="n"/>
      <c r="V584" s="74" t="n"/>
      <c r="W584" s="74" t="n"/>
    </row>
    <row r="585">
      <c r="A585" s="74" t="n"/>
      <c r="B585" s="74" t="n"/>
      <c r="C585" s="74" t="n"/>
      <c r="D585" s="74" t="n"/>
      <c r="E585" s="74" t="n"/>
      <c r="F585" s="74" t="n"/>
      <c r="G585" s="74" t="n"/>
      <c r="H585" s="74" t="n"/>
      <c r="I585" s="74" t="n"/>
      <c r="J585" s="74" t="n"/>
      <c r="K585" s="74" t="n"/>
      <c r="L585" s="74" t="n"/>
      <c r="M585" s="74" t="n"/>
      <c r="N585" s="74" t="n"/>
      <c r="O585" s="74" t="n"/>
      <c r="P585" s="74" t="n"/>
      <c r="Q585" s="74" t="n"/>
      <c r="R585" s="74" t="n"/>
      <c r="S585" s="74" t="n"/>
      <c r="T585" s="74" t="n"/>
      <c r="U585" s="74" t="n"/>
      <c r="V585" s="74" t="n"/>
      <c r="W585" s="74" t="n"/>
    </row>
    <row r="586">
      <c r="A586" s="74" t="n"/>
      <c r="B586" s="74" t="n"/>
      <c r="C586" s="74" t="n"/>
      <c r="D586" s="74" t="n"/>
      <c r="E586" s="74" t="n"/>
      <c r="F586" s="74" t="n"/>
      <c r="G586" s="74" t="n"/>
      <c r="H586" s="74" t="n"/>
      <c r="I586" s="74" t="n"/>
      <c r="J586" s="74" t="n"/>
      <c r="K586" s="74" t="n"/>
      <c r="L586" s="74" t="n"/>
      <c r="M586" s="74" t="n"/>
      <c r="N586" s="74" t="n"/>
      <c r="O586" s="74" t="n"/>
      <c r="P586" s="74" t="n"/>
      <c r="Q586" s="74" t="n"/>
      <c r="R586" s="74" t="n"/>
      <c r="S586" s="74" t="n"/>
      <c r="T586" s="74" t="n"/>
      <c r="U586" s="74" t="n"/>
      <c r="V586" s="74" t="n"/>
      <c r="W586" s="74" t="n"/>
    </row>
    <row r="587">
      <c r="A587" s="74" t="n"/>
      <c r="B587" s="74" t="n"/>
      <c r="C587" s="74" t="n"/>
      <c r="D587" s="74" t="n"/>
      <c r="E587" s="74" t="n"/>
      <c r="F587" s="74" t="n"/>
      <c r="G587" s="74" t="n"/>
      <c r="H587" s="74" t="n"/>
      <c r="I587" s="74" t="n"/>
      <c r="J587" s="74" t="n"/>
      <c r="K587" s="74" t="n"/>
      <c r="L587" s="74" t="n"/>
      <c r="M587" s="74" t="n"/>
      <c r="N587" s="74" t="n"/>
      <c r="O587" s="74" t="n"/>
      <c r="P587" s="74" t="n"/>
      <c r="Q587" s="74" t="n"/>
      <c r="R587" s="74" t="n"/>
      <c r="S587" s="74" t="n"/>
      <c r="T587" s="74" t="n"/>
      <c r="U587" s="74" t="n"/>
      <c r="V587" s="74" t="n"/>
      <c r="W587" s="74" t="n"/>
    </row>
    <row r="588">
      <c r="A588" s="74" t="n"/>
      <c r="B588" s="74" t="n"/>
      <c r="C588" s="74" t="n"/>
      <c r="D588" s="74" t="n"/>
      <c r="E588" s="74" t="n"/>
      <c r="F588" s="74" t="n"/>
      <c r="G588" s="74" t="n"/>
      <c r="H588" s="74" t="n"/>
      <c r="I588" s="74" t="n"/>
      <c r="J588" s="74" t="n"/>
      <c r="K588" s="74" t="n"/>
      <c r="L588" s="74" t="n"/>
      <c r="M588" s="74" t="n"/>
      <c r="N588" s="74" t="n"/>
      <c r="O588" s="74" t="n"/>
      <c r="P588" s="74" t="n"/>
      <c r="Q588" s="74" t="n"/>
      <c r="R588" s="74" t="n"/>
      <c r="S588" s="74" t="n"/>
      <c r="T588" s="74" t="n"/>
      <c r="U588" s="74" t="n"/>
      <c r="V588" s="74" t="n"/>
      <c r="W588" s="74" t="n"/>
    </row>
    <row r="589">
      <c r="A589" s="74" t="n"/>
      <c r="B589" s="74" t="n"/>
      <c r="C589" s="74" t="n"/>
      <c r="D589" s="74" t="n"/>
      <c r="E589" s="74" t="n"/>
      <c r="F589" s="74" t="n"/>
      <c r="G589" s="74" t="n"/>
      <c r="H589" s="74" t="n"/>
      <c r="I589" s="74" t="n"/>
      <c r="J589" s="74" t="n"/>
      <c r="K589" s="74" t="n"/>
      <c r="L589" s="74" t="n"/>
      <c r="M589" s="74" t="n"/>
      <c r="N589" s="74" t="n"/>
      <c r="O589" s="74" t="n"/>
      <c r="P589" s="74" t="n"/>
      <c r="Q589" s="74" t="n"/>
      <c r="R589" s="74" t="n"/>
      <c r="S589" s="74" t="n"/>
      <c r="T589" s="74" t="n"/>
      <c r="U589" s="74" t="n"/>
      <c r="V589" s="74" t="n"/>
      <c r="W589" s="74" t="n"/>
    </row>
    <row r="590">
      <c r="A590" s="74" t="n"/>
      <c r="B590" s="74" t="n"/>
      <c r="C590" s="74" t="n"/>
      <c r="D590" s="74" t="n"/>
      <c r="E590" s="74" t="n"/>
      <c r="F590" s="74" t="n"/>
      <c r="G590" s="74" t="n"/>
      <c r="H590" s="74" t="n"/>
      <c r="I590" s="74" t="n"/>
      <c r="J590" s="74" t="n"/>
      <c r="K590" s="74" t="n"/>
      <c r="L590" s="74" t="n"/>
      <c r="M590" s="74" t="n"/>
      <c r="N590" s="74" t="n"/>
      <c r="O590" s="74" t="n"/>
      <c r="P590" s="74" t="n"/>
      <c r="Q590" s="74" t="n"/>
      <c r="R590" s="74" t="n"/>
      <c r="S590" s="74" t="n"/>
      <c r="T590" s="74" t="n"/>
      <c r="U590" s="74" t="n"/>
      <c r="V590" s="74" t="n"/>
      <c r="W590" s="74" t="n"/>
    </row>
    <row r="591">
      <c r="A591" s="74" t="n"/>
      <c r="B591" s="74" t="n"/>
      <c r="C591" s="74" t="n"/>
      <c r="D591" s="74" t="n"/>
      <c r="E591" s="74" t="n"/>
      <c r="F591" s="74" t="n"/>
      <c r="G591" s="74" t="n"/>
      <c r="H591" s="74" t="n"/>
      <c r="I591" s="74" t="n"/>
      <c r="J591" s="74" t="n"/>
      <c r="K591" s="74" t="n"/>
      <c r="L591" s="74" t="n"/>
      <c r="M591" s="74" t="n"/>
      <c r="N591" s="74" t="n"/>
      <c r="O591" s="74" t="n"/>
      <c r="P591" s="74" t="n"/>
      <c r="Q591" s="74" t="n"/>
      <c r="R591" s="74" t="n"/>
      <c r="S591" s="74" t="n"/>
      <c r="T591" s="74" t="n"/>
      <c r="U591" s="74" t="n"/>
      <c r="V591" s="74" t="n"/>
      <c r="W591" s="74" t="n"/>
    </row>
    <row r="592">
      <c r="A592" s="74" t="n"/>
      <c r="B592" s="74" t="n"/>
      <c r="C592" s="74" t="n"/>
      <c r="D592" s="74" t="n"/>
      <c r="E592" s="74" t="n"/>
      <c r="F592" s="74" t="n"/>
      <c r="G592" s="74" t="n"/>
      <c r="H592" s="74" t="n"/>
      <c r="I592" s="74" t="n"/>
      <c r="J592" s="74" t="n"/>
      <c r="K592" s="74" t="n"/>
      <c r="L592" s="74" t="n"/>
      <c r="M592" s="74" t="n"/>
      <c r="N592" s="74" t="n"/>
      <c r="O592" s="74" t="n"/>
      <c r="P592" s="74" t="n"/>
      <c r="Q592" s="74" t="n"/>
      <c r="R592" s="74" t="n"/>
      <c r="S592" s="74" t="n"/>
      <c r="T592" s="74" t="n"/>
      <c r="U592" s="74" t="n"/>
      <c r="V592" s="74" t="n"/>
      <c r="W592" s="74" t="n"/>
    </row>
    <row r="593">
      <c r="A593" s="74" t="n"/>
      <c r="B593" s="74" t="n"/>
      <c r="C593" s="74" t="n"/>
      <c r="D593" s="74" t="n"/>
      <c r="E593" s="74" t="n"/>
      <c r="F593" s="74" t="n"/>
      <c r="G593" s="74" t="n"/>
      <c r="H593" s="74" t="n"/>
      <c r="I593" s="74" t="n"/>
      <c r="J593" s="74" t="n"/>
      <c r="K593" s="74" t="n"/>
      <c r="L593" s="74" t="n"/>
      <c r="M593" s="74" t="n"/>
      <c r="N593" s="74" t="n"/>
      <c r="O593" s="74" t="n"/>
      <c r="P593" s="74" t="n"/>
      <c r="Q593" s="74" t="n"/>
      <c r="R593" s="74" t="n"/>
      <c r="S593" s="74" t="n"/>
      <c r="T593" s="74" t="n"/>
      <c r="U593" s="74" t="n"/>
      <c r="V593" s="74" t="n"/>
      <c r="W593" s="74" t="n"/>
    </row>
    <row r="594">
      <c r="A594" s="74" t="n"/>
      <c r="B594" s="74" t="n"/>
      <c r="C594" s="74" t="n"/>
      <c r="D594" s="74" t="n"/>
      <c r="E594" s="74" t="n"/>
      <c r="F594" s="74" t="n"/>
      <c r="G594" s="74" t="n"/>
      <c r="H594" s="74" t="n"/>
      <c r="I594" s="74" t="n"/>
      <c r="J594" s="74" t="n"/>
      <c r="K594" s="74" t="n"/>
      <c r="L594" s="74" t="n"/>
      <c r="M594" s="74" t="n"/>
      <c r="N594" s="74" t="n"/>
      <c r="O594" s="74" t="n"/>
      <c r="P594" s="74" t="n"/>
      <c r="Q594" s="74" t="n"/>
      <c r="R594" s="74" t="n"/>
      <c r="S594" s="74" t="n"/>
      <c r="T594" s="74" t="n"/>
      <c r="U594" s="74" t="n"/>
      <c r="V594" s="74" t="n"/>
      <c r="W594" s="74" t="n"/>
    </row>
    <row r="595">
      <c r="A595" s="74" t="n"/>
      <c r="B595" s="74" t="n"/>
      <c r="C595" s="74" t="n"/>
      <c r="D595" s="74" t="n"/>
      <c r="E595" s="74" t="n"/>
      <c r="F595" s="74" t="n"/>
      <c r="G595" s="74" t="n"/>
      <c r="H595" s="74" t="n"/>
      <c r="I595" s="74" t="n"/>
      <c r="J595" s="74" t="n"/>
      <c r="K595" s="74" t="n"/>
      <c r="L595" s="74" t="n"/>
      <c r="M595" s="74" t="n"/>
      <c r="N595" s="74" t="n"/>
      <c r="O595" s="74" t="n"/>
      <c r="P595" s="74" t="n"/>
      <c r="Q595" s="74" t="n"/>
      <c r="R595" s="74" t="n"/>
      <c r="S595" s="74" t="n"/>
      <c r="T595" s="74" t="n"/>
      <c r="U595" s="74" t="n"/>
      <c r="V595" s="74" t="n"/>
      <c r="W595" s="74" t="n"/>
    </row>
    <row r="596">
      <c r="A596" s="74" t="n"/>
      <c r="B596" s="74" t="n"/>
      <c r="C596" s="74" t="n"/>
      <c r="D596" s="74" t="n"/>
      <c r="E596" s="74" t="n"/>
      <c r="F596" s="74" t="n"/>
      <c r="G596" s="74" t="n"/>
      <c r="H596" s="74" t="n"/>
      <c r="I596" s="74" t="n"/>
      <c r="J596" s="74" t="n"/>
      <c r="K596" s="74" t="n"/>
      <c r="L596" s="74" t="n"/>
      <c r="M596" s="74" t="n"/>
      <c r="N596" s="74" t="n"/>
      <c r="O596" s="74" t="n"/>
      <c r="P596" s="74" t="n"/>
      <c r="Q596" s="74" t="n"/>
      <c r="R596" s="74" t="n"/>
      <c r="S596" s="74" t="n"/>
      <c r="T596" s="74" t="n"/>
      <c r="U596" s="74" t="n"/>
      <c r="V596" s="74" t="n"/>
      <c r="W596" s="74" t="n"/>
    </row>
    <row r="597">
      <c r="A597" s="74" t="n"/>
      <c r="B597" s="74" t="n"/>
      <c r="C597" s="74" t="n"/>
      <c r="D597" s="74" t="n"/>
      <c r="E597" s="74" t="n"/>
      <c r="F597" s="74" t="n"/>
      <c r="G597" s="74" t="n"/>
      <c r="H597" s="74" t="n"/>
      <c r="I597" s="74" t="n"/>
      <c r="J597" s="74" t="n"/>
      <c r="K597" s="74" t="n"/>
      <c r="L597" s="74" t="n"/>
      <c r="M597" s="74" t="n"/>
      <c r="N597" s="74" t="n"/>
      <c r="O597" s="74" t="n"/>
      <c r="P597" s="74" t="n"/>
      <c r="Q597" s="74" t="n"/>
      <c r="R597" s="74" t="n"/>
      <c r="S597" s="74" t="n"/>
      <c r="T597" s="74" t="n"/>
      <c r="U597" s="74" t="n"/>
      <c r="V597" s="74" t="n"/>
      <c r="W597" s="74" t="n"/>
    </row>
    <row r="598">
      <c r="A598" s="74" t="n"/>
      <c r="B598" s="74" t="n"/>
      <c r="C598" s="74" t="n"/>
      <c r="D598" s="74" t="n"/>
      <c r="E598" s="74" t="n"/>
      <c r="F598" s="74" t="n"/>
      <c r="G598" s="74" t="n"/>
      <c r="H598" s="74" t="n"/>
      <c r="I598" s="74" t="n"/>
      <c r="J598" s="74" t="n"/>
      <c r="K598" s="74" t="n"/>
      <c r="L598" s="74" t="n"/>
      <c r="M598" s="74" t="n"/>
      <c r="N598" s="74" t="n"/>
      <c r="O598" s="74" t="n"/>
      <c r="P598" s="74" t="n"/>
      <c r="Q598" s="74" t="n"/>
      <c r="R598" s="74" t="n"/>
      <c r="S598" s="74" t="n"/>
      <c r="T598" s="74" t="n"/>
      <c r="U598" s="74" t="n"/>
      <c r="V598" s="74" t="n"/>
      <c r="W598" s="74" t="n"/>
    </row>
    <row r="599">
      <c r="A599" s="74" t="n"/>
      <c r="B599" s="74" t="n"/>
      <c r="C599" s="74" t="n"/>
      <c r="D599" s="74" t="n"/>
      <c r="E599" s="74" t="n"/>
      <c r="F599" s="74" t="n"/>
      <c r="G599" s="74" t="n"/>
      <c r="H599" s="74" t="n"/>
      <c r="I599" s="74" t="n"/>
      <c r="J599" s="74" t="n"/>
      <c r="K599" s="74" t="n"/>
      <c r="L599" s="74" t="n"/>
      <c r="M599" s="74" t="n"/>
      <c r="N599" s="74" t="n"/>
      <c r="O599" s="74" t="n"/>
      <c r="P599" s="74" t="n"/>
      <c r="Q599" s="74" t="n"/>
      <c r="R599" s="74" t="n"/>
      <c r="S599" s="74" t="n"/>
      <c r="T599" s="74" t="n"/>
      <c r="U599" s="74" t="n"/>
      <c r="V599" s="74" t="n"/>
      <c r="W599" s="74" t="n"/>
    </row>
    <row r="600">
      <c r="A600" s="74" t="n"/>
      <c r="B600" s="74" t="n"/>
      <c r="C600" s="74" t="n"/>
      <c r="D600" s="74" t="n"/>
      <c r="E600" s="74" t="n"/>
      <c r="F600" s="74" t="n"/>
      <c r="G600" s="74" t="n"/>
      <c r="H600" s="74" t="n"/>
      <c r="I600" s="74" t="n"/>
      <c r="J600" s="74" t="n"/>
      <c r="K600" s="74" t="n"/>
      <c r="L600" s="74" t="n"/>
      <c r="M600" s="74" t="n"/>
      <c r="N600" s="74" t="n"/>
      <c r="O600" s="74" t="n"/>
      <c r="P600" s="74" t="n"/>
      <c r="Q600" s="74" t="n"/>
      <c r="R600" s="74" t="n"/>
      <c r="S600" s="74" t="n"/>
      <c r="T600" s="74" t="n"/>
      <c r="U600" s="74" t="n"/>
      <c r="V600" s="74" t="n"/>
      <c r="W600" s="74" t="n"/>
    </row>
    <row r="601">
      <c r="A601" s="74" t="n"/>
      <c r="B601" s="74" t="n"/>
      <c r="C601" s="74" t="n"/>
      <c r="D601" s="74" t="n"/>
      <c r="E601" s="74" t="n"/>
      <c r="F601" s="74" t="n"/>
      <c r="G601" s="74" t="n"/>
      <c r="H601" s="74" t="n"/>
      <c r="I601" s="74" t="n"/>
      <c r="J601" s="74" t="n"/>
      <c r="K601" s="74" t="n"/>
      <c r="L601" s="74" t="n"/>
      <c r="M601" s="74" t="n"/>
      <c r="N601" s="74" t="n"/>
      <c r="O601" s="74" t="n"/>
      <c r="P601" s="74" t="n"/>
      <c r="Q601" s="74" t="n"/>
      <c r="R601" s="74" t="n"/>
      <c r="S601" s="74" t="n"/>
      <c r="T601" s="74" t="n"/>
      <c r="U601" s="74" t="n"/>
      <c r="V601" s="74" t="n"/>
      <c r="W601" s="74" t="n"/>
    </row>
    <row r="602">
      <c r="A602" s="74" t="n"/>
      <c r="B602" s="74" t="n"/>
      <c r="C602" s="74" t="n"/>
      <c r="D602" s="74" t="n"/>
      <c r="E602" s="74" t="n"/>
      <c r="F602" s="74" t="n"/>
      <c r="G602" s="74" t="n"/>
      <c r="H602" s="74" t="n"/>
      <c r="I602" s="74" t="n"/>
      <c r="J602" s="74" t="n"/>
      <c r="K602" s="74" t="n"/>
      <c r="L602" s="74" t="n"/>
      <c r="M602" s="74" t="n"/>
      <c r="N602" s="74" t="n"/>
      <c r="O602" s="74" t="n"/>
      <c r="P602" s="74" t="n"/>
      <c r="Q602" s="74" t="n"/>
      <c r="R602" s="74" t="n"/>
      <c r="S602" s="74" t="n"/>
      <c r="T602" s="74" t="n"/>
      <c r="U602" s="74" t="n"/>
      <c r="V602" s="74" t="n"/>
      <c r="W602" s="74" t="n"/>
    </row>
    <row r="603">
      <c r="A603" s="74" t="n"/>
      <c r="B603" s="74" t="n"/>
      <c r="C603" s="74" t="n"/>
      <c r="D603" s="74" t="n"/>
      <c r="E603" s="74" t="n"/>
      <c r="F603" s="74" t="n"/>
      <c r="G603" s="74" t="n"/>
      <c r="H603" s="74" t="n"/>
      <c r="I603" s="74" t="n"/>
      <c r="J603" s="74" t="n"/>
      <c r="K603" s="74" t="n"/>
      <c r="L603" s="74" t="n"/>
      <c r="M603" s="74" t="n"/>
      <c r="N603" s="74" t="n"/>
      <c r="O603" s="74" t="n"/>
      <c r="P603" s="74" t="n"/>
      <c r="Q603" s="74" t="n"/>
      <c r="R603" s="74" t="n"/>
      <c r="S603" s="74" t="n"/>
      <c r="T603" s="74" t="n"/>
      <c r="U603" s="74" t="n"/>
      <c r="V603" s="74" t="n"/>
      <c r="W603" s="74" t="n"/>
    </row>
    <row r="604">
      <c r="A604" s="74" t="n"/>
      <c r="B604" s="74" t="n"/>
      <c r="C604" s="74" t="n"/>
      <c r="D604" s="74" t="n"/>
      <c r="E604" s="74" t="n"/>
      <c r="F604" s="74" t="n"/>
      <c r="G604" s="74" t="n"/>
      <c r="H604" s="74" t="n"/>
      <c r="I604" s="74" t="n"/>
      <c r="J604" s="74" t="n"/>
      <c r="K604" s="74" t="n"/>
      <c r="L604" s="74" t="n"/>
      <c r="M604" s="74" t="n"/>
      <c r="N604" s="74" t="n"/>
      <c r="O604" s="74" t="n"/>
      <c r="P604" s="74" t="n"/>
      <c r="Q604" s="74" t="n"/>
      <c r="R604" s="74" t="n"/>
      <c r="S604" s="74" t="n"/>
      <c r="T604" s="74" t="n"/>
      <c r="U604" s="74" t="n"/>
      <c r="V604" s="74" t="n"/>
      <c r="W604" s="74" t="n"/>
    </row>
    <row r="605">
      <c r="A605" s="74" t="n"/>
      <c r="B605" s="74" t="n"/>
      <c r="C605" s="74" t="n"/>
      <c r="D605" s="74" t="n"/>
      <c r="E605" s="74" t="n"/>
      <c r="F605" s="74" t="n"/>
      <c r="G605" s="74" t="n"/>
      <c r="H605" s="74" t="n"/>
      <c r="I605" s="74" t="n"/>
      <c r="J605" s="74" t="n"/>
      <c r="K605" s="74" t="n"/>
      <c r="L605" s="74" t="n"/>
      <c r="M605" s="74" t="n"/>
      <c r="N605" s="74" t="n"/>
      <c r="O605" s="74" t="n"/>
      <c r="P605" s="74" t="n"/>
      <c r="Q605" s="74" t="n"/>
      <c r="R605" s="74" t="n"/>
      <c r="S605" s="74" t="n"/>
      <c r="T605" s="74" t="n"/>
      <c r="U605" s="74" t="n"/>
      <c r="V605" s="74" t="n"/>
      <c r="W605" s="74" t="n"/>
    </row>
    <row r="606">
      <c r="A606" s="74" t="n"/>
      <c r="B606" s="74" t="n"/>
      <c r="C606" s="74" t="n"/>
      <c r="D606" s="74" t="n"/>
      <c r="E606" s="74" t="n"/>
      <c r="F606" s="74" t="n"/>
      <c r="G606" s="74" t="n"/>
      <c r="H606" s="74" t="n"/>
      <c r="I606" s="74" t="n"/>
      <c r="J606" s="74" t="n"/>
      <c r="K606" s="74" t="n"/>
      <c r="L606" s="74" t="n"/>
      <c r="M606" s="74" t="n"/>
      <c r="N606" s="74" t="n"/>
      <c r="O606" s="74" t="n"/>
      <c r="P606" s="74" t="n"/>
      <c r="Q606" s="74" t="n"/>
      <c r="R606" s="74" t="n"/>
      <c r="S606" s="74" t="n"/>
      <c r="T606" s="74" t="n"/>
      <c r="U606" s="74" t="n"/>
      <c r="V606" s="74" t="n"/>
      <c r="W606" s="74" t="n"/>
    </row>
    <row r="607">
      <c r="A607" s="74" t="n"/>
      <c r="B607" s="74" t="n"/>
      <c r="C607" s="74" t="n"/>
      <c r="D607" s="74" t="n"/>
      <c r="E607" s="74" t="n"/>
      <c r="F607" s="74" t="n"/>
      <c r="G607" s="74" t="n"/>
      <c r="H607" s="74" t="n"/>
      <c r="I607" s="74" t="n"/>
      <c r="J607" s="74" t="n"/>
      <c r="K607" s="74" t="n"/>
      <c r="L607" s="74" t="n"/>
      <c r="M607" s="74" t="n"/>
      <c r="N607" s="74" t="n"/>
      <c r="O607" s="74" t="n"/>
      <c r="P607" s="74" t="n"/>
      <c r="Q607" s="74" t="n"/>
      <c r="R607" s="74" t="n"/>
      <c r="S607" s="74" t="n"/>
      <c r="T607" s="74" t="n"/>
      <c r="U607" s="74" t="n"/>
      <c r="V607" s="74" t="n"/>
      <c r="W607" s="74" t="n"/>
    </row>
    <row r="608">
      <c r="A608" s="74" t="n"/>
      <c r="B608" s="74" t="n"/>
      <c r="C608" s="74" t="n"/>
      <c r="D608" s="74" t="n"/>
      <c r="E608" s="74" t="n"/>
      <c r="F608" s="74" t="n"/>
      <c r="G608" s="74" t="n"/>
      <c r="H608" s="74" t="n"/>
      <c r="I608" s="74" t="n"/>
      <c r="J608" s="74" t="n"/>
      <c r="K608" s="74" t="n"/>
      <c r="L608" s="74" t="n"/>
      <c r="M608" s="74" t="n"/>
      <c r="N608" s="74" t="n"/>
      <c r="O608" s="74" t="n"/>
      <c r="P608" s="74" t="n"/>
      <c r="Q608" s="74" t="n"/>
      <c r="R608" s="74" t="n"/>
      <c r="S608" s="74" t="n"/>
      <c r="T608" s="74" t="n"/>
      <c r="U608" s="74" t="n"/>
      <c r="V608" s="74" t="n"/>
      <c r="W608" s="74" t="n"/>
    </row>
    <row r="609">
      <c r="A609" s="74" t="n"/>
      <c r="B609" s="74" t="n"/>
      <c r="C609" s="74" t="n"/>
      <c r="D609" s="74" t="n"/>
      <c r="E609" s="74" t="n"/>
      <c r="F609" s="74" t="n"/>
      <c r="G609" s="74" t="n"/>
      <c r="H609" s="74" t="n"/>
      <c r="I609" s="74" t="n"/>
      <c r="J609" s="74" t="n"/>
      <c r="K609" s="74" t="n"/>
      <c r="L609" s="74" t="n"/>
      <c r="M609" s="74" t="n"/>
      <c r="N609" s="74" t="n"/>
      <c r="O609" s="74" t="n"/>
      <c r="P609" s="74" t="n"/>
      <c r="Q609" s="74" t="n"/>
      <c r="R609" s="74" t="n"/>
      <c r="S609" s="74" t="n"/>
      <c r="T609" s="74" t="n"/>
      <c r="U609" s="74" t="n"/>
      <c r="V609" s="74" t="n"/>
      <c r="W609" s="74" t="n"/>
    </row>
    <row r="610">
      <c r="A610" s="74" t="n"/>
      <c r="B610" s="74" t="n"/>
      <c r="C610" s="74" t="n"/>
      <c r="D610" s="74" t="n"/>
      <c r="E610" s="74" t="n"/>
      <c r="F610" s="74" t="n"/>
      <c r="G610" s="74" t="n"/>
      <c r="H610" s="74" t="n"/>
      <c r="I610" s="74" t="n"/>
      <c r="J610" s="74" t="n"/>
      <c r="K610" s="74" t="n"/>
      <c r="L610" s="74" t="n"/>
      <c r="M610" s="74" t="n"/>
      <c r="N610" s="74" t="n"/>
      <c r="O610" s="74" t="n"/>
      <c r="P610" s="74" t="n"/>
      <c r="Q610" s="74" t="n"/>
      <c r="R610" s="74" t="n"/>
      <c r="S610" s="74" t="n"/>
      <c r="T610" s="74" t="n"/>
      <c r="U610" s="74" t="n"/>
      <c r="V610" s="74" t="n"/>
      <c r="W610" s="74" t="n"/>
    </row>
    <row r="611">
      <c r="A611" s="74" t="n"/>
      <c r="B611" s="74" t="n"/>
      <c r="C611" s="74" t="n"/>
      <c r="D611" s="74" t="n"/>
      <c r="E611" s="74" t="n"/>
      <c r="F611" s="74" t="n"/>
      <c r="G611" s="74" t="n"/>
      <c r="H611" s="74" t="n"/>
      <c r="I611" s="74" t="n"/>
      <c r="J611" s="74" t="n"/>
      <c r="K611" s="74" t="n"/>
      <c r="L611" s="74" t="n"/>
      <c r="M611" s="74" t="n"/>
      <c r="N611" s="74" t="n"/>
      <c r="O611" s="74" t="n"/>
      <c r="P611" s="74" t="n"/>
      <c r="Q611" s="74" t="n"/>
      <c r="R611" s="74" t="n"/>
      <c r="S611" s="74" t="n"/>
      <c r="T611" s="74" t="n"/>
      <c r="U611" s="74" t="n"/>
      <c r="V611" s="74" t="n"/>
      <c r="W611" s="74" t="n"/>
    </row>
    <row r="612">
      <c r="A612" s="74" t="n"/>
      <c r="B612" s="74" t="n"/>
      <c r="C612" s="74" t="n"/>
      <c r="D612" s="74" t="n"/>
      <c r="E612" s="74" t="n"/>
      <c r="F612" s="74" t="n"/>
      <c r="G612" s="74" t="n"/>
      <c r="H612" s="74" t="n"/>
      <c r="I612" s="74" t="n"/>
      <c r="J612" s="74" t="n"/>
      <c r="K612" s="74" t="n"/>
      <c r="L612" s="74" t="n"/>
      <c r="M612" s="74" t="n"/>
      <c r="N612" s="74" t="n"/>
      <c r="O612" s="74" t="n"/>
      <c r="P612" s="74" t="n"/>
      <c r="Q612" s="74" t="n"/>
      <c r="R612" s="74" t="n"/>
      <c r="S612" s="74" t="n"/>
      <c r="T612" s="74" t="n"/>
      <c r="U612" s="74" t="n"/>
      <c r="V612" s="74" t="n"/>
      <c r="W612" s="74" t="n"/>
    </row>
    <row r="613">
      <c r="A613" s="74" t="n"/>
      <c r="B613" s="74" t="n"/>
      <c r="C613" s="74" t="n"/>
      <c r="D613" s="74" t="n"/>
      <c r="E613" s="74" t="n"/>
      <c r="F613" s="74" t="n"/>
      <c r="G613" s="74" t="n"/>
      <c r="H613" s="74" t="n"/>
      <c r="I613" s="74" t="n"/>
      <c r="J613" s="74" t="n"/>
      <c r="K613" s="74" t="n"/>
      <c r="L613" s="74" t="n"/>
      <c r="M613" s="74" t="n"/>
      <c r="N613" s="74" t="n"/>
      <c r="O613" s="74" t="n"/>
      <c r="P613" s="74" t="n"/>
      <c r="Q613" s="74" t="n"/>
      <c r="R613" s="74" t="n"/>
      <c r="S613" s="74" t="n"/>
      <c r="T613" s="74" t="n"/>
      <c r="U613" s="74" t="n"/>
      <c r="V613" s="74" t="n"/>
      <c r="W613" s="74" t="n"/>
    </row>
    <row r="614">
      <c r="A614" s="74" t="n"/>
      <c r="B614" s="74" t="n"/>
      <c r="C614" s="74" t="n"/>
      <c r="D614" s="74" t="n"/>
      <c r="E614" s="74" t="n"/>
      <c r="F614" s="74" t="n"/>
      <c r="G614" s="74" t="n"/>
      <c r="H614" s="74" t="n"/>
      <c r="I614" s="74" t="n"/>
      <c r="J614" s="74" t="n"/>
      <c r="K614" s="74" t="n"/>
      <c r="L614" s="74" t="n"/>
      <c r="M614" s="74" t="n"/>
      <c r="N614" s="74" t="n"/>
      <c r="O614" s="74" t="n"/>
      <c r="P614" s="74" t="n"/>
      <c r="Q614" s="74" t="n"/>
      <c r="R614" s="74" t="n"/>
      <c r="S614" s="74" t="n"/>
      <c r="T614" s="74" t="n"/>
      <c r="U614" s="74" t="n"/>
      <c r="V614" s="74" t="n"/>
      <c r="W614" s="74" t="n"/>
    </row>
    <row r="615">
      <c r="A615" s="74" t="n"/>
      <c r="B615" s="74" t="n"/>
      <c r="C615" s="74" t="n"/>
      <c r="D615" s="74" t="n"/>
      <c r="E615" s="74" t="n"/>
      <c r="F615" s="74" t="n"/>
      <c r="G615" s="74" t="n"/>
      <c r="H615" s="74" t="n"/>
      <c r="I615" s="74" t="n"/>
      <c r="J615" s="74" t="n"/>
      <c r="K615" s="74" t="n"/>
      <c r="L615" s="74" t="n"/>
      <c r="M615" s="74" t="n"/>
      <c r="N615" s="74" t="n"/>
      <c r="O615" s="74" t="n"/>
      <c r="P615" s="74" t="n"/>
      <c r="Q615" s="74" t="n"/>
      <c r="R615" s="74" t="n"/>
      <c r="S615" s="74" t="n"/>
      <c r="T615" s="74" t="n"/>
      <c r="U615" s="74" t="n"/>
      <c r="V615" s="74" t="n"/>
      <c r="W615" s="74" t="n"/>
    </row>
    <row r="616">
      <c r="A616" s="74" t="n"/>
      <c r="B616" s="74" t="n"/>
      <c r="C616" s="74" t="n"/>
      <c r="D616" s="74" t="n"/>
      <c r="E616" s="74" t="n"/>
      <c r="F616" s="74" t="n"/>
      <c r="G616" s="74" t="n"/>
      <c r="H616" s="74" t="n"/>
      <c r="I616" s="74" t="n"/>
      <c r="J616" s="74" t="n"/>
      <c r="K616" s="74" t="n"/>
      <c r="L616" s="74" t="n"/>
      <c r="M616" s="74" t="n"/>
      <c r="N616" s="74" t="n"/>
      <c r="O616" s="74" t="n"/>
      <c r="P616" s="74" t="n"/>
      <c r="Q616" s="74" t="n"/>
      <c r="R616" s="74" t="n"/>
      <c r="S616" s="74" t="n"/>
      <c r="T616" s="74" t="n"/>
      <c r="U616" s="74" t="n"/>
      <c r="V616" s="74" t="n"/>
      <c r="W616" s="74" t="n"/>
    </row>
    <row r="617">
      <c r="A617" s="74" t="n"/>
      <c r="B617" s="74" t="n"/>
      <c r="C617" s="74" t="n"/>
      <c r="D617" s="74" t="n"/>
      <c r="E617" s="74" t="n"/>
      <c r="F617" s="74" t="n"/>
      <c r="G617" s="74" t="n"/>
      <c r="H617" s="74" t="n"/>
      <c r="I617" s="74" t="n"/>
      <c r="J617" s="74" t="n"/>
      <c r="K617" s="74" t="n"/>
      <c r="L617" s="74" t="n"/>
      <c r="M617" s="74" t="n"/>
      <c r="N617" s="74" t="n"/>
      <c r="O617" s="74" t="n"/>
      <c r="P617" s="74" t="n"/>
      <c r="Q617" s="74" t="n"/>
      <c r="R617" s="74" t="n"/>
      <c r="S617" s="74" t="n"/>
      <c r="T617" s="74" t="n"/>
      <c r="U617" s="74" t="n"/>
      <c r="V617" s="74" t="n"/>
      <c r="W617" s="74" t="n"/>
    </row>
    <row r="618">
      <c r="A618" s="74" t="n"/>
      <c r="B618" s="74" t="n"/>
      <c r="C618" s="74" t="n"/>
      <c r="D618" s="74" t="n"/>
      <c r="E618" s="74" t="n"/>
      <c r="F618" s="74" t="n"/>
      <c r="G618" s="74" t="n"/>
      <c r="H618" s="74" t="n"/>
      <c r="I618" s="74" t="n"/>
      <c r="J618" s="74" t="n"/>
      <c r="K618" s="74" t="n"/>
      <c r="L618" s="74" t="n"/>
      <c r="M618" s="74" t="n"/>
      <c r="N618" s="74" t="n"/>
      <c r="O618" s="74" t="n"/>
      <c r="P618" s="74" t="n"/>
      <c r="Q618" s="74" t="n"/>
      <c r="R618" s="74" t="n"/>
      <c r="S618" s="74" t="n"/>
      <c r="T618" s="74" t="n"/>
      <c r="U618" s="74" t="n"/>
      <c r="V618" s="74" t="n"/>
      <c r="W618" s="74" t="n"/>
    </row>
    <row r="619">
      <c r="A619" s="74" t="n"/>
      <c r="B619" s="74" t="n"/>
      <c r="C619" s="74" t="n"/>
      <c r="D619" s="74" t="n"/>
      <c r="E619" s="74" t="n"/>
      <c r="F619" s="74" t="n"/>
      <c r="G619" s="74" t="n"/>
      <c r="H619" s="74" t="n"/>
      <c r="I619" s="74" t="n"/>
      <c r="J619" s="74" t="n"/>
      <c r="K619" s="74" t="n"/>
      <c r="L619" s="74" t="n"/>
      <c r="M619" s="74" t="n"/>
      <c r="N619" s="74" t="n"/>
      <c r="O619" s="74" t="n"/>
      <c r="P619" s="74" t="n"/>
      <c r="Q619" s="74" t="n"/>
      <c r="R619" s="74" t="n"/>
      <c r="S619" s="74" t="n"/>
      <c r="T619" s="74" t="n"/>
      <c r="U619" s="74" t="n"/>
      <c r="V619" s="74" t="n"/>
      <c r="W619" s="74" t="n"/>
    </row>
    <row r="620">
      <c r="A620" s="74" t="n"/>
      <c r="B620" s="74" t="n"/>
      <c r="C620" s="74" t="n"/>
      <c r="D620" s="74" t="n"/>
      <c r="E620" s="74" t="n"/>
      <c r="F620" s="74" t="n"/>
      <c r="G620" s="74" t="n"/>
      <c r="H620" s="74" t="n"/>
      <c r="I620" s="74" t="n"/>
      <c r="J620" s="74" t="n"/>
      <c r="K620" s="74" t="n"/>
      <c r="L620" s="74" t="n"/>
      <c r="M620" s="74" t="n"/>
      <c r="N620" s="74" t="n"/>
      <c r="O620" s="74" t="n"/>
      <c r="P620" s="74" t="n"/>
      <c r="Q620" s="74" t="n"/>
      <c r="R620" s="74" t="n"/>
      <c r="S620" s="74" t="n"/>
      <c r="T620" s="74" t="n"/>
      <c r="U620" s="74" t="n"/>
      <c r="V620" s="74" t="n"/>
      <c r="W620" s="74" t="n"/>
    </row>
    <row r="621">
      <c r="A621" s="74" t="n"/>
      <c r="B621" s="74" t="n"/>
      <c r="C621" s="74" t="n"/>
      <c r="D621" s="74" t="n"/>
      <c r="E621" s="74" t="n"/>
      <c r="F621" s="74" t="n"/>
      <c r="G621" s="74" t="n"/>
      <c r="H621" s="74" t="n"/>
      <c r="I621" s="74" t="n"/>
      <c r="J621" s="74" t="n"/>
      <c r="K621" s="74" t="n"/>
      <c r="L621" s="74" t="n"/>
      <c r="M621" s="74" t="n"/>
      <c r="N621" s="74" t="n"/>
      <c r="O621" s="74" t="n"/>
      <c r="P621" s="74" t="n"/>
      <c r="Q621" s="74" t="n"/>
      <c r="R621" s="74" t="n"/>
      <c r="S621" s="74" t="n"/>
      <c r="T621" s="74" t="n"/>
      <c r="U621" s="74" t="n"/>
      <c r="V621" s="74" t="n"/>
      <c r="W621" s="74" t="n"/>
    </row>
    <row r="622">
      <c r="A622" s="74" t="n"/>
      <c r="B622" s="74" t="n"/>
      <c r="C622" s="74" t="n"/>
      <c r="D622" s="74" t="n"/>
      <c r="E622" s="74" t="n"/>
      <c r="F622" s="74" t="n"/>
      <c r="G622" s="74" t="n"/>
      <c r="H622" s="74" t="n"/>
      <c r="I622" s="74" t="n"/>
      <c r="J622" s="74" t="n"/>
      <c r="K622" s="74" t="n"/>
      <c r="L622" s="74" t="n"/>
      <c r="M622" s="74" t="n"/>
      <c r="N622" s="74" t="n"/>
      <c r="O622" s="74" t="n"/>
      <c r="P622" s="74" t="n"/>
      <c r="Q622" s="74" t="n"/>
      <c r="R622" s="74" t="n"/>
      <c r="S622" s="74" t="n"/>
      <c r="T622" s="74" t="n"/>
      <c r="U622" s="74" t="n"/>
      <c r="V622" s="74" t="n"/>
      <c r="W622" s="74" t="n"/>
    </row>
    <row r="623">
      <c r="A623" s="74" t="n"/>
      <c r="B623" s="74" t="n"/>
      <c r="C623" s="74" t="n"/>
      <c r="D623" s="74" t="n"/>
      <c r="E623" s="74" t="n"/>
      <c r="F623" s="74" t="n"/>
      <c r="G623" s="74" t="n"/>
      <c r="H623" s="74" t="n"/>
      <c r="I623" s="74" t="n"/>
      <c r="J623" s="74" t="n"/>
      <c r="K623" s="74" t="n"/>
      <c r="L623" s="74" t="n"/>
      <c r="M623" s="74" t="n"/>
      <c r="N623" s="74" t="n"/>
      <c r="O623" s="74" t="n"/>
      <c r="P623" s="74" t="n"/>
      <c r="Q623" s="74" t="n"/>
      <c r="R623" s="74" t="n"/>
      <c r="S623" s="74" t="n"/>
      <c r="T623" s="74" t="n"/>
      <c r="U623" s="74" t="n"/>
      <c r="V623" s="74" t="n"/>
      <c r="W623" s="74" t="n"/>
    </row>
    <row r="624">
      <c r="A624" s="74" t="n"/>
      <c r="B624" s="74" t="n"/>
      <c r="C624" s="74" t="n"/>
      <c r="D624" s="74" t="n"/>
      <c r="E624" s="74" t="n"/>
      <c r="F624" s="74" t="n"/>
      <c r="G624" s="74" t="n"/>
      <c r="H624" s="74" t="n"/>
      <c r="I624" s="74" t="n"/>
      <c r="J624" s="74" t="n"/>
      <c r="K624" s="74" t="n"/>
      <c r="L624" s="74" t="n"/>
      <c r="M624" s="74" t="n"/>
      <c r="N624" s="74" t="n"/>
      <c r="O624" s="74" t="n"/>
      <c r="P624" s="74" t="n"/>
      <c r="Q624" s="74" t="n"/>
      <c r="R624" s="74" t="n"/>
      <c r="S624" s="74" t="n"/>
      <c r="T624" s="74" t="n"/>
      <c r="U624" s="74" t="n"/>
      <c r="V624" s="74" t="n"/>
      <c r="W624" s="74" t="n"/>
    </row>
    <row r="625">
      <c r="A625" s="74" t="n"/>
      <c r="B625" s="74" t="n"/>
      <c r="C625" s="74" t="n"/>
      <c r="D625" s="74" t="n"/>
      <c r="E625" s="74" t="n"/>
      <c r="F625" s="74" t="n"/>
      <c r="G625" s="74" t="n"/>
      <c r="H625" s="74" t="n"/>
      <c r="I625" s="74" t="n"/>
      <c r="J625" s="74" t="n"/>
      <c r="K625" s="74" t="n"/>
      <c r="L625" s="74" t="n"/>
      <c r="M625" s="74" t="n"/>
      <c r="N625" s="74" t="n"/>
      <c r="O625" s="74" t="n"/>
      <c r="P625" s="74" t="n"/>
      <c r="Q625" s="74" t="n"/>
      <c r="R625" s="74" t="n"/>
      <c r="S625" s="74" t="n"/>
      <c r="T625" s="74" t="n"/>
      <c r="U625" s="74" t="n"/>
      <c r="V625" s="74" t="n"/>
      <c r="W625" s="74" t="n"/>
    </row>
    <row r="626">
      <c r="A626" s="74" t="n"/>
      <c r="B626" s="74" t="n"/>
      <c r="C626" s="74" t="n"/>
      <c r="D626" s="74" t="n"/>
      <c r="E626" s="74" t="n"/>
      <c r="F626" s="74" t="n"/>
      <c r="G626" s="74" t="n"/>
      <c r="H626" s="74" t="n"/>
      <c r="I626" s="74" t="n"/>
      <c r="J626" s="74" t="n"/>
      <c r="K626" s="74" t="n"/>
      <c r="L626" s="74" t="n"/>
      <c r="M626" s="74" t="n"/>
      <c r="N626" s="74" t="n"/>
      <c r="O626" s="74" t="n"/>
      <c r="P626" s="74" t="n"/>
      <c r="Q626" s="74" t="n"/>
      <c r="R626" s="74" t="n"/>
      <c r="S626" s="74" t="n"/>
      <c r="T626" s="74" t="n"/>
      <c r="U626" s="74" t="n"/>
      <c r="V626" s="74" t="n"/>
      <c r="W626" s="74" t="n"/>
    </row>
    <row r="627">
      <c r="A627" s="74" t="n"/>
      <c r="B627" s="74" t="n"/>
      <c r="C627" s="74" t="n"/>
      <c r="D627" s="74" t="n"/>
      <c r="E627" s="74" t="n"/>
      <c r="F627" s="74" t="n"/>
      <c r="G627" s="74" t="n"/>
      <c r="H627" s="74" t="n"/>
      <c r="I627" s="74" t="n"/>
      <c r="J627" s="74" t="n"/>
      <c r="K627" s="74" t="n"/>
      <c r="L627" s="74" t="n"/>
      <c r="M627" s="74" t="n"/>
      <c r="N627" s="74" t="n"/>
      <c r="O627" s="74" t="n"/>
      <c r="P627" s="74" t="n"/>
      <c r="Q627" s="74" t="n"/>
      <c r="R627" s="74" t="n"/>
      <c r="S627" s="74" t="n"/>
      <c r="T627" s="74" t="n"/>
      <c r="U627" s="74" t="n"/>
      <c r="V627" s="74" t="n"/>
      <c r="W627" s="74" t="n"/>
    </row>
    <row r="628">
      <c r="A628" s="74" t="n"/>
      <c r="B628" s="74" t="n"/>
      <c r="C628" s="74" t="n"/>
      <c r="D628" s="74" t="n"/>
      <c r="E628" s="74" t="n"/>
      <c r="F628" s="74" t="n"/>
      <c r="G628" s="74" t="n"/>
      <c r="H628" s="74" t="n"/>
      <c r="I628" s="74" t="n"/>
      <c r="J628" s="74" t="n"/>
      <c r="K628" s="74" t="n"/>
      <c r="L628" s="74" t="n"/>
      <c r="M628" s="74" t="n"/>
      <c r="N628" s="74" t="n"/>
      <c r="O628" s="74" t="n"/>
      <c r="P628" s="74" t="n"/>
      <c r="Q628" s="74" t="n"/>
      <c r="R628" s="74" t="n"/>
      <c r="S628" s="74" t="n"/>
      <c r="T628" s="74" t="n"/>
      <c r="U628" s="74" t="n"/>
      <c r="V628" s="74" t="n"/>
      <c r="W628" s="74" t="n"/>
    </row>
    <row r="629">
      <c r="A629" s="74" t="n"/>
      <c r="B629" s="74" t="n"/>
      <c r="C629" s="74" t="n"/>
      <c r="D629" s="74" t="n"/>
      <c r="E629" s="74" t="n"/>
      <c r="F629" s="74" t="n"/>
      <c r="G629" s="74" t="n"/>
      <c r="H629" s="74" t="n"/>
      <c r="I629" s="74" t="n"/>
      <c r="J629" s="74" t="n"/>
      <c r="K629" s="74" t="n"/>
      <c r="L629" s="74" t="n"/>
      <c r="M629" s="74" t="n"/>
      <c r="N629" s="74" t="n"/>
      <c r="O629" s="74" t="n"/>
      <c r="P629" s="74" t="n"/>
      <c r="Q629" s="74" t="n"/>
      <c r="R629" s="74" t="n"/>
      <c r="S629" s="74" t="n"/>
      <c r="T629" s="74" t="n"/>
      <c r="U629" s="74" t="n"/>
      <c r="V629" s="74" t="n"/>
      <c r="W629" s="74" t="n"/>
    </row>
    <row r="630">
      <c r="A630" s="74" t="n"/>
      <c r="B630" s="74" t="n"/>
      <c r="C630" s="74" t="n"/>
      <c r="D630" s="74" t="n"/>
      <c r="E630" s="74" t="n"/>
      <c r="F630" s="74" t="n"/>
      <c r="G630" s="74" t="n"/>
      <c r="H630" s="74" t="n"/>
      <c r="I630" s="74" t="n"/>
      <c r="J630" s="74" t="n"/>
      <c r="K630" s="74" t="n"/>
      <c r="L630" s="74" t="n"/>
      <c r="M630" s="74" t="n"/>
      <c r="N630" s="74" t="n"/>
      <c r="O630" s="74" t="n"/>
      <c r="P630" s="74" t="n"/>
      <c r="Q630" s="74" t="n"/>
      <c r="R630" s="74" t="n"/>
      <c r="S630" s="74" t="n"/>
      <c r="T630" s="74" t="n"/>
      <c r="U630" s="74" t="n"/>
      <c r="V630" s="74" t="n"/>
      <c r="W630" s="74" t="n"/>
    </row>
    <row r="631">
      <c r="A631" s="74" t="n"/>
      <c r="B631" s="74" t="n"/>
      <c r="C631" s="74" t="n"/>
      <c r="D631" s="74" t="n"/>
      <c r="E631" s="74" t="n"/>
      <c r="F631" s="74" t="n"/>
      <c r="G631" s="74" t="n"/>
      <c r="H631" s="74" t="n"/>
      <c r="I631" s="74" t="n"/>
      <c r="J631" s="74" t="n"/>
      <c r="K631" s="74" t="n"/>
      <c r="L631" s="74" t="n"/>
      <c r="M631" s="74" t="n"/>
      <c r="N631" s="74" t="n"/>
      <c r="O631" s="74" t="n"/>
      <c r="P631" s="74" t="n"/>
      <c r="Q631" s="74" t="n"/>
      <c r="R631" s="74" t="n"/>
      <c r="S631" s="74" t="n"/>
      <c r="T631" s="74" t="n"/>
      <c r="U631" s="74" t="n"/>
      <c r="V631" s="74" t="n"/>
      <c r="W631" s="74" t="n"/>
    </row>
    <row r="632">
      <c r="A632" s="74" t="n"/>
      <c r="B632" s="74" t="n"/>
      <c r="C632" s="74" t="n"/>
      <c r="D632" s="74" t="n"/>
      <c r="E632" s="74" t="n"/>
      <c r="F632" s="74" t="n"/>
      <c r="G632" s="74" t="n"/>
      <c r="H632" s="74" t="n"/>
      <c r="I632" s="74" t="n"/>
      <c r="J632" s="74" t="n"/>
      <c r="K632" s="74" t="n"/>
      <c r="L632" s="74" t="n"/>
      <c r="M632" s="74" t="n"/>
      <c r="N632" s="74" t="n"/>
      <c r="O632" s="74" t="n"/>
      <c r="P632" s="74" t="n"/>
      <c r="Q632" s="74" t="n"/>
      <c r="R632" s="74" t="n"/>
      <c r="S632" s="74" t="n"/>
      <c r="T632" s="74" t="n"/>
      <c r="U632" s="74" t="n"/>
      <c r="V632" s="74" t="n"/>
      <c r="W632" s="74" t="n"/>
    </row>
    <row r="633">
      <c r="A633" s="74" t="n"/>
      <c r="B633" s="74" t="n"/>
      <c r="C633" s="74" t="n"/>
      <c r="D633" s="74" t="n"/>
      <c r="E633" s="74" t="n"/>
      <c r="F633" s="74" t="n"/>
      <c r="G633" s="74" t="n"/>
      <c r="H633" s="74" t="n"/>
      <c r="I633" s="74" t="n"/>
      <c r="J633" s="74" t="n"/>
      <c r="K633" s="74" t="n"/>
      <c r="L633" s="74" t="n"/>
      <c r="M633" s="74" t="n"/>
      <c r="N633" s="74" t="n"/>
      <c r="O633" s="74" t="n"/>
      <c r="P633" s="74" t="n"/>
      <c r="Q633" s="74" t="n"/>
      <c r="R633" s="74" t="n"/>
      <c r="S633" s="74" t="n"/>
      <c r="T633" s="74" t="n"/>
      <c r="U633" s="74" t="n"/>
      <c r="V633" s="74" t="n"/>
      <c r="W633" s="74" t="n"/>
    </row>
    <row r="634">
      <c r="A634" s="74" t="n"/>
      <c r="B634" s="74" t="n"/>
      <c r="C634" s="74" t="n"/>
      <c r="D634" s="74" t="n"/>
      <c r="E634" s="74" t="n"/>
      <c r="F634" s="74" t="n"/>
      <c r="G634" s="74" t="n"/>
      <c r="H634" s="74" t="n"/>
      <c r="I634" s="74" t="n"/>
      <c r="J634" s="74" t="n"/>
      <c r="K634" s="74" t="n"/>
      <c r="L634" s="74" t="n"/>
      <c r="M634" s="74" t="n"/>
      <c r="N634" s="74" t="n"/>
      <c r="O634" s="74" t="n"/>
      <c r="P634" s="74" t="n"/>
      <c r="Q634" s="74" t="n"/>
      <c r="R634" s="74" t="n"/>
      <c r="S634" s="74" t="n"/>
      <c r="T634" s="74" t="n"/>
      <c r="U634" s="74" t="n"/>
      <c r="V634" s="74" t="n"/>
      <c r="W634" s="74" t="n"/>
    </row>
    <row r="635">
      <c r="A635" s="74" t="n"/>
      <c r="B635" s="74" t="n"/>
      <c r="C635" s="74" t="n"/>
      <c r="D635" s="74" t="n"/>
      <c r="E635" s="74" t="n"/>
      <c r="F635" s="74" t="n"/>
      <c r="G635" s="74" t="n"/>
      <c r="H635" s="74" t="n"/>
      <c r="I635" s="74" t="n"/>
      <c r="J635" s="74" t="n"/>
      <c r="K635" s="74" t="n"/>
      <c r="L635" s="74" t="n"/>
      <c r="M635" s="74" t="n"/>
      <c r="N635" s="74" t="n"/>
      <c r="O635" s="74" t="n"/>
      <c r="P635" s="74" t="n"/>
      <c r="Q635" s="74" t="n"/>
      <c r="R635" s="74" t="n"/>
      <c r="S635" s="74" t="n"/>
      <c r="T635" s="74" t="n"/>
      <c r="U635" s="74" t="n"/>
      <c r="V635" s="74" t="n"/>
      <c r="W635" s="74" t="n"/>
    </row>
    <row r="636">
      <c r="A636" s="74" t="n"/>
      <c r="B636" s="74" t="n"/>
      <c r="C636" s="74" t="n"/>
      <c r="D636" s="74" t="n"/>
      <c r="E636" s="74" t="n"/>
      <c r="F636" s="74" t="n"/>
      <c r="G636" s="74" t="n"/>
      <c r="H636" s="74" t="n"/>
      <c r="I636" s="74" t="n"/>
      <c r="J636" s="74" t="n"/>
      <c r="K636" s="74" t="n"/>
      <c r="L636" s="74" t="n"/>
      <c r="M636" s="74" t="n"/>
      <c r="N636" s="74" t="n"/>
      <c r="O636" s="74" t="n"/>
      <c r="P636" s="74" t="n"/>
      <c r="Q636" s="74" t="n"/>
      <c r="R636" s="74" t="n"/>
      <c r="S636" s="74" t="n"/>
      <c r="T636" s="74" t="n"/>
      <c r="U636" s="74" t="n"/>
      <c r="V636" s="74" t="n"/>
      <c r="W636" s="74" t="n"/>
    </row>
    <row r="637">
      <c r="A637" s="74" t="n"/>
      <c r="B637" s="74" t="n"/>
      <c r="C637" s="74" t="n"/>
      <c r="D637" s="74" t="n"/>
      <c r="E637" s="74" t="n"/>
      <c r="F637" s="74" t="n"/>
      <c r="G637" s="74" t="n"/>
      <c r="H637" s="74" t="n"/>
      <c r="I637" s="74" t="n"/>
      <c r="J637" s="74" t="n"/>
      <c r="K637" s="74" t="n"/>
      <c r="L637" s="74" t="n"/>
      <c r="M637" s="74" t="n"/>
      <c r="N637" s="74" t="n"/>
      <c r="O637" s="74" t="n"/>
      <c r="P637" s="74" t="n"/>
      <c r="Q637" s="74" t="n"/>
      <c r="R637" s="74" t="n"/>
      <c r="S637" s="74" t="n"/>
      <c r="T637" s="74" t="n"/>
      <c r="U637" s="74" t="n"/>
      <c r="V637" s="74" t="n"/>
      <c r="W637" s="74" t="n"/>
    </row>
    <row r="638">
      <c r="A638" s="74" t="n"/>
      <c r="B638" s="74" t="n"/>
      <c r="C638" s="74" t="n"/>
      <c r="D638" s="74" t="n"/>
      <c r="E638" s="74" t="n"/>
      <c r="F638" s="74" t="n"/>
      <c r="G638" s="74" t="n"/>
      <c r="H638" s="74" t="n"/>
      <c r="I638" s="74" t="n"/>
      <c r="J638" s="74" t="n"/>
      <c r="K638" s="74" t="n"/>
      <c r="L638" s="74" t="n"/>
      <c r="M638" s="74" t="n"/>
      <c r="N638" s="74" t="n"/>
      <c r="O638" s="74" t="n"/>
      <c r="P638" s="74" t="n"/>
      <c r="Q638" s="74" t="n"/>
      <c r="R638" s="74" t="n"/>
      <c r="S638" s="74" t="n"/>
      <c r="T638" s="74" t="n"/>
      <c r="U638" s="74" t="n"/>
      <c r="V638" s="74" t="n"/>
      <c r="W638" s="74" t="n"/>
    </row>
    <row r="639">
      <c r="A639" s="74" t="n"/>
      <c r="B639" s="74" t="n"/>
      <c r="C639" s="74" t="n"/>
      <c r="D639" s="74" t="n"/>
      <c r="E639" s="74" t="n"/>
      <c r="F639" s="74" t="n"/>
      <c r="G639" s="74" t="n"/>
      <c r="H639" s="74" t="n"/>
      <c r="I639" s="74" t="n"/>
      <c r="J639" s="74" t="n"/>
      <c r="K639" s="74" t="n"/>
      <c r="L639" s="74" t="n"/>
      <c r="M639" s="74" t="n"/>
      <c r="N639" s="74" t="n"/>
      <c r="O639" s="74" t="n"/>
      <c r="P639" s="74" t="n"/>
      <c r="Q639" s="74" t="n"/>
      <c r="R639" s="74" t="n"/>
      <c r="S639" s="74" t="n"/>
      <c r="T639" s="74" t="n"/>
      <c r="U639" s="74" t="n"/>
      <c r="V639" s="74" t="n"/>
      <c r="W639" s="74" t="n"/>
    </row>
    <row r="640">
      <c r="A640" s="74" t="n"/>
      <c r="B640" s="74" t="n"/>
      <c r="C640" s="74" t="n"/>
      <c r="D640" s="74" t="n"/>
      <c r="E640" s="74" t="n"/>
      <c r="F640" s="74" t="n"/>
      <c r="G640" s="74" t="n"/>
      <c r="H640" s="74" t="n"/>
      <c r="I640" s="74" t="n"/>
      <c r="J640" s="74" t="n"/>
      <c r="K640" s="74" t="n"/>
      <c r="L640" s="74" t="n"/>
      <c r="M640" s="74" t="n"/>
      <c r="N640" s="74" t="n"/>
      <c r="O640" s="74" t="n"/>
      <c r="P640" s="74" t="n"/>
      <c r="Q640" s="74" t="n"/>
      <c r="R640" s="74" t="n"/>
      <c r="S640" s="74" t="n"/>
      <c r="T640" s="74" t="n"/>
      <c r="U640" s="74" t="n"/>
      <c r="V640" s="74" t="n"/>
      <c r="W640" s="74" t="n"/>
    </row>
    <row r="641">
      <c r="A641" s="74" t="n"/>
      <c r="B641" s="74" t="n"/>
      <c r="C641" s="74" t="n"/>
      <c r="D641" s="74" t="n"/>
      <c r="E641" s="74" t="n"/>
      <c r="F641" s="74" t="n"/>
      <c r="G641" s="74" t="n"/>
      <c r="H641" s="74" t="n"/>
      <c r="I641" s="74" t="n"/>
      <c r="J641" s="74" t="n"/>
      <c r="K641" s="74" t="n"/>
      <c r="L641" s="74" t="n"/>
      <c r="M641" s="74" t="n"/>
      <c r="N641" s="74" t="n"/>
      <c r="O641" s="74" t="n"/>
      <c r="P641" s="74" t="n"/>
      <c r="Q641" s="74" t="n"/>
      <c r="R641" s="74" t="n"/>
      <c r="S641" s="74" t="n"/>
      <c r="T641" s="74" t="n"/>
      <c r="U641" s="74" t="n"/>
      <c r="V641" s="74" t="n"/>
      <c r="W641" s="74" t="n"/>
    </row>
    <row r="642">
      <c r="A642" s="74" t="n"/>
      <c r="B642" s="74" t="n"/>
      <c r="C642" s="74" t="n"/>
      <c r="D642" s="74" t="n"/>
      <c r="E642" s="74" t="n"/>
      <c r="F642" s="74" t="n"/>
      <c r="G642" s="74" t="n"/>
      <c r="H642" s="74" t="n"/>
      <c r="I642" s="74" t="n"/>
      <c r="J642" s="74" t="n"/>
      <c r="K642" s="74" t="n"/>
      <c r="L642" s="74" t="n"/>
      <c r="M642" s="74" t="n"/>
      <c r="N642" s="74" t="n"/>
      <c r="O642" s="74" t="n"/>
      <c r="P642" s="74" t="n"/>
      <c r="Q642" s="74" t="n"/>
      <c r="R642" s="74" t="n"/>
      <c r="S642" s="74" t="n"/>
      <c r="T642" s="74" t="n"/>
      <c r="U642" s="74" t="n"/>
      <c r="V642" s="74" t="n"/>
      <c r="W642" s="74" t="n"/>
    </row>
    <row r="643">
      <c r="A643" s="74" t="n"/>
      <c r="B643" s="74" t="n"/>
      <c r="C643" s="74" t="n"/>
      <c r="D643" s="74" t="n"/>
      <c r="E643" s="74" t="n"/>
      <c r="F643" s="74" t="n"/>
      <c r="G643" s="74" t="n"/>
      <c r="H643" s="74" t="n"/>
      <c r="I643" s="74" t="n"/>
      <c r="J643" s="74" t="n"/>
      <c r="K643" s="74" t="n"/>
      <c r="L643" s="74" t="n"/>
      <c r="M643" s="74" t="n"/>
      <c r="N643" s="74" t="n"/>
      <c r="O643" s="74" t="n"/>
      <c r="P643" s="74" t="n"/>
      <c r="Q643" s="74" t="n"/>
      <c r="R643" s="74" t="n"/>
      <c r="S643" s="74" t="n"/>
      <c r="T643" s="74" t="n"/>
      <c r="U643" s="74" t="n"/>
      <c r="V643" s="74" t="n"/>
      <c r="W643" s="74" t="n"/>
    </row>
    <row r="644">
      <c r="A644" s="74" t="n"/>
      <c r="B644" s="74" t="n"/>
      <c r="C644" s="74" t="n"/>
      <c r="D644" s="74" t="n"/>
      <c r="E644" s="74" t="n"/>
      <c r="F644" s="74" t="n"/>
      <c r="G644" s="74" t="n"/>
      <c r="H644" s="74" t="n"/>
      <c r="I644" s="74" t="n"/>
      <c r="J644" s="74" t="n"/>
      <c r="K644" s="74" t="n"/>
      <c r="L644" s="74" t="n"/>
      <c r="M644" s="74" t="n"/>
      <c r="N644" s="74" t="n"/>
      <c r="O644" s="74" t="n"/>
      <c r="P644" s="74" t="n"/>
      <c r="Q644" s="74" t="n"/>
      <c r="R644" s="74" t="n"/>
      <c r="S644" s="74" t="n"/>
      <c r="T644" s="74" t="n"/>
      <c r="U644" s="74" t="n"/>
      <c r="V644" s="74" t="n"/>
      <c r="W644" s="74" t="n"/>
    </row>
    <row r="645">
      <c r="A645" s="74" t="n"/>
      <c r="B645" s="74" t="n"/>
      <c r="C645" s="74" t="n"/>
      <c r="D645" s="74" t="n"/>
      <c r="E645" s="74" t="n"/>
      <c r="F645" s="74" t="n"/>
      <c r="G645" s="74" t="n"/>
      <c r="H645" s="74" t="n"/>
      <c r="I645" s="74" t="n"/>
      <c r="J645" s="74" t="n"/>
      <c r="K645" s="74" t="n"/>
      <c r="L645" s="74" t="n"/>
      <c r="M645" s="74" t="n"/>
      <c r="N645" s="74" t="n"/>
      <c r="O645" s="74" t="n"/>
      <c r="P645" s="74" t="n"/>
      <c r="Q645" s="74" t="n"/>
      <c r="R645" s="74" t="n"/>
      <c r="S645" s="74" t="n"/>
      <c r="T645" s="74" t="n"/>
      <c r="U645" s="74" t="n"/>
      <c r="V645" s="74" t="n"/>
      <c r="W645" s="74" t="n"/>
    </row>
    <row r="646">
      <c r="A646" s="74" t="n"/>
      <c r="B646" s="74" t="n"/>
      <c r="C646" s="74" t="n"/>
      <c r="D646" s="74" t="n"/>
      <c r="E646" s="74" t="n"/>
      <c r="F646" s="74" t="n"/>
      <c r="G646" s="74" t="n"/>
      <c r="H646" s="74" t="n"/>
      <c r="I646" s="74" t="n"/>
      <c r="J646" s="74" t="n"/>
      <c r="K646" s="74" t="n"/>
      <c r="L646" s="74" t="n"/>
      <c r="M646" s="74" t="n"/>
      <c r="N646" s="74" t="n"/>
      <c r="O646" s="74" t="n"/>
      <c r="P646" s="74" t="n"/>
      <c r="Q646" s="74" t="n"/>
      <c r="R646" s="74" t="n"/>
      <c r="S646" s="74" t="n"/>
      <c r="T646" s="74" t="n"/>
      <c r="U646" s="74" t="n"/>
      <c r="V646" s="74" t="n"/>
      <c r="W646" s="74" t="n"/>
    </row>
    <row r="647">
      <c r="A647" s="74" t="n"/>
      <c r="B647" s="74" t="n"/>
      <c r="C647" s="74" t="n"/>
      <c r="D647" s="74" t="n"/>
      <c r="E647" s="74" t="n"/>
      <c r="F647" s="74" t="n"/>
      <c r="G647" s="74" t="n"/>
      <c r="H647" s="74" t="n"/>
      <c r="I647" s="74" t="n"/>
      <c r="J647" s="74" t="n"/>
      <c r="K647" s="74" t="n"/>
      <c r="L647" s="74" t="n"/>
      <c r="M647" s="74" t="n"/>
      <c r="N647" s="74" t="n"/>
      <c r="O647" s="74" t="n"/>
      <c r="P647" s="74" t="n"/>
      <c r="Q647" s="74" t="n"/>
      <c r="R647" s="74" t="n"/>
      <c r="S647" s="74" t="n"/>
      <c r="T647" s="74" t="n"/>
      <c r="U647" s="74" t="n"/>
      <c r="V647" s="74" t="n"/>
      <c r="W647" s="74" t="n"/>
    </row>
    <row r="648">
      <c r="A648" s="74" t="n"/>
      <c r="B648" s="74" t="n"/>
      <c r="C648" s="74" t="n"/>
      <c r="D648" s="74" t="n"/>
      <c r="E648" s="74" t="n"/>
      <c r="F648" s="74" t="n"/>
      <c r="G648" s="74" t="n"/>
      <c r="H648" s="74" t="n"/>
      <c r="I648" s="74" t="n"/>
      <c r="J648" s="74" t="n"/>
      <c r="K648" s="74" t="n"/>
      <c r="L648" s="74" t="n"/>
      <c r="M648" s="74" t="n"/>
      <c r="N648" s="74" t="n"/>
      <c r="O648" s="74" t="n"/>
      <c r="P648" s="74" t="n"/>
      <c r="Q648" s="74" t="n"/>
      <c r="R648" s="74" t="n"/>
      <c r="S648" s="74" t="n"/>
      <c r="T648" s="74" t="n"/>
      <c r="U648" s="74" t="n"/>
      <c r="V648" s="74" t="n"/>
      <c r="W648" s="74" t="n"/>
    </row>
    <row r="649">
      <c r="A649" s="74" t="n"/>
      <c r="B649" s="74" t="n"/>
      <c r="C649" s="74" t="n"/>
      <c r="D649" s="74" t="n"/>
      <c r="E649" s="74" t="n"/>
      <c r="F649" s="74" t="n"/>
      <c r="G649" s="74" t="n"/>
      <c r="H649" s="74" t="n"/>
      <c r="I649" s="74" t="n"/>
      <c r="J649" s="74" t="n"/>
      <c r="K649" s="74" t="n"/>
      <c r="L649" s="74" t="n"/>
      <c r="M649" s="74" t="n"/>
      <c r="N649" s="74" t="n"/>
      <c r="O649" s="74" t="n"/>
      <c r="P649" s="74" t="n"/>
      <c r="Q649" s="74" t="n"/>
      <c r="R649" s="74" t="n"/>
      <c r="S649" s="74" t="n"/>
      <c r="T649" s="74" t="n"/>
      <c r="U649" s="74" t="n"/>
      <c r="V649" s="74" t="n"/>
      <c r="W649" s="74" t="n"/>
    </row>
    <row r="650">
      <c r="A650" s="74" t="n"/>
      <c r="B650" s="74" t="n"/>
      <c r="C650" s="74" t="n"/>
      <c r="D650" s="74" t="n"/>
      <c r="E650" s="74" t="n"/>
      <c r="F650" s="74" t="n"/>
      <c r="G650" s="74" t="n"/>
      <c r="H650" s="74" t="n"/>
      <c r="I650" s="74" t="n"/>
      <c r="J650" s="74" t="n"/>
      <c r="K650" s="74" t="n"/>
      <c r="L650" s="74" t="n"/>
      <c r="M650" s="74" t="n"/>
      <c r="N650" s="74" t="n"/>
      <c r="O650" s="74" t="n"/>
      <c r="P650" s="74" t="n"/>
      <c r="Q650" s="74" t="n"/>
      <c r="R650" s="74" t="n"/>
      <c r="S650" s="74" t="n"/>
      <c r="T650" s="74" t="n"/>
      <c r="U650" s="74" t="n"/>
      <c r="V650" s="74" t="n"/>
      <c r="W650" s="74" t="n"/>
    </row>
    <row r="651">
      <c r="A651" s="74" t="n"/>
      <c r="B651" s="74" t="n"/>
      <c r="C651" s="74" t="n"/>
      <c r="D651" s="74" t="n"/>
      <c r="E651" s="74" t="n"/>
      <c r="F651" s="74" t="n"/>
      <c r="G651" s="74" t="n"/>
      <c r="H651" s="74" t="n"/>
      <c r="I651" s="74" t="n"/>
      <c r="J651" s="74" t="n"/>
      <c r="K651" s="74" t="n"/>
      <c r="L651" s="74" t="n"/>
      <c r="M651" s="74" t="n"/>
      <c r="N651" s="74" t="n"/>
      <c r="O651" s="74" t="n"/>
      <c r="P651" s="74" t="n"/>
      <c r="Q651" s="74" t="n"/>
      <c r="R651" s="74" t="n"/>
      <c r="S651" s="74" t="n"/>
      <c r="T651" s="74" t="n"/>
      <c r="U651" s="74" t="n"/>
      <c r="V651" s="74" t="n"/>
      <c r="W651" s="74" t="n"/>
    </row>
    <row r="652">
      <c r="A652" s="74" t="n"/>
      <c r="B652" s="74" t="n"/>
      <c r="C652" s="74" t="n"/>
      <c r="D652" s="74" t="n"/>
      <c r="E652" s="74" t="n"/>
      <c r="F652" s="74" t="n"/>
      <c r="G652" s="74" t="n"/>
      <c r="H652" s="74" t="n"/>
      <c r="I652" s="74" t="n"/>
      <c r="J652" s="74" t="n"/>
      <c r="K652" s="74" t="n"/>
      <c r="L652" s="74" t="n"/>
      <c r="M652" s="74" t="n"/>
      <c r="N652" s="74" t="n"/>
      <c r="O652" s="74" t="n"/>
      <c r="P652" s="74" t="n"/>
      <c r="Q652" s="74" t="n"/>
      <c r="R652" s="74" t="n"/>
      <c r="S652" s="74" t="n"/>
      <c r="T652" s="74" t="n"/>
      <c r="U652" s="74" t="n"/>
      <c r="V652" s="74" t="n"/>
      <c r="W652" s="74" t="n"/>
    </row>
    <row r="653">
      <c r="A653" s="74" t="n"/>
      <c r="B653" s="74" t="n"/>
      <c r="C653" s="74" t="n"/>
      <c r="D653" s="74" t="n"/>
      <c r="E653" s="74" t="n"/>
      <c r="F653" s="74" t="n"/>
      <c r="G653" s="74" t="n"/>
      <c r="H653" s="74" t="n"/>
      <c r="I653" s="74" t="n"/>
      <c r="J653" s="74" t="n"/>
      <c r="K653" s="74" t="n"/>
      <c r="L653" s="74" t="n"/>
      <c r="M653" s="74" t="n"/>
      <c r="N653" s="74" t="n"/>
      <c r="O653" s="74" t="n"/>
      <c r="P653" s="74" t="n"/>
      <c r="Q653" s="74" t="n"/>
      <c r="R653" s="74" t="n"/>
      <c r="S653" s="74" t="n"/>
      <c r="T653" s="74" t="n"/>
      <c r="U653" s="74" t="n"/>
      <c r="V653" s="74" t="n"/>
      <c r="W653" s="74" t="n"/>
    </row>
    <row r="654">
      <c r="A654" s="74" t="n"/>
      <c r="B654" s="74" t="n"/>
      <c r="C654" s="74" t="n"/>
      <c r="D654" s="74" t="n"/>
      <c r="E654" s="74" t="n"/>
      <c r="F654" s="74" t="n"/>
      <c r="G654" s="74" t="n"/>
      <c r="H654" s="74" t="n"/>
      <c r="I654" s="74" t="n"/>
      <c r="J654" s="74" t="n"/>
      <c r="K654" s="74" t="n"/>
      <c r="L654" s="74" t="n"/>
      <c r="M654" s="74" t="n"/>
      <c r="N654" s="74" t="n"/>
      <c r="O654" s="74" t="n"/>
      <c r="P654" s="74" t="n"/>
      <c r="Q654" s="74" t="n"/>
      <c r="R654" s="74" t="n"/>
      <c r="S654" s="74" t="n"/>
      <c r="T654" s="74" t="n"/>
      <c r="U654" s="74" t="n"/>
      <c r="V654" s="74" t="n"/>
      <c r="W654" s="74" t="n"/>
    </row>
    <row r="655">
      <c r="A655" s="74" t="n"/>
      <c r="B655" s="74" t="n"/>
      <c r="C655" s="74" t="n"/>
      <c r="D655" s="74" t="n"/>
      <c r="E655" s="74" t="n"/>
      <c r="F655" s="74" t="n"/>
      <c r="G655" s="74" t="n"/>
      <c r="H655" s="74" t="n"/>
      <c r="I655" s="74" t="n"/>
      <c r="J655" s="74" t="n"/>
      <c r="K655" s="74" t="n"/>
      <c r="L655" s="74" t="n"/>
      <c r="M655" s="74" t="n"/>
      <c r="N655" s="74" t="n"/>
      <c r="O655" s="74" t="n"/>
      <c r="P655" s="74" t="n"/>
      <c r="Q655" s="74" t="n"/>
      <c r="R655" s="74" t="n"/>
      <c r="S655" s="74" t="n"/>
      <c r="T655" s="74" t="n"/>
      <c r="U655" s="74" t="n"/>
      <c r="V655" s="74" t="n"/>
      <c r="W655" s="74" t="n"/>
    </row>
    <row r="656">
      <c r="A656" s="74" t="n"/>
      <c r="B656" s="74" t="n"/>
      <c r="C656" s="74" t="n"/>
      <c r="D656" s="74" t="n"/>
      <c r="E656" s="74" t="n"/>
      <c r="F656" s="74" t="n"/>
      <c r="G656" s="74" t="n"/>
      <c r="H656" s="74" t="n"/>
      <c r="I656" s="74" t="n"/>
      <c r="J656" s="74" t="n"/>
      <c r="K656" s="74" t="n"/>
      <c r="L656" s="74" t="n"/>
      <c r="M656" s="74" t="n"/>
      <c r="N656" s="74" t="n"/>
      <c r="O656" s="74" t="n"/>
      <c r="P656" s="74" t="n"/>
      <c r="Q656" s="74" t="n"/>
      <c r="R656" s="74" t="n"/>
      <c r="S656" s="74" t="n"/>
      <c r="T656" s="74" t="n"/>
      <c r="U656" s="74" t="n"/>
      <c r="V656" s="74" t="n"/>
      <c r="W656" s="74" t="n"/>
    </row>
    <row r="657">
      <c r="A657" s="74" t="n"/>
      <c r="B657" s="74" t="n"/>
      <c r="C657" s="74" t="n"/>
      <c r="D657" s="74" t="n"/>
      <c r="E657" s="74" t="n"/>
      <c r="F657" s="74" t="n"/>
      <c r="G657" s="74" t="n"/>
      <c r="H657" s="74" t="n"/>
      <c r="I657" s="74" t="n"/>
      <c r="J657" s="74" t="n"/>
      <c r="K657" s="74" t="n"/>
      <c r="L657" s="74" t="n"/>
      <c r="M657" s="74" t="n"/>
      <c r="N657" s="74" t="n"/>
      <c r="O657" s="74" t="n"/>
      <c r="P657" s="74" t="n"/>
      <c r="Q657" s="74" t="n"/>
      <c r="R657" s="74" t="n"/>
      <c r="S657" s="74" t="n"/>
      <c r="T657" s="74" t="n"/>
      <c r="U657" s="74" t="n"/>
      <c r="V657" s="74" t="n"/>
      <c r="W657" s="74" t="n"/>
    </row>
    <row r="658">
      <c r="A658" s="74" t="n"/>
      <c r="B658" s="74" t="n"/>
      <c r="C658" s="74" t="n"/>
      <c r="D658" s="74" t="n"/>
      <c r="E658" s="74" t="n"/>
      <c r="F658" s="74" t="n"/>
      <c r="G658" s="74" t="n"/>
      <c r="H658" s="74" t="n"/>
      <c r="I658" s="74" t="n"/>
      <c r="J658" s="74" t="n"/>
      <c r="K658" s="74" t="n"/>
      <c r="L658" s="74" t="n"/>
      <c r="M658" s="74" t="n"/>
      <c r="N658" s="74" t="n"/>
      <c r="O658" s="74" t="n"/>
      <c r="P658" s="74" t="n"/>
      <c r="Q658" s="74" t="n"/>
      <c r="R658" s="74" t="n"/>
      <c r="S658" s="74" t="n"/>
      <c r="T658" s="74" t="n"/>
      <c r="U658" s="74" t="n"/>
      <c r="V658" s="74" t="n"/>
      <c r="W658" s="74" t="n"/>
    </row>
    <row r="659">
      <c r="A659" s="74" t="n"/>
      <c r="B659" s="74" t="n"/>
      <c r="C659" s="74" t="n"/>
      <c r="D659" s="74" t="n"/>
      <c r="E659" s="74" t="n"/>
      <c r="F659" s="74" t="n"/>
      <c r="G659" s="74" t="n"/>
      <c r="H659" s="74" t="n"/>
      <c r="I659" s="74" t="n"/>
      <c r="J659" s="74" t="n"/>
      <c r="K659" s="74" t="n"/>
      <c r="L659" s="74" t="n"/>
      <c r="M659" s="74" t="n"/>
      <c r="N659" s="74" t="n"/>
      <c r="O659" s="74" t="n"/>
      <c r="P659" s="74" t="n"/>
      <c r="Q659" s="74" t="n"/>
      <c r="R659" s="74" t="n"/>
      <c r="S659" s="74" t="n"/>
      <c r="T659" s="74" t="n"/>
      <c r="U659" s="74" t="n"/>
      <c r="V659" s="74" t="n"/>
      <c r="W659" s="74" t="n"/>
    </row>
    <row r="660">
      <c r="A660" s="74" t="n"/>
      <c r="B660" s="74" t="n"/>
      <c r="C660" s="74" t="n"/>
      <c r="D660" s="74" t="n"/>
      <c r="E660" s="74" t="n"/>
      <c r="F660" s="74" t="n"/>
      <c r="G660" s="74" t="n"/>
      <c r="H660" s="74" t="n"/>
      <c r="I660" s="74" t="n"/>
      <c r="J660" s="74" t="n"/>
      <c r="K660" s="74" t="n"/>
      <c r="L660" s="74" t="n"/>
      <c r="M660" s="74" t="n"/>
      <c r="N660" s="74" t="n"/>
      <c r="O660" s="74" t="n"/>
      <c r="P660" s="74" t="n"/>
      <c r="Q660" s="74" t="n"/>
      <c r="R660" s="74" t="n"/>
      <c r="S660" s="74" t="n"/>
      <c r="T660" s="74" t="n"/>
      <c r="U660" s="74" t="n"/>
      <c r="V660" s="74" t="n"/>
      <c r="W660" s="74" t="n"/>
    </row>
    <row r="661">
      <c r="A661" s="74" t="n"/>
      <c r="B661" s="74" t="n"/>
      <c r="C661" s="74" t="n"/>
      <c r="D661" s="74" t="n"/>
      <c r="E661" s="74" t="n"/>
      <c r="F661" s="74" t="n"/>
      <c r="G661" s="74" t="n"/>
      <c r="H661" s="74" t="n"/>
      <c r="I661" s="74" t="n"/>
      <c r="J661" s="74" t="n"/>
      <c r="K661" s="74" t="n"/>
      <c r="L661" s="74" t="n"/>
      <c r="M661" s="74" t="n"/>
      <c r="N661" s="74" t="n"/>
      <c r="O661" s="74" t="n"/>
      <c r="P661" s="74" t="n"/>
      <c r="Q661" s="74" t="n"/>
      <c r="R661" s="74" t="n"/>
      <c r="S661" s="74" t="n"/>
      <c r="T661" s="74" t="n"/>
      <c r="U661" s="74" t="n"/>
      <c r="V661" s="74" t="n"/>
      <c r="W661" s="74" t="n"/>
    </row>
    <row r="662">
      <c r="A662" s="74" t="n"/>
      <c r="B662" s="74" t="n"/>
      <c r="C662" s="74" t="n"/>
      <c r="D662" s="74" t="n"/>
      <c r="E662" s="74" t="n"/>
      <c r="F662" s="74" t="n"/>
      <c r="G662" s="74" t="n"/>
      <c r="H662" s="74" t="n"/>
      <c r="I662" s="74" t="n"/>
      <c r="J662" s="74" t="n"/>
      <c r="K662" s="74" t="n"/>
      <c r="L662" s="74" t="n"/>
      <c r="M662" s="74" t="n"/>
      <c r="N662" s="74" t="n"/>
      <c r="O662" s="74" t="n"/>
      <c r="P662" s="74" t="n"/>
      <c r="Q662" s="74" t="n"/>
      <c r="R662" s="74" t="n"/>
      <c r="S662" s="74" t="n"/>
      <c r="T662" s="74" t="n"/>
      <c r="U662" s="74" t="n"/>
      <c r="V662" s="74" t="n"/>
      <c r="W662" s="74" t="n"/>
    </row>
    <row r="663">
      <c r="A663" s="74" t="n"/>
      <c r="B663" s="74" t="n"/>
      <c r="C663" s="74" t="n"/>
      <c r="D663" s="74" t="n"/>
      <c r="E663" s="74" t="n"/>
      <c r="F663" s="74" t="n"/>
      <c r="G663" s="74" t="n"/>
      <c r="H663" s="74" t="n"/>
      <c r="I663" s="74" t="n"/>
      <c r="J663" s="74" t="n"/>
      <c r="K663" s="74" t="n"/>
      <c r="L663" s="74" t="n"/>
      <c r="M663" s="74" t="n"/>
      <c r="N663" s="74" t="n"/>
      <c r="O663" s="74" t="n"/>
      <c r="P663" s="74" t="n"/>
      <c r="Q663" s="74" t="n"/>
      <c r="R663" s="74" t="n"/>
      <c r="S663" s="74" t="n"/>
      <c r="T663" s="74" t="n"/>
      <c r="U663" s="74" t="n"/>
      <c r="V663" s="74" t="n"/>
      <c r="W663" s="74" t="n"/>
    </row>
    <row r="664">
      <c r="A664" s="74" t="n"/>
      <c r="B664" s="74" t="n"/>
      <c r="C664" s="74" t="n"/>
      <c r="D664" s="74" t="n"/>
      <c r="E664" s="74" t="n"/>
      <c r="F664" s="74" t="n"/>
      <c r="G664" s="74" t="n"/>
      <c r="H664" s="74" t="n"/>
      <c r="I664" s="74" t="n"/>
      <c r="J664" s="74" t="n"/>
      <c r="K664" s="74" t="n"/>
      <c r="L664" s="74" t="n"/>
      <c r="M664" s="74" t="n"/>
      <c r="N664" s="74" t="n"/>
      <c r="O664" s="74" t="n"/>
      <c r="P664" s="74" t="n"/>
      <c r="Q664" s="74" t="n"/>
      <c r="R664" s="74" t="n"/>
      <c r="S664" s="74" t="n"/>
      <c r="T664" s="74" t="n"/>
      <c r="U664" s="74" t="n"/>
      <c r="V664" s="74" t="n"/>
      <c r="W664" s="74" t="n"/>
    </row>
    <row r="665">
      <c r="A665" s="74" t="n"/>
      <c r="B665" s="74" t="n"/>
      <c r="C665" s="74" t="n"/>
      <c r="D665" s="74" t="n"/>
      <c r="E665" s="74" t="n"/>
      <c r="F665" s="74" t="n"/>
      <c r="G665" s="74" t="n"/>
      <c r="H665" s="74" t="n"/>
      <c r="I665" s="74" t="n"/>
      <c r="J665" s="74" t="n"/>
      <c r="K665" s="74" t="n"/>
      <c r="L665" s="74" t="n"/>
      <c r="M665" s="74" t="n"/>
      <c r="N665" s="74" t="n"/>
      <c r="O665" s="74" t="n"/>
      <c r="P665" s="74" t="n"/>
      <c r="Q665" s="74" t="n"/>
      <c r="R665" s="74" t="n"/>
      <c r="S665" s="74" t="n"/>
      <c r="T665" s="74" t="n"/>
      <c r="U665" s="74" t="n"/>
      <c r="V665" s="74" t="n"/>
      <c r="W665" s="74" t="n"/>
    </row>
    <row r="666">
      <c r="A666" s="74" t="n"/>
      <c r="B666" s="74" t="n"/>
      <c r="C666" s="74" t="n"/>
      <c r="D666" s="74" t="n"/>
      <c r="E666" s="74" t="n"/>
      <c r="F666" s="74" t="n"/>
      <c r="G666" s="74" t="n"/>
      <c r="H666" s="74" t="n"/>
      <c r="I666" s="74" t="n"/>
      <c r="J666" s="74" t="n"/>
      <c r="K666" s="74" t="n"/>
      <c r="L666" s="74" t="n"/>
      <c r="M666" s="74" t="n"/>
      <c r="N666" s="74" t="n"/>
      <c r="O666" s="74" t="n"/>
      <c r="P666" s="74" t="n"/>
      <c r="Q666" s="74" t="n"/>
      <c r="R666" s="74" t="n"/>
      <c r="S666" s="74" t="n"/>
      <c r="T666" s="74" t="n"/>
      <c r="U666" s="74" t="n"/>
      <c r="V666" s="74" t="n"/>
      <c r="W666" s="74" t="n"/>
    </row>
    <row r="667">
      <c r="A667" s="74" t="n"/>
      <c r="B667" s="74" t="n"/>
      <c r="C667" s="74" t="n"/>
      <c r="D667" s="74" t="n"/>
      <c r="E667" s="74" t="n"/>
      <c r="F667" s="74" t="n"/>
      <c r="G667" s="74" t="n"/>
      <c r="H667" s="74" t="n"/>
      <c r="I667" s="74" t="n"/>
      <c r="J667" s="74" t="n"/>
      <c r="K667" s="74" t="n"/>
      <c r="L667" s="74" t="n"/>
      <c r="M667" s="74" t="n"/>
      <c r="N667" s="74" t="n"/>
      <c r="O667" s="74" t="n"/>
      <c r="P667" s="74" t="n"/>
      <c r="Q667" s="74" t="n"/>
      <c r="R667" s="74" t="n"/>
      <c r="S667" s="74" t="n"/>
      <c r="T667" s="74" t="n"/>
      <c r="U667" s="74" t="n"/>
      <c r="V667" s="74" t="n"/>
      <c r="W667" s="74" t="n"/>
    </row>
    <row r="668">
      <c r="A668" s="74" t="n"/>
      <c r="B668" s="74" t="n"/>
      <c r="C668" s="74" t="n"/>
      <c r="D668" s="74" t="n"/>
      <c r="E668" s="74" t="n"/>
      <c r="F668" s="74" t="n"/>
      <c r="G668" s="74" t="n"/>
      <c r="H668" s="74" t="n"/>
      <c r="I668" s="74" t="n"/>
      <c r="J668" s="74" t="n"/>
      <c r="K668" s="74" t="n"/>
      <c r="L668" s="74" t="n"/>
      <c r="M668" s="74" t="n"/>
      <c r="N668" s="74" t="n"/>
      <c r="O668" s="74" t="n"/>
      <c r="P668" s="74" t="n"/>
      <c r="Q668" s="74" t="n"/>
      <c r="R668" s="74" t="n"/>
      <c r="S668" s="74" t="n"/>
      <c r="T668" s="74" t="n"/>
      <c r="U668" s="74" t="n"/>
      <c r="V668" s="74" t="n"/>
      <c r="W668" s="74" t="n"/>
    </row>
    <row r="669">
      <c r="A669" s="74" t="n"/>
      <c r="B669" s="74" t="n"/>
      <c r="C669" s="74" t="n"/>
      <c r="D669" s="74" t="n"/>
      <c r="E669" s="74" t="n"/>
      <c r="F669" s="74" t="n"/>
      <c r="G669" s="74" t="n"/>
      <c r="H669" s="74" t="n"/>
      <c r="I669" s="74" t="n"/>
      <c r="J669" s="74" t="n"/>
      <c r="K669" s="74" t="n"/>
      <c r="L669" s="74" t="n"/>
      <c r="M669" s="74" t="n"/>
      <c r="N669" s="74" t="n"/>
      <c r="O669" s="74" t="n"/>
      <c r="P669" s="74" t="n"/>
      <c r="Q669" s="74" t="n"/>
      <c r="R669" s="74" t="n"/>
      <c r="S669" s="74" t="n"/>
      <c r="T669" s="74" t="n"/>
      <c r="U669" s="74" t="n"/>
      <c r="V669" s="74" t="n"/>
      <c r="W669" s="74" t="n"/>
    </row>
    <row r="670">
      <c r="A670" s="74" t="n"/>
      <c r="B670" s="74" t="n"/>
      <c r="C670" s="74" t="n"/>
      <c r="D670" s="74" t="n"/>
      <c r="E670" s="74" t="n"/>
      <c r="F670" s="74" t="n"/>
      <c r="G670" s="74" t="n"/>
      <c r="H670" s="74" t="n"/>
      <c r="I670" s="74" t="n"/>
      <c r="J670" s="74" t="n"/>
      <c r="K670" s="74" t="n"/>
      <c r="L670" s="74" t="n"/>
      <c r="M670" s="74" t="n"/>
      <c r="N670" s="74" t="n"/>
      <c r="O670" s="74" t="n"/>
      <c r="P670" s="74" t="n"/>
      <c r="Q670" s="74" t="n"/>
      <c r="R670" s="74" t="n"/>
      <c r="S670" s="74" t="n"/>
      <c r="T670" s="74" t="n"/>
      <c r="U670" s="74" t="n"/>
      <c r="V670" s="74" t="n"/>
      <c r="W670" s="74" t="n"/>
    </row>
    <row r="671">
      <c r="A671" s="74" t="n"/>
      <c r="B671" s="74" t="n"/>
      <c r="C671" s="74" t="n"/>
      <c r="D671" s="74" t="n"/>
      <c r="E671" s="74" t="n"/>
      <c r="F671" s="74" t="n"/>
      <c r="G671" s="74" t="n"/>
      <c r="H671" s="74" t="n"/>
      <c r="I671" s="74" t="n"/>
      <c r="J671" s="74" t="n"/>
      <c r="K671" s="74" t="n"/>
      <c r="L671" s="74" t="n"/>
      <c r="M671" s="74" t="n"/>
      <c r="N671" s="74" t="n"/>
      <c r="O671" s="74" t="n"/>
      <c r="P671" s="74" t="n"/>
      <c r="Q671" s="74" t="n"/>
      <c r="R671" s="74" t="n"/>
      <c r="S671" s="74" t="n"/>
      <c r="T671" s="74" t="n"/>
      <c r="U671" s="74" t="n"/>
      <c r="V671" s="74" t="n"/>
      <c r="W671" s="74" t="n"/>
    </row>
    <row r="672">
      <c r="A672" s="74" t="n"/>
      <c r="B672" s="74" t="n"/>
      <c r="C672" s="74" t="n"/>
      <c r="D672" s="74" t="n"/>
      <c r="E672" s="74" t="n"/>
      <c r="F672" s="74" t="n"/>
      <c r="G672" s="74" t="n"/>
      <c r="H672" s="74" t="n"/>
      <c r="I672" s="74" t="n"/>
      <c r="J672" s="74" t="n"/>
      <c r="K672" s="74" t="n"/>
      <c r="L672" s="74" t="n"/>
      <c r="M672" s="74" t="n"/>
      <c r="N672" s="74" t="n"/>
      <c r="O672" s="74" t="n"/>
      <c r="P672" s="74" t="n"/>
      <c r="Q672" s="74" t="n"/>
      <c r="R672" s="74" t="n"/>
      <c r="S672" s="74" t="n"/>
      <c r="T672" s="74" t="n"/>
      <c r="U672" s="74" t="n"/>
      <c r="V672" s="74" t="n"/>
      <c r="W672" s="74" t="n"/>
    </row>
    <row r="673">
      <c r="A673" s="74" t="n"/>
      <c r="B673" s="74" t="n"/>
      <c r="C673" s="74" t="n"/>
      <c r="D673" s="74" t="n"/>
      <c r="E673" s="74" t="n"/>
      <c r="F673" s="74" t="n"/>
      <c r="G673" s="74" t="n"/>
      <c r="H673" s="74" t="n"/>
      <c r="I673" s="74" t="n"/>
      <c r="J673" s="74" t="n"/>
      <c r="K673" s="74" t="n"/>
      <c r="L673" s="74" t="n"/>
      <c r="M673" s="74" t="n"/>
      <c r="N673" s="74" t="n"/>
      <c r="O673" s="74" t="n"/>
      <c r="P673" s="74" t="n"/>
      <c r="Q673" s="74" t="n"/>
      <c r="R673" s="74" t="n"/>
      <c r="S673" s="74" t="n"/>
      <c r="T673" s="74" t="n"/>
      <c r="U673" s="74" t="n"/>
      <c r="V673" s="74" t="n"/>
      <c r="W673" s="74" t="n"/>
    </row>
    <row r="674">
      <c r="A674" s="74" t="n"/>
      <c r="B674" s="74" t="n"/>
      <c r="C674" s="74" t="n"/>
      <c r="D674" s="74" t="n"/>
      <c r="E674" s="74" t="n"/>
      <c r="F674" s="74" t="n"/>
      <c r="G674" s="74" t="n"/>
      <c r="H674" s="74" t="n"/>
      <c r="I674" s="74" t="n"/>
      <c r="J674" s="74" t="n"/>
      <c r="K674" s="74" t="n"/>
      <c r="L674" s="74" t="n"/>
      <c r="M674" s="74" t="n"/>
      <c r="N674" s="74" t="n"/>
      <c r="O674" s="74" t="n"/>
      <c r="P674" s="74" t="n"/>
      <c r="Q674" s="74" t="n"/>
      <c r="R674" s="74" t="n"/>
      <c r="S674" s="74" t="n"/>
      <c r="T674" s="74" t="n"/>
      <c r="U674" s="74" t="n"/>
      <c r="V674" s="74" t="n"/>
      <c r="W674" s="74" t="n"/>
    </row>
    <row r="675">
      <c r="A675" s="74" t="n"/>
      <c r="B675" s="74" t="n"/>
      <c r="C675" s="74" t="n"/>
      <c r="D675" s="74" t="n"/>
      <c r="E675" s="74" t="n"/>
      <c r="F675" s="74" t="n"/>
      <c r="G675" s="74" t="n"/>
      <c r="H675" s="74" t="n"/>
      <c r="I675" s="74" t="n"/>
      <c r="J675" s="74" t="n"/>
      <c r="K675" s="74" t="n"/>
      <c r="L675" s="74" t="n"/>
      <c r="M675" s="74" t="n"/>
      <c r="N675" s="74" t="n"/>
      <c r="O675" s="74" t="n"/>
      <c r="P675" s="74" t="n"/>
      <c r="Q675" s="74" t="n"/>
      <c r="R675" s="74" t="n"/>
      <c r="S675" s="74" t="n"/>
      <c r="T675" s="74" t="n"/>
      <c r="U675" s="74" t="n"/>
      <c r="V675" s="74" t="n"/>
      <c r="W675" s="74" t="n"/>
    </row>
    <row r="676">
      <c r="A676" s="74" t="n"/>
      <c r="B676" s="74" t="n"/>
      <c r="C676" s="74" t="n"/>
      <c r="D676" s="74" t="n"/>
      <c r="E676" s="74" t="n"/>
      <c r="F676" s="74" t="n"/>
      <c r="G676" s="74" t="n"/>
      <c r="H676" s="74" t="n"/>
      <c r="I676" s="74" t="n"/>
      <c r="J676" s="74" t="n"/>
      <c r="K676" s="74" t="n"/>
      <c r="L676" s="74" t="n"/>
      <c r="M676" s="74" t="n"/>
      <c r="N676" s="74" t="n"/>
      <c r="O676" s="74" t="n"/>
      <c r="P676" s="74" t="n"/>
      <c r="Q676" s="74" t="n"/>
      <c r="R676" s="74" t="n"/>
      <c r="S676" s="74" t="n"/>
      <c r="T676" s="74" t="n"/>
      <c r="U676" s="74" t="n"/>
      <c r="V676" s="74" t="n"/>
      <c r="W676" s="74" t="n"/>
    </row>
    <row r="677">
      <c r="A677" s="74" t="n"/>
      <c r="B677" s="74" t="n"/>
      <c r="C677" s="74" t="n"/>
      <c r="D677" s="74" t="n"/>
      <c r="E677" s="74" t="n"/>
      <c r="F677" s="74" t="n"/>
      <c r="G677" s="74" t="n"/>
      <c r="H677" s="74" t="n"/>
      <c r="I677" s="74" t="n"/>
      <c r="J677" s="74" t="n"/>
      <c r="K677" s="74" t="n"/>
      <c r="L677" s="74" t="n"/>
      <c r="M677" s="74" t="n"/>
      <c r="N677" s="74" t="n"/>
      <c r="O677" s="74" t="n"/>
      <c r="P677" s="74" t="n"/>
      <c r="Q677" s="74" t="n"/>
      <c r="R677" s="74" t="n"/>
      <c r="S677" s="74" t="n"/>
      <c r="T677" s="74" t="n"/>
      <c r="U677" s="74" t="n"/>
      <c r="V677" s="74" t="n"/>
      <c r="W677" s="74" t="n"/>
    </row>
    <row r="678">
      <c r="A678" s="74" t="n"/>
      <c r="B678" s="74" t="n"/>
      <c r="C678" s="74" t="n"/>
      <c r="D678" s="74" t="n"/>
      <c r="E678" s="74" t="n"/>
      <c r="F678" s="74" t="n"/>
      <c r="G678" s="74" t="n"/>
      <c r="H678" s="74" t="n"/>
      <c r="I678" s="74" t="n"/>
      <c r="J678" s="74" t="n"/>
      <c r="K678" s="74" t="n"/>
      <c r="L678" s="74" t="n"/>
      <c r="M678" s="74" t="n"/>
      <c r="N678" s="74" t="n"/>
      <c r="O678" s="74" t="n"/>
      <c r="P678" s="74" t="n"/>
      <c r="Q678" s="74" t="n"/>
      <c r="R678" s="74" t="n"/>
      <c r="S678" s="74" t="n"/>
      <c r="T678" s="74" t="n"/>
      <c r="U678" s="74" t="n"/>
      <c r="V678" s="74" t="n"/>
      <c r="W678" s="74" t="n"/>
    </row>
    <row r="679">
      <c r="A679" s="74" t="n"/>
      <c r="B679" s="74" t="n"/>
      <c r="C679" s="74" t="n"/>
      <c r="D679" s="74" t="n"/>
      <c r="E679" s="74" t="n"/>
      <c r="F679" s="74" t="n"/>
      <c r="G679" s="74" t="n"/>
      <c r="H679" s="74" t="n"/>
      <c r="I679" s="74" t="n"/>
      <c r="J679" s="74" t="n"/>
      <c r="K679" s="74" t="n"/>
      <c r="L679" s="74" t="n"/>
      <c r="M679" s="74" t="n"/>
      <c r="N679" s="74" t="n"/>
      <c r="O679" s="74" t="n"/>
      <c r="P679" s="74" t="n"/>
      <c r="Q679" s="74" t="n"/>
      <c r="R679" s="74" t="n"/>
      <c r="S679" s="74" t="n"/>
      <c r="T679" s="74" t="n"/>
      <c r="U679" s="74" t="n"/>
      <c r="V679" s="74" t="n"/>
      <c r="W679" s="74" t="n"/>
    </row>
    <row r="680">
      <c r="A680" s="74" t="n"/>
      <c r="B680" s="74" t="n"/>
      <c r="C680" s="74" t="n"/>
      <c r="D680" s="74" t="n"/>
      <c r="E680" s="74" t="n"/>
      <c r="F680" s="74" t="n"/>
      <c r="G680" s="74" t="n"/>
      <c r="H680" s="74" t="n"/>
      <c r="I680" s="74" t="n"/>
      <c r="J680" s="74" t="n"/>
      <c r="K680" s="74" t="n"/>
      <c r="L680" s="74" t="n"/>
      <c r="M680" s="74" t="n"/>
      <c r="N680" s="74" t="n"/>
      <c r="O680" s="74" t="n"/>
      <c r="P680" s="74" t="n"/>
      <c r="Q680" s="74" t="n"/>
      <c r="R680" s="74" t="n"/>
      <c r="S680" s="74" t="n"/>
      <c r="T680" s="74" t="n"/>
      <c r="U680" s="74" t="n"/>
      <c r="V680" s="74" t="n"/>
      <c r="W680" s="74" t="n"/>
    </row>
    <row r="681">
      <c r="A681" s="74" t="n"/>
      <c r="B681" s="74" t="n"/>
      <c r="C681" s="74" t="n"/>
      <c r="D681" s="74" t="n"/>
      <c r="E681" s="74" t="n"/>
      <c r="F681" s="74" t="n"/>
      <c r="G681" s="74" t="n"/>
      <c r="H681" s="74" t="n"/>
      <c r="I681" s="74" t="n"/>
      <c r="J681" s="74" t="n"/>
      <c r="K681" s="74" t="n"/>
      <c r="L681" s="74" t="n"/>
      <c r="M681" s="74" t="n"/>
      <c r="N681" s="74" t="n"/>
      <c r="O681" s="74" t="n"/>
      <c r="P681" s="74" t="n"/>
      <c r="Q681" s="74" t="n"/>
      <c r="R681" s="74" t="n"/>
      <c r="S681" s="74" t="n"/>
      <c r="T681" s="74" t="n"/>
      <c r="U681" s="74" t="n"/>
      <c r="V681" s="74" t="n"/>
      <c r="W681" s="74" t="n"/>
    </row>
    <row r="682">
      <c r="A682" s="74" t="n"/>
      <c r="B682" s="74" t="n"/>
      <c r="C682" s="74" t="n"/>
      <c r="D682" s="74" t="n"/>
      <c r="E682" s="74" t="n"/>
      <c r="F682" s="74" t="n"/>
      <c r="G682" s="74" t="n"/>
      <c r="H682" s="74" t="n"/>
      <c r="I682" s="74" t="n"/>
      <c r="J682" s="74" t="n"/>
      <c r="K682" s="74" t="n"/>
      <c r="L682" s="74" t="n"/>
      <c r="M682" s="74" t="n"/>
      <c r="N682" s="74" t="n"/>
      <c r="O682" s="74" t="n"/>
      <c r="P682" s="74" t="n"/>
      <c r="Q682" s="74" t="n"/>
      <c r="R682" s="74" t="n"/>
      <c r="S682" s="74" t="n"/>
      <c r="T682" s="74" t="n"/>
      <c r="U682" s="74" t="n"/>
      <c r="V682" s="74" t="n"/>
      <c r="W682" s="74" t="n"/>
    </row>
    <row r="683">
      <c r="A683" s="74" t="n"/>
      <c r="B683" s="74" t="n"/>
      <c r="C683" s="74" t="n"/>
      <c r="D683" s="74" t="n"/>
      <c r="E683" s="74" t="n"/>
      <c r="F683" s="74" t="n"/>
      <c r="G683" s="74" t="n"/>
      <c r="H683" s="74" t="n"/>
      <c r="I683" s="74" t="n"/>
      <c r="J683" s="74" t="n"/>
      <c r="K683" s="74" t="n"/>
      <c r="L683" s="74" t="n"/>
      <c r="M683" s="74" t="n"/>
      <c r="N683" s="74" t="n"/>
      <c r="O683" s="74" t="n"/>
      <c r="P683" s="74" t="n"/>
      <c r="Q683" s="74" t="n"/>
      <c r="R683" s="74" t="n"/>
      <c r="S683" s="74" t="n"/>
      <c r="T683" s="74" t="n"/>
      <c r="U683" s="74" t="n"/>
      <c r="V683" s="74" t="n"/>
      <c r="W683" s="74" t="n"/>
    </row>
    <row r="684">
      <c r="A684" s="74" t="n"/>
      <c r="B684" s="74" t="n"/>
      <c r="C684" s="74" t="n"/>
      <c r="D684" s="74" t="n"/>
      <c r="E684" s="74" t="n"/>
      <c r="F684" s="74" t="n"/>
      <c r="G684" s="74" t="n"/>
      <c r="H684" s="74" t="n"/>
      <c r="I684" s="74" t="n"/>
      <c r="J684" s="74" t="n"/>
      <c r="K684" s="74" t="n"/>
      <c r="L684" s="74" t="n"/>
      <c r="M684" s="74" t="n"/>
      <c r="N684" s="74" t="n"/>
      <c r="O684" s="74" t="n"/>
      <c r="P684" s="74" t="n"/>
      <c r="Q684" s="74" t="n"/>
      <c r="R684" s="74" t="n"/>
      <c r="S684" s="74" t="n"/>
      <c r="T684" s="74" t="n"/>
      <c r="U684" s="74" t="n"/>
      <c r="V684" s="74" t="n"/>
      <c r="W684" s="74" t="n"/>
    </row>
    <row r="685">
      <c r="A685" s="74" t="n"/>
      <c r="B685" s="74" t="n"/>
      <c r="C685" s="74" t="n"/>
      <c r="D685" s="74" t="n"/>
      <c r="E685" s="74" t="n"/>
      <c r="F685" s="74" t="n"/>
      <c r="G685" s="74" t="n"/>
      <c r="H685" s="74" t="n"/>
      <c r="I685" s="74" t="n"/>
      <c r="J685" s="74" t="n"/>
      <c r="K685" s="74" t="n"/>
      <c r="L685" s="74" t="n"/>
      <c r="M685" s="74" t="n"/>
      <c r="N685" s="74" t="n"/>
      <c r="O685" s="74" t="n"/>
      <c r="P685" s="74" t="n"/>
      <c r="Q685" s="74" t="n"/>
      <c r="R685" s="74" t="n"/>
      <c r="S685" s="74" t="n"/>
      <c r="T685" s="74" t="n"/>
      <c r="U685" s="74" t="n"/>
      <c r="V685" s="74" t="n"/>
      <c r="W685" s="74" t="n"/>
    </row>
    <row r="686">
      <c r="A686" s="74" t="n"/>
      <c r="B686" s="74" t="n"/>
      <c r="C686" s="74" t="n"/>
      <c r="D686" s="74" t="n"/>
      <c r="E686" s="74" t="n"/>
      <c r="F686" s="74" t="n"/>
      <c r="G686" s="74" t="n"/>
      <c r="H686" s="74" t="n"/>
      <c r="I686" s="74" t="n"/>
      <c r="J686" s="74" t="n"/>
      <c r="K686" s="74" t="n"/>
      <c r="L686" s="74" t="n"/>
      <c r="M686" s="74" t="n"/>
      <c r="N686" s="74" t="n"/>
      <c r="O686" s="74" t="n"/>
      <c r="P686" s="74" t="n"/>
      <c r="Q686" s="74" t="n"/>
      <c r="R686" s="74" t="n"/>
      <c r="S686" s="74" t="n"/>
      <c r="T686" s="74" t="n"/>
      <c r="U686" s="74" t="n"/>
      <c r="V686" s="74" t="n"/>
      <c r="W686" s="74" t="n"/>
    </row>
    <row r="687">
      <c r="A687" s="74" t="n"/>
      <c r="B687" s="74" t="n"/>
      <c r="C687" s="74" t="n"/>
      <c r="D687" s="74" t="n"/>
      <c r="E687" s="74" t="n"/>
      <c r="F687" s="74" t="n"/>
      <c r="G687" s="74" t="n"/>
      <c r="H687" s="74" t="n"/>
      <c r="I687" s="74" t="n"/>
      <c r="J687" s="74" t="n"/>
      <c r="K687" s="74" t="n"/>
      <c r="L687" s="74" t="n"/>
      <c r="M687" s="74" t="n"/>
      <c r="N687" s="74" t="n"/>
      <c r="O687" s="74" t="n"/>
      <c r="P687" s="74" t="n"/>
      <c r="Q687" s="74" t="n"/>
      <c r="R687" s="74" t="n"/>
      <c r="S687" s="74" t="n"/>
      <c r="T687" s="74" t="n"/>
      <c r="U687" s="74" t="n"/>
      <c r="V687" s="74" t="n"/>
      <c r="W687" s="74" t="n"/>
    </row>
    <row r="688">
      <c r="A688" s="74" t="n"/>
      <c r="B688" s="74" t="n"/>
      <c r="C688" s="74" t="n"/>
      <c r="D688" s="74" t="n"/>
      <c r="E688" s="74" t="n"/>
      <c r="F688" s="74" t="n"/>
      <c r="G688" s="74" t="n"/>
      <c r="H688" s="74" t="n"/>
      <c r="I688" s="74" t="n"/>
      <c r="J688" s="74" t="n"/>
      <c r="K688" s="74" t="n"/>
      <c r="L688" s="74" t="n"/>
      <c r="M688" s="74" t="n"/>
      <c r="N688" s="74" t="n"/>
      <c r="O688" s="74" t="n"/>
      <c r="P688" s="74" t="n"/>
      <c r="Q688" s="74" t="n"/>
      <c r="R688" s="74" t="n"/>
      <c r="S688" s="74" t="n"/>
      <c r="T688" s="74" t="n"/>
      <c r="U688" s="74" t="n"/>
      <c r="V688" s="74" t="n"/>
      <c r="W688" s="74" t="n"/>
    </row>
    <row r="689">
      <c r="A689" s="74" t="n"/>
      <c r="B689" s="74" t="n"/>
      <c r="C689" s="74" t="n"/>
      <c r="D689" s="74" t="n"/>
      <c r="E689" s="74" t="n"/>
      <c r="F689" s="74" t="n"/>
      <c r="G689" s="74" t="n"/>
      <c r="H689" s="74" t="n"/>
      <c r="I689" s="74" t="n"/>
      <c r="J689" s="74" t="n"/>
      <c r="K689" s="74" t="n"/>
      <c r="L689" s="74" t="n"/>
      <c r="M689" s="74" t="n"/>
      <c r="N689" s="74" t="n"/>
      <c r="O689" s="74" t="n"/>
      <c r="P689" s="74" t="n"/>
      <c r="Q689" s="74" t="n"/>
      <c r="R689" s="74" t="n"/>
      <c r="S689" s="74" t="n"/>
      <c r="T689" s="74" t="n"/>
      <c r="U689" s="74" t="n"/>
      <c r="V689" s="74" t="n"/>
      <c r="W689" s="74" t="n"/>
    </row>
    <row r="690">
      <c r="A690" s="74" t="n"/>
      <c r="B690" s="74" t="n"/>
      <c r="C690" s="74" t="n"/>
      <c r="D690" s="74" t="n"/>
      <c r="E690" s="74" t="n"/>
      <c r="F690" s="74" t="n"/>
      <c r="G690" s="74" t="n"/>
      <c r="H690" s="74" t="n"/>
      <c r="I690" s="74" t="n"/>
      <c r="J690" s="74" t="n"/>
      <c r="K690" s="74" t="n"/>
      <c r="L690" s="74" t="n"/>
      <c r="M690" s="74" t="n"/>
      <c r="N690" s="74" t="n"/>
      <c r="O690" s="74" t="n"/>
      <c r="P690" s="74" t="n"/>
      <c r="Q690" s="74" t="n"/>
      <c r="R690" s="74" t="n"/>
      <c r="S690" s="74" t="n"/>
      <c r="T690" s="74" t="n"/>
      <c r="U690" s="74" t="n"/>
      <c r="V690" s="74" t="n"/>
      <c r="W690" s="74" t="n"/>
    </row>
    <row r="691">
      <c r="A691" s="74" t="n"/>
      <c r="B691" s="74" t="n"/>
      <c r="C691" s="74" t="n"/>
      <c r="D691" s="74" t="n"/>
      <c r="E691" s="74" t="n"/>
      <c r="F691" s="74" t="n"/>
      <c r="G691" s="74" t="n"/>
      <c r="H691" s="74" t="n"/>
      <c r="I691" s="74" t="n"/>
      <c r="J691" s="74" t="n"/>
      <c r="K691" s="74" t="n"/>
      <c r="L691" s="74" t="n"/>
      <c r="M691" s="74" t="n"/>
      <c r="N691" s="74" t="n"/>
      <c r="O691" s="74" t="n"/>
      <c r="P691" s="74" t="n"/>
      <c r="Q691" s="74" t="n"/>
      <c r="R691" s="74" t="n"/>
      <c r="S691" s="74" t="n"/>
      <c r="T691" s="74" t="n"/>
      <c r="U691" s="74" t="n"/>
      <c r="V691" s="74" t="n"/>
      <c r="W691" s="74" t="n"/>
    </row>
    <row r="692">
      <c r="A692" s="74" t="n"/>
      <c r="B692" s="74" t="n"/>
      <c r="C692" s="74" t="n"/>
      <c r="D692" s="74" t="n"/>
      <c r="E692" s="74" t="n"/>
      <c r="F692" s="74" t="n"/>
      <c r="G692" s="74" t="n"/>
      <c r="H692" s="74" t="n"/>
      <c r="I692" s="74" t="n"/>
      <c r="J692" s="74" t="n"/>
      <c r="K692" s="74" t="n"/>
      <c r="L692" s="74" t="n"/>
      <c r="M692" s="74" t="n"/>
      <c r="N692" s="74" t="n"/>
      <c r="O692" s="74" t="n"/>
      <c r="P692" s="74" t="n"/>
      <c r="Q692" s="74" t="n"/>
      <c r="R692" s="74" t="n"/>
      <c r="S692" s="74" t="n"/>
      <c r="T692" s="74" t="n"/>
      <c r="U692" s="74" t="n"/>
      <c r="V692" s="74" t="n"/>
      <c r="W692" s="74" t="n"/>
    </row>
    <row r="693">
      <c r="A693" s="74" t="n"/>
      <c r="B693" s="74" t="n"/>
      <c r="C693" s="74" t="n"/>
      <c r="D693" s="74" t="n"/>
      <c r="E693" s="74" t="n"/>
      <c r="F693" s="74" t="n"/>
      <c r="G693" s="74" t="n"/>
      <c r="H693" s="74" t="n"/>
      <c r="I693" s="74" t="n"/>
      <c r="J693" s="74" t="n"/>
      <c r="K693" s="74" t="n"/>
      <c r="L693" s="74" t="n"/>
      <c r="M693" s="74" t="n"/>
      <c r="N693" s="74" t="n"/>
      <c r="O693" s="74" t="n"/>
      <c r="P693" s="74" t="n"/>
      <c r="Q693" s="74" t="n"/>
      <c r="R693" s="74" t="n"/>
      <c r="S693" s="74" t="n"/>
      <c r="T693" s="74" t="n"/>
      <c r="U693" s="74" t="n"/>
      <c r="V693" s="74" t="n"/>
      <c r="W693" s="74" t="n"/>
    </row>
    <row r="694">
      <c r="A694" s="74" t="n"/>
      <c r="B694" s="74" t="n"/>
      <c r="C694" s="74" t="n"/>
      <c r="D694" s="74" t="n"/>
      <c r="E694" s="74" t="n"/>
      <c r="F694" s="74" t="n"/>
      <c r="G694" s="74" t="n"/>
      <c r="H694" s="74" t="n"/>
      <c r="I694" s="74" t="n"/>
      <c r="J694" s="74" t="n"/>
      <c r="K694" s="74" t="n"/>
      <c r="L694" s="74" t="n"/>
      <c r="M694" s="74" t="n"/>
      <c r="N694" s="74" t="n"/>
      <c r="O694" s="74" t="n"/>
      <c r="P694" s="74" t="n"/>
      <c r="Q694" s="74" t="n"/>
      <c r="R694" s="74" t="n"/>
      <c r="S694" s="74" t="n"/>
      <c r="T694" s="74" t="n"/>
      <c r="U694" s="74" t="n"/>
      <c r="V694" s="74" t="n"/>
      <c r="W694" s="74" t="n"/>
    </row>
    <row r="695">
      <c r="A695" s="74" t="n"/>
      <c r="B695" s="74" t="n"/>
      <c r="C695" s="74" t="n"/>
      <c r="D695" s="74" t="n"/>
      <c r="E695" s="74" t="n"/>
      <c r="F695" s="74" t="n"/>
      <c r="G695" s="74" t="n"/>
      <c r="H695" s="74" t="n"/>
      <c r="I695" s="74" t="n"/>
      <c r="J695" s="74" t="n"/>
      <c r="K695" s="74" t="n"/>
      <c r="L695" s="74" t="n"/>
      <c r="M695" s="74" t="n"/>
      <c r="N695" s="74" t="n"/>
      <c r="O695" s="74" t="n"/>
      <c r="P695" s="74" t="n"/>
      <c r="Q695" s="74" t="n"/>
      <c r="R695" s="74" t="n"/>
      <c r="S695" s="74" t="n"/>
      <c r="T695" s="74" t="n"/>
      <c r="U695" s="74" t="n"/>
      <c r="V695" s="74" t="n"/>
      <c r="W695" s="74" t="n"/>
    </row>
    <row r="696">
      <c r="A696" s="74" t="n"/>
      <c r="B696" s="74" t="n"/>
      <c r="C696" s="74" t="n"/>
      <c r="D696" s="74" t="n"/>
      <c r="E696" s="74" t="n"/>
      <c r="F696" s="74" t="n"/>
      <c r="G696" s="74" t="n"/>
      <c r="H696" s="74" t="n"/>
      <c r="I696" s="74" t="n"/>
      <c r="J696" s="74" t="n"/>
      <c r="K696" s="74" t="n"/>
      <c r="L696" s="74" t="n"/>
      <c r="M696" s="74" t="n"/>
      <c r="N696" s="74" t="n"/>
      <c r="O696" s="74" t="n"/>
      <c r="P696" s="74" t="n"/>
      <c r="Q696" s="74" t="n"/>
      <c r="R696" s="74" t="n"/>
      <c r="S696" s="74" t="n"/>
      <c r="T696" s="74" t="n"/>
      <c r="U696" s="74" t="n"/>
      <c r="V696" s="74" t="n"/>
      <c r="W696" s="74" t="n"/>
    </row>
    <row r="697">
      <c r="A697" s="74" t="n"/>
      <c r="B697" s="74" t="n"/>
      <c r="C697" s="74" t="n"/>
      <c r="D697" s="74" t="n"/>
      <c r="E697" s="74" t="n"/>
      <c r="F697" s="74" t="n"/>
      <c r="G697" s="74" t="n"/>
      <c r="H697" s="74" t="n"/>
      <c r="I697" s="74" t="n"/>
      <c r="J697" s="74" t="n"/>
      <c r="K697" s="74" t="n"/>
      <c r="L697" s="74" t="n"/>
      <c r="M697" s="74" t="n"/>
      <c r="N697" s="74" t="n"/>
      <c r="O697" s="74" t="n"/>
      <c r="P697" s="74" t="n"/>
      <c r="Q697" s="74" t="n"/>
      <c r="R697" s="74" t="n"/>
      <c r="S697" s="74" t="n"/>
      <c r="T697" s="74" t="n"/>
      <c r="U697" s="74" t="n"/>
      <c r="V697" s="74" t="n"/>
      <c r="W697" s="74" t="n"/>
    </row>
    <row r="698">
      <c r="A698" s="74" t="n"/>
      <c r="B698" s="74" t="n"/>
      <c r="C698" s="74" t="n"/>
      <c r="D698" s="74" t="n"/>
      <c r="E698" s="74" t="n"/>
      <c r="F698" s="74" t="n"/>
      <c r="G698" s="74" t="n"/>
      <c r="H698" s="74" t="n"/>
      <c r="I698" s="74" t="n"/>
      <c r="J698" s="74" t="n"/>
      <c r="K698" s="74" t="n"/>
      <c r="L698" s="74" t="n"/>
      <c r="M698" s="74" t="n"/>
      <c r="N698" s="74" t="n"/>
      <c r="O698" s="74" t="n"/>
      <c r="P698" s="74" t="n"/>
      <c r="Q698" s="74" t="n"/>
      <c r="R698" s="74" t="n"/>
      <c r="S698" s="74" t="n"/>
      <c r="T698" s="74" t="n"/>
      <c r="U698" s="74" t="n"/>
      <c r="V698" s="74" t="n"/>
      <c r="W698" s="74" t="n"/>
    </row>
    <row r="699">
      <c r="A699" s="74" t="n"/>
      <c r="B699" s="74" t="n"/>
      <c r="C699" s="74" t="n"/>
      <c r="D699" s="74" t="n"/>
      <c r="E699" s="74" t="n"/>
      <c r="F699" s="74" t="n"/>
      <c r="G699" s="74" t="n"/>
      <c r="H699" s="74" t="n"/>
      <c r="I699" s="74" t="n"/>
      <c r="J699" s="74" t="n"/>
      <c r="K699" s="74" t="n"/>
      <c r="L699" s="74" t="n"/>
      <c r="M699" s="74" t="n"/>
      <c r="N699" s="74" t="n"/>
      <c r="O699" s="74" t="n"/>
      <c r="P699" s="74" t="n"/>
      <c r="Q699" s="74" t="n"/>
      <c r="R699" s="74" t="n"/>
      <c r="S699" s="74" t="n"/>
      <c r="T699" s="74" t="n"/>
      <c r="U699" s="74" t="n"/>
      <c r="V699" s="74" t="n"/>
      <c r="W699" s="74" t="n"/>
    </row>
    <row r="700">
      <c r="A700" s="74" t="n"/>
      <c r="B700" s="74" t="n"/>
      <c r="C700" s="74" t="n"/>
      <c r="D700" s="74" t="n"/>
      <c r="E700" s="74" t="n"/>
      <c r="F700" s="74" t="n"/>
      <c r="G700" s="74" t="n"/>
      <c r="H700" s="74" t="n"/>
      <c r="I700" s="74" t="n"/>
      <c r="J700" s="74" t="n"/>
      <c r="K700" s="74" t="n"/>
      <c r="L700" s="74" t="n"/>
      <c r="M700" s="74" t="n"/>
      <c r="N700" s="74" t="n"/>
      <c r="O700" s="74" t="n"/>
      <c r="P700" s="74" t="n"/>
      <c r="Q700" s="74" t="n"/>
      <c r="R700" s="74" t="n"/>
      <c r="S700" s="74" t="n"/>
      <c r="T700" s="74" t="n"/>
      <c r="U700" s="74" t="n"/>
      <c r="V700" s="74" t="n"/>
      <c r="W700" s="74" t="n"/>
    </row>
    <row r="701">
      <c r="A701" s="74" t="n"/>
      <c r="B701" s="74" t="n"/>
      <c r="C701" s="74" t="n"/>
      <c r="D701" s="74" t="n"/>
      <c r="E701" s="74" t="n"/>
      <c r="F701" s="74" t="n"/>
      <c r="G701" s="74" t="n"/>
      <c r="H701" s="74" t="n"/>
      <c r="I701" s="74" t="n"/>
      <c r="J701" s="74" t="n"/>
      <c r="K701" s="74" t="n"/>
      <c r="L701" s="74" t="n"/>
      <c r="M701" s="74" t="n"/>
      <c r="N701" s="74" t="n"/>
      <c r="O701" s="74" t="n"/>
      <c r="P701" s="74" t="n"/>
      <c r="Q701" s="74" t="n"/>
      <c r="R701" s="74" t="n"/>
      <c r="S701" s="74" t="n"/>
      <c r="T701" s="74" t="n"/>
      <c r="U701" s="74" t="n"/>
      <c r="V701" s="74" t="n"/>
      <c r="W701" s="74" t="n"/>
    </row>
    <row r="702">
      <c r="A702" s="74" t="n"/>
      <c r="B702" s="74" t="n"/>
      <c r="C702" s="74" t="n"/>
      <c r="D702" s="74" t="n"/>
      <c r="E702" s="74" t="n"/>
      <c r="F702" s="74" t="n"/>
      <c r="G702" s="74" t="n"/>
      <c r="H702" s="74" t="n"/>
      <c r="I702" s="74" t="n"/>
      <c r="J702" s="74" t="n"/>
      <c r="K702" s="74" t="n"/>
      <c r="L702" s="74" t="n"/>
      <c r="M702" s="74" t="n"/>
      <c r="N702" s="74" t="n"/>
      <c r="O702" s="74" t="n"/>
      <c r="P702" s="74" t="n"/>
      <c r="Q702" s="74" t="n"/>
      <c r="R702" s="74" t="n"/>
      <c r="S702" s="74" t="n"/>
      <c r="T702" s="74" t="n"/>
      <c r="U702" s="74" t="n"/>
      <c r="V702" s="74" t="n"/>
      <c r="W702" s="74" t="n"/>
    </row>
    <row r="703">
      <c r="A703" s="74" t="n"/>
      <c r="B703" s="74" t="n"/>
      <c r="C703" s="74" t="n"/>
      <c r="D703" s="74" t="n"/>
      <c r="E703" s="74" t="n"/>
      <c r="F703" s="74" t="n"/>
      <c r="G703" s="74" t="n"/>
      <c r="H703" s="74" t="n"/>
      <c r="I703" s="74" t="n"/>
      <c r="J703" s="74" t="n"/>
      <c r="K703" s="74" t="n"/>
      <c r="L703" s="74" t="n"/>
      <c r="M703" s="74" t="n"/>
      <c r="N703" s="74" t="n"/>
      <c r="O703" s="74" t="n"/>
      <c r="P703" s="74" t="n"/>
      <c r="Q703" s="74" t="n"/>
      <c r="R703" s="74" t="n"/>
      <c r="S703" s="74" t="n"/>
      <c r="T703" s="74" t="n"/>
      <c r="U703" s="74" t="n"/>
      <c r="V703" s="74" t="n"/>
      <c r="W703" s="74" t="n"/>
    </row>
    <row r="704">
      <c r="A704" s="74" t="n"/>
      <c r="B704" s="74" t="n"/>
      <c r="C704" s="74" t="n"/>
      <c r="D704" s="74" t="n"/>
      <c r="E704" s="74" t="n"/>
      <c r="F704" s="74" t="n"/>
      <c r="G704" s="74" t="n"/>
      <c r="H704" s="74" t="n"/>
      <c r="I704" s="74" t="n"/>
      <c r="J704" s="74" t="n"/>
      <c r="K704" s="74" t="n"/>
      <c r="L704" s="74" t="n"/>
      <c r="M704" s="74" t="n"/>
      <c r="N704" s="74" t="n"/>
      <c r="O704" s="74" t="n"/>
      <c r="P704" s="74" t="n"/>
      <c r="Q704" s="74" t="n"/>
      <c r="R704" s="74" t="n"/>
      <c r="S704" s="74" t="n"/>
      <c r="T704" s="74" t="n"/>
      <c r="U704" s="74" t="n"/>
      <c r="V704" s="74" t="n"/>
      <c r="W704" s="74" t="n"/>
    </row>
    <row r="705">
      <c r="A705" s="74" t="n"/>
      <c r="B705" s="74" t="n"/>
      <c r="C705" s="74" t="n"/>
      <c r="D705" s="74" t="n"/>
      <c r="E705" s="74" t="n"/>
      <c r="F705" s="74" t="n"/>
      <c r="G705" s="74" t="n"/>
      <c r="H705" s="74" t="n"/>
      <c r="I705" s="74" t="n"/>
      <c r="J705" s="74" t="n"/>
      <c r="K705" s="74" t="n"/>
      <c r="L705" s="74" t="n"/>
      <c r="M705" s="74" t="n"/>
      <c r="N705" s="74" t="n"/>
      <c r="O705" s="74" t="n"/>
      <c r="P705" s="74" t="n"/>
      <c r="Q705" s="74" t="n"/>
      <c r="R705" s="74" t="n"/>
      <c r="S705" s="74" t="n"/>
      <c r="T705" s="74" t="n"/>
      <c r="U705" s="74" t="n"/>
      <c r="V705" s="74" t="n"/>
      <c r="W705" s="74" t="n"/>
    </row>
    <row r="706">
      <c r="A706" s="74" t="n"/>
      <c r="B706" s="74" t="n"/>
      <c r="C706" s="74" t="n"/>
      <c r="D706" s="74" t="n"/>
      <c r="E706" s="74" t="n"/>
      <c r="F706" s="74" t="n"/>
      <c r="G706" s="74" t="n"/>
      <c r="H706" s="74" t="n"/>
      <c r="I706" s="74" t="n"/>
      <c r="J706" s="74" t="n"/>
      <c r="K706" s="74" t="n"/>
      <c r="L706" s="74" t="n"/>
      <c r="M706" s="74" t="n"/>
      <c r="N706" s="74" t="n"/>
      <c r="O706" s="74" t="n"/>
      <c r="P706" s="74" t="n"/>
      <c r="Q706" s="74" t="n"/>
      <c r="R706" s="74" t="n"/>
      <c r="S706" s="74" t="n"/>
      <c r="T706" s="74" t="n"/>
      <c r="U706" s="74" t="n"/>
      <c r="V706" s="74" t="n"/>
      <c r="W706" s="74" t="n"/>
    </row>
    <row r="707">
      <c r="A707" s="74" t="n"/>
      <c r="B707" s="74" t="n"/>
      <c r="C707" s="74" t="n"/>
      <c r="D707" s="74" t="n"/>
      <c r="E707" s="74" t="n"/>
      <c r="F707" s="74" t="n"/>
      <c r="G707" s="74" t="n"/>
      <c r="H707" s="74" t="n"/>
      <c r="I707" s="74" t="n"/>
      <c r="J707" s="74" t="n"/>
      <c r="K707" s="74" t="n"/>
      <c r="L707" s="74" t="n"/>
      <c r="M707" s="74" t="n"/>
      <c r="N707" s="74" t="n"/>
      <c r="O707" s="74" t="n"/>
      <c r="P707" s="74" t="n"/>
      <c r="Q707" s="74" t="n"/>
      <c r="R707" s="74" t="n"/>
      <c r="S707" s="74" t="n"/>
      <c r="T707" s="74" t="n"/>
      <c r="U707" s="74" t="n"/>
      <c r="V707" s="74" t="n"/>
      <c r="W707" s="74" t="n"/>
    </row>
    <row r="708">
      <c r="A708" s="74" t="n"/>
      <c r="B708" s="74" t="n"/>
      <c r="C708" s="74" t="n"/>
      <c r="D708" s="74" t="n"/>
      <c r="E708" s="74" t="n"/>
      <c r="F708" s="74" t="n"/>
      <c r="G708" s="74" t="n"/>
      <c r="H708" s="74" t="n"/>
      <c r="I708" s="74" t="n"/>
      <c r="J708" s="74" t="n"/>
      <c r="K708" s="74" t="n"/>
      <c r="L708" s="74" t="n"/>
      <c r="M708" s="74" t="n"/>
      <c r="N708" s="74" t="n"/>
      <c r="O708" s="74" t="n"/>
      <c r="P708" s="74" t="n"/>
      <c r="Q708" s="74" t="n"/>
      <c r="R708" s="74" t="n"/>
      <c r="S708" s="74" t="n"/>
      <c r="T708" s="74" t="n"/>
      <c r="U708" s="74" t="n"/>
      <c r="V708" s="74" t="n"/>
      <c r="W708" s="74" t="n"/>
    </row>
    <row r="709">
      <c r="A709" s="74" t="n"/>
      <c r="B709" s="74" t="n"/>
      <c r="C709" s="74" t="n"/>
      <c r="D709" s="74" t="n"/>
      <c r="E709" s="74" t="n"/>
      <c r="F709" s="74" t="n"/>
      <c r="G709" s="74" t="n"/>
      <c r="H709" s="74" t="n"/>
      <c r="I709" s="74" t="n"/>
      <c r="J709" s="74" t="n"/>
      <c r="K709" s="74" t="n"/>
      <c r="L709" s="74" t="n"/>
      <c r="M709" s="74" t="n"/>
      <c r="N709" s="74" t="n"/>
      <c r="O709" s="74" t="n"/>
      <c r="P709" s="74" t="n"/>
      <c r="Q709" s="74" t="n"/>
      <c r="R709" s="74" t="n"/>
      <c r="S709" s="74" t="n"/>
      <c r="T709" s="74" t="n"/>
      <c r="U709" s="74" t="n"/>
      <c r="V709" s="74" t="n"/>
      <c r="W709" s="74" t="n"/>
    </row>
    <row r="710">
      <c r="A710" s="74" t="n"/>
      <c r="B710" s="74" t="n"/>
      <c r="C710" s="74" t="n"/>
      <c r="D710" s="74" t="n"/>
      <c r="E710" s="74" t="n"/>
      <c r="F710" s="74" t="n"/>
      <c r="G710" s="74" t="n"/>
      <c r="H710" s="74" t="n"/>
      <c r="I710" s="74" t="n"/>
      <c r="J710" s="74" t="n"/>
      <c r="K710" s="74" t="n"/>
      <c r="L710" s="74" t="n"/>
      <c r="M710" s="74" t="n"/>
      <c r="N710" s="74" t="n"/>
      <c r="O710" s="74" t="n"/>
      <c r="P710" s="74" t="n"/>
      <c r="Q710" s="74" t="n"/>
      <c r="R710" s="74" t="n"/>
      <c r="S710" s="74" t="n"/>
      <c r="T710" s="74" t="n"/>
      <c r="U710" s="74" t="n"/>
      <c r="V710" s="74" t="n"/>
      <c r="W710" s="74" t="n"/>
    </row>
    <row r="711">
      <c r="A711" s="74" t="n"/>
      <c r="B711" s="74" t="n"/>
      <c r="C711" s="74" t="n"/>
      <c r="D711" s="74" t="n"/>
      <c r="E711" s="74" t="n"/>
      <c r="F711" s="74" t="n"/>
      <c r="G711" s="74" t="n"/>
      <c r="H711" s="74" t="n"/>
      <c r="I711" s="74" t="n"/>
      <c r="J711" s="74" t="n"/>
      <c r="K711" s="74" t="n"/>
      <c r="L711" s="74" t="n"/>
      <c r="M711" s="74" t="n"/>
      <c r="N711" s="74" t="n"/>
      <c r="O711" s="74" t="n"/>
      <c r="P711" s="74" t="n"/>
      <c r="Q711" s="74" t="n"/>
      <c r="R711" s="74" t="n"/>
      <c r="S711" s="74" t="n"/>
      <c r="T711" s="74" t="n"/>
      <c r="U711" s="74" t="n"/>
      <c r="V711" s="74" t="n"/>
      <c r="W711" s="74" t="n"/>
    </row>
    <row r="712">
      <c r="A712" s="74" t="n"/>
      <c r="B712" s="74" t="n"/>
      <c r="C712" s="74" t="n"/>
      <c r="D712" s="74" t="n"/>
      <c r="E712" s="74" t="n"/>
      <c r="F712" s="74" t="n"/>
      <c r="G712" s="74" t="n"/>
      <c r="H712" s="74" t="n"/>
      <c r="I712" s="74" t="n"/>
      <c r="J712" s="74" t="n"/>
      <c r="K712" s="74" t="n"/>
      <c r="L712" s="74" t="n"/>
      <c r="M712" s="74" t="n"/>
      <c r="N712" s="74" t="n"/>
      <c r="O712" s="74" t="n"/>
      <c r="P712" s="74" t="n"/>
      <c r="Q712" s="74" t="n"/>
      <c r="R712" s="74" t="n"/>
      <c r="S712" s="74" t="n"/>
      <c r="T712" s="74" t="n"/>
      <c r="U712" s="74" t="n"/>
      <c r="V712" s="74" t="n"/>
      <c r="W712" s="74" t="n"/>
    </row>
    <row r="713">
      <c r="A713" s="74" t="n"/>
      <c r="B713" s="74" t="n"/>
      <c r="C713" s="74" t="n"/>
      <c r="D713" s="74" t="n"/>
      <c r="E713" s="74" t="n"/>
      <c r="F713" s="74" t="n"/>
      <c r="G713" s="74" t="n"/>
      <c r="H713" s="74" t="n"/>
      <c r="I713" s="74" t="n"/>
      <c r="J713" s="74" t="n"/>
      <c r="K713" s="74" t="n"/>
      <c r="L713" s="74" t="n"/>
      <c r="M713" s="74" t="n"/>
      <c r="N713" s="74" t="n"/>
      <c r="O713" s="74" t="n"/>
      <c r="P713" s="74" t="n"/>
      <c r="Q713" s="74" t="n"/>
      <c r="R713" s="74" t="n"/>
      <c r="S713" s="74" t="n"/>
      <c r="T713" s="74" t="n"/>
      <c r="U713" s="74" t="n"/>
      <c r="V713" s="74" t="n"/>
      <c r="W713" s="74" t="n"/>
    </row>
    <row r="714">
      <c r="A714" s="74" t="n"/>
      <c r="B714" s="74" t="n"/>
      <c r="C714" s="74" t="n"/>
      <c r="D714" s="74" t="n"/>
      <c r="E714" s="74" t="n"/>
      <c r="F714" s="74" t="n"/>
      <c r="G714" s="74" t="n"/>
      <c r="H714" s="74" t="n"/>
      <c r="I714" s="74" t="n"/>
      <c r="J714" s="74" t="n"/>
      <c r="K714" s="74" t="n"/>
      <c r="L714" s="74" t="n"/>
      <c r="M714" s="74" t="n"/>
      <c r="N714" s="74" t="n"/>
      <c r="O714" s="74" t="n"/>
      <c r="P714" s="74" t="n"/>
      <c r="Q714" s="74" t="n"/>
      <c r="R714" s="74" t="n"/>
      <c r="S714" s="74" t="n"/>
      <c r="T714" s="74" t="n"/>
      <c r="U714" s="74" t="n"/>
      <c r="V714" s="74" t="n"/>
      <c r="W714" s="74" t="n"/>
    </row>
    <row r="715">
      <c r="A715" s="74" t="n"/>
      <c r="B715" s="74" t="n"/>
      <c r="C715" s="74" t="n"/>
      <c r="D715" s="74" t="n"/>
      <c r="E715" s="74" t="n"/>
      <c r="F715" s="74" t="n"/>
      <c r="G715" s="74" t="n"/>
      <c r="H715" s="74" t="n"/>
      <c r="I715" s="74" t="n"/>
      <c r="J715" s="74" t="n"/>
      <c r="K715" s="74" t="n"/>
      <c r="L715" s="74" t="n"/>
      <c r="M715" s="74" t="n"/>
      <c r="N715" s="74" t="n"/>
      <c r="O715" s="74" t="n"/>
      <c r="P715" s="74" t="n"/>
      <c r="Q715" s="74" t="n"/>
      <c r="R715" s="74" t="n"/>
      <c r="S715" s="74" t="n"/>
      <c r="T715" s="74" t="n"/>
      <c r="U715" s="74" t="n"/>
      <c r="V715" s="74" t="n"/>
      <c r="W715" s="74" t="n"/>
    </row>
    <row r="716">
      <c r="A716" s="74" t="n"/>
      <c r="B716" s="74" t="n"/>
      <c r="C716" s="74" t="n"/>
      <c r="D716" s="74" t="n"/>
      <c r="E716" s="74" t="n"/>
      <c r="F716" s="74" t="n"/>
      <c r="G716" s="74" t="n"/>
      <c r="H716" s="74" t="n"/>
      <c r="I716" s="74" t="n"/>
      <c r="J716" s="74" t="n"/>
      <c r="K716" s="74" t="n"/>
      <c r="L716" s="74" t="n"/>
      <c r="M716" s="74" t="n"/>
      <c r="N716" s="74" t="n"/>
      <c r="O716" s="74" t="n"/>
      <c r="P716" s="74" t="n"/>
      <c r="Q716" s="74" t="n"/>
      <c r="R716" s="74" t="n"/>
      <c r="S716" s="74" t="n"/>
      <c r="T716" s="74" t="n"/>
      <c r="U716" s="74" t="n"/>
      <c r="V716" s="74" t="n"/>
      <c r="W716" s="74" t="n"/>
    </row>
    <row r="717">
      <c r="A717" s="74" t="n"/>
      <c r="B717" s="74" t="n"/>
      <c r="C717" s="74" t="n"/>
      <c r="D717" s="74" t="n"/>
      <c r="E717" s="74" t="n"/>
      <c r="F717" s="74" t="n"/>
      <c r="G717" s="74" t="n"/>
      <c r="H717" s="74" t="n"/>
      <c r="I717" s="74" t="n"/>
      <c r="J717" s="74" t="n"/>
      <c r="K717" s="74" t="n"/>
      <c r="L717" s="74" t="n"/>
      <c r="M717" s="74" t="n"/>
      <c r="N717" s="74" t="n"/>
      <c r="O717" s="74" t="n"/>
      <c r="P717" s="74" t="n"/>
      <c r="Q717" s="74" t="n"/>
      <c r="R717" s="74" t="n"/>
      <c r="S717" s="74" t="n"/>
      <c r="T717" s="74" t="n"/>
      <c r="U717" s="74" t="n"/>
      <c r="V717" s="74" t="n"/>
      <c r="W717" s="74" t="n"/>
    </row>
    <row r="718">
      <c r="A718" s="74" t="n"/>
      <c r="B718" s="74" t="n"/>
      <c r="C718" s="74" t="n"/>
      <c r="D718" s="74" t="n"/>
      <c r="E718" s="74" t="n"/>
      <c r="F718" s="74" t="n"/>
      <c r="G718" s="74" t="n"/>
      <c r="H718" s="74" t="n"/>
      <c r="I718" s="74" t="n"/>
      <c r="J718" s="74" t="n"/>
      <c r="K718" s="74" t="n"/>
      <c r="L718" s="74" t="n"/>
      <c r="M718" s="74" t="n"/>
      <c r="N718" s="74" t="n"/>
      <c r="O718" s="74" t="n"/>
      <c r="P718" s="74" t="n"/>
      <c r="Q718" s="74" t="n"/>
      <c r="R718" s="74" t="n"/>
      <c r="S718" s="74" t="n"/>
      <c r="T718" s="74" t="n"/>
      <c r="U718" s="74" t="n"/>
      <c r="V718" s="74" t="n"/>
      <c r="W718" s="74" t="n"/>
    </row>
    <row r="719">
      <c r="A719" s="74" t="n"/>
      <c r="B719" s="74" t="n"/>
      <c r="C719" s="74" t="n"/>
      <c r="D719" s="74" t="n"/>
      <c r="E719" s="74" t="n"/>
      <c r="F719" s="74" t="n"/>
      <c r="G719" s="74" t="n"/>
      <c r="H719" s="74" t="n"/>
      <c r="I719" s="74" t="n"/>
      <c r="J719" s="74" t="n"/>
      <c r="K719" s="74" t="n"/>
      <c r="L719" s="74" t="n"/>
      <c r="M719" s="74" t="n"/>
      <c r="N719" s="74" t="n"/>
      <c r="O719" s="74" t="n"/>
      <c r="P719" s="74" t="n"/>
      <c r="Q719" s="74" t="n"/>
      <c r="R719" s="74" t="n"/>
      <c r="S719" s="74" t="n"/>
      <c r="T719" s="74" t="n"/>
      <c r="U719" s="74" t="n"/>
      <c r="V719" s="74" t="n"/>
      <c r="W719" s="74" t="n"/>
    </row>
    <row r="720">
      <c r="A720" s="74" t="n"/>
      <c r="B720" s="74" t="n"/>
      <c r="C720" s="74" t="n"/>
      <c r="D720" s="74" t="n"/>
      <c r="E720" s="74" t="n"/>
      <c r="F720" s="74" t="n"/>
      <c r="G720" s="74" t="n"/>
      <c r="H720" s="74" t="n"/>
      <c r="I720" s="74" t="n"/>
      <c r="J720" s="74" t="n"/>
      <c r="K720" s="74" t="n"/>
      <c r="L720" s="74" t="n"/>
      <c r="M720" s="74" t="n"/>
      <c r="N720" s="74" t="n"/>
      <c r="O720" s="74" t="n"/>
      <c r="P720" s="74" t="n"/>
      <c r="Q720" s="74" t="n"/>
      <c r="R720" s="74" t="n"/>
      <c r="S720" s="74" t="n"/>
      <c r="T720" s="74" t="n"/>
      <c r="U720" s="74" t="n"/>
      <c r="V720" s="74" t="n"/>
      <c r="W720" s="74" t="n"/>
    </row>
    <row r="721">
      <c r="A721" s="74" t="n"/>
      <c r="B721" s="74" t="n"/>
      <c r="C721" s="74" t="n"/>
      <c r="D721" s="74" t="n"/>
      <c r="E721" s="74" t="n"/>
      <c r="F721" s="74" t="n"/>
      <c r="G721" s="74" t="n"/>
      <c r="H721" s="74" t="n"/>
      <c r="I721" s="74" t="n"/>
      <c r="J721" s="74" t="n"/>
      <c r="K721" s="74" t="n"/>
      <c r="L721" s="74" t="n"/>
      <c r="M721" s="74" t="n"/>
      <c r="N721" s="74" t="n"/>
      <c r="O721" s="74" t="n"/>
      <c r="P721" s="74" t="n"/>
      <c r="Q721" s="74" t="n"/>
      <c r="R721" s="74" t="n"/>
      <c r="S721" s="74" t="n"/>
      <c r="T721" s="74" t="n"/>
      <c r="U721" s="74" t="n"/>
      <c r="V721" s="74" t="n"/>
      <c r="W721" s="74" t="n"/>
    </row>
    <row r="722">
      <c r="A722" s="74" t="n"/>
      <c r="B722" s="74" t="n"/>
      <c r="C722" s="74" t="n"/>
      <c r="D722" s="74" t="n"/>
      <c r="E722" s="74" t="n"/>
      <c r="F722" s="74" t="n"/>
      <c r="G722" s="74" t="n"/>
      <c r="H722" s="74" t="n"/>
      <c r="I722" s="74" t="n"/>
      <c r="J722" s="74" t="n"/>
      <c r="K722" s="74" t="n"/>
      <c r="L722" s="74" t="n"/>
      <c r="M722" s="74" t="n"/>
      <c r="N722" s="74" t="n"/>
      <c r="O722" s="74" t="n"/>
      <c r="P722" s="74" t="n"/>
      <c r="Q722" s="74" t="n"/>
      <c r="R722" s="74" t="n"/>
      <c r="S722" s="74" t="n"/>
      <c r="T722" s="74" t="n"/>
      <c r="U722" s="74" t="n"/>
      <c r="V722" s="74" t="n"/>
      <c r="W722" s="74" t="n"/>
    </row>
    <row r="723">
      <c r="A723" s="74" t="n"/>
      <c r="B723" s="74" t="n"/>
      <c r="C723" s="74" t="n"/>
      <c r="D723" s="74" t="n"/>
      <c r="E723" s="74" t="n"/>
      <c r="F723" s="74" t="n"/>
      <c r="G723" s="74" t="n"/>
      <c r="H723" s="74" t="n"/>
      <c r="I723" s="74" t="n"/>
      <c r="J723" s="74" t="n"/>
      <c r="K723" s="74" t="n"/>
      <c r="L723" s="74" t="n"/>
      <c r="M723" s="74" t="n"/>
      <c r="N723" s="74" t="n"/>
      <c r="O723" s="74" t="n"/>
      <c r="P723" s="74" t="n"/>
      <c r="Q723" s="74" t="n"/>
      <c r="R723" s="74" t="n"/>
      <c r="S723" s="74" t="n"/>
      <c r="T723" s="74" t="n"/>
      <c r="U723" s="74" t="n"/>
      <c r="V723" s="74" t="n"/>
      <c r="W723" s="74" t="n"/>
    </row>
    <row r="724">
      <c r="A724" s="74" t="n"/>
      <c r="B724" s="74" t="n"/>
      <c r="C724" s="74" t="n"/>
      <c r="D724" s="74" t="n"/>
      <c r="E724" s="74" t="n"/>
      <c r="F724" s="74" t="n"/>
      <c r="G724" s="74" t="n"/>
      <c r="H724" s="74" t="n"/>
      <c r="I724" s="74" t="n"/>
      <c r="J724" s="74" t="n"/>
      <c r="K724" s="74" t="n"/>
      <c r="L724" s="74" t="n"/>
      <c r="M724" s="74" t="n"/>
      <c r="N724" s="74" t="n"/>
      <c r="O724" s="74" t="n"/>
      <c r="P724" s="74" t="n"/>
      <c r="Q724" s="74" t="n"/>
      <c r="R724" s="74" t="n"/>
      <c r="S724" s="74" t="n"/>
      <c r="T724" s="74" t="n"/>
      <c r="U724" s="74" t="n"/>
      <c r="V724" s="74" t="n"/>
      <c r="W724" s="74" t="n"/>
    </row>
    <row r="725">
      <c r="A725" s="74" t="n"/>
      <c r="B725" s="74" t="n"/>
      <c r="C725" s="74" t="n"/>
      <c r="D725" s="74" t="n"/>
      <c r="E725" s="74" t="n"/>
      <c r="F725" s="74" t="n"/>
      <c r="G725" s="74" t="n"/>
      <c r="H725" s="74" t="n"/>
      <c r="I725" s="74" t="n"/>
      <c r="J725" s="74" t="n"/>
      <c r="K725" s="74" t="n"/>
      <c r="L725" s="74" t="n"/>
      <c r="M725" s="74" t="n"/>
      <c r="N725" s="74" t="n"/>
      <c r="O725" s="74" t="n"/>
      <c r="P725" s="74" t="n"/>
      <c r="Q725" s="74" t="n"/>
      <c r="R725" s="74" t="n"/>
      <c r="S725" s="74" t="n"/>
      <c r="T725" s="74" t="n"/>
      <c r="U725" s="74" t="n"/>
      <c r="V725" s="74" t="n"/>
      <c r="W725" s="74" t="n"/>
    </row>
    <row r="726">
      <c r="A726" s="74" t="n"/>
      <c r="B726" s="74" t="n"/>
      <c r="C726" s="74" t="n"/>
      <c r="D726" s="74" t="n"/>
      <c r="E726" s="74" t="n"/>
      <c r="F726" s="74" t="n"/>
      <c r="G726" s="74" t="n"/>
      <c r="H726" s="74" t="n"/>
      <c r="I726" s="74" t="n"/>
      <c r="J726" s="74" t="n"/>
      <c r="K726" s="74" t="n"/>
      <c r="L726" s="74" t="n"/>
      <c r="M726" s="74" t="n"/>
      <c r="N726" s="74" t="n"/>
      <c r="O726" s="74" t="n"/>
      <c r="P726" s="74" t="n"/>
      <c r="Q726" s="74" t="n"/>
      <c r="R726" s="74" t="n"/>
      <c r="S726" s="74" t="n"/>
      <c r="T726" s="74" t="n"/>
      <c r="U726" s="74" t="n"/>
      <c r="V726" s="74" t="n"/>
      <c r="W726" s="74" t="n"/>
    </row>
    <row r="727">
      <c r="A727" s="74" t="n"/>
      <c r="B727" s="74" t="n"/>
      <c r="C727" s="74" t="n"/>
      <c r="D727" s="74" t="n"/>
      <c r="E727" s="74" t="n"/>
      <c r="F727" s="74" t="n"/>
      <c r="G727" s="74" t="n"/>
      <c r="H727" s="74" t="n"/>
      <c r="I727" s="74" t="n"/>
      <c r="J727" s="74" t="n"/>
      <c r="K727" s="74" t="n"/>
      <c r="L727" s="74" t="n"/>
      <c r="M727" s="74" t="n"/>
      <c r="N727" s="74" t="n"/>
      <c r="O727" s="74" t="n"/>
      <c r="P727" s="74" t="n"/>
      <c r="Q727" s="74" t="n"/>
      <c r="R727" s="74" t="n"/>
      <c r="S727" s="74" t="n"/>
      <c r="T727" s="74" t="n"/>
      <c r="U727" s="74" t="n"/>
      <c r="V727" s="74" t="n"/>
      <c r="W727" s="74" t="n"/>
    </row>
    <row r="728">
      <c r="A728" s="74" t="n"/>
      <c r="B728" s="74" t="n"/>
      <c r="C728" s="74" t="n"/>
      <c r="D728" s="74" t="n"/>
      <c r="E728" s="74" t="n"/>
      <c r="F728" s="74" t="n"/>
      <c r="G728" s="74" t="n"/>
      <c r="H728" s="74" t="n"/>
      <c r="I728" s="74" t="n"/>
      <c r="J728" s="74" t="n"/>
      <c r="K728" s="74" t="n"/>
      <c r="L728" s="74" t="n"/>
      <c r="M728" s="74" t="n"/>
      <c r="N728" s="74" t="n"/>
      <c r="O728" s="74" t="n"/>
      <c r="P728" s="74" t="n"/>
      <c r="Q728" s="74" t="n"/>
      <c r="R728" s="74" t="n"/>
      <c r="S728" s="74" t="n"/>
      <c r="T728" s="74" t="n"/>
      <c r="U728" s="74" t="n"/>
      <c r="V728" s="74" t="n"/>
      <c r="W728" s="74" t="n"/>
    </row>
    <row r="729">
      <c r="A729" s="74" t="n"/>
      <c r="B729" s="74" t="n"/>
      <c r="C729" s="74" t="n"/>
      <c r="D729" s="74" t="n"/>
      <c r="E729" s="74" t="n"/>
      <c r="F729" s="74" t="n"/>
      <c r="G729" s="74" t="n"/>
      <c r="H729" s="74" t="n"/>
      <c r="I729" s="74" t="n"/>
      <c r="J729" s="74" t="n"/>
      <c r="K729" s="74" t="n"/>
      <c r="L729" s="74" t="n"/>
      <c r="M729" s="74" t="n"/>
      <c r="N729" s="74" t="n"/>
      <c r="O729" s="74" t="n"/>
      <c r="P729" s="74" t="n"/>
      <c r="Q729" s="74" t="n"/>
      <c r="R729" s="74" t="n"/>
      <c r="S729" s="74" t="n"/>
      <c r="T729" s="74" t="n"/>
      <c r="U729" s="74" t="n"/>
      <c r="V729" s="74" t="n"/>
      <c r="W729" s="74" t="n"/>
    </row>
    <row r="730">
      <c r="A730" s="74" t="n"/>
      <c r="B730" s="74" t="n"/>
      <c r="C730" s="74" t="n"/>
      <c r="D730" s="74" t="n"/>
      <c r="E730" s="74" t="n"/>
      <c r="F730" s="74" t="n"/>
      <c r="G730" s="74" t="n"/>
      <c r="H730" s="74" t="n"/>
      <c r="I730" s="74" t="n"/>
      <c r="J730" s="74" t="n"/>
      <c r="K730" s="74" t="n"/>
      <c r="L730" s="74" t="n"/>
      <c r="M730" s="74" t="n"/>
      <c r="N730" s="74" t="n"/>
      <c r="O730" s="74" t="n"/>
      <c r="P730" s="74" t="n"/>
      <c r="Q730" s="74" t="n"/>
      <c r="R730" s="74" t="n"/>
      <c r="S730" s="74" t="n"/>
      <c r="T730" s="74" t="n"/>
      <c r="U730" s="74" t="n"/>
      <c r="V730" s="74" t="n"/>
      <c r="W730" s="74" t="n"/>
    </row>
    <row r="731">
      <c r="A731" s="74" t="n"/>
      <c r="B731" s="74" t="n"/>
      <c r="C731" s="74" t="n"/>
      <c r="D731" s="74" t="n"/>
      <c r="E731" s="74" t="n"/>
      <c r="F731" s="74" t="n"/>
      <c r="G731" s="74" t="n"/>
      <c r="H731" s="74" t="n"/>
      <c r="I731" s="74" t="n"/>
      <c r="J731" s="74" t="n"/>
      <c r="K731" s="74" t="n"/>
      <c r="L731" s="74" t="n"/>
      <c r="M731" s="74" t="n"/>
      <c r="N731" s="74" t="n"/>
      <c r="O731" s="74" t="n"/>
      <c r="P731" s="74" t="n"/>
      <c r="Q731" s="74" t="n"/>
      <c r="R731" s="74" t="n"/>
      <c r="S731" s="74" t="n"/>
      <c r="T731" s="74" t="n"/>
      <c r="U731" s="74" t="n"/>
      <c r="V731" s="74" t="n"/>
      <c r="W731" s="74" t="n"/>
    </row>
    <row r="732">
      <c r="A732" s="74" t="n"/>
      <c r="B732" s="74" t="n"/>
      <c r="C732" s="74" t="n"/>
      <c r="D732" s="74" t="n"/>
      <c r="E732" s="74" t="n"/>
      <c r="F732" s="74" t="n"/>
      <c r="G732" s="74" t="n"/>
      <c r="H732" s="74" t="n"/>
      <c r="I732" s="74" t="n"/>
      <c r="J732" s="74" t="n"/>
      <c r="K732" s="74" t="n"/>
      <c r="L732" s="74" t="n"/>
      <c r="M732" s="74" t="n"/>
      <c r="N732" s="74" t="n"/>
      <c r="O732" s="74" t="n"/>
      <c r="P732" s="74" t="n"/>
      <c r="Q732" s="74" t="n"/>
      <c r="R732" s="74" t="n"/>
      <c r="S732" s="74" t="n"/>
      <c r="T732" s="74" t="n"/>
      <c r="U732" s="74" t="n"/>
      <c r="V732" s="74" t="n"/>
      <c r="W732" s="74" t="n"/>
    </row>
    <row r="733">
      <c r="A733" s="74" t="n"/>
      <c r="B733" s="74" t="n"/>
      <c r="C733" s="74" t="n"/>
      <c r="D733" s="74" t="n"/>
      <c r="E733" s="74" t="n"/>
      <c r="F733" s="74" t="n"/>
      <c r="G733" s="74" t="n"/>
      <c r="H733" s="74" t="n"/>
      <c r="I733" s="74" t="n"/>
      <c r="J733" s="74" t="n"/>
      <c r="K733" s="74" t="n"/>
      <c r="L733" s="74" t="n"/>
      <c r="M733" s="74" t="n"/>
      <c r="N733" s="74" t="n"/>
      <c r="O733" s="74" t="n"/>
      <c r="P733" s="74" t="n"/>
      <c r="Q733" s="74" t="n"/>
      <c r="R733" s="74" t="n"/>
      <c r="S733" s="74" t="n"/>
      <c r="T733" s="74" t="n"/>
      <c r="U733" s="74" t="n"/>
      <c r="V733" s="74" t="n"/>
      <c r="W733" s="74" t="n"/>
    </row>
    <row r="734">
      <c r="A734" s="74" t="n"/>
      <c r="B734" s="74" t="n"/>
      <c r="C734" s="74" t="n"/>
      <c r="D734" s="74" t="n"/>
      <c r="E734" s="74" t="n"/>
      <c r="F734" s="74" t="n"/>
      <c r="G734" s="74" t="n"/>
      <c r="H734" s="74" t="n"/>
      <c r="I734" s="74" t="n"/>
      <c r="J734" s="74" t="n"/>
      <c r="K734" s="74" t="n"/>
      <c r="L734" s="74" t="n"/>
      <c r="M734" s="74" t="n"/>
      <c r="N734" s="74" t="n"/>
      <c r="O734" s="74" t="n"/>
      <c r="P734" s="74" t="n"/>
      <c r="Q734" s="74" t="n"/>
      <c r="R734" s="74" t="n"/>
      <c r="S734" s="74" t="n"/>
      <c r="T734" s="74" t="n"/>
      <c r="U734" s="74" t="n"/>
      <c r="V734" s="74" t="n"/>
      <c r="W734" s="74" t="n"/>
    </row>
    <row r="735">
      <c r="A735" s="74" t="n"/>
      <c r="B735" s="74" t="n"/>
      <c r="C735" s="74" t="n"/>
      <c r="D735" s="74" t="n"/>
      <c r="E735" s="74" t="n"/>
      <c r="F735" s="74" t="n"/>
      <c r="G735" s="74" t="n"/>
      <c r="H735" s="74" t="n"/>
      <c r="I735" s="74" t="n"/>
      <c r="J735" s="74" t="n"/>
      <c r="K735" s="74" t="n"/>
      <c r="L735" s="74" t="n"/>
      <c r="M735" s="74" t="n"/>
      <c r="N735" s="74" t="n"/>
      <c r="O735" s="74" t="n"/>
      <c r="P735" s="74" t="n"/>
      <c r="Q735" s="74" t="n"/>
      <c r="R735" s="74" t="n"/>
      <c r="S735" s="74" t="n"/>
      <c r="T735" s="74" t="n"/>
      <c r="U735" s="74" t="n"/>
      <c r="V735" s="74" t="n"/>
      <c r="W735" s="74" t="n"/>
    </row>
    <row r="736">
      <c r="A736" s="74" t="n"/>
      <c r="B736" s="74" t="n"/>
      <c r="C736" s="74" t="n"/>
      <c r="D736" s="74" t="n"/>
      <c r="E736" s="74" t="n"/>
      <c r="F736" s="74" t="n"/>
      <c r="G736" s="74" t="n"/>
      <c r="H736" s="74" t="n"/>
      <c r="I736" s="74" t="n"/>
      <c r="J736" s="74" t="n"/>
      <c r="K736" s="74" t="n"/>
      <c r="L736" s="74" t="n"/>
      <c r="M736" s="74" t="n"/>
      <c r="N736" s="74" t="n"/>
      <c r="O736" s="74" t="n"/>
      <c r="P736" s="74" t="n"/>
      <c r="Q736" s="74" t="n"/>
      <c r="R736" s="74" t="n"/>
      <c r="S736" s="74" t="n"/>
      <c r="T736" s="74" t="n"/>
      <c r="U736" s="74" t="n"/>
      <c r="V736" s="74" t="n"/>
      <c r="W736" s="74" t="n"/>
    </row>
    <row r="737">
      <c r="A737" s="74" t="n"/>
      <c r="B737" s="74" t="n"/>
      <c r="C737" s="74" t="n"/>
      <c r="D737" s="74" t="n"/>
      <c r="E737" s="74" t="n"/>
      <c r="F737" s="74" t="n"/>
      <c r="G737" s="74" t="n"/>
      <c r="H737" s="74" t="n"/>
      <c r="I737" s="74" t="n"/>
      <c r="J737" s="74" t="n"/>
      <c r="K737" s="74" t="n"/>
      <c r="L737" s="74" t="n"/>
      <c r="M737" s="74" t="n"/>
      <c r="N737" s="74" t="n"/>
      <c r="O737" s="74" t="n"/>
      <c r="P737" s="74" t="n"/>
      <c r="Q737" s="74" t="n"/>
      <c r="R737" s="74" t="n"/>
      <c r="S737" s="74" t="n"/>
      <c r="T737" s="74" t="n"/>
      <c r="U737" s="74" t="n"/>
      <c r="V737" s="74" t="n"/>
      <c r="W737" s="74" t="n"/>
    </row>
    <row r="738">
      <c r="A738" s="74" t="n"/>
      <c r="B738" s="74" t="n"/>
      <c r="C738" s="74" t="n"/>
      <c r="D738" s="74" t="n"/>
      <c r="E738" s="74" t="n"/>
      <c r="F738" s="74" t="n"/>
      <c r="G738" s="74" t="n"/>
      <c r="H738" s="74" t="n"/>
      <c r="I738" s="74" t="n"/>
      <c r="J738" s="74" t="n"/>
      <c r="K738" s="74" t="n"/>
      <c r="L738" s="74" t="n"/>
      <c r="M738" s="74" t="n"/>
      <c r="N738" s="74" t="n"/>
      <c r="O738" s="74" t="n"/>
      <c r="P738" s="74" t="n"/>
      <c r="Q738" s="74" t="n"/>
      <c r="R738" s="74" t="n"/>
      <c r="S738" s="74" t="n"/>
      <c r="T738" s="74" t="n"/>
      <c r="U738" s="74" t="n"/>
      <c r="V738" s="74" t="n"/>
      <c r="W738" s="74" t="n"/>
    </row>
    <row r="739">
      <c r="A739" s="74" t="n"/>
      <c r="B739" s="74" t="n"/>
      <c r="C739" s="74" t="n"/>
      <c r="D739" s="74" t="n"/>
      <c r="E739" s="74" t="n"/>
      <c r="F739" s="74" t="n"/>
      <c r="G739" s="74" t="n"/>
      <c r="H739" s="74" t="n"/>
      <c r="I739" s="74" t="n"/>
      <c r="J739" s="74" t="n"/>
      <c r="K739" s="74" t="n"/>
      <c r="L739" s="74" t="n"/>
      <c r="M739" s="74" t="n"/>
      <c r="N739" s="74" t="n"/>
      <c r="O739" s="74" t="n"/>
      <c r="P739" s="74" t="n"/>
      <c r="Q739" s="74" t="n"/>
      <c r="R739" s="74" t="n"/>
      <c r="S739" s="74" t="n"/>
      <c r="T739" s="74" t="n"/>
      <c r="U739" s="74" t="n"/>
      <c r="V739" s="74" t="n"/>
      <c r="W739" s="74" t="n"/>
    </row>
    <row r="740">
      <c r="A740" s="74" t="n"/>
      <c r="B740" s="74" t="n"/>
      <c r="C740" s="74" t="n"/>
      <c r="D740" s="74" t="n"/>
      <c r="E740" s="74" t="n"/>
      <c r="F740" s="74" t="n"/>
      <c r="G740" s="74" t="n"/>
      <c r="H740" s="74" t="n"/>
      <c r="I740" s="74" t="n"/>
      <c r="J740" s="74" t="n"/>
      <c r="K740" s="74" t="n"/>
      <c r="L740" s="74" t="n"/>
      <c r="M740" s="74" t="n"/>
      <c r="N740" s="74" t="n"/>
      <c r="O740" s="74" t="n"/>
      <c r="P740" s="74" t="n"/>
      <c r="Q740" s="74" t="n"/>
      <c r="R740" s="74" t="n"/>
      <c r="S740" s="74" t="n"/>
      <c r="T740" s="74" t="n"/>
      <c r="U740" s="74" t="n"/>
      <c r="V740" s="74" t="n"/>
      <c r="W740" s="74" t="n"/>
    </row>
    <row r="741">
      <c r="A741" s="74" t="n"/>
      <c r="B741" s="74" t="n"/>
      <c r="C741" s="74" t="n"/>
      <c r="D741" s="74" t="n"/>
      <c r="E741" s="74" t="n"/>
      <c r="F741" s="74" t="n"/>
      <c r="G741" s="74" t="n"/>
      <c r="H741" s="74" t="n"/>
      <c r="I741" s="74" t="n"/>
      <c r="J741" s="74" t="n"/>
      <c r="K741" s="74" t="n"/>
      <c r="L741" s="74" t="n"/>
      <c r="M741" s="74" t="n"/>
      <c r="N741" s="74" t="n"/>
      <c r="O741" s="74" t="n"/>
      <c r="P741" s="74" t="n"/>
      <c r="Q741" s="74" t="n"/>
      <c r="R741" s="74" t="n"/>
      <c r="S741" s="74" t="n"/>
      <c r="T741" s="74" t="n"/>
      <c r="U741" s="74" t="n"/>
      <c r="V741" s="74" t="n"/>
      <c r="W741" s="74" t="n"/>
    </row>
    <row r="742">
      <c r="A742" s="74" t="n"/>
      <c r="B742" s="74" t="n"/>
      <c r="C742" s="74" t="n"/>
      <c r="D742" s="74" t="n"/>
      <c r="E742" s="74" t="n"/>
      <c r="F742" s="74" t="n"/>
      <c r="G742" s="74" t="n"/>
      <c r="H742" s="74" t="n"/>
      <c r="I742" s="74" t="n"/>
      <c r="J742" s="74" t="n"/>
      <c r="K742" s="74" t="n"/>
      <c r="L742" s="74" t="n"/>
      <c r="M742" s="74" t="n"/>
      <c r="N742" s="74" t="n"/>
      <c r="O742" s="74" t="n"/>
      <c r="P742" s="74" t="n"/>
      <c r="Q742" s="74" t="n"/>
      <c r="R742" s="74" t="n"/>
      <c r="S742" s="74" t="n"/>
      <c r="T742" s="74" t="n"/>
      <c r="U742" s="74" t="n"/>
      <c r="V742" s="74" t="n"/>
      <c r="W742" s="74" t="n"/>
    </row>
    <row r="743">
      <c r="A743" s="74" t="n"/>
      <c r="B743" s="74" t="n"/>
      <c r="C743" s="74" t="n"/>
      <c r="D743" s="74" t="n"/>
      <c r="E743" s="74" t="n"/>
      <c r="F743" s="74" t="n"/>
      <c r="G743" s="74" t="n"/>
      <c r="H743" s="74" t="n"/>
      <c r="I743" s="74" t="n"/>
      <c r="J743" s="74" t="n"/>
      <c r="K743" s="74" t="n"/>
      <c r="L743" s="74" t="n"/>
      <c r="M743" s="74" t="n"/>
      <c r="N743" s="74" t="n"/>
      <c r="O743" s="74" t="n"/>
      <c r="P743" s="74" t="n"/>
      <c r="Q743" s="74" t="n"/>
      <c r="R743" s="74" t="n"/>
      <c r="S743" s="74" t="n"/>
      <c r="T743" s="74" t="n"/>
      <c r="U743" s="74" t="n"/>
      <c r="V743" s="74" t="n"/>
      <c r="W743" s="74" t="n"/>
    </row>
    <row r="744">
      <c r="A744" s="74" t="n"/>
      <c r="B744" s="74" t="n"/>
      <c r="C744" s="74" t="n"/>
      <c r="D744" s="74" t="n"/>
      <c r="E744" s="74" t="n"/>
      <c r="F744" s="74" t="n"/>
      <c r="G744" s="74" t="n"/>
      <c r="H744" s="74" t="n"/>
      <c r="I744" s="74" t="n"/>
      <c r="J744" s="74" t="n"/>
      <c r="K744" s="74" t="n"/>
      <c r="L744" s="74" t="n"/>
      <c r="M744" s="74" t="n"/>
      <c r="N744" s="74" t="n"/>
      <c r="O744" s="74" t="n"/>
      <c r="P744" s="74" t="n"/>
      <c r="Q744" s="74" t="n"/>
      <c r="R744" s="74" t="n"/>
      <c r="S744" s="74" t="n"/>
      <c r="T744" s="74" t="n"/>
      <c r="U744" s="74" t="n"/>
      <c r="V744" s="74" t="n"/>
      <c r="W744" s="74" t="n"/>
    </row>
    <row r="745">
      <c r="A745" s="74" t="n"/>
      <c r="B745" s="74" t="n"/>
      <c r="C745" s="74" t="n"/>
      <c r="D745" s="74" t="n"/>
      <c r="E745" s="74" t="n"/>
      <c r="F745" s="74" t="n"/>
      <c r="G745" s="74" t="n"/>
      <c r="H745" s="74" t="n"/>
      <c r="I745" s="74" t="n"/>
      <c r="J745" s="74" t="n"/>
      <c r="K745" s="74" t="n"/>
      <c r="L745" s="74" t="n"/>
      <c r="M745" s="74" t="n"/>
      <c r="N745" s="74" t="n"/>
      <c r="O745" s="74" t="n"/>
      <c r="P745" s="74" t="n"/>
      <c r="Q745" s="74" t="n"/>
      <c r="R745" s="74" t="n"/>
      <c r="S745" s="74" t="n"/>
      <c r="T745" s="74" t="n"/>
      <c r="U745" s="74" t="n"/>
      <c r="V745" s="74" t="n"/>
      <c r="W745" s="74" t="n"/>
    </row>
    <row r="746">
      <c r="A746" s="74" t="n"/>
      <c r="B746" s="74" t="n"/>
      <c r="C746" s="74" t="n"/>
      <c r="D746" s="74" t="n"/>
      <c r="E746" s="74" t="n"/>
      <c r="F746" s="74" t="n"/>
      <c r="G746" s="74" t="n"/>
      <c r="H746" s="74" t="n"/>
      <c r="I746" s="74" t="n"/>
      <c r="J746" s="74" t="n"/>
      <c r="K746" s="74" t="n"/>
      <c r="L746" s="74" t="n"/>
      <c r="M746" s="74" t="n"/>
      <c r="N746" s="74" t="n"/>
      <c r="O746" s="74" t="n"/>
      <c r="P746" s="74" t="n"/>
      <c r="Q746" s="74" t="n"/>
      <c r="R746" s="74" t="n"/>
      <c r="S746" s="74" t="n"/>
      <c r="T746" s="74" t="n"/>
      <c r="U746" s="74" t="n"/>
      <c r="V746" s="74" t="n"/>
      <c r="W746" s="74" t="n"/>
    </row>
    <row r="747">
      <c r="A747" s="74" t="n"/>
      <c r="B747" s="74" t="n"/>
      <c r="C747" s="74" t="n"/>
      <c r="D747" s="74" t="n"/>
      <c r="E747" s="74" t="n"/>
      <c r="F747" s="74" t="n"/>
      <c r="G747" s="74" t="n"/>
      <c r="H747" s="74" t="n"/>
      <c r="I747" s="74" t="n"/>
      <c r="J747" s="74" t="n"/>
      <c r="K747" s="74" t="n"/>
      <c r="L747" s="74" t="n"/>
      <c r="M747" s="74" t="n"/>
      <c r="N747" s="74" t="n"/>
      <c r="O747" s="74" t="n"/>
      <c r="P747" s="74" t="n"/>
      <c r="Q747" s="74" t="n"/>
      <c r="R747" s="74" t="n"/>
      <c r="S747" s="74" t="n"/>
      <c r="T747" s="74" t="n"/>
      <c r="U747" s="74" t="n"/>
      <c r="V747" s="74" t="n"/>
      <c r="W747" s="74" t="n"/>
    </row>
    <row r="748">
      <c r="A748" s="74" t="n"/>
      <c r="B748" s="74" t="n"/>
      <c r="C748" s="74" t="n"/>
      <c r="D748" s="74" t="n"/>
      <c r="E748" s="74" t="n"/>
      <c r="F748" s="74" t="n"/>
      <c r="G748" s="74" t="n"/>
      <c r="H748" s="74" t="n"/>
      <c r="I748" s="74" t="n"/>
      <c r="J748" s="74" t="n"/>
      <c r="K748" s="74" t="n"/>
      <c r="L748" s="74" t="n"/>
      <c r="M748" s="74" t="n"/>
      <c r="N748" s="74" t="n"/>
      <c r="O748" s="74" t="n"/>
      <c r="P748" s="74" t="n"/>
      <c r="Q748" s="74" t="n"/>
      <c r="R748" s="74" t="n"/>
      <c r="S748" s="74" t="n"/>
      <c r="T748" s="74" t="n"/>
      <c r="U748" s="74" t="n"/>
      <c r="V748" s="74" t="n"/>
      <c r="W748" s="74" t="n"/>
    </row>
    <row r="749">
      <c r="A749" s="74" t="n"/>
      <c r="B749" s="74" t="n"/>
      <c r="C749" s="74" t="n"/>
      <c r="D749" s="74" t="n"/>
      <c r="E749" s="74" t="n"/>
      <c r="F749" s="74" t="n"/>
      <c r="G749" s="74" t="n"/>
      <c r="H749" s="74" t="n"/>
      <c r="I749" s="74" t="n"/>
      <c r="J749" s="74" t="n"/>
      <c r="K749" s="74" t="n"/>
      <c r="L749" s="74" t="n"/>
      <c r="M749" s="74" t="n"/>
      <c r="N749" s="74" t="n"/>
      <c r="O749" s="74" t="n"/>
      <c r="P749" s="74" t="n"/>
      <c r="Q749" s="74" t="n"/>
      <c r="R749" s="74" t="n"/>
      <c r="S749" s="74" t="n"/>
      <c r="T749" s="74" t="n"/>
      <c r="U749" s="74" t="n"/>
      <c r="V749" s="74" t="n"/>
      <c r="W749" s="74" t="n"/>
    </row>
    <row r="750">
      <c r="A750" s="74" t="n"/>
      <c r="B750" s="74" t="n"/>
      <c r="C750" s="74" t="n"/>
      <c r="D750" s="74" t="n"/>
      <c r="E750" s="74" t="n"/>
      <c r="F750" s="74" t="n"/>
      <c r="G750" s="74" t="n"/>
      <c r="H750" s="74" t="n"/>
      <c r="I750" s="74" t="n"/>
      <c r="J750" s="74" t="n"/>
      <c r="K750" s="74" t="n"/>
      <c r="L750" s="74" t="n"/>
      <c r="M750" s="74" t="n"/>
      <c r="N750" s="74" t="n"/>
      <c r="O750" s="74" t="n"/>
      <c r="P750" s="74" t="n"/>
      <c r="Q750" s="74" t="n"/>
      <c r="R750" s="74" t="n"/>
      <c r="S750" s="74" t="n"/>
      <c r="T750" s="74" t="n"/>
      <c r="U750" s="74" t="n"/>
      <c r="V750" s="74" t="n"/>
      <c r="W750" s="74" t="n"/>
    </row>
    <row r="751">
      <c r="A751" s="74" t="n"/>
      <c r="B751" s="74" t="n"/>
      <c r="C751" s="74" t="n"/>
      <c r="D751" s="74" t="n"/>
      <c r="E751" s="74" t="n"/>
      <c r="F751" s="74" t="n"/>
      <c r="G751" s="74" t="n"/>
      <c r="H751" s="74" t="n"/>
      <c r="I751" s="74" t="n"/>
      <c r="J751" s="74" t="n"/>
      <c r="K751" s="74" t="n"/>
      <c r="L751" s="74" t="n"/>
      <c r="M751" s="74" t="n"/>
      <c r="N751" s="74" t="n"/>
      <c r="O751" s="74" t="n"/>
      <c r="P751" s="74" t="n"/>
      <c r="Q751" s="74" t="n"/>
      <c r="R751" s="74" t="n"/>
      <c r="S751" s="74" t="n"/>
      <c r="T751" s="74" t="n"/>
      <c r="U751" s="74" t="n"/>
      <c r="V751" s="74" t="n"/>
      <c r="W751" s="74" t="n"/>
    </row>
    <row r="752">
      <c r="A752" s="74" t="n"/>
      <c r="B752" s="74" t="n"/>
      <c r="C752" s="74" t="n"/>
      <c r="D752" s="74" t="n"/>
      <c r="E752" s="74" t="n"/>
      <c r="F752" s="74" t="n"/>
      <c r="G752" s="74" t="n"/>
      <c r="H752" s="74" t="n"/>
      <c r="I752" s="74" t="n"/>
      <c r="J752" s="74" t="n"/>
      <c r="K752" s="74" t="n"/>
      <c r="L752" s="74" t="n"/>
      <c r="M752" s="74" t="n"/>
      <c r="N752" s="74" t="n"/>
      <c r="O752" s="74" t="n"/>
      <c r="P752" s="74" t="n"/>
      <c r="Q752" s="74" t="n"/>
      <c r="R752" s="74" t="n"/>
      <c r="S752" s="74" t="n"/>
      <c r="T752" s="74" t="n"/>
      <c r="U752" s="74" t="n"/>
      <c r="V752" s="74" t="n"/>
      <c r="W752" s="74" t="n"/>
    </row>
    <row r="753">
      <c r="A753" s="74" t="n"/>
      <c r="B753" s="74" t="n"/>
      <c r="C753" s="74" t="n"/>
      <c r="D753" s="74" t="n"/>
      <c r="E753" s="74" t="n"/>
      <c r="F753" s="74" t="n"/>
      <c r="G753" s="74" t="n"/>
      <c r="H753" s="74" t="n"/>
      <c r="I753" s="74" t="n"/>
      <c r="J753" s="74" t="n"/>
      <c r="K753" s="74" t="n"/>
      <c r="L753" s="74" t="n"/>
      <c r="M753" s="74" t="n"/>
      <c r="N753" s="74" t="n"/>
      <c r="O753" s="74" t="n"/>
      <c r="P753" s="74" t="n"/>
      <c r="Q753" s="74" t="n"/>
      <c r="R753" s="74" t="n"/>
      <c r="S753" s="74" t="n"/>
      <c r="T753" s="74" t="n"/>
      <c r="U753" s="74" t="n"/>
      <c r="V753" s="74" t="n"/>
      <c r="W753" s="74" t="n"/>
    </row>
    <row r="754">
      <c r="A754" s="74" t="n"/>
      <c r="B754" s="74" t="n"/>
      <c r="C754" s="74" t="n"/>
      <c r="D754" s="74" t="n"/>
      <c r="E754" s="74" t="n"/>
      <c r="F754" s="74" t="n"/>
      <c r="G754" s="74" t="n"/>
      <c r="H754" s="74" t="n"/>
      <c r="I754" s="74" t="n"/>
      <c r="J754" s="74" t="n"/>
      <c r="K754" s="74" t="n"/>
      <c r="L754" s="74" t="n"/>
      <c r="M754" s="74" t="n"/>
      <c r="N754" s="74" t="n"/>
      <c r="O754" s="74" t="n"/>
      <c r="P754" s="74" t="n"/>
      <c r="Q754" s="74" t="n"/>
      <c r="R754" s="74" t="n"/>
      <c r="S754" s="74" t="n"/>
      <c r="T754" s="74" t="n"/>
      <c r="U754" s="74" t="n"/>
      <c r="V754" s="74" t="n"/>
      <c r="W754" s="74" t="n"/>
    </row>
    <row r="755">
      <c r="A755" s="74" t="n"/>
      <c r="B755" s="74" t="n"/>
      <c r="C755" s="74" t="n"/>
      <c r="D755" s="74" t="n"/>
      <c r="E755" s="74" t="n"/>
      <c r="F755" s="74" t="n"/>
      <c r="G755" s="74" t="n"/>
      <c r="H755" s="74" t="n"/>
      <c r="I755" s="74" t="n"/>
      <c r="J755" s="74" t="n"/>
      <c r="K755" s="74" t="n"/>
      <c r="L755" s="74" t="n"/>
      <c r="M755" s="74" t="n"/>
      <c r="N755" s="74" t="n"/>
      <c r="O755" s="74" t="n"/>
      <c r="P755" s="74" t="n"/>
      <c r="Q755" s="74" t="n"/>
      <c r="R755" s="74" t="n"/>
      <c r="S755" s="74" t="n"/>
      <c r="T755" s="74" t="n"/>
      <c r="U755" s="74" t="n"/>
      <c r="V755" s="74" t="n"/>
      <c r="W755" s="74" t="n"/>
    </row>
    <row r="756">
      <c r="A756" s="74" t="n"/>
      <c r="B756" s="74" t="n"/>
      <c r="C756" s="74" t="n"/>
      <c r="D756" s="74" t="n"/>
      <c r="E756" s="74" t="n"/>
      <c r="F756" s="74" t="n"/>
      <c r="G756" s="74" t="n"/>
      <c r="H756" s="74" t="n"/>
      <c r="I756" s="74" t="n"/>
      <c r="J756" s="74" t="n"/>
      <c r="K756" s="74" t="n"/>
      <c r="L756" s="74" t="n"/>
      <c r="M756" s="74" t="n"/>
      <c r="N756" s="74" t="n"/>
      <c r="O756" s="74" t="n"/>
      <c r="P756" s="74" t="n"/>
      <c r="Q756" s="74" t="n"/>
      <c r="R756" s="74" t="n"/>
      <c r="S756" s="74" t="n"/>
      <c r="T756" s="74" t="n"/>
      <c r="U756" s="74" t="n"/>
      <c r="V756" s="74" t="n"/>
      <c r="W756" s="74" t="n"/>
    </row>
    <row r="757">
      <c r="A757" s="74" t="n"/>
      <c r="B757" s="74" t="n"/>
      <c r="C757" s="74" t="n"/>
      <c r="D757" s="74" t="n"/>
      <c r="E757" s="74" t="n"/>
      <c r="F757" s="74" t="n"/>
      <c r="G757" s="74" t="n"/>
      <c r="H757" s="74" t="n"/>
      <c r="I757" s="74" t="n"/>
      <c r="J757" s="74" t="n"/>
      <c r="K757" s="74" t="n"/>
      <c r="L757" s="74" t="n"/>
      <c r="M757" s="74" t="n"/>
      <c r="N757" s="74" t="n"/>
      <c r="O757" s="74" t="n"/>
      <c r="P757" s="74" t="n"/>
      <c r="Q757" s="74" t="n"/>
      <c r="R757" s="74" t="n"/>
      <c r="S757" s="74" t="n"/>
      <c r="T757" s="74" t="n"/>
      <c r="U757" s="74" t="n"/>
      <c r="V757" s="74" t="n"/>
      <c r="W757" s="74" t="n"/>
    </row>
    <row r="758">
      <c r="A758" s="74" t="n"/>
      <c r="B758" s="74" t="n"/>
      <c r="C758" s="74" t="n"/>
      <c r="D758" s="74" t="n"/>
      <c r="E758" s="74" t="n"/>
      <c r="F758" s="74" t="n"/>
      <c r="G758" s="74" t="n"/>
      <c r="H758" s="74" t="n"/>
      <c r="I758" s="74" t="n"/>
      <c r="J758" s="74" t="n"/>
      <c r="K758" s="74" t="n"/>
      <c r="L758" s="74" t="n"/>
      <c r="M758" s="74" t="n"/>
      <c r="N758" s="74" t="n"/>
      <c r="O758" s="74" t="n"/>
      <c r="P758" s="74" t="n"/>
      <c r="Q758" s="74" t="n"/>
      <c r="R758" s="74" t="n"/>
      <c r="S758" s="74" t="n"/>
      <c r="T758" s="74" t="n"/>
      <c r="U758" s="74" t="n"/>
      <c r="V758" s="74" t="n"/>
      <c r="W758" s="74" t="n"/>
    </row>
    <row r="759">
      <c r="A759" s="74" t="n"/>
      <c r="B759" s="74" t="n"/>
      <c r="C759" s="74" t="n"/>
      <c r="D759" s="74" t="n"/>
      <c r="E759" s="74" t="n"/>
      <c r="F759" s="74" t="n"/>
      <c r="G759" s="74" t="n"/>
      <c r="H759" s="74" t="n"/>
      <c r="I759" s="74" t="n"/>
      <c r="J759" s="74" t="n"/>
      <c r="K759" s="74" t="n"/>
      <c r="L759" s="74" t="n"/>
      <c r="M759" s="74" t="n"/>
      <c r="N759" s="74" t="n"/>
      <c r="O759" s="74" t="n"/>
      <c r="P759" s="74" t="n"/>
      <c r="Q759" s="74" t="n"/>
      <c r="R759" s="74" t="n"/>
      <c r="S759" s="74" t="n"/>
      <c r="T759" s="74" t="n"/>
      <c r="U759" s="74" t="n"/>
      <c r="V759" s="74" t="n"/>
      <c r="W759" s="74" t="n"/>
    </row>
    <row r="760">
      <c r="A760" s="74" t="n"/>
      <c r="B760" s="74" t="n"/>
      <c r="C760" s="74" t="n"/>
      <c r="D760" s="74" t="n"/>
      <c r="E760" s="74" t="n"/>
      <c r="F760" s="74" t="n"/>
      <c r="G760" s="74" t="n"/>
      <c r="H760" s="74" t="n"/>
      <c r="I760" s="74" t="n"/>
      <c r="J760" s="74" t="n"/>
      <c r="K760" s="74" t="n"/>
      <c r="L760" s="74" t="n"/>
      <c r="M760" s="74" t="n"/>
      <c r="N760" s="74" t="n"/>
      <c r="O760" s="74" t="n"/>
      <c r="P760" s="74" t="n"/>
      <c r="Q760" s="74" t="n"/>
      <c r="R760" s="74" t="n"/>
      <c r="S760" s="74" t="n"/>
      <c r="T760" s="74" t="n"/>
      <c r="U760" s="74" t="n"/>
      <c r="V760" s="74" t="n"/>
      <c r="W760" s="74" t="n"/>
    </row>
    <row r="761">
      <c r="A761" s="74" t="n"/>
      <c r="B761" s="74" t="n"/>
      <c r="C761" s="74" t="n"/>
      <c r="D761" s="74" t="n"/>
      <c r="E761" s="74" t="n"/>
      <c r="F761" s="74" t="n"/>
      <c r="G761" s="74" t="n"/>
      <c r="H761" s="74" t="n"/>
      <c r="I761" s="74" t="n"/>
      <c r="J761" s="74" t="n"/>
      <c r="K761" s="74" t="n"/>
      <c r="L761" s="74" t="n"/>
      <c r="M761" s="74" t="n"/>
      <c r="N761" s="74" t="n"/>
      <c r="O761" s="74" t="n"/>
      <c r="P761" s="74" t="n"/>
      <c r="Q761" s="74" t="n"/>
      <c r="R761" s="74" t="n"/>
      <c r="S761" s="74" t="n"/>
      <c r="T761" s="74" t="n"/>
      <c r="U761" s="74" t="n"/>
      <c r="V761" s="74" t="n"/>
      <c r="W761" s="74" t="n"/>
    </row>
    <row r="762">
      <c r="A762" s="74" t="n"/>
      <c r="B762" s="74" t="n"/>
      <c r="C762" s="74" t="n"/>
      <c r="D762" s="74" t="n"/>
      <c r="E762" s="74" t="n"/>
      <c r="F762" s="74" t="n"/>
      <c r="G762" s="74" t="n"/>
      <c r="H762" s="74" t="n"/>
      <c r="I762" s="74" t="n"/>
      <c r="J762" s="74" t="n"/>
      <c r="K762" s="74" t="n"/>
      <c r="L762" s="74" t="n"/>
      <c r="M762" s="74" t="n"/>
      <c r="N762" s="74" t="n"/>
      <c r="O762" s="74" t="n"/>
      <c r="P762" s="74" t="n"/>
      <c r="Q762" s="74" t="n"/>
      <c r="R762" s="74" t="n"/>
      <c r="S762" s="74" t="n"/>
      <c r="T762" s="74" t="n"/>
      <c r="U762" s="74" t="n"/>
      <c r="V762" s="74" t="n"/>
      <c r="W762" s="74" t="n"/>
    </row>
    <row r="763">
      <c r="A763" s="74" t="n"/>
      <c r="B763" s="74" t="n"/>
      <c r="C763" s="74" t="n"/>
      <c r="D763" s="74" t="n"/>
      <c r="E763" s="74" t="n"/>
      <c r="F763" s="74" t="n"/>
      <c r="G763" s="74" t="n"/>
      <c r="H763" s="74" t="n"/>
      <c r="I763" s="74" t="n"/>
      <c r="J763" s="74" t="n"/>
      <c r="K763" s="74" t="n"/>
      <c r="L763" s="74" t="n"/>
      <c r="M763" s="74" t="n"/>
      <c r="N763" s="74" t="n"/>
      <c r="O763" s="74" t="n"/>
      <c r="P763" s="74" t="n"/>
      <c r="Q763" s="74" t="n"/>
      <c r="R763" s="74" t="n"/>
      <c r="S763" s="74" t="n"/>
      <c r="T763" s="74" t="n"/>
      <c r="U763" s="74" t="n"/>
      <c r="V763" s="74" t="n"/>
      <c r="W763" s="74" t="n"/>
    </row>
    <row r="764">
      <c r="A764" s="74" t="n"/>
      <c r="B764" s="74" t="n"/>
      <c r="C764" s="74" t="n"/>
      <c r="D764" s="74" t="n"/>
      <c r="E764" s="74" t="n"/>
      <c r="F764" s="74" t="n"/>
      <c r="G764" s="74" t="n"/>
      <c r="H764" s="74" t="n"/>
      <c r="I764" s="74" t="n"/>
      <c r="J764" s="74" t="n"/>
      <c r="K764" s="74" t="n"/>
      <c r="L764" s="74" t="n"/>
      <c r="M764" s="74" t="n"/>
      <c r="N764" s="74" t="n"/>
      <c r="O764" s="74" t="n"/>
      <c r="P764" s="74" t="n"/>
      <c r="Q764" s="74" t="n"/>
      <c r="R764" s="74" t="n"/>
      <c r="S764" s="74" t="n"/>
      <c r="T764" s="74" t="n"/>
      <c r="U764" s="74" t="n"/>
      <c r="V764" s="74" t="n"/>
      <c r="W764" s="74" t="n"/>
    </row>
    <row r="765">
      <c r="A765" s="74" t="n"/>
      <c r="B765" s="74" t="n"/>
      <c r="C765" s="74" t="n"/>
      <c r="D765" s="74" t="n"/>
      <c r="E765" s="74" t="n"/>
      <c r="F765" s="74" t="n"/>
      <c r="G765" s="74" t="n"/>
      <c r="H765" s="74" t="n"/>
      <c r="I765" s="74" t="n"/>
      <c r="J765" s="74" t="n"/>
      <c r="K765" s="74" t="n"/>
      <c r="L765" s="74" t="n"/>
      <c r="M765" s="74" t="n"/>
      <c r="N765" s="74" t="n"/>
      <c r="O765" s="74" t="n"/>
      <c r="P765" s="74" t="n"/>
      <c r="Q765" s="74" t="n"/>
      <c r="R765" s="74" t="n"/>
      <c r="S765" s="74" t="n"/>
      <c r="T765" s="74" t="n"/>
      <c r="U765" s="74" t="n"/>
      <c r="V765" s="74" t="n"/>
      <c r="W765" s="74" t="n"/>
    </row>
    <row r="766">
      <c r="A766" s="74" t="n"/>
      <c r="B766" s="74" t="n"/>
      <c r="C766" s="74" t="n"/>
      <c r="D766" s="74" t="n"/>
      <c r="E766" s="74" t="n"/>
      <c r="F766" s="74" t="n"/>
      <c r="G766" s="74" t="n"/>
      <c r="H766" s="74" t="n"/>
      <c r="I766" s="74" t="n"/>
      <c r="J766" s="74" t="n"/>
      <c r="K766" s="74" t="n"/>
      <c r="L766" s="74" t="n"/>
      <c r="M766" s="74" t="n"/>
      <c r="N766" s="74" t="n"/>
      <c r="O766" s="74" t="n"/>
      <c r="P766" s="74" t="n"/>
      <c r="Q766" s="74" t="n"/>
      <c r="R766" s="74" t="n"/>
      <c r="S766" s="74" t="n"/>
      <c r="T766" s="74" t="n"/>
      <c r="U766" s="74" t="n"/>
      <c r="V766" s="74" t="n"/>
      <c r="W766" s="74" t="n"/>
    </row>
    <row r="767">
      <c r="A767" s="74" t="n"/>
      <c r="B767" s="74" t="n"/>
      <c r="C767" s="74" t="n"/>
      <c r="D767" s="74" t="n"/>
      <c r="E767" s="74" t="n"/>
      <c r="F767" s="74" t="n"/>
      <c r="G767" s="74" t="n"/>
      <c r="H767" s="74" t="n"/>
      <c r="I767" s="74" t="n"/>
      <c r="J767" s="74" t="n"/>
      <c r="K767" s="74" t="n"/>
      <c r="L767" s="74" t="n"/>
      <c r="M767" s="74" t="n"/>
      <c r="N767" s="74" t="n"/>
      <c r="O767" s="74" t="n"/>
      <c r="P767" s="74" t="n"/>
      <c r="Q767" s="74" t="n"/>
      <c r="R767" s="74" t="n"/>
      <c r="S767" s="74" t="n"/>
      <c r="T767" s="74" t="n"/>
      <c r="U767" s="74" t="n"/>
      <c r="V767" s="74" t="n"/>
      <c r="W767" s="74" t="n"/>
    </row>
    <row r="768">
      <c r="A768" s="74" t="n"/>
      <c r="B768" s="74" t="n"/>
      <c r="C768" s="74" t="n"/>
      <c r="D768" s="74" t="n"/>
      <c r="E768" s="74" t="n"/>
      <c r="F768" s="74" t="n"/>
      <c r="G768" s="74" t="n"/>
      <c r="H768" s="74" t="n"/>
      <c r="I768" s="74" t="n"/>
      <c r="J768" s="74" t="n"/>
      <c r="K768" s="74" t="n"/>
      <c r="L768" s="74" t="n"/>
      <c r="M768" s="74" t="n"/>
      <c r="N768" s="74" t="n"/>
      <c r="O768" s="74" t="n"/>
      <c r="P768" s="74" t="n"/>
      <c r="Q768" s="74" t="n"/>
      <c r="R768" s="74" t="n"/>
      <c r="S768" s="74" t="n"/>
      <c r="T768" s="74" t="n"/>
      <c r="U768" s="74" t="n"/>
      <c r="V768" s="74" t="n"/>
      <c r="W768" s="74" t="n"/>
    </row>
    <row r="769">
      <c r="A769" s="74" t="n"/>
      <c r="B769" s="74" t="n"/>
      <c r="C769" s="74" t="n"/>
      <c r="D769" s="74" t="n"/>
      <c r="E769" s="74" t="n"/>
      <c r="F769" s="74" t="n"/>
      <c r="G769" s="74" t="n"/>
      <c r="H769" s="74" t="n"/>
      <c r="I769" s="74" t="n"/>
      <c r="J769" s="74" t="n"/>
      <c r="K769" s="74" t="n"/>
      <c r="L769" s="74" t="n"/>
      <c r="M769" s="74" t="n"/>
      <c r="N769" s="74" t="n"/>
      <c r="O769" s="74" t="n"/>
      <c r="P769" s="74" t="n"/>
      <c r="Q769" s="74" t="n"/>
      <c r="R769" s="74" t="n"/>
      <c r="S769" s="74" t="n"/>
      <c r="T769" s="74" t="n"/>
      <c r="U769" s="74" t="n"/>
      <c r="V769" s="74" t="n"/>
      <c r="W769" s="74" t="n"/>
    </row>
    <row r="770">
      <c r="A770" s="74" t="n"/>
      <c r="B770" s="74" t="n"/>
      <c r="C770" s="74" t="n"/>
      <c r="D770" s="74" t="n"/>
      <c r="E770" s="74" t="n"/>
      <c r="F770" s="74" t="n"/>
      <c r="G770" s="74" t="n"/>
      <c r="H770" s="74" t="n"/>
      <c r="I770" s="74" t="n"/>
      <c r="J770" s="74" t="n"/>
      <c r="K770" s="74" t="n"/>
      <c r="L770" s="74" t="n"/>
      <c r="M770" s="74" t="n"/>
      <c r="N770" s="74" t="n"/>
      <c r="O770" s="74" t="n"/>
      <c r="P770" s="74" t="n"/>
      <c r="Q770" s="74" t="n"/>
      <c r="R770" s="74" t="n"/>
      <c r="S770" s="74" t="n"/>
      <c r="T770" s="74" t="n"/>
      <c r="U770" s="74" t="n"/>
      <c r="V770" s="74" t="n"/>
      <c r="W770" s="74" t="n"/>
    </row>
    <row r="771">
      <c r="A771" s="74" t="n"/>
      <c r="B771" s="74" t="n"/>
      <c r="C771" s="74" t="n"/>
      <c r="D771" s="74" t="n"/>
      <c r="E771" s="74" t="n"/>
      <c r="F771" s="74" t="n"/>
      <c r="G771" s="74" t="n"/>
      <c r="H771" s="74" t="n"/>
      <c r="I771" s="74" t="n"/>
      <c r="J771" s="74" t="n"/>
      <c r="K771" s="74" t="n"/>
      <c r="L771" s="74" t="n"/>
      <c r="M771" s="74" t="n"/>
      <c r="N771" s="74" t="n"/>
      <c r="O771" s="74" t="n"/>
      <c r="P771" s="74" t="n"/>
      <c r="Q771" s="74" t="n"/>
      <c r="R771" s="74" t="n"/>
      <c r="S771" s="74" t="n"/>
      <c r="T771" s="74" t="n"/>
      <c r="U771" s="74" t="n"/>
      <c r="V771" s="74" t="n"/>
      <c r="W771" s="74" t="n"/>
    </row>
    <row r="772">
      <c r="A772" s="74" t="n"/>
      <c r="B772" s="74" t="n"/>
      <c r="C772" s="74" t="n"/>
      <c r="D772" s="74" t="n"/>
      <c r="E772" s="74" t="n"/>
      <c r="F772" s="74" t="n"/>
      <c r="G772" s="74" t="n"/>
      <c r="H772" s="74" t="n"/>
      <c r="I772" s="74" t="n"/>
      <c r="J772" s="74" t="n"/>
      <c r="K772" s="74" t="n"/>
      <c r="L772" s="74" t="n"/>
      <c r="M772" s="74" t="n"/>
      <c r="N772" s="74" t="n"/>
      <c r="O772" s="74" t="n"/>
      <c r="P772" s="74" t="n"/>
      <c r="Q772" s="74" t="n"/>
      <c r="R772" s="74" t="n"/>
      <c r="S772" s="74" t="n"/>
      <c r="T772" s="74" t="n"/>
      <c r="U772" s="74" t="n"/>
      <c r="V772" s="74" t="n"/>
      <c r="W772" s="74" t="n"/>
    </row>
    <row r="773">
      <c r="A773" s="74" t="n"/>
      <c r="B773" s="74" t="n"/>
      <c r="C773" s="74" t="n"/>
      <c r="D773" s="74" t="n"/>
      <c r="E773" s="74" t="n"/>
      <c r="F773" s="74" t="n"/>
      <c r="G773" s="74" t="n"/>
      <c r="H773" s="74" t="n"/>
      <c r="I773" s="74" t="n"/>
      <c r="J773" s="74" t="n"/>
      <c r="K773" s="74" t="n"/>
      <c r="L773" s="74" t="n"/>
      <c r="M773" s="74" t="n"/>
      <c r="N773" s="74" t="n"/>
      <c r="O773" s="74" t="n"/>
      <c r="P773" s="74" t="n"/>
      <c r="Q773" s="74" t="n"/>
      <c r="R773" s="74" t="n"/>
      <c r="S773" s="74" t="n"/>
      <c r="T773" s="74" t="n"/>
      <c r="U773" s="74" t="n"/>
      <c r="V773" s="74" t="n"/>
      <c r="W773" s="74" t="n"/>
    </row>
    <row r="774">
      <c r="A774" s="74" t="n"/>
      <c r="B774" s="74" t="n"/>
      <c r="C774" s="74" t="n"/>
      <c r="D774" s="74" t="n"/>
      <c r="E774" s="74" t="n"/>
      <c r="F774" s="74" t="n"/>
      <c r="G774" s="74" t="n"/>
      <c r="H774" s="74" t="n"/>
      <c r="I774" s="74" t="n"/>
      <c r="J774" s="74" t="n"/>
      <c r="K774" s="74" t="n"/>
      <c r="L774" s="74" t="n"/>
      <c r="M774" s="74" t="n"/>
      <c r="N774" s="74" t="n"/>
      <c r="O774" s="74" t="n"/>
      <c r="P774" s="74" t="n"/>
      <c r="Q774" s="74" t="n"/>
      <c r="R774" s="74" t="n"/>
      <c r="S774" s="74" t="n"/>
      <c r="T774" s="74" t="n"/>
      <c r="U774" s="74" t="n"/>
      <c r="V774" s="74" t="n"/>
      <c r="W774" s="74" t="n"/>
    </row>
    <row r="775">
      <c r="A775" s="74" t="n"/>
      <c r="B775" s="74" t="n"/>
      <c r="C775" s="74" t="n"/>
      <c r="D775" s="74" t="n"/>
      <c r="E775" s="74" t="n"/>
      <c r="F775" s="74" t="n"/>
      <c r="G775" s="74" t="n"/>
      <c r="H775" s="74" t="n"/>
      <c r="I775" s="74" t="n"/>
      <c r="J775" s="74" t="n"/>
      <c r="K775" s="74" t="n"/>
      <c r="L775" s="74" t="n"/>
      <c r="M775" s="74" t="n"/>
      <c r="N775" s="74" t="n"/>
      <c r="O775" s="74" t="n"/>
      <c r="P775" s="74" t="n"/>
      <c r="Q775" s="74" t="n"/>
      <c r="R775" s="74" t="n"/>
      <c r="S775" s="74" t="n"/>
      <c r="T775" s="74" t="n"/>
      <c r="U775" s="74" t="n"/>
      <c r="V775" s="74" t="n"/>
      <c r="W775" s="74" t="n"/>
    </row>
    <row r="776">
      <c r="A776" s="74" t="n"/>
      <c r="B776" s="74" t="n"/>
      <c r="C776" s="74" t="n"/>
      <c r="D776" s="74" t="n"/>
      <c r="E776" s="74" t="n"/>
      <c r="F776" s="74" t="n"/>
      <c r="G776" s="74" t="n"/>
      <c r="H776" s="74" t="n"/>
      <c r="I776" s="74" t="n"/>
      <c r="J776" s="74" t="n"/>
      <c r="K776" s="74" t="n"/>
      <c r="L776" s="74" t="n"/>
      <c r="M776" s="74" t="n"/>
      <c r="N776" s="74" t="n"/>
      <c r="O776" s="74" t="n"/>
      <c r="P776" s="74" t="n"/>
      <c r="Q776" s="74" t="n"/>
      <c r="R776" s="74" t="n"/>
      <c r="S776" s="74" t="n"/>
      <c r="T776" s="74" t="n"/>
      <c r="U776" s="74" t="n"/>
      <c r="V776" s="74" t="n"/>
      <c r="W776" s="74" t="n"/>
    </row>
    <row r="777">
      <c r="A777" s="74" t="n"/>
      <c r="B777" s="74" t="n"/>
      <c r="C777" s="74" t="n"/>
      <c r="D777" s="74" t="n"/>
      <c r="E777" s="74" t="n"/>
      <c r="F777" s="74" t="n"/>
      <c r="G777" s="74" t="n"/>
      <c r="H777" s="74" t="n"/>
      <c r="I777" s="74" t="n"/>
      <c r="J777" s="74" t="n"/>
      <c r="K777" s="74" t="n"/>
      <c r="L777" s="74" t="n"/>
      <c r="M777" s="74" t="n"/>
      <c r="N777" s="74" t="n"/>
      <c r="O777" s="74" t="n"/>
      <c r="P777" s="74" t="n"/>
      <c r="Q777" s="74" t="n"/>
      <c r="R777" s="74" t="n"/>
      <c r="S777" s="74" t="n"/>
      <c r="T777" s="74" t="n"/>
      <c r="U777" s="74" t="n"/>
      <c r="V777" s="74" t="n"/>
      <c r="W777" s="74" t="n"/>
    </row>
    <row r="778">
      <c r="A778" s="74" t="n"/>
      <c r="B778" s="74" t="n"/>
      <c r="C778" s="74" t="n"/>
      <c r="D778" s="74" t="n"/>
      <c r="E778" s="74" t="n"/>
      <c r="F778" s="74" t="n"/>
      <c r="G778" s="74" t="n"/>
      <c r="H778" s="74" t="n"/>
      <c r="I778" s="74" t="n"/>
      <c r="J778" s="74" t="n"/>
      <c r="K778" s="74" t="n"/>
      <c r="L778" s="74" t="n"/>
      <c r="M778" s="74" t="n"/>
      <c r="N778" s="74" t="n"/>
      <c r="O778" s="74" t="n"/>
      <c r="P778" s="74" t="n"/>
      <c r="Q778" s="74" t="n"/>
      <c r="R778" s="74" t="n"/>
      <c r="S778" s="74" t="n"/>
      <c r="T778" s="74" t="n"/>
      <c r="U778" s="74" t="n"/>
      <c r="V778" s="74" t="n"/>
      <c r="W778" s="74" t="n"/>
    </row>
    <row r="779">
      <c r="A779" s="74" t="n"/>
      <c r="B779" s="74" t="n"/>
      <c r="C779" s="74" t="n"/>
      <c r="D779" s="74" t="n"/>
      <c r="E779" s="74" t="n"/>
      <c r="F779" s="74" t="n"/>
      <c r="G779" s="74" t="n"/>
      <c r="H779" s="74" t="n"/>
      <c r="I779" s="74" t="n"/>
      <c r="J779" s="74" t="n"/>
      <c r="K779" s="74" t="n"/>
      <c r="L779" s="74" t="n"/>
      <c r="M779" s="74" t="n"/>
      <c r="N779" s="74" t="n"/>
      <c r="O779" s="74" t="n"/>
      <c r="P779" s="74" t="n"/>
      <c r="Q779" s="74" t="n"/>
      <c r="R779" s="74" t="n"/>
      <c r="S779" s="74" t="n"/>
      <c r="T779" s="74" t="n"/>
      <c r="U779" s="74" t="n"/>
      <c r="V779" s="74" t="n"/>
      <c r="W779" s="74" t="n"/>
    </row>
    <row r="780">
      <c r="A780" s="74" t="n"/>
      <c r="B780" s="74" t="n"/>
      <c r="C780" s="74" t="n"/>
      <c r="D780" s="74" t="n"/>
      <c r="E780" s="74" t="n"/>
      <c r="F780" s="74" t="n"/>
      <c r="G780" s="74" t="n"/>
      <c r="H780" s="74" t="n"/>
      <c r="I780" s="74" t="n"/>
      <c r="J780" s="74" t="n"/>
      <c r="K780" s="74" t="n"/>
      <c r="L780" s="74" t="n"/>
      <c r="M780" s="74" t="n"/>
      <c r="N780" s="74" t="n"/>
      <c r="O780" s="74" t="n"/>
      <c r="P780" s="74" t="n"/>
      <c r="Q780" s="74" t="n"/>
      <c r="R780" s="74" t="n"/>
      <c r="S780" s="74" t="n"/>
      <c r="T780" s="74" t="n"/>
      <c r="U780" s="74" t="n"/>
      <c r="V780" s="74" t="n"/>
      <c r="W780" s="74" t="n"/>
    </row>
    <row r="781">
      <c r="A781" s="74" t="n"/>
      <c r="B781" s="74" t="n"/>
      <c r="C781" s="74" t="n"/>
      <c r="D781" s="74" t="n"/>
      <c r="E781" s="74" t="n"/>
      <c r="F781" s="74" t="n"/>
      <c r="G781" s="74" t="n"/>
      <c r="H781" s="74" t="n"/>
      <c r="I781" s="74" t="n"/>
      <c r="J781" s="74" t="n"/>
      <c r="K781" s="74" t="n"/>
      <c r="L781" s="74" t="n"/>
      <c r="M781" s="74" t="n"/>
      <c r="N781" s="74" t="n"/>
      <c r="O781" s="74" t="n"/>
      <c r="P781" s="74" t="n"/>
      <c r="Q781" s="74" t="n"/>
      <c r="R781" s="74" t="n"/>
      <c r="S781" s="74" t="n"/>
      <c r="T781" s="74" t="n"/>
      <c r="U781" s="74" t="n"/>
      <c r="V781" s="74" t="n"/>
      <c r="W781" s="74" t="n"/>
    </row>
    <row r="782">
      <c r="A782" s="74" t="n"/>
      <c r="B782" s="74" t="n"/>
      <c r="C782" s="74" t="n"/>
      <c r="D782" s="74" t="n"/>
      <c r="E782" s="74" t="n"/>
      <c r="F782" s="74" t="n"/>
      <c r="G782" s="74" t="n"/>
      <c r="H782" s="74" t="n"/>
      <c r="I782" s="74" t="n"/>
      <c r="J782" s="74" t="n"/>
      <c r="K782" s="74" t="n"/>
      <c r="L782" s="74" t="n"/>
      <c r="M782" s="74" t="n"/>
      <c r="N782" s="74" t="n"/>
      <c r="O782" s="74" t="n"/>
      <c r="P782" s="74" t="n"/>
      <c r="Q782" s="74" t="n"/>
      <c r="R782" s="74" t="n"/>
      <c r="S782" s="74" t="n"/>
      <c r="T782" s="74" t="n"/>
      <c r="U782" s="74" t="n"/>
      <c r="V782" s="74" t="n"/>
      <c r="W782" s="74" t="n"/>
    </row>
    <row r="783">
      <c r="A783" s="74" t="n"/>
      <c r="B783" s="74" t="n"/>
      <c r="C783" s="74" t="n"/>
      <c r="D783" s="74" t="n"/>
      <c r="E783" s="74" t="n"/>
      <c r="F783" s="74" t="n"/>
      <c r="G783" s="74" t="n"/>
      <c r="H783" s="74" t="n"/>
      <c r="I783" s="74" t="n"/>
      <c r="J783" s="74" t="n"/>
      <c r="K783" s="74" t="n"/>
      <c r="L783" s="74" t="n"/>
      <c r="M783" s="74" t="n"/>
      <c r="N783" s="74" t="n"/>
      <c r="O783" s="74" t="n"/>
      <c r="P783" s="74" t="n"/>
      <c r="Q783" s="74" t="n"/>
      <c r="R783" s="74" t="n"/>
      <c r="S783" s="74" t="n"/>
      <c r="T783" s="74" t="n"/>
      <c r="U783" s="74" t="n"/>
      <c r="V783" s="74" t="n"/>
      <c r="W783" s="74" t="n"/>
    </row>
    <row r="784">
      <c r="A784" s="74" t="n"/>
      <c r="B784" s="74" t="n"/>
      <c r="C784" s="74" t="n"/>
      <c r="D784" s="74" t="n"/>
      <c r="E784" s="74" t="n"/>
      <c r="F784" s="74" t="n"/>
      <c r="G784" s="74" t="n"/>
      <c r="H784" s="74" t="n"/>
      <c r="I784" s="74" t="n"/>
      <c r="J784" s="74" t="n"/>
      <c r="K784" s="74" t="n"/>
      <c r="L784" s="74" t="n"/>
      <c r="M784" s="74" t="n"/>
      <c r="N784" s="74" t="n"/>
      <c r="O784" s="74" t="n"/>
      <c r="P784" s="74" t="n"/>
      <c r="Q784" s="74" t="n"/>
      <c r="R784" s="74" t="n"/>
      <c r="S784" s="74" t="n"/>
      <c r="T784" s="74" t="n"/>
      <c r="U784" s="74" t="n"/>
      <c r="V784" s="74" t="n"/>
      <c r="W784" s="74" t="n"/>
    </row>
    <row r="785">
      <c r="A785" s="74" t="n"/>
      <c r="B785" s="74" t="n"/>
      <c r="C785" s="74" t="n"/>
      <c r="D785" s="74" t="n"/>
      <c r="E785" s="74" t="n"/>
      <c r="F785" s="74" t="n"/>
      <c r="G785" s="74" t="n"/>
      <c r="H785" s="74" t="n"/>
      <c r="I785" s="74" t="n"/>
      <c r="J785" s="74" t="n"/>
      <c r="K785" s="74" t="n"/>
      <c r="L785" s="74" t="n"/>
      <c r="M785" s="74" t="n"/>
      <c r="N785" s="74" t="n"/>
      <c r="O785" s="74" t="n"/>
      <c r="P785" s="74" t="n"/>
      <c r="Q785" s="74" t="n"/>
      <c r="R785" s="74" t="n"/>
      <c r="S785" s="74" t="n"/>
      <c r="T785" s="74" t="n"/>
      <c r="U785" s="74" t="n"/>
      <c r="V785" s="74" t="n"/>
      <c r="W785" s="74" t="n"/>
    </row>
    <row r="786">
      <c r="A786" s="74" t="n"/>
      <c r="B786" s="74" t="n"/>
      <c r="C786" s="74" t="n"/>
      <c r="D786" s="74" t="n"/>
      <c r="E786" s="74" t="n"/>
      <c r="F786" s="74" t="n"/>
      <c r="G786" s="74" t="n"/>
      <c r="H786" s="74" t="n"/>
      <c r="I786" s="74" t="n"/>
      <c r="J786" s="74" t="n"/>
      <c r="K786" s="74" t="n"/>
      <c r="L786" s="74" t="n"/>
      <c r="M786" s="74" t="n"/>
      <c r="N786" s="74" t="n"/>
      <c r="O786" s="74" t="n"/>
      <c r="P786" s="74" t="n"/>
      <c r="Q786" s="74" t="n"/>
      <c r="R786" s="74" t="n"/>
      <c r="S786" s="74" t="n"/>
      <c r="T786" s="74" t="n"/>
      <c r="U786" s="74" t="n"/>
      <c r="V786" s="74" t="n"/>
      <c r="W786" s="74" t="n"/>
    </row>
    <row r="787">
      <c r="A787" s="74" t="n"/>
      <c r="B787" s="74" t="n"/>
      <c r="C787" s="74" t="n"/>
      <c r="D787" s="74" t="n"/>
      <c r="E787" s="74" t="n"/>
      <c r="F787" s="74" t="n"/>
      <c r="G787" s="74" t="n"/>
      <c r="H787" s="74" t="n"/>
      <c r="I787" s="74" t="n"/>
      <c r="J787" s="74" t="n"/>
      <c r="K787" s="74" t="n"/>
      <c r="L787" s="74" t="n"/>
      <c r="M787" s="74" t="n"/>
      <c r="N787" s="74" t="n"/>
      <c r="O787" s="74" t="n"/>
      <c r="P787" s="74" t="n"/>
      <c r="Q787" s="74" t="n"/>
      <c r="R787" s="74" t="n"/>
      <c r="S787" s="74" t="n"/>
      <c r="T787" s="74" t="n"/>
      <c r="U787" s="74" t="n"/>
      <c r="V787" s="74" t="n"/>
      <c r="W787" s="74" t="n"/>
    </row>
    <row r="788">
      <c r="A788" s="74" t="n"/>
      <c r="B788" s="74" t="n"/>
      <c r="C788" s="74" t="n"/>
      <c r="D788" s="74" t="n"/>
      <c r="E788" s="74" t="n"/>
      <c r="F788" s="74" t="n"/>
      <c r="G788" s="74" t="n"/>
      <c r="H788" s="74" t="n"/>
      <c r="I788" s="74" t="n"/>
      <c r="J788" s="74" t="n"/>
      <c r="K788" s="74" t="n"/>
      <c r="L788" s="74" t="n"/>
      <c r="M788" s="74" t="n"/>
      <c r="N788" s="74" t="n"/>
      <c r="O788" s="74" t="n"/>
      <c r="P788" s="74" t="n"/>
      <c r="Q788" s="74" t="n"/>
      <c r="R788" s="74" t="n"/>
      <c r="S788" s="74" t="n"/>
      <c r="T788" s="74" t="n"/>
      <c r="U788" s="74" t="n"/>
      <c r="V788" s="74" t="n"/>
      <c r="W788" s="74" t="n"/>
    </row>
    <row r="789">
      <c r="A789" s="74" t="n"/>
      <c r="B789" s="74" t="n"/>
      <c r="C789" s="74" t="n"/>
      <c r="D789" s="74" t="n"/>
      <c r="E789" s="74" t="n"/>
      <c r="F789" s="74" t="n"/>
      <c r="G789" s="74" t="n"/>
      <c r="H789" s="74" t="n"/>
      <c r="I789" s="74" t="n"/>
      <c r="J789" s="74" t="n"/>
      <c r="K789" s="74" t="n"/>
      <c r="L789" s="74" t="n"/>
      <c r="M789" s="74" t="n"/>
      <c r="N789" s="74" t="n"/>
      <c r="O789" s="74" t="n"/>
      <c r="P789" s="74" t="n"/>
      <c r="Q789" s="74" t="n"/>
      <c r="R789" s="74" t="n"/>
      <c r="S789" s="74" t="n"/>
      <c r="T789" s="74" t="n"/>
      <c r="U789" s="74" t="n"/>
      <c r="V789" s="74" t="n"/>
      <c r="W789" s="74" t="n"/>
    </row>
    <row r="790">
      <c r="A790" s="74" t="n"/>
      <c r="B790" s="74" t="n"/>
      <c r="C790" s="74" t="n"/>
      <c r="D790" s="74" t="n"/>
      <c r="E790" s="74" t="n"/>
      <c r="F790" s="74" t="n"/>
      <c r="G790" s="74" t="n"/>
      <c r="H790" s="74" t="n"/>
      <c r="I790" s="74" t="n"/>
      <c r="J790" s="74" t="n"/>
      <c r="K790" s="74" t="n"/>
      <c r="L790" s="74" t="n"/>
      <c r="M790" s="74" t="n"/>
      <c r="N790" s="74" t="n"/>
      <c r="O790" s="74" t="n"/>
      <c r="P790" s="74" t="n"/>
      <c r="Q790" s="74" t="n"/>
      <c r="R790" s="74" t="n"/>
      <c r="S790" s="74" t="n"/>
      <c r="T790" s="74" t="n"/>
      <c r="U790" s="74" t="n"/>
      <c r="V790" s="74" t="n"/>
      <c r="W790" s="74" t="n"/>
    </row>
    <row r="791">
      <c r="A791" s="74" t="n"/>
      <c r="B791" s="74" t="n"/>
      <c r="C791" s="74" t="n"/>
      <c r="D791" s="74" t="n"/>
      <c r="E791" s="74" t="n"/>
      <c r="F791" s="74" t="n"/>
      <c r="G791" s="74" t="n"/>
      <c r="H791" s="74" t="n"/>
      <c r="I791" s="74" t="n"/>
      <c r="J791" s="74" t="n"/>
      <c r="K791" s="74" t="n"/>
      <c r="L791" s="74" t="n"/>
      <c r="M791" s="74" t="n"/>
      <c r="N791" s="74" t="n"/>
      <c r="O791" s="74" t="n"/>
      <c r="P791" s="74" t="n"/>
      <c r="Q791" s="74" t="n"/>
      <c r="R791" s="74" t="n"/>
      <c r="S791" s="74" t="n"/>
      <c r="T791" s="74" t="n"/>
      <c r="U791" s="74" t="n"/>
      <c r="V791" s="74" t="n"/>
      <c r="W791" s="74" t="n"/>
    </row>
    <row r="792">
      <c r="A792" s="74" t="n"/>
      <c r="B792" s="74" t="n"/>
      <c r="C792" s="74" t="n"/>
      <c r="D792" s="74" t="n"/>
      <c r="E792" s="74" t="n"/>
      <c r="F792" s="74" t="n"/>
      <c r="G792" s="74" t="n"/>
      <c r="H792" s="74" t="n"/>
      <c r="I792" s="74" t="n"/>
      <c r="J792" s="74" t="n"/>
      <c r="K792" s="74" t="n"/>
      <c r="L792" s="74" t="n"/>
      <c r="M792" s="74" t="n"/>
      <c r="N792" s="74" t="n"/>
      <c r="O792" s="74" t="n"/>
      <c r="P792" s="74" t="n"/>
      <c r="Q792" s="74" t="n"/>
      <c r="R792" s="74" t="n"/>
      <c r="S792" s="74" t="n"/>
      <c r="T792" s="74" t="n"/>
      <c r="U792" s="74" t="n"/>
      <c r="V792" s="74" t="n"/>
      <c r="W792" s="74" t="n"/>
    </row>
    <row r="793">
      <c r="A793" s="74" t="n"/>
      <c r="B793" s="74" t="n"/>
      <c r="C793" s="74" t="n"/>
      <c r="D793" s="74" t="n"/>
      <c r="E793" s="74" t="n"/>
      <c r="F793" s="74" t="n"/>
      <c r="G793" s="74" t="n"/>
      <c r="H793" s="74" t="n"/>
      <c r="I793" s="74" t="n"/>
      <c r="J793" s="74" t="n"/>
      <c r="K793" s="74" t="n"/>
      <c r="L793" s="74" t="n"/>
      <c r="M793" s="74" t="n"/>
      <c r="N793" s="74" t="n"/>
      <c r="O793" s="74" t="n"/>
      <c r="P793" s="74" t="n"/>
      <c r="Q793" s="74" t="n"/>
      <c r="R793" s="74" t="n"/>
      <c r="S793" s="74" t="n"/>
      <c r="T793" s="74" t="n"/>
      <c r="U793" s="74" t="n"/>
      <c r="V793" s="74" t="n"/>
      <c r="W793" s="74" t="n"/>
    </row>
    <row r="794">
      <c r="A794" s="74" t="n"/>
      <c r="B794" s="74" t="n"/>
      <c r="C794" s="74" t="n"/>
      <c r="D794" s="74" t="n"/>
      <c r="E794" s="74" t="n"/>
      <c r="F794" s="74" t="n"/>
      <c r="G794" s="74" t="n"/>
      <c r="H794" s="74" t="n"/>
      <c r="I794" s="74" t="n"/>
      <c r="J794" s="74" t="n"/>
      <c r="K794" s="74" t="n"/>
      <c r="L794" s="74" t="n"/>
      <c r="M794" s="74" t="n"/>
      <c r="N794" s="74" t="n"/>
      <c r="O794" s="74" t="n"/>
      <c r="P794" s="74" t="n"/>
      <c r="Q794" s="74" t="n"/>
      <c r="R794" s="74" t="n"/>
      <c r="S794" s="74" t="n"/>
      <c r="T794" s="74" t="n"/>
      <c r="U794" s="74" t="n"/>
      <c r="V794" s="74" t="n"/>
      <c r="W794" s="74" t="n"/>
    </row>
    <row r="795">
      <c r="A795" s="74" t="n"/>
      <c r="B795" s="74" t="n"/>
      <c r="C795" s="74" t="n"/>
      <c r="D795" s="74" t="n"/>
      <c r="E795" s="74" t="n"/>
      <c r="F795" s="74" t="n"/>
      <c r="G795" s="74" t="n"/>
      <c r="H795" s="74" t="n"/>
      <c r="I795" s="74" t="n"/>
      <c r="J795" s="74" t="n"/>
      <c r="K795" s="74" t="n"/>
      <c r="L795" s="74" t="n"/>
      <c r="M795" s="74" t="n"/>
      <c r="N795" s="74" t="n"/>
      <c r="O795" s="74" t="n"/>
      <c r="P795" s="74" t="n"/>
      <c r="Q795" s="74" t="n"/>
      <c r="R795" s="74" t="n"/>
      <c r="S795" s="74" t="n"/>
      <c r="T795" s="74" t="n"/>
      <c r="U795" s="74" t="n"/>
      <c r="V795" s="74" t="n"/>
      <c r="W795" s="74" t="n"/>
    </row>
    <row r="796">
      <c r="A796" s="74" t="n"/>
      <c r="B796" s="74" t="n"/>
      <c r="C796" s="74" t="n"/>
      <c r="D796" s="74" t="n"/>
      <c r="E796" s="74" t="n"/>
      <c r="F796" s="74" t="n"/>
      <c r="G796" s="74" t="n"/>
      <c r="H796" s="74" t="n"/>
      <c r="I796" s="74" t="n"/>
      <c r="J796" s="74" t="n"/>
      <c r="K796" s="74" t="n"/>
      <c r="L796" s="74" t="n"/>
      <c r="M796" s="74" t="n"/>
      <c r="N796" s="74" t="n"/>
      <c r="O796" s="74" t="n"/>
      <c r="P796" s="74" t="n"/>
      <c r="Q796" s="74" t="n"/>
      <c r="R796" s="74" t="n"/>
      <c r="S796" s="74" t="n"/>
      <c r="T796" s="74" t="n"/>
      <c r="U796" s="74" t="n"/>
      <c r="V796" s="74" t="n"/>
      <c r="W796" s="74" t="n"/>
    </row>
    <row r="797">
      <c r="A797" s="74" t="n"/>
      <c r="B797" s="74" t="n"/>
      <c r="C797" s="74" t="n"/>
      <c r="D797" s="74" t="n"/>
      <c r="E797" s="74" t="n"/>
      <c r="F797" s="74" t="n"/>
      <c r="G797" s="74" t="n"/>
      <c r="H797" s="74" t="n"/>
      <c r="I797" s="74" t="n"/>
      <c r="J797" s="74" t="n"/>
      <c r="K797" s="74" t="n"/>
      <c r="L797" s="74" t="n"/>
      <c r="M797" s="74" t="n"/>
      <c r="N797" s="74" t="n"/>
      <c r="O797" s="74" t="n"/>
      <c r="P797" s="74" t="n"/>
      <c r="Q797" s="74" t="n"/>
      <c r="R797" s="74" t="n"/>
      <c r="S797" s="74" t="n"/>
      <c r="T797" s="74" t="n"/>
      <c r="U797" s="74" t="n"/>
      <c r="V797" s="74" t="n"/>
      <c r="W797" s="74" t="n"/>
    </row>
    <row r="798">
      <c r="A798" s="74" t="n"/>
      <c r="B798" s="74" t="n"/>
      <c r="C798" s="74" t="n"/>
      <c r="D798" s="74" t="n"/>
      <c r="E798" s="74" t="n"/>
      <c r="F798" s="74" t="n"/>
      <c r="G798" s="74" t="n"/>
      <c r="H798" s="74" t="n"/>
      <c r="I798" s="74" t="n"/>
      <c r="J798" s="74" t="n"/>
      <c r="K798" s="74" t="n"/>
      <c r="L798" s="74" t="n"/>
      <c r="M798" s="74" t="n"/>
      <c r="N798" s="74" t="n"/>
      <c r="O798" s="74" t="n"/>
      <c r="P798" s="74" t="n"/>
      <c r="Q798" s="74" t="n"/>
      <c r="R798" s="74" t="n"/>
      <c r="S798" s="74" t="n"/>
      <c r="T798" s="74" t="n"/>
      <c r="U798" s="74" t="n"/>
      <c r="V798" s="74" t="n"/>
      <c r="W798" s="74" t="n"/>
    </row>
    <row r="799">
      <c r="A799" s="74" t="n"/>
      <c r="B799" s="74" t="n"/>
      <c r="C799" s="74" t="n"/>
      <c r="D799" s="74" t="n"/>
      <c r="E799" s="74" t="n"/>
      <c r="F799" s="74" t="n"/>
      <c r="G799" s="74" t="n"/>
      <c r="H799" s="74" t="n"/>
      <c r="I799" s="74" t="n"/>
      <c r="J799" s="74" t="n"/>
      <c r="K799" s="74" t="n"/>
      <c r="L799" s="74" t="n"/>
      <c r="M799" s="74" t="n"/>
      <c r="N799" s="74" t="n"/>
      <c r="O799" s="74" t="n"/>
      <c r="P799" s="74" t="n"/>
      <c r="Q799" s="74" t="n"/>
      <c r="R799" s="74" t="n"/>
      <c r="S799" s="74" t="n"/>
      <c r="T799" s="74" t="n"/>
      <c r="U799" s="74" t="n"/>
      <c r="V799" s="74" t="n"/>
      <c r="W799" s="74" t="n"/>
    </row>
    <row r="800">
      <c r="A800" s="74" t="n"/>
      <c r="B800" s="74" t="n"/>
      <c r="C800" s="74" t="n"/>
      <c r="D800" s="74" t="n"/>
      <c r="E800" s="74" t="n"/>
      <c r="F800" s="74" t="n"/>
      <c r="G800" s="74" t="n"/>
      <c r="H800" s="74" t="n"/>
      <c r="I800" s="74" t="n"/>
      <c r="J800" s="74" t="n"/>
      <c r="K800" s="74" t="n"/>
      <c r="L800" s="74" t="n"/>
      <c r="M800" s="74" t="n"/>
      <c r="N800" s="74" t="n"/>
      <c r="O800" s="74" t="n"/>
      <c r="P800" s="74" t="n"/>
      <c r="Q800" s="74" t="n"/>
      <c r="R800" s="74" t="n"/>
      <c r="S800" s="74" t="n"/>
      <c r="T800" s="74" t="n"/>
      <c r="U800" s="74" t="n"/>
      <c r="V800" s="74" t="n"/>
      <c r="W800" s="74" t="n"/>
    </row>
    <row r="801">
      <c r="A801" s="74" t="n"/>
      <c r="B801" s="74" t="n"/>
      <c r="C801" s="74" t="n"/>
      <c r="D801" s="74" t="n"/>
      <c r="E801" s="74" t="n"/>
      <c r="F801" s="74" t="n"/>
      <c r="G801" s="74" t="n"/>
      <c r="H801" s="74" t="n"/>
      <c r="I801" s="74" t="n"/>
      <c r="J801" s="74" t="n"/>
      <c r="K801" s="74" t="n"/>
      <c r="L801" s="74" t="n"/>
      <c r="M801" s="74" t="n"/>
      <c r="N801" s="74" t="n"/>
      <c r="O801" s="74" t="n"/>
      <c r="P801" s="74" t="n"/>
      <c r="Q801" s="74" t="n"/>
      <c r="R801" s="74" t="n"/>
      <c r="S801" s="74" t="n"/>
      <c r="T801" s="74" t="n"/>
      <c r="U801" s="74" t="n"/>
      <c r="V801" s="74" t="n"/>
      <c r="W801" s="74" t="n"/>
    </row>
    <row r="802">
      <c r="A802" s="74" t="n"/>
      <c r="B802" s="74" t="n"/>
      <c r="C802" s="74" t="n"/>
      <c r="D802" s="74" t="n"/>
      <c r="E802" s="74" t="n"/>
      <c r="F802" s="74" t="n"/>
      <c r="G802" s="74" t="n"/>
      <c r="H802" s="74" t="n"/>
      <c r="I802" s="74" t="n"/>
      <c r="J802" s="74" t="n"/>
      <c r="K802" s="74" t="n"/>
      <c r="L802" s="74" t="n"/>
      <c r="M802" s="74" t="n"/>
      <c r="N802" s="74" t="n"/>
      <c r="O802" s="74" t="n"/>
      <c r="P802" s="74" t="n"/>
      <c r="Q802" s="74" t="n"/>
      <c r="R802" s="74" t="n"/>
      <c r="S802" s="74" t="n"/>
      <c r="T802" s="74" t="n"/>
      <c r="U802" s="74" t="n"/>
      <c r="V802" s="74" t="n"/>
      <c r="W802" s="74" t="n"/>
    </row>
    <row r="803">
      <c r="A803" s="74" t="n"/>
      <c r="B803" s="74" t="n"/>
      <c r="C803" s="74" t="n"/>
      <c r="D803" s="74" t="n"/>
      <c r="E803" s="74" t="n"/>
      <c r="F803" s="74" t="n"/>
      <c r="G803" s="74" t="n"/>
      <c r="H803" s="74" t="n"/>
      <c r="I803" s="74" t="n"/>
      <c r="J803" s="74" t="n"/>
      <c r="K803" s="74" t="n"/>
      <c r="L803" s="74" t="n"/>
      <c r="M803" s="74" t="n"/>
      <c r="N803" s="74" t="n"/>
      <c r="O803" s="74" t="n"/>
      <c r="P803" s="74" t="n"/>
      <c r="Q803" s="74" t="n"/>
      <c r="R803" s="74" t="n"/>
      <c r="S803" s="74" t="n"/>
      <c r="T803" s="74" t="n"/>
      <c r="U803" s="74" t="n"/>
      <c r="V803" s="74" t="n"/>
      <c r="W803" s="74" t="n"/>
    </row>
    <row r="804">
      <c r="A804" s="74" t="n"/>
      <c r="B804" s="74" t="n"/>
      <c r="C804" s="74" t="n"/>
      <c r="D804" s="74" t="n"/>
      <c r="E804" s="74" t="n"/>
      <c r="F804" s="74" t="n"/>
      <c r="G804" s="74" t="n"/>
      <c r="H804" s="74" t="n"/>
      <c r="I804" s="74" t="n"/>
      <c r="J804" s="74" t="n"/>
      <c r="K804" s="74" t="n"/>
      <c r="L804" s="74" t="n"/>
      <c r="M804" s="74" t="n"/>
      <c r="N804" s="74" t="n"/>
      <c r="O804" s="74" t="n"/>
      <c r="P804" s="74" t="n"/>
      <c r="Q804" s="74" t="n"/>
      <c r="R804" s="74" t="n"/>
      <c r="S804" s="74" t="n"/>
      <c r="T804" s="74" t="n"/>
      <c r="U804" s="74" t="n"/>
      <c r="V804" s="74" t="n"/>
      <c r="W804" s="74" t="n"/>
    </row>
    <row r="805">
      <c r="A805" s="74" t="n"/>
      <c r="B805" s="74" t="n"/>
      <c r="C805" s="74" t="n"/>
      <c r="D805" s="74" t="n"/>
      <c r="E805" s="74" t="n"/>
      <c r="F805" s="74" t="n"/>
      <c r="G805" s="74" t="n"/>
      <c r="H805" s="74" t="n"/>
      <c r="I805" s="74" t="n"/>
      <c r="J805" s="74" t="n"/>
      <c r="K805" s="74" t="n"/>
      <c r="L805" s="74" t="n"/>
      <c r="M805" s="74" t="n"/>
      <c r="N805" s="74" t="n"/>
      <c r="O805" s="74" t="n"/>
      <c r="P805" s="74" t="n"/>
      <c r="Q805" s="74" t="n"/>
      <c r="R805" s="74" t="n"/>
      <c r="S805" s="74" t="n"/>
      <c r="T805" s="74" t="n"/>
      <c r="U805" s="74" t="n"/>
      <c r="V805" s="74" t="n"/>
      <c r="W805" s="74" t="n"/>
    </row>
    <row r="806">
      <c r="A806" s="74" t="n"/>
      <c r="B806" s="74" t="n"/>
      <c r="C806" s="74" t="n"/>
      <c r="D806" s="74" t="n"/>
      <c r="E806" s="74" t="n"/>
      <c r="F806" s="74" t="n"/>
      <c r="G806" s="74" t="n"/>
      <c r="H806" s="74" t="n"/>
      <c r="I806" s="74" t="n"/>
      <c r="J806" s="74" t="n"/>
      <c r="K806" s="74" t="n"/>
      <c r="L806" s="74" t="n"/>
      <c r="M806" s="74" t="n"/>
      <c r="N806" s="74" t="n"/>
      <c r="O806" s="74" t="n"/>
      <c r="P806" s="74" t="n"/>
      <c r="Q806" s="74" t="n"/>
      <c r="R806" s="74" t="n"/>
      <c r="S806" s="74" t="n"/>
      <c r="T806" s="74" t="n"/>
      <c r="U806" s="74" t="n"/>
      <c r="V806" s="74" t="n"/>
      <c r="W806" s="74" t="n"/>
    </row>
    <row r="807">
      <c r="A807" s="74" t="n"/>
      <c r="B807" s="74" t="n"/>
      <c r="C807" s="74" t="n"/>
      <c r="D807" s="74" t="n"/>
      <c r="E807" s="74" t="n"/>
      <c r="F807" s="74" t="n"/>
      <c r="G807" s="74" t="n"/>
      <c r="H807" s="74" t="n"/>
      <c r="I807" s="74" t="n"/>
      <c r="J807" s="74" t="n"/>
      <c r="K807" s="74" t="n"/>
      <c r="L807" s="74" t="n"/>
      <c r="M807" s="74" t="n"/>
      <c r="N807" s="74" t="n"/>
      <c r="O807" s="74" t="n"/>
      <c r="P807" s="74" t="n"/>
      <c r="Q807" s="74" t="n"/>
      <c r="R807" s="74" t="n"/>
      <c r="S807" s="74" t="n"/>
      <c r="T807" s="74" t="n"/>
      <c r="U807" s="74" t="n"/>
      <c r="V807" s="74" t="n"/>
      <c r="W807" s="74" t="n"/>
    </row>
    <row r="808">
      <c r="A808" s="74" t="n"/>
      <c r="B808" s="74" t="n"/>
      <c r="C808" s="74" t="n"/>
      <c r="D808" s="74" t="n"/>
      <c r="E808" s="74" t="n"/>
      <c r="F808" s="74" t="n"/>
      <c r="G808" s="74" t="n"/>
      <c r="H808" s="74" t="n"/>
      <c r="I808" s="74" t="n"/>
      <c r="J808" s="74" t="n"/>
      <c r="K808" s="74" t="n"/>
      <c r="L808" s="74" t="n"/>
      <c r="M808" s="74" t="n"/>
      <c r="N808" s="74" t="n"/>
      <c r="O808" s="74" t="n"/>
      <c r="P808" s="74" t="n"/>
      <c r="Q808" s="74" t="n"/>
      <c r="R808" s="74" t="n"/>
      <c r="S808" s="74" t="n"/>
      <c r="T808" s="74" t="n"/>
      <c r="U808" s="74" t="n"/>
      <c r="V808" s="74" t="n"/>
      <c r="W808" s="74" t="n"/>
    </row>
    <row r="809">
      <c r="A809" s="74" t="n"/>
      <c r="B809" s="74" t="n"/>
      <c r="C809" s="74" t="n"/>
      <c r="D809" s="74" t="n"/>
      <c r="E809" s="74" t="n"/>
      <c r="F809" s="74" t="n"/>
      <c r="G809" s="74" t="n"/>
      <c r="H809" s="74" t="n"/>
      <c r="I809" s="74" t="n"/>
      <c r="J809" s="74" t="n"/>
      <c r="K809" s="74" t="n"/>
      <c r="L809" s="74" t="n"/>
      <c r="M809" s="74" t="n"/>
      <c r="N809" s="74" t="n"/>
      <c r="O809" s="74" t="n"/>
      <c r="P809" s="74" t="n"/>
      <c r="Q809" s="74" t="n"/>
      <c r="R809" s="74" t="n"/>
      <c r="S809" s="74" t="n"/>
      <c r="T809" s="74" t="n"/>
      <c r="U809" s="74" t="n"/>
      <c r="V809" s="74" t="n"/>
      <c r="W809" s="74" t="n"/>
    </row>
    <row r="810">
      <c r="A810" s="74" t="n"/>
      <c r="B810" s="74" t="n"/>
      <c r="C810" s="74" t="n"/>
      <c r="D810" s="74" t="n"/>
      <c r="E810" s="74" t="n"/>
      <c r="F810" s="74" t="n"/>
      <c r="G810" s="74" t="n"/>
      <c r="H810" s="74" t="n"/>
      <c r="I810" s="74" t="n"/>
      <c r="J810" s="74" t="n"/>
      <c r="K810" s="74" t="n"/>
      <c r="L810" s="74" t="n"/>
      <c r="M810" s="74" t="n"/>
      <c r="N810" s="74" t="n"/>
      <c r="O810" s="74" t="n"/>
      <c r="P810" s="74" t="n"/>
      <c r="Q810" s="74" t="n"/>
      <c r="R810" s="74" t="n"/>
      <c r="S810" s="74" t="n"/>
      <c r="T810" s="74" t="n"/>
      <c r="U810" s="74" t="n"/>
      <c r="V810" s="74" t="n"/>
      <c r="W810" s="74" t="n"/>
    </row>
    <row r="811">
      <c r="A811" s="74" t="n"/>
      <c r="B811" s="74" t="n"/>
      <c r="C811" s="74" t="n"/>
      <c r="D811" s="74" t="n"/>
      <c r="E811" s="74" t="n"/>
      <c r="F811" s="74" t="n"/>
      <c r="G811" s="74" t="n"/>
      <c r="H811" s="74" t="n"/>
      <c r="I811" s="74" t="n"/>
      <c r="J811" s="74" t="n"/>
      <c r="K811" s="74" t="n"/>
      <c r="L811" s="74" t="n"/>
      <c r="M811" s="74" t="n"/>
      <c r="N811" s="74" t="n"/>
      <c r="O811" s="74" t="n"/>
      <c r="P811" s="74" t="n"/>
      <c r="Q811" s="74" t="n"/>
      <c r="R811" s="74" t="n"/>
      <c r="S811" s="74" t="n"/>
      <c r="T811" s="74" t="n"/>
      <c r="U811" s="74" t="n"/>
      <c r="V811" s="74" t="n"/>
      <c r="W811" s="74" t="n"/>
    </row>
    <row r="812">
      <c r="A812" s="74" t="n"/>
      <c r="B812" s="74" t="n"/>
      <c r="C812" s="74" t="n"/>
      <c r="D812" s="74" t="n"/>
      <c r="E812" s="74" t="n"/>
      <c r="F812" s="74" t="n"/>
      <c r="G812" s="74" t="n"/>
      <c r="H812" s="74" t="n"/>
      <c r="I812" s="74" t="n"/>
      <c r="J812" s="74" t="n"/>
      <c r="K812" s="74" t="n"/>
      <c r="L812" s="74" t="n"/>
      <c r="M812" s="74" t="n"/>
      <c r="N812" s="74" t="n"/>
      <c r="O812" s="74" t="n"/>
      <c r="P812" s="74" t="n"/>
      <c r="Q812" s="74" t="n"/>
      <c r="R812" s="74" t="n"/>
      <c r="S812" s="74" t="n"/>
      <c r="T812" s="74" t="n"/>
      <c r="U812" s="74" t="n"/>
      <c r="V812" s="74" t="n"/>
      <c r="W812" s="74" t="n"/>
    </row>
    <row r="813">
      <c r="A813" s="74" t="n"/>
      <c r="B813" s="74" t="n"/>
      <c r="C813" s="74" t="n"/>
      <c r="D813" s="74" t="n"/>
      <c r="E813" s="74" t="n"/>
      <c r="F813" s="74" t="n"/>
      <c r="G813" s="74" t="n"/>
      <c r="H813" s="74" t="n"/>
      <c r="I813" s="74" t="n"/>
      <c r="J813" s="74" t="n"/>
      <c r="K813" s="74" t="n"/>
      <c r="L813" s="74" t="n"/>
      <c r="M813" s="74" t="n"/>
      <c r="N813" s="74" t="n"/>
      <c r="O813" s="74" t="n"/>
      <c r="P813" s="74" t="n"/>
      <c r="Q813" s="74" t="n"/>
      <c r="R813" s="74" t="n"/>
      <c r="S813" s="74" t="n"/>
      <c r="T813" s="74" t="n"/>
      <c r="U813" s="74" t="n"/>
      <c r="V813" s="74" t="n"/>
      <c r="W813" s="74" t="n"/>
    </row>
    <row r="814">
      <c r="A814" s="74" t="n"/>
      <c r="B814" s="74" t="n"/>
      <c r="C814" s="74" t="n"/>
      <c r="D814" s="74" t="n"/>
      <c r="E814" s="74" t="n"/>
      <c r="F814" s="74" t="n"/>
      <c r="G814" s="74" t="n"/>
      <c r="H814" s="74" t="n"/>
      <c r="I814" s="74" t="n"/>
      <c r="J814" s="74" t="n"/>
      <c r="K814" s="74" t="n"/>
      <c r="L814" s="74" t="n"/>
      <c r="M814" s="74" t="n"/>
      <c r="N814" s="74" t="n"/>
      <c r="O814" s="74" t="n"/>
      <c r="P814" s="74" t="n"/>
      <c r="Q814" s="74" t="n"/>
      <c r="R814" s="74" t="n"/>
      <c r="S814" s="74" t="n"/>
      <c r="T814" s="74" t="n"/>
      <c r="U814" s="74" t="n"/>
      <c r="V814" s="74" t="n"/>
      <c r="W814" s="74" t="n"/>
    </row>
    <row r="815">
      <c r="A815" s="74" t="n"/>
      <c r="B815" s="74" t="n"/>
      <c r="C815" s="74" t="n"/>
      <c r="D815" s="74" t="n"/>
      <c r="E815" s="74" t="n"/>
      <c r="F815" s="74" t="n"/>
      <c r="G815" s="74" t="n"/>
      <c r="H815" s="74" t="n"/>
      <c r="I815" s="74" t="n"/>
      <c r="J815" s="74" t="n"/>
      <c r="K815" s="74" t="n"/>
      <c r="L815" s="74" t="n"/>
      <c r="M815" s="74" t="n"/>
      <c r="N815" s="74" t="n"/>
      <c r="O815" s="74" t="n"/>
      <c r="P815" s="74" t="n"/>
      <c r="Q815" s="74" t="n"/>
      <c r="R815" s="74" t="n"/>
      <c r="S815" s="74" t="n"/>
      <c r="T815" s="74" t="n"/>
      <c r="U815" s="74" t="n"/>
      <c r="V815" s="74" t="n"/>
      <c r="W815" s="74" t="n"/>
    </row>
    <row r="816">
      <c r="A816" s="74" t="n"/>
      <c r="B816" s="74" t="n"/>
      <c r="C816" s="74" t="n"/>
      <c r="D816" s="74" t="n"/>
      <c r="E816" s="74" t="n"/>
      <c r="F816" s="74" t="n"/>
      <c r="G816" s="74" t="n"/>
      <c r="H816" s="74" t="n"/>
      <c r="I816" s="74" t="n"/>
      <c r="J816" s="74" t="n"/>
      <c r="K816" s="74" t="n"/>
      <c r="L816" s="74" t="n"/>
      <c r="M816" s="74" t="n"/>
      <c r="N816" s="74" t="n"/>
      <c r="O816" s="74" t="n"/>
      <c r="P816" s="74" t="n"/>
      <c r="Q816" s="74" t="n"/>
      <c r="R816" s="74" t="n"/>
      <c r="S816" s="74" t="n"/>
      <c r="T816" s="74" t="n"/>
      <c r="U816" s="74" t="n"/>
      <c r="V816" s="74" t="n"/>
      <c r="W816" s="74" t="n"/>
    </row>
    <row r="817">
      <c r="A817" s="74" t="n"/>
      <c r="B817" s="74" t="n"/>
      <c r="C817" s="74" t="n"/>
      <c r="D817" s="74" t="n"/>
      <c r="E817" s="74" t="n"/>
      <c r="F817" s="74" t="n"/>
      <c r="G817" s="74" t="n"/>
      <c r="H817" s="74" t="n"/>
      <c r="I817" s="74" t="n"/>
      <c r="J817" s="74" t="n"/>
      <c r="K817" s="74" t="n"/>
      <c r="L817" s="74" t="n"/>
      <c r="M817" s="74" t="n"/>
      <c r="N817" s="74" t="n"/>
      <c r="O817" s="74" t="n"/>
      <c r="P817" s="74" t="n"/>
      <c r="Q817" s="74" t="n"/>
      <c r="R817" s="74" t="n"/>
      <c r="S817" s="74" t="n"/>
      <c r="T817" s="74" t="n"/>
      <c r="U817" s="74" t="n"/>
      <c r="V817" s="74" t="n"/>
      <c r="W817" s="74" t="n"/>
    </row>
    <row r="818">
      <c r="A818" s="74" t="n"/>
      <c r="B818" s="74" t="n"/>
      <c r="C818" s="74" t="n"/>
      <c r="D818" s="74" t="n"/>
      <c r="E818" s="74" t="n"/>
      <c r="F818" s="74" t="n"/>
      <c r="G818" s="74" t="n"/>
      <c r="H818" s="74" t="n"/>
      <c r="I818" s="74" t="n"/>
      <c r="J818" s="74" t="n"/>
      <c r="K818" s="74" t="n"/>
      <c r="L818" s="74" t="n"/>
      <c r="M818" s="74" t="n"/>
      <c r="N818" s="74" t="n"/>
      <c r="O818" s="74" t="n"/>
      <c r="P818" s="74" t="n"/>
      <c r="Q818" s="74" t="n"/>
      <c r="R818" s="74" t="n"/>
      <c r="S818" s="74" t="n"/>
      <c r="T818" s="74" t="n"/>
      <c r="U818" s="74" t="n"/>
      <c r="V818" s="74" t="n"/>
      <c r="W818" s="74" t="n"/>
    </row>
    <row r="819">
      <c r="A819" s="74" t="n"/>
      <c r="B819" s="74" t="n"/>
      <c r="C819" s="74" t="n"/>
      <c r="D819" s="74" t="n"/>
      <c r="E819" s="74" t="n"/>
      <c r="F819" s="74" t="n"/>
      <c r="G819" s="74" t="n"/>
      <c r="H819" s="74" t="n"/>
      <c r="I819" s="74" t="n"/>
      <c r="J819" s="74" t="n"/>
      <c r="K819" s="74" t="n"/>
      <c r="L819" s="74" t="n"/>
      <c r="M819" s="74" t="n"/>
      <c r="N819" s="74" t="n"/>
      <c r="O819" s="74" t="n"/>
      <c r="P819" s="74" t="n"/>
      <c r="Q819" s="74" t="n"/>
      <c r="R819" s="74" t="n"/>
      <c r="S819" s="74" t="n"/>
      <c r="T819" s="74" t="n"/>
      <c r="U819" s="74" t="n"/>
      <c r="V819" s="74" t="n"/>
      <c r="W819" s="74" t="n"/>
    </row>
    <row r="820">
      <c r="A820" s="74" t="n"/>
      <c r="B820" s="74" t="n"/>
      <c r="C820" s="74" t="n"/>
      <c r="D820" s="74" t="n"/>
      <c r="E820" s="74" t="n"/>
      <c r="F820" s="74" t="n"/>
      <c r="G820" s="74" t="n"/>
      <c r="H820" s="74" t="n"/>
      <c r="I820" s="74" t="n"/>
      <c r="J820" s="74" t="n"/>
      <c r="K820" s="74" t="n"/>
      <c r="L820" s="74" t="n"/>
      <c r="M820" s="74" t="n"/>
      <c r="N820" s="74" t="n"/>
      <c r="O820" s="74" t="n"/>
      <c r="P820" s="74" t="n"/>
      <c r="Q820" s="74" t="n"/>
      <c r="R820" s="74" t="n"/>
      <c r="S820" s="74" t="n"/>
      <c r="T820" s="74" t="n"/>
      <c r="U820" s="74" t="n"/>
      <c r="V820" s="74" t="n"/>
      <c r="W820" s="74" t="n"/>
    </row>
    <row r="821">
      <c r="A821" s="74" t="n"/>
      <c r="B821" s="74" t="n"/>
      <c r="C821" s="74" t="n"/>
      <c r="D821" s="74" t="n"/>
      <c r="E821" s="74" t="n"/>
      <c r="F821" s="74" t="n"/>
      <c r="G821" s="74" t="n"/>
      <c r="H821" s="74" t="n"/>
      <c r="I821" s="74" t="n"/>
      <c r="J821" s="74" t="n"/>
      <c r="K821" s="74" t="n"/>
      <c r="L821" s="74" t="n"/>
      <c r="M821" s="74" t="n"/>
      <c r="N821" s="74" t="n"/>
      <c r="O821" s="74" t="n"/>
      <c r="P821" s="74" t="n"/>
      <c r="Q821" s="74" t="n"/>
      <c r="R821" s="74" t="n"/>
      <c r="S821" s="74" t="n"/>
      <c r="T821" s="74" t="n"/>
      <c r="U821" s="74" t="n"/>
      <c r="V821" s="74" t="n"/>
      <c r="W821" s="74" t="n"/>
    </row>
    <row r="822">
      <c r="A822" s="74" t="n"/>
      <c r="B822" s="74" t="n"/>
      <c r="C822" s="74" t="n"/>
      <c r="D822" s="74" t="n"/>
      <c r="E822" s="74" t="n"/>
      <c r="F822" s="74" t="n"/>
      <c r="G822" s="74" t="n"/>
      <c r="H822" s="74" t="n"/>
      <c r="I822" s="74" t="n"/>
      <c r="J822" s="74" t="n"/>
      <c r="K822" s="74" t="n"/>
      <c r="L822" s="74" t="n"/>
      <c r="M822" s="74" t="n"/>
      <c r="N822" s="74" t="n"/>
      <c r="O822" s="74" t="n"/>
      <c r="P822" s="74" t="n"/>
      <c r="Q822" s="74" t="n"/>
      <c r="R822" s="74" t="n"/>
      <c r="S822" s="74" t="n"/>
      <c r="T822" s="74" t="n"/>
      <c r="U822" s="74" t="n"/>
      <c r="V822" s="74" t="n"/>
      <c r="W822" s="74" t="n"/>
    </row>
    <row r="823">
      <c r="A823" s="74" t="n"/>
      <c r="B823" s="74" t="n"/>
      <c r="C823" s="74" t="n"/>
      <c r="D823" s="74" t="n"/>
      <c r="E823" s="74" t="n"/>
      <c r="F823" s="74" t="n"/>
      <c r="G823" s="74" t="n"/>
      <c r="H823" s="74" t="n"/>
      <c r="I823" s="74" t="n"/>
      <c r="J823" s="74" t="n"/>
      <c r="K823" s="74" t="n"/>
      <c r="L823" s="74" t="n"/>
      <c r="M823" s="74" t="n"/>
      <c r="N823" s="74" t="n"/>
      <c r="O823" s="74" t="n"/>
      <c r="P823" s="74" t="n"/>
      <c r="Q823" s="74" t="n"/>
      <c r="R823" s="74" t="n"/>
      <c r="S823" s="74" t="n"/>
      <c r="T823" s="74" t="n"/>
      <c r="U823" s="74" t="n"/>
      <c r="V823" s="74" t="n"/>
      <c r="W823" s="74" t="n"/>
    </row>
    <row r="824">
      <c r="A824" s="74" t="n"/>
      <c r="B824" s="74" t="n"/>
      <c r="C824" s="74" t="n"/>
      <c r="D824" s="74" t="n"/>
      <c r="E824" s="74" t="n"/>
      <c r="F824" s="74" t="n"/>
      <c r="G824" s="74" t="n"/>
      <c r="H824" s="74" t="n"/>
      <c r="I824" s="74" t="n"/>
      <c r="J824" s="74" t="n"/>
      <c r="K824" s="74" t="n"/>
      <c r="L824" s="74" t="n"/>
      <c r="M824" s="74" t="n"/>
      <c r="N824" s="74" t="n"/>
      <c r="O824" s="74" t="n"/>
      <c r="P824" s="74" t="n"/>
      <c r="Q824" s="74" t="n"/>
      <c r="R824" s="74" t="n"/>
      <c r="S824" s="74" t="n"/>
      <c r="T824" s="74" t="n"/>
      <c r="U824" s="74" t="n"/>
      <c r="V824" s="74" t="n"/>
      <c r="W824" s="74" t="n"/>
    </row>
    <row r="825">
      <c r="A825" s="74" t="n"/>
      <c r="B825" s="74" t="n"/>
      <c r="C825" s="74" t="n"/>
      <c r="D825" s="74" t="n"/>
      <c r="E825" s="74" t="n"/>
      <c r="F825" s="74" t="n"/>
      <c r="G825" s="74" t="n"/>
      <c r="H825" s="74" t="n"/>
      <c r="I825" s="74" t="n"/>
      <c r="J825" s="74" t="n"/>
      <c r="K825" s="74" t="n"/>
      <c r="L825" s="74" t="n"/>
      <c r="M825" s="74" t="n"/>
      <c r="N825" s="74" t="n"/>
      <c r="O825" s="74" t="n"/>
      <c r="P825" s="74" t="n"/>
      <c r="Q825" s="74" t="n"/>
      <c r="R825" s="74" t="n"/>
      <c r="S825" s="74" t="n"/>
      <c r="T825" s="74" t="n"/>
      <c r="U825" s="74" t="n"/>
      <c r="V825" s="74" t="n"/>
      <c r="W825" s="74" t="n"/>
    </row>
    <row r="826">
      <c r="A826" s="74" t="n"/>
      <c r="B826" s="74" t="n"/>
      <c r="C826" s="74" t="n"/>
      <c r="D826" s="74" t="n"/>
      <c r="E826" s="74" t="n"/>
      <c r="F826" s="74" t="n"/>
      <c r="G826" s="74" t="n"/>
      <c r="H826" s="74" t="n"/>
      <c r="I826" s="74" t="n"/>
      <c r="J826" s="74" t="n"/>
      <c r="K826" s="74" t="n"/>
      <c r="L826" s="74" t="n"/>
      <c r="M826" s="74" t="n"/>
      <c r="N826" s="74" t="n"/>
      <c r="O826" s="74" t="n"/>
      <c r="P826" s="74" t="n"/>
      <c r="Q826" s="74" t="n"/>
      <c r="R826" s="74" t="n"/>
      <c r="S826" s="74" t="n"/>
      <c r="T826" s="74" t="n"/>
      <c r="U826" s="74" t="n"/>
      <c r="V826" s="74" t="n"/>
      <c r="W826" s="74" t="n"/>
    </row>
    <row r="827">
      <c r="A827" s="74" t="n"/>
      <c r="B827" s="74" t="n"/>
      <c r="C827" s="74" t="n"/>
      <c r="D827" s="74" t="n"/>
      <c r="E827" s="74" t="n"/>
      <c r="F827" s="74" t="n"/>
      <c r="G827" s="74" t="n"/>
      <c r="H827" s="74" t="n"/>
      <c r="I827" s="74" t="n"/>
      <c r="J827" s="74" t="n"/>
      <c r="K827" s="74" t="n"/>
      <c r="L827" s="74" t="n"/>
      <c r="M827" s="74" t="n"/>
      <c r="N827" s="74" t="n"/>
      <c r="O827" s="74" t="n"/>
      <c r="P827" s="74" t="n"/>
      <c r="Q827" s="74" t="n"/>
      <c r="R827" s="74" t="n"/>
      <c r="S827" s="74" t="n"/>
      <c r="T827" s="74" t="n"/>
      <c r="U827" s="74" t="n"/>
      <c r="V827" s="74" t="n"/>
      <c r="W827" s="74" t="n"/>
    </row>
    <row r="828">
      <c r="A828" s="74" t="n"/>
      <c r="B828" s="74" t="n"/>
      <c r="C828" s="74" t="n"/>
      <c r="D828" s="74" t="n"/>
      <c r="E828" s="74" t="n"/>
      <c r="F828" s="74" t="n"/>
      <c r="G828" s="74" t="n"/>
      <c r="H828" s="74" t="n"/>
      <c r="I828" s="74" t="n"/>
      <c r="J828" s="74" t="n"/>
      <c r="K828" s="74" t="n"/>
      <c r="L828" s="74" t="n"/>
      <c r="M828" s="74" t="n"/>
      <c r="N828" s="74" t="n"/>
      <c r="O828" s="74" t="n"/>
      <c r="P828" s="74" t="n"/>
      <c r="Q828" s="74" t="n"/>
      <c r="R828" s="74" t="n"/>
      <c r="S828" s="74" t="n"/>
      <c r="T828" s="74" t="n"/>
      <c r="U828" s="74" t="n"/>
      <c r="V828" s="74" t="n"/>
      <c r="W828" s="74" t="n"/>
    </row>
    <row r="829">
      <c r="A829" s="74" t="n"/>
      <c r="B829" s="74" t="n"/>
      <c r="C829" s="74" t="n"/>
      <c r="D829" s="74" t="n"/>
      <c r="E829" s="74" t="n"/>
      <c r="F829" s="74" t="n"/>
      <c r="G829" s="74" t="n"/>
      <c r="H829" s="74" t="n"/>
      <c r="I829" s="74" t="n"/>
      <c r="J829" s="74" t="n"/>
      <c r="K829" s="74" t="n"/>
      <c r="L829" s="74" t="n"/>
      <c r="M829" s="74" t="n"/>
      <c r="N829" s="74" t="n"/>
      <c r="O829" s="74" t="n"/>
      <c r="P829" s="74" t="n"/>
      <c r="Q829" s="74" t="n"/>
      <c r="R829" s="74" t="n"/>
      <c r="S829" s="74" t="n"/>
      <c r="T829" s="74" t="n"/>
      <c r="U829" s="74" t="n"/>
      <c r="V829" s="74" t="n"/>
      <c r="W829" s="74" t="n"/>
    </row>
    <row r="830">
      <c r="A830" s="74" t="n"/>
      <c r="B830" s="74" t="n"/>
      <c r="C830" s="74" t="n"/>
      <c r="D830" s="74" t="n"/>
      <c r="E830" s="74" t="n"/>
      <c r="F830" s="74" t="n"/>
      <c r="G830" s="74" t="n"/>
      <c r="H830" s="74" t="n"/>
      <c r="I830" s="74" t="n"/>
      <c r="J830" s="74" t="n"/>
      <c r="K830" s="74" t="n"/>
      <c r="L830" s="74" t="n"/>
      <c r="M830" s="74" t="n"/>
      <c r="N830" s="74" t="n"/>
      <c r="O830" s="74" t="n"/>
      <c r="P830" s="74" t="n"/>
      <c r="Q830" s="74" t="n"/>
      <c r="R830" s="74" t="n"/>
      <c r="S830" s="74" t="n"/>
      <c r="T830" s="74" t="n"/>
      <c r="U830" s="74" t="n"/>
      <c r="V830" s="74" t="n"/>
      <c r="W830" s="74" t="n"/>
    </row>
    <row r="831">
      <c r="A831" s="74" t="n"/>
      <c r="B831" s="74" t="n"/>
      <c r="C831" s="74" t="n"/>
      <c r="D831" s="74" t="n"/>
      <c r="E831" s="74" t="n"/>
      <c r="F831" s="74" t="n"/>
      <c r="G831" s="74" t="n"/>
      <c r="H831" s="74" t="n"/>
      <c r="I831" s="74" t="n"/>
      <c r="J831" s="74" t="n"/>
      <c r="K831" s="74" t="n"/>
      <c r="L831" s="74" t="n"/>
      <c r="M831" s="74" t="n"/>
      <c r="N831" s="74" t="n"/>
      <c r="O831" s="74" t="n"/>
      <c r="P831" s="74" t="n"/>
      <c r="Q831" s="74" t="n"/>
      <c r="R831" s="74" t="n"/>
      <c r="S831" s="74" t="n"/>
      <c r="T831" s="74" t="n"/>
      <c r="U831" s="74" t="n"/>
      <c r="V831" s="74" t="n"/>
      <c r="W831" s="74" t="n"/>
    </row>
    <row r="832">
      <c r="A832" s="74" t="n"/>
      <c r="B832" s="74" t="n"/>
      <c r="C832" s="74" t="n"/>
      <c r="D832" s="74" t="n"/>
      <c r="E832" s="74" t="n"/>
      <c r="F832" s="74" t="n"/>
      <c r="G832" s="74" t="n"/>
      <c r="H832" s="74" t="n"/>
      <c r="I832" s="74" t="n"/>
      <c r="J832" s="74" t="n"/>
      <c r="K832" s="74" t="n"/>
      <c r="L832" s="74" t="n"/>
      <c r="M832" s="74" t="n"/>
      <c r="N832" s="74" t="n"/>
      <c r="O832" s="74" t="n"/>
      <c r="P832" s="74" t="n"/>
      <c r="Q832" s="74" t="n"/>
      <c r="R832" s="74" t="n"/>
      <c r="S832" s="74" t="n"/>
      <c r="T832" s="74" t="n"/>
      <c r="U832" s="74" t="n"/>
      <c r="V832" s="74" t="n"/>
      <c r="W832" s="74" t="n"/>
    </row>
    <row r="833">
      <c r="A833" s="74" t="n"/>
      <c r="B833" s="74" t="n"/>
      <c r="C833" s="74" t="n"/>
      <c r="D833" s="74" t="n"/>
      <c r="E833" s="74" t="n"/>
      <c r="F833" s="74" t="n"/>
      <c r="G833" s="74" t="n"/>
      <c r="H833" s="74" t="n"/>
      <c r="I833" s="74" t="n"/>
      <c r="J833" s="74" t="n"/>
      <c r="K833" s="74" t="n"/>
      <c r="L833" s="74" t="n"/>
      <c r="M833" s="74" t="n"/>
      <c r="N833" s="74" t="n"/>
      <c r="O833" s="74" t="n"/>
      <c r="P833" s="74" t="n"/>
      <c r="Q833" s="74" t="n"/>
      <c r="R833" s="74" t="n"/>
      <c r="S833" s="74" t="n"/>
      <c r="T833" s="74" t="n"/>
      <c r="U833" s="74" t="n"/>
      <c r="V833" s="74" t="n"/>
      <c r="W833" s="74" t="n"/>
    </row>
    <row r="834">
      <c r="A834" s="74" t="n"/>
      <c r="B834" s="74" t="n"/>
      <c r="C834" s="74" t="n"/>
      <c r="D834" s="74" t="n"/>
      <c r="E834" s="74" t="n"/>
      <c r="F834" s="74" t="n"/>
      <c r="G834" s="74" t="n"/>
      <c r="H834" s="74" t="n"/>
      <c r="I834" s="74" t="n"/>
      <c r="J834" s="74" t="n"/>
      <c r="K834" s="74" t="n"/>
      <c r="L834" s="74" t="n"/>
      <c r="M834" s="74" t="n"/>
      <c r="N834" s="74" t="n"/>
      <c r="O834" s="74" t="n"/>
      <c r="P834" s="74" t="n"/>
      <c r="Q834" s="74" t="n"/>
      <c r="R834" s="74" t="n"/>
      <c r="S834" s="74" t="n"/>
      <c r="T834" s="74" t="n"/>
      <c r="U834" s="74" t="n"/>
      <c r="V834" s="74" t="n"/>
      <c r="W834" s="74" t="n"/>
    </row>
    <row r="835">
      <c r="A835" s="74" t="n"/>
      <c r="B835" s="74" t="n"/>
      <c r="C835" s="74" t="n"/>
      <c r="D835" s="74" t="n"/>
      <c r="E835" s="74" t="n"/>
      <c r="F835" s="74" t="n"/>
      <c r="G835" s="74" t="n"/>
      <c r="H835" s="74" t="n"/>
      <c r="I835" s="74" t="n"/>
      <c r="J835" s="74" t="n"/>
      <c r="K835" s="74" t="n"/>
      <c r="L835" s="74" t="n"/>
      <c r="M835" s="74" t="n"/>
      <c r="N835" s="74" t="n"/>
      <c r="O835" s="74" t="n"/>
      <c r="P835" s="74" t="n"/>
      <c r="Q835" s="74" t="n"/>
      <c r="R835" s="74" t="n"/>
      <c r="S835" s="74" t="n"/>
      <c r="T835" s="74" t="n"/>
      <c r="U835" s="74" t="n"/>
      <c r="V835" s="74" t="n"/>
      <c r="W835" s="74" t="n"/>
    </row>
    <row r="836">
      <c r="A836" s="74" t="n"/>
      <c r="B836" s="74" t="n"/>
      <c r="C836" s="74" t="n"/>
      <c r="D836" s="74" t="n"/>
      <c r="E836" s="74" t="n"/>
      <c r="F836" s="74" t="n"/>
      <c r="G836" s="74" t="n"/>
      <c r="H836" s="74" t="n"/>
      <c r="I836" s="74" t="n"/>
      <c r="J836" s="74" t="n"/>
      <c r="K836" s="74" t="n"/>
      <c r="L836" s="74" t="n"/>
      <c r="M836" s="74" t="n"/>
      <c r="N836" s="74" t="n"/>
      <c r="O836" s="74" t="n"/>
      <c r="P836" s="74" t="n"/>
      <c r="Q836" s="74" t="n"/>
      <c r="R836" s="74" t="n"/>
      <c r="S836" s="74" t="n"/>
      <c r="T836" s="74" t="n"/>
      <c r="U836" s="74" t="n"/>
      <c r="V836" s="74" t="n"/>
      <c r="W836" s="74" t="n"/>
    </row>
    <row r="837">
      <c r="A837" s="74" t="n"/>
      <c r="B837" s="74" t="n"/>
      <c r="C837" s="74" t="n"/>
      <c r="D837" s="74" t="n"/>
      <c r="E837" s="74" t="n"/>
      <c r="F837" s="74" t="n"/>
      <c r="G837" s="74" t="n"/>
      <c r="H837" s="74" t="n"/>
      <c r="I837" s="74" t="n"/>
      <c r="J837" s="74" t="n"/>
      <c r="K837" s="74" t="n"/>
      <c r="L837" s="74" t="n"/>
      <c r="M837" s="74" t="n"/>
      <c r="N837" s="74" t="n"/>
      <c r="O837" s="74" t="n"/>
      <c r="P837" s="74" t="n"/>
      <c r="Q837" s="74" t="n"/>
      <c r="R837" s="74" t="n"/>
      <c r="S837" s="74" t="n"/>
      <c r="T837" s="74" t="n"/>
      <c r="U837" s="74" t="n"/>
      <c r="V837" s="74" t="n"/>
      <c r="W837" s="74" t="n"/>
    </row>
    <row r="838">
      <c r="A838" s="74" t="n"/>
      <c r="B838" s="74" t="n"/>
      <c r="C838" s="74" t="n"/>
      <c r="D838" s="74" t="n"/>
      <c r="E838" s="74" t="n"/>
      <c r="F838" s="74" t="n"/>
      <c r="G838" s="74" t="n"/>
      <c r="H838" s="74" t="n"/>
      <c r="I838" s="74" t="n"/>
      <c r="J838" s="74" t="n"/>
      <c r="K838" s="74" t="n"/>
      <c r="L838" s="74" t="n"/>
      <c r="M838" s="74" t="n"/>
      <c r="N838" s="74" t="n"/>
      <c r="O838" s="74" t="n"/>
      <c r="P838" s="74" t="n"/>
      <c r="Q838" s="74" t="n"/>
      <c r="R838" s="74" t="n"/>
      <c r="S838" s="74" t="n"/>
      <c r="T838" s="74" t="n"/>
      <c r="U838" s="74" t="n"/>
      <c r="V838" s="74" t="n"/>
      <c r="W838" s="74" t="n"/>
    </row>
    <row r="839">
      <c r="A839" s="74" t="n"/>
      <c r="B839" s="74" t="n"/>
      <c r="C839" s="74" t="n"/>
      <c r="D839" s="74" t="n"/>
      <c r="E839" s="74" t="n"/>
      <c r="F839" s="74" t="n"/>
      <c r="G839" s="74" t="n"/>
      <c r="H839" s="74" t="n"/>
      <c r="I839" s="74" t="n"/>
      <c r="J839" s="74" t="n"/>
      <c r="K839" s="74" t="n"/>
      <c r="L839" s="74" t="n"/>
      <c r="M839" s="74" t="n"/>
      <c r="N839" s="74" t="n"/>
      <c r="O839" s="74" t="n"/>
      <c r="P839" s="74" t="n"/>
      <c r="Q839" s="74" t="n"/>
      <c r="R839" s="74" t="n"/>
      <c r="S839" s="74" t="n"/>
      <c r="T839" s="74" t="n"/>
      <c r="U839" s="74" t="n"/>
      <c r="V839" s="74" t="n"/>
      <c r="W839" s="74" t="n"/>
    </row>
    <row r="840">
      <c r="A840" s="74" t="n"/>
      <c r="B840" s="74" t="n"/>
      <c r="C840" s="74" t="n"/>
      <c r="D840" s="74" t="n"/>
      <c r="E840" s="74" t="n"/>
      <c r="F840" s="74" t="n"/>
      <c r="G840" s="74" t="n"/>
      <c r="H840" s="74" t="n"/>
      <c r="I840" s="74" t="n"/>
      <c r="J840" s="74" t="n"/>
      <c r="K840" s="74" t="n"/>
      <c r="L840" s="74" t="n"/>
      <c r="M840" s="74" t="n"/>
      <c r="N840" s="74" t="n"/>
      <c r="O840" s="74" t="n"/>
      <c r="P840" s="74" t="n"/>
      <c r="Q840" s="74" t="n"/>
      <c r="R840" s="74" t="n"/>
      <c r="S840" s="74" t="n"/>
      <c r="T840" s="74" t="n"/>
      <c r="U840" s="74" t="n"/>
      <c r="V840" s="74" t="n"/>
      <c r="W840" s="74" t="n"/>
    </row>
    <row r="841">
      <c r="A841" s="74" t="n"/>
      <c r="B841" s="74" t="n"/>
      <c r="C841" s="74" t="n"/>
      <c r="D841" s="74" t="n"/>
      <c r="E841" s="74" t="n"/>
      <c r="F841" s="74" t="n"/>
      <c r="G841" s="74" t="n"/>
      <c r="H841" s="74" t="n"/>
      <c r="I841" s="74" t="n"/>
      <c r="J841" s="74" t="n"/>
      <c r="K841" s="74" t="n"/>
      <c r="L841" s="74" t="n"/>
      <c r="M841" s="74" t="n"/>
      <c r="N841" s="74" t="n"/>
      <c r="O841" s="74" t="n"/>
      <c r="P841" s="74" t="n"/>
      <c r="Q841" s="74" t="n"/>
      <c r="R841" s="74" t="n"/>
      <c r="S841" s="74" t="n"/>
      <c r="T841" s="74" t="n"/>
      <c r="U841" s="74" t="n"/>
      <c r="V841" s="74" t="n"/>
      <c r="W841" s="74" t="n"/>
    </row>
    <row r="842">
      <c r="A842" s="74" t="n"/>
      <c r="B842" s="74" t="n"/>
      <c r="C842" s="74" t="n"/>
      <c r="D842" s="74" t="n"/>
      <c r="E842" s="74" t="n"/>
      <c r="F842" s="74" t="n"/>
      <c r="G842" s="74" t="n"/>
      <c r="H842" s="74" t="n"/>
      <c r="I842" s="74" t="n"/>
      <c r="J842" s="74" t="n"/>
      <c r="K842" s="74" t="n"/>
      <c r="L842" s="74" t="n"/>
      <c r="M842" s="74" t="n"/>
      <c r="N842" s="74" t="n"/>
      <c r="O842" s="74" t="n"/>
      <c r="P842" s="74" t="n"/>
      <c r="Q842" s="74" t="n"/>
      <c r="R842" s="74" t="n"/>
      <c r="S842" s="74" t="n"/>
      <c r="T842" s="74" t="n"/>
      <c r="U842" s="74" t="n"/>
      <c r="V842" s="74" t="n"/>
      <c r="W842" s="74" t="n"/>
    </row>
    <row r="843">
      <c r="A843" s="74" t="n"/>
      <c r="B843" s="74" t="n"/>
      <c r="C843" s="74" t="n"/>
      <c r="D843" s="74" t="n"/>
      <c r="E843" s="74" t="n"/>
      <c r="F843" s="74" t="n"/>
      <c r="G843" s="74" t="n"/>
      <c r="H843" s="74" t="n"/>
      <c r="I843" s="74" t="n"/>
      <c r="J843" s="74" t="n"/>
      <c r="K843" s="74" t="n"/>
      <c r="L843" s="74" t="n"/>
      <c r="M843" s="74" t="n"/>
      <c r="N843" s="74" t="n"/>
      <c r="O843" s="74" t="n"/>
      <c r="P843" s="74" t="n"/>
      <c r="Q843" s="74" t="n"/>
      <c r="R843" s="74" t="n"/>
      <c r="S843" s="74" t="n"/>
      <c r="T843" s="74" t="n"/>
      <c r="U843" s="74" t="n"/>
      <c r="V843" s="74" t="n"/>
      <c r="W843" s="74" t="n"/>
    </row>
    <row r="844">
      <c r="A844" s="74" t="n"/>
      <c r="B844" s="74" t="n"/>
      <c r="C844" s="74" t="n"/>
      <c r="D844" s="74" t="n"/>
      <c r="E844" s="74" t="n"/>
      <c r="F844" s="74" t="n"/>
      <c r="G844" s="74" t="n"/>
      <c r="H844" s="74" t="n"/>
      <c r="I844" s="74" t="n"/>
      <c r="J844" s="74" t="n"/>
      <c r="K844" s="74" t="n"/>
      <c r="L844" s="74" t="n"/>
      <c r="M844" s="74" t="n"/>
      <c r="N844" s="74" t="n"/>
      <c r="O844" s="74" t="n"/>
      <c r="P844" s="74" t="n"/>
      <c r="Q844" s="74" t="n"/>
      <c r="R844" s="74" t="n"/>
      <c r="S844" s="74" t="n"/>
      <c r="T844" s="74" t="n"/>
      <c r="U844" s="74" t="n"/>
      <c r="V844" s="74" t="n"/>
      <c r="W844" s="74" t="n"/>
    </row>
    <row r="845">
      <c r="A845" s="74" t="n"/>
      <c r="B845" s="74" t="n"/>
      <c r="C845" s="74" t="n"/>
      <c r="D845" s="74" t="n"/>
      <c r="E845" s="74" t="n"/>
      <c r="F845" s="74" t="n"/>
      <c r="G845" s="74" t="n"/>
      <c r="H845" s="74" t="n"/>
      <c r="I845" s="74" t="n"/>
      <c r="J845" s="74" t="n"/>
      <c r="K845" s="74" t="n"/>
      <c r="L845" s="74" t="n"/>
      <c r="M845" s="74" t="n"/>
      <c r="N845" s="74" t="n"/>
      <c r="O845" s="74" t="n"/>
      <c r="P845" s="74" t="n"/>
      <c r="Q845" s="74" t="n"/>
      <c r="R845" s="74" t="n"/>
      <c r="S845" s="74" t="n"/>
      <c r="T845" s="74" t="n"/>
      <c r="U845" s="74" t="n"/>
      <c r="V845" s="74" t="n"/>
      <c r="W845" s="74" t="n"/>
    </row>
    <row r="846">
      <c r="A846" s="74" t="n"/>
      <c r="B846" s="74" t="n"/>
      <c r="C846" s="74" t="n"/>
      <c r="D846" s="74" t="n"/>
      <c r="E846" s="74" t="n"/>
      <c r="F846" s="74" t="n"/>
      <c r="G846" s="74" t="n"/>
      <c r="H846" s="74" t="n"/>
      <c r="I846" s="74" t="n"/>
      <c r="J846" s="74" t="n"/>
      <c r="K846" s="74" t="n"/>
      <c r="L846" s="74" t="n"/>
      <c r="M846" s="74" t="n"/>
      <c r="N846" s="74" t="n"/>
      <c r="O846" s="74" t="n"/>
      <c r="P846" s="74" t="n"/>
      <c r="Q846" s="74" t="n"/>
      <c r="R846" s="74" t="n"/>
      <c r="S846" s="74" t="n"/>
      <c r="T846" s="74" t="n"/>
      <c r="U846" s="74" t="n"/>
      <c r="V846" s="74" t="n"/>
      <c r="W846" s="74" t="n"/>
    </row>
    <row r="847">
      <c r="A847" s="74" t="n"/>
      <c r="B847" s="74" t="n"/>
      <c r="C847" s="74" t="n"/>
      <c r="D847" s="74" t="n"/>
      <c r="E847" s="74" t="n"/>
      <c r="F847" s="74" t="n"/>
      <c r="G847" s="74" t="n"/>
      <c r="H847" s="74" t="n"/>
      <c r="I847" s="74" t="n"/>
      <c r="J847" s="74" t="n"/>
      <c r="K847" s="74" t="n"/>
      <c r="L847" s="74" t="n"/>
      <c r="M847" s="74" t="n"/>
      <c r="N847" s="74" t="n"/>
      <c r="O847" s="74" t="n"/>
      <c r="P847" s="74" t="n"/>
      <c r="Q847" s="74" t="n"/>
      <c r="R847" s="74" t="n"/>
      <c r="S847" s="74" t="n"/>
      <c r="T847" s="74" t="n"/>
      <c r="U847" s="74" t="n"/>
      <c r="V847" s="74" t="n"/>
      <c r="W847" s="74" t="n"/>
    </row>
    <row r="848">
      <c r="A848" s="74" t="n"/>
      <c r="B848" s="74" t="n"/>
      <c r="C848" s="74" t="n"/>
      <c r="D848" s="74" t="n"/>
      <c r="E848" s="74" t="n"/>
      <c r="F848" s="74" t="n"/>
      <c r="G848" s="74" t="n"/>
      <c r="H848" s="74" t="n"/>
      <c r="I848" s="74" t="n"/>
      <c r="J848" s="74" t="n"/>
      <c r="K848" s="74" t="n"/>
      <c r="L848" s="74" t="n"/>
      <c r="M848" s="74" t="n"/>
      <c r="N848" s="74" t="n"/>
      <c r="O848" s="74" t="n"/>
      <c r="P848" s="74" t="n"/>
      <c r="Q848" s="74" t="n"/>
      <c r="R848" s="74" t="n"/>
      <c r="S848" s="74" t="n"/>
      <c r="T848" s="74" t="n"/>
      <c r="U848" s="74" t="n"/>
      <c r="V848" s="74" t="n"/>
      <c r="W848" s="74" t="n"/>
    </row>
    <row r="849">
      <c r="A849" s="74" t="n"/>
      <c r="B849" s="74" t="n"/>
      <c r="C849" s="74" t="n"/>
      <c r="D849" s="74" t="n"/>
      <c r="E849" s="74" t="n"/>
      <c r="F849" s="74" t="n"/>
      <c r="G849" s="74" t="n"/>
      <c r="H849" s="74" t="n"/>
      <c r="I849" s="74" t="n"/>
      <c r="J849" s="74" t="n"/>
      <c r="K849" s="74" t="n"/>
      <c r="L849" s="74" t="n"/>
      <c r="M849" s="74" t="n"/>
      <c r="N849" s="74" t="n"/>
      <c r="O849" s="74" t="n"/>
      <c r="P849" s="74" t="n"/>
      <c r="Q849" s="74" t="n"/>
      <c r="R849" s="74" t="n"/>
      <c r="S849" s="74" t="n"/>
      <c r="T849" s="74" t="n"/>
      <c r="U849" s="74" t="n"/>
      <c r="V849" s="74" t="n"/>
      <c r="W849" s="74" t="n"/>
    </row>
    <row r="850">
      <c r="A850" s="74" t="n"/>
      <c r="B850" s="74" t="n"/>
      <c r="C850" s="74" t="n"/>
      <c r="D850" s="74" t="n"/>
      <c r="E850" s="74" t="n"/>
      <c r="F850" s="74" t="n"/>
      <c r="G850" s="74" t="n"/>
      <c r="H850" s="74" t="n"/>
      <c r="I850" s="74" t="n"/>
      <c r="J850" s="74" t="n"/>
      <c r="K850" s="74" t="n"/>
      <c r="L850" s="74" t="n"/>
      <c r="M850" s="74" t="n"/>
      <c r="N850" s="74" t="n"/>
      <c r="O850" s="74" t="n"/>
      <c r="P850" s="74" t="n"/>
      <c r="Q850" s="74" t="n"/>
      <c r="R850" s="74" t="n"/>
      <c r="S850" s="74" t="n"/>
      <c r="T850" s="74" t="n"/>
      <c r="U850" s="74" t="n"/>
      <c r="V850" s="74" t="n"/>
      <c r="W850" s="74" t="n"/>
    </row>
    <row r="851">
      <c r="A851" s="74" t="n"/>
      <c r="B851" s="74" t="n"/>
      <c r="C851" s="74" t="n"/>
      <c r="D851" s="74" t="n"/>
      <c r="E851" s="74" t="n"/>
      <c r="F851" s="74" t="n"/>
      <c r="G851" s="74" t="n"/>
      <c r="H851" s="74" t="n"/>
      <c r="I851" s="74" t="n"/>
      <c r="J851" s="74" t="n"/>
      <c r="K851" s="74" t="n"/>
      <c r="L851" s="74" t="n"/>
      <c r="M851" s="74" t="n"/>
      <c r="N851" s="74" t="n"/>
      <c r="O851" s="74" t="n"/>
      <c r="P851" s="74" t="n"/>
      <c r="Q851" s="74" t="n"/>
      <c r="R851" s="74" t="n"/>
      <c r="S851" s="74" t="n"/>
      <c r="T851" s="74" t="n"/>
      <c r="U851" s="74" t="n"/>
      <c r="V851" s="74" t="n"/>
      <c r="W851" s="74" t="n"/>
    </row>
    <row r="852">
      <c r="A852" s="74" t="n"/>
      <c r="B852" s="74" t="n"/>
      <c r="C852" s="74" t="n"/>
      <c r="D852" s="74" t="n"/>
      <c r="E852" s="74" t="n"/>
      <c r="F852" s="74" t="n"/>
      <c r="G852" s="74" t="n"/>
      <c r="H852" s="74" t="n"/>
      <c r="I852" s="74" t="n"/>
      <c r="J852" s="74" t="n"/>
      <c r="K852" s="74" t="n"/>
      <c r="L852" s="74" t="n"/>
      <c r="M852" s="74" t="n"/>
      <c r="N852" s="74" t="n"/>
      <c r="O852" s="74" t="n"/>
      <c r="P852" s="74" t="n"/>
      <c r="Q852" s="74" t="n"/>
      <c r="R852" s="74" t="n"/>
      <c r="S852" s="74" t="n"/>
      <c r="T852" s="74" t="n"/>
      <c r="U852" s="74" t="n"/>
      <c r="V852" s="74" t="n"/>
      <c r="W852" s="74" t="n"/>
    </row>
    <row r="853">
      <c r="A853" s="74" t="n"/>
      <c r="B853" s="74" t="n"/>
      <c r="C853" s="74" t="n"/>
      <c r="D853" s="74" t="n"/>
      <c r="E853" s="74" t="n"/>
      <c r="F853" s="74" t="n"/>
      <c r="G853" s="74" t="n"/>
      <c r="H853" s="74" t="n"/>
      <c r="I853" s="74" t="n"/>
      <c r="J853" s="74" t="n"/>
      <c r="K853" s="74" t="n"/>
      <c r="L853" s="74" t="n"/>
      <c r="M853" s="74" t="n"/>
      <c r="N853" s="74" t="n"/>
      <c r="O853" s="74" t="n"/>
      <c r="P853" s="74" t="n"/>
      <c r="Q853" s="74" t="n"/>
      <c r="R853" s="74" t="n"/>
      <c r="S853" s="74" t="n"/>
      <c r="T853" s="74" t="n"/>
      <c r="U853" s="74" t="n"/>
      <c r="V853" s="74" t="n"/>
      <c r="W853" s="74" t="n"/>
    </row>
    <row r="854">
      <c r="A854" s="74" t="n"/>
      <c r="B854" s="74" t="n"/>
      <c r="C854" s="74" t="n"/>
      <c r="D854" s="74" t="n"/>
      <c r="E854" s="74" t="n"/>
      <c r="F854" s="74" t="n"/>
      <c r="G854" s="74" t="n"/>
      <c r="H854" s="74" t="n"/>
      <c r="I854" s="74" t="n"/>
      <c r="J854" s="74" t="n"/>
      <c r="K854" s="74" t="n"/>
      <c r="L854" s="74" t="n"/>
      <c r="M854" s="74" t="n"/>
      <c r="N854" s="74" t="n"/>
      <c r="O854" s="74" t="n"/>
      <c r="P854" s="74" t="n"/>
      <c r="Q854" s="74" t="n"/>
      <c r="R854" s="74" t="n"/>
      <c r="S854" s="74" t="n"/>
      <c r="T854" s="74" t="n"/>
      <c r="U854" s="74" t="n"/>
      <c r="V854" s="74" t="n"/>
      <c r="W854" s="74" t="n"/>
    </row>
    <row r="855">
      <c r="A855" s="74" t="n"/>
      <c r="B855" s="74" t="n"/>
      <c r="C855" s="74" t="n"/>
      <c r="D855" s="74" t="n"/>
      <c r="E855" s="74" t="n"/>
      <c r="F855" s="74" t="n"/>
      <c r="G855" s="74" t="n"/>
      <c r="H855" s="74" t="n"/>
      <c r="I855" s="74" t="n"/>
      <c r="J855" s="74" t="n"/>
      <c r="K855" s="74" t="n"/>
      <c r="L855" s="74" t="n"/>
      <c r="M855" s="74" t="n"/>
      <c r="N855" s="74" t="n"/>
      <c r="O855" s="74" t="n"/>
      <c r="P855" s="74" t="n"/>
      <c r="Q855" s="74" t="n"/>
      <c r="R855" s="74" t="n"/>
      <c r="S855" s="74" t="n"/>
      <c r="T855" s="74" t="n"/>
      <c r="U855" s="74" t="n"/>
      <c r="V855" s="74" t="n"/>
      <c r="W855" s="74" t="n"/>
    </row>
    <row r="856">
      <c r="A856" s="74" t="n"/>
      <c r="B856" s="74" t="n"/>
      <c r="C856" s="74" t="n"/>
      <c r="D856" s="74" t="n"/>
      <c r="E856" s="74" t="n"/>
      <c r="F856" s="74" t="n"/>
      <c r="G856" s="74" t="n"/>
      <c r="H856" s="74" t="n"/>
      <c r="I856" s="74" t="n"/>
      <c r="J856" s="74" t="n"/>
      <c r="K856" s="74" t="n"/>
      <c r="L856" s="74" t="n"/>
      <c r="M856" s="74" t="n"/>
      <c r="N856" s="74" t="n"/>
      <c r="O856" s="74" t="n"/>
      <c r="P856" s="74" t="n"/>
      <c r="Q856" s="74" t="n"/>
      <c r="R856" s="74" t="n"/>
      <c r="S856" s="74" t="n"/>
      <c r="T856" s="74" t="n"/>
      <c r="U856" s="74" t="n"/>
      <c r="V856" s="74" t="n"/>
      <c r="W856" s="74" t="n"/>
    </row>
    <row r="857">
      <c r="A857" s="74" t="n"/>
      <c r="B857" s="74" t="n"/>
      <c r="C857" s="74" t="n"/>
      <c r="D857" s="74" t="n"/>
      <c r="E857" s="74" t="n"/>
      <c r="F857" s="74" t="n"/>
      <c r="G857" s="74" t="n"/>
      <c r="H857" s="74" t="n"/>
      <c r="I857" s="74" t="n"/>
      <c r="J857" s="74" t="n"/>
      <c r="K857" s="74" t="n"/>
      <c r="L857" s="74" t="n"/>
      <c r="M857" s="74" t="n"/>
      <c r="N857" s="74" t="n"/>
      <c r="O857" s="74" t="n"/>
      <c r="P857" s="74" t="n"/>
      <c r="Q857" s="74" t="n"/>
      <c r="R857" s="74" t="n"/>
      <c r="S857" s="74" t="n"/>
      <c r="T857" s="74" t="n"/>
      <c r="U857" s="74" t="n"/>
      <c r="V857" s="74" t="n"/>
      <c r="W857" s="74" t="n"/>
    </row>
    <row r="858">
      <c r="A858" s="74" t="n"/>
      <c r="B858" s="74" t="n"/>
      <c r="C858" s="74" t="n"/>
      <c r="D858" s="74" t="n"/>
      <c r="E858" s="74" t="n"/>
      <c r="F858" s="74" t="n"/>
      <c r="G858" s="74" t="n"/>
      <c r="H858" s="74" t="n"/>
      <c r="I858" s="74" t="n"/>
      <c r="J858" s="74" t="n"/>
      <c r="K858" s="74" t="n"/>
      <c r="L858" s="74" t="n"/>
      <c r="M858" s="74" t="n"/>
      <c r="N858" s="74" t="n"/>
      <c r="O858" s="74" t="n"/>
      <c r="P858" s="74" t="n"/>
      <c r="Q858" s="74" t="n"/>
      <c r="R858" s="74" t="n"/>
      <c r="S858" s="74" t="n"/>
      <c r="T858" s="74" t="n"/>
      <c r="U858" s="74" t="n"/>
      <c r="V858" s="74" t="n"/>
      <c r="W858" s="74" t="n"/>
    </row>
    <row r="859">
      <c r="A859" s="74" t="n"/>
      <c r="B859" s="74" t="n"/>
      <c r="C859" s="74" t="n"/>
      <c r="D859" s="74" t="n"/>
      <c r="E859" s="74" t="n"/>
      <c r="F859" s="74" t="n"/>
      <c r="G859" s="74" t="n"/>
      <c r="H859" s="74" t="n"/>
      <c r="I859" s="74" t="n"/>
      <c r="J859" s="74" t="n"/>
      <c r="K859" s="74" t="n"/>
      <c r="L859" s="74" t="n"/>
      <c r="M859" s="74" t="n"/>
      <c r="N859" s="74" t="n"/>
      <c r="O859" s="74" t="n"/>
      <c r="P859" s="74" t="n"/>
      <c r="Q859" s="74" t="n"/>
      <c r="R859" s="74" t="n"/>
      <c r="S859" s="74" t="n"/>
      <c r="T859" s="74" t="n"/>
      <c r="U859" s="74" t="n"/>
      <c r="V859" s="74" t="n"/>
      <c r="W859" s="74" t="n"/>
    </row>
    <row r="860">
      <c r="A860" s="74" t="n"/>
      <c r="B860" s="74" t="n"/>
      <c r="C860" s="74" t="n"/>
      <c r="D860" s="74" t="n"/>
      <c r="E860" s="74" t="n"/>
      <c r="F860" s="74" t="n"/>
      <c r="G860" s="74" t="n"/>
      <c r="H860" s="74" t="n"/>
      <c r="I860" s="74" t="n"/>
      <c r="J860" s="74" t="n"/>
      <c r="K860" s="74" t="n"/>
      <c r="L860" s="74" t="n"/>
      <c r="M860" s="74" t="n"/>
      <c r="N860" s="74" t="n"/>
      <c r="O860" s="74" t="n"/>
      <c r="P860" s="74" t="n"/>
      <c r="Q860" s="74" t="n"/>
      <c r="R860" s="74" t="n"/>
      <c r="S860" s="74" t="n"/>
      <c r="T860" s="74" t="n"/>
      <c r="U860" s="74" t="n"/>
      <c r="V860" s="74" t="n"/>
      <c r="W860" s="74" t="n"/>
    </row>
    <row r="861">
      <c r="A861" s="74" t="n"/>
      <c r="B861" s="74" t="n"/>
      <c r="C861" s="74" t="n"/>
      <c r="D861" s="74" t="n"/>
      <c r="E861" s="74" t="n"/>
      <c r="F861" s="74" t="n"/>
      <c r="G861" s="74" t="n"/>
      <c r="H861" s="74" t="n"/>
      <c r="I861" s="74" t="n"/>
      <c r="J861" s="74" t="n"/>
      <c r="K861" s="74" t="n"/>
      <c r="L861" s="74" t="n"/>
      <c r="M861" s="74" t="n"/>
      <c r="N861" s="74" t="n"/>
      <c r="O861" s="74" t="n"/>
      <c r="P861" s="74" t="n"/>
      <c r="Q861" s="74" t="n"/>
      <c r="R861" s="74" t="n"/>
      <c r="S861" s="74" t="n"/>
      <c r="T861" s="74" t="n"/>
      <c r="U861" s="74" t="n"/>
      <c r="V861" s="74" t="n"/>
      <c r="W861" s="74" t="n"/>
    </row>
    <row r="862">
      <c r="A862" s="74" t="n"/>
      <c r="B862" s="74" t="n"/>
      <c r="C862" s="74" t="n"/>
      <c r="D862" s="74" t="n"/>
      <c r="E862" s="74" t="n"/>
      <c r="F862" s="74" t="n"/>
      <c r="G862" s="74" t="n"/>
      <c r="H862" s="74" t="n"/>
      <c r="I862" s="74" t="n"/>
      <c r="J862" s="74" t="n"/>
      <c r="K862" s="74" t="n"/>
      <c r="L862" s="74" t="n"/>
      <c r="M862" s="74" t="n"/>
      <c r="N862" s="74" t="n"/>
      <c r="O862" s="74" t="n"/>
      <c r="P862" s="74" t="n"/>
      <c r="Q862" s="74" t="n"/>
      <c r="R862" s="74" t="n"/>
      <c r="S862" s="74" t="n"/>
      <c r="T862" s="74" t="n"/>
      <c r="U862" s="74" t="n"/>
      <c r="V862" s="74" t="n"/>
      <c r="W862" s="74" t="n"/>
    </row>
    <row r="863">
      <c r="A863" s="74" t="n"/>
      <c r="B863" s="74" t="n"/>
      <c r="C863" s="74" t="n"/>
      <c r="D863" s="74" t="n"/>
      <c r="E863" s="74" t="n"/>
      <c r="F863" s="74" t="n"/>
      <c r="G863" s="74" t="n"/>
      <c r="H863" s="74" t="n"/>
      <c r="I863" s="74" t="n"/>
      <c r="J863" s="74" t="n"/>
      <c r="K863" s="74" t="n"/>
      <c r="L863" s="74" t="n"/>
      <c r="M863" s="74" t="n"/>
      <c r="N863" s="74" t="n"/>
      <c r="O863" s="74" t="n"/>
      <c r="P863" s="74" t="n"/>
      <c r="Q863" s="74" t="n"/>
      <c r="R863" s="74" t="n"/>
      <c r="S863" s="74" t="n"/>
      <c r="T863" s="74" t="n"/>
      <c r="U863" s="74" t="n"/>
      <c r="V863" s="74" t="n"/>
      <c r="W863" s="74" t="n"/>
    </row>
    <row r="864">
      <c r="A864" s="74" t="n"/>
      <c r="B864" s="74" t="n"/>
      <c r="C864" s="74" t="n"/>
      <c r="D864" s="74" t="n"/>
      <c r="E864" s="74" t="n"/>
      <c r="F864" s="74" t="n"/>
      <c r="G864" s="74" t="n"/>
      <c r="H864" s="74" t="n"/>
      <c r="I864" s="74" t="n"/>
      <c r="J864" s="74" t="n"/>
      <c r="K864" s="74" t="n"/>
      <c r="L864" s="74" t="n"/>
      <c r="M864" s="74" t="n"/>
      <c r="N864" s="74" t="n"/>
      <c r="O864" s="74" t="n"/>
      <c r="P864" s="74" t="n"/>
      <c r="Q864" s="74" t="n"/>
      <c r="R864" s="74" t="n"/>
      <c r="S864" s="74" t="n"/>
      <c r="T864" s="74" t="n"/>
      <c r="U864" s="74" t="n"/>
      <c r="V864" s="74" t="n"/>
      <c r="W864" s="74" t="n"/>
    </row>
    <row r="865">
      <c r="A865" s="74" t="n"/>
      <c r="B865" s="74" t="n"/>
      <c r="C865" s="74" t="n"/>
      <c r="D865" s="74" t="n"/>
      <c r="E865" s="74" t="n"/>
      <c r="F865" s="74" t="n"/>
      <c r="G865" s="74" t="n"/>
      <c r="H865" s="74" t="n"/>
      <c r="I865" s="74" t="n"/>
      <c r="J865" s="74" t="n"/>
      <c r="K865" s="74" t="n"/>
      <c r="L865" s="74" t="n"/>
      <c r="M865" s="74" t="n"/>
      <c r="N865" s="74" t="n"/>
      <c r="O865" s="74" t="n"/>
      <c r="P865" s="74" t="n"/>
      <c r="Q865" s="74" t="n"/>
      <c r="R865" s="74" t="n"/>
      <c r="S865" s="74" t="n"/>
      <c r="T865" s="74" t="n"/>
      <c r="U865" s="74" t="n"/>
      <c r="V865" s="74" t="n"/>
      <c r="W865" s="74" t="n"/>
    </row>
    <row r="866">
      <c r="A866" s="74" t="n"/>
      <c r="B866" s="74" t="n"/>
      <c r="C866" s="74" t="n"/>
      <c r="D866" s="74" t="n"/>
      <c r="E866" s="74" t="n"/>
      <c r="F866" s="74" t="n"/>
      <c r="G866" s="74" t="n"/>
      <c r="H866" s="74" t="n"/>
      <c r="I866" s="74" t="n"/>
      <c r="J866" s="74" t="n"/>
      <c r="K866" s="74" t="n"/>
      <c r="L866" s="74" t="n"/>
      <c r="M866" s="74" t="n"/>
      <c r="N866" s="74" t="n"/>
      <c r="O866" s="74" t="n"/>
      <c r="P866" s="74" t="n"/>
      <c r="Q866" s="74" t="n"/>
      <c r="R866" s="74" t="n"/>
      <c r="S866" s="74" t="n"/>
      <c r="T866" s="74" t="n"/>
      <c r="U866" s="74" t="n"/>
      <c r="V866" s="74" t="n"/>
      <c r="W866" s="74" t="n"/>
    </row>
    <row r="867">
      <c r="A867" s="74" t="n"/>
      <c r="B867" s="74" t="n"/>
      <c r="C867" s="74" t="n"/>
      <c r="D867" s="74" t="n"/>
      <c r="E867" s="74" t="n"/>
      <c r="F867" s="74" t="n"/>
      <c r="G867" s="74" t="n"/>
      <c r="H867" s="74" t="n"/>
      <c r="I867" s="74" t="n"/>
      <c r="J867" s="74" t="n"/>
      <c r="K867" s="74" t="n"/>
      <c r="L867" s="74" t="n"/>
      <c r="M867" s="74" t="n"/>
      <c r="N867" s="74" t="n"/>
      <c r="O867" s="74" t="n"/>
      <c r="P867" s="74" t="n"/>
      <c r="Q867" s="74" t="n"/>
      <c r="R867" s="74" t="n"/>
      <c r="S867" s="74" t="n"/>
      <c r="T867" s="74" t="n"/>
      <c r="U867" s="74" t="n"/>
      <c r="V867" s="74" t="n"/>
      <c r="W867" s="74" t="n"/>
    </row>
    <row r="868">
      <c r="A868" s="74" t="n"/>
      <c r="B868" s="74" t="n"/>
      <c r="C868" s="74" t="n"/>
      <c r="D868" s="74" t="n"/>
      <c r="E868" s="74" t="n"/>
      <c r="F868" s="74" t="n"/>
      <c r="G868" s="74" t="n"/>
      <c r="H868" s="74" t="n"/>
      <c r="I868" s="74" t="n"/>
      <c r="J868" s="74" t="n"/>
      <c r="K868" s="74" t="n"/>
      <c r="L868" s="74" t="n"/>
      <c r="M868" s="74" t="n"/>
      <c r="N868" s="74" t="n"/>
      <c r="O868" s="74" t="n"/>
      <c r="P868" s="74" t="n"/>
      <c r="Q868" s="74" t="n"/>
      <c r="R868" s="74" t="n"/>
      <c r="S868" s="74" t="n"/>
      <c r="T868" s="74" t="n"/>
      <c r="U868" s="74" t="n"/>
      <c r="V868" s="74" t="n"/>
      <c r="W868" s="74" t="n"/>
    </row>
    <row r="869">
      <c r="A869" s="74" t="n"/>
      <c r="B869" s="74" t="n"/>
      <c r="C869" s="74" t="n"/>
      <c r="D869" s="74" t="n"/>
      <c r="E869" s="74" t="n"/>
      <c r="F869" s="74" t="n"/>
      <c r="G869" s="74" t="n"/>
      <c r="H869" s="74" t="n"/>
      <c r="I869" s="74" t="n"/>
      <c r="J869" s="74" t="n"/>
      <c r="K869" s="74" t="n"/>
      <c r="L869" s="74" t="n"/>
      <c r="M869" s="74" t="n"/>
      <c r="N869" s="74" t="n"/>
      <c r="O869" s="74" t="n"/>
      <c r="P869" s="74" t="n"/>
      <c r="Q869" s="74" t="n"/>
      <c r="R869" s="74" t="n"/>
      <c r="S869" s="74" t="n"/>
      <c r="T869" s="74" t="n"/>
      <c r="U869" s="74" t="n"/>
      <c r="V869" s="74" t="n"/>
      <c r="W869" s="74" t="n"/>
    </row>
    <row r="870">
      <c r="A870" s="74" t="n"/>
      <c r="B870" s="74" t="n"/>
      <c r="C870" s="74" t="n"/>
      <c r="D870" s="74" t="n"/>
      <c r="E870" s="74" t="n"/>
      <c r="F870" s="74" t="n"/>
      <c r="G870" s="74" t="n"/>
      <c r="H870" s="74" t="n"/>
      <c r="I870" s="74" t="n"/>
      <c r="J870" s="74" t="n"/>
      <c r="K870" s="74" t="n"/>
      <c r="L870" s="74" t="n"/>
      <c r="M870" s="74" t="n"/>
      <c r="N870" s="74" t="n"/>
      <c r="O870" s="74" t="n"/>
      <c r="P870" s="74" t="n"/>
      <c r="Q870" s="74" t="n"/>
      <c r="R870" s="74" t="n"/>
      <c r="S870" s="74" t="n"/>
      <c r="T870" s="74" t="n"/>
      <c r="U870" s="74" t="n"/>
      <c r="V870" s="74" t="n"/>
      <c r="W870" s="74" t="n"/>
    </row>
    <row r="871">
      <c r="A871" s="74" t="n"/>
      <c r="B871" s="74" t="n"/>
      <c r="C871" s="74" t="n"/>
      <c r="D871" s="74" t="n"/>
      <c r="E871" s="74" t="n"/>
      <c r="F871" s="74" t="n"/>
      <c r="G871" s="74" t="n"/>
      <c r="H871" s="74" t="n"/>
      <c r="I871" s="74" t="n"/>
      <c r="J871" s="74" t="n"/>
      <c r="K871" s="74" t="n"/>
      <c r="L871" s="74" t="n"/>
      <c r="M871" s="74" t="n"/>
      <c r="N871" s="74" t="n"/>
      <c r="O871" s="74" t="n"/>
      <c r="P871" s="74" t="n"/>
      <c r="Q871" s="74" t="n"/>
      <c r="R871" s="74" t="n"/>
      <c r="S871" s="74" t="n"/>
      <c r="T871" s="74" t="n"/>
      <c r="U871" s="74" t="n"/>
      <c r="V871" s="74" t="n"/>
      <c r="W871" s="74" t="n"/>
    </row>
    <row r="872">
      <c r="A872" s="74" t="n"/>
      <c r="B872" s="74" t="n"/>
      <c r="C872" s="74" t="n"/>
      <c r="D872" s="74" t="n"/>
      <c r="E872" s="74" t="n"/>
      <c r="F872" s="74" t="n"/>
      <c r="G872" s="74" t="n"/>
      <c r="H872" s="74" t="n"/>
      <c r="I872" s="74" t="n"/>
      <c r="J872" s="74" t="n"/>
      <c r="K872" s="74" t="n"/>
      <c r="L872" s="74" t="n"/>
      <c r="M872" s="74" t="n"/>
      <c r="N872" s="74" t="n"/>
      <c r="O872" s="74" t="n"/>
      <c r="P872" s="74" t="n"/>
      <c r="Q872" s="74" t="n"/>
      <c r="R872" s="74" t="n"/>
      <c r="S872" s="74" t="n"/>
      <c r="T872" s="74" t="n"/>
      <c r="U872" s="74" t="n"/>
      <c r="V872" s="74" t="n"/>
      <c r="W872" s="74" t="n"/>
    </row>
    <row r="873">
      <c r="A873" s="74" t="n"/>
      <c r="B873" s="74" t="n"/>
      <c r="C873" s="74" t="n"/>
      <c r="D873" s="74" t="n"/>
      <c r="E873" s="74" t="n"/>
      <c r="F873" s="74" t="n"/>
      <c r="G873" s="74" t="n"/>
      <c r="H873" s="74" t="n"/>
      <c r="I873" s="74" t="n"/>
      <c r="J873" s="74" t="n"/>
      <c r="K873" s="74" t="n"/>
      <c r="L873" s="74" t="n"/>
      <c r="M873" s="74" t="n"/>
      <c r="N873" s="74" t="n"/>
      <c r="O873" s="74" t="n"/>
      <c r="P873" s="74" t="n"/>
      <c r="Q873" s="74" t="n"/>
      <c r="R873" s="74" t="n"/>
      <c r="S873" s="74" t="n"/>
      <c r="T873" s="74" t="n"/>
      <c r="U873" s="74" t="n"/>
      <c r="V873" s="74" t="n"/>
      <c r="W873" s="74" t="n"/>
    </row>
    <row r="874">
      <c r="A874" s="74" t="n"/>
      <c r="B874" s="74" t="n"/>
      <c r="C874" s="74" t="n"/>
      <c r="D874" s="74" t="n"/>
      <c r="E874" s="74" t="n"/>
      <c r="F874" s="74" t="n"/>
      <c r="G874" s="74" t="n"/>
      <c r="H874" s="74" t="n"/>
      <c r="I874" s="74" t="n"/>
      <c r="J874" s="74" t="n"/>
      <c r="K874" s="74" t="n"/>
      <c r="L874" s="74" t="n"/>
      <c r="M874" s="74" t="n"/>
      <c r="N874" s="74" t="n"/>
      <c r="O874" s="74" t="n"/>
      <c r="P874" s="74" t="n"/>
      <c r="Q874" s="74" t="n"/>
      <c r="R874" s="74" t="n"/>
      <c r="S874" s="74" t="n"/>
      <c r="T874" s="74" t="n"/>
      <c r="U874" s="74" t="n"/>
      <c r="V874" s="74" t="n"/>
      <c r="W874" s="74" t="n"/>
    </row>
    <row r="875">
      <c r="A875" s="74" t="n"/>
      <c r="B875" s="74" t="n"/>
      <c r="C875" s="74" t="n"/>
      <c r="D875" s="74" t="n"/>
      <c r="E875" s="74" t="n"/>
      <c r="F875" s="74" t="n"/>
      <c r="G875" s="74" t="n"/>
      <c r="H875" s="74" t="n"/>
      <c r="I875" s="74" t="n"/>
      <c r="J875" s="74" t="n"/>
      <c r="K875" s="74" t="n"/>
      <c r="L875" s="74" t="n"/>
      <c r="M875" s="74" t="n"/>
      <c r="N875" s="74" t="n"/>
      <c r="O875" s="74" t="n"/>
      <c r="P875" s="74" t="n"/>
      <c r="Q875" s="74" t="n"/>
      <c r="R875" s="74" t="n"/>
      <c r="S875" s="74" t="n"/>
      <c r="T875" s="74" t="n"/>
      <c r="U875" s="74" t="n"/>
      <c r="V875" s="74" t="n"/>
      <c r="W875" s="74" t="n"/>
    </row>
    <row r="876">
      <c r="A876" s="74" t="n"/>
      <c r="B876" s="74" t="n"/>
      <c r="C876" s="74" t="n"/>
      <c r="D876" s="74" t="n"/>
      <c r="E876" s="74" t="n"/>
      <c r="F876" s="74" t="n"/>
      <c r="G876" s="74" t="n"/>
      <c r="H876" s="74" t="n"/>
      <c r="I876" s="74" t="n"/>
      <c r="J876" s="74" t="n"/>
      <c r="K876" s="74" t="n"/>
      <c r="L876" s="74" t="n"/>
      <c r="M876" s="74" t="n"/>
      <c r="N876" s="74" t="n"/>
      <c r="O876" s="74" t="n"/>
      <c r="P876" s="74" t="n"/>
      <c r="Q876" s="74" t="n"/>
      <c r="R876" s="74" t="n"/>
      <c r="S876" s="74" t="n"/>
      <c r="T876" s="74" t="n"/>
      <c r="U876" s="74" t="n"/>
      <c r="V876" s="74" t="n"/>
      <c r="W876" s="74" t="n"/>
    </row>
    <row r="877">
      <c r="A877" s="74" t="n"/>
      <c r="B877" s="74" t="n"/>
      <c r="C877" s="74" t="n"/>
      <c r="D877" s="74" t="n"/>
      <c r="E877" s="74" t="n"/>
      <c r="F877" s="74" t="n"/>
      <c r="G877" s="74" t="n"/>
      <c r="H877" s="74" t="n"/>
      <c r="I877" s="74" t="n"/>
      <c r="J877" s="74" t="n"/>
      <c r="K877" s="74" t="n"/>
      <c r="L877" s="74" t="n"/>
      <c r="M877" s="74" t="n"/>
      <c r="N877" s="74" t="n"/>
      <c r="O877" s="74" t="n"/>
      <c r="P877" s="74" t="n"/>
      <c r="Q877" s="74" t="n"/>
      <c r="R877" s="74" t="n"/>
      <c r="S877" s="74" t="n"/>
      <c r="T877" s="74" t="n"/>
      <c r="U877" s="74" t="n"/>
      <c r="V877" s="74" t="n"/>
      <c r="W877" s="74" t="n"/>
    </row>
    <row r="878">
      <c r="A878" s="74" t="n"/>
      <c r="B878" s="74" t="n"/>
      <c r="C878" s="74" t="n"/>
      <c r="D878" s="74" t="n"/>
      <c r="E878" s="74" t="n"/>
      <c r="F878" s="74" t="n"/>
      <c r="G878" s="74" t="n"/>
      <c r="H878" s="74" t="n"/>
      <c r="I878" s="74" t="n"/>
      <c r="J878" s="74" t="n"/>
      <c r="K878" s="74" t="n"/>
      <c r="L878" s="74" t="n"/>
      <c r="M878" s="74" t="n"/>
      <c r="N878" s="74" t="n"/>
      <c r="O878" s="74" t="n"/>
      <c r="P878" s="74" t="n"/>
      <c r="Q878" s="74" t="n"/>
      <c r="R878" s="74" t="n"/>
      <c r="S878" s="74" t="n"/>
      <c r="T878" s="74" t="n"/>
      <c r="U878" s="74" t="n"/>
      <c r="V878" s="74" t="n"/>
      <c r="W878" s="74" t="n"/>
    </row>
    <row r="879">
      <c r="A879" s="74" t="n"/>
      <c r="B879" s="74" t="n"/>
      <c r="C879" s="74" t="n"/>
      <c r="D879" s="74" t="n"/>
      <c r="E879" s="74" t="n"/>
      <c r="F879" s="74" t="n"/>
      <c r="G879" s="74" t="n"/>
      <c r="H879" s="74" t="n"/>
      <c r="I879" s="74" t="n"/>
      <c r="J879" s="74" t="n"/>
      <c r="K879" s="74" t="n"/>
      <c r="L879" s="74" t="n"/>
      <c r="M879" s="74" t="n"/>
      <c r="N879" s="74" t="n"/>
      <c r="O879" s="74" t="n"/>
      <c r="P879" s="74" t="n"/>
      <c r="Q879" s="74" t="n"/>
      <c r="R879" s="74" t="n"/>
      <c r="S879" s="74" t="n"/>
      <c r="T879" s="74" t="n"/>
      <c r="U879" s="74" t="n"/>
      <c r="V879" s="74" t="n"/>
      <c r="W879" s="74" t="n"/>
    </row>
    <row r="880">
      <c r="A880" s="74" t="n"/>
      <c r="B880" s="74" t="n"/>
      <c r="C880" s="74" t="n"/>
      <c r="D880" s="74" t="n"/>
      <c r="E880" s="74" t="n"/>
      <c r="F880" s="74" t="n"/>
      <c r="G880" s="74" t="n"/>
      <c r="H880" s="74" t="n"/>
      <c r="I880" s="74" t="n"/>
      <c r="J880" s="74" t="n"/>
      <c r="K880" s="74" t="n"/>
      <c r="L880" s="74" t="n"/>
      <c r="M880" s="74" t="n"/>
      <c r="N880" s="74" t="n"/>
      <c r="O880" s="74" t="n"/>
      <c r="P880" s="74" t="n"/>
      <c r="Q880" s="74" t="n"/>
      <c r="R880" s="74" t="n"/>
      <c r="S880" s="74" t="n"/>
      <c r="T880" s="74" t="n"/>
      <c r="U880" s="74" t="n"/>
      <c r="V880" s="74" t="n"/>
      <c r="W880" s="74" t="n"/>
    </row>
    <row r="881">
      <c r="A881" s="74" t="n"/>
      <c r="B881" s="74" t="n"/>
      <c r="C881" s="74" t="n"/>
      <c r="D881" s="74" t="n"/>
      <c r="E881" s="74" t="n"/>
      <c r="F881" s="74" t="n"/>
      <c r="G881" s="74" t="n"/>
      <c r="H881" s="74" t="n"/>
      <c r="I881" s="74" t="n"/>
      <c r="J881" s="74" t="n"/>
      <c r="K881" s="74" t="n"/>
      <c r="L881" s="74" t="n"/>
      <c r="M881" s="74" t="n"/>
      <c r="N881" s="74" t="n"/>
      <c r="O881" s="74" t="n"/>
      <c r="P881" s="74" t="n"/>
      <c r="Q881" s="74" t="n"/>
      <c r="R881" s="74" t="n"/>
      <c r="S881" s="74" t="n"/>
      <c r="T881" s="74" t="n"/>
      <c r="U881" s="74" t="n"/>
      <c r="V881" s="74" t="n"/>
      <c r="W881" s="74" t="n"/>
    </row>
    <row r="882">
      <c r="A882" s="74" t="n"/>
      <c r="B882" s="74" t="n"/>
      <c r="C882" s="74" t="n"/>
      <c r="D882" s="74" t="n"/>
      <c r="E882" s="74" t="n"/>
      <c r="F882" s="74" t="n"/>
      <c r="G882" s="74" t="n"/>
      <c r="H882" s="74" t="n"/>
      <c r="I882" s="74" t="n"/>
      <c r="J882" s="74" t="n"/>
      <c r="K882" s="74" t="n"/>
      <c r="L882" s="74" t="n"/>
      <c r="M882" s="74" t="n"/>
      <c r="N882" s="74" t="n"/>
      <c r="O882" s="74" t="n"/>
      <c r="P882" s="74" t="n"/>
      <c r="Q882" s="74" t="n"/>
      <c r="R882" s="74" t="n"/>
      <c r="S882" s="74" t="n"/>
      <c r="T882" s="74" t="n"/>
      <c r="U882" s="74" t="n"/>
      <c r="V882" s="74" t="n"/>
      <c r="W882" s="74" t="n"/>
    </row>
    <row r="883">
      <c r="A883" s="74" t="n"/>
      <c r="B883" s="74" t="n"/>
      <c r="C883" s="74" t="n"/>
      <c r="D883" s="74" t="n"/>
      <c r="E883" s="74" t="n"/>
      <c r="F883" s="74" t="n"/>
      <c r="G883" s="74" t="n"/>
      <c r="H883" s="74" t="n"/>
      <c r="I883" s="74" t="n"/>
      <c r="J883" s="74" t="n"/>
      <c r="K883" s="74" t="n"/>
      <c r="L883" s="74" t="n"/>
      <c r="M883" s="74" t="n"/>
      <c r="N883" s="74" t="n"/>
      <c r="O883" s="74" t="n"/>
      <c r="P883" s="74" t="n"/>
      <c r="Q883" s="74" t="n"/>
      <c r="R883" s="74" t="n"/>
      <c r="S883" s="74" t="n"/>
      <c r="T883" s="74" t="n"/>
      <c r="U883" s="74" t="n"/>
      <c r="V883" s="74" t="n"/>
      <c r="W883" s="74" t="n"/>
    </row>
    <row r="884">
      <c r="A884" s="74" t="n"/>
      <c r="B884" s="74" t="n"/>
      <c r="C884" s="74" t="n"/>
      <c r="D884" s="74" t="n"/>
      <c r="E884" s="74" t="n"/>
      <c r="F884" s="74" t="n"/>
      <c r="G884" s="74" t="n"/>
      <c r="H884" s="74" t="n"/>
      <c r="I884" s="74" t="n"/>
      <c r="J884" s="74" t="n"/>
      <c r="K884" s="74" t="n"/>
      <c r="L884" s="74" t="n"/>
      <c r="M884" s="74" t="n"/>
      <c r="N884" s="74" t="n"/>
      <c r="O884" s="74" t="n"/>
      <c r="P884" s="74" t="n"/>
      <c r="Q884" s="74" t="n"/>
      <c r="R884" s="74" t="n"/>
      <c r="S884" s="74" t="n"/>
      <c r="T884" s="74" t="n"/>
      <c r="U884" s="74" t="n"/>
      <c r="V884" s="74" t="n"/>
      <c r="W884" s="74" t="n"/>
    </row>
    <row r="885">
      <c r="A885" s="74" t="n"/>
      <c r="B885" s="74" t="n"/>
      <c r="C885" s="74" t="n"/>
      <c r="D885" s="74" t="n"/>
      <c r="E885" s="74" t="n"/>
      <c r="F885" s="74" t="n"/>
      <c r="G885" s="74" t="n"/>
      <c r="H885" s="74" t="n"/>
      <c r="I885" s="74" t="n"/>
      <c r="J885" s="74" t="n"/>
      <c r="K885" s="74" t="n"/>
      <c r="L885" s="74" t="n"/>
      <c r="M885" s="74" t="n"/>
      <c r="N885" s="74" t="n"/>
      <c r="O885" s="74" t="n"/>
      <c r="P885" s="74" t="n"/>
      <c r="Q885" s="74" t="n"/>
      <c r="R885" s="74" t="n"/>
      <c r="S885" s="74" t="n"/>
      <c r="T885" s="74" t="n"/>
      <c r="U885" s="74" t="n"/>
      <c r="V885" s="74" t="n"/>
      <c r="W885" s="74" t="n"/>
    </row>
    <row r="886">
      <c r="A886" s="74" t="n"/>
      <c r="B886" s="74" t="n"/>
      <c r="C886" s="74" t="n"/>
      <c r="D886" s="74" t="n"/>
      <c r="E886" s="74" t="n"/>
      <c r="F886" s="74" t="n"/>
      <c r="G886" s="74" t="n"/>
      <c r="H886" s="74" t="n"/>
      <c r="I886" s="74" t="n"/>
      <c r="J886" s="74" t="n"/>
      <c r="K886" s="74" t="n"/>
      <c r="L886" s="74" t="n"/>
      <c r="M886" s="74" t="n"/>
      <c r="N886" s="74" t="n"/>
      <c r="O886" s="74" t="n"/>
      <c r="P886" s="74" t="n"/>
      <c r="Q886" s="74" t="n"/>
      <c r="R886" s="74" t="n"/>
      <c r="S886" s="74" t="n"/>
      <c r="T886" s="74" t="n"/>
      <c r="U886" s="74" t="n"/>
      <c r="V886" s="74" t="n"/>
      <c r="W886" s="74" t="n"/>
    </row>
    <row r="887">
      <c r="A887" s="74" t="n"/>
      <c r="B887" s="74" t="n"/>
      <c r="C887" s="74" t="n"/>
      <c r="D887" s="74" t="n"/>
      <c r="E887" s="74" t="n"/>
      <c r="F887" s="74" t="n"/>
      <c r="G887" s="74" t="n"/>
      <c r="H887" s="74" t="n"/>
      <c r="I887" s="74" t="n"/>
      <c r="J887" s="74" t="n"/>
      <c r="K887" s="74" t="n"/>
      <c r="L887" s="74" t="n"/>
      <c r="M887" s="74" t="n"/>
      <c r="N887" s="74" t="n"/>
      <c r="O887" s="74" t="n"/>
      <c r="P887" s="74" t="n"/>
      <c r="Q887" s="74" t="n"/>
      <c r="R887" s="74" t="n"/>
      <c r="S887" s="74" t="n"/>
      <c r="T887" s="74" t="n"/>
      <c r="U887" s="74" t="n"/>
      <c r="V887" s="74" t="n"/>
      <c r="W887" s="74" t="n"/>
    </row>
    <row r="888">
      <c r="A888" s="74" t="n"/>
      <c r="B888" s="74" t="n"/>
      <c r="C888" s="74" t="n"/>
      <c r="D888" s="74" t="n"/>
      <c r="E888" s="74" t="n"/>
      <c r="F888" s="74" t="n"/>
      <c r="G888" s="74" t="n"/>
      <c r="H888" s="74" t="n"/>
      <c r="I888" s="74" t="n"/>
      <c r="J888" s="74" t="n"/>
      <c r="K888" s="74" t="n"/>
      <c r="L888" s="74" t="n"/>
      <c r="M888" s="74" t="n"/>
      <c r="N888" s="74" t="n"/>
      <c r="O888" s="74" t="n"/>
      <c r="P888" s="74" t="n"/>
      <c r="Q888" s="74" t="n"/>
      <c r="R888" s="74" t="n"/>
      <c r="S888" s="74" t="n"/>
      <c r="T888" s="74" t="n"/>
      <c r="U888" s="74" t="n"/>
      <c r="V888" s="74" t="n"/>
      <c r="W888" s="74" t="n"/>
    </row>
    <row r="889">
      <c r="A889" s="74" t="n"/>
      <c r="B889" s="74" t="n"/>
      <c r="C889" s="74" t="n"/>
      <c r="D889" s="74" t="n"/>
      <c r="E889" s="74" t="n"/>
      <c r="F889" s="74" t="n"/>
      <c r="G889" s="74" t="n"/>
      <c r="H889" s="74" t="n"/>
      <c r="I889" s="74" t="n"/>
      <c r="J889" s="74" t="n"/>
      <c r="K889" s="74" t="n"/>
      <c r="L889" s="74" t="n"/>
      <c r="M889" s="74" t="n"/>
      <c r="N889" s="74" t="n"/>
      <c r="O889" s="74" t="n"/>
      <c r="P889" s="74" t="n"/>
      <c r="Q889" s="74" t="n"/>
      <c r="R889" s="74" t="n"/>
      <c r="S889" s="74" t="n"/>
      <c r="T889" s="74" t="n"/>
      <c r="U889" s="74" t="n"/>
      <c r="V889" s="74" t="n"/>
      <c r="W889" s="74" t="n"/>
    </row>
    <row r="890">
      <c r="A890" s="74" t="n"/>
      <c r="B890" s="74" t="n"/>
      <c r="C890" s="74" t="n"/>
      <c r="D890" s="74" t="n"/>
      <c r="E890" s="74" t="n"/>
      <c r="F890" s="74" t="n"/>
      <c r="G890" s="74" t="n"/>
      <c r="H890" s="74" t="n"/>
      <c r="I890" s="74" t="n"/>
      <c r="J890" s="74" t="n"/>
      <c r="K890" s="74" t="n"/>
      <c r="L890" s="74" t="n"/>
      <c r="M890" s="74" t="n"/>
      <c r="N890" s="74" t="n"/>
      <c r="O890" s="74" t="n"/>
      <c r="P890" s="74" t="n"/>
      <c r="Q890" s="74" t="n"/>
      <c r="R890" s="74" t="n"/>
      <c r="S890" s="74" t="n"/>
      <c r="T890" s="74" t="n"/>
      <c r="U890" s="74" t="n"/>
      <c r="V890" s="74" t="n"/>
      <c r="W890" s="74" t="n"/>
    </row>
    <row r="891">
      <c r="A891" s="74" t="n"/>
      <c r="B891" s="74" t="n"/>
      <c r="C891" s="74" t="n"/>
      <c r="D891" s="74" t="n"/>
      <c r="E891" s="74" t="n"/>
      <c r="F891" s="74" t="n"/>
      <c r="G891" s="74" t="n"/>
      <c r="H891" s="74" t="n"/>
      <c r="I891" s="74" t="n"/>
      <c r="J891" s="74" t="n"/>
      <c r="K891" s="74" t="n"/>
      <c r="L891" s="74" t="n"/>
      <c r="M891" s="74" t="n"/>
      <c r="N891" s="74" t="n"/>
      <c r="O891" s="74" t="n"/>
      <c r="P891" s="74" t="n"/>
      <c r="Q891" s="74" t="n"/>
      <c r="R891" s="74" t="n"/>
      <c r="S891" s="74" t="n"/>
      <c r="T891" s="74" t="n"/>
      <c r="U891" s="74" t="n"/>
      <c r="V891" s="74" t="n"/>
      <c r="W891" s="74" t="n"/>
    </row>
    <row r="892">
      <c r="A892" s="74" t="n"/>
      <c r="B892" s="74" t="n"/>
      <c r="C892" s="74" t="n"/>
      <c r="D892" s="74" t="n"/>
      <c r="E892" s="74" t="n"/>
      <c r="F892" s="74" t="n"/>
      <c r="G892" s="74" t="n"/>
      <c r="H892" s="74" t="n"/>
      <c r="I892" s="74" t="n"/>
      <c r="J892" s="74" t="n"/>
      <c r="K892" s="74" t="n"/>
      <c r="L892" s="74" t="n"/>
      <c r="M892" s="74" t="n"/>
      <c r="N892" s="74" t="n"/>
      <c r="O892" s="74" t="n"/>
      <c r="P892" s="74" t="n"/>
      <c r="Q892" s="74" t="n"/>
      <c r="R892" s="74" t="n"/>
      <c r="S892" s="74" t="n"/>
      <c r="T892" s="74" t="n"/>
      <c r="U892" s="74" t="n"/>
      <c r="V892" s="74" t="n"/>
      <c r="W892" s="74" t="n"/>
    </row>
    <row r="893">
      <c r="A893" s="74" t="n"/>
      <c r="B893" s="74" t="n"/>
      <c r="C893" s="74" t="n"/>
      <c r="D893" s="74" t="n"/>
      <c r="E893" s="74" t="n"/>
      <c r="F893" s="74" t="n"/>
      <c r="G893" s="74" t="n"/>
      <c r="H893" s="74" t="n"/>
      <c r="I893" s="74" t="n"/>
      <c r="J893" s="74" t="n"/>
      <c r="K893" s="74" t="n"/>
      <c r="L893" s="74" t="n"/>
      <c r="M893" s="74" t="n"/>
      <c r="N893" s="74" t="n"/>
      <c r="O893" s="74" t="n"/>
      <c r="P893" s="74" t="n"/>
      <c r="Q893" s="74" t="n"/>
      <c r="R893" s="74" t="n"/>
      <c r="S893" s="74" t="n"/>
      <c r="T893" s="74" t="n"/>
      <c r="U893" s="74" t="n"/>
      <c r="V893" s="74" t="n"/>
      <c r="W893" s="74" t="n"/>
    </row>
    <row r="894">
      <c r="A894" s="74" t="n"/>
      <c r="B894" s="74" t="n"/>
      <c r="C894" s="74" t="n"/>
      <c r="D894" s="74" t="n"/>
      <c r="E894" s="74" t="n"/>
      <c r="F894" s="74" t="n"/>
      <c r="G894" s="74" t="n"/>
      <c r="H894" s="74" t="n"/>
      <c r="I894" s="74" t="n"/>
      <c r="J894" s="74" t="n"/>
      <c r="K894" s="74" t="n"/>
      <c r="L894" s="74" t="n"/>
      <c r="M894" s="74" t="n"/>
      <c r="N894" s="74" t="n"/>
      <c r="O894" s="74" t="n"/>
      <c r="P894" s="74" t="n"/>
      <c r="Q894" s="74" t="n"/>
      <c r="R894" s="74" t="n"/>
      <c r="S894" s="74" t="n"/>
      <c r="T894" s="74" t="n"/>
      <c r="U894" s="74" t="n"/>
      <c r="V894" s="74" t="n"/>
      <c r="W894" s="74" t="n"/>
    </row>
    <row r="895">
      <c r="A895" s="74" t="n"/>
      <c r="B895" s="74" t="n"/>
      <c r="C895" s="74" t="n"/>
      <c r="D895" s="74" t="n"/>
      <c r="E895" s="74" t="n"/>
      <c r="F895" s="74" t="n"/>
      <c r="G895" s="74" t="n"/>
      <c r="H895" s="74" t="n"/>
      <c r="I895" s="74" t="n"/>
      <c r="J895" s="74" t="n"/>
      <c r="K895" s="74" t="n"/>
      <c r="L895" s="74" t="n"/>
      <c r="M895" s="74" t="n"/>
      <c r="N895" s="74" t="n"/>
      <c r="O895" s="74" t="n"/>
      <c r="P895" s="74" t="n"/>
      <c r="Q895" s="74" t="n"/>
      <c r="R895" s="74" t="n"/>
      <c r="S895" s="74" t="n"/>
      <c r="T895" s="74" t="n"/>
      <c r="U895" s="74" t="n"/>
      <c r="V895" s="74" t="n"/>
      <c r="W895" s="74" t="n"/>
    </row>
    <row r="896">
      <c r="A896" s="74" t="n"/>
      <c r="B896" s="74" t="n"/>
      <c r="C896" s="74" t="n"/>
      <c r="D896" s="74" t="n"/>
      <c r="E896" s="74" t="n"/>
      <c r="F896" s="74" t="n"/>
      <c r="G896" s="74" t="n"/>
      <c r="H896" s="74" t="n"/>
      <c r="I896" s="74" t="n"/>
      <c r="J896" s="74" t="n"/>
      <c r="K896" s="74" t="n"/>
      <c r="L896" s="74" t="n"/>
      <c r="M896" s="74" t="n"/>
      <c r="N896" s="74" t="n"/>
      <c r="O896" s="74" t="n"/>
      <c r="P896" s="74" t="n"/>
      <c r="Q896" s="74" t="n"/>
      <c r="R896" s="74" t="n"/>
      <c r="S896" s="74" t="n"/>
      <c r="T896" s="74" t="n"/>
      <c r="U896" s="74" t="n"/>
      <c r="V896" s="74" t="n"/>
      <c r="W896" s="74" t="n"/>
    </row>
    <row r="897">
      <c r="A897" s="74" t="n"/>
      <c r="B897" s="74" t="n"/>
      <c r="C897" s="74" t="n"/>
      <c r="D897" s="74" t="n"/>
      <c r="E897" s="74" t="n"/>
      <c r="F897" s="74" t="n"/>
      <c r="G897" s="74" t="n"/>
      <c r="H897" s="74" t="n"/>
      <c r="I897" s="74" t="n"/>
      <c r="J897" s="74" t="n"/>
      <c r="K897" s="74" t="n"/>
      <c r="L897" s="74" t="n"/>
      <c r="M897" s="74" t="n"/>
      <c r="N897" s="74" t="n"/>
      <c r="O897" s="74" t="n"/>
      <c r="P897" s="74" t="n"/>
      <c r="Q897" s="74" t="n"/>
      <c r="R897" s="74" t="n"/>
      <c r="S897" s="74" t="n"/>
      <c r="T897" s="74" t="n"/>
      <c r="U897" s="74" t="n"/>
      <c r="V897" s="74" t="n"/>
      <c r="W897" s="74" t="n"/>
    </row>
    <row r="898">
      <c r="A898" s="74" t="n"/>
      <c r="B898" s="74" t="n"/>
      <c r="C898" s="74" t="n"/>
      <c r="D898" s="74" t="n"/>
      <c r="E898" s="74" t="n"/>
      <c r="F898" s="74" t="n"/>
      <c r="G898" s="74" t="n"/>
      <c r="H898" s="74" t="n"/>
      <c r="I898" s="74" t="n"/>
      <c r="J898" s="74" t="n"/>
      <c r="K898" s="74" t="n"/>
      <c r="L898" s="74" t="n"/>
      <c r="M898" s="74" t="n"/>
      <c r="N898" s="74" t="n"/>
      <c r="O898" s="74" t="n"/>
      <c r="P898" s="74" t="n"/>
      <c r="Q898" s="74" t="n"/>
      <c r="R898" s="74" t="n"/>
      <c r="S898" s="74" t="n"/>
      <c r="T898" s="74" t="n"/>
      <c r="U898" s="74" t="n"/>
      <c r="V898" s="74" t="n"/>
      <c r="W898" s="74" t="n"/>
    </row>
    <row r="899">
      <c r="A899" s="74" t="n"/>
      <c r="B899" s="74" t="n"/>
      <c r="C899" s="74" t="n"/>
      <c r="D899" s="74" t="n"/>
      <c r="E899" s="74" t="n"/>
      <c r="F899" s="74" t="n"/>
      <c r="G899" s="74" t="n"/>
      <c r="H899" s="74" t="n"/>
      <c r="I899" s="74" t="n"/>
      <c r="J899" s="74" t="n"/>
      <c r="K899" s="74" t="n"/>
      <c r="L899" s="74" t="n"/>
      <c r="M899" s="74" t="n"/>
      <c r="N899" s="74" t="n"/>
      <c r="O899" s="74" t="n"/>
      <c r="P899" s="74" t="n"/>
      <c r="Q899" s="74" t="n"/>
      <c r="R899" s="74" t="n"/>
      <c r="S899" s="74" t="n"/>
      <c r="T899" s="74" t="n"/>
      <c r="U899" s="74" t="n"/>
      <c r="V899" s="74" t="n"/>
      <c r="W899" s="74" t="n"/>
    </row>
    <row r="900">
      <c r="A900" s="74" t="n"/>
      <c r="B900" s="74" t="n"/>
      <c r="C900" s="74" t="n"/>
      <c r="D900" s="74" t="n"/>
      <c r="E900" s="74" t="n"/>
      <c r="F900" s="74" t="n"/>
      <c r="G900" s="74" t="n"/>
      <c r="H900" s="74" t="n"/>
      <c r="I900" s="74" t="n"/>
      <c r="J900" s="74" t="n"/>
      <c r="K900" s="74" t="n"/>
      <c r="L900" s="74" t="n"/>
      <c r="M900" s="74" t="n"/>
      <c r="N900" s="74" t="n"/>
      <c r="O900" s="74" t="n"/>
      <c r="P900" s="74" t="n"/>
      <c r="Q900" s="74" t="n"/>
      <c r="R900" s="74" t="n"/>
      <c r="S900" s="74" t="n"/>
      <c r="T900" s="74" t="n"/>
      <c r="U900" s="74" t="n"/>
      <c r="V900" s="74" t="n"/>
      <c r="W900" s="74" t="n"/>
    </row>
    <row r="901">
      <c r="A901" s="74" t="n"/>
      <c r="B901" s="74" t="n"/>
      <c r="C901" s="74" t="n"/>
      <c r="D901" s="74" t="n"/>
      <c r="E901" s="74" t="n"/>
      <c r="F901" s="74" t="n"/>
      <c r="G901" s="74" t="n"/>
      <c r="H901" s="74" t="n"/>
      <c r="I901" s="74" t="n"/>
      <c r="J901" s="74" t="n"/>
      <c r="K901" s="74" t="n"/>
      <c r="L901" s="74" t="n"/>
      <c r="M901" s="74" t="n"/>
      <c r="N901" s="74" t="n"/>
      <c r="O901" s="74" t="n"/>
      <c r="P901" s="74" t="n"/>
      <c r="Q901" s="74" t="n"/>
      <c r="R901" s="74" t="n"/>
      <c r="S901" s="74" t="n"/>
      <c r="T901" s="74" t="n"/>
      <c r="U901" s="74" t="n"/>
      <c r="V901" s="74" t="n"/>
      <c r="W901" s="74" t="n"/>
    </row>
    <row r="902">
      <c r="A902" s="74" t="n"/>
      <c r="B902" s="74" t="n"/>
      <c r="C902" s="74" t="n"/>
      <c r="D902" s="74" t="n"/>
      <c r="E902" s="74" t="n"/>
      <c r="F902" s="74" t="n"/>
      <c r="G902" s="74" t="n"/>
      <c r="H902" s="74" t="n"/>
      <c r="I902" s="74" t="n"/>
      <c r="J902" s="74" t="n"/>
      <c r="K902" s="74" t="n"/>
      <c r="L902" s="74" t="n"/>
      <c r="M902" s="74" t="n"/>
      <c r="N902" s="74" t="n"/>
      <c r="O902" s="74" t="n"/>
      <c r="P902" s="74" t="n"/>
      <c r="Q902" s="74" t="n"/>
      <c r="R902" s="74" t="n"/>
      <c r="S902" s="74" t="n"/>
      <c r="T902" s="74" t="n"/>
      <c r="U902" s="74" t="n"/>
      <c r="V902" s="74" t="n"/>
      <c r="W902" s="74" t="n"/>
    </row>
    <row r="903">
      <c r="A903" s="74" t="n"/>
      <c r="B903" s="74" t="n"/>
      <c r="C903" s="74" t="n"/>
      <c r="D903" s="74" t="n"/>
      <c r="E903" s="74" t="n"/>
      <c r="F903" s="74" t="n"/>
      <c r="G903" s="74" t="n"/>
      <c r="H903" s="74" t="n"/>
      <c r="I903" s="74" t="n"/>
      <c r="J903" s="74" t="n"/>
      <c r="K903" s="74" t="n"/>
      <c r="L903" s="74" t="n"/>
      <c r="M903" s="74" t="n"/>
      <c r="N903" s="74" t="n"/>
      <c r="O903" s="74" t="n"/>
      <c r="P903" s="74" t="n"/>
      <c r="Q903" s="74" t="n"/>
      <c r="R903" s="74" t="n"/>
      <c r="S903" s="74" t="n"/>
      <c r="T903" s="74" t="n"/>
      <c r="U903" s="74" t="n"/>
      <c r="V903" s="74" t="n"/>
      <c r="W903" s="74" t="n"/>
    </row>
    <row r="904">
      <c r="A904" s="74" t="n"/>
      <c r="B904" s="74" t="n"/>
      <c r="C904" s="74" t="n"/>
      <c r="D904" s="74" t="n"/>
      <c r="E904" s="74" t="n"/>
      <c r="F904" s="74" t="n"/>
      <c r="G904" s="74" t="n"/>
      <c r="H904" s="74" t="n"/>
      <c r="I904" s="74" t="n"/>
      <c r="J904" s="74" t="n"/>
      <c r="K904" s="74" t="n"/>
      <c r="L904" s="74" t="n"/>
      <c r="M904" s="74" t="n"/>
      <c r="N904" s="74" t="n"/>
      <c r="O904" s="74" t="n"/>
      <c r="P904" s="74" t="n"/>
      <c r="Q904" s="74" t="n"/>
      <c r="R904" s="74" t="n"/>
      <c r="S904" s="74" t="n"/>
      <c r="T904" s="74" t="n"/>
      <c r="U904" s="74" t="n"/>
      <c r="V904" s="74" t="n"/>
      <c r="W904" s="74" t="n"/>
    </row>
    <row r="905">
      <c r="A905" s="74" t="n"/>
      <c r="B905" s="74" t="n"/>
      <c r="C905" s="74" t="n"/>
      <c r="D905" s="74" t="n"/>
      <c r="E905" s="74" t="n"/>
      <c r="F905" s="74" t="n"/>
      <c r="G905" s="74" t="n"/>
      <c r="H905" s="74" t="n"/>
      <c r="I905" s="74" t="n"/>
      <c r="J905" s="74" t="n"/>
      <c r="K905" s="74" t="n"/>
      <c r="L905" s="74" t="n"/>
      <c r="M905" s="74" t="n"/>
      <c r="N905" s="74" t="n"/>
      <c r="O905" s="74" t="n"/>
      <c r="P905" s="74" t="n"/>
      <c r="Q905" s="74" t="n"/>
      <c r="R905" s="74" t="n"/>
      <c r="S905" s="74" t="n"/>
      <c r="T905" s="74" t="n"/>
      <c r="U905" s="74" t="n"/>
      <c r="V905" s="74" t="n"/>
      <c r="W905" s="74" t="n"/>
    </row>
    <row r="906">
      <c r="A906" s="74" t="n"/>
      <c r="B906" s="74" t="n"/>
      <c r="C906" s="74" t="n"/>
      <c r="D906" s="74" t="n"/>
      <c r="E906" s="74" t="n"/>
      <c r="F906" s="74" t="n"/>
      <c r="G906" s="74" t="n"/>
      <c r="H906" s="74" t="n"/>
      <c r="I906" s="74" t="n"/>
      <c r="J906" s="74" t="n"/>
      <c r="K906" s="74" t="n"/>
      <c r="L906" s="74" t="n"/>
      <c r="M906" s="74" t="n"/>
      <c r="N906" s="74" t="n"/>
      <c r="O906" s="74" t="n"/>
      <c r="P906" s="74" t="n"/>
      <c r="Q906" s="74" t="n"/>
      <c r="R906" s="74" t="n"/>
      <c r="S906" s="74" t="n"/>
      <c r="T906" s="74" t="n"/>
      <c r="U906" s="74" t="n"/>
      <c r="V906" s="74" t="n"/>
      <c r="W906" s="74" t="n"/>
    </row>
    <row r="907">
      <c r="A907" s="74" t="n"/>
      <c r="B907" s="74" t="n"/>
      <c r="C907" s="74" t="n"/>
      <c r="D907" s="74" t="n"/>
      <c r="E907" s="74" t="n"/>
      <c r="F907" s="74" t="n"/>
      <c r="G907" s="74" t="n"/>
      <c r="H907" s="74" t="n"/>
      <c r="I907" s="74" t="n"/>
      <c r="J907" s="74" t="n"/>
      <c r="K907" s="74" t="n"/>
      <c r="L907" s="74" t="n"/>
      <c r="M907" s="74" t="n"/>
      <c r="N907" s="74" t="n"/>
      <c r="O907" s="74" t="n"/>
      <c r="P907" s="74" t="n"/>
      <c r="Q907" s="74" t="n"/>
      <c r="R907" s="74" t="n"/>
      <c r="S907" s="74" t="n"/>
      <c r="T907" s="74" t="n"/>
      <c r="U907" s="74" t="n"/>
      <c r="V907" s="74" t="n"/>
      <c r="W907" s="74" t="n"/>
    </row>
    <row r="908">
      <c r="A908" s="74" t="n"/>
      <c r="B908" s="74" t="n"/>
      <c r="C908" s="74" t="n"/>
      <c r="D908" s="74" t="n"/>
      <c r="E908" s="74" t="n"/>
      <c r="F908" s="74" t="n"/>
      <c r="G908" s="74" t="n"/>
      <c r="H908" s="74" t="n"/>
      <c r="I908" s="74" t="n"/>
      <c r="J908" s="74" t="n"/>
      <c r="K908" s="74" t="n"/>
      <c r="L908" s="74" t="n"/>
      <c r="M908" s="74" t="n"/>
      <c r="N908" s="74" t="n"/>
      <c r="O908" s="74" t="n"/>
      <c r="P908" s="74" t="n"/>
      <c r="Q908" s="74" t="n"/>
      <c r="R908" s="74" t="n"/>
      <c r="S908" s="74" t="n"/>
      <c r="T908" s="74" t="n"/>
      <c r="U908" s="74" t="n"/>
      <c r="V908" s="74" t="n"/>
      <c r="W908" s="74" t="n"/>
    </row>
    <row r="909">
      <c r="A909" s="74" t="n"/>
      <c r="B909" s="74" t="n"/>
      <c r="C909" s="74" t="n"/>
      <c r="D909" s="74" t="n"/>
      <c r="E909" s="74" t="n"/>
      <c r="F909" s="74" t="n"/>
      <c r="G909" s="74" t="n"/>
      <c r="H909" s="74" t="n"/>
      <c r="I909" s="74" t="n"/>
      <c r="J909" s="74" t="n"/>
      <c r="K909" s="74" t="n"/>
      <c r="L909" s="74" t="n"/>
      <c r="M909" s="74" t="n"/>
      <c r="N909" s="74" t="n"/>
      <c r="O909" s="74" t="n"/>
      <c r="P909" s="74" t="n"/>
      <c r="Q909" s="74" t="n"/>
      <c r="R909" s="74" t="n"/>
      <c r="S909" s="74" t="n"/>
      <c r="T909" s="74" t="n"/>
      <c r="U909" s="74" t="n"/>
      <c r="V909" s="74" t="n"/>
      <c r="W909" s="74" t="n"/>
    </row>
    <row r="910">
      <c r="A910" s="74" t="n"/>
      <c r="B910" s="74" t="n"/>
      <c r="C910" s="74" t="n"/>
      <c r="D910" s="74" t="n"/>
      <c r="E910" s="74" t="n"/>
      <c r="F910" s="74" t="n"/>
      <c r="G910" s="74" t="n"/>
      <c r="H910" s="74" t="n"/>
      <c r="I910" s="74" t="n"/>
      <c r="J910" s="74" t="n"/>
      <c r="K910" s="74" t="n"/>
      <c r="L910" s="74" t="n"/>
      <c r="M910" s="74" t="n"/>
      <c r="N910" s="74" t="n"/>
      <c r="O910" s="74" t="n"/>
      <c r="P910" s="74" t="n"/>
      <c r="Q910" s="74" t="n"/>
      <c r="R910" s="74" t="n"/>
      <c r="S910" s="74" t="n"/>
      <c r="T910" s="74" t="n"/>
      <c r="U910" s="74" t="n"/>
      <c r="V910" s="74" t="n"/>
      <c r="W910" s="74" t="n"/>
    </row>
    <row r="911">
      <c r="A911" s="74" t="n"/>
      <c r="B911" s="74" t="n"/>
      <c r="C911" s="74" t="n"/>
      <c r="D911" s="74" t="n"/>
      <c r="E911" s="74" t="n"/>
      <c r="F911" s="74" t="n"/>
      <c r="G911" s="74" t="n"/>
      <c r="H911" s="74" t="n"/>
      <c r="I911" s="74" t="n"/>
      <c r="J911" s="74" t="n"/>
      <c r="K911" s="74" t="n"/>
      <c r="L911" s="74" t="n"/>
      <c r="M911" s="74" t="n"/>
      <c r="N911" s="74" t="n"/>
      <c r="O911" s="74" t="n"/>
      <c r="P911" s="74" t="n"/>
      <c r="Q911" s="74" t="n"/>
      <c r="R911" s="74" t="n"/>
      <c r="S911" s="74" t="n"/>
      <c r="T911" s="74" t="n"/>
      <c r="U911" s="74" t="n"/>
      <c r="V911" s="74" t="n"/>
      <c r="W911" s="74" t="n"/>
    </row>
    <row r="912">
      <c r="A912" s="74" t="n"/>
      <c r="B912" s="74" t="n"/>
      <c r="C912" s="74" t="n"/>
      <c r="D912" s="74" t="n"/>
      <c r="E912" s="74" t="n"/>
      <c r="F912" s="74" t="n"/>
      <c r="G912" s="74" t="n"/>
      <c r="H912" s="74" t="n"/>
      <c r="I912" s="74" t="n"/>
      <c r="J912" s="74" t="n"/>
      <c r="K912" s="74" t="n"/>
      <c r="L912" s="74" t="n"/>
      <c r="M912" s="74" t="n"/>
      <c r="N912" s="74" t="n"/>
      <c r="O912" s="74" t="n"/>
      <c r="P912" s="74" t="n"/>
      <c r="Q912" s="74" t="n"/>
      <c r="R912" s="74" t="n"/>
      <c r="S912" s="74" t="n"/>
      <c r="T912" s="74" t="n"/>
      <c r="U912" s="74" t="n"/>
      <c r="V912" s="74" t="n"/>
      <c r="W912" s="74" t="n"/>
    </row>
    <row r="913">
      <c r="A913" s="74" t="n"/>
      <c r="B913" s="74" t="n"/>
      <c r="C913" s="74" t="n"/>
      <c r="D913" s="74" t="n"/>
      <c r="E913" s="74" t="n"/>
      <c r="F913" s="74" t="n"/>
      <c r="G913" s="74" t="n"/>
      <c r="H913" s="74" t="n"/>
      <c r="I913" s="74" t="n"/>
      <c r="J913" s="74" t="n"/>
      <c r="K913" s="74" t="n"/>
      <c r="L913" s="74" t="n"/>
      <c r="M913" s="74" t="n"/>
      <c r="N913" s="74" t="n"/>
      <c r="O913" s="74" t="n"/>
      <c r="P913" s="74" t="n"/>
      <c r="Q913" s="74" t="n"/>
      <c r="R913" s="74" t="n"/>
      <c r="S913" s="74" t="n"/>
      <c r="T913" s="74" t="n"/>
      <c r="U913" s="74" t="n"/>
      <c r="V913" s="74" t="n"/>
      <c r="W913" s="74" t="n"/>
    </row>
    <row r="914">
      <c r="A914" s="74" t="n"/>
      <c r="B914" s="74" t="n"/>
      <c r="C914" s="74" t="n"/>
      <c r="D914" s="74" t="n"/>
      <c r="E914" s="74" t="n"/>
      <c r="F914" s="74" t="n"/>
      <c r="G914" s="74" t="n"/>
      <c r="H914" s="74" t="n"/>
      <c r="I914" s="74" t="n"/>
      <c r="J914" s="74" t="n"/>
      <c r="K914" s="74" t="n"/>
      <c r="L914" s="74" t="n"/>
      <c r="M914" s="74" t="n"/>
      <c r="N914" s="74" t="n"/>
      <c r="O914" s="74" t="n"/>
      <c r="P914" s="74" t="n"/>
      <c r="Q914" s="74" t="n"/>
      <c r="R914" s="74" t="n"/>
      <c r="S914" s="74" t="n"/>
      <c r="T914" s="74" t="n"/>
      <c r="U914" s="74" t="n"/>
      <c r="V914" s="74" t="n"/>
      <c r="W914" s="74" t="n"/>
    </row>
    <row r="915">
      <c r="A915" s="74" t="n"/>
      <c r="B915" s="74" t="n"/>
      <c r="C915" s="74" t="n"/>
      <c r="D915" s="74" t="n"/>
      <c r="E915" s="74" t="n"/>
      <c r="F915" s="74" t="n"/>
      <c r="G915" s="74" t="n"/>
      <c r="H915" s="74" t="n"/>
      <c r="I915" s="74" t="n"/>
      <c r="J915" s="74" t="n"/>
      <c r="K915" s="74" t="n"/>
      <c r="L915" s="74" t="n"/>
      <c r="M915" s="74" t="n"/>
      <c r="N915" s="74" t="n"/>
      <c r="O915" s="74" t="n"/>
      <c r="P915" s="74" t="n"/>
      <c r="Q915" s="74" t="n"/>
      <c r="R915" s="74" t="n"/>
      <c r="S915" s="74" t="n"/>
      <c r="T915" s="74" t="n"/>
      <c r="U915" s="74" t="n"/>
      <c r="V915" s="74" t="n"/>
      <c r="W915" s="74" t="n"/>
    </row>
    <row r="916">
      <c r="A916" s="74" t="n"/>
      <c r="B916" s="74" t="n"/>
      <c r="C916" s="74" t="n"/>
      <c r="D916" s="74" t="n"/>
      <c r="E916" s="74" t="n"/>
      <c r="F916" s="74" t="n"/>
      <c r="G916" s="74" t="n"/>
      <c r="H916" s="74" t="n"/>
      <c r="I916" s="74" t="n"/>
      <c r="J916" s="74" t="n"/>
      <c r="K916" s="74" t="n"/>
      <c r="L916" s="74" t="n"/>
      <c r="M916" s="74" t="n"/>
      <c r="N916" s="74" t="n"/>
      <c r="O916" s="74" t="n"/>
      <c r="P916" s="74" t="n"/>
      <c r="Q916" s="74" t="n"/>
      <c r="R916" s="74" t="n"/>
      <c r="S916" s="74" t="n"/>
      <c r="T916" s="74" t="n"/>
      <c r="U916" s="74" t="n"/>
      <c r="V916" s="74" t="n"/>
      <c r="W916" s="74" t="n"/>
    </row>
    <row r="917">
      <c r="A917" s="74" t="n"/>
      <c r="B917" s="74" t="n"/>
      <c r="C917" s="74" t="n"/>
      <c r="D917" s="74" t="n"/>
      <c r="E917" s="74" t="n"/>
      <c r="F917" s="74" t="n"/>
      <c r="G917" s="74" t="n"/>
      <c r="H917" s="74" t="n"/>
      <c r="I917" s="74" t="n"/>
      <c r="J917" s="74" t="n"/>
      <c r="K917" s="74" t="n"/>
      <c r="L917" s="74" t="n"/>
      <c r="M917" s="74" t="n"/>
      <c r="N917" s="74" t="n"/>
      <c r="O917" s="74" t="n"/>
      <c r="P917" s="74" t="n"/>
      <c r="Q917" s="74" t="n"/>
      <c r="R917" s="74" t="n"/>
      <c r="S917" s="74" t="n"/>
      <c r="T917" s="74" t="n"/>
      <c r="U917" s="74" t="n"/>
      <c r="V917" s="74" t="n"/>
      <c r="W917" s="74" t="n"/>
    </row>
    <row r="918">
      <c r="A918" s="74" t="n"/>
      <c r="B918" s="74" t="n"/>
      <c r="C918" s="74" t="n"/>
      <c r="D918" s="74" t="n"/>
      <c r="E918" s="74" t="n"/>
      <c r="F918" s="74" t="n"/>
      <c r="G918" s="74" t="n"/>
      <c r="H918" s="74" t="n"/>
      <c r="I918" s="74" t="n"/>
      <c r="J918" s="74" t="n"/>
      <c r="K918" s="74" t="n"/>
      <c r="L918" s="74" t="n"/>
      <c r="M918" s="74" t="n"/>
      <c r="N918" s="74" t="n"/>
      <c r="O918" s="74" t="n"/>
      <c r="P918" s="74" t="n"/>
      <c r="Q918" s="74" t="n"/>
      <c r="R918" s="74" t="n"/>
      <c r="S918" s="74" t="n"/>
      <c r="T918" s="74" t="n"/>
      <c r="U918" s="74" t="n"/>
      <c r="V918" s="74" t="n"/>
      <c r="W918" s="74" t="n"/>
    </row>
    <row r="919">
      <c r="A919" s="74" t="n"/>
      <c r="B919" s="74" t="n"/>
      <c r="C919" s="74" t="n"/>
      <c r="D919" s="74" t="n"/>
      <c r="E919" s="74" t="n"/>
      <c r="F919" s="74" t="n"/>
      <c r="G919" s="74" t="n"/>
      <c r="H919" s="74" t="n"/>
      <c r="I919" s="74" t="n"/>
      <c r="J919" s="74" t="n"/>
      <c r="K919" s="74" t="n"/>
      <c r="L919" s="74" t="n"/>
      <c r="M919" s="74" t="n"/>
      <c r="N919" s="74" t="n"/>
      <c r="O919" s="74" t="n"/>
      <c r="P919" s="74" t="n"/>
      <c r="Q919" s="74" t="n"/>
      <c r="R919" s="74" t="n"/>
      <c r="S919" s="74" t="n"/>
      <c r="T919" s="74" t="n"/>
      <c r="U919" s="74" t="n"/>
      <c r="V919" s="74" t="n"/>
      <c r="W919" s="74" t="n"/>
    </row>
    <row r="920">
      <c r="A920" s="74" t="n"/>
      <c r="B920" s="74" t="n"/>
      <c r="C920" s="74" t="n"/>
      <c r="D920" s="74" t="n"/>
      <c r="E920" s="74" t="n"/>
      <c r="F920" s="74" t="n"/>
      <c r="G920" s="74" t="n"/>
      <c r="H920" s="74" t="n"/>
      <c r="I920" s="74" t="n"/>
      <c r="J920" s="74" t="n"/>
      <c r="K920" s="74" t="n"/>
      <c r="L920" s="74" t="n"/>
      <c r="M920" s="74" t="n"/>
      <c r="N920" s="74" t="n"/>
      <c r="O920" s="74" t="n"/>
      <c r="P920" s="74" t="n"/>
      <c r="Q920" s="74" t="n"/>
      <c r="R920" s="74" t="n"/>
      <c r="S920" s="74" t="n"/>
      <c r="T920" s="74" t="n"/>
      <c r="U920" s="74" t="n"/>
      <c r="V920" s="74" t="n"/>
      <c r="W920" s="74" t="n"/>
    </row>
    <row r="921">
      <c r="A921" s="74" t="n"/>
      <c r="B921" s="74" t="n"/>
      <c r="C921" s="74" t="n"/>
      <c r="D921" s="74" t="n"/>
      <c r="E921" s="74" t="n"/>
      <c r="F921" s="74" t="n"/>
      <c r="G921" s="74" t="n"/>
      <c r="H921" s="74" t="n"/>
      <c r="I921" s="74" t="n"/>
      <c r="J921" s="74" t="n"/>
      <c r="K921" s="74" t="n"/>
      <c r="L921" s="74" t="n"/>
      <c r="M921" s="74" t="n"/>
      <c r="N921" s="74" t="n"/>
      <c r="O921" s="74" t="n"/>
      <c r="P921" s="74" t="n"/>
      <c r="Q921" s="74" t="n"/>
      <c r="R921" s="74" t="n"/>
      <c r="S921" s="74" t="n"/>
      <c r="T921" s="74" t="n"/>
      <c r="U921" s="74" t="n"/>
      <c r="V921" s="74" t="n"/>
      <c r="W921" s="74" t="n"/>
    </row>
    <row r="922">
      <c r="A922" s="74" t="n"/>
      <c r="B922" s="74" t="n"/>
      <c r="C922" s="74" t="n"/>
      <c r="D922" s="74" t="n"/>
      <c r="E922" s="74" t="n"/>
      <c r="F922" s="74" t="n"/>
      <c r="G922" s="74" t="n"/>
      <c r="H922" s="74" t="n"/>
      <c r="I922" s="74" t="n"/>
      <c r="J922" s="74" t="n"/>
      <c r="K922" s="74" t="n"/>
      <c r="L922" s="74" t="n"/>
      <c r="M922" s="74" t="n"/>
      <c r="N922" s="74" t="n"/>
      <c r="O922" s="74" t="n"/>
      <c r="P922" s="74" t="n"/>
      <c r="Q922" s="74" t="n"/>
      <c r="R922" s="74" t="n"/>
      <c r="S922" s="74" t="n"/>
      <c r="T922" s="74" t="n"/>
      <c r="U922" s="74" t="n"/>
      <c r="V922" s="74" t="n"/>
      <c r="W922" s="74" t="n"/>
    </row>
    <row r="923">
      <c r="A923" s="74" t="n"/>
      <c r="B923" s="74" t="n"/>
      <c r="C923" s="74" t="n"/>
      <c r="D923" s="74" t="n"/>
      <c r="E923" s="74" t="n"/>
      <c r="F923" s="74" t="n"/>
      <c r="G923" s="74" t="n"/>
      <c r="H923" s="74" t="n"/>
      <c r="I923" s="74" t="n"/>
      <c r="J923" s="74" t="n"/>
      <c r="K923" s="74" t="n"/>
      <c r="L923" s="74" t="n"/>
      <c r="M923" s="74" t="n"/>
      <c r="N923" s="74" t="n"/>
      <c r="O923" s="74" t="n"/>
      <c r="P923" s="74" t="n"/>
      <c r="Q923" s="74" t="n"/>
      <c r="R923" s="74" t="n"/>
      <c r="S923" s="74" t="n"/>
      <c r="T923" s="74" t="n"/>
      <c r="U923" s="74" t="n"/>
      <c r="V923" s="74" t="n"/>
      <c r="W923" s="74" t="n"/>
    </row>
    <row r="924">
      <c r="A924" s="74" t="n"/>
      <c r="B924" s="74" t="n"/>
      <c r="C924" s="74" t="n"/>
      <c r="D924" s="74" t="n"/>
      <c r="E924" s="74" t="n"/>
      <c r="F924" s="74" t="n"/>
      <c r="G924" s="74" t="n"/>
      <c r="H924" s="74" t="n"/>
      <c r="I924" s="74" t="n"/>
      <c r="J924" s="74" t="n"/>
      <c r="K924" s="74" t="n"/>
      <c r="L924" s="74" t="n"/>
      <c r="M924" s="74" t="n"/>
      <c r="N924" s="74" t="n"/>
      <c r="O924" s="74" t="n"/>
      <c r="P924" s="74" t="n"/>
      <c r="Q924" s="74" t="n"/>
      <c r="R924" s="74" t="n"/>
      <c r="S924" s="74" t="n"/>
      <c r="T924" s="74" t="n"/>
      <c r="U924" s="74" t="n"/>
      <c r="V924" s="74" t="n"/>
      <c r="W924" s="74" t="n"/>
    </row>
    <row r="925">
      <c r="A925" s="74" t="n"/>
      <c r="B925" s="74" t="n"/>
      <c r="C925" s="74" t="n"/>
      <c r="D925" s="74" t="n"/>
      <c r="E925" s="74" t="n"/>
      <c r="F925" s="74" t="n"/>
      <c r="G925" s="74" t="n"/>
      <c r="H925" s="74" t="n"/>
      <c r="I925" s="74" t="n"/>
      <c r="J925" s="74" t="n"/>
      <c r="K925" s="74" t="n"/>
      <c r="L925" s="74" t="n"/>
      <c r="M925" s="74" t="n"/>
      <c r="N925" s="74" t="n"/>
      <c r="O925" s="74" t="n"/>
      <c r="P925" s="74" t="n"/>
      <c r="Q925" s="74" t="n"/>
      <c r="R925" s="74" t="n"/>
      <c r="S925" s="74" t="n"/>
      <c r="T925" s="74" t="n"/>
      <c r="U925" s="74" t="n"/>
      <c r="V925" s="74" t="n"/>
      <c r="W925" s="74" t="n"/>
    </row>
    <row r="926">
      <c r="A926" s="74" t="n"/>
      <c r="B926" s="74" t="n"/>
      <c r="C926" s="74" t="n"/>
      <c r="D926" s="74" t="n"/>
      <c r="E926" s="74" t="n"/>
      <c r="F926" s="74" t="n"/>
      <c r="G926" s="74" t="n"/>
      <c r="H926" s="74" t="n"/>
      <c r="I926" s="74" t="n"/>
      <c r="J926" s="74" t="n"/>
      <c r="K926" s="74" t="n"/>
      <c r="L926" s="74" t="n"/>
      <c r="M926" s="74" t="n"/>
      <c r="N926" s="74" t="n"/>
      <c r="O926" s="74" t="n"/>
      <c r="P926" s="74" t="n"/>
      <c r="Q926" s="74" t="n"/>
      <c r="R926" s="74" t="n"/>
      <c r="S926" s="74" t="n"/>
      <c r="T926" s="74" t="n"/>
      <c r="U926" s="74" t="n"/>
      <c r="V926" s="74" t="n"/>
      <c r="W926" s="74" t="n"/>
    </row>
    <row r="927">
      <c r="A927" s="74" t="n"/>
      <c r="B927" s="74" t="n"/>
      <c r="C927" s="74" t="n"/>
      <c r="D927" s="74" t="n"/>
      <c r="E927" s="74" t="n"/>
      <c r="F927" s="74" t="n"/>
      <c r="G927" s="74" t="n"/>
      <c r="H927" s="74" t="n"/>
      <c r="I927" s="74" t="n"/>
      <c r="J927" s="74" t="n"/>
      <c r="K927" s="74" t="n"/>
      <c r="L927" s="74" t="n"/>
      <c r="M927" s="74" t="n"/>
      <c r="N927" s="74" t="n"/>
      <c r="O927" s="74" t="n"/>
      <c r="P927" s="74" t="n"/>
      <c r="Q927" s="74" t="n"/>
      <c r="R927" s="74" t="n"/>
      <c r="S927" s="74" t="n"/>
      <c r="T927" s="74" t="n"/>
      <c r="U927" s="74" t="n"/>
      <c r="V927" s="74" t="n"/>
      <c r="W927" s="74" t="n"/>
    </row>
    <row r="928">
      <c r="A928" s="74" t="n"/>
      <c r="B928" s="74" t="n"/>
      <c r="C928" s="74" t="n"/>
      <c r="D928" s="74" t="n"/>
      <c r="E928" s="74" t="n"/>
      <c r="F928" s="74" t="n"/>
      <c r="G928" s="74" t="n"/>
      <c r="H928" s="74" t="n"/>
      <c r="I928" s="74" t="n"/>
      <c r="J928" s="74" t="n"/>
      <c r="K928" s="74" t="n"/>
      <c r="L928" s="74" t="n"/>
      <c r="M928" s="74" t="n"/>
      <c r="N928" s="74" t="n"/>
      <c r="O928" s="74" t="n"/>
      <c r="P928" s="74" t="n"/>
      <c r="Q928" s="74" t="n"/>
      <c r="R928" s="74" t="n"/>
      <c r="S928" s="74" t="n"/>
      <c r="T928" s="74" t="n"/>
      <c r="U928" s="74" t="n"/>
      <c r="V928" s="74" t="n"/>
      <c r="W928" s="74" t="n"/>
    </row>
    <row r="929">
      <c r="A929" s="74" t="n"/>
      <c r="B929" s="74" t="n"/>
      <c r="C929" s="74" t="n"/>
      <c r="D929" s="74" t="n"/>
      <c r="E929" s="74" t="n"/>
      <c r="F929" s="74" t="n"/>
      <c r="G929" s="74" t="n"/>
      <c r="H929" s="74" t="n"/>
      <c r="I929" s="74" t="n"/>
      <c r="J929" s="74" t="n"/>
      <c r="K929" s="74" t="n"/>
      <c r="L929" s="74" t="n"/>
      <c r="M929" s="74" t="n"/>
      <c r="N929" s="74" t="n"/>
      <c r="O929" s="74" t="n"/>
      <c r="P929" s="74" t="n"/>
      <c r="Q929" s="74" t="n"/>
      <c r="R929" s="74" t="n"/>
      <c r="S929" s="74" t="n"/>
      <c r="T929" s="74" t="n"/>
      <c r="U929" s="74" t="n"/>
      <c r="V929" s="74" t="n"/>
      <c r="W929" s="74" t="n"/>
    </row>
    <row r="930">
      <c r="A930" s="74" t="n"/>
      <c r="B930" s="74" t="n"/>
      <c r="C930" s="74" t="n"/>
      <c r="D930" s="74" t="n"/>
      <c r="E930" s="74" t="n"/>
      <c r="F930" s="74" t="n"/>
      <c r="G930" s="74" t="n"/>
      <c r="H930" s="74" t="n"/>
      <c r="I930" s="74" t="n"/>
      <c r="J930" s="74" t="n"/>
      <c r="K930" s="74" t="n"/>
      <c r="L930" s="74" t="n"/>
      <c r="M930" s="74" t="n"/>
      <c r="N930" s="74" t="n"/>
      <c r="O930" s="74" t="n"/>
      <c r="P930" s="74" t="n"/>
      <c r="Q930" s="74" t="n"/>
      <c r="R930" s="74" t="n"/>
      <c r="S930" s="74" t="n"/>
      <c r="T930" s="74" t="n"/>
      <c r="U930" s="74" t="n"/>
      <c r="V930" s="74" t="n"/>
      <c r="W930" s="74" t="n"/>
    </row>
    <row r="931">
      <c r="A931" s="74" t="n"/>
      <c r="B931" s="74" t="n"/>
      <c r="C931" s="74" t="n"/>
      <c r="D931" s="74" t="n"/>
      <c r="E931" s="74" t="n"/>
      <c r="F931" s="74" t="n"/>
      <c r="G931" s="74" t="n"/>
      <c r="H931" s="74" t="n"/>
      <c r="I931" s="74" t="n"/>
      <c r="J931" s="74" t="n"/>
      <c r="K931" s="74" t="n"/>
      <c r="L931" s="74" t="n"/>
      <c r="M931" s="74" t="n"/>
      <c r="N931" s="74" t="n"/>
      <c r="O931" s="74" t="n"/>
      <c r="P931" s="74" t="n"/>
      <c r="Q931" s="74" t="n"/>
      <c r="R931" s="74" t="n"/>
      <c r="S931" s="74" t="n"/>
      <c r="T931" s="74" t="n"/>
      <c r="U931" s="74" t="n"/>
      <c r="V931" s="74" t="n"/>
      <c r="W931" s="74" t="n"/>
    </row>
    <row r="932">
      <c r="A932" s="74" t="n"/>
      <c r="B932" s="74" t="n"/>
      <c r="C932" s="74" t="n"/>
      <c r="D932" s="74" t="n"/>
      <c r="E932" s="74" t="n"/>
      <c r="F932" s="74" t="n"/>
      <c r="G932" s="74" t="n"/>
      <c r="H932" s="74" t="n"/>
      <c r="I932" s="74" t="n"/>
      <c r="J932" s="74" t="n"/>
      <c r="K932" s="74" t="n"/>
      <c r="L932" s="74" t="n"/>
      <c r="M932" s="74" t="n"/>
      <c r="N932" s="74" t="n"/>
      <c r="O932" s="74" t="n"/>
      <c r="P932" s="74" t="n"/>
      <c r="Q932" s="74" t="n"/>
      <c r="R932" s="74" t="n"/>
      <c r="S932" s="74" t="n"/>
      <c r="T932" s="74" t="n"/>
      <c r="U932" s="74" t="n"/>
      <c r="V932" s="74" t="n"/>
      <c r="W932" s="74" t="n"/>
    </row>
    <row r="933">
      <c r="A933" s="74" t="n"/>
      <c r="B933" s="74" t="n"/>
      <c r="C933" s="74" t="n"/>
      <c r="D933" s="74" t="n"/>
      <c r="E933" s="74" t="n"/>
      <c r="F933" s="74" t="n"/>
      <c r="G933" s="74" t="n"/>
      <c r="H933" s="74" t="n"/>
      <c r="I933" s="74" t="n"/>
      <c r="J933" s="74" t="n"/>
      <c r="K933" s="74" t="n"/>
      <c r="L933" s="74" t="n"/>
      <c r="M933" s="74" t="n"/>
      <c r="N933" s="74" t="n"/>
      <c r="O933" s="74" t="n"/>
      <c r="P933" s="74" t="n"/>
      <c r="Q933" s="74" t="n"/>
      <c r="R933" s="74" t="n"/>
      <c r="S933" s="74" t="n"/>
      <c r="T933" s="74" t="n"/>
      <c r="U933" s="74" t="n"/>
      <c r="V933" s="74" t="n"/>
      <c r="W933" s="74" t="n"/>
    </row>
    <row r="934">
      <c r="A934" s="74" t="n"/>
      <c r="B934" s="74" t="n"/>
      <c r="C934" s="74" t="n"/>
      <c r="D934" s="74" t="n"/>
      <c r="E934" s="74" t="n"/>
      <c r="F934" s="74" t="n"/>
      <c r="G934" s="74" t="n"/>
      <c r="H934" s="74" t="n"/>
      <c r="I934" s="74" t="n"/>
      <c r="J934" s="74" t="n"/>
      <c r="K934" s="74" t="n"/>
      <c r="L934" s="74" t="n"/>
      <c r="M934" s="74" t="n"/>
      <c r="N934" s="74" t="n"/>
      <c r="O934" s="74" t="n"/>
      <c r="P934" s="74" t="n"/>
      <c r="Q934" s="74" t="n"/>
      <c r="R934" s="74" t="n"/>
      <c r="S934" s="74" t="n"/>
      <c r="T934" s="74" t="n"/>
      <c r="U934" s="74" t="n"/>
      <c r="V934" s="74" t="n"/>
      <c r="W934" s="74" t="n"/>
    </row>
    <row r="935">
      <c r="A935" s="74" t="n"/>
      <c r="B935" s="74" t="n"/>
      <c r="C935" s="74" t="n"/>
      <c r="D935" s="74" t="n"/>
      <c r="E935" s="74" t="n"/>
      <c r="F935" s="74" t="n"/>
      <c r="G935" s="74" t="n"/>
      <c r="H935" s="74" t="n"/>
      <c r="I935" s="74" t="n"/>
      <c r="J935" s="74" t="n"/>
      <c r="K935" s="74" t="n"/>
      <c r="L935" s="74" t="n"/>
      <c r="M935" s="74" t="n"/>
      <c r="N935" s="74" t="n"/>
      <c r="O935" s="74" t="n"/>
      <c r="P935" s="74" t="n"/>
      <c r="Q935" s="74" t="n"/>
      <c r="R935" s="74" t="n"/>
      <c r="S935" s="74" t="n"/>
      <c r="T935" s="74" t="n"/>
      <c r="U935" s="74" t="n"/>
      <c r="V935" s="74" t="n"/>
      <c r="W935" s="74" t="n"/>
    </row>
    <row r="936">
      <c r="A936" s="74" t="n"/>
      <c r="B936" s="74" t="n"/>
      <c r="C936" s="74" t="n"/>
      <c r="D936" s="74" t="n"/>
      <c r="E936" s="74" t="n"/>
      <c r="F936" s="74" t="n"/>
      <c r="G936" s="74" t="n"/>
      <c r="H936" s="74" t="n"/>
      <c r="I936" s="74" t="n"/>
      <c r="J936" s="74" t="n"/>
      <c r="K936" s="74" t="n"/>
      <c r="L936" s="74" t="n"/>
      <c r="M936" s="74" t="n"/>
      <c r="N936" s="74" t="n"/>
      <c r="O936" s="74" t="n"/>
      <c r="P936" s="74" t="n"/>
      <c r="Q936" s="74" t="n"/>
      <c r="R936" s="74" t="n"/>
      <c r="S936" s="74" t="n"/>
      <c r="T936" s="74" t="n"/>
      <c r="U936" s="74" t="n"/>
      <c r="V936" s="74" t="n"/>
      <c r="W936" s="74" t="n"/>
    </row>
    <row r="937">
      <c r="A937" s="74" t="n"/>
      <c r="B937" s="74" t="n"/>
      <c r="C937" s="74" t="n"/>
      <c r="D937" s="74" t="n"/>
      <c r="E937" s="74" t="n"/>
      <c r="F937" s="74" t="n"/>
      <c r="G937" s="74" t="n"/>
      <c r="H937" s="74" t="n"/>
      <c r="I937" s="74" t="n"/>
      <c r="J937" s="74" t="n"/>
      <c r="K937" s="74" t="n"/>
      <c r="L937" s="74" t="n"/>
      <c r="M937" s="74" t="n"/>
      <c r="N937" s="74" t="n"/>
      <c r="O937" s="74" t="n"/>
      <c r="P937" s="74" t="n"/>
      <c r="Q937" s="74" t="n"/>
      <c r="R937" s="74" t="n"/>
      <c r="S937" s="74" t="n"/>
      <c r="T937" s="74" t="n"/>
      <c r="U937" s="74" t="n"/>
      <c r="V937" s="74" t="n"/>
      <c r="W937" s="74" t="n"/>
    </row>
    <row r="938">
      <c r="A938" s="74" t="n"/>
      <c r="B938" s="74" t="n"/>
      <c r="C938" s="74" t="n"/>
      <c r="D938" s="74" t="n"/>
      <c r="E938" s="74" t="n"/>
      <c r="F938" s="74" t="n"/>
      <c r="G938" s="74" t="n"/>
      <c r="H938" s="74" t="n"/>
      <c r="I938" s="74" t="n"/>
      <c r="J938" s="74" t="n"/>
      <c r="K938" s="74" t="n"/>
      <c r="L938" s="74" t="n"/>
      <c r="M938" s="74" t="n"/>
      <c r="N938" s="74" t="n"/>
      <c r="O938" s="74" t="n"/>
      <c r="P938" s="74" t="n"/>
      <c r="Q938" s="74" t="n"/>
      <c r="R938" s="74" t="n"/>
      <c r="S938" s="74" t="n"/>
      <c r="T938" s="74" t="n"/>
      <c r="U938" s="74" t="n"/>
      <c r="V938" s="74" t="n"/>
      <c r="W938" s="74" t="n"/>
    </row>
    <row r="939">
      <c r="A939" s="74" t="n"/>
      <c r="B939" s="74" t="n"/>
      <c r="C939" s="74" t="n"/>
      <c r="D939" s="74" t="n"/>
      <c r="E939" s="74" t="n"/>
      <c r="F939" s="74" t="n"/>
      <c r="G939" s="74" t="n"/>
      <c r="H939" s="74" t="n"/>
      <c r="I939" s="74" t="n"/>
      <c r="J939" s="74" t="n"/>
      <c r="K939" s="74" t="n"/>
      <c r="L939" s="74" t="n"/>
      <c r="M939" s="74" t="n"/>
      <c r="N939" s="74" t="n"/>
      <c r="O939" s="74" t="n"/>
      <c r="P939" s="74" t="n"/>
      <c r="Q939" s="74" t="n"/>
      <c r="R939" s="74" t="n"/>
      <c r="S939" s="74" t="n"/>
      <c r="T939" s="74" t="n"/>
      <c r="U939" s="74" t="n"/>
      <c r="V939" s="74" t="n"/>
      <c r="W939" s="74" t="n"/>
    </row>
    <row r="940">
      <c r="A940" s="74" t="n"/>
      <c r="B940" s="74" t="n"/>
      <c r="C940" s="74" t="n"/>
      <c r="D940" s="74" t="n"/>
      <c r="E940" s="74" t="n"/>
      <c r="F940" s="74" t="n"/>
      <c r="G940" s="74" t="n"/>
      <c r="H940" s="74" t="n"/>
      <c r="I940" s="74" t="n"/>
      <c r="J940" s="74" t="n"/>
      <c r="K940" s="74" t="n"/>
      <c r="L940" s="74" t="n"/>
      <c r="M940" s="74" t="n"/>
      <c r="N940" s="74" t="n"/>
      <c r="O940" s="74" t="n"/>
      <c r="P940" s="74" t="n"/>
      <c r="Q940" s="74" t="n"/>
      <c r="R940" s="74" t="n"/>
      <c r="S940" s="74" t="n"/>
      <c r="T940" s="74" t="n"/>
      <c r="U940" s="74" t="n"/>
      <c r="V940" s="74" t="n"/>
      <c r="W940" s="74" t="n"/>
    </row>
    <row r="941">
      <c r="A941" s="74" t="n"/>
      <c r="B941" s="74" t="n"/>
      <c r="C941" s="74" t="n"/>
      <c r="D941" s="74" t="n"/>
      <c r="E941" s="74" t="n"/>
      <c r="F941" s="74" t="n"/>
      <c r="G941" s="74" t="n"/>
      <c r="H941" s="74" t="n"/>
      <c r="I941" s="74" t="n"/>
      <c r="J941" s="74" t="n"/>
      <c r="K941" s="74" t="n"/>
      <c r="L941" s="74" t="n"/>
      <c r="M941" s="74" t="n"/>
      <c r="N941" s="74" t="n"/>
      <c r="O941" s="74" t="n"/>
      <c r="P941" s="74" t="n"/>
      <c r="Q941" s="74" t="n"/>
      <c r="R941" s="74" t="n"/>
      <c r="S941" s="74" t="n"/>
      <c r="T941" s="74" t="n"/>
      <c r="U941" s="74" t="n"/>
      <c r="V941" s="74" t="n"/>
      <c r="W941" s="74" t="n"/>
    </row>
    <row r="942">
      <c r="A942" s="74" t="n"/>
      <c r="B942" s="74" t="n"/>
      <c r="C942" s="74" t="n"/>
      <c r="D942" s="74" t="n"/>
      <c r="E942" s="74" t="n"/>
      <c r="F942" s="74" t="n"/>
      <c r="G942" s="74" t="n"/>
      <c r="H942" s="74" t="n"/>
      <c r="I942" s="74" t="n"/>
      <c r="J942" s="74" t="n"/>
      <c r="K942" s="74" t="n"/>
      <c r="L942" s="74" t="n"/>
      <c r="M942" s="74" t="n"/>
      <c r="N942" s="74" t="n"/>
      <c r="O942" s="74" t="n"/>
      <c r="P942" s="74" t="n"/>
      <c r="Q942" s="74" t="n"/>
      <c r="R942" s="74" t="n"/>
      <c r="S942" s="74" t="n"/>
      <c r="T942" s="74" t="n"/>
      <c r="U942" s="74" t="n"/>
      <c r="V942" s="74" t="n"/>
      <c r="W942" s="74" t="n"/>
    </row>
    <row r="943">
      <c r="A943" s="74" t="n"/>
      <c r="B943" s="74" t="n"/>
      <c r="C943" s="74" t="n"/>
      <c r="D943" s="74" t="n"/>
      <c r="E943" s="74" t="n"/>
      <c r="F943" s="74" t="n"/>
      <c r="G943" s="74" t="n"/>
      <c r="H943" s="74" t="n"/>
      <c r="I943" s="74" t="n"/>
      <c r="J943" s="74" t="n"/>
      <c r="K943" s="74" t="n"/>
      <c r="L943" s="74" t="n"/>
      <c r="M943" s="74" t="n"/>
      <c r="N943" s="74" t="n"/>
      <c r="O943" s="74" t="n"/>
      <c r="P943" s="74" t="n"/>
      <c r="Q943" s="74" t="n"/>
      <c r="R943" s="74" t="n"/>
      <c r="S943" s="74" t="n"/>
      <c r="T943" s="74" t="n"/>
      <c r="U943" s="74" t="n"/>
      <c r="V943" s="74" t="n"/>
      <c r="W943" s="74" t="n"/>
    </row>
    <row r="944">
      <c r="A944" s="74" t="n"/>
      <c r="B944" s="74" t="n"/>
      <c r="C944" s="74" t="n"/>
      <c r="D944" s="74" t="n"/>
      <c r="E944" s="74" t="n"/>
      <c r="F944" s="74" t="n"/>
      <c r="G944" s="74" t="n"/>
      <c r="H944" s="74" t="n"/>
      <c r="I944" s="74" t="n"/>
      <c r="J944" s="74" t="n"/>
      <c r="K944" s="74" t="n"/>
      <c r="L944" s="74" t="n"/>
      <c r="M944" s="74" t="n"/>
      <c r="N944" s="74" t="n"/>
      <c r="O944" s="74" t="n"/>
      <c r="P944" s="74" t="n"/>
      <c r="Q944" s="74" t="n"/>
      <c r="R944" s="74" t="n"/>
      <c r="S944" s="74" t="n"/>
      <c r="T944" s="74" t="n"/>
      <c r="U944" s="74" t="n"/>
      <c r="V944" s="74" t="n"/>
      <c r="W944" s="74" t="n"/>
    </row>
    <row r="945">
      <c r="A945" s="74" t="n"/>
      <c r="B945" s="74" t="n"/>
      <c r="C945" s="74" t="n"/>
      <c r="D945" s="74" t="n"/>
      <c r="E945" s="74" t="n"/>
      <c r="F945" s="74" t="n"/>
      <c r="G945" s="74" t="n"/>
      <c r="H945" s="74" t="n"/>
      <c r="I945" s="74" t="n"/>
      <c r="J945" s="74" t="n"/>
      <c r="K945" s="74" t="n"/>
      <c r="L945" s="74" t="n"/>
      <c r="M945" s="74" t="n"/>
      <c r="N945" s="74" t="n"/>
      <c r="O945" s="74" t="n"/>
      <c r="P945" s="74" t="n"/>
      <c r="Q945" s="74" t="n"/>
      <c r="R945" s="74" t="n"/>
      <c r="S945" s="74" t="n"/>
      <c r="T945" s="74" t="n"/>
      <c r="U945" s="74" t="n"/>
      <c r="V945" s="74" t="n"/>
      <c r="W945" s="74" t="n"/>
    </row>
    <row r="946">
      <c r="A946" s="74" t="n"/>
      <c r="B946" s="74" t="n"/>
      <c r="C946" s="74" t="n"/>
      <c r="D946" s="74" t="n"/>
      <c r="E946" s="74" t="n"/>
      <c r="F946" s="74" t="n"/>
      <c r="G946" s="74" t="n"/>
      <c r="H946" s="74" t="n"/>
      <c r="I946" s="74" t="n"/>
      <c r="J946" s="74" t="n"/>
      <c r="K946" s="74" t="n"/>
      <c r="L946" s="74" t="n"/>
      <c r="M946" s="74" t="n"/>
      <c r="N946" s="74" t="n"/>
      <c r="O946" s="74" t="n"/>
      <c r="P946" s="74" t="n"/>
      <c r="Q946" s="74" t="n"/>
      <c r="R946" s="74" t="n"/>
      <c r="S946" s="74" t="n"/>
      <c r="T946" s="74" t="n"/>
      <c r="U946" s="74" t="n"/>
      <c r="V946" s="74" t="n"/>
      <c r="W946" s="74" t="n"/>
    </row>
    <row r="947">
      <c r="A947" s="74" t="n"/>
      <c r="B947" s="74" t="n"/>
      <c r="C947" s="74" t="n"/>
      <c r="D947" s="74" t="n"/>
      <c r="E947" s="74" t="n"/>
      <c r="F947" s="74" t="n"/>
      <c r="G947" s="74" t="n"/>
      <c r="H947" s="74" t="n"/>
      <c r="I947" s="74" t="n"/>
      <c r="J947" s="74" t="n"/>
      <c r="K947" s="74" t="n"/>
      <c r="L947" s="74" t="n"/>
      <c r="M947" s="74" t="n"/>
      <c r="N947" s="74" t="n"/>
      <c r="O947" s="74" t="n"/>
      <c r="P947" s="74" t="n"/>
      <c r="Q947" s="74" t="n"/>
      <c r="R947" s="74" t="n"/>
      <c r="S947" s="74" t="n"/>
      <c r="T947" s="74" t="n"/>
      <c r="U947" s="74" t="n"/>
      <c r="V947" s="74" t="n"/>
      <c r="W947" s="74" t="n"/>
    </row>
    <row r="948">
      <c r="A948" s="74" t="n"/>
      <c r="B948" s="74" t="n"/>
      <c r="C948" s="74" t="n"/>
      <c r="D948" s="74" t="n"/>
      <c r="E948" s="74" t="n"/>
      <c r="F948" s="74" t="n"/>
      <c r="G948" s="74" t="n"/>
      <c r="H948" s="74" t="n"/>
      <c r="I948" s="74" t="n"/>
      <c r="J948" s="74" t="n"/>
      <c r="K948" s="74" t="n"/>
      <c r="L948" s="74" t="n"/>
      <c r="M948" s="74" t="n"/>
      <c r="N948" s="74" t="n"/>
      <c r="O948" s="74" t="n"/>
      <c r="P948" s="74" t="n"/>
      <c r="Q948" s="74" t="n"/>
      <c r="R948" s="74" t="n"/>
      <c r="S948" s="74" t="n"/>
      <c r="T948" s="74" t="n"/>
      <c r="U948" s="74" t="n"/>
      <c r="V948" s="74" t="n"/>
      <c r="W948" s="74" t="n"/>
    </row>
    <row r="949">
      <c r="A949" s="74" t="n"/>
      <c r="B949" s="74" t="n"/>
      <c r="C949" s="74" t="n"/>
      <c r="D949" s="74" t="n"/>
      <c r="E949" s="74" t="n"/>
      <c r="F949" s="74" t="n"/>
      <c r="G949" s="74" t="n"/>
      <c r="H949" s="74" t="n"/>
      <c r="I949" s="74" t="n"/>
      <c r="J949" s="74" t="n"/>
      <c r="K949" s="74" t="n"/>
      <c r="L949" s="74" t="n"/>
      <c r="M949" s="74" t="n"/>
      <c r="N949" s="74" t="n"/>
      <c r="O949" s="74" t="n"/>
      <c r="P949" s="74" t="n"/>
      <c r="Q949" s="74" t="n"/>
      <c r="R949" s="74" t="n"/>
      <c r="S949" s="74" t="n"/>
      <c r="T949" s="74" t="n"/>
      <c r="U949" s="74" t="n"/>
      <c r="V949" s="74" t="n"/>
      <c r="W949" s="74" t="n"/>
    </row>
    <row r="950">
      <c r="A950" s="74" t="n"/>
      <c r="B950" s="74" t="n"/>
      <c r="C950" s="74" t="n"/>
      <c r="D950" s="74" t="n"/>
      <c r="E950" s="74" t="n"/>
      <c r="F950" s="74" t="n"/>
      <c r="G950" s="74" t="n"/>
      <c r="H950" s="74" t="n"/>
      <c r="I950" s="74" t="n"/>
      <c r="J950" s="74" t="n"/>
      <c r="K950" s="74" t="n"/>
      <c r="L950" s="74" t="n"/>
      <c r="M950" s="74" t="n"/>
      <c r="N950" s="74" t="n"/>
      <c r="O950" s="74" t="n"/>
      <c r="P950" s="74" t="n"/>
      <c r="Q950" s="74" t="n"/>
      <c r="R950" s="74" t="n"/>
      <c r="S950" s="74" t="n"/>
      <c r="T950" s="74" t="n"/>
      <c r="U950" s="74" t="n"/>
      <c r="V950" s="74" t="n"/>
      <c r="W950" s="74" t="n"/>
    </row>
    <row r="951">
      <c r="A951" s="74" t="n"/>
      <c r="B951" s="74" t="n"/>
      <c r="C951" s="74" t="n"/>
      <c r="D951" s="74" t="n"/>
      <c r="E951" s="74" t="n"/>
      <c r="F951" s="74" t="n"/>
      <c r="G951" s="74" t="n"/>
      <c r="H951" s="74" t="n"/>
      <c r="I951" s="74" t="n"/>
      <c r="J951" s="74" t="n"/>
      <c r="K951" s="74" t="n"/>
      <c r="L951" s="74" t="n"/>
      <c r="M951" s="74" t="n"/>
      <c r="N951" s="74" t="n"/>
      <c r="O951" s="74" t="n"/>
      <c r="P951" s="74" t="n"/>
      <c r="Q951" s="74" t="n"/>
      <c r="R951" s="74" t="n"/>
      <c r="S951" s="74" t="n"/>
      <c r="T951" s="74" t="n"/>
      <c r="U951" s="74" t="n"/>
      <c r="V951" s="74" t="n"/>
      <c r="W951" s="74" t="n"/>
    </row>
    <row r="952">
      <c r="A952" s="74" t="n"/>
      <c r="B952" s="74" t="n"/>
      <c r="C952" s="74" t="n"/>
      <c r="D952" s="74" t="n"/>
      <c r="E952" s="74" t="n"/>
      <c r="F952" s="74" t="n"/>
      <c r="G952" s="74" t="n"/>
      <c r="H952" s="74" t="n"/>
      <c r="I952" s="74" t="n"/>
      <c r="J952" s="74" t="n"/>
      <c r="K952" s="74" t="n"/>
      <c r="L952" s="74" t="n"/>
      <c r="M952" s="74" t="n"/>
      <c r="N952" s="74" t="n"/>
      <c r="O952" s="74" t="n"/>
      <c r="P952" s="74" t="n"/>
      <c r="Q952" s="74" t="n"/>
      <c r="R952" s="74" t="n"/>
      <c r="S952" s="74" t="n"/>
      <c r="T952" s="74" t="n"/>
      <c r="U952" s="74" t="n"/>
      <c r="V952" s="74" t="n"/>
      <c r="W952" s="74" t="n"/>
    </row>
    <row r="953">
      <c r="A953" s="74" t="n"/>
      <c r="B953" s="74" t="n"/>
      <c r="C953" s="74" t="n"/>
      <c r="D953" s="74" t="n"/>
      <c r="E953" s="74" t="n"/>
      <c r="F953" s="74" t="n"/>
      <c r="G953" s="74" t="n"/>
      <c r="H953" s="74" t="n"/>
      <c r="I953" s="74" t="n"/>
      <c r="J953" s="74" t="n"/>
      <c r="K953" s="74" t="n"/>
      <c r="L953" s="74" t="n"/>
      <c r="M953" s="74" t="n"/>
      <c r="N953" s="74" t="n"/>
      <c r="O953" s="74" t="n"/>
      <c r="P953" s="74" t="n"/>
      <c r="Q953" s="74" t="n"/>
      <c r="R953" s="74" t="n"/>
      <c r="S953" s="74" t="n"/>
      <c r="T953" s="74" t="n"/>
      <c r="U953" s="74" t="n"/>
      <c r="V953" s="74" t="n"/>
      <c r="W953" s="74" t="n"/>
    </row>
    <row r="954">
      <c r="A954" s="74" t="n"/>
      <c r="B954" s="74" t="n"/>
      <c r="C954" s="74" t="n"/>
      <c r="D954" s="74" t="n"/>
      <c r="E954" s="74" t="n"/>
      <c r="F954" s="74" t="n"/>
      <c r="G954" s="74" t="n"/>
      <c r="H954" s="74" t="n"/>
      <c r="I954" s="74" t="n"/>
      <c r="J954" s="74" t="n"/>
      <c r="K954" s="74" t="n"/>
      <c r="L954" s="74" t="n"/>
      <c r="M954" s="74" t="n"/>
      <c r="N954" s="74" t="n"/>
      <c r="O954" s="74" t="n"/>
      <c r="P954" s="74" t="n"/>
      <c r="Q954" s="74" t="n"/>
      <c r="R954" s="74" t="n"/>
      <c r="S954" s="74" t="n"/>
      <c r="T954" s="74" t="n"/>
      <c r="U954" s="74" t="n"/>
      <c r="V954" s="74" t="n"/>
      <c r="W954" s="74" t="n"/>
    </row>
    <row r="955">
      <c r="A955" s="74" t="n"/>
      <c r="B955" s="74" t="n"/>
      <c r="C955" s="74" t="n"/>
      <c r="D955" s="74" t="n"/>
      <c r="E955" s="74" t="n"/>
      <c r="F955" s="74" t="n"/>
      <c r="G955" s="74" t="n"/>
      <c r="H955" s="74" t="n"/>
      <c r="I955" s="74" t="n"/>
      <c r="J955" s="74" t="n"/>
      <c r="K955" s="74" t="n"/>
      <c r="L955" s="74" t="n"/>
      <c r="M955" s="74" t="n"/>
      <c r="N955" s="74" t="n"/>
      <c r="O955" s="74" t="n"/>
      <c r="P955" s="74" t="n"/>
      <c r="Q955" s="74" t="n"/>
      <c r="R955" s="74" t="n"/>
      <c r="S955" s="74" t="n"/>
      <c r="T955" s="74" t="n"/>
      <c r="U955" s="74" t="n"/>
      <c r="V955" s="74" t="n"/>
      <c r="W955" s="74" t="n"/>
    </row>
    <row r="956">
      <c r="A956" s="74" t="n"/>
      <c r="B956" s="74" t="n"/>
      <c r="C956" s="74" t="n"/>
      <c r="D956" s="74" t="n"/>
      <c r="E956" s="74" t="n"/>
      <c r="F956" s="74" t="n"/>
      <c r="G956" s="74" t="n"/>
      <c r="H956" s="74" t="n"/>
      <c r="I956" s="74" t="n"/>
      <c r="J956" s="74" t="n"/>
      <c r="K956" s="74" t="n"/>
      <c r="L956" s="74" t="n"/>
      <c r="M956" s="74" t="n"/>
      <c r="N956" s="74" t="n"/>
      <c r="O956" s="74" t="n"/>
      <c r="P956" s="74" t="n"/>
      <c r="Q956" s="74" t="n"/>
      <c r="R956" s="74" t="n"/>
      <c r="S956" s="74" t="n"/>
      <c r="T956" s="74" t="n"/>
      <c r="U956" s="74" t="n"/>
      <c r="V956" s="74" t="n"/>
      <c r="W956" s="74" t="n"/>
    </row>
    <row r="957">
      <c r="A957" s="74" t="n"/>
      <c r="B957" s="74" t="n"/>
      <c r="C957" s="74" t="n"/>
      <c r="D957" s="74" t="n"/>
      <c r="E957" s="74" t="n"/>
      <c r="F957" s="74" t="n"/>
      <c r="G957" s="74" t="n"/>
      <c r="H957" s="74" t="n"/>
      <c r="I957" s="74" t="n"/>
      <c r="J957" s="74" t="n"/>
      <c r="K957" s="74" t="n"/>
      <c r="L957" s="74" t="n"/>
      <c r="M957" s="74" t="n"/>
      <c r="N957" s="74" t="n"/>
      <c r="O957" s="74" t="n"/>
      <c r="P957" s="74" t="n"/>
      <c r="Q957" s="74" t="n"/>
      <c r="R957" s="74" t="n"/>
      <c r="S957" s="74" t="n"/>
      <c r="T957" s="74" t="n"/>
      <c r="U957" s="74" t="n"/>
      <c r="V957" s="74" t="n"/>
      <c r="W957" s="74" t="n"/>
    </row>
    <row r="958">
      <c r="A958" s="74" t="n"/>
      <c r="B958" s="74" t="n"/>
      <c r="C958" s="74" t="n"/>
      <c r="D958" s="74" t="n"/>
      <c r="E958" s="74" t="n"/>
      <c r="F958" s="74" t="n"/>
      <c r="G958" s="74" t="n"/>
      <c r="H958" s="74" t="n"/>
      <c r="I958" s="74" t="n"/>
      <c r="J958" s="74" t="n"/>
      <c r="K958" s="74" t="n"/>
      <c r="L958" s="74" t="n"/>
      <c r="M958" s="74" t="n"/>
      <c r="N958" s="74" t="n"/>
      <c r="O958" s="74" t="n"/>
      <c r="P958" s="74" t="n"/>
      <c r="Q958" s="74" t="n"/>
      <c r="R958" s="74" t="n"/>
      <c r="S958" s="74" t="n"/>
      <c r="T958" s="74" t="n"/>
      <c r="U958" s="74" t="n"/>
      <c r="V958" s="74" t="n"/>
      <c r="W958" s="74" t="n"/>
    </row>
    <row r="959">
      <c r="A959" s="74" t="n"/>
      <c r="B959" s="74" t="n"/>
      <c r="C959" s="74" t="n"/>
      <c r="D959" s="74" t="n"/>
      <c r="E959" s="74" t="n"/>
      <c r="F959" s="74" t="n"/>
      <c r="G959" s="74" t="n"/>
      <c r="H959" s="74" t="n"/>
      <c r="I959" s="74" t="n"/>
      <c r="J959" s="74" t="n"/>
      <c r="K959" s="74" t="n"/>
      <c r="L959" s="74" t="n"/>
      <c r="M959" s="74" t="n"/>
      <c r="N959" s="74" t="n"/>
      <c r="O959" s="74" t="n"/>
      <c r="P959" s="74" t="n"/>
      <c r="Q959" s="74" t="n"/>
      <c r="R959" s="74" t="n"/>
      <c r="S959" s="74" t="n"/>
      <c r="T959" s="74" t="n"/>
      <c r="U959" s="74" t="n"/>
      <c r="V959" s="74" t="n"/>
      <c r="W959" s="74" t="n"/>
    </row>
    <row r="960">
      <c r="A960" s="74" t="n"/>
      <c r="B960" s="74" t="n"/>
      <c r="C960" s="74" t="n"/>
      <c r="D960" s="74" t="n"/>
      <c r="E960" s="74" t="n"/>
      <c r="F960" s="74" t="n"/>
      <c r="G960" s="74" t="n"/>
      <c r="H960" s="74" t="n"/>
      <c r="I960" s="74" t="n"/>
      <c r="J960" s="74" t="n"/>
      <c r="K960" s="74" t="n"/>
      <c r="L960" s="74" t="n"/>
      <c r="M960" s="74" t="n"/>
      <c r="N960" s="74" t="n"/>
      <c r="O960" s="74" t="n"/>
      <c r="P960" s="74" t="n"/>
      <c r="Q960" s="74" t="n"/>
      <c r="R960" s="74" t="n"/>
      <c r="S960" s="74" t="n"/>
      <c r="T960" s="74" t="n"/>
      <c r="U960" s="74" t="n"/>
      <c r="V960" s="74" t="n"/>
      <c r="W960" s="74" t="n"/>
    </row>
    <row r="961">
      <c r="A961" s="74" t="n"/>
      <c r="B961" s="74" t="n"/>
      <c r="C961" s="74" t="n"/>
      <c r="D961" s="74" t="n"/>
      <c r="E961" s="74" t="n"/>
      <c r="F961" s="74" t="n"/>
      <c r="G961" s="74" t="n"/>
      <c r="H961" s="74" t="n"/>
      <c r="I961" s="74" t="n"/>
      <c r="J961" s="74" t="n"/>
      <c r="K961" s="74" t="n"/>
      <c r="L961" s="74" t="n"/>
      <c r="M961" s="74" t="n"/>
      <c r="N961" s="74" t="n"/>
      <c r="O961" s="74" t="n"/>
      <c r="P961" s="74" t="n"/>
      <c r="Q961" s="74" t="n"/>
      <c r="R961" s="74" t="n"/>
      <c r="S961" s="74" t="n"/>
      <c r="T961" s="74" t="n"/>
      <c r="U961" s="74" t="n"/>
      <c r="V961" s="74" t="n"/>
      <c r="W961" s="74" t="n"/>
    </row>
    <row r="962">
      <c r="A962" s="74" t="n"/>
      <c r="B962" s="74" t="n"/>
      <c r="C962" s="74" t="n"/>
      <c r="D962" s="74" t="n"/>
      <c r="E962" s="74" t="n"/>
      <c r="F962" s="74" t="n"/>
      <c r="G962" s="74" t="n"/>
      <c r="H962" s="74" t="n"/>
      <c r="I962" s="74" t="n"/>
      <c r="J962" s="74" t="n"/>
      <c r="K962" s="74" t="n"/>
      <c r="L962" s="74" t="n"/>
      <c r="M962" s="74" t="n"/>
      <c r="N962" s="74" t="n"/>
      <c r="O962" s="74" t="n"/>
      <c r="P962" s="74" t="n"/>
      <c r="Q962" s="74" t="n"/>
      <c r="R962" s="74" t="n"/>
      <c r="S962" s="74" t="n"/>
      <c r="T962" s="74" t="n"/>
      <c r="U962" s="74" t="n"/>
      <c r="V962" s="74" t="n"/>
      <c r="W962" s="74" t="n"/>
    </row>
    <row r="963">
      <c r="A963" s="74" t="n"/>
      <c r="B963" s="74" t="n"/>
      <c r="C963" s="74" t="n"/>
      <c r="D963" s="74" t="n"/>
      <c r="E963" s="74" t="n"/>
      <c r="F963" s="74" t="n"/>
      <c r="G963" s="74" t="n"/>
      <c r="H963" s="74" t="n"/>
      <c r="I963" s="74" t="n"/>
      <c r="J963" s="74" t="n"/>
      <c r="K963" s="74" t="n"/>
      <c r="L963" s="74" t="n"/>
      <c r="M963" s="74" t="n"/>
      <c r="N963" s="74" t="n"/>
      <c r="O963" s="74" t="n"/>
      <c r="P963" s="74" t="n"/>
      <c r="Q963" s="74" t="n"/>
      <c r="R963" s="74" t="n"/>
      <c r="S963" s="74" t="n"/>
      <c r="T963" s="74" t="n"/>
      <c r="U963" s="74" t="n"/>
      <c r="V963" s="74" t="n"/>
      <c r="W963" s="74" t="n"/>
    </row>
    <row r="964">
      <c r="A964" s="74" t="n"/>
      <c r="B964" s="74" t="n"/>
      <c r="C964" s="74" t="n"/>
      <c r="D964" s="74" t="n"/>
      <c r="E964" s="74" t="n"/>
      <c r="F964" s="74" t="n"/>
      <c r="G964" s="74" t="n"/>
      <c r="H964" s="74" t="n"/>
      <c r="I964" s="74" t="n"/>
      <c r="J964" s="74" t="n"/>
      <c r="K964" s="74" t="n"/>
      <c r="L964" s="74" t="n"/>
      <c r="M964" s="74" t="n"/>
      <c r="N964" s="74" t="n"/>
      <c r="O964" s="74" t="n"/>
      <c r="P964" s="74" t="n"/>
      <c r="Q964" s="74" t="n"/>
      <c r="R964" s="74" t="n"/>
      <c r="S964" s="74" t="n"/>
      <c r="T964" s="74" t="n"/>
      <c r="U964" s="74" t="n"/>
      <c r="V964" s="74" t="n"/>
      <c r="W964" s="74" t="n"/>
    </row>
    <row r="965">
      <c r="A965" s="74" t="n"/>
      <c r="B965" s="74" t="n"/>
      <c r="C965" s="74" t="n"/>
      <c r="D965" s="74" t="n"/>
      <c r="E965" s="74" t="n"/>
      <c r="F965" s="74" t="n"/>
      <c r="G965" s="74" t="n"/>
      <c r="H965" s="74" t="n"/>
      <c r="I965" s="74" t="n"/>
      <c r="J965" s="74" t="n"/>
      <c r="K965" s="74" t="n"/>
      <c r="L965" s="74" t="n"/>
      <c r="M965" s="74" t="n"/>
      <c r="N965" s="74" t="n"/>
      <c r="O965" s="74" t="n"/>
      <c r="P965" s="74" t="n"/>
      <c r="Q965" s="74" t="n"/>
      <c r="R965" s="74" t="n"/>
      <c r="S965" s="74" t="n"/>
      <c r="T965" s="74" t="n"/>
      <c r="U965" s="74" t="n"/>
      <c r="V965" s="74" t="n"/>
      <c r="W965" s="74" t="n"/>
    </row>
    <row r="966">
      <c r="A966" s="74" t="n"/>
      <c r="B966" s="74" t="n"/>
      <c r="C966" s="74" t="n"/>
      <c r="D966" s="74" t="n"/>
      <c r="E966" s="74" t="n"/>
      <c r="F966" s="74" t="n"/>
      <c r="G966" s="74" t="n"/>
      <c r="H966" s="74" t="n"/>
      <c r="I966" s="74" t="n"/>
      <c r="J966" s="74" t="n"/>
      <c r="K966" s="74" t="n"/>
      <c r="L966" s="74" t="n"/>
      <c r="M966" s="74" t="n"/>
      <c r="N966" s="74" t="n"/>
      <c r="O966" s="74" t="n"/>
      <c r="P966" s="74" t="n"/>
      <c r="Q966" s="74" t="n"/>
      <c r="R966" s="74" t="n"/>
      <c r="S966" s="74" t="n"/>
      <c r="T966" s="74" t="n"/>
      <c r="U966" s="74" t="n"/>
      <c r="V966" s="74" t="n"/>
      <c r="W966" s="74" t="n"/>
    </row>
    <row r="967">
      <c r="A967" s="74" t="n"/>
      <c r="B967" s="74" t="n"/>
      <c r="C967" s="74" t="n"/>
      <c r="D967" s="74" t="n"/>
      <c r="E967" s="74" t="n"/>
      <c r="F967" s="74" t="n"/>
      <c r="G967" s="74" t="n"/>
      <c r="H967" s="74" t="n"/>
      <c r="I967" s="74" t="n"/>
      <c r="J967" s="74" t="n"/>
      <c r="K967" s="74" t="n"/>
      <c r="L967" s="74" t="n"/>
      <c r="M967" s="74" t="n"/>
      <c r="N967" s="74" t="n"/>
      <c r="O967" s="74" t="n"/>
      <c r="P967" s="74" t="n"/>
      <c r="Q967" s="74" t="n"/>
      <c r="R967" s="74" t="n"/>
      <c r="S967" s="74" t="n"/>
      <c r="T967" s="74" t="n"/>
      <c r="U967" s="74" t="n"/>
      <c r="V967" s="74" t="n"/>
      <c r="W967" s="74" t="n"/>
    </row>
    <row r="968">
      <c r="A968" s="74" t="n"/>
      <c r="B968" s="74" t="n"/>
      <c r="C968" s="74" t="n"/>
      <c r="D968" s="74" t="n"/>
      <c r="E968" s="74" t="n"/>
      <c r="F968" s="74" t="n"/>
      <c r="G968" s="74" t="n"/>
      <c r="H968" s="74" t="n"/>
      <c r="I968" s="74" t="n"/>
      <c r="J968" s="74" t="n"/>
      <c r="K968" s="74" t="n"/>
      <c r="L968" s="74" t="n"/>
      <c r="M968" s="74" t="n"/>
      <c r="N968" s="74" t="n"/>
      <c r="O968" s="74" t="n"/>
      <c r="P968" s="74" t="n"/>
      <c r="Q968" s="74" t="n"/>
      <c r="R968" s="74" t="n"/>
      <c r="S968" s="74" t="n"/>
      <c r="T968" s="74" t="n"/>
      <c r="U968" s="74" t="n"/>
      <c r="V968" s="74" t="n"/>
      <c r="W968" s="74" t="n"/>
    </row>
    <row r="969">
      <c r="A969" s="74" t="n"/>
      <c r="B969" s="74" t="n"/>
      <c r="C969" s="74" t="n"/>
      <c r="D969" s="74" t="n"/>
      <c r="E969" s="74" t="n"/>
      <c r="F969" s="74" t="n"/>
      <c r="G969" s="74" t="n"/>
      <c r="H969" s="74" t="n"/>
      <c r="I969" s="74" t="n"/>
      <c r="J969" s="74" t="n"/>
      <c r="K969" s="74" t="n"/>
      <c r="L969" s="74" t="n"/>
      <c r="M969" s="74" t="n"/>
      <c r="N969" s="74" t="n"/>
      <c r="O969" s="74" t="n"/>
      <c r="P969" s="74" t="n"/>
      <c r="Q969" s="74" t="n"/>
      <c r="R969" s="74" t="n"/>
      <c r="S969" s="74" t="n"/>
      <c r="T969" s="74" t="n"/>
      <c r="U969" s="74" t="n"/>
      <c r="V969" s="74" t="n"/>
      <c r="W969" s="74" t="n"/>
    </row>
    <row r="970">
      <c r="A970" s="74" t="n"/>
      <c r="B970" s="74" t="n"/>
      <c r="C970" s="74" t="n"/>
      <c r="D970" s="74" t="n"/>
      <c r="E970" s="74" t="n"/>
      <c r="F970" s="74" t="n"/>
      <c r="G970" s="74" t="n"/>
      <c r="H970" s="74" t="n"/>
      <c r="I970" s="74" t="n"/>
      <c r="J970" s="74" t="n"/>
      <c r="K970" s="74" t="n"/>
      <c r="L970" s="74" t="n"/>
      <c r="M970" s="74" t="n"/>
      <c r="N970" s="74" t="n"/>
      <c r="O970" s="74" t="n"/>
      <c r="P970" s="74" t="n"/>
      <c r="Q970" s="74" t="n"/>
      <c r="R970" s="74" t="n"/>
      <c r="S970" s="74" t="n"/>
      <c r="T970" s="74" t="n"/>
      <c r="U970" s="74" t="n"/>
      <c r="V970" s="74" t="n"/>
      <c r="W970" s="74" t="n"/>
    </row>
    <row r="971">
      <c r="A971" s="74" t="n"/>
      <c r="B971" s="74" t="n"/>
      <c r="C971" s="74" t="n"/>
      <c r="D971" s="74" t="n"/>
      <c r="E971" s="74" t="n"/>
      <c r="F971" s="74" t="n"/>
      <c r="G971" s="74" t="n"/>
      <c r="H971" s="74" t="n"/>
      <c r="I971" s="74" t="n"/>
      <c r="J971" s="74" t="n"/>
      <c r="K971" s="74" t="n"/>
      <c r="L971" s="74" t="n"/>
      <c r="M971" s="74" t="n"/>
      <c r="N971" s="74" t="n"/>
      <c r="O971" s="74" t="n"/>
      <c r="P971" s="74" t="n"/>
      <c r="Q971" s="74" t="n"/>
      <c r="R971" s="74" t="n"/>
      <c r="S971" s="74" t="n"/>
      <c r="T971" s="74" t="n"/>
      <c r="U971" s="74" t="n"/>
      <c r="V971" s="74" t="n"/>
      <c r="W971" s="74" t="n"/>
    </row>
    <row r="972">
      <c r="A972" s="74" t="n"/>
      <c r="B972" s="74" t="n"/>
      <c r="C972" s="74" t="n"/>
      <c r="D972" s="74" t="n"/>
      <c r="E972" s="74" t="n"/>
      <c r="F972" s="74" t="n"/>
      <c r="G972" s="74" t="n"/>
      <c r="H972" s="74" t="n"/>
      <c r="I972" s="74" t="n"/>
      <c r="J972" s="74" t="n"/>
      <c r="K972" s="74" t="n"/>
      <c r="L972" s="74" t="n"/>
      <c r="M972" s="74" t="n"/>
      <c r="N972" s="74" t="n"/>
      <c r="O972" s="74" t="n"/>
      <c r="P972" s="74" t="n"/>
      <c r="Q972" s="74" t="n"/>
      <c r="R972" s="74" t="n"/>
      <c r="S972" s="74" t="n"/>
      <c r="T972" s="74" t="n"/>
      <c r="U972" s="74" t="n"/>
      <c r="V972" s="74" t="n"/>
      <c r="W972" s="74" t="n"/>
    </row>
    <row r="973">
      <c r="A973" s="74" t="n"/>
      <c r="B973" s="74" t="n"/>
      <c r="C973" s="74" t="n"/>
      <c r="D973" s="74" t="n"/>
      <c r="E973" s="74" t="n"/>
      <c r="F973" s="74" t="n"/>
      <c r="G973" s="74" t="n"/>
      <c r="H973" s="74" t="n"/>
      <c r="I973" s="74" t="n"/>
      <c r="J973" s="74" t="n"/>
      <c r="K973" s="74" t="n"/>
      <c r="L973" s="74" t="n"/>
      <c r="M973" s="74" t="n"/>
      <c r="N973" s="74" t="n"/>
      <c r="O973" s="74" t="n"/>
      <c r="P973" s="74" t="n"/>
      <c r="Q973" s="74" t="n"/>
      <c r="R973" s="74" t="n"/>
      <c r="S973" s="74" t="n"/>
      <c r="T973" s="74" t="n"/>
      <c r="U973" s="74" t="n"/>
      <c r="V973" s="74" t="n"/>
      <c r="W973" s="74" t="n"/>
    </row>
    <row r="974">
      <c r="A974" s="74" t="n"/>
      <c r="B974" s="74" t="n"/>
      <c r="C974" s="74" t="n"/>
      <c r="D974" s="74" t="n"/>
      <c r="E974" s="74" t="n"/>
      <c r="F974" s="74" t="n"/>
      <c r="G974" s="74" t="n"/>
      <c r="H974" s="74" t="n"/>
      <c r="I974" s="74" t="n"/>
      <c r="J974" s="74" t="n"/>
      <c r="K974" s="74" t="n"/>
      <c r="L974" s="74" t="n"/>
      <c r="M974" s="74" t="n"/>
      <c r="N974" s="74" t="n"/>
      <c r="O974" s="74" t="n"/>
      <c r="P974" s="74" t="n"/>
      <c r="Q974" s="74" t="n"/>
      <c r="R974" s="74" t="n"/>
      <c r="S974" s="74" t="n"/>
      <c r="T974" s="74" t="n"/>
      <c r="U974" s="74" t="n"/>
      <c r="V974" s="74" t="n"/>
      <c r="W974" s="74" t="n"/>
    </row>
    <row r="975">
      <c r="A975" s="74" t="n"/>
      <c r="B975" s="74" t="n"/>
      <c r="C975" s="74" t="n"/>
      <c r="D975" s="74" t="n"/>
      <c r="E975" s="74" t="n"/>
      <c r="F975" s="74" t="n"/>
      <c r="G975" s="74" t="n"/>
      <c r="H975" s="74" t="n"/>
      <c r="I975" s="74" t="n"/>
      <c r="J975" s="74" t="n"/>
      <c r="K975" s="74" t="n"/>
      <c r="L975" s="74" t="n"/>
      <c r="M975" s="74" t="n"/>
      <c r="N975" s="74" t="n"/>
      <c r="O975" s="74" t="n"/>
      <c r="P975" s="74" t="n"/>
      <c r="Q975" s="74" t="n"/>
      <c r="R975" s="74" t="n"/>
      <c r="S975" s="74" t="n"/>
      <c r="T975" s="74" t="n"/>
      <c r="U975" s="74" t="n"/>
      <c r="V975" s="74" t="n"/>
      <c r="W975" s="74" t="n"/>
    </row>
    <row r="976">
      <c r="A976" s="74" t="n"/>
      <c r="B976" s="74" t="n"/>
      <c r="C976" s="74" t="n"/>
      <c r="D976" s="74" t="n"/>
      <c r="E976" s="74" t="n"/>
      <c r="F976" s="74" t="n"/>
      <c r="G976" s="74" t="n"/>
      <c r="H976" s="74" t="n"/>
      <c r="I976" s="74" t="n"/>
      <c r="J976" s="74" t="n"/>
      <c r="K976" s="74" t="n"/>
      <c r="L976" s="74" t="n"/>
      <c r="M976" s="74" t="n"/>
      <c r="N976" s="74" t="n"/>
      <c r="O976" s="74" t="n"/>
      <c r="P976" s="74" t="n"/>
      <c r="Q976" s="74" t="n"/>
      <c r="R976" s="74" t="n"/>
      <c r="S976" s="74" t="n"/>
      <c r="T976" s="74" t="n"/>
      <c r="U976" s="74" t="n"/>
      <c r="V976" s="74" t="n"/>
      <c r="W976" s="74" t="n"/>
    </row>
    <row r="977">
      <c r="A977" s="74" t="n"/>
      <c r="B977" s="74" t="n"/>
      <c r="C977" s="74" t="n"/>
      <c r="D977" s="74" t="n"/>
      <c r="E977" s="74" t="n"/>
      <c r="F977" s="74" t="n"/>
      <c r="G977" s="74" t="n"/>
      <c r="H977" s="74" t="n"/>
      <c r="I977" s="74" t="n"/>
      <c r="J977" s="74" t="n"/>
      <c r="K977" s="74" t="n"/>
      <c r="L977" s="74" t="n"/>
      <c r="M977" s="74" t="n"/>
      <c r="N977" s="74" t="n"/>
      <c r="O977" s="74" t="n"/>
      <c r="P977" s="74" t="n"/>
      <c r="Q977" s="74" t="n"/>
      <c r="R977" s="74" t="n"/>
      <c r="S977" s="74" t="n"/>
      <c r="T977" s="74" t="n"/>
      <c r="U977" s="74" t="n"/>
      <c r="V977" s="74" t="n"/>
      <c r="W977" s="74" t="n"/>
    </row>
    <row r="978">
      <c r="A978" s="74" t="n"/>
      <c r="B978" s="74" t="n"/>
      <c r="C978" s="74" t="n"/>
      <c r="D978" s="74" t="n"/>
      <c r="E978" s="74" t="n"/>
      <c r="F978" s="74" t="n"/>
      <c r="G978" s="74" t="n"/>
      <c r="H978" s="74" t="n"/>
      <c r="I978" s="74" t="n"/>
      <c r="J978" s="74" t="n"/>
      <c r="K978" s="74" t="n"/>
      <c r="L978" s="74" t="n"/>
      <c r="M978" s="74" t="n"/>
      <c r="N978" s="74" t="n"/>
      <c r="O978" s="74" t="n"/>
      <c r="P978" s="74" t="n"/>
      <c r="Q978" s="74" t="n"/>
      <c r="R978" s="74" t="n"/>
      <c r="S978" s="74" t="n"/>
      <c r="T978" s="74" t="n"/>
      <c r="U978" s="74" t="n"/>
      <c r="V978" s="74" t="n"/>
      <c r="W978" s="74" t="n"/>
    </row>
    <row r="979">
      <c r="A979" s="74" t="n"/>
      <c r="B979" s="74" t="n"/>
      <c r="C979" s="74" t="n"/>
      <c r="D979" s="74" t="n"/>
      <c r="E979" s="74" t="n"/>
      <c r="F979" s="74" t="n"/>
      <c r="G979" s="74" t="n"/>
      <c r="H979" s="74" t="n"/>
      <c r="I979" s="74" t="n"/>
      <c r="J979" s="74" t="n"/>
      <c r="K979" s="74" t="n"/>
      <c r="L979" s="74" t="n"/>
      <c r="M979" s="74" t="n"/>
      <c r="N979" s="74" t="n"/>
      <c r="O979" s="74" t="n"/>
      <c r="P979" s="74" t="n"/>
      <c r="Q979" s="74" t="n"/>
      <c r="R979" s="74" t="n"/>
      <c r="S979" s="74" t="n"/>
      <c r="T979" s="74" t="n"/>
      <c r="U979" s="74" t="n"/>
      <c r="V979" s="74" t="n"/>
      <c r="W979" s="74" t="n"/>
    </row>
    <row r="980">
      <c r="A980" s="74" t="n"/>
      <c r="B980" s="74" t="n"/>
      <c r="C980" s="74" t="n"/>
      <c r="D980" s="74" t="n"/>
      <c r="E980" s="74" t="n"/>
      <c r="F980" s="74" t="n"/>
      <c r="G980" s="74" t="n"/>
      <c r="H980" s="74" t="n"/>
      <c r="I980" s="74" t="n"/>
      <c r="J980" s="74" t="n"/>
      <c r="K980" s="74" t="n"/>
      <c r="L980" s="74" t="n"/>
      <c r="M980" s="74" t="n"/>
      <c r="N980" s="74" t="n"/>
      <c r="O980" s="74" t="n"/>
      <c r="P980" s="74" t="n"/>
      <c r="Q980" s="74" t="n"/>
      <c r="R980" s="74" t="n"/>
      <c r="S980" s="74" t="n"/>
      <c r="T980" s="74" t="n"/>
      <c r="U980" s="74" t="n"/>
      <c r="V980" s="74" t="n"/>
      <c r="W980" s="74" t="n"/>
    </row>
    <row r="981">
      <c r="A981" s="74" t="n"/>
      <c r="B981" s="74" t="n"/>
      <c r="C981" s="74" t="n"/>
      <c r="D981" s="74" t="n"/>
      <c r="E981" s="74" t="n"/>
      <c r="F981" s="74" t="n"/>
      <c r="G981" s="74" t="n"/>
      <c r="H981" s="74" t="n"/>
      <c r="I981" s="74" t="n"/>
      <c r="J981" s="74" t="n"/>
      <c r="K981" s="74" t="n"/>
      <c r="L981" s="74" t="n"/>
      <c r="M981" s="74" t="n"/>
      <c r="N981" s="74" t="n"/>
      <c r="O981" s="74" t="n"/>
      <c r="P981" s="74" t="n"/>
      <c r="Q981" s="74" t="n"/>
      <c r="R981" s="74" t="n"/>
      <c r="S981" s="74" t="n"/>
      <c r="T981" s="74" t="n"/>
      <c r="U981" s="74" t="n"/>
      <c r="V981" s="74" t="n"/>
      <c r="W981" s="74" t="n"/>
    </row>
    <row r="982">
      <c r="A982" s="74" t="n"/>
      <c r="B982" s="74" t="n"/>
      <c r="C982" s="74" t="n"/>
      <c r="D982" s="74" t="n"/>
      <c r="E982" s="74" t="n"/>
      <c r="F982" s="74" t="n"/>
      <c r="G982" s="74" t="n"/>
      <c r="H982" s="74" t="n"/>
      <c r="I982" s="74" t="n"/>
      <c r="J982" s="74" t="n"/>
      <c r="K982" s="74" t="n"/>
      <c r="L982" s="74" t="n"/>
      <c r="M982" s="74" t="n"/>
      <c r="N982" s="74" t="n"/>
      <c r="O982" s="74" t="n"/>
      <c r="P982" s="74" t="n"/>
      <c r="Q982" s="74" t="n"/>
      <c r="R982" s="74" t="n"/>
      <c r="S982" s="74" t="n"/>
      <c r="T982" s="74" t="n"/>
      <c r="U982" s="74" t="n"/>
      <c r="V982" s="74" t="n"/>
      <c r="W982" s="74" t="n"/>
    </row>
    <row r="983">
      <c r="A983" s="74" t="n"/>
      <c r="B983" s="74" t="n"/>
      <c r="C983" s="74" t="n"/>
      <c r="D983" s="74" t="n"/>
      <c r="E983" s="74" t="n"/>
      <c r="F983" s="74" t="n"/>
      <c r="G983" s="74" t="n"/>
      <c r="H983" s="74" t="n"/>
      <c r="I983" s="74" t="n"/>
      <c r="J983" s="74" t="n"/>
      <c r="K983" s="74" t="n"/>
      <c r="L983" s="74" t="n"/>
      <c r="M983" s="74" t="n"/>
      <c r="N983" s="74" t="n"/>
      <c r="O983" s="74" t="n"/>
      <c r="P983" s="74" t="n"/>
      <c r="Q983" s="74" t="n"/>
      <c r="R983" s="74" t="n"/>
      <c r="S983" s="74" t="n"/>
      <c r="T983" s="74" t="n"/>
      <c r="U983" s="74" t="n"/>
      <c r="V983" s="74" t="n"/>
      <c r="W983" s="74" t="n"/>
    </row>
    <row r="984">
      <c r="A984" s="74" t="n"/>
      <c r="B984" s="74" t="n"/>
      <c r="C984" s="74" t="n"/>
      <c r="D984" s="74" t="n"/>
      <c r="E984" s="74" t="n"/>
      <c r="F984" s="74" t="n"/>
      <c r="G984" s="74" t="n"/>
      <c r="H984" s="74" t="n"/>
      <c r="I984" s="74" t="n"/>
      <c r="J984" s="74" t="n"/>
      <c r="K984" s="74" t="n"/>
      <c r="L984" s="74" t="n"/>
      <c r="M984" s="74" t="n"/>
      <c r="N984" s="74" t="n"/>
      <c r="O984" s="74" t="n"/>
      <c r="P984" s="74" t="n"/>
      <c r="Q984" s="74" t="n"/>
      <c r="R984" s="74" t="n"/>
      <c r="S984" s="74" t="n"/>
      <c r="T984" s="74" t="n"/>
      <c r="U984" s="74" t="n"/>
      <c r="V984" s="74" t="n"/>
      <c r="W984" s="74" t="n"/>
    </row>
    <row r="985">
      <c r="A985" s="74" t="n"/>
      <c r="B985" s="74" t="n"/>
      <c r="C985" s="74" t="n"/>
      <c r="D985" s="74" t="n"/>
      <c r="E985" s="74" t="n"/>
      <c r="F985" s="74" t="n"/>
      <c r="G985" s="74" t="n"/>
      <c r="H985" s="74" t="n"/>
      <c r="I985" s="74" t="n"/>
      <c r="J985" s="74" t="n"/>
      <c r="K985" s="74" t="n"/>
      <c r="L985" s="74" t="n"/>
      <c r="M985" s="74" t="n"/>
      <c r="N985" s="74" t="n"/>
      <c r="O985" s="74" t="n"/>
      <c r="P985" s="74" t="n"/>
      <c r="Q985" s="74" t="n"/>
      <c r="R985" s="74" t="n"/>
      <c r="S985" s="74" t="n"/>
      <c r="T985" s="74" t="n"/>
      <c r="U985" s="74" t="n"/>
      <c r="V985" s="74" t="n"/>
      <c r="W985" s="74" t="n"/>
    </row>
    <row r="986">
      <c r="A986" s="74" t="n"/>
      <c r="B986" s="74" t="n"/>
      <c r="C986" s="74" t="n"/>
      <c r="D986" s="74" t="n"/>
      <c r="E986" s="74" t="n"/>
      <c r="F986" s="74" t="n"/>
      <c r="G986" s="74" t="n"/>
      <c r="H986" s="74" t="n"/>
      <c r="I986" s="74" t="n"/>
      <c r="J986" s="74" t="n"/>
      <c r="K986" s="74" t="n"/>
      <c r="L986" s="74" t="n"/>
      <c r="M986" s="74" t="n"/>
      <c r="N986" s="74" t="n"/>
      <c r="O986" s="74" t="n"/>
      <c r="P986" s="74" t="n"/>
      <c r="Q986" s="74" t="n"/>
      <c r="R986" s="74" t="n"/>
      <c r="S986" s="74" t="n"/>
      <c r="T986" s="74" t="n"/>
      <c r="U986" s="74" t="n"/>
      <c r="V986" s="74" t="n"/>
      <c r="W986" s="74" t="n"/>
    </row>
    <row r="987">
      <c r="A987" s="74" t="n"/>
      <c r="B987" s="74" t="n"/>
      <c r="C987" s="74" t="n"/>
      <c r="D987" s="74" t="n"/>
      <c r="E987" s="74" t="n"/>
      <c r="F987" s="74" t="n"/>
      <c r="G987" s="74" t="n"/>
      <c r="H987" s="74" t="n"/>
      <c r="I987" s="74" t="n"/>
      <c r="J987" s="74" t="n"/>
      <c r="K987" s="74" t="n"/>
      <c r="L987" s="74" t="n"/>
      <c r="M987" s="74" t="n"/>
      <c r="N987" s="74" t="n"/>
      <c r="O987" s="74" t="n"/>
      <c r="P987" s="74" t="n"/>
      <c r="Q987" s="74" t="n"/>
      <c r="R987" s="74" t="n"/>
      <c r="S987" s="74" t="n"/>
      <c r="T987" s="74" t="n"/>
      <c r="U987" s="74" t="n"/>
      <c r="V987" s="74" t="n"/>
      <c r="W987" s="74" t="n"/>
    </row>
    <row r="988">
      <c r="A988" s="74" t="n"/>
      <c r="B988" s="74" t="n"/>
      <c r="C988" s="74" t="n"/>
      <c r="D988" s="74" t="n"/>
      <c r="E988" s="74" t="n"/>
      <c r="F988" s="74" t="n"/>
      <c r="G988" s="74" t="n"/>
      <c r="H988" s="74" t="n"/>
      <c r="I988" s="74" t="n"/>
      <c r="J988" s="74" t="n"/>
      <c r="K988" s="74" t="n"/>
      <c r="L988" s="74" t="n"/>
      <c r="M988" s="74" t="n"/>
      <c r="N988" s="74" t="n"/>
      <c r="O988" s="74" t="n"/>
      <c r="P988" s="74" t="n"/>
      <c r="Q988" s="74" t="n"/>
      <c r="R988" s="74" t="n"/>
      <c r="S988" s="74" t="n"/>
      <c r="T988" s="74" t="n"/>
      <c r="U988" s="74" t="n"/>
      <c r="V988" s="74" t="n"/>
      <c r="W988" s="74" t="n"/>
    </row>
    <row r="989">
      <c r="A989" s="74" t="n"/>
      <c r="B989" s="74" t="n"/>
      <c r="C989" s="74" t="n"/>
      <c r="D989" s="74" t="n"/>
      <c r="E989" s="74" t="n"/>
      <c r="F989" s="74" t="n"/>
      <c r="G989" s="74" t="n"/>
      <c r="H989" s="74" t="n"/>
      <c r="I989" s="74" t="n"/>
      <c r="J989" s="74" t="n"/>
      <c r="K989" s="74" t="n"/>
      <c r="L989" s="74" t="n"/>
      <c r="M989" s="74" t="n"/>
      <c r="N989" s="74" t="n"/>
      <c r="O989" s="74" t="n"/>
      <c r="P989" s="74" t="n"/>
      <c r="Q989" s="74" t="n"/>
      <c r="R989" s="74" t="n"/>
      <c r="S989" s="74" t="n"/>
      <c r="T989" s="74" t="n"/>
      <c r="U989" s="74" t="n"/>
      <c r="V989" s="74" t="n"/>
      <c r="W989" s="74" t="n"/>
    </row>
    <row r="990">
      <c r="A990" s="74" t="n"/>
      <c r="B990" s="74" t="n"/>
      <c r="C990" s="74" t="n"/>
      <c r="D990" s="74" t="n"/>
      <c r="E990" s="74" t="n"/>
      <c r="F990" s="74" t="n"/>
      <c r="G990" s="74" t="n"/>
      <c r="H990" s="74" t="n"/>
      <c r="I990" s="74" t="n"/>
      <c r="J990" s="74" t="n"/>
      <c r="K990" s="74" t="n"/>
      <c r="L990" s="74" t="n"/>
      <c r="M990" s="74" t="n"/>
      <c r="N990" s="74" t="n"/>
      <c r="O990" s="74" t="n"/>
      <c r="P990" s="74" t="n"/>
      <c r="Q990" s="74" t="n"/>
      <c r="R990" s="74" t="n"/>
      <c r="S990" s="74" t="n"/>
      <c r="T990" s="74" t="n"/>
      <c r="U990" s="74" t="n"/>
      <c r="V990" s="74" t="n"/>
      <c r="W990" s="74" t="n"/>
    </row>
    <row r="991">
      <c r="A991" s="74" t="n"/>
      <c r="B991" s="74" t="n"/>
      <c r="C991" s="74" t="n"/>
      <c r="D991" s="74" t="n"/>
      <c r="E991" s="74" t="n"/>
      <c r="F991" s="74" t="n"/>
      <c r="G991" s="74" t="n"/>
      <c r="H991" s="74" t="n"/>
      <c r="I991" s="74" t="n"/>
      <c r="J991" s="74" t="n"/>
      <c r="K991" s="74" t="n"/>
      <c r="L991" s="74" t="n"/>
      <c r="M991" s="74" t="n"/>
      <c r="N991" s="74" t="n"/>
      <c r="O991" s="74" t="n"/>
      <c r="P991" s="74" t="n"/>
      <c r="Q991" s="74" t="n"/>
      <c r="R991" s="74" t="n"/>
      <c r="S991" s="74" t="n"/>
      <c r="T991" s="74" t="n"/>
      <c r="U991" s="74" t="n"/>
      <c r="V991" s="74" t="n"/>
      <c r="W991" s="74" t="n"/>
    </row>
    <row r="992">
      <c r="A992" s="74" t="n"/>
      <c r="B992" s="74" t="n"/>
      <c r="C992" s="74" t="n"/>
      <c r="D992" s="74" t="n"/>
      <c r="E992" s="74" t="n"/>
      <c r="F992" s="74" t="n"/>
      <c r="G992" s="74" t="n"/>
      <c r="H992" s="74" t="n"/>
      <c r="I992" s="74" t="n"/>
      <c r="J992" s="74" t="n"/>
      <c r="K992" s="74" t="n"/>
      <c r="L992" s="74" t="n"/>
      <c r="M992" s="74" t="n"/>
      <c r="N992" s="74" t="n"/>
      <c r="O992" s="74" t="n"/>
      <c r="P992" s="74" t="n"/>
      <c r="Q992" s="74" t="n"/>
      <c r="R992" s="74" t="n"/>
      <c r="S992" s="74" t="n"/>
      <c r="T992" s="74" t="n"/>
      <c r="U992" s="74" t="n"/>
      <c r="V992" s="74" t="n"/>
      <c r="W992" s="74" t="n"/>
    </row>
    <row r="993">
      <c r="A993" s="74" t="n"/>
      <c r="B993" s="74" t="n"/>
      <c r="C993" s="74" t="n"/>
      <c r="D993" s="74" t="n"/>
      <c r="E993" s="74" t="n"/>
      <c r="F993" s="74" t="n"/>
      <c r="G993" s="74" t="n"/>
      <c r="H993" s="74" t="n"/>
      <c r="I993" s="74" t="n"/>
      <c r="J993" s="74" t="n"/>
      <c r="K993" s="74" t="n"/>
      <c r="L993" s="74" t="n"/>
      <c r="M993" s="74" t="n"/>
      <c r="N993" s="74" t="n"/>
      <c r="O993" s="74" t="n"/>
      <c r="P993" s="74" t="n"/>
      <c r="Q993" s="74" t="n"/>
      <c r="R993" s="74" t="n"/>
      <c r="S993" s="74" t="n"/>
      <c r="T993" s="74" t="n"/>
      <c r="U993" s="74" t="n"/>
      <c r="V993" s="74" t="n"/>
      <c r="W993" s="74" t="n"/>
    </row>
    <row r="994">
      <c r="A994" s="74" t="n"/>
      <c r="B994" s="74" t="n"/>
      <c r="C994" s="74" t="n"/>
      <c r="D994" s="74" t="n"/>
      <c r="E994" s="74" t="n"/>
      <c r="F994" s="74" t="n"/>
      <c r="G994" s="74" t="n"/>
      <c r="H994" s="74" t="n"/>
      <c r="I994" s="74" t="n"/>
      <c r="J994" s="74" t="n"/>
      <c r="K994" s="74" t="n"/>
      <c r="L994" s="74" t="n"/>
      <c r="M994" s="74" t="n"/>
      <c r="N994" s="74" t="n"/>
      <c r="O994" s="74" t="n"/>
      <c r="P994" s="74" t="n"/>
      <c r="Q994" s="74" t="n"/>
      <c r="R994" s="74" t="n"/>
      <c r="S994" s="74" t="n"/>
      <c r="T994" s="74" t="n"/>
      <c r="U994" s="74" t="n"/>
      <c r="V994" s="74" t="n"/>
      <c r="W994" s="74" t="n"/>
    </row>
    <row r="995">
      <c r="A995" s="74" t="n"/>
      <c r="B995" s="74" t="n"/>
      <c r="C995" s="74" t="n"/>
      <c r="D995" s="74" t="n"/>
      <c r="E995" s="74" t="n"/>
      <c r="F995" s="74" t="n"/>
      <c r="G995" s="74" t="n"/>
      <c r="H995" s="74" t="n"/>
      <c r="I995" s="74" t="n"/>
      <c r="J995" s="74" t="n"/>
      <c r="K995" s="74" t="n"/>
      <c r="L995" s="74" t="n"/>
      <c r="M995" s="74" t="n"/>
      <c r="N995" s="74" t="n"/>
      <c r="O995" s="74" t="n"/>
      <c r="P995" s="74" t="n"/>
      <c r="Q995" s="74" t="n"/>
      <c r="R995" s="74" t="n"/>
      <c r="S995" s="74" t="n"/>
      <c r="T995" s="74" t="n"/>
      <c r="U995" s="74" t="n"/>
      <c r="V995" s="74" t="n"/>
      <c r="W995" s="74" t="n"/>
    </row>
    <row r="996">
      <c r="A996" s="74" t="n"/>
      <c r="B996" s="74" t="n"/>
      <c r="C996" s="74" t="n"/>
      <c r="D996" s="74" t="n"/>
      <c r="E996" s="74" t="n"/>
      <c r="F996" s="74" t="n"/>
      <c r="G996" s="74" t="n"/>
      <c r="H996" s="74" t="n"/>
      <c r="I996" s="74" t="n"/>
      <c r="J996" s="74" t="n"/>
      <c r="K996" s="74" t="n"/>
      <c r="L996" s="74" t="n"/>
      <c r="M996" s="74" t="n"/>
      <c r="N996" s="74" t="n"/>
      <c r="O996" s="74" t="n"/>
      <c r="P996" s="74" t="n"/>
      <c r="Q996" s="74" t="n"/>
      <c r="R996" s="74" t="n"/>
      <c r="S996" s="74" t="n"/>
      <c r="T996" s="74" t="n"/>
      <c r="U996" s="74" t="n"/>
      <c r="V996" s="74" t="n"/>
      <c r="W996" s="74" t="n"/>
    </row>
    <row r="997">
      <c r="A997" s="74" t="n"/>
      <c r="B997" s="74" t="n"/>
      <c r="C997" s="74" t="n"/>
      <c r="D997" s="74" t="n"/>
      <c r="E997" s="74" t="n"/>
      <c r="F997" s="74" t="n"/>
      <c r="G997" s="74" t="n"/>
      <c r="H997" s="74" t="n"/>
      <c r="I997" s="74" t="n"/>
      <c r="J997" s="74" t="n"/>
      <c r="K997" s="74" t="n"/>
      <c r="L997" s="74" t="n"/>
      <c r="M997" s="74" t="n"/>
      <c r="N997" s="74" t="n"/>
      <c r="O997" s="74" t="n"/>
      <c r="P997" s="74" t="n"/>
      <c r="Q997" s="74" t="n"/>
      <c r="R997" s="74" t="n"/>
      <c r="S997" s="74" t="n"/>
      <c r="T997" s="74" t="n"/>
      <c r="U997" s="74" t="n"/>
      <c r="V997" s="74" t="n"/>
      <c r="W997" s="74" t="n"/>
    </row>
    <row r="998">
      <c r="A998" s="74" t="n"/>
      <c r="B998" s="74" t="n"/>
      <c r="C998" s="74" t="n"/>
      <c r="D998" s="74" t="n"/>
      <c r="E998" s="74" t="n"/>
      <c r="F998" s="74" t="n"/>
      <c r="G998" s="74" t="n"/>
      <c r="H998" s="74" t="n"/>
      <c r="I998" s="74" t="n"/>
      <c r="J998" s="74" t="n"/>
      <c r="K998" s="74" t="n"/>
      <c r="L998" s="74" t="n"/>
      <c r="M998" s="74" t="n"/>
      <c r="N998" s="74" t="n"/>
      <c r="O998" s="74" t="n"/>
      <c r="P998" s="74" t="n"/>
      <c r="Q998" s="74" t="n"/>
      <c r="R998" s="74" t="n"/>
      <c r="S998" s="74" t="n"/>
      <c r="T998" s="74" t="n"/>
      <c r="U998" s="74" t="n"/>
      <c r="V998" s="74" t="n"/>
      <c r="W998" s="74" t="n"/>
    </row>
    <row r="999">
      <c r="A999" s="74" t="n"/>
      <c r="B999" s="74" t="n"/>
      <c r="C999" s="74" t="n"/>
      <c r="D999" s="74" t="n"/>
      <c r="E999" s="74" t="n"/>
      <c r="F999" s="74" t="n"/>
      <c r="G999" s="74" t="n"/>
      <c r="H999" s="74" t="n"/>
      <c r="I999" s="74" t="n"/>
      <c r="J999" s="74" t="n"/>
      <c r="K999" s="74" t="n"/>
      <c r="L999" s="74" t="n"/>
      <c r="M999" s="74" t="n"/>
      <c r="N999" s="74" t="n"/>
      <c r="O999" s="74" t="n"/>
      <c r="P999" s="74" t="n"/>
      <c r="Q999" s="74" t="n"/>
      <c r="R999" s="74" t="n"/>
      <c r="S999" s="74" t="n"/>
      <c r="T999" s="74" t="n"/>
      <c r="U999" s="74" t="n"/>
      <c r="V999" s="74" t="n"/>
      <c r="W999" s="74" t="n"/>
    </row>
    <row r="1000">
      <c r="A1000" s="74" t="n"/>
      <c r="B1000" s="74" t="n"/>
      <c r="C1000" s="74" t="n"/>
      <c r="D1000" s="74" t="n"/>
      <c r="E1000" s="74" t="n"/>
      <c r="F1000" s="74" t="n"/>
      <c r="G1000" s="74" t="n"/>
      <c r="H1000" s="74" t="n"/>
      <c r="I1000" s="74" t="n"/>
      <c r="J1000" s="74" t="n"/>
      <c r="K1000" s="74" t="n"/>
      <c r="L1000" s="74" t="n"/>
      <c r="M1000" s="74" t="n"/>
      <c r="N1000" s="74" t="n"/>
      <c r="O1000" s="74" t="n"/>
      <c r="P1000" s="74" t="n"/>
      <c r="Q1000" s="74" t="n"/>
      <c r="R1000" s="74" t="n"/>
      <c r="S1000" s="74" t="n"/>
      <c r="T1000" s="74" t="n"/>
      <c r="U1000" s="74" t="n"/>
      <c r="V1000" s="74" t="n"/>
      <c r="W1000" s="74" t="n"/>
    </row>
    <row r="1001">
      <c r="A1001" s="74" t="n"/>
      <c r="B1001" s="74" t="n"/>
      <c r="C1001" s="74" t="n"/>
      <c r="D1001" s="74" t="n"/>
      <c r="E1001" s="74" t="n"/>
      <c r="F1001" s="74" t="n"/>
      <c r="G1001" s="74" t="n"/>
      <c r="H1001" s="74" t="n"/>
      <c r="I1001" s="74" t="n"/>
      <c r="J1001" s="74" t="n"/>
      <c r="K1001" s="74" t="n"/>
      <c r="L1001" s="74" t="n"/>
      <c r="M1001" s="74" t="n"/>
      <c r="N1001" s="74" t="n"/>
      <c r="O1001" s="74" t="n"/>
      <c r="P1001" s="74" t="n"/>
      <c r="Q1001" s="74" t="n"/>
      <c r="R1001" s="74" t="n"/>
      <c r="S1001" s="74" t="n"/>
      <c r="T1001" s="74" t="n"/>
      <c r="U1001" s="74" t="n"/>
      <c r="V1001" s="74" t="n"/>
      <c r="W1001" s="74" t="n"/>
    </row>
    <row r="1002">
      <c r="A1002" s="74" t="n"/>
      <c r="B1002" s="74" t="n"/>
      <c r="C1002" s="74" t="n"/>
      <c r="D1002" s="74" t="n"/>
      <c r="E1002" s="74" t="n"/>
      <c r="F1002" s="74" t="n"/>
      <c r="G1002" s="74" t="n"/>
      <c r="H1002" s="74" t="n"/>
      <c r="I1002" s="74" t="n"/>
      <c r="J1002" s="74" t="n"/>
      <c r="K1002" s="74" t="n"/>
      <c r="L1002" s="74" t="n"/>
      <c r="M1002" s="74" t="n"/>
      <c r="N1002" s="74" t="n"/>
      <c r="O1002" s="74" t="n"/>
      <c r="P1002" s="74" t="n"/>
      <c r="Q1002" s="74" t="n"/>
      <c r="R1002" s="74" t="n"/>
      <c r="S1002" s="74" t="n"/>
      <c r="T1002" s="74" t="n"/>
      <c r="U1002" s="74" t="n"/>
      <c r="V1002" s="74" t="n"/>
      <c r="W1002" s="74" t="n"/>
    </row>
    <row r="1003">
      <c r="A1003" s="74" t="n"/>
      <c r="B1003" s="74" t="n"/>
      <c r="C1003" s="74" t="n"/>
      <c r="D1003" s="74" t="n"/>
      <c r="E1003" s="74" t="n"/>
      <c r="F1003" s="74" t="n"/>
      <c r="G1003" s="74" t="n"/>
      <c r="H1003" s="74" t="n"/>
      <c r="I1003" s="74" t="n"/>
      <c r="J1003" s="74" t="n"/>
      <c r="K1003" s="74" t="n"/>
      <c r="L1003" s="74" t="n"/>
      <c r="M1003" s="74" t="n"/>
      <c r="N1003" s="74" t="n"/>
      <c r="O1003" s="74" t="n"/>
      <c r="P1003" s="74" t="n"/>
      <c r="Q1003" s="74" t="n"/>
      <c r="R1003" s="74" t="n"/>
      <c r="S1003" s="74" t="n"/>
      <c r="T1003" s="74" t="n"/>
      <c r="U1003" s="74" t="n"/>
      <c r="V1003" s="74" t="n"/>
      <c r="W1003" s="74" t="n"/>
    </row>
    <row r="1004">
      <c r="A1004" s="74" t="n"/>
      <c r="B1004" s="74" t="n"/>
      <c r="C1004" s="74" t="n"/>
      <c r="D1004" s="74" t="n"/>
      <c r="E1004" s="74" t="n"/>
      <c r="F1004" s="74" t="n"/>
      <c r="G1004" s="74" t="n"/>
      <c r="H1004" s="74" t="n"/>
      <c r="I1004" s="74" t="n"/>
      <c r="J1004" s="74" t="n"/>
      <c r="K1004" s="74" t="n"/>
      <c r="L1004" s="74" t="n"/>
      <c r="M1004" s="74" t="n"/>
      <c r="N1004" s="74" t="n"/>
      <c r="O1004" s="74" t="n"/>
      <c r="P1004" s="74" t="n"/>
      <c r="Q1004" s="74" t="n"/>
      <c r="R1004" s="74" t="n"/>
      <c r="S1004" s="74" t="n"/>
      <c r="T1004" s="74" t="n"/>
      <c r="U1004" s="74" t="n"/>
      <c r="V1004" s="74" t="n"/>
      <c r="W1004" s="74" t="n"/>
    </row>
    <row r="1005">
      <c r="A1005" s="74" t="n"/>
      <c r="B1005" s="74" t="n"/>
      <c r="C1005" s="74" t="n"/>
      <c r="D1005" s="74" t="n"/>
      <c r="E1005" s="74" t="n"/>
      <c r="F1005" s="74" t="n"/>
      <c r="G1005" s="74" t="n"/>
      <c r="H1005" s="74" t="n"/>
      <c r="I1005" s="74" t="n"/>
      <c r="J1005" s="74" t="n"/>
      <c r="K1005" s="74" t="n"/>
      <c r="L1005" s="74" t="n"/>
      <c r="M1005" s="74" t="n"/>
      <c r="N1005" s="74" t="n"/>
      <c r="O1005" s="74" t="n"/>
      <c r="P1005" s="74" t="n"/>
      <c r="Q1005" s="74" t="n"/>
      <c r="R1005" s="74" t="n"/>
      <c r="S1005" s="74" t="n"/>
      <c r="T1005" s="74" t="n"/>
      <c r="U1005" s="74" t="n"/>
      <c r="V1005" s="74" t="n"/>
      <c r="W1005" s="74" t="n"/>
    </row>
    <row r="1006">
      <c r="A1006" s="74" t="n"/>
      <c r="B1006" s="74" t="n"/>
      <c r="C1006" s="74" t="n"/>
      <c r="D1006" s="74" t="n"/>
      <c r="E1006" s="74" t="n"/>
      <c r="F1006" s="74" t="n"/>
      <c r="G1006" s="74" t="n"/>
      <c r="H1006" s="74" t="n"/>
      <c r="I1006" s="74" t="n"/>
      <c r="J1006" s="74" t="n"/>
      <c r="K1006" s="74" t="n"/>
      <c r="L1006" s="74" t="n"/>
      <c r="M1006" s="74" t="n"/>
      <c r="N1006" s="74" t="n"/>
      <c r="O1006" s="74" t="n"/>
      <c r="P1006" s="74" t="n"/>
      <c r="Q1006" s="74" t="n"/>
      <c r="R1006" s="74" t="n"/>
      <c r="S1006" s="74" t="n"/>
      <c r="T1006" s="74" t="n"/>
      <c r="U1006" s="74" t="n"/>
      <c r="V1006" s="74" t="n"/>
      <c r="W1006" s="74" t="n"/>
    </row>
    <row r="1007">
      <c r="A1007" s="74" t="n"/>
      <c r="B1007" s="74" t="n"/>
      <c r="C1007" s="74" t="n"/>
      <c r="D1007" s="74" t="n"/>
      <c r="E1007" s="74" t="n"/>
      <c r="F1007" s="74" t="n"/>
      <c r="G1007" s="74" t="n"/>
      <c r="H1007" s="74" t="n"/>
      <c r="I1007" s="74" t="n"/>
      <c r="J1007" s="74" t="n"/>
      <c r="K1007" s="74" t="n"/>
      <c r="L1007" s="74" t="n"/>
      <c r="M1007" s="74" t="n"/>
      <c r="N1007" s="74" t="n"/>
      <c r="O1007" s="74" t="n"/>
      <c r="P1007" s="74" t="n"/>
      <c r="Q1007" s="74" t="n"/>
      <c r="R1007" s="74" t="n"/>
      <c r="S1007" s="74" t="n"/>
      <c r="T1007" s="74" t="n"/>
      <c r="U1007" s="74" t="n"/>
      <c r="V1007" s="74" t="n"/>
      <c r="W1007" s="74" t="n"/>
    </row>
    <row r="1008">
      <c r="A1008" s="74" t="n"/>
      <c r="B1008" s="74" t="n"/>
      <c r="C1008" s="74" t="n"/>
      <c r="D1008" s="74" t="n"/>
      <c r="E1008" s="74" t="n"/>
      <c r="F1008" s="74" t="n"/>
      <c r="G1008" s="74" t="n"/>
      <c r="H1008" s="74" t="n"/>
      <c r="I1008" s="74" t="n"/>
      <c r="J1008" s="74" t="n"/>
      <c r="K1008" s="74" t="n"/>
      <c r="L1008" s="74" t="n"/>
      <c r="M1008" s="74" t="n"/>
      <c r="N1008" s="74" t="n"/>
      <c r="O1008" s="74" t="n"/>
      <c r="P1008" s="74" t="n"/>
      <c r="Q1008" s="74" t="n"/>
      <c r="R1008" s="74" t="n"/>
      <c r="S1008" s="74" t="n"/>
      <c r="T1008" s="74" t="n"/>
      <c r="U1008" s="74" t="n"/>
      <c r="V1008" s="74" t="n"/>
      <c r="W1008" s="74" t="n"/>
    </row>
    <row r="1009">
      <c r="A1009" s="74" t="n"/>
      <c r="B1009" s="74" t="n"/>
      <c r="C1009" s="74" t="n"/>
      <c r="D1009" s="74" t="n"/>
      <c r="E1009" s="74" t="n"/>
      <c r="F1009" s="74" t="n"/>
      <c r="G1009" s="74" t="n"/>
      <c r="H1009" s="74" t="n"/>
      <c r="I1009" s="74" t="n"/>
      <c r="J1009" s="74" t="n"/>
      <c r="K1009" s="74" t="n"/>
      <c r="L1009" s="74" t="n"/>
      <c r="M1009" s="74" t="n"/>
      <c r="N1009" s="74" t="n"/>
      <c r="O1009" s="74" t="n"/>
      <c r="P1009" s="74" t="n"/>
      <c r="Q1009" s="74" t="n"/>
      <c r="R1009" s="74" t="n"/>
      <c r="S1009" s="74" t="n"/>
      <c r="T1009" s="74" t="n"/>
      <c r="U1009" s="74" t="n"/>
      <c r="V1009" s="74" t="n"/>
      <c r="W1009" s="74" t="n"/>
    </row>
    <row r="1010">
      <c r="A1010" s="74" t="n"/>
      <c r="B1010" s="74" t="n"/>
      <c r="C1010" s="74" t="n"/>
      <c r="D1010" s="74" t="n"/>
      <c r="E1010" s="74" t="n"/>
      <c r="F1010" s="74" t="n"/>
      <c r="G1010" s="74" t="n"/>
      <c r="H1010" s="74" t="n"/>
      <c r="I1010" s="74" t="n"/>
      <c r="J1010" s="74" t="n"/>
      <c r="K1010" s="74" t="n"/>
      <c r="L1010" s="74" t="n"/>
      <c r="M1010" s="74" t="n"/>
      <c r="N1010" s="74" t="n"/>
      <c r="O1010" s="74" t="n"/>
      <c r="P1010" s="74" t="n"/>
      <c r="Q1010" s="74" t="n"/>
      <c r="R1010" s="74" t="n"/>
      <c r="S1010" s="74" t="n"/>
      <c r="T1010" s="74" t="n"/>
      <c r="U1010" s="74" t="n"/>
      <c r="V1010" s="74" t="n"/>
      <c r="W1010" s="74" t="n"/>
    </row>
    <row r="1011">
      <c r="A1011" s="74" t="n"/>
      <c r="B1011" s="74" t="n"/>
      <c r="C1011" s="74" t="n"/>
      <c r="D1011" s="74" t="n"/>
      <c r="E1011" s="74" t="n"/>
      <c r="F1011" s="74" t="n"/>
      <c r="G1011" s="74" t="n"/>
      <c r="H1011" s="74" t="n"/>
      <c r="I1011" s="74" t="n"/>
      <c r="J1011" s="74" t="n"/>
      <c r="K1011" s="74" t="n"/>
      <c r="L1011" s="74" t="n"/>
      <c r="M1011" s="74" t="n"/>
      <c r="N1011" s="74" t="n"/>
      <c r="O1011" s="74" t="n"/>
      <c r="P1011" s="74" t="n"/>
      <c r="Q1011" s="74" t="n"/>
      <c r="R1011" s="74" t="n"/>
      <c r="S1011" s="74" t="n"/>
      <c r="T1011" s="74" t="n"/>
      <c r="U1011" s="74" t="n"/>
      <c r="V1011" s="74" t="n"/>
      <c r="W1011" s="74" t="n"/>
    </row>
    <row r="1012">
      <c r="A1012" s="74" t="n"/>
      <c r="B1012" s="74" t="n"/>
      <c r="C1012" s="74" t="n"/>
      <c r="D1012" s="74" t="n"/>
      <c r="E1012" s="74" t="n"/>
      <c r="F1012" s="74" t="n"/>
      <c r="G1012" s="74" t="n"/>
      <c r="H1012" s="74" t="n"/>
      <c r="I1012" s="74" t="n"/>
      <c r="J1012" s="74" t="n"/>
      <c r="K1012" s="74" t="n"/>
      <c r="L1012" s="74" t="n"/>
      <c r="M1012" s="74" t="n"/>
      <c r="N1012" s="74" t="n"/>
      <c r="O1012" s="74" t="n"/>
      <c r="P1012" s="74" t="n"/>
      <c r="Q1012" s="74" t="n"/>
      <c r="R1012" s="74" t="n"/>
      <c r="S1012" s="74" t="n"/>
      <c r="T1012" s="74" t="n"/>
      <c r="U1012" s="74" t="n"/>
      <c r="V1012" s="74" t="n"/>
      <c r="W1012" s="74" t="n"/>
    </row>
    <row r="1013">
      <c r="A1013" s="74" t="n"/>
      <c r="B1013" s="74" t="n"/>
      <c r="C1013" s="74" t="n"/>
      <c r="D1013" s="74" t="n"/>
      <c r="E1013" s="74" t="n"/>
      <c r="F1013" s="74" t="n"/>
      <c r="G1013" s="74" t="n"/>
      <c r="H1013" s="74" t="n"/>
      <c r="I1013" s="74" t="n"/>
      <c r="J1013" s="74" t="n"/>
      <c r="K1013" s="74" t="n"/>
      <c r="L1013" s="74" t="n"/>
      <c r="M1013" s="74" t="n"/>
      <c r="N1013" s="74" t="n"/>
      <c r="O1013" s="74" t="n"/>
      <c r="P1013" s="74" t="n"/>
      <c r="Q1013" s="74" t="n"/>
      <c r="R1013" s="74" t="n"/>
      <c r="S1013" s="74" t="n"/>
      <c r="T1013" s="74" t="n"/>
      <c r="U1013" s="74" t="n"/>
      <c r="V1013" s="74" t="n"/>
      <c r="W1013" s="74" t="n"/>
    </row>
    <row r="1014">
      <c r="A1014" s="74" t="n"/>
      <c r="B1014" s="74" t="n"/>
      <c r="C1014" s="74" t="n"/>
      <c r="D1014" s="74" t="n"/>
      <c r="E1014" s="74" t="n"/>
      <c r="F1014" s="74" t="n"/>
      <c r="G1014" s="74" t="n"/>
      <c r="H1014" s="74" t="n"/>
      <c r="I1014" s="74" t="n"/>
      <c r="J1014" s="74" t="n"/>
      <c r="K1014" s="74" t="n"/>
      <c r="L1014" s="74" t="n"/>
      <c r="M1014" s="74" t="n"/>
      <c r="N1014" s="74" t="n"/>
      <c r="O1014" s="74" t="n"/>
      <c r="P1014" s="74" t="n"/>
      <c r="Q1014" s="74" t="n"/>
      <c r="R1014" s="74" t="n"/>
      <c r="S1014" s="74" t="n"/>
      <c r="T1014" s="74" t="n"/>
      <c r="U1014" s="74" t="n"/>
      <c r="V1014" s="74" t="n"/>
      <c r="W1014" s="74" t="n"/>
    </row>
    <row r="1015">
      <c r="A1015" s="74" t="n"/>
      <c r="B1015" s="74" t="n"/>
      <c r="C1015" s="74" t="n"/>
      <c r="D1015" s="74" t="n"/>
      <c r="E1015" s="74" t="n"/>
      <c r="F1015" s="74" t="n"/>
      <c r="G1015" s="74" t="n"/>
      <c r="H1015" s="74" t="n"/>
      <c r="I1015" s="74" t="n"/>
      <c r="J1015" s="74" t="n"/>
      <c r="K1015" s="74" t="n"/>
      <c r="L1015" s="74" t="n"/>
      <c r="M1015" s="74" t="n"/>
      <c r="N1015" s="74" t="n"/>
      <c r="O1015" s="74" t="n"/>
      <c r="P1015" s="74" t="n"/>
      <c r="Q1015" s="74" t="n"/>
      <c r="R1015" s="74" t="n"/>
      <c r="S1015" s="74" t="n"/>
      <c r="T1015" s="74" t="n"/>
      <c r="U1015" s="74" t="n"/>
      <c r="V1015" s="74" t="n"/>
      <c r="W1015" s="74" t="n"/>
    </row>
    <row r="1016">
      <c r="A1016" s="74" t="n"/>
      <c r="B1016" s="74" t="n"/>
      <c r="C1016" s="74" t="n"/>
      <c r="D1016" s="74" t="n"/>
      <c r="E1016" s="74" t="n"/>
      <c r="F1016" s="74" t="n"/>
      <c r="G1016" s="74" t="n"/>
      <c r="H1016" s="74" t="n"/>
      <c r="I1016" s="74" t="n"/>
      <c r="J1016" s="74" t="n"/>
      <c r="K1016" s="74" t="n"/>
      <c r="L1016" s="74" t="n"/>
      <c r="M1016" s="74" t="n"/>
      <c r="N1016" s="74" t="n"/>
      <c r="O1016" s="74" t="n"/>
      <c r="P1016" s="74" t="n"/>
      <c r="Q1016" s="74" t="n"/>
      <c r="R1016" s="74" t="n"/>
      <c r="S1016" s="74" t="n"/>
      <c r="T1016" s="74" t="n"/>
      <c r="U1016" s="74" t="n"/>
      <c r="V1016" s="74" t="n"/>
      <c r="W1016" s="74" t="n"/>
    </row>
    <row r="1017">
      <c r="A1017" s="74" t="n"/>
      <c r="B1017" s="74" t="n"/>
      <c r="C1017" s="74" t="n"/>
      <c r="D1017" s="74" t="n"/>
      <c r="E1017" s="74" t="n"/>
      <c r="F1017" s="74" t="n"/>
      <c r="G1017" s="74" t="n"/>
      <c r="H1017" s="74" t="n"/>
      <c r="I1017" s="74" t="n"/>
      <c r="J1017" s="74" t="n"/>
      <c r="K1017" s="74" t="n"/>
      <c r="L1017" s="74" t="n"/>
      <c r="M1017" s="74" t="n"/>
      <c r="N1017" s="74" t="n"/>
      <c r="O1017" s="74" t="n"/>
      <c r="P1017" s="74" t="n"/>
      <c r="Q1017" s="74" t="n"/>
      <c r="R1017" s="74" t="n"/>
      <c r="S1017" s="74" t="n"/>
      <c r="T1017" s="74" t="n"/>
      <c r="U1017" s="74" t="n"/>
      <c r="V1017" s="74" t="n"/>
      <c r="W1017" s="74" t="n"/>
    </row>
    <row r="1018">
      <c r="A1018" s="74" t="n"/>
      <c r="B1018" s="74" t="n"/>
      <c r="C1018" s="74" t="n"/>
      <c r="D1018" s="74" t="n"/>
      <c r="E1018" s="74" t="n"/>
      <c r="F1018" s="74" t="n"/>
      <c r="G1018" s="74" t="n"/>
      <c r="H1018" s="74" t="n"/>
      <c r="I1018" s="74" t="n"/>
      <c r="J1018" s="74" t="n"/>
      <c r="K1018" s="74" t="n"/>
      <c r="L1018" s="74" t="n"/>
      <c r="M1018" s="74" t="n"/>
      <c r="N1018" s="74" t="n"/>
      <c r="O1018" s="74" t="n"/>
      <c r="P1018" s="74" t="n"/>
      <c r="Q1018" s="74" t="n"/>
      <c r="R1018" s="74" t="n"/>
      <c r="S1018" s="74" t="n"/>
      <c r="T1018" s="74" t="n"/>
      <c r="U1018" s="74" t="n"/>
      <c r="V1018" s="74" t="n"/>
      <c r="W1018" s="74" t="n"/>
    </row>
    <row r="1019">
      <c r="A1019" s="74" t="n"/>
      <c r="B1019" s="74" t="n"/>
      <c r="C1019" s="74" t="n"/>
      <c r="D1019" s="74" t="n"/>
      <c r="E1019" s="74" t="n"/>
      <c r="F1019" s="74" t="n"/>
      <c r="G1019" s="74" t="n"/>
      <c r="H1019" s="74" t="n"/>
      <c r="I1019" s="74" t="n"/>
      <c r="J1019" s="74" t="n"/>
      <c r="K1019" s="74" t="n"/>
      <c r="L1019" s="74" t="n"/>
      <c r="M1019" s="74" t="n"/>
      <c r="N1019" s="74" t="n"/>
      <c r="O1019" s="74" t="n"/>
      <c r="P1019" s="74" t="n"/>
      <c r="Q1019" s="74" t="n"/>
      <c r="R1019" s="74" t="n"/>
      <c r="S1019" s="74" t="n"/>
      <c r="T1019" s="74" t="n"/>
      <c r="U1019" s="74" t="n"/>
      <c r="V1019" s="74" t="n"/>
      <c r="W1019" s="74" t="n"/>
    </row>
    <row r="1020">
      <c r="A1020" s="74" t="n"/>
      <c r="B1020" s="74" t="n"/>
      <c r="C1020" s="74" t="n"/>
      <c r="D1020" s="74" t="n"/>
      <c r="E1020" s="74" t="n"/>
      <c r="F1020" s="74" t="n"/>
      <c r="G1020" s="74" t="n"/>
      <c r="H1020" s="74" t="n"/>
      <c r="I1020" s="74" t="n"/>
      <c r="J1020" s="74" t="n"/>
      <c r="K1020" s="74" t="n"/>
      <c r="L1020" s="74" t="n"/>
      <c r="M1020" s="74" t="n"/>
      <c r="N1020" s="74" t="n"/>
      <c r="O1020" s="74" t="n"/>
      <c r="P1020" s="74" t="n"/>
      <c r="Q1020" s="74" t="n"/>
      <c r="R1020" s="74" t="n"/>
      <c r="S1020" s="74" t="n"/>
      <c r="T1020" s="74" t="n"/>
      <c r="U1020" s="74" t="n"/>
      <c r="V1020" s="74" t="n"/>
      <c r="W1020" s="74" t="n"/>
    </row>
    <row r="1021">
      <c r="A1021" s="74" t="n"/>
      <c r="B1021" s="74" t="n"/>
      <c r="C1021" s="74" t="n"/>
      <c r="D1021" s="74" t="n"/>
      <c r="E1021" s="74" t="n"/>
      <c r="F1021" s="74" t="n"/>
      <c r="G1021" s="74" t="n"/>
      <c r="H1021" s="74" t="n"/>
      <c r="I1021" s="74" t="n"/>
      <c r="J1021" s="74" t="n"/>
      <c r="K1021" s="74" t="n"/>
      <c r="L1021" s="74" t="n"/>
      <c r="M1021" s="74" t="n"/>
      <c r="N1021" s="74" t="n"/>
      <c r="O1021" s="74" t="n"/>
      <c r="P1021" s="74" t="n"/>
      <c r="Q1021" s="74" t="n"/>
      <c r="R1021" s="74" t="n"/>
      <c r="S1021" s="74" t="n"/>
      <c r="T1021" s="74" t="n"/>
      <c r="U1021" s="74" t="n"/>
      <c r="V1021" s="74" t="n"/>
      <c r="W1021" s="74" t="n"/>
    </row>
    <row r="1022">
      <c r="A1022" s="74" t="n"/>
      <c r="B1022" s="74" t="n"/>
      <c r="C1022" s="74" t="n"/>
      <c r="D1022" s="74" t="n"/>
      <c r="E1022" s="74" t="n"/>
      <c r="F1022" s="74" t="n"/>
      <c r="G1022" s="74" t="n"/>
      <c r="H1022" s="74" t="n"/>
      <c r="I1022" s="74" t="n"/>
      <c r="J1022" s="74" t="n"/>
      <c r="K1022" s="74" t="n"/>
      <c r="L1022" s="74" t="n"/>
      <c r="M1022" s="74" t="n"/>
      <c r="N1022" s="74" t="n"/>
      <c r="O1022" s="74" t="n"/>
      <c r="P1022" s="74" t="n"/>
      <c r="Q1022" s="74" t="n"/>
      <c r="R1022" s="74" t="n"/>
      <c r="S1022" s="74" t="n"/>
      <c r="T1022" s="74" t="n"/>
      <c r="U1022" s="74" t="n"/>
      <c r="V1022" s="74" t="n"/>
      <c r="W1022" s="74" t="n"/>
    </row>
    <row r="1023">
      <c r="A1023" s="74" t="n"/>
      <c r="B1023" s="74" t="n"/>
      <c r="C1023" s="74" t="n"/>
      <c r="D1023" s="74" t="n"/>
      <c r="E1023" s="74" t="n"/>
      <c r="F1023" s="74" t="n"/>
      <c r="G1023" s="74" t="n"/>
      <c r="H1023" s="74" t="n"/>
      <c r="I1023" s="74" t="n"/>
      <c r="J1023" s="74" t="n"/>
      <c r="K1023" s="74" t="n"/>
      <c r="L1023" s="74" t="n"/>
      <c r="M1023" s="74" t="n"/>
      <c r="N1023" s="74" t="n"/>
      <c r="O1023" s="74" t="n"/>
      <c r="P1023" s="74" t="n"/>
      <c r="Q1023" s="74" t="n"/>
      <c r="R1023" s="74" t="n"/>
      <c r="S1023" s="74" t="n"/>
      <c r="T1023" s="74" t="n"/>
      <c r="U1023" s="74" t="n"/>
      <c r="V1023" s="74" t="n"/>
      <c r="W1023" s="74" t="n"/>
    </row>
    <row r="1024">
      <c r="A1024" s="74" t="n"/>
      <c r="B1024" s="74" t="n"/>
      <c r="C1024" s="74" t="n"/>
      <c r="D1024" s="74" t="n"/>
      <c r="E1024" s="74" t="n"/>
      <c r="F1024" s="74" t="n"/>
      <c r="G1024" s="74" t="n"/>
      <c r="H1024" s="74" t="n"/>
      <c r="I1024" s="74" t="n"/>
      <c r="J1024" s="74" t="n"/>
      <c r="K1024" s="74" t="n"/>
      <c r="L1024" s="74" t="n"/>
      <c r="M1024" s="74" t="n"/>
      <c r="N1024" s="74" t="n"/>
      <c r="O1024" s="74" t="n"/>
      <c r="P1024" s="74" t="n"/>
      <c r="Q1024" s="74" t="n"/>
      <c r="R1024" s="74" t="n"/>
      <c r="S1024" s="74" t="n"/>
      <c r="T1024" s="74" t="n"/>
      <c r="U1024" s="74" t="n"/>
      <c r="V1024" s="74" t="n"/>
      <c r="W1024" s="74" t="n"/>
    </row>
    <row r="1025">
      <c r="A1025" s="74" t="n"/>
      <c r="B1025" s="74" t="n"/>
      <c r="C1025" s="74" t="n"/>
      <c r="D1025" s="74" t="n"/>
      <c r="E1025" s="74" t="n"/>
      <c r="F1025" s="74" t="n"/>
      <c r="G1025" s="74" t="n"/>
      <c r="H1025" s="74" t="n"/>
      <c r="I1025" s="74" t="n"/>
      <c r="J1025" s="74" t="n"/>
      <c r="K1025" s="74" t="n"/>
      <c r="L1025" s="74" t="n"/>
      <c r="M1025" s="74" t="n"/>
      <c r="N1025" s="74" t="n"/>
      <c r="O1025" s="74" t="n"/>
      <c r="P1025" s="74" t="n"/>
      <c r="Q1025" s="74" t="n"/>
      <c r="R1025" s="74" t="n"/>
      <c r="S1025" s="74" t="n"/>
      <c r="T1025" s="74" t="n"/>
      <c r="U1025" s="74" t="n"/>
      <c r="V1025" s="74" t="n"/>
      <c r="W1025" s="74" t="n"/>
    </row>
    <row r="1026">
      <c r="A1026" s="74" t="n"/>
      <c r="B1026" s="74" t="n"/>
      <c r="C1026" s="74" t="n"/>
      <c r="D1026" s="74" t="n"/>
      <c r="E1026" s="74" t="n"/>
      <c r="F1026" s="74" t="n"/>
      <c r="G1026" s="74" t="n"/>
      <c r="H1026" s="74" t="n"/>
      <c r="I1026" s="74" t="n"/>
      <c r="J1026" s="74" t="n"/>
      <c r="K1026" s="74" t="n"/>
      <c r="L1026" s="74" t="n"/>
      <c r="M1026" s="74" t="n"/>
      <c r="N1026" s="74" t="n"/>
      <c r="O1026" s="74" t="n"/>
      <c r="P1026" s="74" t="n"/>
      <c r="Q1026" s="74" t="n"/>
      <c r="R1026" s="74" t="n"/>
      <c r="S1026" s="74" t="n"/>
      <c r="T1026" s="74" t="n"/>
      <c r="U1026" s="74" t="n"/>
      <c r="V1026" s="74" t="n"/>
      <c r="W1026" s="74" t="n"/>
    </row>
    <row r="1027">
      <c r="A1027" s="74" t="n"/>
      <c r="B1027" s="74" t="n"/>
      <c r="C1027" s="74" t="n"/>
      <c r="D1027" s="74" t="n"/>
      <c r="E1027" s="74" t="n"/>
      <c r="F1027" s="74" t="n"/>
      <c r="G1027" s="74" t="n"/>
      <c r="H1027" s="74" t="n"/>
      <c r="I1027" s="74" t="n"/>
      <c r="J1027" s="74" t="n"/>
      <c r="K1027" s="74" t="n"/>
      <c r="L1027" s="74" t="n"/>
      <c r="M1027" s="74" t="n"/>
      <c r="N1027" s="74" t="n"/>
      <c r="O1027" s="74" t="n"/>
      <c r="P1027" s="74" t="n"/>
      <c r="Q1027" s="74" t="n"/>
      <c r="R1027" s="74" t="n"/>
      <c r="S1027" s="74" t="n"/>
      <c r="T1027" s="74" t="n"/>
      <c r="U1027" s="74" t="n"/>
      <c r="V1027" s="74" t="n"/>
      <c r="W1027" s="74" t="n"/>
    </row>
    <row r="1028">
      <c r="A1028" s="74" t="n"/>
      <c r="B1028" s="74" t="n"/>
      <c r="C1028" s="74" t="n"/>
      <c r="D1028" s="74" t="n"/>
      <c r="E1028" s="74" t="n"/>
      <c r="F1028" s="74" t="n"/>
      <c r="G1028" s="74" t="n"/>
      <c r="H1028" s="74" t="n"/>
      <c r="I1028" s="74" t="n"/>
      <c r="J1028" s="74" t="n"/>
      <c r="K1028" s="74" t="n"/>
      <c r="L1028" s="74" t="n"/>
      <c r="M1028" s="74" t="n"/>
      <c r="N1028" s="74" t="n"/>
      <c r="O1028" s="74" t="n"/>
      <c r="P1028" s="74" t="n"/>
      <c r="Q1028" s="74" t="n"/>
      <c r="R1028" s="74" t="n"/>
      <c r="S1028" s="74" t="n"/>
      <c r="T1028" s="74" t="n"/>
      <c r="U1028" s="74" t="n"/>
      <c r="V1028" s="74" t="n"/>
      <c r="W1028" s="74" t="n"/>
    </row>
    <row r="1029">
      <c r="A1029" s="74" t="n"/>
      <c r="B1029" s="74" t="n"/>
      <c r="C1029" s="74" t="n"/>
      <c r="D1029" s="74" t="n"/>
      <c r="E1029" s="74" t="n"/>
      <c r="F1029" s="74" t="n"/>
      <c r="G1029" s="74" t="n"/>
      <c r="H1029" s="74" t="n"/>
      <c r="I1029" s="74" t="n"/>
      <c r="J1029" s="74" t="n"/>
      <c r="K1029" s="74" t="n"/>
      <c r="L1029" s="74" t="n"/>
      <c r="M1029" s="74" t="n"/>
      <c r="N1029" s="74" t="n"/>
      <c r="O1029" s="74" t="n"/>
      <c r="P1029" s="74" t="n"/>
      <c r="Q1029" s="74" t="n"/>
      <c r="R1029" s="74" t="n"/>
      <c r="S1029" s="74" t="n"/>
      <c r="T1029" s="74" t="n"/>
      <c r="U1029" s="74" t="n"/>
      <c r="V1029" s="74" t="n"/>
      <c r="W1029" s="74" t="n"/>
    </row>
    <row r="1030">
      <c r="A1030" s="74" t="n"/>
      <c r="B1030" s="74" t="n"/>
      <c r="C1030" s="74" t="n"/>
      <c r="D1030" s="74" t="n"/>
      <c r="E1030" s="74" t="n"/>
      <c r="F1030" s="74" t="n"/>
      <c r="G1030" s="74" t="n"/>
      <c r="H1030" s="74" t="n"/>
      <c r="I1030" s="74" t="n"/>
      <c r="J1030" s="74" t="n"/>
      <c r="K1030" s="74" t="n"/>
      <c r="L1030" s="74" t="n"/>
      <c r="M1030" s="74" t="n"/>
      <c r="N1030" s="74" t="n"/>
      <c r="O1030" s="74" t="n"/>
      <c r="P1030" s="74" t="n"/>
      <c r="Q1030" s="74" t="n"/>
      <c r="R1030" s="74" t="n"/>
      <c r="S1030" s="74" t="n"/>
      <c r="T1030" s="74" t="n"/>
      <c r="U1030" s="74" t="n"/>
      <c r="V1030" s="74" t="n"/>
      <c r="W1030" s="74" t="n"/>
    </row>
    <row r="1031">
      <c r="A1031" s="74" t="n"/>
      <c r="B1031" s="74" t="n"/>
      <c r="C1031" s="74" t="n"/>
      <c r="D1031" s="74" t="n"/>
      <c r="E1031" s="74" t="n"/>
      <c r="F1031" s="74" t="n"/>
      <c r="G1031" s="74" t="n"/>
      <c r="H1031" s="74" t="n"/>
      <c r="I1031" s="74" t="n"/>
      <c r="J1031" s="74" t="n"/>
      <c r="K1031" s="74" t="n"/>
      <c r="L1031" s="74" t="n"/>
      <c r="M1031" s="74" t="n"/>
      <c r="N1031" s="74" t="n"/>
      <c r="O1031" s="74" t="n"/>
      <c r="P1031" s="74" t="n"/>
      <c r="Q1031" s="74" t="n"/>
      <c r="R1031" s="74" t="n"/>
      <c r="S1031" s="74" t="n"/>
      <c r="T1031" s="74" t="n"/>
      <c r="U1031" s="74" t="n"/>
      <c r="V1031" s="74" t="n"/>
      <c r="W1031" s="74" t="n"/>
    </row>
    <row r="1032">
      <c r="A1032" s="74" t="n"/>
      <c r="B1032" s="74" t="n"/>
      <c r="C1032" s="74" t="n"/>
      <c r="D1032" s="74" t="n"/>
      <c r="E1032" s="74" t="n"/>
      <c r="F1032" s="74" t="n"/>
      <c r="G1032" s="74" t="n"/>
      <c r="H1032" s="74" t="n"/>
      <c r="I1032" s="74" t="n"/>
      <c r="J1032" s="74" t="n"/>
      <c r="K1032" s="74" t="n"/>
      <c r="L1032" s="74" t="n"/>
      <c r="M1032" s="74" t="n"/>
      <c r="N1032" s="74" t="n"/>
      <c r="O1032" s="74" t="n"/>
      <c r="P1032" s="74" t="n"/>
      <c r="Q1032" s="74" t="n"/>
      <c r="R1032" s="74" t="n"/>
      <c r="S1032" s="74" t="n"/>
      <c r="T1032" s="74" t="n"/>
      <c r="U1032" s="74" t="n"/>
      <c r="V1032" s="74" t="n"/>
      <c r="W1032" s="74" t="n"/>
    </row>
    <row r="1033">
      <c r="A1033" s="74" t="n"/>
      <c r="B1033" s="74" t="n"/>
      <c r="C1033" s="74" t="n"/>
      <c r="D1033" s="74" t="n"/>
      <c r="E1033" s="74" t="n"/>
      <c r="F1033" s="74" t="n"/>
      <c r="G1033" s="74" t="n"/>
      <c r="H1033" s="74" t="n"/>
      <c r="I1033" s="74" t="n"/>
      <c r="J1033" s="74" t="n"/>
      <c r="K1033" s="74" t="n"/>
      <c r="L1033" s="74" t="n"/>
      <c r="M1033" s="74" t="n"/>
      <c r="N1033" s="74" t="n"/>
      <c r="O1033" s="74" t="n"/>
      <c r="P1033" s="74" t="n"/>
      <c r="Q1033" s="74" t="n"/>
      <c r="R1033" s="74" t="n"/>
      <c r="S1033" s="74" t="n"/>
      <c r="T1033" s="74" t="n"/>
      <c r="U1033" s="74" t="n"/>
      <c r="V1033" s="74" t="n"/>
      <c r="W1033" s="74" t="n"/>
    </row>
    <row r="1034">
      <c r="A1034" s="74" t="n"/>
      <c r="B1034" s="74" t="n"/>
      <c r="C1034" s="74" t="n"/>
      <c r="D1034" s="74" t="n"/>
      <c r="E1034" s="74" t="n"/>
      <c r="F1034" s="74" t="n"/>
      <c r="G1034" s="74" t="n"/>
      <c r="H1034" s="74" t="n"/>
      <c r="I1034" s="74" t="n"/>
      <c r="J1034" s="74" t="n"/>
      <c r="K1034" s="74" t="n"/>
      <c r="L1034" s="74" t="n"/>
      <c r="M1034" s="74" t="n"/>
      <c r="N1034" s="74" t="n"/>
      <c r="O1034" s="74" t="n"/>
      <c r="P1034" s="74" t="n"/>
      <c r="Q1034" s="74" t="n"/>
      <c r="R1034" s="74" t="n"/>
      <c r="S1034" s="74" t="n"/>
      <c r="T1034" s="74" t="n"/>
      <c r="U1034" s="74" t="n"/>
      <c r="V1034" s="74" t="n"/>
      <c r="W1034" s="74" t="n"/>
    </row>
    <row r="1035">
      <c r="A1035" s="74" t="n"/>
      <c r="B1035" s="74" t="n"/>
      <c r="C1035" s="74" t="n"/>
      <c r="D1035" s="74" t="n"/>
      <c r="E1035" s="74" t="n"/>
      <c r="F1035" s="74" t="n"/>
      <c r="G1035" s="74" t="n"/>
      <c r="H1035" s="74" t="n"/>
      <c r="I1035" s="74" t="n"/>
      <c r="J1035" s="74" t="n"/>
      <c r="K1035" s="74" t="n"/>
      <c r="L1035" s="74" t="n"/>
      <c r="M1035" s="74" t="n"/>
      <c r="N1035" s="74" t="n"/>
      <c r="O1035" s="74" t="n"/>
      <c r="P1035" s="74" t="n"/>
      <c r="Q1035" s="74" t="n"/>
      <c r="R1035" s="74" t="n"/>
      <c r="S1035" s="74" t="n"/>
      <c r="T1035" s="74" t="n"/>
      <c r="U1035" s="74" t="n"/>
      <c r="V1035" s="74" t="n"/>
      <c r="W1035" s="74" t="n"/>
    </row>
    <row r="1036">
      <c r="A1036" s="74" t="n"/>
      <c r="B1036" s="74" t="n"/>
      <c r="C1036" s="74" t="n"/>
      <c r="D1036" s="74" t="n"/>
      <c r="E1036" s="74" t="n"/>
      <c r="F1036" s="74" t="n"/>
      <c r="G1036" s="74" t="n"/>
      <c r="H1036" s="74" t="n"/>
      <c r="I1036" s="74" t="n"/>
      <c r="J1036" s="74" t="n"/>
      <c r="K1036" s="74" t="n"/>
      <c r="L1036" s="74" t="n"/>
      <c r="M1036" s="74" t="n"/>
      <c r="N1036" s="74" t="n"/>
      <c r="O1036" s="74" t="n"/>
      <c r="P1036" s="74" t="n"/>
      <c r="Q1036" s="74" t="n"/>
      <c r="R1036" s="74" t="n"/>
      <c r="S1036" s="74" t="n"/>
      <c r="T1036" s="74" t="n"/>
      <c r="U1036" s="74" t="n"/>
      <c r="V1036" s="74" t="n"/>
      <c r="W1036" s="74" t="n"/>
    </row>
    <row r="1037">
      <c r="A1037" s="74" t="n"/>
      <c r="B1037" s="74" t="n"/>
      <c r="C1037" s="74" t="n"/>
      <c r="D1037" s="74" t="n"/>
      <c r="E1037" s="74" t="n"/>
      <c r="F1037" s="74" t="n"/>
      <c r="G1037" s="74" t="n"/>
      <c r="H1037" s="74" t="n"/>
      <c r="I1037" s="74" t="n"/>
      <c r="J1037" s="74" t="n"/>
      <c r="K1037" s="74" t="n"/>
      <c r="L1037" s="74" t="n"/>
      <c r="M1037" s="74" t="n"/>
      <c r="N1037" s="74" t="n"/>
      <c r="O1037" s="74" t="n"/>
      <c r="P1037" s="74" t="n"/>
      <c r="Q1037" s="74" t="n"/>
      <c r="R1037" s="74" t="n"/>
      <c r="S1037" s="74" t="n"/>
      <c r="T1037" s="74" t="n"/>
      <c r="U1037" s="74" t="n"/>
      <c r="V1037" s="74" t="n"/>
      <c r="W1037" s="74" t="n"/>
    </row>
    <row r="1038">
      <c r="A1038" s="74" t="n"/>
      <c r="B1038" s="74" t="n"/>
      <c r="C1038" s="74" t="n"/>
      <c r="D1038" s="74" t="n"/>
      <c r="E1038" s="74" t="n"/>
      <c r="F1038" s="74" t="n"/>
      <c r="G1038" s="74" t="n"/>
      <c r="H1038" s="74" t="n"/>
      <c r="I1038" s="74" t="n"/>
      <c r="J1038" s="74" t="n"/>
      <c r="K1038" s="74" t="n"/>
      <c r="L1038" s="74" t="n"/>
      <c r="M1038" s="74" t="n"/>
      <c r="N1038" s="74" t="n"/>
      <c r="O1038" s="74" t="n"/>
      <c r="P1038" s="74" t="n"/>
      <c r="Q1038" s="74" t="n"/>
      <c r="R1038" s="74" t="n"/>
      <c r="S1038" s="74" t="n"/>
      <c r="T1038" s="74" t="n"/>
      <c r="U1038" s="74" t="n"/>
      <c r="V1038" s="74" t="n"/>
      <c r="W1038" s="74" t="n"/>
    </row>
    <row r="1039">
      <c r="A1039" s="74" t="n"/>
      <c r="B1039" s="74" t="n"/>
      <c r="C1039" s="74" t="n"/>
      <c r="D1039" s="74" t="n"/>
      <c r="E1039" s="74" t="n"/>
      <c r="F1039" s="74" t="n"/>
      <c r="G1039" s="74" t="n"/>
      <c r="H1039" s="74" t="n"/>
      <c r="I1039" s="74" t="n"/>
      <c r="J1039" s="74" t="n"/>
      <c r="K1039" s="74" t="n"/>
      <c r="L1039" s="74" t="n"/>
      <c r="M1039" s="74" t="n"/>
      <c r="N1039" s="74" t="n"/>
      <c r="O1039" s="74" t="n"/>
      <c r="P1039" s="74" t="n"/>
      <c r="Q1039" s="74" t="n"/>
      <c r="R1039" s="74" t="n"/>
      <c r="S1039" s="74" t="n"/>
      <c r="T1039" s="74" t="n"/>
      <c r="U1039" s="74" t="n"/>
      <c r="V1039" s="74" t="n"/>
      <c r="W1039" s="74" t="n"/>
    </row>
    <row r="1040">
      <c r="A1040" s="74" t="n"/>
      <c r="B1040" s="74" t="n"/>
      <c r="C1040" s="74" t="n"/>
      <c r="D1040" s="74" t="n"/>
      <c r="E1040" s="74" t="n"/>
      <c r="F1040" s="74" t="n"/>
      <c r="G1040" s="74" t="n"/>
      <c r="H1040" s="74" t="n"/>
      <c r="I1040" s="74" t="n"/>
      <c r="J1040" s="74" t="n"/>
      <c r="K1040" s="74" t="n"/>
      <c r="L1040" s="74" t="n"/>
      <c r="M1040" s="74" t="n"/>
      <c r="N1040" s="74" t="n"/>
      <c r="O1040" s="74" t="n"/>
      <c r="P1040" s="74" t="n"/>
      <c r="Q1040" s="74" t="n"/>
      <c r="R1040" s="74" t="n"/>
      <c r="S1040" s="74" t="n"/>
      <c r="T1040" s="74" t="n"/>
      <c r="U1040" s="74" t="n"/>
      <c r="V1040" s="74" t="n"/>
      <c r="W1040" s="74" t="n"/>
    </row>
    <row r="1041">
      <c r="A1041" s="74" t="n"/>
      <c r="B1041" s="74" t="n"/>
      <c r="C1041" s="74" t="n"/>
      <c r="D1041" s="74" t="n"/>
      <c r="E1041" s="74" t="n"/>
      <c r="F1041" s="74" t="n"/>
      <c r="G1041" s="74" t="n"/>
      <c r="H1041" s="74" t="n"/>
      <c r="I1041" s="74" t="n"/>
      <c r="J1041" s="74" t="n"/>
      <c r="K1041" s="74" t="n"/>
      <c r="L1041" s="74" t="n"/>
      <c r="M1041" s="74" t="n"/>
      <c r="N1041" s="74" t="n"/>
      <c r="O1041" s="74" t="n"/>
      <c r="P1041" s="74" t="n"/>
      <c r="Q1041" s="74" t="n"/>
      <c r="R1041" s="74" t="n"/>
      <c r="S1041" s="74" t="n"/>
      <c r="T1041" s="74" t="n"/>
      <c r="U1041" s="74" t="n"/>
      <c r="V1041" s="74" t="n"/>
      <c r="W1041" s="74" t="n"/>
    </row>
    <row r="1042">
      <c r="A1042" s="74" t="n"/>
      <c r="B1042" s="74" t="n"/>
      <c r="C1042" s="74" t="n"/>
      <c r="D1042" s="74" t="n"/>
      <c r="E1042" s="74" t="n"/>
      <c r="F1042" s="74" t="n"/>
      <c r="G1042" s="74" t="n"/>
      <c r="H1042" s="74" t="n"/>
      <c r="I1042" s="74" t="n"/>
      <c r="J1042" s="74" t="n"/>
      <c r="K1042" s="74" t="n"/>
      <c r="L1042" s="74" t="n"/>
      <c r="M1042" s="74" t="n"/>
      <c r="N1042" s="74" t="n"/>
      <c r="O1042" s="74" t="n"/>
      <c r="P1042" s="74" t="n"/>
      <c r="Q1042" s="74" t="n"/>
      <c r="R1042" s="74" t="n"/>
      <c r="S1042" s="74" t="n"/>
      <c r="T1042" s="74" t="n"/>
      <c r="U1042" s="74" t="n"/>
      <c r="V1042" s="74" t="n"/>
      <c r="W1042" s="74" t="n"/>
    </row>
    <row r="1043">
      <c r="A1043" s="74" t="n"/>
      <c r="B1043" s="74" t="n"/>
      <c r="C1043" s="74" t="n"/>
      <c r="D1043" s="74" t="n"/>
      <c r="E1043" s="74" t="n"/>
      <c r="F1043" s="74" t="n"/>
      <c r="G1043" s="74" t="n"/>
      <c r="H1043" s="74" t="n"/>
      <c r="I1043" s="74" t="n"/>
      <c r="J1043" s="74" t="n"/>
      <c r="K1043" s="74" t="n"/>
      <c r="L1043" s="74" t="n"/>
      <c r="M1043" s="74" t="n"/>
      <c r="N1043" s="74" t="n"/>
      <c r="O1043" s="74" t="n"/>
      <c r="P1043" s="74" t="n"/>
      <c r="Q1043" s="74" t="n"/>
      <c r="R1043" s="74" t="n"/>
      <c r="S1043" s="74" t="n"/>
      <c r="T1043" s="74" t="n"/>
      <c r="U1043" s="74" t="n"/>
      <c r="V1043" s="74" t="n"/>
      <c r="W1043" s="74" t="n"/>
    </row>
    <row r="1044">
      <c r="A1044" s="74" t="n"/>
      <c r="B1044" s="74" t="n"/>
      <c r="C1044" s="74" t="n"/>
      <c r="D1044" s="74" t="n"/>
      <c r="E1044" s="74" t="n"/>
      <c r="F1044" s="74" t="n"/>
      <c r="G1044" s="74" t="n"/>
      <c r="H1044" s="74" t="n"/>
      <c r="I1044" s="74" t="n"/>
      <c r="J1044" s="74" t="n"/>
      <c r="K1044" s="74" t="n"/>
      <c r="L1044" s="74" t="n"/>
      <c r="M1044" s="74" t="n"/>
      <c r="N1044" s="74" t="n"/>
      <c r="O1044" s="74" t="n"/>
      <c r="P1044" s="74" t="n"/>
      <c r="Q1044" s="74" t="n"/>
      <c r="R1044" s="74" t="n"/>
      <c r="S1044" s="74" t="n"/>
      <c r="T1044" s="74" t="n"/>
      <c r="U1044" s="74" t="n"/>
      <c r="V1044" s="74" t="n"/>
      <c r="W1044" s="74" t="n"/>
    </row>
    <row r="1045">
      <c r="A1045" s="74" t="n"/>
      <c r="B1045" s="74" t="n"/>
      <c r="C1045" s="74" t="n"/>
      <c r="D1045" s="74" t="n"/>
      <c r="E1045" s="74" t="n"/>
      <c r="F1045" s="74" t="n"/>
      <c r="G1045" s="74" t="n"/>
      <c r="H1045" s="74" t="n"/>
      <c r="I1045" s="74" t="n"/>
      <c r="J1045" s="74" t="n"/>
      <c r="K1045" s="74" t="n"/>
      <c r="L1045" s="74" t="n"/>
      <c r="M1045" s="74" t="n"/>
      <c r="N1045" s="74" t="n"/>
      <c r="O1045" s="74" t="n"/>
      <c r="P1045" s="74" t="n"/>
      <c r="Q1045" s="74" t="n"/>
      <c r="R1045" s="74" t="n"/>
      <c r="S1045" s="74" t="n"/>
      <c r="T1045" s="74" t="n"/>
      <c r="U1045" s="74" t="n"/>
      <c r="V1045" s="74" t="n"/>
      <c r="W1045" s="74" t="n"/>
    </row>
    <row r="1046">
      <c r="A1046" s="74" t="n"/>
      <c r="B1046" s="74" t="n"/>
      <c r="C1046" s="74" t="n"/>
      <c r="D1046" s="74" t="n"/>
      <c r="E1046" s="74" t="n"/>
      <c r="F1046" s="74" t="n"/>
      <c r="G1046" s="74" t="n"/>
      <c r="H1046" s="74" t="n"/>
      <c r="I1046" s="74" t="n"/>
      <c r="J1046" s="74" t="n"/>
      <c r="K1046" s="74" t="n"/>
      <c r="L1046" s="74" t="n"/>
      <c r="M1046" s="74" t="n"/>
      <c r="N1046" s="74" t="n"/>
      <c r="O1046" s="74" t="n"/>
      <c r="P1046" s="74" t="n"/>
      <c r="Q1046" s="74" t="n"/>
      <c r="R1046" s="74" t="n"/>
      <c r="S1046" s="74" t="n"/>
      <c r="T1046" s="74" t="n"/>
      <c r="U1046" s="74" t="n"/>
      <c r="V1046" s="74" t="n"/>
      <c r="W1046" s="74" t="n"/>
    </row>
    <row r="1047">
      <c r="A1047" s="74" t="n"/>
      <c r="B1047" s="74" t="n"/>
      <c r="C1047" s="74" t="n"/>
      <c r="D1047" s="74" t="n"/>
      <c r="E1047" s="74" t="n"/>
      <c r="F1047" s="74" t="n"/>
      <c r="G1047" s="74" t="n"/>
      <c r="H1047" s="74" t="n"/>
      <c r="I1047" s="74" t="n"/>
      <c r="J1047" s="74" t="n"/>
      <c r="K1047" s="74" t="n"/>
      <c r="L1047" s="74" t="n"/>
      <c r="M1047" s="74" t="n"/>
      <c r="N1047" s="74" t="n"/>
      <c r="O1047" s="74" t="n"/>
      <c r="P1047" s="74" t="n"/>
      <c r="Q1047" s="74" t="n"/>
      <c r="R1047" s="74" t="n"/>
      <c r="S1047" s="74" t="n"/>
      <c r="T1047" s="74" t="n"/>
      <c r="U1047" s="74" t="n"/>
      <c r="V1047" s="74" t="n"/>
      <c r="W1047" s="74" t="n"/>
    </row>
    <row r="1048">
      <c r="A1048" s="74" t="n"/>
      <c r="B1048" s="74" t="n"/>
      <c r="C1048" s="74" t="n"/>
      <c r="D1048" s="74" t="n"/>
      <c r="E1048" s="74" t="n"/>
      <c r="F1048" s="74" t="n"/>
      <c r="G1048" s="74" t="n"/>
      <c r="H1048" s="74" t="n"/>
      <c r="I1048" s="74" t="n"/>
      <c r="J1048" s="74" t="n"/>
      <c r="K1048" s="74" t="n"/>
      <c r="L1048" s="74" t="n"/>
      <c r="M1048" s="74" t="n"/>
      <c r="N1048" s="74" t="n"/>
      <c r="O1048" s="74" t="n"/>
      <c r="P1048" s="74" t="n"/>
      <c r="Q1048" s="74" t="n"/>
      <c r="R1048" s="74" t="n"/>
      <c r="S1048" s="74" t="n"/>
      <c r="T1048" s="74" t="n"/>
      <c r="U1048" s="74" t="n"/>
      <c r="V1048" s="74" t="n"/>
      <c r="W1048" s="74" t="n"/>
    </row>
    <row r="1049">
      <c r="A1049" s="74" t="n"/>
      <c r="B1049" s="74" t="n"/>
      <c r="C1049" s="74" t="n"/>
      <c r="D1049" s="74" t="n"/>
      <c r="E1049" s="74" t="n"/>
      <c r="F1049" s="74" t="n"/>
      <c r="G1049" s="74" t="n"/>
      <c r="H1049" s="74" t="n"/>
      <c r="I1049" s="74" t="n"/>
      <c r="J1049" s="74" t="n"/>
      <c r="K1049" s="74" t="n"/>
      <c r="L1049" s="74" t="n"/>
      <c r="M1049" s="74" t="n"/>
      <c r="N1049" s="74" t="n"/>
      <c r="O1049" s="74" t="n"/>
      <c r="P1049" s="74" t="n"/>
      <c r="Q1049" s="74" t="n"/>
      <c r="R1049" s="74" t="n"/>
      <c r="S1049" s="74" t="n"/>
      <c r="T1049" s="74" t="n"/>
      <c r="U1049" s="74" t="n"/>
      <c r="V1049" s="74" t="n"/>
      <c r="W1049" s="74" t="n"/>
    </row>
    <row r="1050">
      <c r="A1050" s="74" t="n"/>
      <c r="B1050" s="74" t="n"/>
      <c r="C1050" s="74" t="n"/>
      <c r="D1050" s="74" t="n"/>
      <c r="E1050" s="74" t="n"/>
      <c r="F1050" s="74" t="n"/>
      <c r="G1050" s="74" t="n"/>
      <c r="H1050" s="74" t="n"/>
      <c r="I1050" s="74" t="n"/>
      <c r="J1050" s="74" t="n"/>
      <c r="K1050" s="74" t="n"/>
      <c r="L1050" s="74" t="n"/>
      <c r="M1050" s="74" t="n"/>
      <c r="N1050" s="74" t="n"/>
      <c r="O1050" s="74" t="n"/>
      <c r="P1050" s="74" t="n"/>
      <c r="Q1050" s="74" t="n"/>
      <c r="R1050" s="74" t="n"/>
      <c r="S1050" s="74" t="n"/>
      <c r="T1050" s="74" t="n"/>
      <c r="U1050" s="74" t="n"/>
      <c r="V1050" s="74" t="n"/>
      <c r="W1050" s="74" t="n"/>
    </row>
    <row r="1051">
      <c r="A1051" s="74" t="n"/>
      <c r="B1051" s="74" t="n"/>
      <c r="C1051" s="74" t="n"/>
      <c r="D1051" s="74" t="n"/>
      <c r="E1051" s="74" t="n"/>
      <c r="F1051" s="74" t="n"/>
      <c r="G1051" s="74" t="n"/>
      <c r="H1051" s="74" t="n"/>
      <c r="I1051" s="74" t="n"/>
      <c r="J1051" s="74" t="n"/>
      <c r="K1051" s="74" t="n"/>
      <c r="L1051" s="74" t="n"/>
      <c r="M1051" s="74" t="n"/>
      <c r="N1051" s="74" t="n"/>
      <c r="O1051" s="74" t="n"/>
      <c r="P1051" s="74" t="n"/>
      <c r="Q1051" s="74" t="n"/>
      <c r="R1051" s="74" t="n"/>
      <c r="S1051" s="74" t="n"/>
      <c r="T1051" s="74" t="n"/>
      <c r="U1051" s="74" t="n"/>
      <c r="V1051" s="74" t="n"/>
      <c r="W1051" s="74" t="n"/>
    </row>
    <row r="1052">
      <c r="A1052" s="74" t="n"/>
      <c r="B1052" s="74" t="n"/>
      <c r="C1052" s="74" t="n"/>
      <c r="D1052" s="74" t="n"/>
      <c r="E1052" s="74" t="n"/>
      <c r="F1052" s="74" t="n"/>
      <c r="G1052" s="74" t="n"/>
      <c r="H1052" s="74" t="n"/>
      <c r="I1052" s="74" t="n"/>
      <c r="J1052" s="74" t="n"/>
      <c r="K1052" s="74" t="n"/>
      <c r="L1052" s="74" t="n"/>
      <c r="M1052" s="74" t="n"/>
      <c r="N1052" s="74" t="n"/>
      <c r="O1052" s="74" t="n"/>
      <c r="P1052" s="74" t="n"/>
      <c r="Q1052" s="74" t="n"/>
      <c r="R1052" s="74" t="n"/>
      <c r="S1052" s="74" t="n"/>
      <c r="T1052" s="74" t="n"/>
      <c r="U1052" s="74" t="n"/>
      <c r="V1052" s="74" t="n"/>
      <c r="W1052" s="74" t="n"/>
    </row>
    <row r="1053">
      <c r="A1053" s="74" t="n"/>
      <c r="B1053" s="74" t="n"/>
      <c r="C1053" s="74" t="n"/>
      <c r="D1053" s="74" t="n"/>
      <c r="E1053" s="74" t="n"/>
      <c r="F1053" s="74" t="n"/>
      <c r="G1053" s="74" t="n"/>
      <c r="H1053" s="74" t="n"/>
      <c r="I1053" s="74" t="n"/>
      <c r="J1053" s="74" t="n"/>
      <c r="K1053" s="74" t="n"/>
      <c r="L1053" s="74" t="n"/>
      <c r="M1053" s="74" t="n"/>
      <c r="N1053" s="74" t="n"/>
      <c r="O1053" s="74" t="n"/>
      <c r="P1053" s="74" t="n"/>
      <c r="Q1053" s="74" t="n"/>
      <c r="R1053" s="74" t="n"/>
      <c r="S1053" s="74" t="n"/>
      <c r="T1053" s="74" t="n"/>
      <c r="U1053" s="74" t="n"/>
      <c r="V1053" s="74" t="n"/>
      <c r="W1053" s="74" t="n"/>
    </row>
    <row r="1054">
      <c r="A1054" s="74" t="n"/>
      <c r="B1054" s="74" t="n"/>
      <c r="C1054" s="74" t="n"/>
      <c r="D1054" s="74" t="n"/>
      <c r="E1054" s="74" t="n"/>
      <c r="F1054" s="74" t="n"/>
      <c r="G1054" s="74" t="n"/>
      <c r="H1054" s="74" t="n"/>
      <c r="I1054" s="74" t="n"/>
      <c r="J1054" s="74" t="n"/>
      <c r="K1054" s="74" t="n"/>
      <c r="L1054" s="74" t="n"/>
      <c r="M1054" s="74" t="n"/>
      <c r="N1054" s="74" t="n"/>
      <c r="O1054" s="74" t="n"/>
      <c r="P1054" s="74" t="n"/>
      <c r="Q1054" s="74" t="n"/>
      <c r="R1054" s="74" t="n"/>
      <c r="S1054" s="74" t="n"/>
      <c r="T1054" s="74" t="n"/>
      <c r="U1054" s="74" t="n"/>
      <c r="V1054" s="74" t="n"/>
      <c r="W1054" s="74" t="n"/>
    </row>
    <row r="1055">
      <c r="A1055" s="74" t="n"/>
      <c r="B1055" s="74" t="n"/>
      <c r="C1055" s="74" t="n"/>
      <c r="D1055" s="74" t="n"/>
      <c r="E1055" s="74" t="n"/>
      <c r="F1055" s="74" t="n"/>
      <c r="G1055" s="74" t="n"/>
      <c r="H1055" s="74" t="n"/>
      <c r="I1055" s="74" t="n"/>
      <c r="J1055" s="74" t="n"/>
      <c r="K1055" s="74" t="n"/>
      <c r="L1055" s="74" t="n"/>
      <c r="M1055" s="74" t="n"/>
      <c r="N1055" s="74" t="n"/>
      <c r="O1055" s="74" t="n"/>
      <c r="P1055" s="74" t="n"/>
      <c r="Q1055" s="74" t="n"/>
      <c r="R1055" s="74" t="n"/>
      <c r="S1055" s="74" t="n"/>
      <c r="T1055" s="74" t="n"/>
      <c r="U1055" s="74" t="n"/>
      <c r="V1055" s="74" t="n"/>
      <c r="W1055" s="74" t="n"/>
    </row>
    <row r="1056">
      <c r="A1056" s="74" t="n"/>
      <c r="B1056" s="74" t="n"/>
      <c r="C1056" s="74" t="n"/>
      <c r="D1056" s="74" t="n"/>
      <c r="E1056" s="74" t="n"/>
      <c r="F1056" s="74" t="n"/>
      <c r="G1056" s="74" t="n"/>
      <c r="H1056" s="74" t="n"/>
      <c r="I1056" s="74" t="n"/>
      <c r="J1056" s="74" t="n"/>
      <c r="K1056" s="74" t="n"/>
      <c r="L1056" s="74" t="n"/>
      <c r="M1056" s="74" t="n"/>
      <c r="N1056" s="74" t="n"/>
      <c r="O1056" s="74" t="n"/>
      <c r="P1056" s="74" t="n"/>
      <c r="Q1056" s="74" t="n"/>
      <c r="R1056" s="74" t="n"/>
      <c r="S1056" s="74" t="n"/>
      <c r="T1056" s="74" t="n"/>
      <c r="U1056" s="74" t="n"/>
      <c r="V1056" s="74" t="n"/>
      <c r="W1056" s="74" t="n"/>
    </row>
    <row r="1057">
      <c r="A1057" s="74" t="n"/>
      <c r="B1057" s="74" t="n"/>
      <c r="C1057" s="74" t="n"/>
      <c r="D1057" s="74" t="n"/>
      <c r="E1057" s="74" t="n"/>
      <c r="F1057" s="74" t="n"/>
      <c r="G1057" s="74" t="n"/>
      <c r="H1057" s="74" t="n"/>
      <c r="I1057" s="74" t="n"/>
      <c r="J1057" s="74" t="n"/>
      <c r="K1057" s="74" t="n"/>
      <c r="L1057" s="74" t="n"/>
      <c r="M1057" s="74" t="n"/>
      <c r="N1057" s="74" t="n"/>
      <c r="O1057" s="74" t="n"/>
      <c r="P1057" s="74" t="n"/>
      <c r="Q1057" s="74" t="n"/>
      <c r="R1057" s="74" t="n"/>
      <c r="S1057" s="74" t="n"/>
      <c r="T1057" s="74" t="n"/>
      <c r="U1057" s="74" t="n"/>
      <c r="V1057" s="74" t="n"/>
      <c r="W1057" s="74" t="n"/>
    </row>
    <row r="1058">
      <c r="A1058" s="74" t="n"/>
      <c r="B1058" s="74" t="n"/>
      <c r="C1058" s="74" t="n"/>
      <c r="D1058" s="74" t="n"/>
      <c r="E1058" s="74" t="n"/>
      <c r="F1058" s="74" t="n"/>
      <c r="G1058" s="74" t="n"/>
      <c r="H1058" s="74" t="n"/>
      <c r="I1058" s="74" t="n"/>
      <c r="J1058" s="74" t="n"/>
      <c r="K1058" s="74" t="n"/>
      <c r="L1058" s="74" t="n"/>
      <c r="M1058" s="74" t="n"/>
      <c r="N1058" s="74" t="n"/>
      <c r="O1058" s="74" t="n"/>
      <c r="P1058" s="74" t="n"/>
      <c r="Q1058" s="74" t="n"/>
      <c r="R1058" s="74" t="n"/>
      <c r="S1058" s="74" t="n"/>
      <c r="T1058" s="74" t="n"/>
      <c r="U1058" s="74" t="n"/>
      <c r="V1058" s="74" t="n"/>
      <c r="W1058" s="74" t="n"/>
    </row>
    <row r="1059">
      <c r="A1059" s="74" t="n"/>
      <c r="B1059" s="74" t="n"/>
      <c r="C1059" s="74" t="n"/>
      <c r="D1059" s="74" t="n"/>
      <c r="E1059" s="74" t="n"/>
      <c r="F1059" s="74" t="n"/>
      <c r="G1059" s="74" t="n"/>
      <c r="H1059" s="74" t="n"/>
      <c r="I1059" s="74" t="n"/>
      <c r="J1059" s="74" t="n"/>
      <c r="K1059" s="74" t="n"/>
      <c r="L1059" s="74" t="n"/>
      <c r="M1059" s="74" t="n"/>
      <c r="N1059" s="74" t="n"/>
      <c r="O1059" s="74" t="n"/>
      <c r="P1059" s="74" t="n"/>
      <c r="Q1059" s="74" t="n"/>
      <c r="R1059" s="74" t="n"/>
      <c r="S1059" s="74" t="n"/>
      <c r="T1059" s="74" t="n"/>
      <c r="U1059" s="74" t="n"/>
      <c r="V1059" s="74" t="n"/>
      <c r="W1059" s="74" t="n"/>
    </row>
    <row r="1060">
      <c r="A1060" s="74" t="n"/>
      <c r="B1060" s="74" t="n"/>
      <c r="C1060" s="74" t="n"/>
      <c r="D1060" s="74" t="n"/>
      <c r="E1060" s="74" t="n"/>
      <c r="F1060" s="74" t="n"/>
      <c r="G1060" s="74" t="n"/>
      <c r="H1060" s="74" t="n"/>
      <c r="I1060" s="74" t="n"/>
      <c r="J1060" s="74" t="n"/>
      <c r="K1060" s="74" t="n"/>
      <c r="L1060" s="74" t="n"/>
      <c r="M1060" s="74" t="n"/>
      <c r="N1060" s="74" t="n"/>
      <c r="O1060" s="74" t="n"/>
      <c r="P1060" s="74" t="n"/>
      <c r="Q1060" s="74" t="n"/>
      <c r="R1060" s="74" t="n"/>
      <c r="S1060" s="74" t="n"/>
      <c r="T1060" s="74" t="n"/>
      <c r="U1060" s="74" t="n"/>
      <c r="V1060" s="74" t="n"/>
      <c r="W1060" s="74" t="n"/>
    </row>
    <row r="1061">
      <c r="A1061" s="74" t="n"/>
      <c r="B1061" s="74" t="n"/>
      <c r="C1061" s="74" t="n"/>
      <c r="D1061" s="74" t="n"/>
      <c r="E1061" s="74" t="n"/>
      <c r="F1061" s="74" t="n"/>
      <c r="G1061" s="74" t="n"/>
      <c r="H1061" s="74" t="n"/>
      <c r="I1061" s="74" t="n"/>
      <c r="J1061" s="74" t="n"/>
      <c r="K1061" s="74" t="n"/>
      <c r="L1061" s="74" t="n"/>
      <c r="M1061" s="74" t="n"/>
      <c r="N1061" s="74" t="n"/>
      <c r="O1061" s="74" t="n"/>
      <c r="P1061" s="74" t="n"/>
      <c r="Q1061" s="74" t="n"/>
      <c r="R1061" s="74" t="n"/>
      <c r="S1061" s="74" t="n"/>
      <c r="T1061" s="74" t="n"/>
      <c r="U1061" s="74" t="n"/>
      <c r="V1061" s="74" t="n"/>
      <c r="W1061" s="74" t="n"/>
    </row>
    <row r="1062">
      <c r="A1062" s="74" t="n"/>
      <c r="B1062" s="74" t="n"/>
      <c r="C1062" s="74" t="n"/>
      <c r="D1062" s="74" t="n"/>
      <c r="E1062" s="74" t="n"/>
      <c r="F1062" s="74" t="n"/>
      <c r="G1062" s="74" t="n"/>
      <c r="H1062" s="74" t="n"/>
      <c r="I1062" s="74" t="n"/>
      <c r="J1062" s="74" t="n"/>
      <c r="K1062" s="74" t="n"/>
      <c r="L1062" s="74" t="n"/>
      <c r="M1062" s="74" t="n"/>
      <c r="N1062" s="74" t="n"/>
      <c r="O1062" s="74" t="n"/>
      <c r="P1062" s="74" t="n"/>
      <c r="Q1062" s="74" t="n"/>
      <c r="R1062" s="74" t="n"/>
      <c r="S1062" s="74" t="n"/>
      <c r="T1062" s="74" t="n"/>
      <c r="U1062" s="74" t="n"/>
      <c r="V1062" s="74" t="n"/>
      <c r="W1062" s="74" t="n"/>
    </row>
    <row r="1063">
      <c r="A1063" s="74" t="n"/>
      <c r="B1063" s="74" t="n"/>
      <c r="C1063" s="74" t="n"/>
      <c r="D1063" s="74" t="n"/>
      <c r="E1063" s="74" t="n"/>
      <c r="F1063" s="74" t="n"/>
      <c r="G1063" s="74" t="n"/>
      <c r="H1063" s="74" t="n"/>
      <c r="I1063" s="74" t="n"/>
      <c r="J1063" s="74" t="n"/>
      <c r="K1063" s="74" t="n"/>
      <c r="L1063" s="74" t="n"/>
      <c r="M1063" s="74" t="n"/>
      <c r="N1063" s="74" t="n"/>
      <c r="O1063" s="74" t="n"/>
      <c r="P1063" s="74" t="n"/>
      <c r="Q1063" s="74" t="n"/>
      <c r="R1063" s="74" t="n"/>
      <c r="S1063" s="74" t="n"/>
      <c r="T1063" s="74" t="n"/>
      <c r="U1063" s="74" t="n"/>
      <c r="V1063" s="74" t="n"/>
      <c r="W1063" s="74" t="n"/>
    </row>
    <row r="1064">
      <c r="A1064" s="74" t="n"/>
      <c r="B1064" s="74" t="n"/>
      <c r="C1064" s="74" t="n"/>
      <c r="D1064" s="74" t="n"/>
      <c r="E1064" s="74" t="n"/>
      <c r="F1064" s="74" t="n"/>
      <c r="G1064" s="74" t="n"/>
      <c r="H1064" s="74" t="n"/>
      <c r="I1064" s="74" t="n"/>
      <c r="J1064" s="74" t="n"/>
      <c r="K1064" s="74" t="n"/>
      <c r="L1064" s="74" t="n"/>
      <c r="M1064" s="74" t="n"/>
      <c r="N1064" s="74" t="n"/>
      <c r="O1064" s="74" t="n"/>
      <c r="P1064" s="74" t="n"/>
      <c r="Q1064" s="74" t="n"/>
      <c r="R1064" s="74" t="n"/>
      <c r="S1064" s="74" t="n"/>
      <c r="T1064" s="74" t="n"/>
      <c r="U1064" s="74" t="n"/>
      <c r="V1064" s="74" t="n"/>
      <c r="W1064" s="74" t="n"/>
    </row>
    <row r="1065">
      <c r="A1065" s="74" t="n"/>
      <c r="B1065" s="74" t="n"/>
      <c r="C1065" s="74" t="n"/>
      <c r="D1065" s="74" t="n"/>
      <c r="E1065" s="74" t="n"/>
      <c r="F1065" s="74" t="n"/>
      <c r="G1065" s="74" t="n"/>
      <c r="H1065" s="74" t="n"/>
      <c r="I1065" s="74" t="n"/>
      <c r="J1065" s="74" t="n"/>
      <c r="K1065" s="74" t="n"/>
      <c r="L1065" s="74" t="n"/>
      <c r="M1065" s="74" t="n"/>
      <c r="N1065" s="74" t="n"/>
      <c r="O1065" s="74" t="n"/>
      <c r="P1065" s="74" t="n"/>
      <c r="Q1065" s="74" t="n"/>
      <c r="R1065" s="74" t="n"/>
      <c r="S1065" s="74" t="n"/>
      <c r="T1065" s="74" t="n"/>
      <c r="U1065" s="74" t="n"/>
      <c r="V1065" s="74" t="n"/>
      <c r="W1065" s="74" t="n"/>
    </row>
    <row r="1066">
      <c r="A1066" s="74" t="n"/>
      <c r="B1066" s="74" t="n"/>
      <c r="C1066" s="74" t="n"/>
      <c r="D1066" s="74" t="n"/>
      <c r="E1066" s="74" t="n"/>
      <c r="F1066" s="74" t="n"/>
      <c r="G1066" s="74" t="n"/>
      <c r="H1066" s="74" t="n"/>
      <c r="I1066" s="74" t="n"/>
      <c r="J1066" s="74" t="n"/>
      <c r="K1066" s="74" t="n"/>
      <c r="L1066" s="74" t="n"/>
      <c r="M1066" s="74" t="n"/>
      <c r="N1066" s="74" t="n"/>
      <c r="O1066" s="74" t="n"/>
      <c r="P1066" s="74" t="n"/>
      <c r="Q1066" s="74" t="n"/>
      <c r="R1066" s="74" t="n"/>
      <c r="S1066" s="74" t="n"/>
      <c r="T1066" s="74" t="n"/>
      <c r="U1066" s="74" t="n"/>
      <c r="V1066" s="74" t="n"/>
      <c r="W1066" s="74" t="n"/>
    </row>
    <row r="1067">
      <c r="A1067" s="74" t="n"/>
      <c r="B1067" s="74" t="n"/>
      <c r="C1067" s="74" t="n"/>
      <c r="D1067" s="74" t="n"/>
      <c r="E1067" s="74" t="n"/>
      <c r="F1067" s="74" t="n"/>
      <c r="G1067" s="74" t="n"/>
      <c r="H1067" s="74" t="n"/>
      <c r="I1067" s="74" t="n"/>
      <c r="J1067" s="74" t="n"/>
      <c r="K1067" s="74" t="n"/>
      <c r="L1067" s="74" t="n"/>
      <c r="M1067" s="74" t="n"/>
      <c r="N1067" s="74" t="n"/>
      <c r="O1067" s="74" t="n"/>
      <c r="P1067" s="74" t="n"/>
      <c r="Q1067" s="74" t="n"/>
      <c r="R1067" s="74" t="n"/>
      <c r="S1067" s="74" t="n"/>
      <c r="T1067" s="74" t="n"/>
      <c r="U1067" s="74" t="n"/>
      <c r="V1067" s="74" t="n"/>
      <c r="W1067" s="74" t="n"/>
    </row>
    <row r="1068">
      <c r="A1068" s="74" t="n"/>
      <c r="B1068" s="74" t="n"/>
      <c r="C1068" s="74" t="n"/>
      <c r="D1068" s="74" t="n"/>
      <c r="E1068" s="74" t="n"/>
      <c r="F1068" s="74" t="n"/>
      <c r="G1068" s="74" t="n"/>
      <c r="H1068" s="74" t="n"/>
      <c r="I1068" s="74" t="n"/>
      <c r="J1068" s="74" t="n"/>
      <c r="K1068" s="74" t="n"/>
      <c r="L1068" s="74" t="n"/>
      <c r="M1068" s="74" t="n"/>
      <c r="N1068" s="74" t="n"/>
      <c r="O1068" s="74" t="n"/>
      <c r="P1068" s="74" t="n"/>
      <c r="Q1068" s="74" t="n"/>
      <c r="R1068" s="74" t="n"/>
      <c r="S1068" s="74" t="n"/>
      <c r="T1068" s="74" t="n"/>
      <c r="U1068" s="74" t="n"/>
      <c r="V1068" s="74" t="n"/>
      <c r="W1068" s="74" t="n"/>
    </row>
    <row r="1069">
      <c r="A1069" s="74" t="n"/>
      <c r="B1069" s="74" t="n"/>
      <c r="C1069" s="74" t="n"/>
      <c r="D1069" s="74" t="n"/>
      <c r="E1069" s="74" t="n"/>
      <c r="F1069" s="74" t="n"/>
      <c r="G1069" s="74" t="n"/>
      <c r="H1069" s="74" t="n"/>
      <c r="I1069" s="74" t="n"/>
      <c r="J1069" s="74" t="n"/>
      <c r="K1069" s="74" t="n"/>
      <c r="L1069" s="74" t="n"/>
      <c r="M1069" s="74" t="n"/>
      <c r="N1069" s="74" t="n"/>
      <c r="O1069" s="74" t="n"/>
      <c r="P1069" s="74" t="n"/>
      <c r="Q1069" s="74" t="n"/>
      <c r="R1069" s="74" t="n"/>
      <c r="S1069" s="74" t="n"/>
      <c r="T1069" s="74" t="n"/>
      <c r="U1069" s="74" t="n"/>
      <c r="V1069" s="74" t="n"/>
      <c r="W1069" s="74" t="n"/>
    </row>
    <row r="1070">
      <c r="A1070" s="74" t="n"/>
      <c r="B1070" s="74" t="n"/>
      <c r="C1070" s="74" t="n"/>
      <c r="D1070" s="74" t="n"/>
      <c r="E1070" s="74" t="n"/>
      <c r="F1070" s="74" t="n"/>
      <c r="G1070" s="74" t="n"/>
      <c r="H1070" s="74" t="n"/>
      <c r="I1070" s="74" t="n"/>
      <c r="J1070" s="74" t="n"/>
      <c r="K1070" s="74" t="n"/>
      <c r="L1070" s="74" t="n"/>
      <c r="M1070" s="74" t="n"/>
      <c r="N1070" s="74" t="n"/>
      <c r="O1070" s="74" t="n"/>
      <c r="P1070" s="74" t="n"/>
      <c r="Q1070" s="74" t="n"/>
      <c r="R1070" s="74" t="n"/>
      <c r="S1070" s="74" t="n"/>
      <c r="T1070" s="74" t="n"/>
      <c r="U1070" s="74" t="n"/>
      <c r="V1070" s="74" t="n"/>
      <c r="W1070" s="74" t="n"/>
    </row>
    <row r="1071">
      <c r="A1071" s="74" t="n"/>
      <c r="B1071" s="74" t="n"/>
      <c r="C1071" s="74" t="n"/>
      <c r="D1071" s="74" t="n"/>
      <c r="E1071" s="74" t="n"/>
      <c r="F1071" s="74" t="n"/>
      <c r="G1071" s="74" t="n"/>
      <c r="H1071" s="74" t="n"/>
      <c r="I1071" s="74" t="n"/>
      <c r="J1071" s="74" t="n"/>
      <c r="K1071" s="74" t="n"/>
      <c r="L1071" s="74" t="n"/>
      <c r="M1071" s="74" t="n"/>
      <c r="N1071" s="74" t="n"/>
      <c r="O1071" s="74" t="n"/>
      <c r="P1071" s="74" t="n"/>
      <c r="Q1071" s="74" t="n"/>
      <c r="R1071" s="74" t="n"/>
      <c r="S1071" s="74" t="n"/>
      <c r="T1071" s="74" t="n"/>
      <c r="U1071" s="74" t="n"/>
      <c r="V1071" s="74" t="n"/>
      <c r="W1071" s="74" t="n"/>
    </row>
    <row r="1072">
      <c r="A1072" s="74" t="n"/>
      <c r="B1072" s="74" t="n"/>
      <c r="C1072" s="74" t="n"/>
      <c r="D1072" s="74" t="n"/>
      <c r="E1072" s="74" t="n"/>
      <c r="F1072" s="74" t="n"/>
      <c r="G1072" s="74" t="n"/>
      <c r="H1072" s="74" t="n"/>
      <c r="I1072" s="74" t="n"/>
      <c r="J1072" s="74" t="n"/>
      <c r="K1072" s="74" t="n"/>
      <c r="L1072" s="74" t="n"/>
      <c r="M1072" s="74" t="n"/>
      <c r="N1072" s="74" t="n"/>
      <c r="O1072" s="74" t="n"/>
      <c r="P1072" s="74" t="n"/>
      <c r="Q1072" s="74" t="n"/>
      <c r="R1072" s="74" t="n"/>
      <c r="S1072" s="74" t="n"/>
      <c r="T1072" s="74" t="n"/>
      <c r="U1072" s="74" t="n"/>
      <c r="V1072" s="74" t="n"/>
      <c r="W1072" s="74" t="n"/>
    </row>
    <row r="1073">
      <c r="A1073" s="74" t="n"/>
      <c r="B1073" s="74" t="n"/>
      <c r="C1073" s="74" t="n"/>
      <c r="D1073" s="74" t="n"/>
      <c r="E1073" s="74" t="n"/>
      <c r="F1073" s="74" t="n"/>
      <c r="G1073" s="74" t="n"/>
      <c r="H1073" s="74" t="n"/>
      <c r="I1073" s="74" t="n"/>
      <c r="J1073" s="74" t="n"/>
      <c r="K1073" s="74" t="n"/>
      <c r="L1073" s="74" t="n"/>
      <c r="M1073" s="74" t="n"/>
      <c r="N1073" s="74" t="n"/>
      <c r="O1073" s="74" t="n"/>
      <c r="P1073" s="74" t="n"/>
      <c r="Q1073" s="74" t="n"/>
      <c r="R1073" s="74" t="n"/>
      <c r="S1073" s="74" t="n"/>
      <c r="T1073" s="74" t="n"/>
      <c r="U1073" s="74" t="n"/>
      <c r="V1073" s="74" t="n"/>
      <c r="W1073" s="74" t="n"/>
    </row>
    <row r="1074">
      <c r="A1074" s="74" t="n"/>
      <c r="B1074" s="74" t="n"/>
      <c r="C1074" s="74" t="n"/>
      <c r="D1074" s="74" t="n"/>
      <c r="E1074" s="74" t="n"/>
      <c r="F1074" s="74" t="n"/>
      <c r="G1074" s="74" t="n"/>
      <c r="H1074" s="74" t="n"/>
      <c r="I1074" s="74" t="n"/>
      <c r="J1074" s="74" t="n"/>
      <c r="K1074" s="74" t="n"/>
      <c r="L1074" s="74" t="n"/>
      <c r="M1074" s="74" t="n"/>
      <c r="N1074" s="74" t="n"/>
      <c r="O1074" s="74" t="n"/>
      <c r="P1074" s="74" t="n"/>
      <c r="Q1074" s="74" t="n"/>
      <c r="R1074" s="74" t="n"/>
      <c r="S1074" s="74" t="n"/>
      <c r="T1074" s="74" t="n"/>
      <c r="U1074" s="74" t="n"/>
      <c r="V1074" s="74" t="n"/>
      <c r="W1074" s="74" t="n"/>
    </row>
    <row r="1075">
      <c r="A1075" s="74" t="n"/>
      <c r="B1075" s="74" t="n"/>
      <c r="C1075" s="74" t="n"/>
      <c r="D1075" s="74" t="n"/>
      <c r="E1075" s="74" t="n"/>
      <c r="F1075" s="74" t="n"/>
      <c r="G1075" s="74" t="n"/>
      <c r="H1075" s="74" t="n"/>
      <c r="I1075" s="74" t="n"/>
      <c r="J1075" s="74" t="n"/>
      <c r="K1075" s="74" t="n"/>
      <c r="L1075" s="74" t="n"/>
      <c r="M1075" s="74" t="n"/>
      <c r="N1075" s="74" t="n"/>
      <c r="O1075" s="74" t="n"/>
      <c r="P1075" s="74" t="n"/>
      <c r="Q1075" s="74" t="n"/>
      <c r="R1075" s="74" t="n"/>
      <c r="S1075" s="74" t="n"/>
      <c r="T1075" s="74" t="n"/>
      <c r="U1075" s="74" t="n"/>
      <c r="V1075" s="74" t="n"/>
      <c r="W1075" s="74" t="n"/>
    </row>
    <row r="1076">
      <c r="A1076" s="74" t="n"/>
      <c r="B1076" s="74" t="n"/>
      <c r="C1076" s="74" t="n"/>
      <c r="D1076" s="74" t="n"/>
      <c r="E1076" s="74" t="n"/>
      <c r="F1076" s="74" t="n"/>
      <c r="G1076" s="74" t="n"/>
      <c r="H1076" s="74" t="n"/>
      <c r="I1076" s="74" t="n"/>
      <c r="J1076" s="74" t="n"/>
      <c r="K1076" s="74" t="n"/>
      <c r="L1076" s="74" t="n"/>
      <c r="M1076" s="74" t="n"/>
      <c r="N1076" s="74" t="n"/>
      <c r="O1076" s="74" t="n"/>
      <c r="P1076" s="74" t="n"/>
      <c r="Q1076" s="74" t="n"/>
      <c r="R1076" s="74" t="n"/>
      <c r="S1076" s="74" t="n"/>
      <c r="T1076" s="74" t="n"/>
      <c r="U1076" s="74" t="n"/>
      <c r="V1076" s="74" t="n"/>
      <c r="W1076" s="74" t="n"/>
    </row>
    <row r="1077">
      <c r="A1077" s="74" t="n"/>
      <c r="B1077" s="74" t="n"/>
      <c r="C1077" s="74" t="n"/>
      <c r="D1077" s="74" t="n"/>
      <c r="E1077" s="74" t="n"/>
      <c r="F1077" s="74" t="n"/>
      <c r="G1077" s="74" t="n"/>
      <c r="H1077" s="74" t="n"/>
      <c r="I1077" s="74" t="n"/>
      <c r="J1077" s="74" t="n"/>
      <c r="K1077" s="74" t="n"/>
      <c r="L1077" s="74" t="n"/>
      <c r="M1077" s="74" t="n"/>
      <c r="N1077" s="74" t="n"/>
      <c r="O1077" s="74" t="n"/>
      <c r="P1077" s="74" t="n"/>
      <c r="Q1077" s="74" t="n"/>
      <c r="R1077" s="74" t="n"/>
      <c r="S1077" s="74" t="n"/>
      <c r="T1077" s="74" t="n"/>
      <c r="U1077" s="74" t="n"/>
      <c r="V1077" s="74" t="n"/>
      <c r="W1077" s="74" t="n"/>
    </row>
    <row r="1078">
      <c r="A1078" s="74" t="n"/>
      <c r="B1078" s="74" t="n"/>
      <c r="C1078" s="74" t="n"/>
      <c r="D1078" s="74" t="n"/>
      <c r="E1078" s="74" t="n"/>
      <c r="F1078" s="74" t="n"/>
      <c r="G1078" s="74" t="n"/>
      <c r="H1078" s="74" t="n"/>
      <c r="I1078" s="74" t="n"/>
      <c r="J1078" s="74" t="n"/>
      <c r="K1078" s="74" t="n"/>
      <c r="L1078" s="74" t="n"/>
      <c r="M1078" s="74" t="n"/>
      <c r="N1078" s="74" t="n"/>
      <c r="O1078" s="74" t="n"/>
      <c r="P1078" s="74" t="n"/>
      <c r="Q1078" s="74" t="n"/>
      <c r="R1078" s="74" t="n"/>
      <c r="S1078" s="74" t="n"/>
      <c r="T1078" s="74" t="n"/>
      <c r="U1078" s="74" t="n"/>
      <c r="V1078" s="74" t="n"/>
      <c r="W1078" s="74" t="n"/>
    </row>
    <row r="1079">
      <c r="A1079" s="74" t="n"/>
      <c r="B1079" s="74" t="n"/>
      <c r="C1079" s="74" t="n"/>
      <c r="D1079" s="74" t="n"/>
      <c r="E1079" s="74" t="n"/>
      <c r="F1079" s="74" t="n"/>
      <c r="G1079" s="74" t="n"/>
      <c r="H1079" s="74" t="n"/>
      <c r="I1079" s="74" t="n"/>
      <c r="J1079" s="74" t="n"/>
      <c r="K1079" s="74" t="n"/>
      <c r="L1079" s="74" t="n"/>
      <c r="M1079" s="74" t="n"/>
      <c r="N1079" s="74" t="n"/>
      <c r="O1079" s="74" t="n"/>
      <c r="P1079" s="74" t="n"/>
      <c r="Q1079" s="74" t="n"/>
      <c r="R1079" s="74" t="n"/>
      <c r="S1079" s="74" t="n"/>
      <c r="T1079" s="74" t="n"/>
      <c r="U1079" s="74" t="n"/>
      <c r="V1079" s="74" t="n"/>
      <c r="W1079" s="74" t="n"/>
    </row>
    <row r="1080">
      <c r="A1080" s="74" t="n"/>
      <c r="B1080" s="74" t="n"/>
      <c r="C1080" s="74" t="n"/>
      <c r="D1080" s="74" t="n"/>
      <c r="E1080" s="74" t="n"/>
      <c r="F1080" s="74" t="n"/>
      <c r="G1080" s="74" t="n"/>
      <c r="H1080" s="74" t="n"/>
      <c r="I1080" s="74" t="n"/>
      <c r="J1080" s="74" t="n"/>
      <c r="K1080" s="74" t="n"/>
      <c r="L1080" s="74" t="n"/>
      <c r="M1080" s="74" t="n"/>
      <c r="N1080" s="74" t="n"/>
      <c r="O1080" s="74" t="n"/>
      <c r="P1080" s="74" t="n"/>
      <c r="Q1080" s="74" t="n"/>
      <c r="R1080" s="74" t="n"/>
      <c r="S1080" s="74" t="n"/>
      <c r="T1080" s="74" t="n"/>
      <c r="U1080" s="74" t="n"/>
      <c r="V1080" s="74" t="n"/>
      <c r="W1080" s="74" t="n"/>
    </row>
    <row r="1081">
      <c r="A1081" s="74" t="n"/>
      <c r="B1081" s="74" t="n"/>
      <c r="C1081" s="74" t="n"/>
      <c r="D1081" s="74" t="n"/>
      <c r="E1081" s="74" t="n"/>
      <c r="F1081" s="74" t="n"/>
      <c r="G1081" s="74" t="n"/>
      <c r="H1081" s="74" t="n"/>
      <c r="I1081" s="74" t="n"/>
      <c r="J1081" s="74" t="n"/>
      <c r="K1081" s="74" t="n"/>
      <c r="L1081" s="74" t="n"/>
      <c r="M1081" s="74" t="n"/>
      <c r="N1081" s="74" t="n"/>
      <c r="O1081" s="74" t="n"/>
      <c r="P1081" s="74" t="n"/>
      <c r="Q1081" s="74" t="n"/>
      <c r="R1081" s="74" t="n"/>
      <c r="S1081" s="74" t="n"/>
      <c r="T1081" s="74" t="n"/>
      <c r="U1081" s="74" t="n"/>
      <c r="V1081" s="74" t="n"/>
      <c r="W1081" s="74" t="n"/>
    </row>
    <row r="1082">
      <c r="A1082" s="74" t="n"/>
      <c r="B1082" s="74" t="n"/>
      <c r="C1082" s="74" t="n"/>
      <c r="D1082" s="74" t="n"/>
      <c r="E1082" s="74" t="n"/>
      <c r="F1082" s="74" t="n"/>
      <c r="G1082" s="74" t="n"/>
      <c r="H1082" s="74" t="n"/>
      <c r="I1082" s="74" t="n"/>
      <c r="J1082" s="74" t="n"/>
      <c r="K1082" s="74" t="n"/>
      <c r="L1082" s="74" t="n"/>
      <c r="M1082" s="74" t="n"/>
      <c r="N1082" s="74" t="n"/>
      <c r="O1082" s="74" t="n"/>
      <c r="P1082" s="74" t="n"/>
      <c r="Q1082" s="74" t="n"/>
      <c r="R1082" s="74" t="n"/>
      <c r="S1082" s="74" t="n"/>
      <c r="T1082" s="74" t="n"/>
      <c r="U1082" s="74" t="n"/>
      <c r="V1082" s="74" t="n"/>
      <c r="W1082" s="74" t="n"/>
    </row>
    <row r="1083">
      <c r="A1083" s="74" t="n"/>
      <c r="B1083" s="74" t="n"/>
      <c r="C1083" s="74" t="n"/>
      <c r="D1083" s="74" t="n"/>
      <c r="E1083" s="74" t="n"/>
      <c r="F1083" s="74" t="n"/>
      <c r="G1083" s="74" t="n"/>
      <c r="H1083" s="74" t="n"/>
      <c r="I1083" s="74" t="n"/>
      <c r="J1083" s="74" t="n"/>
      <c r="K1083" s="74" t="n"/>
      <c r="L1083" s="74" t="n"/>
      <c r="M1083" s="74" t="n"/>
      <c r="N1083" s="74" t="n"/>
      <c r="O1083" s="74" t="n"/>
      <c r="P1083" s="74" t="n"/>
      <c r="Q1083" s="74" t="n"/>
      <c r="R1083" s="74" t="n"/>
      <c r="S1083" s="74" t="n"/>
      <c r="T1083" s="74" t="n"/>
      <c r="U1083" s="74" t="n"/>
      <c r="V1083" s="74" t="n"/>
      <c r="W1083" s="74" t="n"/>
    </row>
    <row r="1084">
      <c r="A1084" s="74" t="n"/>
      <c r="B1084" s="74" t="n"/>
      <c r="C1084" s="74" t="n"/>
      <c r="D1084" s="74" t="n"/>
      <c r="E1084" s="74" t="n"/>
      <c r="F1084" s="74" t="n"/>
      <c r="G1084" s="74" t="n"/>
      <c r="H1084" s="74" t="n"/>
      <c r="I1084" s="74" t="n"/>
      <c r="J1084" s="74" t="n"/>
      <c r="K1084" s="74" t="n"/>
      <c r="L1084" s="74" t="n"/>
      <c r="M1084" s="74" t="n"/>
      <c r="N1084" s="74" t="n"/>
      <c r="O1084" s="74" t="n"/>
      <c r="P1084" s="74" t="n"/>
      <c r="Q1084" s="74" t="n"/>
      <c r="R1084" s="74" t="n"/>
      <c r="S1084" s="74" t="n"/>
      <c r="T1084" s="74" t="n"/>
      <c r="U1084" s="74" t="n"/>
      <c r="V1084" s="74" t="n"/>
      <c r="W1084" s="74" t="n"/>
    </row>
    <row r="1085">
      <c r="A1085" s="74" t="n"/>
      <c r="B1085" s="74" t="n"/>
      <c r="C1085" s="74" t="n"/>
      <c r="D1085" s="74" t="n"/>
      <c r="E1085" s="74" t="n"/>
      <c r="F1085" s="74" t="n"/>
      <c r="G1085" s="74" t="n"/>
      <c r="H1085" s="74" t="n"/>
      <c r="I1085" s="74" t="n"/>
      <c r="J1085" s="74" t="n"/>
      <c r="K1085" s="74" t="n"/>
      <c r="L1085" s="74" t="n"/>
      <c r="M1085" s="74" t="n"/>
      <c r="N1085" s="74" t="n"/>
      <c r="O1085" s="74" t="n"/>
      <c r="P1085" s="74" t="n"/>
      <c r="Q1085" s="74" t="n"/>
      <c r="R1085" s="74" t="n"/>
      <c r="S1085" s="74" t="n"/>
      <c r="T1085" s="74" t="n"/>
      <c r="U1085" s="74" t="n"/>
      <c r="V1085" s="74" t="n"/>
      <c r="W1085" s="74" t="n"/>
    </row>
    <row r="1086">
      <c r="A1086" s="74" t="n"/>
      <c r="B1086" s="74" t="n"/>
      <c r="C1086" s="74" t="n"/>
      <c r="D1086" s="74" t="n"/>
      <c r="E1086" s="74" t="n"/>
      <c r="F1086" s="74" t="n"/>
      <c r="G1086" s="74" t="n"/>
      <c r="H1086" s="74" t="n"/>
      <c r="I1086" s="74" t="n"/>
      <c r="J1086" s="74" t="n"/>
      <c r="K1086" s="74" t="n"/>
      <c r="L1086" s="74" t="n"/>
      <c r="M1086" s="74" t="n"/>
      <c r="N1086" s="74" t="n"/>
      <c r="O1086" s="74" t="n"/>
      <c r="P1086" s="74" t="n"/>
      <c r="Q1086" s="74" t="n"/>
      <c r="R1086" s="74" t="n"/>
      <c r="S1086" s="74" t="n"/>
      <c r="T1086" s="74" t="n"/>
      <c r="U1086" s="74" t="n"/>
      <c r="V1086" s="74" t="n"/>
      <c r="W1086" s="74" t="n"/>
    </row>
    <row r="1087">
      <c r="A1087" s="74" t="n"/>
      <c r="B1087" s="74" t="n"/>
      <c r="C1087" s="74" t="n"/>
      <c r="D1087" s="74" t="n"/>
      <c r="E1087" s="74" t="n"/>
      <c r="F1087" s="74" t="n"/>
      <c r="G1087" s="74" t="n"/>
      <c r="H1087" s="74" t="n"/>
      <c r="I1087" s="74" t="n"/>
      <c r="J1087" s="74" t="n"/>
      <c r="K1087" s="74" t="n"/>
      <c r="L1087" s="74" t="n"/>
      <c r="M1087" s="74" t="n"/>
      <c r="N1087" s="74" t="n"/>
      <c r="O1087" s="74" t="n"/>
      <c r="P1087" s="74" t="n"/>
      <c r="Q1087" s="74" t="n"/>
      <c r="R1087" s="74" t="n"/>
      <c r="S1087" s="74" t="n"/>
      <c r="T1087" s="74" t="n"/>
      <c r="U1087" s="74" t="n"/>
      <c r="V1087" s="74" t="n"/>
      <c r="W1087" s="74" t="n"/>
    </row>
    <row r="1088">
      <c r="A1088" s="74" t="n"/>
      <c r="B1088" s="74" t="n"/>
      <c r="C1088" s="74" t="n"/>
      <c r="D1088" s="74" t="n"/>
      <c r="E1088" s="74" t="n"/>
      <c r="F1088" s="74" t="n"/>
      <c r="G1088" s="74" t="n"/>
      <c r="H1088" s="74" t="n"/>
      <c r="I1088" s="74" t="n"/>
      <c r="J1088" s="74" t="n"/>
      <c r="K1088" s="74" t="n"/>
      <c r="L1088" s="74" t="n"/>
      <c r="M1088" s="74" t="n"/>
      <c r="N1088" s="74" t="n"/>
      <c r="O1088" s="74" t="n"/>
      <c r="P1088" s="74" t="n"/>
      <c r="Q1088" s="74" t="n"/>
      <c r="R1088" s="74" t="n"/>
      <c r="S1088" s="74" t="n"/>
      <c r="T1088" s="74" t="n"/>
      <c r="U1088" s="74" t="n"/>
      <c r="V1088" s="74" t="n"/>
      <c r="W1088" s="74" t="n"/>
    </row>
    <row r="1089">
      <c r="A1089" s="74" t="n"/>
      <c r="B1089" s="74" t="n"/>
      <c r="C1089" s="74" t="n"/>
      <c r="D1089" s="74" t="n"/>
      <c r="E1089" s="74" t="n"/>
      <c r="F1089" s="74" t="n"/>
      <c r="G1089" s="74" t="n"/>
      <c r="H1089" s="74" t="n"/>
      <c r="I1089" s="74" t="n"/>
      <c r="J1089" s="74" t="n"/>
      <c r="K1089" s="74" t="n"/>
      <c r="L1089" s="74" t="n"/>
      <c r="M1089" s="74" t="n"/>
      <c r="N1089" s="74" t="n"/>
      <c r="O1089" s="74" t="n"/>
      <c r="P1089" s="74" t="n"/>
      <c r="Q1089" s="74" t="n"/>
      <c r="R1089" s="74" t="n"/>
      <c r="S1089" s="74" t="n"/>
      <c r="T1089" s="74" t="n"/>
      <c r="U1089" s="74" t="n"/>
      <c r="V1089" s="74" t="n"/>
      <c r="W1089" s="74" t="n"/>
    </row>
    <row r="1090">
      <c r="A1090" s="74" t="n"/>
      <c r="B1090" s="74" t="n"/>
      <c r="C1090" s="74" t="n"/>
      <c r="D1090" s="74" t="n"/>
      <c r="E1090" s="74" t="n"/>
      <c r="F1090" s="74" t="n"/>
      <c r="G1090" s="74" t="n"/>
      <c r="H1090" s="74" t="n"/>
      <c r="I1090" s="74" t="n"/>
      <c r="J1090" s="74" t="n"/>
      <c r="K1090" s="74" t="n"/>
      <c r="L1090" s="74" t="n"/>
      <c r="M1090" s="74" t="n"/>
      <c r="N1090" s="74" t="n"/>
      <c r="O1090" s="74" t="n"/>
      <c r="P1090" s="74" t="n"/>
      <c r="Q1090" s="74" t="n"/>
      <c r="R1090" s="74" t="n"/>
      <c r="S1090" s="74" t="n"/>
      <c r="T1090" s="74" t="n"/>
      <c r="U1090" s="74" t="n"/>
      <c r="V1090" s="74" t="n"/>
      <c r="W1090" s="74" t="n"/>
    </row>
    <row r="1091">
      <c r="A1091" s="74" t="n"/>
      <c r="B1091" s="74" t="n"/>
      <c r="C1091" s="74" t="n"/>
      <c r="D1091" s="74" t="n"/>
      <c r="E1091" s="74" t="n"/>
      <c r="F1091" s="74" t="n"/>
      <c r="G1091" s="74" t="n"/>
      <c r="H1091" s="74" t="n"/>
      <c r="I1091" s="74" t="n"/>
      <c r="J1091" s="74" t="n"/>
      <c r="K1091" s="74" t="n"/>
      <c r="L1091" s="74" t="n"/>
      <c r="M1091" s="74" t="n"/>
      <c r="N1091" s="74" t="n"/>
      <c r="O1091" s="74" t="n"/>
      <c r="P1091" s="74" t="n"/>
      <c r="Q1091" s="74" t="n"/>
      <c r="R1091" s="74" t="n"/>
      <c r="S1091" s="74" t="n"/>
      <c r="T1091" s="74" t="n"/>
      <c r="U1091" s="74" t="n"/>
      <c r="V1091" s="74" t="n"/>
      <c r="W1091" s="74" t="n"/>
    </row>
    <row r="1092">
      <c r="A1092" s="74" t="n"/>
      <c r="B1092" s="74" t="n"/>
      <c r="C1092" s="74" t="n"/>
      <c r="D1092" s="74" t="n"/>
      <c r="E1092" s="74" t="n"/>
      <c r="F1092" s="74" t="n"/>
      <c r="G1092" s="74" t="n"/>
      <c r="H1092" s="74" t="n"/>
      <c r="I1092" s="74" t="n"/>
      <c r="J1092" s="74" t="n"/>
      <c r="K1092" s="74" t="n"/>
      <c r="L1092" s="74" t="n"/>
      <c r="M1092" s="74" t="n"/>
      <c r="N1092" s="74" t="n"/>
      <c r="O1092" s="74" t="n"/>
      <c r="P1092" s="74" t="n"/>
      <c r="Q1092" s="74" t="n"/>
      <c r="R1092" s="74" t="n"/>
      <c r="S1092" s="74" t="n"/>
      <c r="T1092" s="74" t="n"/>
      <c r="U1092" s="74" t="n"/>
      <c r="V1092" s="74" t="n"/>
      <c r="W1092" s="74" t="n"/>
    </row>
    <row r="1093">
      <c r="A1093" s="74" t="n"/>
      <c r="B1093" s="74" t="n"/>
      <c r="C1093" s="74" t="n"/>
      <c r="D1093" s="74" t="n"/>
      <c r="E1093" s="74" t="n"/>
      <c r="F1093" s="74" t="n"/>
      <c r="G1093" s="74" t="n"/>
      <c r="H1093" s="74" t="n"/>
      <c r="I1093" s="74" t="n"/>
      <c r="J1093" s="74" t="n"/>
      <c r="K1093" s="74" t="n"/>
      <c r="L1093" s="74" t="n"/>
      <c r="M1093" s="74" t="n"/>
      <c r="N1093" s="74" t="n"/>
      <c r="O1093" s="74" t="n"/>
      <c r="P1093" s="74" t="n"/>
      <c r="Q1093" s="74" t="n"/>
      <c r="R1093" s="74" t="n"/>
      <c r="S1093" s="74" t="n"/>
      <c r="T1093" s="74" t="n"/>
      <c r="U1093" s="74" t="n"/>
      <c r="V1093" s="74" t="n"/>
      <c r="W1093" s="74" t="n"/>
    </row>
    <row r="1094">
      <c r="A1094" s="74" t="n"/>
      <c r="B1094" s="74" t="n"/>
      <c r="C1094" s="74" t="n"/>
      <c r="D1094" s="74" t="n"/>
      <c r="E1094" s="74" t="n"/>
      <c r="F1094" s="74" t="n"/>
      <c r="G1094" s="74" t="n"/>
      <c r="H1094" s="74" t="n"/>
      <c r="I1094" s="74" t="n"/>
      <c r="J1094" s="74" t="n"/>
      <c r="K1094" s="74" t="n"/>
      <c r="L1094" s="74" t="n"/>
      <c r="M1094" s="74" t="n"/>
      <c r="N1094" s="74" t="n"/>
      <c r="O1094" s="74" t="n"/>
      <c r="P1094" s="74" t="n"/>
      <c r="Q1094" s="74" t="n"/>
      <c r="R1094" s="74" t="n"/>
      <c r="S1094" s="74" t="n"/>
      <c r="T1094" s="74" t="n"/>
      <c r="U1094" s="74" t="n"/>
      <c r="V1094" s="74" t="n"/>
      <c r="W1094" s="74" t="n"/>
    </row>
    <row r="1095">
      <c r="A1095" s="74" t="n"/>
      <c r="B1095" s="74" t="n"/>
      <c r="C1095" s="74" t="n"/>
      <c r="D1095" s="74" t="n"/>
      <c r="E1095" s="74" t="n"/>
      <c r="F1095" s="74" t="n"/>
      <c r="G1095" s="74" t="n"/>
      <c r="H1095" s="74" t="n"/>
      <c r="I1095" s="74" t="n"/>
      <c r="J1095" s="74" t="n"/>
      <c r="K1095" s="74" t="n"/>
      <c r="L1095" s="74" t="n"/>
      <c r="M1095" s="74" t="n"/>
      <c r="N1095" s="74" t="n"/>
      <c r="O1095" s="74" t="n"/>
      <c r="P1095" s="74" t="n"/>
      <c r="Q1095" s="74" t="n"/>
      <c r="R1095" s="74" t="n"/>
      <c r="S1095" s="74" t="n"/>
      <c r="T1095" s="74" t="n"/>
      <c r="U1095" s="74" t="n"/>
      <c r="V1095" s="74" t="n"/>
      <c r="W1095" s="74" t="n"/>
    </row>
    <row r="1096">
      <c r="A1096" s="74" t="n"/>
      <c r="B1096" s="74" t="n"/>
      <c r="C1096" s="74" t="n"/>
      <c r="D1096" s="74" t="n"/>
      <c r="E1096" s="74" t="n"/>
      <c r="F1096" s="74" t="n"/>
      <c r="G1096" s="74" t="n"/>
      <c r="H1096" s="74" t="n"/>
      <c r="I1096" s="74" t="n"/>
      <c r="J1096" s="74" t="n"/>
      <c r="K1096" s="74" t="n"/>
      <c r="L1096" s="74" t="n"/>
      <c r="M1096" s="74" t="n"/>
      <c r="N1096" s="74" t="n"/>
      <c r="O1096" s="74" t="n"/>
      <c r="P1096" s="74" t="n"/>
      <c r="Q1096" s="74" t="n"/>
      <c r="R1096" s="74" t="n"/>
      <c r="S1096" s="74" t="n"/>
      <c r="T1096" s="74" t="n"/>
      <c r="U1096" s="74" t="n"/>
      <c r="V1096" s="74" t="n"/>
      <c r="W1096" s="74" t="n"/>
    </row>
    <row r="1097">
      <c r="A1097" s="74" t="n"/>
      <c r="B1097" s="74" t="n"/>
      <c r="C1097" s="74" t="n"/>
      <c r="D1097" s="74" t="n"/>
      <c r="E1097" s="74" t="n"/>
      <c r="F1097" s="74" t="n"/>
      <c r="G1097" s="74" t="n"/>
      <c r="H1097" s="74" t="n"/>
      <c r="I1097" s="74" t="n"/>
      <c r="J1097" s="74" t="n"/>
      <c r="K1097" s="74" t="n"/>
      <c r="L1097" s="74" t="n"/>
      <c r="M1097" s="74" t="n"/>
      <c r="N1097" s="74" t="n"/>
      <c r="O1097" s="74" t="n"/>
      <c r="P1097" s="74" t="n"/>
      <c r="Q1097" s="74" t="n"/>
      <c r="R1097" s="74" t="n"/>
      <c r="S1097" s="74" t="n"/>
      <c r="T1097" s="74" t="n"/>
      <c r="U1097" s="74" t="n"/>
      <c r="V1097" s="74" t="n"/>
      <c r="W1097" s="74" t="n"/>
    </row>
    <row r="1098">
      <c r="A1098" s="74" t="n"/>
      <c r="B1098" s="74" t="n"/>
      <c r="C1098" s="74" t="n"/>
      <c r="D1098" s="74" t="n"/>
      <c r="E1098" s="74" t="n"/>
      <c r="F1098" s="74" t="n"/>
      <c r="G1098" s="74" t="n"/>
      <c r="H1098" s="74" t="n"/>
      <c r="I1098" s="74" t="n"/>
      <c r="J1098" s="74" t="n"/>
      <c r="K1098" s="74" t="n"/>
      <c r="L1098" s="74" t="n"/>
      <c r="M1098" s="74" t="n"/>
      <c r="N1098" s="74" t="n"/>
      <c r="O1098" s="74" t="n"/>
      <c r="P1098" s="74" t="n"/>
      <c r="Q1098" s="74" t="n"/>
      <c r="R1098" s="74" t="n"/>
      <c r="S1098" s="74" t="n"/>
      <c r="T1098" s="74" t="n"/>
      <c r="U1098" s="74" t="n"/>
      <c r="V1098" s="74" t="n"/>
      <c r="W1098" s="74" t="n"/>
    </row>
    <row r="1099">
      <c r="A1099" s="74" t="n"/>
      <c r="B1099" s="74" t="n"/>
      <c r="C1099" s="74" t="n"/>
      <c r="D1099" s="74" t="n"/>
      <c r="E1099" s="74" t="n"/>
      <c r="F1099" s="74" t="n"/>
      <c r="G1099" s="74" t="n"/>
      <c r="H1099" s="74" t="n"/>
      <c r="I1099" s="74" t="n"/>
      <c r="J1099" s="74" t="n"/>
      <c r="K1099" s="74" t="n"/>
      <c r="L1099" s="74" t="n"/>
      <c r="M1099" s="74" t="n"/>
      <c r="N1099" s="74" t="n"/>
      <c r="O1099" s="74" t="n"/>
      <c r="P1099" s="74" t="n"/>
      <c r="Q1099" s="74" t="n"/>
      <c r="R1099" s="74" t="n"/>
      <c r="S1099" s="74" t="n"/>
      <c r="T1099" s="74" t="n"/>
      <c r="U1099" s="74" t="n"/>
      <c r="V1099" s="74" t="n"/>
      <c r="W1099" s="74" t="n"/>
    </row>
    <row r="1100">
      <c r="A1100" s="74" t="n"/>
      <c r="B1100" s="74" t="n"/>
      <c r="C1100" s="74" t="n"/>
      <c r="D1100" s="74" t="n"/>
      <c r="E1100" s="74" t="n"/>
      <c r="F1100" s="74" t="n"/>
      <c r="G1100" s="74" t="n"/>
      <c r="H1100" s="74" t="n"/>
      <c r="I1100" s="74" t="n"/>
      <c r="J1100" s="74" t="n"/>
      <c r="K1100" s="74" t="n"/>
      <c r="L1100" s="74" t="n"/>
      <c r="M1100" s="74" t="n"/>
      <c r="N1100" s="74" t="n"/>
      <c r="O1100" s="74" t="n"/>
      <c r="P1100" s="74" t="n"/>
      <c r="Q1100" s="74" t="n"/>
      <c r="R1100" s="74" t="n"/>
      <c r="S1100" s="74" t="n"/>
      <c r="T1100" s="74" t="n"/>
      <c r="U1100" s="74" t="n"/>
      <c r="V1100" s="74" t="n"/>
      <c r="W1100" s="74" t="n"/>
    </row>
    <row r="1101">
      <c r="A1101" s="74" t="n"/>
      <c r="B1101" s="74" t="n"/>
      <c r="C1101" s="74" t="n"/>
      <c r="D1101" s="74" t="n"/>
      <c r="E1101" s="74" t="n"/>
      <c r="F1101" s="74" t="n"/>
      <c r="G1101" s="74" t="n"/>
      <c r="H1101" s="74" t="n"/>
      <c r="I1101" s="74" t="n"/>
      <c r="J1101" s="74" t="n"/>
      <c r="K1101" s="74" t="n"/>
      <c r="L1101" s="74" t="n"/>
      <c r="M1101" s="74" t="n"/>
      <c r="N1101" s="74" t="n"/>
      <c r="O1101" s="74" t="n"/>
      <c r="P1101" s="74" t="n"/>
      <c r="Q1101" s="74" t="n"/>
      <c r="R1101" s="74" t="n"/>
      <c r="S1101" s="74" t="n"/>
      <c r="T1101" s="74" t="n"/>
      <c r="U1101" s="74" t="n"/>
      <c r="V1101" s="74" t="n"/>
      <c r="W1101" s="74" t="n"/>
    </row>
    <row r="1102">
      <c r="A1102" s="74" t="n"/>
      <c r="B1102" s="74" t="n"/>
      <c r="C1102" s="74" t="n"/>
      <c r="D1102" s="74" t="n"/>
      <c r="E1102" s="74" t="n"/>
      <c r="F1102" s="74" t="n"/>
      <c r="G1102" s="74" t="n"/>
      <c r="H1102" s="74" t="n"/>
      <c r="I1102" s="74" t="n"/>
      <c r="J1102" s="74" t="n"/>
      <c r="K1102" s="74" t="n"/>
      <c r="L1102" s="74" t="n"/>
      <c r="M1102" s="74" t="n"/>
      <c r="N1102" s="74" t="n"/>
      <c r="O1102" s="74" t="n"/>
      <c r="P1102" s="74" t="n"/>
      <c r="Q1102" s="74" t="n"/>
      <c r="R1102" s="74" t="n"/>
      <c r="S1102" s="74" t="n"/>
      <c r="T1102" s="74" t="n"/>
      <c r="U1102" s="74" t="n"/>
      <c r="V1102" s="74" t="n"/>
      <c r="W1102" s="74" t="n"/>
    </row>
    <row r="1103">
      <c r="A1103" s="74" t="n"/>
      <c r="B1103" s="74" t="n"/>
      <c r="C1103" s="74" t="n"/>
      <c r="D1103" s="74" t="n"/>
      <c r="E1103" s="74" t="n"/>
      <c r="F1103" s="74" t="n"/>
      <c r="G1103" s="74" t="n"/>
      <c r="H1103" s="74" t="n"/>
      <c r="I1103" s="74" t="n"/>
      <c r="J1103" s="74" t="n"/>
      <c r="K1103" s="74" t="n"/>
      <c r="L1103" s="74" t="n"/>
      <c r="M1103" s="74" t="n"/>
      <c r="N1103" s="74" t="n"/>
      <c r="O1103" s="74" t="n"/>
      <c r="P1103" s="74" t="n"/>
      <c r="Q1103" s="74" t="n"/>
      <c r="R1103" s="74" t="n"/>
      <c r="S1103" s="74" t="n"/>
      <c r="T1103" s="74" t="n"/>
      <c r="U1103" s="74" t="n"/>
      <c r="V1103" s="74" t="n"/>
      <c r="W1103" s="74" t="n"/>
    </row>
    <row r="1104">
      <c r="A1104" s="74" t="n"/>
      <c r="B1104" s="74" t="n"/>
      <c r="C1104" s="74" t="n"/>
      <c r="D1104" s="74" t="n"/>
      <c r="E1104" s="74" t="n"/>
      <c r="F1104" s="74" t="n"/>
      <c r="G1104" s="74" t="n"/>
      <c r="H1104" s="74" t="n"/>
      <c r="I1104" s="74" t="n"/>
      <c r="J1104" s="74" t="n"/>
      <c r="K1104" s="74" t="n"/>
      <c r="L1104" s="74" t="n"/>
      <c r="M1104" s="74" t="n"/>
      <c r="N1104" s="74" t="n"/>
      <c r="O1104" s="74" t="n"/>
      <c r="P1104" s="74" t="n"/>
      <c r="Q1104" s="74" t="n"/>
      <c r="R1104" s="74" t="n"/>
      <c r="S1104" s="74" t="n"/>
      <c r="T1104" s="74" t="n"/>
      <c r="U1104" s="74" t="n"/>
      <c r="V1104" s="74" t="n"/>
      <c r="W1104" s="74" t="n"/>
    </row>
    <row r="1105">
      <c r="A1105" s="74" t="n"/>
      <c r="B1105" s="74" t="n"/>
      <c r="C1105" s="74" t="n"/>
      <c r="D1105" s="74" t="n"/>
      <c r="E1105" s="74" t="n"/>
      <c r="F1105" s="74" t="n"/>
      <c r="G1105" s="74" t="n"/>
      <c r="H1105" s="74" t="n"/>
      <c r="I1105" s="74" t="n"/>
      <c r="J1105" s="74" t="n"/>
      <c r="K1105" s="74" t="n"/>
      <c r="L1105" s="74" t="n"/>
      <c r="M1105" s="74" t="n"/>
      <c r="N1105" s="74" t="n"/>
      <c r="O1105" s="74" t="n"/>
      <c r="P1105" s="74" t="n"/>
      <c r="Q1105" s="74" t="n"/>
      <c r="R1105" s="74" t="n"/>
      <c r="S1105" s="74" t="n"/>
      <c r="T1105" s="74" t="n"/>
      <c r="U1105" s="74" t="n"/>
      <c r="V1105" s="74" t="n"/>
      <c r="W1105" s="74" t="n"/>
    </row>
    <row r="1106">
      <c r="A1106" s="74" t="n"/>
      <c r="B1106" s="74" t="n"/>
      <c r="C1106" s="74" t="n"/>
      <c r="D1106" s="74" t="n"/>
      <c r="E1106" s="74" t="n"/>
      <c r="F1106" s="74" t="n"/>
      <c r="G1106" s="74" t="n"/>
      <c r="H1106" s="74" t="n"/>
      <c r="I1106" s="74" t="n"/>
      <c r="J1106" s="74" t="n"/>
      <c r="K1106" s="74" t="n"/>
      <c r="L1106" s="74" t="n"/>
      <c r="M1106" s="74" t="n"/>
      <c r="N1106" s="74" t="n"/>
      <c r="O1106" s="74" t="n"/>
      <c r="P1106" s="74" t="n"/>
      <c r="Q1106" s="74" t="n"/>
      <c r="R1106" s="74" t="n"/>
      <c r="S1106" s="74" t="n"/>
      <c r="T1106" s="74" t="n"/>
      <c r="U1106" s="74" t="n"/>
      <c r="V1106" s="74" t="n"/>
      <c r="W1106" s="74" t="n"/>
    </row>
    <row r="1107">
      <c r="A1107" s="74" t="n"/>
      <c r="B1107" s="74" t="n"/>
      <c r="C1107" s="74" t="n"/>
      <c r="D1107" s="74" t="n"/>
      <c r="E1107" s="74" t="n"/>
      <c r="F1107" s="74" t="n"/>
      <c r="G1107" s="74" t="n"/>
      <c r="H1107" s="74" t="n"/>
      <c r="I1107" s="74" t="n"/>
      <c r="J1107" s="74" t="n"/>
      <c r="K1107" s="74" t="n"/>
      <c r="L1107" s="74" t="n"/>
      <c r="M1107" s="74" t="n"/>
      <c r="N1107" s="74" t="n"/>
      <c r="O1107" s="74" t="n"/>
      <c r="P1107" s="74" t="n"/>
      <c r="Q1107" s="74" t="n"/>
      <c r="R1107" s="74" t="n"/>
      <c r="S1107" s="74" t="n"/>
      <c r="T1107" s="74" t="n"/>
      <c r="U1107" s="74" t="n"/>
      <c r="V1107" s="74" t="n"/>
      <c r="W1107" s="74" t="n"/>
    </row>
    <row r="1108">
      <c r="A1108" s="74" t="n"/>
      <c r="B1108" s="74" t="n"/>
      <c r="C1108" s="74" t="n"/>
      <c r="D1108" s="74" t="n"/>
      <c r="E1108" s="74" t="n"/>
      <c r="F1108" s="74" t="n"/>
      <c r="G1108" s="74" t="n"/>
      <c r="H1108" s="74" t="n"/>
      <c r="I1108" s="74" t="n"/>
      <c r="J1108" s="74" t="n"/>
      <c r="K1108" s="74" t="n"/>
      <c r="L1108" s="74" t="n"/>
      <c r="M1108" s="74" t="n"/>
      <c r="N1108" s="74" t="n"/>
      <c r="O1108" s="74" t="n"/>
      <c r="P1108" s="74" t="n"/>
      <c r="Q1108" s="74" t="n"/>
      <c r="R1108" s="74" t="n"/>
      <c r="S1108" s="74" t="n"/>
      <c r="T1108" s="74" t="n"/>
      <c r="U1108" s="74" t="n"/>
      <c r="V1108" s="74" t="n"/>
      <c r="W1108" s="74" t="n"/>
    </row>
    <row r="1109">
      <c r="A1109" s="74" t="n"/>
      <c r="B1109" s="74" t="n"/>
      <c r="C1109" s="74" t="n"/>
      <c r="D1109" s="74" t="n"/>
      <c r="E1109" s="74" t="n"/>
      <c r="F1109" s="74" t="n"/>
      <c r="G1109" s="74" t="n"/>
      <c r="H1109" s="74" t="n"/>
      <c r="I1109" s="74" t="n"/>
      <c r="J1109" s="74" t="n"/>
      <c r="K1109" s="74" t="n"/>
      <c r="L1109" s="74" t="n"/>
      <c r="M1109" s="74" t="n"/>
      <c r="N1109" s="74" t="n"/>
      <c r="O1109" s="74" t="n"/>
      <c r="P1109" s="74" t="n"/>
      <c r="Q1109" s="74" t="n"/>
      <c r="R1109" s="74" t="n"/>
      <c r="S1109" s="74" t="n"/>
      <c r="T1109" s="74" t="n"/>
      <c r="U1109" s="74" t="n"/>
      <c r="V1109" s="74" t="n"/>
      <c r="W1109" s="74" t="n"/>
    </row>
    <row r="1110">
      <c r="A1110" s="74" t="n"/>
      <c r="B1110" s="74" t="n"/>
      <c r="C1110" s="74" t="n"/>
      <c r="D1110" s="74" t="n"/>
      <c r="E1110" s="74" t="n"/>
      <c r="F1110" s="74" t="n"/>
      <c r="G1110" s="74" t="n"/>
      <c r="H1110" s="74" t="n"/>
      <c r="I1110" s="74" t="n"/>
      <c r="J1110" s="74" t="n"/>
      <c r="K1110" s="74" t="n"/>
      <c r="L1110" s="74" t="n"/>
      <c r="M1110" s="74" t="n"/>
      <c r="N1110" s="74" t="n"/>
      <c r="O1110" s="74" t="n"/>
      <c r="P1110" s="74" t="n"/>
      <c r="Q1110" s="74" t="n"/>
      <c r="R1110" s="74" t="n"/>
      <c r="S1110" s="74" t="n"/>
      <c r="T1110" s="74" t="n"/>
      <c r="U1110" s="74" t="n"/>
      <c r="V1110" s="74" t="n"/>
      <c r="W1110" s="74" t="n"/>
    </row>
    <row r="1111">
      <c r="A1111" s="74" t="n"/>
      <c r="B1111" s="74" t="n"/>
      <c r="C1111" s="74" t="n"/>
      <c r="D1111" s="74" t="n"/>
      <c r="E1111" s="74" t="n"/>
      <c r="F1111" s="74" t="n"/>
      <c r="G1111" s="74" t="n"/>
      <c r="H1111" s="74" t="n"/>
      <c r="I1111" s="74" t="n"/>
      <c r="J1111" s="74" t="n"/>
      <c r="K1111" s="74" t="n"/>
      <c r="L1111" s="74" t="n"/>
      <c r="M1111" s="74" t="n"/>
      <c r="N1111" s="74" t="n"/>
      <c r="O1111" s="74" t="n"/>
      <c r="P1111" s="74" t="n"/>
      <c r="Q1111" s="74" t="n"/>
      <c r="R1111" s="74" t="n"/>
      <c r="S1111" s="74" t="n"/>
      <c r="T1111" s="74" t="n"/>
      <c r="U1111" s="74" t="n"/>
      <c r="V1111" s="74" t="n"/>
      <c r="W1111" s="74" t="n"/>
    </row>
    <row r="1112">
      <c r="A1112" s="74" t="n"/>
      <c r="B1112" s="74" t="n"/>
      <c r="C1112" s="74" t="n"/>
      <c r="D1112" s="74" t="n"/>
      <c r="E1112" s="74" t="n"/>
      <c r="F1112" s="74" t="n"/>
      <c r="G1112" s="74" t="n"/>
      <c r="H1112" s="74" t="n"/>
      <c r="I1112" s="74" t="n"/>
      <c r="J1112" s="74" t="n"/>
      <c r="K1112" s="74" t="n"/>
      <c r="L1112" s="74" t="n"/>
      <c r="M1112" s="74" t="n"/>
      <c r="N1112" s="74" t="n"/>
      <c r="O1112" s="74" t="n"/>
      <c r="P1112" s="74" t="n"/>
      <c r="Q1112" s="74" t="n"/>
      <c r="R1112" s="74" t="n"/>
      <c r="S1112" s="74" t="n"/>
      <c r="T1112" s="74" t="n"/>
      <c r="U1112" s="74" t="n"/>
      <c r="V1112" s="74" t="n"/>
      <c r="W1112" s="74" t="n"/>
    </row>
    <row r="1113">
      <c r="A1113" s="74" t="n"/>
      <c r="B1113" s="74" t="n"/>
      <c r="C1113" s="74" t="n"/>
      <c r="D1113" s="74" t="n"/>
      <c r="E1113" s="74" t="n"/>
      <c r="F1113" s="74" t="n"/>
      <c r="G1113" s="74" t="n"/>
      <c r="H1113" s="74" t="n"/>
      <c r="I1113" s="74" t="n"/>
      <c r="J1113" s="74" t="n"/>
      <c r="K1113" s="74" t="n"/>
      <c r="L1113" s="74" t="n"/>
      <c r="M1113" s="74" t="n"/>
      <c r="N1113" s="74" t="n"/>
      <c r="O1113" s="74" t="n"/>
      <c r="P1113" s="74" t="n"/>
      <c r="Q1113" s="74" t="n"/>
      <c r="R1113" s="74" t="n"/>
      <c r="S1113" s="74" t="n"/>
      <c r="T1113" s="74" t="n"/>
      <c r="U1113" s="74" t="n"/>
      <c r="V1113" s="74" t="n"/>
      <c r="W1113" s="74" t="n"/>
    </row>
    <row r="1114">
      <c r="A1114" s="74" t="n"/>
      <c r="B1114" s="74" t="n"/>
      <c r="C1114" s="74" t="n"/>
      <c r="D1114" s="74" t="n"/>
      <c r="E1114" s="74" t="n"/>
      <c r="F1114" s="74" t="n"/>
      <c r="G1114" s="74" t="n"/>
      <c r="H1114" s="74" t="n"/>
      <c r="I1114" s="74" t="n"/>
      <c r="J1114" s="74" t="n"/>
      <c r="K1114" s="74" t="n"/>
      <c r="L1114" s="74" t="n"/>
      <c r="M1114" s="74" t="n"/>
      <c r="N1114" s="74" t="n"/>
      <c r="O1114" s="74" t="n"/>
      <c r="P1114" s="74" t="n"/>
      <c r="Q1114" s="74" t="n"/>
      <c r="R1114" s="74" t="n"/>
      <c r="S1114" s="74" t="n"/>
      <c r="T1114" s="74" t="n"/>
      <c r="U1114" s="74" t="n"/>
      <c r="V1114" s="74" t="n"/>
      <c r="W1114" s="74" t="n"/>
    </row>
    <row r="1115">
      <c r="A1115" s="74" t="n"/>
      <c r="B1115" s="74" t="n"/>
      <c r="C1115" s="74" t="n"/>
      <c r="D1115" s="74" t="n"/>
      <c r="E1115" s="74" t="n"/>
      <c r="F1115" s="74" t="n"/>
      <c r="G1115" s="74" t="n"/>
      <c r="H1115" s="74" t="n"/>
      <c r="I1115" s="74" t="n"/>
      <c r="J1115" s="74" t="n"/>
      <c r="K1115" s="74" t="n"/>
      <c r="L1115" s="74" t="n"/>
      <c r="M1115" s="74" t="n"/>
      <c r="N1115" s="74" t="n"/>
      <c r="O1115" s="74" t="n"/>
      <c r="P1115" s="74" t="n"/>
      <c r="Q1115" s="74" t="n"/>
      <c r="R1115" s="74" t="n"/>
      <c r="S1115" s="74" t="n"/>
      <c r="T1115" s="74" t="n"/>
      <c r="U1115" s="74" t="n"/>
      <c r="V1115" s="74" t="n"/>
      <c r="W1115" s="74" t="n"/>
    </row>
    <row r="1116">
      <c r="A1116" s="74" t="n"/>
      <c r="B1116" s="74" t="n"/>
      <c r="C1116" s="74" t="n"/>
      <c r="D1116" s="74" t="n"/>
      <c r="E1116" s="74" t="n"/>
      <c r="F1116" s="74" t="n"/>
      <c r="G1116" s="74" t="n"/>
      <c r="H1116" s="74" t="n"/>
      <c r="I1116" s="74" t="n"/>
      <c r="J1116" s="74" t="n"/>
      <c r="K1116" s="74" t="n"/>
      <c r="L1116" s="74" t="n"/>
      <c r="M1116" s="74" t="n"/>
      <c r="N1116" s="74" t="n"/>
      <c r="O1116" s="74" t="n"/>
      <c r="P1116" s="74" t="n"/>
      <c r="Q1116" s="74" t="n"/>
      <c r="R1116" s="74" t="n"/>
      <c r="S1116" s="74" t="n"/>
      <c r="T1116" s="74" t="n"/>
      <c r="U1116" s="74" t="n"/>
      <c r="V1116" s="74" t="n"/>
      <c r="W1116" s="74" t="n"/>
    </row>
    <row r="1117">
      <c r="A1117" s="74" t="n"/>
      <c r="B1117" s="74" t="n"/>
      <c r="C1117" s="74" t="n"/>
      <c r="D1117" s="74" t="n"/>
      <c r="E1117" s="74" t="n"/>
      <c r="F1117" s="74" t="n"/>
      <c r="G1117" s="74" t="n"/>
      <c r="H1117" s="74" t="n"/>
      <c r="I1117" s="74" t="n"/>
      <c r="J1117" s="74" t="n"/>
      <c r="K1117" s="74" t="n"/>
      <c r="L1117" s="74" t="n"/>
      <c r="M1117" s="74" t="n"/>
      <c r="N1117" s="74" t="n"/>
      <c r="O1117" s="74" t="n"/>
      <c r="P1117" s="74" t="n"/>
      <c r="Q1117" s="74" t="n"/>
      <c r="R1117" s="74" t="n"/>
      <c r="S1117" s="74" t="n"/>
      <c r="T1117" s="74" t="n"/>
      <c r="U1117" s="74" t="n"/>
      <c r="V1117" s="74" t="n"/>
      <c r="W1117" s="74" t="n"/>
    </row>
    <row r="1118">
      <c r="A1118" s="74" t="n"/>
      <c r="B1118" s="74" t="n"/>
      <c r="C1118" s="74" t="n"/>
      <c r="D1118" s="74" t="n"/>
      <c r="E1118" s="74" t="n"/>
      <c r="F1118" s="74" t="n"/>
      <c r="G1118" s="74" t="n"/>
      <c r="H1118" s="74" t="n"/>
      <c r="I1118" s="74" t="n"/>
      <c r="J1118" s="74" t="n"/>
      <c r="K1118" s="74" t="n"/>
      <c r="L1118" s="74" t="n"/>
      <c r="M1118" s="74" t="n"/>
      <c r="N1118" s="74" t="n"/>
      <c r="O1118" s="74" t="n"/>
      <c r="P1118" s="74" t="n"/>
      <c r="Q1118" s="74" t="n"/>
      <c r="R1118" s="74" t="n"/>
      <c r="S1118" s="74" t="n"/>
      <c r="T1118" s="74" t="n"/>
      <c r="U1118" s="74" t="n"/>
      <c r="V1118" s="74" t="n"/>
      <c r="W1118" s="74" t="n"/>
    </row>
    <row r="1119">
      <c r="A1119" s="74" t="n"/>
      <c r="B1119" s="74" t="n"/>
      <c r="C1119" s="74" t="n"/>
      <c r="D1119" s="74" t="n"/>
      <c r="E1119" s="74" t="n"/>
      <c r="F1119" s="74" t="n"/>
      <c r="G1119" s="74" t="n"/>
      <c r="H1119" s="74" t="n"/>
      <c r="I1119" s="74" t="n"/>
      <c r="J1119" s="74" t="n"/>
      <c r="K1119" s="74" t="n"/>
      <c r="L1119" s="74" t="n"/>
      <c r="M1119" s="74" t="n"/>
      <c r="N1119" s="74" t="n"/>
      <c r="O1119" s="74" t="n"/>
      <c r="P1119" s="74" t="n"/>
      <c r="Q1119" s="74" t="n"/>
      <c r="R1119" s="74" t="n"/>
      <c r="S1119" s="74" t="n"/>
      <c r="T1119" s="74" t="n"/>
      <c r="U1119" s="74" t="n"/>
      <c r="V1119" s="74" t="n"/>
      <c r="W1119" s="74" t="n"/>
    </row>
    <row r="1120">
      <c r="A1120" s="74" t="n"/>
      <c r="B1120" s="74" t="n"/>
      <c r="C1120" s="74" t="n"/>
      <c r="D1120" s="74" t="n"/>
      <c r="E1120" s="74" t="n"/>
      <c r="F1120" s="74" t="n"/>
      <c r="G1120" s="74" t="n"/>
      <c r="H1120" s="74" t="n"/>
      <c r="I1120" s="74" t="n"/>
      <c r="J1120" s="74" t="n"/>
      <c r="K1120" s="74" t="n"/>
      <c r="L1120" s="74" t="n"/>
      <c r="M1120" s="74" t="n"/>
      <c r="N1120" s="74" t="n"/>
      <c r="O1120" s="74" t="n"/>
      <c r="P1120" s="74" t="n"/>
      <c r="Q1120" s="74" t="n"/>
      <c r="R1120" s="74" t="n"/>
      <c r="S1120" s="74" t="n"/>
      <c r="T1120" s="74" t="n"/>
      <c r="U1120" s="74" t="n"/>
      <c r="V1120" s="74" t="n"/>
      <c r="W1120" s="74" t="n"/>
    </row>
    <row r="1121">
      <c r="A1121" s="74" t="n"/>
      <c r="B1121" s="74" t="n"/>
      <c r="C1121" s="74" t="n"/>
      <c r="D1121" s="74" t="n"/>
      <c r="E1121" s="74" t="n"/>
      <c r="F1121" s="74" t="n"/>
      <c r="G1121" s="74" t="n"/>
      <c r="H1121" s="74" t="n"/>
      <c r="I1121" s="74" t="n"/>
      <c r="J1121" s="74" t="n"/>
      <c r="K1121" s="74" t="n"/>
      <c r="L1121" s="74" t="n"/>
      <c r="M1121" s="74" t="n"/>
      <c r="N1121" s="74" t="n"/>
      <c r="O1121" s="74" t="n"/>
      <c r="P1121" s="74" t="n"/>
      <c r="Q1121" s="74" t="n"/>
      <c r="R1121" s="74" t="n"/>
      <c r="S1121" s="74" t="n"/>
      <c r="T1121" s="74" t="n"/>
      <c r="U1121" s="74" t="n"/>
      <c r="V1121" s="74" t="n"/>
      <c r="W1121" s="74" t="n"/>
    </row>
    <row r="1122">
      <c r="A1122" s="74" t="n"/>
      <c r="B1122" s="74" t="n"/>
      <c r="C1122" s="74" t="n"/>
      <c r="D1122" s="74" t="n"/>
      <c r="E1122" s="74" t="n"/>
      <c r="F1122" s="74" t="n"/>
      <c r="G1122" s="74" t="n"/>
      <c r="H1122" s="74" t="n"/>
      <c r="I1122" s="74" t="n"/>
      <c r="J1122" s="74" t="n"/>
      <c r="K1122" s="74" t="n"/>
      <c r="L1122" s="74" t="n"/>
      <c r="M1122" s="74" t="n"/>
      <c r="N1122" s="74" t="n"/>
      <c r="O1122" s="74" t="n"/>
      <c r="P1122" s="74" t="n"/>
      <c r="Q1122" s="74" t="n"/>
      <c r="R1122" s="74" t="n"/>
      <c r="S1122" s="74" t="n"/>
      <c r="T1122" s="74" t="n"/>
      <c r="U1122" s="74" t="n"/>
      <c r="V1122" s="74" t="n"/>
      <c r="W1122" s="74" t="n"/>
    </row>
    <row r="1123">
      <c r="A1123" s="74" t="n"/>
      <c r="B1123" s="74" t="n"/>
      <c r="C1123" s="74" t="n"/>
      <c r="D1123" s="74" t="n"/>
      <c r="E1123" s="74" t="n"/>
      <c r="F1123" s="74" t="n"/>
      <c r="G1123" s="74" t="n"/>
      <c r="H1123" s="74" t="n"/>
      <c r="I1123" s="74" t="n"/>
      <c r="J1123" s="74" t="n"/>
      <c r="K1123" s="74" t="n"/>
      <c r="L1123" s="74" t="n"/>
      <c r="M1123" s="74" t="n"/>
      <c r="N1123" s="74" t="n"/>
      <c r="O1123" s="74" t="n"/>
      <c r="P1123" s="74" t="n"/>
      <c r="Q1123" s="74" t="n"/>
      <c r="R1123" s="74" t="n"/>
      <c r="S1123" s="74" t="n"/>
      <c r="T1123" s="74" t="n"/>
      <c r="U1123" s="74" t="n"/>
      <c r="V1123" s="74" t="n"/>
      <c r="W1123" s="74" t="n"/>
    </row>
    <row r="1124">
      <c r="A1124" s="74" t="n"/>
      <c r="B1124" s="74" t="n"/>
      <c r="C1124" s="74" t="n"/>
      <c r="D1124" s="74" t="n"/>
      <c r="E1124" s="74" t="n"/>
      <c r="F1124" s="74" t="n"/>
      <c r="G1124" s="74" t="n"/>
      <c r="H1124" s="74" t="n"/>
      <c r="I1124" s="74" t="n"/>
      <c r="J1124" s="74" t="n"/>
      <c r="K1124" s="74" t="n"/>
      <c r="L1124" s="74" t="n"/>
      <c r="M1124" s="74" t="n"/>
      <c r="N1124" s="74" t="n"/>
      <c r="O1124" s="74" t="n"/>
      <c r="P1124" s="74" t="n"/>
      <c r="Q1124" s="74" t="n"/>
      <c r="R1124" s="74" t="n"/>
      <c r="S1124" s="74" t="n"/>
      <c r="T1124" s="74" t="n"/>
      <c r="U1124" s="74" t="n"/>
      <c r="V1124" s="74" t="n"/>
      <c r="W1124" s="74" t="n"/>
    </row>
    <row r="1125">
      <c r="A1125" s="74" t="n"/>
      <c r="B1125" s="74" t="n"/>
      <c r="C1125" s="74" t="n"/>
      <c r="D1125" s="74" t="n"/>
      <c r="E1125" s="74" t="n"/>
      <c r="F1125" s="74" t="n"/>
      <c r="G1125" s="74" t="n"/>
      <c r="H1125" s="74" t="n"/>
      <c r="I1125" s="74" t="n"/>
      <c r="J1125" s="74" t="n"/>
      <c r="K1125" s="74" t="n"/>
      <c r="L1125" s="74" t="n"/>
      <c r="M1125" s="74" t="n"/>
      <c r="N1125" s="74" t="n"/>
      <c r="O1125" s="74" t="n"/>
      <c r="P1125" s="74" t="n"/>
      <c r="Q1125" s="74" t="n"/>
      <c r="R1125" s="74" t="n"/>
      <c r="S1125" s="74" t="n"/>
      <c r="T1125" s="74" t="n"/>
      <c r="U1125" s="74" t="n"/>
      <c r="V1125" s="74" t="n"/>
      <c r="W1125" s="74" t="n"/>
    </row>
    <row r="1126">
      <c r="A1126" s="74" t="n"/>
      <c r="B1126" s="74" t="n"/>
      <c r="C1126" s="74" t="n"/>
      <c r="D1126" s="74" t="n"/>
      <c r="E1126" s="74" t="n"/>
      <c r="F1126" s="74" t="n"/>
      <c r="G1126" s="74" t="n"/>
      <c r="H1126" s="74" t="n"/>
      <c r="I1126" s="74" t="n"/>
      <c r="J1126" s="74" t="n"/>
      <c r="K1126" s="74" t="n"/>
      <c r="L1126" s="74" t="n"/>
      <c r="M1126" s="74" t="n"/>
      <c r="N1126" s="74" t="n"/>
      <c r="O1126" s="74" t="n"/>
      <c r="P1126" s="74" t="n"/>
      <c r="Q1126" s="74" t="n"/>
      <c r="R1126" s="74" t="n"/>
      <c r="S1126" s="74" t="n"/>
      <c r="T1126" s="74" t="n"/>
      <c r="U1126" s="74" t="n"/>
      <c r="V1126" s="74" t="n"/>
      <c r="W1126" s="74" t="n"/>
    </row>
    <row r="1127">
      <c r="A1127" s="74" t="n"/>
      <c r="B1127" s="74" t="n"/>
      <c r="C1127" s="74" t="n"/>
      <c r="D1127" s="74" t="n"/>
      <c r="E1127" s="74" t="n"/>
      <c r="F1127" s="74" t="n"/>
      <c r="G1127" s="74" t="n"/>
      <c r="H1127" s="74" t="n"/>
      <c r="I1127" s="74" t="n"/>
      <c r="J1127" s="74" t="n"/>
      <c r="K1127" s="74" t="n"/>
      <c r="L1127" s="74" t="n"/>
      <c r="M1127" s="74" t="n"/>
      <c r="N1127" s="74" t="n"/>
      <c r="O1127" s="74" t="n"/>
      <c r="P1127" s="74" t="n"/>
      <c r="Q1127" s="74" t="n"/>
      <c r="R1127" s="74" t="n"/>
      <c r="S1127" s="74" t="n"/>
      <c r="T1127" s="74" t="n"/>
      <c r="U1127" s="74" t="n"/>
      <c r="V1127" s="74" t="n"/>
      <c r="W1127" s="74" t="n"/>
    </row>
    <row r="1128">
      <c r="A1128" s="74" t="n"/>
      <c r="B1128" s="74" t="n"/>
      <c r="C1128" s="74" t="n"/>
      <c r="D1128" s="74" t="n"/>
      <c r="E1128" s="74" t="n"/>
      <c r="F1128" s="74" t="n"/>
      <c r="G1128" s="74" t="n"/>
      <c r="H1128" s="74" t="n"/>
      <c r="I1128" s="74" t="n"/>
      <c r="J1128" s="74" t="n"/>
      <c r="K1128" s="74" t="n"/>
      <c r="L1128" s="74" t="n"/>
      <c r="M1128" s="74" t="n"/>
      <c r="N1128" s="74" t="n"/>
      <c r="O1128" s="74" t="n"/>
      <c r="P1128" s="74" t="n"/>
      <c r="Q1128" s="74" t="n"/>
      <c r="R1128" s="74" t="n"/>
      <c r="S1128" s="74" t="n"/>
      <c r="T1128" s="74" t="n"/>
      <c r="U1128" s="74" t="n"/>
      <c r="V1128" s="74" t="n"/>
      <c r="W1128" s="74" t="n"/>
    </row>
    <row r="1129">
      <c r="A1129" s="74" t="n"/>
      <c r="B1129" s="74" t="n"/>
      <c r="C1129" s="74" t="n"/>
      <c r="D1129" s="74" t="n"/>
      <c r="E1129" s="74" t="n"/>
      <c r="F1129" s="74" t="n"/>
      <c r="G1129" s="74" t="n"/>
      <c r="H1129" s="74" t="n"/>
      <c r="I1129" s="74" t="n"/>
      <c r="J1129" s="74" t="n"/>
      <c r="K1129" s="74" t="n"/>
      <c r="L1129" s="74" t="n"/>
      <c r="M1129" s="74" t="n"/>
      <c r="N1129" s="74" t="n"/>
      <c r="O1129" s="74" t="n"/>
      <c r="P1129" s="74" t="n"/>
      <c r="Q1129" s="74" t="n"/>
      <c r="R1129" s="74" t="n"/>
      <c r="S1129" s="74" t="n"/>
      <c r="T1129" s="74" t="n"/>
      <c r="U1129" s="74" t="n"/>
      <c r="V1129" s="74" t="n"/>
      <c r="W1129" s="74" t="n"/>
    </row>
    <row r="1130">
      <c r="A1130" s="74" t="n"/>
      <c r="B1130" s="74" t="n"/>
      <c r="C1130" s="74" t="n"/>
      <c r="D1130" s="74" t="n"/>
      <c r="E1130" s="74" t="n"/>
      <c r="F1130" s="74" t="n"/>
      <c r="G1130" s="74" t="n"/>
      <c r="H1130" s="74" t="n"/>
      <c r="I1130" s="74" t="n"/>
      <c r="J1130" s="74" t="n"/>
      <c r="K1130" s="74" t="n"/>
      <c r="L1130" s="74" t="n"/>
      <c r="M1130" s="74" t="n"/>
      <c r="N1130" s="74" t="n"/>
      <c r="O1130" s="74" t="n"/>
      <c r="P1130" s="74" t="n"/>
      <c r="Q1130" s="74" t="n"/>
      <c r="R1130" s="74" t="n"/>
      <c r="S1130" s="74" t="n"/>
      <c r="T1130" s="74" t="n"/>
      <c r="U1130" s="74" t="n"/>
      <c r="V1130" s="74" t="n"/>
      <c r="W1130" s="74" t="n"/>
    </row>
    <row r="1131">
      <c r="A1131" s="74" t="n"/>
      <c r="B1131" s="74" t="n"/>
      <c r="C1131" s="74" t="n"/>
      <c r="D1131" s="74" t="n"/>
      <c r="E1131" s="74" t="n"/>
      <c r="F1131" s="74" t="n"/>
      <c r="G1131" s="74" t="n"/>
      <c r="H1131" s="74" t="n"/>
      <c r="I1131" s="74" t="n"/>
      <c r="J1131" s="74" t="n"/>
      <c r="K1131" s="74" t="n"/>
      <c r="L1131" s="74" t="n"/>
      <c r="M1131" s="74" t="n"/>
      <c r="N1131" s="74" t="n"/>
      <c r="O1131" s="74" t="n"/>
      <c r="P1131" s="74" t="n"/>
      <c r="Q1131" s="74" t="n"/>
      <c r="R1131" s="74" t="n"/>
      <c r="S1131" s="74" t="n"/>
      <c r="T1131" s="74" t="n"/>
      <c r="U1131" s="74" t="n"/>
      <c r="V1131" s="74" t="n"/>
      <c r="W1131" s="74" t="n"/>
    </row>
    <row r="1132">
      <c r="A1132" s="74" t="n"/>
      <c r="B1132" s="74" t="n"/>
      <c r="C1132" s="74" t="n"/>
      <c r="D1132" s="74" t="n"/>
      <c r="E1132" s="74" t="n"/>
      <c r="F1132" s="74" t="n"/>
      <c r="G1132" s="74" t="n"/>
      <c r="H1132" s="74" t="n"/>
      <c r="I1132" s="74" t="n"/>
      <c r="J1132" s="74" t="n"/>
      <c r="K1132" s="74" t="n"/>
      <c r="L1132" s="74" t="n"/>
      <c r="M1132" s="74" t="n"/>
      <c r="N1132" s="74" t="n"/>
      <c r="O1132" s="74" t="n"/>
      <c r="P1132" s="74" t="n"/>
      <c r="Q1132" s="74" t="n"/>
      <c r="R1132" s="74" t="n"/>
      <c r="S1132" s="74" t="n"/>
      <c r="T1132" s="74" t="n"/>
      <c r="U1132" s="74" t="n"/>
      <c r="V1132" s="74" t="n"/>
      <c r="W1132" s="74" t="n"/>
    </row>
    <row r="1133">
      <c r="A1133" s="74" t="n"/>
      <c r="B1133" s="74" t="n"/>
      <c r="C1133" s="74" t="n"/>
      <c r="D1133" s="74" t="n"/>
      <c r="E1133" s="74" t="n"/>
      <c r="F1133" s="74" t="n"/>
      <c r="G1133" s="74" t="n"/>
      <c r="H1133" s="74" t="n"/>
      <c r="I1133" s="74" t="n"/>
      <c r="J1133" s="74" t="n"/>
      <c r="K1133" s="74" t="n"/>
      <c r="L1133" s="74" t="n"/>
      <c r="M1133" s="74" t="n"/>
      <c r="N1133" s="74" t="n"/>
      <c r="O1133" s="74" t="n"/>
      <c r="P1133" s="74" t="n"/>
      <c r="Q1133" s="74" t="n"/>
      <c r="R1133" s="74" t="n"/>
      <c r="S1133" s="74" t="n"/>
      <c r="T1133" s="74" t="n"/>
      <c r="U1133" s="74" t="n"/>
      <c r="V1133" s="74" t="n"/>
      <c r="W1133" s="74" t="n"/>
    </row>
    <row r="1134">
      <c r="A1134" s="74" t="n"/>
      <c r="B1134" s="74" t="n"/>
      <c r="C1134" s="74" t="n"/>
      <c r="D1134" s="74" t="n"/>
      <c r="E1134" s="74" t="n"/>
      <c r="F1134" s="74" t="n"/>
      <c r="G1134" s="74" t="n"/>
      <c r="H1134" s="74" t="n"/>
      <c r="I1134" s="74" t="n"/>
      <c r="J1134" s="74" t="n"/>
      <c r="K1134" s="74" t="n"/>
      <c r="L1134" s="74" t="n"/>
      <c r="M1134" s="74" t="n"/>
      <c r="N1134" s="74" t="n"/>
      <c r="O1134" s="74" t="n"/>
      <c r="P1134" s="74" t="n"/>
      <c r="Q1134" s="74" t="n"/>
      <c r="R1134" s="74" t="n"/>
      <c r="S1134" s="74" t="n"/>
      <c r="T1134" s="74" t="n"/>
      <c r="U1134" s="74" t="n"/>
      <c r="V1134" s="74" t="n"/>
      <c r="W1134" s="74" t="n"/>
    </row>
    <row r="1135">
      <c r="A1135" s="74" t="n"/>
      <c r="B1135" s="74" t="n"/>
      <c r="C1135" s="74" t="n"/>
      <c r="D1135" s="74" t="n"/>
      <c r="E1135" s="74" t="n"/>
      <c r="F1135" s="74" t="n"/>
      <c r="G1135" s="74" t="n"/>
      <c r="H1135" s="74" t="n"/>
      <c r="I1135" s="74" t="n"/>
      <c r="J1135" s="74" t="n"/>
      <c r="K1135" s="74" t="n"/>
      <c r="L1135" s="74" t="n"/>
      <c r="M1135" s="74" t="n"/>
      <c r="N1135" s="74" t="n"/>
      <c r="O1135" s="74" t="n"/>
      <c r="P1135" s="74" t="n"/>
      <c r="Q1135" s="74" t="n"/>
      <c r="R1135" s="74" t="n"/>
      <c r="S1135" s="74" t="n"/>
      <c r="T1135" s="74" t="n"/>
      <c r="U1135" s="74" t="n"/>
      <c r="V1135" s="74" t="n"/>
      <c r="W1135" s="74" t="n"/>
    </row>
    <row r="1136">
      <c r="A1136" s="74" t="n"/>
      <c r="B1136" s="74" t="n"/>
      <c r="C1136" s="74" t="n"/>
      <c r="D1136" s="74" t="n"/>
      <c r="E1136" s="74" t="n"/>
      <c r="F1136" s="74" t="n"/>
      <c r="G1136" s="74" t="n"/>
      <c r="H1136" s="74" t="n"/>
      <c r="I1136" s="74" t="n"/>
      <c r="J1136" s="74" t="n"/>
      <c r="K1136" s="74" t="n"/>
      <c r="L1136" s="74" t="n"/>
      <c r="M1136" s="74" t="n"/>
      <c r="N1136" s="74" t="n"/>
      <c r="O1136" s="74" t="n"/>
      <c r="P1136" s="74" t="n"/>
      <c r="Q1136" s="74" t="n"/>
      <c r="R1136" s="74" t="n"/>
      <c r="S1136" s="74" t="n"/>
      <c r="T1136" s="74" t="n"/>
      <c r="U1136" s="74" t="n"/>
      <c r="V1136" s="74" t="n"/>
      <c r="W1136" s="74" t="n"/>
    </row>
    <row r="1137">
      <c r="A1137" s="74" t="n"/>
      <c r="B1137" s="74" t="n"/>
      <c r="C1137" s="74" t="n"/>
      <c r="D1137" s="74" t="n"/>
      <c r="E1137" s="74" t="n"/>
      <c r="F1137" s="74" t="n"/>
      <c r="G1137" s="74" t="n"/>
      <c r="H1137" s="74" t="n"/>
      <c r="I1137" s="74" t="n"/>
      <c r="J1137" s="74" t="n"/>
      <c r="K1137" s="74" t="n"/>
      <c r="L1137" s="74" t="n"/>
      <c r="M1137" s="74" t="n"/>
      <c r="N1137" s="74" t="n"/>
      <c r="O1137" s="74" t="n"/>
      <c r="P1137" s="74" t="n"/>
      <c r="Q1137" s="74" t="n"/>
      <c r="R1137" s="74" t="n"/>
      <c r="S1137" s="74" t="n"/>
      <c r="T1137" s="74" t="n"/>
      <c r="U1137" s="74" t="n"/>
      <c r="V1137" s="74" t="n"/>
      <c r="W1137" s="74" t="n"/>
    </row>
    <row r="1138">
      <c r="A1138" s="74" t="n"/>
      <c r="B1138" s="74" t="n"/>
      <c r="C1138" s="74" t="n"/>
      <c r="D1138" s="74" t="n"/>
      <c r="E1138" s="74" t="n"/>
      <c r="F1138" s="74" t="n"/>
      <c r="G1138" s="74" t="n"/>
      <c r="H1138" s="74" t="n"/>
      <c r="I1138" s="74" t="n"/>
      <c r="J1138" s="74" t="n"/>
      <c r="K1138" s="74" t="n"/>
      <c r="L1138" s="74" t="n"/>
      <c r="M1138" s="74" t="n"/>
      <c r="N1138" s="74" t="n"/>
      <c r="O1138" s="74" t="n"/>
      <c r="P1138" s="74" t="n"/>
      <c r="Q1138" s="74" t="n"/>
      <c r="R1138" s="74" t="n"/>
      <c r="S1138" s="74" t="n"/>
      <c r="T1138" s="74" t="n"/>
      <c r="U1138" s="74" t="n"/>
      <c r="V1138" s="74" t="n"/>
      <c r="W1138" s="74" t="n"/>
    </row>
    <row r="1139">
      <c r="A1139" s="74" t="n"/>
      <c r="B1139" s="74" t="n"/>
      <c r="C1139" s="74" t="n"/>
      <c r="D1139" s="74" t="n"/>
      <c r="E1139" s="74" t="n"/>
      <c r="F1139" s="74" t="n"/>
      <c r="G1139" s="74" t="n"/>
      <c r="H1139" s="74" t="n"/>
      <c r="I1139" s="74" t="n"/>
      <c r="J1139" s="74" t="n"/>
      <c r="K1139" s="74" t="n"/>
      <c r="L1139" s="74" t="n"/>
      <c r="M1139" s="74" t="n"/>
      <c r="N1139" s="74" t="n"/>
      <c r="O1139" s="74" t="n"/>
      <c r="P1139" s="74" t="n"/>
      <c r="Q1139" s="74" t="n"/>
      <c r="R1139" s="74" t="n"/>
      <c r="S1139" s="74" t="n"/>
      <c r="T1139" s="74" t="n"/>
      <c r="U1139" s="74" t="n"/>
      <c r="V1139" s="74" t="n"/>
      <c r="W1139" s="74" t="n"/>
    </row>
    <row r="1140">
      <c r="A1140" s="74" t="n"/>
      <c r="B1140" s="74" t="n"/>
      <c r="C1140" s="74" t="n"/>
      <c r="D1140" s="74" t="n"/>
      <c r="E1140" s="74" t="n"/>
      <c r="F1140" s="74" t="n"/>
      <c r="G1140" s="74" t="n"/>
      <c r="H1140" s="74" t="n"/>
      <c r="I1140" s="74" t="n"/>
      <c r="J1140" s="74" t="n"/>
      <c r="K1140" s="74" t="n"/>
      <c r="L1140" s="74" t="n"/>
      <c r="M1140" s="74" t="n"/>
      <c r="N1140" s="74" t="n"/>
      <c r="O1140" s="74" t="n"/>
      <c r="P1140" s="74" t="n"/>
      <c r="Q1140" s="74" t="n"/>
      <c r="R1140" s="74" t="n"/>
      <c r="S1140" s="74" t="n"/>
      <c r="T1140" s="74" t="n"/>
      <c r="U1140" s="74" t="n"/>
      <c r="V1140" s="74" t="n"/>
      <c r="W1140" s="74" t="n"/>
    </row>
    <row r="1141">
      <c r="A1141" s="74" t="n"/>
      <c r="B1141" s="74" t="n"/>
      <c r="C1141" s="74" t="n"/>
      <c r="D1141" s="74" t="n"/>
      <c r="E1141" s="74" t="n"/>
      <c r="F1141" s="74" t="n"/>
      <c r="G1141" s="74" t="n"/>
      <c r="H1141" s="74" t="n"/>
      <c r="I1141" s="74" t="n"/>
      <c r="J1141" s="74" t="n"/>
      <c r="K1141" s="74" t="n"/>
      <c r="L1141" s="74" t="n"/>
      <c r="M1141" s="74" t="n"/>
      <c r="N1141" s="74" t="n"/>
      <c r="O1141" s="74" t="n"/>
      <c r="P1141" s="74" t="n"/>
      <c r="Q1141" s="74" t="n"/>
      <c r="R1141" s="74" t="n"/>
      <c r="S1141" s="74" t="n"/>
      <c r="T1141" s="74" t="n"/>
      <c r="U1141" s="74" t="n"/>
      <c r="V1141" s="74" t="n"/>
      <c r="W1141" s="74" t="n"/>
    </row>
    <row r="1142">
      <c r="A1142" s="74" t="n"/>
      <c r="B1142" s="74" t="n"/>
      <c r="C1142" s="74" t="n"/>
      <c r="D1142" s="74" t="n"/>
      <c r="E1142" s="74" t="n"/>
      <c r="F1142" s="74" t="n"/>
      <c r="G1142" s="74" t="n"/>
      <c r="H1142" s="74" t="n"/>
      <c r="I1142" s="74" t="n"/>
      <c r="J1142" s="74" t="n"/>
      <c r="K1142" s="74" t="n"/>
      <c r="L1142" s="74" t="n"/>
      <c r="M1142" s="74" t="n"/>
      <c r="N1142" s="74" t="n"/>
      <c r="O1142" s="74" t="n"/>
      <c r="P1142" s="74" t="n"/>
      <c r="Q1142" s="74" t="n"/>
      <c r="R1142" s="74" t="n"/>
      <c r="S1142" s="74" t="n"/>
      <c r="T1142" s="74" t="n"/>
      <c r="U1142" s="74" t="n"/>
      <c r="V1142" s="74" t="n"/>
      <c r="W1142" s="74" t="n"/>
    </row>
    <row r="1143">
      <c r="A1143" s="74" t="n"/>
      <c r="B1143" s="74" t="n"/>
      <c r="C1143" s="74" t="n"/>
      <c r="D1143" s="74" t="n"/>
      <c r="E1143" s="74" t="n"/>
      <c r="F1143" s="74" t="n"/>
      <c r="G1143" s="74" t="n"/>
      <c r="H1143" s="74" t="n"/>
      <c r="I1143" s="74" t="n"/>
      <c r="J1143" s="74" t="n"/>
      <c r="K1143" s="74" t="n"/>
      <c r="L1143" s="74" t="n"/>
      <c r="M1143" s="74" t="n"/>
      <c r="N1143" s="74" t="n"/>
      <c r="O1143" s="74" t="n"/>
      <c r="P1143" s="74" t="n"/>
      <c r="Q1143" s="74" t="n"/>
      <c r="R1143" s="74" t="n"/>
      <c r="S1143" s="74" t="n"/>
      <c r="T1143" s="74" t="n"/>
      <c r="U1143" s="74" t="n"/>
      <c r="V1143" s="74" t="n"/>
      <c r="W1143" s="74" t="n"/>
    </row>
    <row r="1144">
      <c r="A1144" s="74" t="n"/>
      <c r="B1144" s="74" t="n"/>
      <c r="C1144" s="74" t="n"/>
      <c r="D1144" s="74" t="n"/>
      <c r="E1144" s="74" t="n"/>
      <c r="F1144" s="74" t="n"/>
      <c r="G1144" s="74" t="n"/>
      <c r="H1144" s="74" t="n"/>
      <c r="I1144" s="74" t="n"/>
      <c r="J1144" s="74" t="n"/>
      <c r="K1144" s="74" t="n"/>
      <c r="L1144" s="74" t="n"/>
      <c r="M1144" s="74" t="n"/>
      <c r="N1144" s="74" t="n"/>
      <c r="O1144" s="74" t="n"/>
      <c r="P1144" s="74" t="n"/>
      <c r="Q1144" s="74" t="n"/>
      <c r="R1144" s="74" t="n"/>
      <c r="S1144" s="74" t="n"/>
      <c r="T1144" s="74" t="n"/>
      <c r="U1144" s="74" t="n"/>
      <c r="V1144" s="74" t="n"/>
      <c r="W1144" s="74" t="n"/>
    </row>
    <row r="1145">
      <c r="A1145" s="74" t="n"/>
      <c r="B1145" s="74" t="n"/>
      <c r="C1145" s="74" t="n"/>
      <c r="D1145" s="74" t="n"/>
      <c r="E1145" s="74" t="n"/>
      <c r="F1145" s="74" t="n"/>
      <c r="G1145" s="74" t="n"/>
      <c r="H1145" s="74" t="n"/>
      <c r="I1145" s="74" t="n"/>
      <c r="J1145" s="74" t="n"/>
      <c r="K1145" s="74" t="n"/>
      <c r="L1145" s="74" t="n"/>
      <c r="M1145" s="74" t="n"/>
      <c r="N1145" s="74" t="n"/>
      <c r="O1145" s="74" t="n"/>
      <c r="P1145" s="74" t="n"/>
      <c r="Q1145" s="74" t="n"/>
      <c r="R1145" s="74" t="n"/>
      <c r="S1145" s="74" t="n"/>
      <c r="T1145" s="74" t="n"/>
      <c r="U1145" s="74" t="n"/>
      <c r="V1145" s="74" t="n"/>
      <c r="W1145" s="74" t="n"/>
    </row>
    <row r="1146">
      <c r="A1146" s="74" t="n"/>
      <c r="B1146" s="74" t="n"/>
      <c r="C1146" s="74" t="n"/>
      <c r="D1146" s="74" t="n"/>
      <c r="E1146" s="74" t="n"/>
      <c r="F1146" s="74" t="n"/>
      <c r="G1146" s="74" t="n"/>
      <c r="H1146" s="74" t="n"/>
      <c r="I1146" s="74" t="n"/>
      <c r="J1146" s="74" t="n"/>
      <c r="K1146" s="74" t="n"/>
      <c r="L1146" s="74" t="n"/>
      <c r="M1146" s="74" t="n"/>
      <c r="N1146" s="74" t="n"/>
      <c r="O1146" s="74" t="n"/>
      <c r="P1146" s="74" t="n"/>
      <c r="Q1146" s="74" t="n"/>
      <c r="R1146" s="74" t="n"/>
      <c r="S1146" s="74" t="n"/>
      <c r="T1146" s="74" t="n"/>
      <c r="U1146" s="74" t="n"/>
      <c r="V1146" s="74" t="n"/>
      <c r="W1146" s="74" t="n"/>
    </row>
    <row r="1147">
      <c r="A1147" s="74" t="n"/>
      <c r="B1147" s="74" t="n"/>
      <c r="C1147" s="74" t="n"/>
      <c r="D1147" s="74" t="n"/>
      <c r="E1147" s="74" t="n"/>
      <c r="F1147" s="74" t="n"/>
      <c r="G1147" s="74" t="n"/>
      <c r="H1147" s="74" t="n"/>
      <c r="I1147" s="74" t="n"/>
      <c r="J1147" s="74" t="n"/>
      <c r="K1147" s="74" t="n"/>
      <c r="L1147" s="74" t="n"/>
      <c r="M1147" s="74" t="n"/>
      <c r="N1147" s="74" t="n"/>
      <c r="O1147" s="74" t="n"/>
      <c r="P1147" s="74" t="n"/>
      <c r="Q1147" s="74" t="n"/>
      <c r="R1147" s="74" t="n"/>
      <c r="S1147" s="74" t="n"/>
      <c r="T1147" s="74" t="n"/>
      <c r="U1147" s="74" t="n"/>
      <c r="V1147" s="74" t="n"/>
      <c r="W1147" s="74" t="n"/>
    </row>
    <row r="1148">
      <c r="A1148" s="74" t="n"/>
      <c r="B1148" s="74" t="n"/>
      <c r="C1148" s="74" t="n"/>
      <c r="D1148" s="74" t="n"/>
      <c r="E1148" s="74" t="n"/>
      <c r="F1148" s="74" t="n"/>
      <c r="G1148" s="74" t="n"/>
      <c r="H1148" s="74" t="n"/>
      <c r="I1148" s="74" t="n"/>
      <c r="J1148" s="74" t="n"/>
      <c r="K1148" s="74" t="n"/>
      <c r="L1148" s="74" t="n"/>
      <c r="M1148" s="74" t="n"/>
      <c r="N1148" s="74" t="n"/>
      <c r="O1148" s="74" t="n"/>
      <c r="P1148" s="74" t="n"/>
      <c r="Q1148" s="74" t="n"/>
      <c r="R1148" s="74" t="n"/>
      <c r="S1148" s="74" t="n"/>
      <c r="T1148" s="74" t="n"/>
      <c r="U1148" s="74" t="n"/>
      <c r="V1148" s="74" t="n"/>
      <c r="W1148" s="74" t="n"/>
    </row>
    <row r="1149">
      <c r="A1149" s="74" t="n"/>
      <c r="B1149" s="74" t="n"/>
      <c r="C1149" s="74" t="n"/>
      <c r="D1149" s="74" t="n"/>
      <c r="E1149" s="74" t="n"/>
      <c r="F1149" s="74" t="n"/>
      <c r="G1149" s="74" t="n"/>
      <c r="H1149" s="74" t="n"/>
      <c r="I1149" s="74" t="n"/>
      <c r="J1149" s="74" t="n"/>
      <c r="K1149" s="74" t="n"/>
      <c r="L1149" s="74" t="n"/>
      <c r="M1149" s="74" t="n"/>
      <c r="N1149" s="74" t="n"/>
      <c r="O1149" s="74" t="n"/>
      <c r="P1149" s="74" t="n"/>
      <c r="Q1149" s="74" t="n"/>
      <c r="R1149" s="74" t="n"/>
      <c r="S1149" s="74" t="n"/>
      <c r="T1149" s="74" t="n"/>
      <c r="U1149" s="74" t="n"/>
      <c r="V1149" s="74" t="n"/>
      <c r="W1149" s="74" t="n"/>
    </row>
    <row r="1150">
      <c r="A1150" s="74" t="n"/>
      <c r="B1150" s="74" t="n"/>
      <c r="C1150" s="74" t="n"/>
      <c r="D1150" s="74" t="n"/>
      <c r="E1150" s="74" t="n"/>
      <c r="F1150" s="74" t="n"/>
      <c r="G1150" s="74" t="n"/>
      <c r="H1150" s="74" t="n"/>
      <c r="I1150" s="74" t="n"/>
      <c r="J1150" s="74" t="n"/>
      <c r="K1150" s="74" t="n"/>
      <c r="L1150" s="74" t="n"/>
      <c r="M1150" s="74" t="n"/>
      <c r="N1150" s="74" t="n"/>
      <c r="O1150" s="74" t="n"/>
      <c r="P1150" s="74" t="n"/>
      <c r="Q1150" s="74" t="n"/>
      <c r="R1150" s="74" t="n"/>
      <c r="S1150" s="74" t="n"/>
      <c r="T1150" s="74" t="n"/>
      <c r="U1150" s="74" t="n"/>
      <c r="V1150" s="74" t="n"/>
      <c r="W1150" s="74" t="n"/>
    </row>
    <row r="1151">
      <c r="A1151" s="74" t="n"/>
      <c r="B1151" s="74" t="n"/>
      <c r="C1151" s="74" t="n"/>
      <c r="D1151" s="74" t="n"/>
      <c r="E1151" s="74" t="n"/>
      <c r="F1151" s="74" t="n"/>
      <c r="G1151" s="74" t="n"/>
      <c r="H1151" s="74" t="n"/>
      <c r="I1151" s="74" t="n"/>
      <c r="J1151" s="74" t="n"/>
      <c r="K1151" s="74" t="n"/>
      <c r="L1151" s="74" t="n"/>
      <c r="M1151" s="74" t="n"/>
      <c r="N1151" s="74" t="n"/>
      <c r="O1151" s="74" t="n"/>
      <c r="P1151" s="74" t="n"/>
      <c r="Q1151" s="74" t="n"/>
      <c r="R1151" s="74" t="n"/>
      <c r="S1151" s="74" t="n"/>
      <c r="T1151" s="74" t="n"/>
      <c r="U1151" s="74" t="n"/>
      <c r="V1151" s="74" t="n"/>
      <c r="W1151" s="74" t="n"/>
    </row>
    <row r="1152">
      <c r="A1152" s="74" t="n"/>
      <c r="B1152" s="74" t="n"/>
      <c r="C1152" s="74" t="n"/>
      <c r="D1152" s="74" t="n"/>
      <c r="E1152" s="74" t="n"/>
      <c r="F1152" s="74" t="n"/>
      <c r="G1152" s="74" t="n"/>
      <c r="H1152" s="74" t="n"/>
      <c r="I1152" s="74" t="n"/>
      <c r="J1152" s="74" t="n"/>
      <c r="K1152" s="74" t="n"/>
      <c r="L1152" s="74" t="n"/>
      <c r="M1152" s="74" t="n"/>
      <c r="N1152" s="74" t="n"/>
      <c r="O1152" s="74" t="n"/>
      <c r="P1152" s="74" t="n"/>
      <c r="Q1152" s="74" t="n"/>
      <c r="R1152" s="74" t="n"/>
      <c r="S1152" s="74" t="n"/>
      <c r="T1152" s="74" t="n"/>
      <c r="U1152" s="74" t="n"/>
      <c r="V1152" s="74" t="n"/>
      <c r="W1152" s="74" t="n"/>
    </row>
    <row r="1153">
      <c r="A1153" s="74" t="n"/>
      <c r="B1153" s="74" t="n"/>
      <c r="C1153" s="74" t="n"/>
      <c r="D1153" s="74" t="n"/>
      <c r="E1153" s="74" t="n"/>
      <c r="F1153" s="74" t="n"/>
      <c r="G1153" s="74" t="n"/>
      <c r="H1153" s="74" t="n"/>
      <c r="I1153" s="74" t="n"/>
      <c r="J1153" s="74" t="n"/>
      <c r="K1153" s="74" t="n"/>
      <c r="L1153" s="74" t="n"/>
      <c r="M1153" s="74" t="n"/>
      <c r="N1153" s="74" t="n"/>
      <c r="O1153" s="74" t="n"/>
      <c r="P1153" s="74" t="n"/>
      <c r="Q1153" s="74" t="n"/>
      <c r="R1153" s="74" t="n"/>
      <c r="S1153" s="74" t="n"/>
      <c r="T1153" s="74" t="n"/>
      <c r="U1153" s="74" t="n"/>
      <c r="V1153" s="74" t="n"/>
      <c r="W1153" s="74" t="n"/>
    </row>
    <row r="1154">
      <c r="A1154" s="74" t="n"/>
      <c r="B1154" s="74" t="n"/>
      <c r="C1154" s="74" t="n"/>
      <c r="D1154" s="74" t="n"/>
      <c r="E1154" s="74" t="n"/>
      <c r="F1154" s="74" t="n"/>
      <c r="G1154" s="74" t="n"/>
      <c r="H1154" s="74" t="n"/>
      <c r="I1154" s="74" t="n"/>
      <c r="J1154" s="74" t="n"/>
      <c r="K1154" s="74" t="n"/>
      <c r="L1154" s="74" t="n"/>
      <c r="M1154" s="74" t="n"/>
      <c r="N1154" s="74" t="n"/>
      <c r="O1154" s="74" t="n"/>
      <c r="P1154" s="74" t="n"/>
      <c r="Q1154" s="74" t="n"/>
      <c r="R1154" s="74" t="n"/>
      <c r="S1154" s="74" t="n"/>
      <c r="T1154" s="74" t="n"/>
      <c r="U1154" s="74" t="n"/>
      <c r="V1154" s="74" t="n"/>
      <c r="W1154" s="74" t="n"/>
    </row>
    <row r="1155">
      <c r="A1155" s="74" t="n"/>
      <c r="B1155" s="74" t="n"/>
      <c r="C1155" s="74" t="n"/>
      <c r="D1155" s="74" t="n"/>
      <c r="E1155" s="74" t="n"/>
      <c r="F1155" s="74" t="n"/>
      <c r="G1155" s="74" t="n"/>
      <c r="H1155" s="74" t="n"/>
      <c r="I1155" s="74" t="n"/>
      <c r="J1155" s="74" t="n"/>
      <c r="K1155" s="74" t="n"/>
      <c r="L1155" s="74" t="n"/>
      <c r="M1155" s="74" t="n"/>
      <c r="N1155" s="74" t="n"/>
      <c r="O1155" s="74" t="n"/>
      <c r="P1155" s="74" t="n"/>
      <c r="Q1155" s="74" t="n"/>
      <c r="R1155" s="74" t="n"/>
      <c r="S1155" s="74" t="n"/>
      <c r="T1155" s="74" t="n"/>
      <c r="U1155" s="74" t="n"/>
      <c r="V1155" s="74" t="n"/>
      <c r="W1155" s="74" t="n"/>
    </row>
    <row r="1156">
      <c r="A1156" s="74" t="n"/>
      <c r="B1156" s="74" t="n"/>
      <c r="C1156" s="74" t="n"/>
      <c r="D1156" s="74" t="n"/>
      <c r="E1156" s="74" t="n"/>
      <c r="F1156" s="74" t="n"/>
      <c r="G1156" s="74" t="n"/>
      <c r="H1156" s="74" t="n"/>
      <c r="I1156" s="74" t="n"/>
      <c r="J1156" s="74" t="n"/>
      <c r="K1156" s="74" t="n"/>
      <c r="L1156" s="74" t="n"/>
      <c r="M1156" s="74" t="n"/>
      <c r="N1156" s="74" t="n"/>
      <c r="O1156" s="74" t="n"/>
      <c r="P1156" s="74" t="n"/>
      <c r="Q1156" s="74" t="n"/>
      <c r="R1156" s="74" t="n"/>
      <c r="S1156" s="74" t="n"/>
      <c r="T1156" s="74" t="n"/>
      <c r="U1156" s="74" t="n"/>
      <c r="V1156" s="74" t="n"/>
      <c r="W1156" s="74" t="n"/>
    </row>
    <row r="1157">
      <c r="A1157" s="74" t="n"/>
      <c r="B1157" s="74" t="n"/>
      <c r="C1157" s="74" t="n"/>
      <c r="D1157" s="74" t="n"/>
      <c r="E1157" s="74" t="n"/>
      <c r="F1157" s="74" t="n"/>
      <c r="G1157" s="74" t="n"/>
      <c r="H1157" s="74" t="n"/>
      <c r="I1157" s="74" t="n"/>
      <c r="J1157" s="74" t="n"/>
      <c r="K1157" s="74" t="n"/>
      <c r="L1157" s="74" t="n"/>
      <c r="M1157" s="74" t="n"/>
      <c r="N1157" s="74" t="n"/>
      <c r="O1157" s="74" t="n"/>
      <c r="P1157" s="74" t="n"/>
      <c r="Q1157" s="74" t="n"/>
      <c r="R1157" s="74" t="n"/>
      <c r="S1157" s="74" t="n"/>
      <c r="T1157" s="74" t="n"/>
      <c r="U1157" s="74" t="n"/>
      <c r="V1157" s="74" t="n"/>
      <c r="W1157" s="74" t="n"/>
    </row>
    <row r="1158">
      <c r="A1158" s="74" t="n"/>
      <c r="B1158" s="74" t="n"/>
      <c r="C1158" s="74" t="n"/>
      <c r="D1158" s="74" t="n"/>
      <c r="E1158" s="74" t="n"/>
      <c r="F1158" s="74" t="n"/>
      <c r="G1158" s="74" t="n"/>
      <c r="H1158" s="74" t="n"/>
      <c r="I1158" s="74" t="n"/>
      <c r="J1158" s="74" t="n"/>
      <c r="K1158" s="74" t="n"/>
      <c r="L1158" s="74" t="n"/>
      <c r="M1158" s="74" t="n"/>
      <c r="N1158" s="74" t="n"/>
      <c r="O1158" s="74" t="n"/>
      <c r="P1158" s="74" t="n"/>
      <c r="Q1158" s="74" t="n"/>
      <c r="R1158" s="74" t="n"/>
      <c r="S1158" s="74" t="n"/>
      <c r="T1158" s="74" t="n"/>
      <c r="U1158" s="74" t="n"/>
      <c r="V1158" s="74" t="n"/>
      <c r="W1158" s="74" t="n"/>
    </row>
    <row r="1159">
      <c r="A1159" s="74" t="n"/>
      <c r="B1159" s="74" t="n"/>
      <c r="C1159" s="74" t="n"/>
      <c r="D1159" s="74" t="n"/>
      <c r="E1159" s="74" t="n"/>
      <c r="F1159" s="74" t="n"/>
      <c r="G1159" s="74" t="n"/>
      <c r="H1159" s="74" t="n"/>
      <c r="I1159" s="74" t="n"/>
      <c r="J1159" s="74" t="n"/>
      <c r="K1159" s="74" t="n"/>
      <c r="L1159" s="74" t="n"/>
      <c r="M1159" s="74" t="n"/>
      <c r="N1159" s="74" t="n"/>
      <c r="O1159" s="74" t="n"/>
      <c r="P1159" s="74" t="n"/>
      <c r="Q1159" s="74" t="n"/>
      <c r="R1159" s="74" t="n"/>
      <c r="S1159" s="74" t="n"/>
      <c r="T1159" s="74" t="n"/>
      <c r="U1159" s="74" t="n"/>
      <c r="V1159" s="74" t="n"/>
      <c r="W1159" s="74" t="n"/>
    </row>
    <row r="1160">
      <c r="A1160" s="74" t="n"/>
      <c r="B1160" s="74" t="n"/>
      <c r="C1160" s="74" t="n"/>
      <c r="D1160" s="74" t="n"/>
      <c r="E1160" s="74" t="n"/>
      <c r="F1160" s="74" t="n"/>
      <c r="G1160" s="74" t="n"/>
      <c r="H1160" s="74" t="n"/>
      <c r="I1160" s="74" t="n"/>
      <c r="J1160" s="74" t="n"/>
      <c r="K1160" s="74" t="n"/>
      <c r="L1160" s="74" t="n"/>
      <c r="M1160" s="74" t="n"/>
      <c r="N1160" s="74" t="n"/>
      <c r="O1160" s="74" t="n"/>
      <c r="P1160" s="74" t="n"/>
      <c r="Q1160" s="74" t="n"/>
      <c r="R1160" s="74" t="n"/>
      <c r="S1160" s="74" t="n"/>
      <c r="T1160" s="74" t="n"/>
      <c r="U1160" s="74" t="n"/>
      <c r="V1160" s="74" t="n"/>
      <c r="W1160" s="74" t="n"/>
    </row>
    <row r="1161">
      <c r="A1161" s="74" t="n"/>
      <c r="B1161" s="74" t="n"/>
      <c r="C1161" s="74" t="n"/>
      <c r="D1161" s="74" t="n"/>
      <c r="E1161" s="74" t="n"/>
      <c r="F1161" s="74" t="n"/>
      <c r="G1161" s="74" t="n"/>
      <c r="H1161" s="74" t="n"/>
      <c r="I1161" s="74" t="n"/>
      <c r="J1161" s="74" t="n"/>
      <c r="K1161" s="74" t="n"/>
      <c r="L1161" s="74" t="n"/>
      <c r="M1161" s="74" t="n"/>
      <c r="N1161" s="74" t="n"/>
      <c r="O1161" s="74" t="n"/>
      <c r="P1161" s="74" t="n"/>
      <c r="Q1161" s="74" t="n"/>
      <c r="R1161" s="74" t="n"/>
      <c r="S1161" s="74" t="n"/>
      <c r="T1161" s="74" t="n"/>
      <c r="U1161" s="74" t="n"/>
      <c r="V1161" s="74" t="n"/>
      <c r="W1161" s="74" t="n"/>
    </row>
    <row r="1162">
      <c r="A1162" s="74" t="n"/>
      <c r="B1162" s="74" t="n"/>
      <c r="C1162" s="74" t="n"/>
      <c r="D1162" s="74" t="n"/>
      <c r="E1162" s="74" t="n"/>
      <c r="F1162" s="74" t="n"/>
      <c r="G1162" s="74" t="n"/>
      <c r="H1162" s="74" t="n"/>
      <c r="I1162" s="74" t="n"/>
      <c r="J1162" s="74" t="n"/>
      <c r="K1162" s="74" t="n"/>
      <c r="L1162" s="74" t="n"/>
      <c r="M1162" s="74" t="n"/>
      <c r="N1162" s="74" t="n"/>
      <c r="O1162" s="74" t="n"/>
      <c r="P1162" s="74" t="n"/>
      <c r="Q1162" s="74" t="n"/>
      <c r="R1162" s="74" t="n"/>
      <c r="S1162" s="74" t="n"/>
      <c r="T1162" s="74" t="n"/>
      <c r="U1162" s="74" t="n"/>
      <c r="V1162" s="74" t="n"/>
      <c r="W1162" s="74" t="n"/>
    </row>
    <row r="1163">
      <c r="A1163" s="74" t="n"/>
      <c r="B1163" s="74" t="n"/>
      <c r="C1163" s="74" t="n"/>
      <c r="D1163" s="74" t="n"/>
      <c r="E1163" s="74" t="n"/>
      <c r="F1163" s="74" t="n"/>
      <c r="G1163" s="74" t="n"/>
      <c r="H1163" s="74" t="n"/>
      <c r="I1163" s="74" t="n"/>
      <c r="J1163" s="74" t="n"/>
      <c r="K1163" s="74" t="n"/>
      <c r="L1163" s="74" t="n"/>
      <c r="M1163" s="74" t="n"/>
      <c r="N1163" s="74" t="n"/>
      <c r="O1163" s="74" t="n"/>
      <c r="P1163" s="74" t="n"/>
      <c r="Q1163" s="74" t="n"/>
      <c r="R1163" s="74" t="n"/>
      <c r="S1163" s="74" t="n"/>
      <c r="T1163" s="74" t="n"/>
      <c r="U1163" s="74" t="n"/>
      <c r="V1163" s="74" t="n"/>
      <c r="W1163" s="74" t="n"/>
    </row>
    <row r="1164">
      <c r="A1164" s="74" t="n"/>
      <c r="B1164" s="74" t="n"/>
      <c r="C1164" s="74" t="n"/>
      <c r="D1164" s="74" t="n"/>
      <c r="E1164" s="74" t="n"/>
      <c r="F1164" s="74" t="n"/>
      <c r="G1164" s="74" t="n"/>
      <c r="H1164" s="74" t="n"/>
      <c r="I1164" s="74" t="n"/>
      <c r="J1164" s="74" t="n"/>
      <c r="K1164" s="74" t="n"/>
      <c r="L1164" s="74" t="n"/>
      <c r="M1164" s="74" t="n"/>
      <c r="N1164" s="74" t="n"/>
      <c r="O1164" s="74" t="n"/>
      <c r="P1164" s="74" t="n"/>
      <c r="Q1164" s="74" t="n"/>
      <c r="R1164" s="74" t="n"/>
      <c r="S1164" s="74" t="n"/>
      <c r="T1164" s="74" t="n"/>
      <c r="U1164" s="74" t="n"/>
      <c r="V1164" s="74" t="n"/>
      <c r="W1164" s="74" t="n"/>
    </row>
    <row r="1165">
      <c r="A1165" s="74" t="n"/>
      <c r="B1165" s="74" t="n"/>
      <c r="C1165" s="74" t="n"/>
      <c r="D1165" s="74" t="n"/>
      <c r="E1165" s="74" t="n"/>
      <c r="F1165" s="74" t="n"/>
      <c r="G1165" s="74" t="n"/>
      <c r="H1165" s="74" t="n"/>
      <c r="I1165" s="74" t="n"/>
      <c r="J1165" s="74" t="n"/>
      <c r="K1165" s="74" t="n"/>
      <c r="L1165" s="74" t="n"/>
      <c r="M1165" s="74" t="n"/>
      <c r="N1165" s="74" t="n"/>
      <c r="O1165" s="74" t="n"/>
      <c r="P1165" s="74" t="n"/>
      <c r="Q1165" s="74" t="n"/>
      <c r="R1165" s="74" t="n"/>
      <c r="S1165" s="74" t="n"/>
      <c r="T1165" s="74" t="n"/>
      <c r="U1165" s="74" t="n"/>
      <c r="V1165" s="74" t="n"/>
      <c r="W1165" s="74" t="n"/>
    </row>
    <row r="1166">
      <c r="A1166" s="74" t="n"/>
      <c r="B1166" s="74" t="n"/>
      <c r="C1166" s="74" t="n"/>
      <c r="D1166" s="74" t="n"/>
      <c r="E1166" s="74" t="n"/>
      <c r="F1166" s="74" t="n"/>
      <c r="G1166" s="74" t="n"/>
      <c r="H1166" s="74" t="n"/>
      <c r="I1166" s="74" t="n"/>
      <c r="J1166" s="74" t="n"/>
      <c r="K1166" s="74" t="n"/>
      <c r="L1166" s="74" t="n"/>
      <c r="M1166" s="74" t="n"/>
      <c r="N1166" s="74" t="n"/>
      <c r="O1166" s="74" t="n"/>
      <c r="P1166" s="74" t="n"/>
      <c r="Q1166" s="74" t="n"/>
      <c r="R1166" s="74" t="n"/>
      <c r="S1166" s="74" t="n"/>
      <c r="T1166" s="74" t="n"/>
      <c r="U1166" s="74" t="n"/>
      <c r="V1166" s="74" t="n"/>
      <c r="W1166" s="74" t="n"/>
    </row>
    <row r="1167">
      <c r="A1167" s="74" t="n"/>
      <c r="B1167" s="74" t="n"/>
      <c r="C1167" s="74" t="n"/>
      <c r="D1167" s="74" t="n"/>
      <c r="E1167" s="74" t="n"/>
      <c r="F1167" s="74" t="n"/>
      <c r="G1167" s="74" t="n"/>
      <c r="H1167" s="74" t="n"/>
      <c r="I1167" s="74" t="n"/>
      <c r="J1167" s="74" t="n"/>
      <c r="K1167" s="74" t="n"/>
      <c r="L1167" s="74" t="n"/>
      <c r="M1167" s="74" t="n"/>
      <c r="N1167" s="74" t="n"/>
      <c r="O1167" s="74" t="n"/>
      <c r="P1167" s="74" t="n"/>
      <c r="Q1167" s="74" t="n"/>
      <c r="R1167" s="74" t="n"/>
      <c r="S1167" s="74" t="n"/>
      <c r="T1167" s="74" t="n"/>
      <c r="U1167" s="74" t="n"/>
      <c r="V1167" s="74" t="n"/>
      <c r="W1167" s="74" t="n"/>
    </row>
    <row r="1168">
      <c r="A1168" s="74" t="n"/>
      <c r="B1168" s="74" t="n"/>
      <c r="C1168" s="74" t="n"/>
      <c r="D1168" s="74" t="n"/>
      <c r="E1168" s="74" t="n"/>
      <c r="F1168" s="74" t="n"/>
      <c r="G1168" s="74" t="n"/>
      <c r="H1168" s="74" t="n"/>
      <c r="I1168" s="74" t="n"/>
      <c r="J1168" s="74" t="n"/>
      <c r="K1168" s="74" t="n"/>
      <c r="L1168" s="74" t="n"/>
      <c r="M1168" s="74" t="n"/>
      <c r="N1168" s="74" t="n"/>
      <c r="O1168" s="74" t="n"/>
      <c r="P1168" s="74" t="n"/>
      <c r="Q1168" s="74" t="n"/>
      <c r="R1168" s="74" t="n"/>
      <c r="S1168" s="74" t="n"/>
      <c r="T1168" s="74" t="n"/>
      <c r="U1168" s="74" t="n"/>
      <c r="V1168" s="74" t="n"/>
      <c r="W1168" s="74" t="n"/>
    </row>
    <row r="1169">
      <c r="A1169" s="74" t="n"/>
      <c r="B1169" s="74" t="n"/>
      <c r="C1169" s="74" t="n"/>
      <c r="D1169" s="74" t="n"/>
      <c r="E1169" s="74" t="n"/>
      <c r="F1169" s="74" t="n"/>
      <c r="G1169" s="74" t="n"/>
      <c r="H1169" s="74" t="n"/>
      <c r="I1169" s="74" t="n"/>
      <c r="J1169" s="74" t="n"/>
      <c r="K1169" s="74" t="n"/>
      <c r="L1169" s="74" t="n"/>
      <c r="M1169" s="74" t="n"/>
      <c r="N1169" s="74" t="n"/>
      <c r="O1169" s="74" t="n"/>
      <c r="P1169" s="74" t="n"/>
      <c r="Q1169" s="74" t="n"/>
      <c r="R1169" s="74" t="n"/>
      <c r="S1169" s="74" t="n"/>
      <c r="T1169" s="74" t="n"/>
      <c r="U1169" s="74" t="n"/>
      <c r="V1169" s="74" t="n"/>
      <c r="W1169" s="74" t="n"/>
    </row>
    <row r="1170">
      <c r="A1170" s="74" t="n"/>
      <c r="B1170" s="74" t="n"/>
      <c r="C1170" s="74" t="n"/>
      <c r="D1170" s="74" t="n"/>
      <c r="E1170" s="74" t="n"/>
      <c r="F1170" s="74" t="n"/>
      <c r="G1170" s="74" t="n"/>
      <c r="H1170" s="74" t="n"/>
      <c r="I1170" s="74" t="n"/>
      <c r="J1170" s="74" t="n"/>
      <c r="K1170" s="74" t="n"/>
      <c r="L1170" s="74" t="n"/>
      <c r="M1170" s="74" t="n"/>
      <c r="N1170" s="74" t="n"/>
      <c r="O1170" s="74" t="n"/>
      <c r="P1170" s="74" t="n"/>
      <c r="Q1170" s="74" t="n"/>
      <c r="R1170" s="74" t="n"/>
      <c r="S1170" s="74" t="n"/>
      <c r="T1170" s="74" t="n"/>
      <c r="U1170" s="74" t="n"/>
      <c r="V1170" s="74" t="n"/>
      <c r="W1170" s="74" t="n"/>
    </row>
    <row r="1171">
      <c r="A1171" s="74" t="n"/>
      <c r="B1171" s="74" t="n"/>
      <c r="C1171" s="74" t="n"/>
      <c r="D1171" s="74" t="n"/>
      <c r="E1171" s="74" t="n"/>
      <c r="F1171" s="74" t="n"/>
      <c r="G1171" s="74" t="n"/>
      <c r="H1171" s="74" t="n"/>
      <c r="I1171" s="74" t="n"/>
      <c r="J1171" s="74" t="n"/>
      <c r="K1171" s="74" t="n"/>
      <c r="L1171" s="74" t="n"/>
      <c r="M1171" s="74" t="n"/>
      <c r="N1171" s="74" t="n"/>
      <c r="O1171" s="74" t="n"/>
      <c r="P1171" s="74" t="n"/>
      <c r="Q1171" s="74" t="n"/>
      <c r="R1171" s="74" t="n"/>
      <c r="S1171" s="74" t="n"/>
      <c r="T1171" s="74" t="n"/>
      <c r="U1171" s="74" t="n"/>
      <c r="V1171" s="74" t="n"/>
      <c r="W1171" s="74" t="n"/>
    </row>
    <row r="1172">
      <c r="A1172" s="74" t="n"/>
      <c r="B1172" s="74" t="n"/>
      <c r="C1172" s="74" t="n"/>
      <c r="D1172" s="74" t="n"/>
      <c r="E1172" s="74" t="n"/>
      <c r="F1172" s="74" t="n"/>
      <c r="G1172" s="74" t="n"/>
      <c r="H1172" s="74" t="n"/>
      <c r="I1172" s="74" t="n"/>
      <c r="J1172" s="74" t="n"/>
      <c r="K1172" s="74" t="n"/>
      <c r="L1172" s="74" t="n"/>
      <c r="M1172" s="74" t="n"/>
      <c r="N1172" s="74" t="n"/>
      <c r="O1172" s="74" t="n"/>
      <c r="P1172" s="74" t="n"/>
      <c r="Q1172" s="74" t="n"/>
      <c r="R1172" s="74" t="n"/>
      <c r="S1172" s="74" t="n"/>
      <c r="T1172" s="74" t="n"/>
      <c r="U1172" s="74" t="n"/>
      <c r="V1172" s="74" t="n"/>
      <c r="W1172" s="74" t="n"/>
    </row>
    <row r="1173">
      <c r="A1173" s="74" t="n"/>
      <c r="B1173" s="74" t="n"/>
      <c r="C1173" s="74" t="n"/>
      <c r="D1173" s="74" t="n"/>
      <c r="E1173" s="74" t="n"/>
      <c r="F1173" s="74" t="n"/>
      <c r="G1173" s="74" t="n"/>
      <c r="H1173" s="74" t="n"/>
      <c r="I1173" s="74" t="n"/>
      <c r="J1173" s="74" t="n"/>
      <c r="K1173" s="74" t="n"/>
      <c r="L1173" s="74" t="n"/>
      <c r="M1173" s="74" t="n"/>
      <c r="N1173" s="74" t="n"/>
      <c r="O1173" s="74" t="n"/>
      <c r="P1173" s="74" t="n"/>
      <c r="Q1173" s="74" t="n"/>
      <c r="R1173" s="74" t="n"/>
      <c r="S1173" s="74" t="n"/>
      <c r="T1173" s="74" t="n"/>
      <c r="U1173" s="74" t="n"/>
      <c r="V1173" s="74" t="n"/>
      <c r="W1173" s="74" t="n"/>
    </row>
    <row r="1174">
      <c r="A1174" s="74" t="n"/>
      <c r="B1174" s="74" t="n"/>
      <c r="C1174" s="74" t="n"/>
      <c r="D1174" s="74" t="n"/>
      <c r="E1174" s="74" t="n"/>
      <c r="F1174" s="74" t="n"/>
      <c r="G1174" s="74" t="n"/>
      <c r="H1174" s="74" t="n"/>
      <c r="I1174" s="74" t="n"/>
      <c r="J1174" s="74" t="n"/>
      <c r="K1174" s="74" t="n"/>
      <c r="L1174" s="74" t="n"/>
      <c r="M1174" s="74" t="n"/>
      <c r="N1174" s="74" t="n"/>
      <c r="O1174" s="74" t="n"/>
      <c r="P1174" s="74" t="n"/>
      <c r="Q1174" s="74" t="n"/>
      <c r="R1174" s="74" t="n"/>
      <c r="S1174" s="74" t="n"/>
      <c r="T1174" s="74" t="n"/>
      <c r="U1174" s="74" t="n"/>
      <c r="V1174" s="74" t="n"/>
      <c r="W1174" s="74" t="n"/>
    </row>
    <row r="1175">
      <c r="A1175" s="74" t="n"/>
      <c r="B1175" s="74" t="n"/>
      <c r="C1175" s="74" t="n"/>
      <c r="D1175" s="74" t="n"/>
      <c r="E1175" s="74" t="n"/>
      <c r="F1175" s="74" t="n"/>
      <c r="G1175" s="74" t="n"/>
      <c r="H1175" s="74" t="n"/>
      <c r="I1175" s="74" t="n"/>
      <c r="J1175" s="74" t="n"/>
      <c r="K1175" s="74" t="n"/>
      <c r="L1175" s="74" t="n"/>
      <c r="M1175" s="74" t="n"/>
      <c r="N1175" s="74" t="n"/>
      <c r="O1175" s="74" t="n"/>
      <c r="P1175" s="74" t="n"/>
      <c r="Q1175" s="74" t="n"/>
      <c r="R1175" s="74" t="n"/>
      <c r="S1175" s="74" t="n"/>
      <c r="T1175" s="74" t="n"/>
      <c r="U1175" s="74" t="n"/>
      <c r="V1175" s="74" t="n"/>
      <c r="W1175" s="74" t="n"/>
    </row>
    <row r="1176">
      <c r="A1176" s="74" t="n"/>
      <c r="B1176" s="74" t="n"/>
      <c r="C1176" s="74" t="n"/>
      <c r="D1176" s="74" t="n"/>
      <c r="E1176" s="74" t="n"/>
      <c r="F1176" s="74" t="n"/>
      <c r="G1176" s="74" t="n"/>
      <c r="H1176" s="74" t="n"/>
      <c r="I1176" s="74" t="n"/>
      <c r="J1176" s="74" t="n"/>
      <c r="K1176" s="74" t="n"/>
      <c r="L1176" s="74" t="n"/>
      <c r="M1176" s="74" t="n"/>
      <c r="N1176" s="74" t="n"/>
      <c r="O1176" s="74" t="n"/>
      <c r="P1176" s="74" t="n"/>
      <c r="Q1176" s="74" t="n"/>
      <c r="R1176" s="74" t="n"/>
      <c r="S1176" s="74" t="n"/>
      <c r="T1176" s="74" t="n"/>
      <c r="U1176" s="74" t="n"/>
      <c r="V1176" s="74" t="n"/>
      <c r="W1176" s="74" t="n"/>
    </row>
    <row r="1177">
      <c r="A1177" s="74" t="n"/>
      <c r="B1177" s="74" t="n"/>
      <c r="C1177" s="74" t="n"/>
      <c r="D1177" s="74" t="n"/>
      <c r="E1177" s="74" t="n"/>
      <c r="F1177" s="74" t="n"/>
      <c r="G1177" s="74" t="n"/>
      <c r="H1177" s="74" t="n"/>
      <c r="I1177" s="74" t="n"/>
      <c r="J1177" s="74" t="n"/>
      <c r="K1177" s="74" t="n"/>
      <c r="L1177" s="74" t="n"/>
      <c r="M1177" s="74" t="n"/>
      <c r="N1177" s="74" t="n"/>
      <c r="O1177" s="74" t="n"/>
      <c r="P1177" s="74" t="n"/>
      <c r="Q1177" s="74" t="n"/>
      <c r="R1177" s="74" t="n"/>
      <c r="S1177" s="74" t="n"/>
      <c r="T1177" s="74" t="n"/>
      <c r="U1177" s="74" t="n"/>
      <c r="V1177" s="74" t="n"/>
      <c r="W1177" s="74" t="n"/>
    </row>
    <row r="1178">
      <c r="A1178" s="74" t="n"/>
      <c r="B1178" s="74" t="n"/>
      <c r="C1178" s="74" t="n"/>
      <c r="D1178" s="74" t="n"/>
      <c r="E1178" s="74" t="n"/>
      <c r="F1178" s="74" t="n"/>
      <c r="G1178" s="74" t="n"/>
      <c r="H1178" s="74" t="n"/>
      <c r="I1178" s="74" t="n"/>
      <c r="J1178" s="74" t="n"/>
      <c r="K1178" s="74" t="n"/>
      <c r="L1178" s="74" t="n"/>
      <c r="M1178" s="74" t="n"/>
      <c r="N1178" s="74" t="n"/>
      <c r="O1178" s="74" t="n"/>
      <c r="P1178" s="74" t="n"/>
      <c r="Q1178" s="74" t="n"/>
      <c r="R1178" s="74" t="n"/>
      <c r="S1178" s="74" t="n"/>
      <c r="T1178" s="74" t="n"/>
      <c r="U1178" s="74" t="n"/>
      <c r="V1178" s="74" t="n"/>
      <c r="W1178" s="74" t="n"/>
    </row>
    <row r="1179">
      <c r="A1179" s="74" t="n"/>
      <c r="B1179" s="74" t="n"/>
      <c r="C1179" s="74" t="n"/>
      <c r="D1179" s="74" t="n"/>
      <c r="E1179" s="74" t="n"/>
      <c r="F1179" s="74" t="n"/>
      <c r="G1179" s="74" t="n"/>
      <c r="H1179" s="74" t="n"/>
      <c r="I1179" s="74" t="n"/>
      <c r="J1179" s="74" t="n"/>
      <c r="K1179" s="74" t="n"/>
      <c r="L1179" s="74" t="n"/>
      <c r="M1179" s="74" t="n"/>
      <c r="N1179" s="74" t="n"/>
      <c r="O1179" s="74" t="n"/>
      <c r="P1179" s="74" t="n"/>
      <c r="Q1179" s="74" t="n"/>
      <c r="R1179" s="74" t="n"/>
      <c r="S1179" s="74" t="n"/>
      <c r="T1179" s="74" t="n"/>
      <c r="U1179" s="74" t="n"/>
      <c r="V1179" s="74" t="n"/>
      <c r="W1179" s="74" t="n"/>
    </row>
    <row r="1180">
      <c r="A1180" s="74" t="n"/>
      <c r="B1180" s="74" t="n"/>
      <c r="C1180" s="74" t="n"/>
      <c r="D1180" s="74" t="n"/>
      <c r="E1180" s="74" t="n"/>
      <c r="F1180" s="74" t="n"/>
      <c r="G1180" s="74" t="n"/>
      <c r="H1180" s="74" t="n"/>
      <c r="I1180" s="74" t="n"/>
      <c r="J1180" s="74" t="n"/>
      <c r="K1180" s="74" t="n"/>
      <c r="L1180" s="74" t="n"/>
      <c r="M1180" s="74" t="n"/>
      <c r="N1180" s="74" t="n"/>
      <c r="O1180" s="74" t="n"/>
      <c r="P1180" s="74" t="n"/>
      <c r="Q1180" s="74" t="n"/>
      <c r="R1180" s="74" t="n"/>
      <c r="S1180" s="74" t="n"/>
      <c r="T1180" s="74" t="n"/>
      <c r="U1180" s="74" t="n"/>
      <c r="V1180" s="74" t="n"/>
      <c r="W1180" s="74" t="n"/>
    </row>
    <row r="1181">
      <c r="A1181" s="74" t="n"/>
      <c r="B1181" s="74" t="n"/>
      <c r="C1181" s="74" t="n"/>
      <c r="D1181" s="74" t="n"/>
      <c r="E1181" s="74" t="n"/>
      <c r="F1181" s="74" t="n"/>
      <c r="G1181" s="74" t="n"/>
      <c r="H1181" s="74" t="n"/>
      <c r="I1181" s="74" t="n"/>
      <c r="J1181" s="74" t="n"/>
      <c r="K1181" s="74" t="n"/>
      <c r="L1181" s="74" t="n"/>
      <c r="M1181" s="74" t="n"/>
      <c r="N1181" s="74" t="n"/>
      <c r="O1181" s="74" t="n"/>
      <c r="P1181" s="74" t="n"/>
      <c r="Q1181" s="74" t="n"/>
      <c r="R1181" s="74" t="n"/>
      <c r="S1181" s="74" t="n"/>
      <c r="T1181" s="74" t="n"/>
      <c r="U1181" s="74" t="n"/>
      <c r="V1181" s="74" t="n"/>
      <c r="W1181" s="74" t="n"/>
    </row>
    <row r="1182">
      <c r="A1182" s="74" t="n"/>
      <c r="B1182" s="74" t="n"/>
      <c r="C1182" s="74" t="n"/>
      <c r="D1182" s="74" t="n"/>
      <c r="E1182" s="74" t="n"/>
      <c r="F1182" s="74" t="n"/>
      <c r="G1182" s="74" t="n"/>
      <c r="H1182" s="74" t="n"/>
      <c r="I1182" s="74" t="n"/>
      <c r="J1182" s="74" t="n"/>
      <c r="K1182" s="74" t="n"/>
      <c r="L1182" s="74" t="n"/>
      <c r="M1182" s="74" t="n"/>
      <c r="N1182" s="74" t="n"/>
      <c r="O1182" s="74" t="n"/>
      <c r="P1182" s="74" t="n"/>
      <c r="Q1182" s="74" t="n"/>
      <c r="R1182" s="74" t="n"/>
      <c r="S1182" s="74" t="n"/>
      <c r="T1182" s="74" t="n"/>
      <c r="U1182" s="74" t="n"/>
      <c r="V1182" s="74" t="n"/>
      <c r="W1182" s="74" t="n"/>
    </row>
    <row r="1183">
      <c r="A1183" s="74" t="n"/>
      <c r="B1183" s="74" t="n"/>
      <c r="C1183" s="74" t="n"/>
      <c r="D1183" s="74" t="n"/>
      <c r="E1183" s="74" t="n"/>
      <c r="F1183" s="74" t="n"/>
      <c r="G1183" s="74" t="n"/>
      <c r="H1183" s="74" t="n"/>
      <c r="I1183" s="74" t="n"/>
      <c r="J1183" s="74" t="n"/>
      <c r="K1183" s="74" t="n"/>
      <c r="L1183" s="74" t="n"/>
      <c r="M1183" s="74" t="n"/>
      <c r="N1183" s="74" t="n"/>
      <c r="O1183" s="74" t="n"/>
      <c r="P1183" s="74" t="n"/>
      <c r="Q1183" s="74" t="n"/>
      <c r="R1183" s="74" t="n"/>
      <c r="S1183" s="74" t="n"/>
      <c r="T1183" s="74" t="n"/>
      <c r="U1183" s="74" t="n"/>
      <c r="V1183" s="74" t="n"/>
      <c r="W1183" s="74" t="n"/>
    </row>
    <row r="1184">
      <c r="A1184" s="74" t="n"/>
      <c r="B1184" s="74" t="n"/>
      <c r="C1184" s="74" t="n"/>
      <c r="D1184" s="74" t="n"/>
      <c r="E1184" s="74" t="n"/>
      <c r="F1184" s="74" t="n"/>
      <c r="G1184" s="74" t="n"/>
      <c r="H1184" s="74" t="n"/>
      <c r="I1184" s="74" t="n"/>
      <c r="J1184" s="74" t="n"/>
      <c r="K1184" s="74" t="n"/>
      <c r="L1184" s="74" t="n"/>
      <c r="M1184" s="74" t="n"/>
      <c r="N1184" s="74" t="n"/>
      <c r="O1184" s="74" t="n"/>
      <c r="P1184" s="74" t="n"/>
      <c r="Q1184" s="74" t="n"/>
      <c r="R1184" s="74" t="n"/>
      <c r="S1184" s="74" t="n"/>
      <c r="T1184" s="74" t="n"/>
      <c r="U1184" s="74" t="n"/>
      <c r="V1184" s="74" t="n"/>
      <c r="W1184" s="74" t="n"/>
    </row>
    <row r="1185">
      <c r="A1185" s="74" t="n"/>
      <c r="B1185" s="74" t="n"/>
      <c r="C1185" s="74" t="n"/>
      <c r="D1185" s="74" t="n"/>
      <c r="E1185" s="74" t="n"/>
      <c r="F1185" s="74" t="n"/>
      <c r="G1185" s="74" t="n"/>
      <c r="H1185" s="74" t="n"/>
      <c r="I1185" s="74" t="n"/>
      <c r="J1185" s="74" t="n"/>
      <c r="K1185" s="74" t="n"/>
      <c r="L1185" s="74" t="n"/>
      <c r="M1185" s="74" t="n"/>
      <c r="N1185" s="74" t="n"/>
      <c r="O1185" s="74" t="n"/>
      <c r="P1185" s="74" t="n"/>
      <c r="Q1185" s="74" t="n"/>
      <c r="R1185" s="74" t="n"/>
      <c r="S1185" s="74" t="n"/>
      <c r="T1185" s="74" t="n"/>
      <c r="U1185" s="74" t="n"/>
      <c r="V1185" s="74" t="n"/>
      <c r="W1185" s="74" t="n"/>
    </row>
    <row r="1186">
      <c r="A1186" s="74" t="n"/>
      <c r="B1186" s="74" t="n"/>
      <c r="C1186" s="74" t="n"/>
      <c r="D1186" s="74" t="n"/>
      <c r="E1186" s="74" t="n"/>
      <c r="F1186" s="74" t="n"/>
      <c r="G1186" s="74" t="n"/>
      <c r="H1186" s="74" t="n"/>
      <c r="I1186" s="74" t="n"/>
      <c r="J1186" s="74" t="n"/>
      <c r="K1186" s="74" t="n"/>
      <c r="L1186" s="74" t="n"/>
      <c r="M1186" s="74" t="n"/>
      <c r="N1186" s="74" t="n"/>
      <c r="O1186" s="74" t="n"/>
      <c r="P1186" s="74" t="n"/>
      <c r="Q1186" s="74" t="n"/>
      <c r="R1186" s="74" t="n"/>
      <c r="S1186" s="74" t="n"/>
      <c r="T1186" s="74" t="n"/>
      <c r="U1186" s="74" t="n"/>
      <c r="V1186" s="74" t="n"/>
      <c r="W1186" s="74" t="n"/>
    </row>
    <row r="1187">
      <c r="A1187" s="74" t="n"/>
      <c r="B1187" s="74" t="n"/>
      <c r="C1187" s="74" t="n"/>
      <c r="D1187" s="74" t="n"/>
      <c r="E1187" s="74" t="n"/>
      <c r="F1187" s="74" t="n"/>
      <c r="G1187" s="74" t="n"/>
      <c r="H1187" s="74" t="n"/>
      <c r="I1187" s="74" t="n"/>
      <c r="J1187" s="74" t="n"/>
      <c r="K1187" s="74" t="n"/>
      <c r="L1187" s="74" t="n"/>
      <c r="M1187" s="74" t="n"/>
      <c r="N1187" s="74" t="n"/>
      <c r="O1187" s="74" t="n"/>
      <c r="P1187" s="74" t="n"/>
      <c r="Q1187" s="74" t="n"/>
      <c r="R1187" s="74" t="n"/>
      <c r="S1187" s="74" t="n"/>
      <c r="T1187" s="74" t="n"/>
      <c r="U1187" s="74" t="n"/>
      <c r="V1187" s="74" t="n"/>
      <c r="W1187" s="74" t="n"/>
    </row>
    <row r="1188">
      <c r="A1188" s="74" t="n"/>
      <c r="B1188" s="74" t="n"/>
      <c r="C1188" s="74" t="n"/>
      <c r="D1188" s="74" t="n"/>
      <c r="E1188" s="74" t="n"/>
      <c r="F1188" s="74" t="n"/>
      <c r="G1188" s="74" t="n"/>
      <c r="H1188" s="74" t="n"/>
      <c r="I1188" s="74" t="n"/>
      <c r="J1188" s="74" t="n"/>
      <c r="K1188" s="74" t="n"/>
      <c r="L1188" s="74" t="n"/>
      <c r="M1188" s="74" t="n"/>
      <c r="N1188" s="74" t="n"/>
      <c r="O1188" s="74" t="n"/>
      <c r="P1188" s="74" t="n"/>
      <c r="Q1188" s="74" t="n"/>
      <c r="R1188" s="74" t="n"/>
      <c r="S1188" s="74" t="n"/>
      <c r="T1188" s="74" t="n"/>
      <c r="U1188" s="74" t="n"/>
      <c r="V1188" s="74" t="n"/>
      <c r="W1188" s="74" t="n"/>
    </row>
    <row r="1189">
      <c r="A1189" s="74" t="n"/>
      <c r="B1189" s="74" t="n"/>
      <c r="C1189" s="74" t="n"/>
      <c r="D1189" s="74" t="n"/>
      <c r="E1189" s="74" t="n"/>
      <c r="F1189" s="74" t="n"/>
      <c r="G1189" s="74" t="n"/>
      <c r="H1189" s="74" t="n"/>
      <c r="I1189" s="74" t="n"/>
      <c r="J1189" s="74" t="n"/>
      <c r="K1189" s="74" t="n"/>
      <c r="L1189" s="74" t="n"/>
      <c r="M1189" s="74" t="n"/>
      <c r="N1189" s="74" t="n"/>
      <c r="O1189" s="74" t="n"/>
      <c r="P1189" s="74" t="n"/>
      <c r="Q1189" s="74" t="n"/>
      <c r="R1189" s="74" t="n"/>
      <c r="S1189" s="74" t="n"/>
      <c r="T1189" s="74" t="n"/>
      <c r="U1189" s="74" t="n"/>
      <c r="V1189" s="74" t="n"/>
      <c r="W1189" s="74" t="n"/>
    </row>
    <row r="1190">
      <c r="A1190" s="74" t="n"/>
      <c r="B1190" s="74" t="n"/>
      <c r="C1190" s="74" t="n"/>
      <c r="D1190" s="74" t="n"/>
      <c r="E1190" s="74" t="n"/>
      <c r="F1190" s="74" t="n"/>
      <c r="G1190" s="74" t="n"/>
      <c r="H1190" s="74" t="n"/>
      <c r="I1190" s="74" t="n"/>
      <c r="J1190" s="74" t="n"/>
      <c r="K1190" s="74" t="n"/>
      <c r="L1190" s="74" t="n"/>
      <c r="M1190" s="74" t="n"/>
      <c r="N1190" s="74" t="n"/>
      <c r="O1190" s="74" t="n"/>
      <c r="P1190" s="74" t="n"/>
      <c r="Q1190" s="74" t="n"/>
      <c r="R1190" s="74" t="n"/>
      <c r="S1190" s="74" t="n"/>
      <c r="T1190" s="74" t="n"/>
      <c r="U1190" s="74" t="n"/>
      <c r="V1190" s="74" t="n"/>
      <c r="W1190" s="74" t="n"/>
    </row>
    <row r="1191">
      <c r="A1191" s="74" t="n"/>
      <c r="B1191" s="74" t="n"/>
      <c r="C1191" s="74" t="n"/>
      <c r="D1191" s="74" t="n"/>
      <c r="E1191" s="74" t="n"/>
      <c r="F1191" s="74" t="n"/>
      <c r="G1191" s="74" t="n"/>
      <c r="H1191" s="74" t="n"/>
      <c r="I1191" s="74" t="n"/>
      <c r="J1191" s="74" t="n"/>
      <c r="K1191" s="74" t="n"/>
      <c r="L1191" s="74" t="n"/>
      <c r="M1191" s="74" t="n"/>
      <c r="N1191" s="74" t="n"/>
      <c r="O1191" s="74" t="n"/>
      <c r="P1191" s="74" t="n"/>
      <c r="Q1191" s="74" t="n"/>
      <c r="R1191" s="74" t="n"/>
      <c r="S1191" s="74" t="n"/>
      <c r="T1191" s="74" t="n"/>
      <c r="U1191" s="74" t="n"/>
      <c r="V1191" s="74" t="n"/>
      <c r="W1191" s="74" t="n"/>
    </row>
    <row r="1192">
      <c r="A1192" s="74" t="n"/>
      <c r="B1192" s="74" t="n"/>
      <c r="C1192" s="74" t="n"/>
      <c r="D1192" s="74" t="n"/>
      <c r="E1192" s="74" t="n"/>
      <c r="F1192" s="74" t="n"/>
      <c r="G1192" s="74" t="n"/>
      <c r="H1192" s="74" t="n"/>
      <c r="I1192" s="74" t="n"/>
      <c r="J1192" s="74" t="n"/>
      <c r="K1192" s="74" t="n"/>
      <c r="L1192" s="74" t="n"/>
      <c r="M1192" s="74" t="n"/>
      <c r="N1192" s="74" t="n"/>
      <c r="O1192" s="74" t="n"/>
      <c r="P1192" s="74" t="n"/>
      <c r="Q1192" s="74" t="n"/>
      <c r="R1192" s="74" t="n"/>
      <c r="S1192" s="74" t="n"/>
      <c r="T1192" s="74" t="n"/>
      <c r="U1192" s="74" t="n"/>
      <c r="V1192" s="74" t="n"/>
      <c r="W1192" s="74" t="n"/>
    </row>
    <row r="1193">
      <c r="A1193" s="74" t="n"/>
      <c r="B1193" s="74" t="n"/>
      <c r="C1193" s="74" t="n"/>
      <c r="D1193" s="74" t="n"/>
      <c r="E1193" s="74" t="n"/>
      <c r="F1193" s="74" t="n"/>
      <c r="G1193" s="74" t="n"/>
      <c r="H1193" s="74" t="n"/>
      <c r="I1193" s="74" t="n"/>
      <c r="J1193" s="74" t="n"/>
      <c r="K1193" s="74" t="n"/>
      <c r="L1193" s="74" t="n"/>
      <c r="M1193" s="74" t="n"/>
      <c r="N1193" s="74" t="n"/>
      <c r="O1193" s="74" t="n"/>
      <c r="P1193" s="74" t="n"/>
      <c r="Q1193" s="74" t="n"/>
      <c r="R1193" s="74" t="n"/>
      <c r="S1193" s="74" t="n"/>
      <c r="T1193" s="74" t="n"/>
      <c r="U1193" s="74" t="n"/>
      <c r="V1193" s="74" t="n"/>
      <c r="W1193" s="74" t="n"/>
    </row>
    <row r="1194">
      <c r="A1194" s="74" t="n"/>
      <c r="B1194" s="74" t="n"/>
      <c r="C1194" s="74" t="n"/>
      <c r="D1194" s="74" t="n"/>
      <c r="E1194" s="74" t="n"/>
      <c r="F1194" s="74" t="n"/>
      <c r="G1194" s="74" t="n"/>
      <c r="H1194" s="74" t="n"/>
      <c r="I1194" s="74" t="n"/>
      <c r="J1194" s="74" t="n"/>
      <c r="K1194" s="74" t="n"/>
      <c r="L1194" s="74" t="n"/>
      <c r="M1194" s="74" t="n"/>
      <c r="N1194" s="74" t="n"/>
      <c r="O1194" s="74" t="n"/>
      <c r="P1194" s="74" t="n"/>
      <c r="Q1194" s="74" t="n"/>
      <c r="R1194" s="74" t="n"/>
      <c r="S1194" s="74" t="n"/>
      <c r="T1194" s="74" t="n"/>
      <c r="U1194" s="74" t="n"/>
      <c r="V1194" s="74" t="n"/>
      <c r="W1194" s="74" t="n"/>
    </row>
    <row r="1195">
      <c r="A1195" s="74" t="n"/>
      <c r="B1195" s="74" t="n"/>
      <c r="C1195" s="74" t="n"/>
      <c r="D1195" s="74" t="n"/>
      <c r="E1195" s="74" t="n"/>
      <c r="F1195" s="74" t="n"/>
      <c r="G1195" s="74" t="n"/>
      <c r="H1195" s="74" t="n"/>
      <c r="I1195" s="74" t="n"/>
      <c r="J1195" s="74" t="n"/>
      <c r="K1195" s="74" t="n"/>
      <c r="L1195" s="74" t="n"/>
      <c r="M1195" s="74" t="n"/>
      <c r="N1195" s="74" t="n"/>
      <c r="O1195" s="74" t="n"/>
      <c r="P1195" s="74" t="n"/>
      <c r="Q1195" s="74" t="n"/>
      <c r="R1195" s="74" t="n"/>
      <c r="S1195" s="74" t="n"/>
      <c r="T1195" s="74" t="n"/>
      <c r="U1195" s="74" t="n"/>
      <c r="V1195" s="74" t="n"/>
      <c r="W1195" s="74" t="n"/>
    </row>
    <row r="1196">
      <c r="A1196" s="74" t="n"/>
      <c r="B1196" s="74" t="n"/>
      <c r="C1196" s="74" t="n"/>
      <c r="D1196" s="74" t="n"/>
      <c r="E1196" s="74" t="n"/>
      <c r="F1196" s="74" t="n"/>
      <c r="G1196" s="74" t="n"/>
      <c r="H1196" s="74" t="n"/>
      <c r="I1196" s="74" t="n"/>
      <c r="J1196" s="74" t="n"/>
      <c r="K1196" s="74" t="n"/>
      <c r="L1196" s="74" t="n"/>
      <c r="M1196" s="74" t="n"/>
      <c r="N1196" s="74" t="n"/>
      <c r="O1196" s="74" t="n"/>
      <c r="P1196" s="74" t="n"/>
      <c r="Q1196" s="74" t="n"/>
      <c r="R1196" s="74" t="n"/>
      <c r="S1196" s="74" t="n"/>
      <c r="T1196" s="74" t="n"/>
      <c r="U1196" s="74" t="n"/>
      <c r="V1196" s="74" t="n"/>
      <c r="W1196" s="74" t="n"/>
    </row>
    <row r="1197">
      <c r="A1197" s="74" t="n"/>
      <c r="B1197" s="74" t="n"/>
      <c r="C1197" s="74" t="n"/>
      <c r="D1197" s="74" t="n"/>
      <c r="E1197" s="74" t="n"/>
      <c r="F1197" s="74" t="n"/>
      <c r="G1197" s="74" t="n"/>
      <c r="H1197" s="74" t="n"/>
      <c r="I1197" s="74" t="n"/>
      <c r="J1197" s="74" t="n"/>
      <c r="K1197" s="74" t="n"/>
      <c r="L1197" s="74" t="n"/>
      <c r="M1197" s="74" t="n"/>
      <c r="N1197" s="74" t="n"/>
      <c r="O1197" s="74" t="n"/>
      <c r="P1197" s="74" t="n"/>
      <c r="Q1197" s="74" t="n"/>
      <c r="R1197" s="74" t="n"/>
      <c r="S1197" s="74" t="n"/>
      <c r="T1197" s="74" t="n"/>
      <c r="U1197" s="74" t="n"/>
      <c r="V1197" s="74" t="n"/>
      <c r="W1197" s="74" t="n"/>
    </row>
    <row r="1198">
      <c r="A1198" s="74" t="n"/>
      <c r="B1198" s="74" t="n"/>
      <c r="C1198" s="74" t="n"/>
      <c r="D1198" s="74" t="n"/>
      <c r="E1198" s="74" t="n"/>
      <c r="F1198" s="74" t="n"/>
      <c r="G1198" s="74" t="n"/>
      <c r="H1198" s="74" t="n"/>
      <c r="I1198" s="74" t="n"/>
      <c r="J1198" s="74" t="n"/>
      <c r="K1198" s="74" t="n"/>
      <c r="L1198" s="74" t="n"/>
      <c r="M1198" s="74" t="n"/>
      <c r="N1198" s="74" t="n"/>
      <c r="O1198" s="74" t="n"/>
      <c r="P1198" s="74" t="n"/>
      <c r="Q1198" s="74" t="n"/>
      <c r="R1198" s="74" t="n"/>
      <c r="S1198" s="74" t="n"/>
      <c r="T1198" s="74" t="n"/>
      <c r="U1198" s="74" t="n"/>
      <c r="V1198" s="74" t="n"/>
      <c r="W1198" s="74" t="n"/>
    </row>
    <row r="1199">
      <c r="A1199" s="74" t="n"/>
      <c r="B1199" s="74" t="n"/>
      <c r="C1199" s="74" t="n"/>
      <c r="D1199" s="74" t="n"/>
      <c r="E1199" s="74" t="n"/>
      <c r="F1199" s="74" t="n"/>
      <c r="G1199" s="74" t="n"/>
      <c r="H1199" s="74" t="n"/>
      <c r="I1199" s="74" t="n"/>
      <c r="J1199" s="74" t="n"/>
      <c r="K1199" s="74" t="n"/>
      <c r="L1199" s="74" t="n"/>
      <c r="M1199" s="74" t="n"/>
      <c r="N1199" s="74" t="n"/>
      <c r="O1199" s="74" t="n"/>
      <c r="P1199" s="74" t="n"/>
      <c r="Q1199" s="74" t="n"/>
      <c r="R1199" s="74" t="n"/>
      <c r="S1199" s="74" t="n"/>
      <c r="T1199" s="74" t="n"/>
      <c r="U1199" s="74" t="n"/>
      <c r="V1199" s="74" t="n"/>
      <c r="W1199" s="74" t="n"/>
    </row>
    <row r="1200">
      <c r="A1200" s="74" t="n"/>
      <c r="B1200" s="74" t="n"/>
      <c r="C1200" s="74" t="n"/>
      <c r="D1200" s="74" t="n"/>
      <c r="E1200" s="74" t="n"/>
      <c r="F1200" s="74" t="n"/>
      <c r="G1200" s="74" t="n"/>
      <c r="H1200" s="74" t="n"/>
      <c r="I1200" s="74" t="n"/>
      <c r="J1200" s="74" t="n"/>
      <c r="K1200" s="74" t="n"/>
      <c r="L1200" s="74" t="n"/>
      <c r="M1200" s="74" t="n"/>
      <c r="N1200" s="74" t="n"/>
      <c r="O1200" s="74" t="n"/>
      <c r="P1200" s="74" t="n"/>
      <c r="Q1200" s="74" t="n"/>
      <c r="R1200" s="74" t="n"/>
      <c r="S1200" s="74" t="n"/>
      <c r="T1200" s="74" t="n"/>
      <c r="U1200" s="74" t="n"/>
      <c r="V1200" s="74" t="n"/>
      <c r="W1200" s="74" t="n"/>
    </row>
    <row r="1201">
      <c r="A1201" s="74" t="n"/>
      <c r="B1201" s="74" t="n"/>
      <c r="C1201" s="74" t="n"/>
      <c r="D1201" s="74" t="n"/>
      <c r="E1201" s="74" t="n"/>
      <c r="F1201" s="74" t="n"/>
      <c r="G1201" s="74" t="n"/>
      <c r="H1201" s="74" t="n"/>
      <c r="I1201" s="74" t="n"/>
      <c r="J1201" s="74" t="n"/>
      <c r="K1201" s="74" t="n"/>
      <c r="L1201" s="74" t="n"/>
      <c r="M1201" s="74" t="n"/>
      <c r="N1201" s="74" t="n"/>
      <c r="O1201" s="74" t="n"/>
      <c r="P1201" s="74" t="n"/>
      <c r="Q1201" s="74" t="n"/>
      <c r="R1201" s="74" t="n"/>
      <c r="S1201" s="74" t="n"/>
      <c r="T1201" s="74" t="n"/>
      <c r="U1201" s="74" t="n"/>
      <c r="V1201" s="74" t="n"/>
      <c r="W1201" s="74" t="n"/>
    </row>
    <row r="1202">
      <c r="A1202" s="74" t="n"/>
      <c r="B1202" s="74" t="n"/>
      <c r="C1202" s="74" t="n"/>
      <c r="D1202" s="74" t="n"/>
      <c r="E1202" s="74" t="n"/>
      <c r="F1202" s="74" t="n"/>
      <c r="G1202" s="74" t="n"/>
      <c r="H1202" s="74" t="n"/>
      <c r="I1202" s="74" t="n"/>
      <c r="J1202" s="74" t="n"/>
      <c r="K1202" s="74" t="n"/>
      <c r="L1202" s="74" t="n"/>
      <c r="M1202" s="74" t="n"/>
      <c r="N1202" s="74" t="n"/>
      <c r="O1202" s="74" t="n"/>
      <c r="P1202" s="74" t="n"/>
      <c r="Q1202" s="74" t="n"/>
      <c r="R1202" s="74" t="n"/>
      <c r="S1202" s="74" t="n"/>
      <c r="T1202" s="74" t="n"/>
      <c r="U1202" s="74" t="n"/>
      <c r="V1202" s="74" t="n"/>
      <c r="W1202" s="74" t="n"/>
    </row>
    <row r="1203">
      <c r="A1203" s="74" t="n"/>
      <c r="B1203" s="74" t="n"/>
      <c r="C1203" s="74" t="n"/>
      <c r="D1203" s="74" t="n"/>
      <c r="E1203" s="74" t="n"/>
      <c r="F1203" s="74" t="n"/>
      <c r="G1203" s="74" t="n"/>
      <c r="H1203" s="74" t="n"/>
      <c r="I1203" s="74" t="n"/>
      <c r="J1203" s="74" t="n"/>
      <c r="K1203" s="74" t="n"/>
      <c r="L1203" s="74" t="n"/>
      <c r="M1203" s="74" t="n"/>
      <c r="N1203" s="74" t="n"/>
      <c r="O1203" s="74" t="n"/>
      <c r="P1203" s="74" t="n"/>
      <c r="Q1203" s="74" t="n"/>
      <c r="R1203" s="74" t="n"/>
      <c r="S1203" s="74" t="n"/>
      <c r="T1203" s="74" t="n"/>
      <c r="U1203" s="74" t="n"/>
      <c r="V1203" s="74" t="n"/>
      <c r="W1203" s="74" t="n"/>
    </row>
    <row r="1204">
      <c r="A1204" s="74" t="n"/>
      <c r="B1204" s="74" t="n"/>
      <c r="C1204" s="74" t="n"/>
      <c r="D1204" s="74" t="n"/>
      <c r="E1204" s="74" t="n"/>
      <c r="F1204" s="74" t="n"/>
      <c r="G1204" s="74" t="n"/>
      <c r="H1204" s="74" t="n"/>
      <c r="I1204" s="74" t="n"/>
      <c r="J1204" s="74" t="n"/>
      <c r="K1204" s="74" t="n"/>
      <c r="L1204" s="74" t="n"/>
      <c r="M1204" s="74" t="n"/>
      <c r="N1204" s="74" t="n"/>
      <c r="O1204" s="74" t="n"/>
      <c r="P1204" s="74" t="n"/>
      <c r="Q1204" s="74" t="n"/>
      <c r="R1204" s="74" t="n"/>
      <c r="S1204" s="74" t="n"/>
      <c r="T1204" s="74" t="n"/>
      <c r="U1204" s="74" t="n"/>
      <c r="V1204" s="74" t="n"/>
      <c r="W1204" s="74" t="n"/>
    </row>
    <row r="1205">
      <c r="A1205" s="74" t="n"/>
      <c r="B1205" s="74" t="n"/>
      <c r="C1205" s="74" t="n"/>
      <c r="D1205" s="74" t="n"/>
      <c r="E1205" s="74" t="n"/>
      <c r="F1205" s="74" t="n"/>
      <c r="G1205" s="74" t="n"/>
      <c r="H1205" s="74" t="n"/>
      <c r="I1205" s="74" t="n"/>
      <c r="J1205" s="74" t="n"/>
      <c r="K1205" s="74" t="n"/>
      <c r="L1205" s="74" t="n"/>
      <c r="M1205" s="74" t="n"/>
      <c r="N1205" s="74" t="n"/>
      <c r="O1205" s="74" t="n"/>
      <c r="P1205" s="74" t="n"/>
      <c r="Q1205" s="74" t="n"/>
      <c r="R1205" s="74" t="n"/>
      <c r="S1205" s="74" t="n"/>
      <c r="T1205" s="74" t="n"/>
      <c r="U1205" s="74" t="n"/>
      <c r="V1205" s="74" t="n"/>
      <c r="W1205" s="74" t="n"/>
    </row>
    <row r="1206">
      <c r="A1206" s="74" t="n"/>
      <c r="B1206" s="74" t="n"/>
      <c r="C1206" s="74" t="n"/>
      <c r="D1206" s="74" t="n"/>
      <c r="E1206" s="74" t="n"/>
      <c r="F1206" s="74" t="n"/>
      <c r="G1206" s="74" t="n"/>
      <c r="H1206" s="74" t="n"/>
      <c r="I1206" s="74" t="n"/>
      <c r="J1206" s="74" t="n"/>
      <c r="K1206" s="74" t="n"/>
      <c r="L1206" s="74" t="n"/>
      <c r="M1206" s="74" t="n"/>
      <c r="N1206" s="74" t="n"/>
      <c r="O1206" s="74" t="n"/>
      <c r="P1206" s="74" t="n"/>
      <c r="Q1206" s="74" t="n"/>
      <c r="R1206" s="74" t="n"/>
      <c r="S1206" s="74" t="n"/>
      <c r="T1206" s="74" t="n"/>
      <c r="U1206" s="74" t="n"/>
      <c r="V1206" s="74" t="n"/>
      <c r="W1206" s="74" t="n"/>
    </row>
    <row r="1207">
      <c r="A1207" s="74" t="n"/>
      <c r="B1207" s="74" t="n"/>
      <c r="C1207" s="74" t="n"/>
      <c r="D1207" s="74" t="n"/>
      <c r="E1207" s="74" t="n"/>
      <c r="F1207" s="74" t="n"/>
      <c r="G1207" s="74" t="n"/>
      <c r="H1207" s="74" t="n"/>
      <c r="I1207" s="74" t="n"/>
      <c r="J1207" s="74" t="n"/>
      <c r="K1207" s="74" t="n"/>
      <c r="L1207" s="74" t="n"/>
      <c r="M1207" s="74" t="n"/>
      <c r="N1207" s="74" t="n"/>
      <c r="O1207" s="74" t="n"/>
      <c r="P1207" s="74" t="n"/>
      <c r="Q1207" s="74" t="n"/>
      <c r="R1207" s="74" t="n"/>
      <c r="S1207" s="74" t="n"/>
      <c r="T1207" s="74" t="n"/>
      <c r="U1207" s="74" t="n"/>
      <c r="V1207" s="74" t="n"/>
      <c r="W1207" s="74" t="n"/>
    </row>
    <row r="1208">
      <c r="A1208" s="74" t="n"/>
      <c r="B1208" s="74" t="n"/>
      <c r="C1208" s="74" t="n"/>
      <c r="D1208" s="74" t="n"/>
      <c r="E1208" s="74" t="n"/>
      <c r="F1208" s="74" t="n"/>
      <c r="G1208" s="74" t="n"/>
      <c r="H1208" s="74" t="n"/>
      <c r="I1208" s="74" t="n"/>
      <c r="J1208" s="74" t="n"/>
      <c r="K1208" s="74" t="n"/>
      <c r="L1208" s="74" t="n"/>
      <c r="M1208" s="74" t="n"/>
      <c r="N1208" s="74" t="n"/>
      <c r="O1208" s="74" t="n"/>
      <c r="P1208" s="74" t="n"/>
      <c r="Q1208" s="74" t="n"/>
      <c r="R1208" s="74" t="n"/>
      <c r="S1208" s="74" t="n"/>
      <c r="T1208" s="74" t="n"/>
      <c r="U1208" s="74" t="n"/>
      <c r="V1208" s="74" t="n"/>
      <c r="W1208" s="74" t="n"/>
    </row>
    <row r="1209">
      <c r="A1209" s="74" t="n"/>
      <c r="B1209" s="74" t="n"/>
      <c r="C1209" s="74" t="n"/>
      <c r="D1209" s="74" t="n"/>
      <c r="E1209" s="74" t="n"/>
      <c r="F1209" s="74" t="n"/>
      <c r="G1209" s="74" t="n"/>
      <c r="H1209" s="74" t="n"/>
      <c r="I1209" s="74" t="n"/>
      <c r="J1209" s="74" t="n"/>
      <c r="K1209" s="74" t="n"/>
      <c r="L1209" s="74" t="n"/>
      <c r="M1209" s="74" t="n"/>
      <c r="N1209" s="74" t="n"/>
      <c r="O1209" s="74" t="n"/>
      <c r="P1209" s="74" t="n"/>
      <c r="Q1209" s="74" t="n"/>
      <c r="R1209" s="74" t="n"/>
      <c r="S1209" s="74" t="n"/>
      <c r="T1209" s="74" t="n"/>
      <c r="U1209" s="74" t="n"/>
      <c r="V1209" s="74" t="n"/>
      <c r="W1209" s="74" t="n"/>
    </row>
    <row r="1210">
      <c r="A1210" s="74" t="n"/>
      <c r="B1210" s="74" t="n"/>
      <c r="C1210" s="74" t="n"/>
      <c r="D1210" s="74" t="n"/>
      <c r="E1210" s="74" t="n"/>
      <c r="F1210" s="74" t="n"/>
      <c r="G1210" s="74" t="n"/>
      <c r="H1210" s="74" t="n"/>
      <c r="I1210" s="74" t="n"/>
      <c r="J1210" s="74" t="n"/>
      <c r="K1210" s="74" t="n"/>
      <c r="L1210" s="74" t="n"/>
      <c r="M1210" s="74" t="n"/>
      <c r="N1210" s="74" t="n"/>
      <c r="O1210" s="74" t="n"/>
      <c r="P1210" s="74" t="n"/>
      <c r="Q1210" s="74" t="n"/>
      <c r="R1210" s="74" t="n"/>
      <c r="S1210" s="74" t="n"/>
      <c r="T1210" s="74" t="n"/>
      <c r="U1210" s="74" t="n"/>
      <c r="V1210" s="74" t="n"/>
      <c r="W1210" s="74" t="n"/>
    </row>
    <row r="1211">
      <c r="A1211" s="74" t="n"/>
      <c r="B1211" s="74" t="n"/>
      <c r="C1211" s="74" t="n"/>
      <c r="D1211" s="74" t="n"/>
      <c r="E1211" s="74" t="n"/>
      <c r="F1211" s="74" t="n"/>
      <c r="G1211" s="74" t="n"/>
      <c r="H1211" s="74" t="n"/>
      <c r="I1211" s="74" t="n"/>
      <c r="J1211" s="74" t="n"/>
      <c r="K1211" s="74" t="n"/>
      <c r="L1211" s="74" t="n"/>
      <c r="M1211" s="74" t="n"/>
      <c r="N1211" s="74" t="n"/>
      <c r="O1211" s="74" t="n"/>
      <c r="P1211" s="74" t="n"/>
      <c r="Q1211" s="74" t="n"/>
      <c r="R1211" s="74" t="n"/>
      <c r="S1211" s="74" t="n"/>
      <c r="T1211" s="74" t="n"/>
      <c r="U1211" s="74" t="n"/>
      <c r="V1211" s="74" t="n"/>
      <c r="W1211" s="74" t="n"/>
    </row>
    <row r="1212">
      <c r="A1212" s="74" t="n"/>
      <c r="B1212" s="74" t="n"/>
      <c r="C1212" s="74" t="n"/>
      <c r="D1212" s="74" t="n"/>
      <c r="E1212" s="74" t="n"/>
      <c r="F1212" s="74" t="n"/>
      <c r="G1212" s="74" t="n"/>
      <c r="H1212" s="74" t="n"/>
      <c r="I1212" s="74" t="n"/>
      <c r="J1212" s="74" t="n"/>
      <c r="K1212" s="74" t="n"/>
      <c r="L1212" s="74" t="n"/>
      <c r="M1212" s="74" t="n"/>
      <c r="N1212" s="74" t="n"/>
      <c r="O1212" s="74" t="n"/>
      <c r="P1212" s="74" t="n"/>
      <c r="Q1212" s="74" t="n"/>
      <c r="R1212" s="74" t="n"/>
      <c r="S1212" s="74" t="n"/>
      <c r="T1212" s="74" t="n"/>
      <c r="U1212" s="74" t="n"/>
      <c r="V1212" s="74" t="n"/>
      <c r="W1212" s="74" t="n"/>
    </row>
    <row r="1213">
      <c r="A1213" s="74" t="n"/>
      <c r="B1213" s="74" t="n"/>
      <c r="C1213" s="74" t="n"/>
      <c r="D1213" s="74" t="n"/>
      <c r="E1213" s="74" t="n"/>
      <c r="F1213" s="74" t="n"/>
      <c r="G1213" s="74" t="n"/>
      <c r="H1213" s="74" t="n"/>
      <c r="I1213" s="74" t="n"/>
      <c r="J1213" s="74" t="n"/>
      <c r="K1213" s="74" t="n"/>
      <c r="L1213" s="74" t="n"/>
      <c r="M1213" s="74" t="n"/>
      <c r="N1213" s="74" t="n"/>
      <c r="O1213" s="74" t="n"/>
      <c r="P1213" s="74" t="n"/>
      <c r="Q1213" s="74" t="n"/>
      <c r="R1213" s="74" t="n"/>
      <c r="S1213" s="74" t="n"/>
      <c r="T1213" s="74" t="n"/>
      <c r="U1213" s="74" t="n"/>
      <c r="V1213" s="74" t="n"/>
      <c r="W1213" s="74" t="n"/>
    </row>
    <row r="1214">
      <c r="A1214" s="74" t="n"/>
      <c r="B1214" s="74" t="n"/>
      <c r="C1214" s="74" t="n"/>
      <c r="D1214" s="74" t="n"/>
      <c r="E1214" s="74" t="n"/>
      <c r="F1214" s="74" t="n"/>
      <c r="G1214" s="74" t="n"/>
      <c r="H1214" s="74" t="n"/>
      <c r="I1214" s="74" t="n"/>
      <c r="J1214" s="74" t="n"/>
      <c r="K1214" s="74" t="n"/>
      <c r="L1214" s="74" t="n"/>
      <c r="M1214" s="74" t="n"/>
      <c r="N1214" s="74" t="n"/>
      <c r="O1214" s="74" t="n"/>
      <c r="P1214" s="74" t="n"/>
      <c r="Q1214" s="74" t="n"/>
      <c r="R1214" s="74" t="n"/>
      <c r="S1214" s="74" t="n"/>
      <c r="T1214" s="74" t="n"/>
      <c r="U1214" s="74" t="n"/>
      <c r="V1214" s="74" t="n"/>
      <c r="W1214" s="74" t="n"/>
    </row>
    <row r="1215">
      <c r="A1215" s="74" t="n"/>
      <c r="B1215" s="74" t="n"/>
      <c r="C1215" s="74" t="n"/>
      <c r="D1215" s="74" t="n"/>
      <c r="E1215" s="74" t="n"/>
      <c r="F1215" s="74" t="n"/>
      <c r="G1215" s="74" t="n"/>
      <c r="H1215" s="74" t="n"/>
      <c r="I1215" s="74" t="n"/>
      <c r="J1215" s="74" t="n"/>
      <c r="K1215" s="74" t="n"/>
      <c r="L1215" s="74" t="n"/>
      <c r="M1215" s="74" t="n"/>
      <c r="N1215" s="74" t="n"/>
      <c r="O1215" s="74" t="n"/>
      <c r="P1215" s="74" t="n"/>
      <c r="Q1215" s="74" t="n"/>
      <c r="R1215" s="74" t="n"/>
      <c r="S1215" s="74" t="n"/>
      <c r="T1215" s="74" t="n"/>
      <c r="U1215" s="74" t="n"/>
      <c r="V1215" s="74" t="n"/>
      <c r="W1215" s="74" t="n"/>
    </row>
    <row r="1216">
      <c r="A1216" s="74" t="n"/>
      <c r="B1216" s="74" t="n"/>
      <c r="C1216" s="74" t="n"/>
      <c r="D1216" s="74" t="n"/>
      <c r="E1216" s="74" t="n"/>
      <c r="F1216" s="74" t="n"/>
      <c r="G1216" s="74" t="n"/>
      <c r="H1216" s="74" t="n"/>
      <c r="I1216" s="74" t="n"/>
      <c r="J1216" s="74" t="n"/>
      <c r="K1216" s="74" t="n"/>
      <c r="L1216" s="74" t="n"/>
      <c r="M1216" s="74" t="n"/>
      <c r="N1216" s="74" t="n"/>
      <c r="O1216" s="74" t="n"/>
      <c r="P1216" s="74" t="n"/>
      <c r="Q1216" s="74" t="n"/>
      <c r="R1216" s="74" t="n"/>
      <c r="S1216" s="74" t="n"/>
      <c r="T1216" s="74" t="n"/>
      <c r="U1216" s="74" t="n"/>
      <c r="V1216" s="74" t="n"/>
      <c r="W1216" s="74" t="n"/>
    </row>
    <row r="1217">
      <c r="A1217" s="74" t="n"/>
      <c r="B1217" s="74" t="n"/>
      <c r="C1217" s="74" t="n"/>
      <c r="D1217" s="74" t="n"/>
      <c r="E1217" s="74" t="n"/>
      <c r="F1217" s="74" t="n"/>
      <c r="G1217" s="74" t="n"/>
      <c r="H1217" s="74" t="n"/>
      <c r="I1217" s="74" t="n"/>
      <c r="J1217" s="74" t="n"/>
      <c r="K1217" s="74" t="n"/>
      <c r="L1217" s="74" t="n"/>
      <c r="M1217" s="74" t="n"/>
      <c r="N1217" s="74" t="n"/>
      <c r="O1217" s="74" t="n"/>
      <c r="P1217" s="74" t="n"/>
      <c r="Q1217" s="74" t="n"/>
      <c r="R1217" s="74" t="n"/>
      <c r="S1217" s="74" t="n"/>
      <c r="T1217" s="74" t="n"/>
      <c r="U1217" s="74" t="n"/>
      <c r="V1217" s="74" t="n"/>
      <c r="W1217" s="74" t="n"/>
    </row>
    <row r="1218">
      <c r="A1218" s="74" t="n"/>
      <c r="B1218" s="74" t="n"/>
      <c r="C1218" s="74" t="n"/>
      <c r="D1218" s="74" t="n"/>
      <c r="E1218" s="74" t="n"/>
      <c r="F1218" s="74" t="n"/>
      <c r="G1218" s="74" t="n"/>
      <c r="H1218" s="74" t="n"/>
      <c r="I1218" s="74" t="n"/>
      <c r="J1218" s="74" t="n"/>
      <c r="K1218" s="74" t="n"/>
      <c r="L1218" s="74" t="n"/>
      <c r="M1218" s="74" t="n"/>
      <c r="N1218" s="74" t="n"/>
      <c r="O1218" s="74" t="n"/>
      <c r="P1218" s="74" t="n"/>
      <c r="Q1218" s="74" t="n"/>
      <c r="R1218" s="74" t="n"/>
      <c r="S1218" s="74" t="n"/>
      <c r="T1218" s="74" t="n"/>
      <c r="U1218" s="74" t="n"/>
      <c r="V1218" s="74" t="n"/>
      <c r="W1218" s="74" t="n"/>
    </row>
    <row r="1219">
      <c r="A1219" s="74" t="n"/>
      <c r="B1219" s="74" t="n"/>
      <c r="C1219" s="74" t="n"/>
      <c r="D1219" s="74" t="n"/>
      <c r="E1219" s="74" t="n"/>
      <c r="F1219" s="74" t="n"/>
      <c r="G1219" s="74" t="n"/>
      <c r="H1219" s="74" t="n"/>
      <c r="I1219" s="74" t="n"/>
      <c r="J1219" s="74" t="n"/>
      <c r="K1219" s="74" t="n"/>
      <c r="L1219" s="74" t="n"/>
      <c r="M1219" s="74" t="n"/>
      <c r="N1219" s="74" t="n"/>
      <c r="O1219" s="74" t="n"/>
      <c r="P1219" s="74" t="n"/>
      <c r="Q1219" s="74" t="n"/>
      <c r="R1219" s="74" t="n"/>
      <c r="S1219" s="74" t="n"/>
      <c r="T1219" s="74" t="n"/>
      <c r="U1219" s="74" t="n"/>
      <c r="V1219" s="74" t="n"/>
      <c r="W1219" s="74" t="n"/>
    </row>
    <row r="1220">
      <c r="A1220" s="74" t="n"/>
      <c r="B1220" s="74" t="n"/>
      <c r="C1220" s="74" t="n"/>
      <c r="D1220" s="74" t="n"/>
      <c r="E1220" s="74" t="n"/>
      <c r="F1220" s="74" t="n"/>
      <c r="G1220" s="74" t="n"/>
      <c r="H1220" s="74" t="n"/>
      <c r="I1220" s="74" t="n"/>
      <c r="J1220" s="74" t="n"/>
      <c r="K1220" s="74" t="n"/>
      <c r="L1220" s="74" t="n"/>
      <c r="M1220" s="74" t="n"/>
      <c r="N1220" s="74" t="n"/>
      <c r="O1220" s="74" t="n"/>
      <c r="P1220" s="74" t="n"/>
      <c r="Q1220" s="74" t="n"/>
      <c r="R1220" s="74" t="n"/>
      <c r="S1220" s="74" t="n"/>
      <c r="T1220" s="74" t="n"/>
      <c r="U1220" s="74" t="n"/>
      <c r="V1220" s="74" t="n"/>
      <c r="W1220" s="74" t="n"/>
    </row>
    <row r="1221">
      <c r="A1221" s="74" t="n"/>
      <c r="B1221" s="74" t="n"/>
      <c r="C1221" s="74" t="n"/>
      <c r="D1221" s="74" t="n"/>
      <c r="E1221" s="74" t="n"/>
      <c r="F1221" s="74" t="n"/>
      <c r="G1221" s="74" t="n"/>
      <c r="H1221" s="74" t="n"/>
      <c r="I1221" s="74" t="n"/>
      <c r="J1221" s="74" t="n"/>
      <c r="K1221" s="74" t="n"/>
      <c r="L1221" s="74" t="n"/>
      <c r="M1221" s="74" t="n"/>
      <c r="N1221" s="74" t="n"/>
      <c r="O1221" s="74" t="n"/>
      <c r="P1221" s="74" t="n"/>
      <c r="Q1221" s="74" t="n"/>
      <c r="R1221" s="74" t="n"/>
      <c r="S1221" s="74" t="n"/>
      <c r="T1221" s="74" t="n"/>
      <c r="U1221" s="74" t="n"/>
      <c r="V1221" s="74" t="n"/>
      <c r="W1221" s="74" t="n"/>
    </row>
    <row r="1222">
      <c r="A1222" s="74" t="n"/>
      <c r="B1222" s="74" t="n"/>
      <c r="C1222" s="74" t="n"/>
      <c r="D1222" s="74" t="n"/>
      <c r="E1222" s="74" t="n"/>
      <c r="F1222" s="74" t="n"/>
      <c r="G1222" s="74" t="n"/>
      <c r="H1222" s="74" t="n"/>
      <c r="I1222" s="74" t="n"/>
      <c r="J1222" s="74" t="n"/>
      <c r="K1222" s="74" t="n"/>
      <c r="L1222" s="74" t="n"/>
      <c r="M1222" s="74" t="n"/>
      <c r="N1222" s="74" t="n"/>
      <c r="O1222" s="74" t="n"/>
      <c r="P1222" s="74" t="n"/>
      <c r="Q1222" s="74" t="n"/>
      <c r="R1222" s="74" t="n"/>
      <c r="S1222" s="74" t="n"/>
      <c r="T1222" s="74" t="n"/>
      <c r="U1222" s="74" t="n"/>
      <c r="V1222" s="74" t="n"/>
      <c r="W1222" s="74" t="n"/>
    </row>
    <row r="1223">
      <c r="A1223" s="74" t="n"/>
      <c r="B1223" s="74" t="n"/>
      <c r="C1223" s="74" t="n"/>
      <c r="D1223" s="74" t="n"/>
      <c r="E1223" s="74" t="n"/>
      <c r="F1223" s="74" t="n"/>
      <c r="G1223" s="74" t="n"/>
      <c r="H1223" s="74" t="n"/>
      <c r="I1223" s="74" t="n"/>
      <c r="J1223" s="74" t="n"/>
      <c r="K1223" s="74" t="n"/>
      <c r="L1223" s="74" t="n"/>
      <c r="M1223" s="74" t="n"/>
      <c r="N1223" s="74" t="n"/>
      <c r="O1223" s="74" t="n"/>
      <c r="P1223" s="74" t="n"/>
      <c r="Q1223" s="74" t="n"/>
      <c r="R1223" s="74" t="n"/>
      <c r="S1223" s="74" t="n"/>
      <c r="T1223" s="74" t="n"/>
      <c r="U1223" s="74" t="n"/>
      <c r="V1223" s="74" t="n"/>
      <c r="W1223" s="74" t="n"/>
    </row>
    <row r="1224">
      <c r="A1224" s="74" t="n"/>
      <c r="B1224" s="74" t="n"/>
      <c r="C1224" s="74" t="n"/>
      <c r="D1224" s="74" t="n"/>
      <c r="E1224" s="74" t="n"/>
      <c r="F1224" s="74" t="n"/>
      <c r="G1224" s="74" t="n"/>
      <c r="H1224" s="74" t="n"/>
      <c r="I1224" s="74" t="n"/>
      <c r="J1224" s="74" t="n"/>
      <c r="K1224" s="74" t="n"/>
      <c r="L1224" s="74" t="n"/>
      <c r="M1224" s="74" t="n"/>
      <c r="N1224" s="74" t="n"/>
      <c r="O1224" s="74" t="n"/>
      <c r="P1224" s="74" t="n"/>
      <c r="Q1224" s="74" t="n"/>
      <c r="R1224" s="74" t="n"/>
      <c r="S1224" s="74" t="n"/>
      <c r="T1224" s="74" t="n"/>
      <c r="U1224" s="74" t="n"/>
      <c r="V1224" s="74" t="n"/>
      <c r="W1224" s="74" t="n"/>
    </row>
    <row r="1225">
      <c r="A1225" s="74" t="n"/>
      <c r="B1225" s="74" t="n"/>
      <c r="C1225" s="74" t="n"/>
      <c r="D1225" s="74" t="n"/>
      <c r="E1225" s="74" t="n"/>
      <c r="F1225" s="74" t="n"/>
      <c r="G1225" s="74" t="n"/>
      <c r="H1225" s="74" t="n"/>
      <c r="I1225" s="74" t="n"/>
      <c r="J1225" s="74" t="n"/>
      <c r="K1225" s="74" t="n"/>
      <c r="L1225" s="74" t="n"/>
      <c r="M1225" s="74" t="n"/>
      <c r="N1225" s="74" t="n"/>
      <c r="O1225" s="74" t="n"/>
      <c r="P1225" s="74" t="n"/>
      <c r="Q1225" s="74" t="n"/>
      <c r="R1225" s="74" t="n"/>
      <c r="S1225" s="74" t="n"/>
      <c r="T1225" s="74" t="n"/>
      <c r="U1225" s="74" t="n"/>
      <c r="V1225" s="74" t="n"/>
      <c r="W1225" s="74" t="n"/>
    </row>
    <row r="1226">
      <c r="A1226" s="74" t="n"/>
      <c r="B1226" s="74" t="n"/>
      <c r="C1226" s="74" t="n"/>
      <c r="D1226" s="74" t="n"/>
      <c r="E1226" s="74" t="n"/>
      <c r="F1226" s="74" t="n"/>
      <c r="G1226" s="74" t="n"/>
      <c r="H1226" s="74" t="n"/>
      <c r="I1226" s="74" t="n"/>
      <c r="J1226" s="74" t="n"/>
      <c r="K1226" s="74" t="n"/>
      <c r="L1226" s="74" t="n"/>
      <c r="M1226" s="74" t="n"/>
      <c r="N1226" s="74" t="n"/>
      <c r="O1226" s="74" t="n"/>
      <c r="P1226" s="74" t="n"/>
      <c r="Q1226" s="74" t="n"/>
      <c r="R1226" s="74" t="n"/>
      <c r="S1226" s="74" t="n"/>
      <c r="T1226" s="74" t="n"/>
      <c r="U1226" s="74" t="n"/>
      <c r="V1226" s="74" t="n"/>
      <c r="W1226" s="74" t="n"/>
    </row>
    <row r="1227">
      <c r="A1227" s="74" t="n"/>
      <c r="B1227" s="74" t="n"/>
      <c r="C1227" s="74" t="n"/>
      <c r="D1227" s="74" t="n"/>
      <c r="E1227" s="74" t="n"/>
      <c r="F1227" s="74" t="n"/>
      <c r="G1227" s="74" t="n"/>
      <c r="H1227" s="74" t="n"/>
      <c r="I1227" s="74" t="n"/>
      <c r="J1227" s="74" t="n"/>
      <c r="K1227" s="74" t="n"/>
      <c r="L1227" s="74" t="n"/>
      <c r="M1227" s="74" t="n"/>
      <c r="N1227" s="74" t="n"/>
      <c r="O1227" s="74" t="n"/>
      <c r="P1227" s="74" t="n"/>
      <c r="Q1227" s="74" t="n"/>
      <c r="R1227" s="74" t="n"/>
      <c r="S1227" s="74" t="n"/>
      <c r="T1227" s="74" t="n"/>
      <c r="U1227" s="74" t="n"/>
      <c r="V1227" s="74" t="n"/>
      <c r="W1227" s="74" t="n"/>
    </row>
    <row r="1228">
      <c r="A1228" s="74" t="n"/>
      <c r="B1228" s="74" t="n"/>
      <c r="C1228" s="74" t="n"/>
      <c r="D1228" s="74" t="n"/>
      <c r="E1228" s="74" t="n"/>
      <c r="F1228" s="74" t="n"/>
      <c r="G1228" s="74" t="n"/>
      <c r="H1228" s="74" t="n"/>
      <c r="I1228" s="74" t="n"/>
      <c r="J1228" s="74" t="n"/>
      <c r="K1228" s="74" t="n"/>
      <c r="L1228" s="74" t="n"/>
      <c r="M1228" s="74" t="n"/>
      <c r="N1228" s="74" t="n"/>
      <c r="O1228" s="74" t="n"/>
      <c r="P1228" s="74" t="n"/>
      <c r="Q1228" s="74" t="n"/>
      <c r="R1228" s="74" t="n"/>
      <c r="S1228" s="74" t="n"/>
      <c r="T1228" s="74" t="n"/>
      <c r="U1228" s="74" t="n"/>
      <c r="V1228" s="74" t="n"/>
      <c r="W1228" s="74" t="n"/>
    </row>
    <row r="1229">
      <c r="A1229" s="74" t="n"/>
      <c r="B1229" s="74" t="n"/>
      <c r="C1229" s="74" t="n"/>
      <c r="D1229" s="74" t="n"/>
      <c r="E1229" s="74" t="n"/>
      <c r="F1229" s="74" t="n"/>
      <c r="G1229" s="74" t="n"/>
      <c r="H1229" s="74" t="n"/>
      <c r="I1229" s="74" t="n"/>
      <c r="J1229" s="74" t="n"/>
      <c r="K1229" s="74" t="n"/>
      <c r="L1229" s="74" t="n"/>
      <c r="M1229" s="74" t="n"/>
      <c r="N1229" s="74" t="n"/>
      <c r="O1229" s="74" t="n"/>
      <c r="P1229" s="74" t="n"/>
      <c r="Q1229" s="74" t="n"/>
      <c r="R1229" s="74" t="n"/>
      <c r="S1229" s="74" t="n"/>
      <c r="T1229" s="74" t="n"/>
      <c r="U1229" s="74" t="n"/>
      <c r="V1229" s="74" t="n"/>
      <c r="W1229" s="74" t="n"/>
    </row>
    <row r="1230">
      <c r="A1230" s="74" t="n"/>
      <c r="B1230" s="74" t="n"/>
      <c r="C1230" s="74" t="n"/>
      <c r="D1230" s="74" t="n"/>
      <c r="E1230" s="74" t="n"/>
      <c r="F1230" s="74" t="n"/>
      <c r="G1230" s="74" t="n"/>
      <c r="H1230" s="74" t="n"/>
      <c r="I1230" s="74" t="n"/>
      <c r="J1230" s="74" t="n"/>
      <c r="K1230" s="74" t="n"/>
      <c r="L1230" s="74" t="n"/>
      <c r="M1230" s="74" t="n"/>
      <c r="N1230" s="74" t="n"/>
      <c r="O1230" s="74" t="n"/>
      <c r="P1230" s="74" t="n"/>
      <c r="Q1230" s="74" t="n"/>
      <c r="R1230" s="74" t="n"/>
      <c r="S1230" s="74" t="n"/>
      <c r="T1230" s="74" t="n"/>
      <c r="U1230" s="74" t="n"/>
      <c r="V1230" s="74" t="n"/>
      <c r="W1230" s="74" t="n"/>
    </row>
    <row r="1231">
      <c r="A1231" s="74" t="n"/>
      <c r="B1231" s="74" t="n"/>
      <c r="C1231" s="74" t="n"/>
      <c r="D1231" s="74" t="n"/>
      <c r="E1231" s="74" t="n"/>
      <c r="F1231" s="74" t="n"/>
      <c r="G1231" s="74" t="n"/>
      <c r="H1231" s="74" t="n"/>
      <c r="I1231" s="74" t="n"/>
      <c r="J1231" s="74" t="n"/>
      <c r="K1231" s="74" t="n"/>
      <c r="L1231" s="74" t="n"/>
      <c r="M1231" s="74" t="n"/>
      <c r="N1231" s="74" t="n"/>
      <c r="O1231" s="74" t="n"/>
      <c r="P1231" s="74" t="n"/>
      <c r="Q1231" s="74" t="n"/>
      <c r="R1231" s="74" t="n"/>
      <c r="S1231" s="74" t="n"/>
      <c r="T1231" s="74" t="n"/>
      <c r="U1231" s="74" t="n"/>
      <c r="V1231" s="74" t="n"/>
      <c r="W1231" s="74" t="n"/>
    </row>
    <row r="1232">
      <c r="A1232" s="74" t="n"/>
      <c r="B1232" s="74" t="n"/>
      <c r="C1232" s="74" t="n"/>
      <c r="D1232" s="74" t="n"/>
      <c r="E1232" s="74" t="n"/>
      <c r="F1232" s="74" t="n"/>
      <c r="G1232" s="74" t="n"/>
      <c r="H1232" s="74" t="n"/>
      <c r="I1232" s="74" t="n"/>
      <c r="J1232" s="74" t="n"/>
      <c r="K1232" s="74" t="n"/>
      <c r="L1232" s="74" t="n"/>
      <c r="M1232" s="74" t="n"/>
      <c r="N1232" s="74" t="n"/>
      <c r="O1232" s="74" t="n"/>
      <c r="P1232" s="74" t="n"/>
      <c r="Q1232" s="74" t="n"/>
      <c r="R1232" s="74" t="n"/>
      <c r="S1232" s="74" t="n"/>
      <c r="T1232" s="74" t="n"/>
      <c r="U1232" s="74" t="n"/>
      <c r="V1232" s="74" t="n"/>
      <c r="W1232" s="74" t="n"/>
    </row>
    <row r="1233">
      <c r="A1233" s="74" t="n"/>
      <c r="B1233" s="74" t="n"/>
      <c r="C1233" s="74" t="n"/>
      <c r="D1233" s="74" t="n"/>
      <c r="E1233" s="74" t="n"/>
      <c r="F1233" s="74" t="n"/>
      <c r="G1233" s="74" t="n"/>
      <c r="H1233" s="74" t="n"/>
      <c r="I1233" s="74" t="n"/>
      <c r="J1233" s="74" t="n"/>
      <c r="K1233" s="74" t="n"/>
      <c r="L1233" s="74" t="n"/>
      <c r="M1233" s="74" t="n"/>
      <c r="N1233" s="74" t="n"/>
      <c r="O1233" s="74" t="n"/>
      <c r="P1233" s="74" t="n"/>
      <c r="Q1233" s="74" t="n"/>
      <c r="R1233" s="74" t="n"/>
      <c r="S1233" s="74" t="n"/>
      <c r="T1233" s="74" t="n"/>
      <c r="U1233" s="74" t="n"/>
      <c r="V1233" s="74" t="n"/>
      <c r="W1233" s="74" t="n"/>
    </row>
    <row r="1234">
      <c r="A1234" s="74" t="n"/>
      <c r="B1234" s="74" t="n"/>
      <c r="C1234" s="74" t="n"/>
      <c r="D1234" s="74" t="n"/>
      <c r="E1234" s="74" t="n"/>
      <c r="F1234" s="74" t="n"/>
      <c r="G1234" s="74" t="n"/>
      <c r="H1234" s="74" t="n"/>
      <c r="I1234" s="74" t="n"/>
      <c r="J1234" s="74" t="n"/>
      <c r="K1234" s="74" t="n"/>
      <c r="L1234" s="74" t="n"/>
      <c r="M1234" s="74" t="n"/>
      <c r="N1234" s="74" t="n"/>
      <c r="O1234" s="74" t="n"/>
      <c r="P1234" s="74" t="n"/>
      <c r="Q1234" s="74" t="n"/>
      <c r="R1234" s="74" t="n"/>
      <c r="S1234" s="74" t="n"/>
      <c r="T1234" s="74" t="n"/>
      <c r="U1234" s="74" t="n"/>
      <c r="V1234" s="74" t="n"/>
      <c r="W1234" s="74" t="n"/>
    </row>
    <row r="1235">
      <c r="A1235" s="74" t="n"/>
      <c r="B1235" s="74" t="n"/>
      <c r="C1235" s="74" t="n"/>
      <c r="D1235" s="74" t="n"/>
      <c r="E1235" s="74" t="n"/>
      <c r="F1235" s="74" t="n"/>
      <c r="G1235" s="74" t="n"/>
      <c r="H1235" s="74" t="n"/>
      <c r="I1235" s="74" t="n"/>
      <c r="J1235" s="74" t="n"/>
      <c r="K1235" s="74" t="n"/>
      <c r="L1235" s="74" t="n"/>
      <c r="M1235" s="74" t="n"/>
      <c r="N1235" s="74" t="n"/>
      <c r="O1235" s="74" t="n"/>
      <c r="P1235" s="74" t="n"/>
      <c r="Q1235" s="74" t="n"/>
      <c r="R1235" s="74" t="n"/>
      <c r="S1235" s="74" t="n"/>
      <c r="T1235" s="74" t="n"/>
      <c r="U1235" s="74" t="n"/>
      <c r="V1235" s="74" t="n"/>
      <c r="W1235" s="74" t="n"/>
    </row>
    <row r="1236">
      <c r="A1236" s="74" t="n"/>
      <c r="B1236" s="74" t="n"/>
      <c r="C1236" s="74" t="n"/>
      <c r="D1236" s="74" t="n"/>
      <c r="E1236" s="74" t="n"/>
      <c r="F1236" s="74" t="n"/>
      <c r="G1236" s="74" t="n"/>
      <c r="H1236" s="74" t="n"/>
      <c r="I1236" s="74" t="n"/>
      <c r="J1236" s="74" t="n"/>
      <c r="K1236" s="74" t="n"/>
      <c r="L1236" s="74" t="n"/>
      <c r="M1236" s="74" t="n"/>
      <c r="N1236" s="74" t="n"/>
      <c r="O1236" s="74" t="n"/>
      <c r="P1236" s="74" t="n"/>
      <c r="Q1236" s="74" t="n"/>
      <c r="R1236" s="74" t="n"/>
      <c r="S1236" s="74" t="n"/>
      <c r="T1236" s="74" t="n"/>
      <c r="U1236" s="74" t="n"/>
      <c r="V1236" s="74" t="n"/>
      <c r="W1236" s="74" t="n"/>
    </row>
    <row r="1237">
      <c r="A1237" s="74" t="n"/>
      <c r="B1237" s="74" t="n"/>
      <c r="C1237" s="74" t="n"/>
      <c r="D1237" s="74" t="n"/>
      <c r="E1237" s="74" t="n"/>
      <c r="F1237" s="74" t="n"/>
      <c r="G1237" s="74" t="n"/>
      <c r="H1237" s="74" t="n"/>
      <c r="I1237" s="74" t="n"/>
      <c r="J1237" s="74" t="n"/>
      <c r="K1237" s="74" t="n"/>
      <c r="L1237" s="74" t="n"/>
      <c r="M1237" s="74" t="n"/>
      <c r="N1237" s="74" t="n"/>
      <c r="O1237" s="74" t="n"/>
      <c r="P1237" s="74" t="n"/>
      <c r="Q1237" s="74" t="n"/>
      <c r="R1237" s="74" t="n"/>
      <c r="S1237" s="74" t="n"/>
      <c r="T1237" s="74" t="n"/>
      <c r="U1237" s="74" t="n"/>
      <c r="V1237" s="74" t="n"/>
      <c r="W1237" s="74" t="n"/>
    </row>
    <row r="1238">
      <c r="A1238" s="74" t="n"/>
      <c r="B1238" s="74" t="n"/>
      <c r="C1238" s="74" t="n"/>
      <c r="D1238" s="74" t="n"/>
      <c r="E1238" s="74" t="n"/>
      <c r="F1238" s="74" t="n"/>
      <c r="G1238" s="74" t="n"/>
      <c r="H1238" s="74" t="n"/>
      <c r="I1238" s="74" t="n"/>
      <c r="J1238" s="74" t="n"/>
      <c r="K1238" s="74" t="n"/>
      <c r="L1238" s="74" t="n"/>
      <c r="M1238" s="74" t="n"/>
      <c r="N1238" s="74" t="n"/>
      <c r="O1238" s="74" t="n"/>
      <c r="P1238" s="74" t="n"/>
      <c r="Q1238" s="74" t="n"/>
      <c r="R1238" s="74" t="n"/>
      <c r="S1238" s="74" t="n"/>
      <c r="T1238" s="74" t="n"/>
      <c r="U1238" s="74" t="n"/>
      <c r="V1238" s="74" t="n"/>
      <c r="W1238" s="74" t="n"/>
    </row>
    <row r="1239">
      <c r="A1239" s="74" t="n"/>
      <c r="B1239" s="74" t="n"/>
      <c r="C1239" s="74" t="n"/>
      <c r="D1239" s="74" t="n"/>
      <c r="E1239" s="74" t="n"/>
      <c r="F1239" s="74" t="n"/>
      <c r="G1239" s="74" t="n"/>
      <c r="H1239" s="74" t="n"/>
      <c r="I1239" s="74" t="n"/>
      <c r="J1239" s="74" t="n"/>
      <c r="K1239" s="74" t="n"/>
      <c r="L1239" s="74" t="n"/>
      <c r="M1239" s="74" t="n"/>
      <c r="N1239" s="74" t="n"/>
      <c r="O1239" s="74" t="n"/>
      <c r="P1239" s="74" t="n"/>
      <c r="Q1239" s="74" t="n"/>
      <c r="R1239" s="74" t="n"/>
      <c r="S1239" s="74" t="n"/>
      <c r="T1239" s="74" t="n"/>
      <c r="U1239" s="74" t="n"/>
      <c r="V1239" s="74" t="n"/>
      <c r="W1239" s="74" t="n"/>
    </row>
    <row r="1240">
      <c r="A1240" s="74" t="n"/>
      <c r="B1240" s="74" t="n"/>
      <c r="C1240" s="74" t="n"/>
      <c r="D1240" s="74" t="n"/>
      <c r="E1240" s="74" t="n"/>
      <c r="F1240" s="74" t="n"/>
      <c r="G1240" s="74" t="n"/>
      <c r="H1240" s="74" t="n"/>
      <c r="I1240" s="74" t="n"/>
      <c r="J1240" s="74" t="n"/>
      <c r="K1240" s="74" t="n"/>
      <c r="L1240" s="74" t="n"/>
      <c r="M1240" s="74" t="n"/>
      <c r="N1240" s="74" t="n"/>
      <c r="O1240" s="74" t="n"/>
      <c r="P1240" s="74" t="n"/>
      <c r="Q1240" s="74" t="n"/>
      <c r="R1240" s="74" t="n"/>
      <c r="S1240" s="74" t="n"/>
      <c r="T1240" s="74" t="n"/>
      <c r="U1240" s="74" t="n"/>
      <c r="V1240" s="74" t="n"/>
      <c r="W1240" s="74" t="n"/>
    </row>
    <row r="1241">
      <c r="A1241" s="74" t="n"/>
      <c r="B1241" s="74" t="n"/>
      <c r="C1241" s="74" t="n"/>
      <c r="D1241" s="74" t="n"/>
      <c r="E1241" s="74" t="n"/>
      <c r="F1241" s="74" t="n"/>
      <c r="G1241" s="74" t="n"/>
      <c r="H1241" s="74" t="n"/>
      <c r="I1241" s="74" t="n"/>
      <c r="J1241" s="74" t="n"/>
      <c r="K1241" s="74" t="n"/>
      <c r="L1241" s="74" t="n"/>
      <c r="M1241" s="74" t="n"/>
      <c r="N1241" s="74" t="n"/>
      <c r="O1241" s="74" t="n"/>
      <c r="P1241" s="74" t="n"/>
      <c r="Q1241" s="74" t="n"/>
      <c r="R1241" s="74" t="n"/>
      <c r="S1241" s="74" t="n"/>
      <c r="T1241" s="74" t="n"/>
      <c r="U1241" s="74" t="n"/>
      <c r="V1241" s="74" t="n"/>
      <c r="W1241" s="74" t="n"/>
    </row>
    <row r="1242">
      <c r="A1242" s="74" t="n"/>
      <c r="B1242" s="74" t="n"/>
      <c r="C1242" s="74" t="n"/>
      <c r="D1242" s="74" t="n"/>
      <c r="E1242" s="74" t="n"/>
      <c r="F1242" s="74" t="n"/>
      <c r="G1242" s="74" t="n"/>
      <c r="H1242" s="74" t="n"/>
      <c r="I1242" s="74" t="n"/>
      <c r="J1242" s="74" t="n"/>
      <c r="K1242" s="74" t="n"/>
      <c r="L1242" s="74" t="n"/>
      <c r="M1242" s="74" t="n"/>
      <c r="N1242" s="74" t="n"/>
      <c r="O1242" s="74" t="n"/>
      <c r="P1242" s="74" t="n"/>
      <c r="Q1242" s="74" t="n"/>
      <c r="R1242" s="74" t="n"/>
      <c r="S1242" s="74" t="n"/>
      <c r="T1242" s="74" t="n"/>
      <c r="U1242" s="74" t="n"/>
      <c r="V1242" s="74" t="n"/>
      <c r="W1242" s="74" t="n"/>
    </row>
    <row r="1243">
      <c r="A1243" s="74" t="n"/>
      <c r="B1243" s="74" t="n"/>
      <c r="C1243" s="74" t="n"/>
      <c r="D1243" s="74" t="n"/>
      <c r="E1243" s="74" t="n"/>
      <c r="F1243" s="74" t="n"/>
      <c r="G1243" s="74" t="n"/>
      <c r="H1243" s="74" t="n"/>
      <c r="I1243" s="74" t="n"/>
      <c r="J1243" s="74" t="n"/>
      <c r="K1243" s="74" t="n"/>
      <c r="L1243" s="74" t="n"/>
      <c r="M1243" s="74" t="n"/>
      <c r="N1243" s="74" t="n"/>
      <c r="O1243" s="74" t="n"/>
      <c r="P1243" s="74" t="n"/>
      <c r="Q1243" s="74" t="n"/>
      <c r="R1243" s="74" t="n"/>
      <c r="S1243" s="74" t="n"/>
      <c r="T1243" s="74" t="n"/>
      <c r="U1243" s="74" t="n"/>
      <c r="V1243" s="74" t="n"/>
      <c r="W1243" s="74" t="n"/>
    </row>
    <row r="1244">
      <c r="A1244" s="74" t="n"/>
      <c r="B1244" s="74" t="n"/>
      <c r="C1244" s="74" t="n"/>
      <c r="D1244" s="74" t="n"/>
      <c r="E1244" s="74" t="n"/>
      <c r="F1244" s="74" t="n"/>
      <c r="G1244" s="74" t="n"/>
      <c r="H1244" s="74" t="n"/>
      <c r="I1244" s="74" t="n"/>
      <c r="J1244" s="74" t="n"/>
      <c r="K1244" s="74" t="n"/>
      <c r="L1244" s="74" t="n"/>
      <c r="M1244" s="74" t="n"/>
      <c r="N1244" s="74" t="n"/>
      <c r="O1244" s="74" t="n"/>
      <c r="P1244" s="74" t="n"/>
      <c r="Q1244" s="74" t="n"/>
      <c r="R1244" s="74" t="n"/>
      <c r="S1244" s="74" t="n"/>
      <c r="T1244" s="74" t="n"/>
      <c r="U1244" s="74" t="n"/>
      <c r="V1244" s="74" t="n"/>
      <c r="W1244" s="74" t="n"/>
    </row>
    <row r="1245">
      <c r="A1245" s="74" t="n"/>
      <c r="B1245" s="74" t="n"/>
      <c r="C1245" s="74" t="n"/>
      <c r="D1245" s="74" t="n"/>
      <c r="E1245" s="74" t="n"/>
      <c r="F1245" s="74" t="n"/>
      <c r="G1245" s="74" t="n"/>
      <c r="H1245" s="74" t="n"/>
      <c r="I1245" s="74" t="n"/>
      <c r="J1245" s="74" t="n"/>
      <c r="K1245" s="74" t="n"/>
      <c r="L1245" s="74" t="n"/>
      <c r="M1245" s="74" t="n"/>
      <c r="N1245" s="74" t="n"/>
      <c r="O1245" s="74" t="n"/>
      <c r="P1245" s="74" t="n"/>
      <c r="Q1245" s="74" t="n"/>
      <c r="R1245" s="74" t="n"/>
      <c r="S1245" s="74" t="n"/>
      <c r="T1245" s="74" t="n"/>
      <c r="U1245" s="74" t="n"/>
      <c r="V1245" s="74" t="n"/>
      <c r="W1245" s="74" t="n"/>
    </row>
    <row r="1246">
      <c r="A1246" s="74" t="n"/>
      <c r="B1246" s="74" t="n"/>
      <c r="C1246" s="74" t="n"/>
      <c r="D1246" s="74" t="n"/>
      <c r="E1246" s="74" t="n"/>
      <c r="F1246" s="74" t="n"/>
      <c r="G1246" s="74" t="n"/>
      <c r="H1246" s="74" t="n"/>
      <c r="I1246" s="74" t="n"/>
      <c r="J1246" s="74" t="n"/>
      <c r="K1246" s="74" t="n"/>
      <c r="L1246" s="74" t="n"/>
      <c r="M1246" s="74" t="n"/>
      <c r="N1246" s="74" t="n"/>
      <c r="O1246" s="74" t="n"/>
      <c r="P1246" s="74" t="n"/>
      <c r="Q1246" s="74" t="n"/>
      <c r="R1246" s="74" t="n"/>
      <c r="S1246" s="74" t="n"/>
      <c r="T1246" s="74" t="n"/>
      <c r="U1246" s="74" t="n"/>
      <c r="V1246" s="74" t="n"/>
      <c r="W1246" s="74" t="n"/>
    </row>
    <row r="1247">
      <c r="A1247" s="74" t="n"/>
      <c r="B1247" s="74" t="n"/>
      <c r="C1247" s="74" t="n"/>
      <c r="D1247" s="74" t="n"/>
      <c r="E1247" s="74" t="n"/>
      <c r="F1247" s="74" t="n"/>
      <c r="G1247" s="74" t="n"/>
      <c r="H1247" s="74" t="n"/>
      <c r="I1247" s="74" t="n"/>
      <c r="J1247" s="74" t="n"/>
      <c r="K1247" s="74" t="n"/>
      <c r="L1247" s="74" t="n"/>
      <c r="M1247" s="74" t="n"/>
      <c r="N1247" s="74" t="n"/>
      <c r="O1247" s="74" t="n"/>
      <c r="P1247" s="74" t="n"/>
      <c r="Q1247" s="74" t="n"/>
      <c r="R1247" s="74" t="n"/>
      <c r="S1247" s="74" t="n"/>
      <c r="T1247" s="74" t="n"/>
      <c r="U1247" s="74" t="n"/>
      <c r="V1247" s="74" t="n"/>
      <c r="W1247" s="74" t="n"/>
    </row>
    <row r="1248">
      <c r="A1248" s="74" t="n"/>
      <c r="B1248" s="74" t="n"/>
      <c r="C1248" s="74" t="n"/>
      <c r="D1248" s="74" t="n"/>
      <c r="E1248" s="74" t="n"/>
      <c r="F1248" s="74" t="n"/>
      <c r="G1248" s="74" t="n"/>
      <c r="H1248" s="74" t="n"/>
      <c r="I1248" s="74" t="n"/>
      <c r="J1248" s="74" t="n"/>
      <c r="K1248" s="74" t="n"/>
      <c r="L1248" s="74" t="n"/>
      <c r="M1248" s="74" t="n"/>
      <c r="N1248" s="74" t="n"/>
      <c r="O1248" s="74" t="n"/>
      <c r="P1248" s="74" t="n"/>
      <c r="Q1248" s="74" t="n"/>
      <c r="R1248" s="74" t="n"/>
      <c r="S1248" s="74" t="n"/>
      <c r="T1248" s="74" t="n"/>
      <c r="U1248" s="74" t="n"/>
      <c r="V1248" s="74" t="n"/>
      <c r="W1248" s="74" t="n"/>
    </row>
    <row r="1249">
      <c r="A1249" s="74" t="n"/>
      <c r="B1249" s="74" t="n"/>
      <c r="C1249" s="74" t="n"/>
      <c r="D1249" s="74" t="n"/>
      <c r="E1249" s="74" t="n"/>
      <c r="F1249" s="74" t="n"/>
      <c r="G1249" s="74" t="n"/>
      <c r="H1249" s="74" t="n"/>
      <c r="I1249" s="74" t="n"/>
      <c r="J1249" s="74" t="n"/>
      <c r="K1249" s="74" t="n"/>
      <c r="L1249" s="74" t="n"/>
      <c r="M1249" s="74" t="n"/>
      <c r="N1249" s="74" t="n"/>
      <c r="O1249" s="74" t="n"/>
      <c r="P1249" s="74" t="n"/>
      <c r="Q1249" s="74" t="n"/>
      <c r="R1249" s="74" t="n"/>
      <c r="S1249" s="74" t="n"/>
      <c r="T1249" s="74" t="n"/>
      <c r="U1249" s="74" t="n"/>
      <c r="V1249" s="74" t="n"/>
      <c r="W1249" s="74" t="n"/>
    </row>
    <row r="1250">
      <c r="A1250" s="74" t="n"/>
      <c r="B1250" s="74" t="n"/>
      <c r="C1250" s="74" t="n"/>
      <c r="D1250" s="74" t="n"/>
      <c r="E1250" s="74" t="n"/>
      <c r="F1250" s="74" t="n"/>
      <c r="G1250" s="74" t="n"/>
      <c r="H1250" s="74" t="n"/>
      <c r="I1250" s="74" t="n"/>
      <c r="J1250" s="74" t="n"/>
      <c r="K1250" s="74" t="n"/>
      <c r="L1250" s="74" t="n"/>
      <c r="M1250" s="74" t="n"/>
      <c r="N1250" s="74" t="n"/>
      <c r="O1250" s="74" t="n"/>
      <c r="P1250" s="74" t="n"/>
      <c r="Q1250" s="74" t="n"/>
      <c r="R1250" s="74" t="n"/>
      <c r="S1250" s="74" t="n"/>
      <c r="T1250" s="74" t="n"/>
      <c r="U1250" s="74" t="n"/>
      <c r="V1250" s="74" t="n"/>
      <c r="W1250" s="74" t="n"/>
    </row>
    <row r="1251">
      <c r="A1251" s="74" t="n"/>
      <c r="B1251" s="74" t="n"/>
      <c r="C1251" s="74" t="n"/>
      <c r="D1251" s="74" t="n"/>
      <c r="E1251" s="74" t="n"/>
      <c r="F1251" s="74" t="n"/>
      <c r="G1251" s="74" t="n"/>
      <c r="H1251" s="74" t="n"/>
      <c r="I1251" s="74" t="n"/>
      <c r="J1251" s="74" t="n"/>
      <c r="K1251" s="74" t="n"/>
      <c r="L1251" s="74" t="n"/>
      <c r="M1251" s="74" t="n"/>
      <c r="N1251" s="74" t="n"/>
      <c r="O1251" s="74" t="n"/>
      <c r="P1251" s="74" t="n"/>
      <c r="Q1251" s="74" t="n"/>
      <c r="R1251" s="74" t="n"/>
      <c r="S1251" s="74" t="n"/>
      <c r="T1251" s="74" t="n"/>
      <c r="U1251" s="74" t="n"/>
      <c r="V1251" s="74" t="n"/>
      <c r="W1251" s="74" t="n"/>
    </row>
    <row r="1252">
      <c r="A1252" s="74" t="n"/>
      <c r="B1252" s="74" t="n"/>
      <c r="C1252" s="74" t="n"/>
      <c r="D1252" s="74" t="n"/>
      <c r="E1252" s="74" t="n"/>
      <c r="F1252" s="74" t="n"/>
      <c r="G1252" s="74" t="n"/>
      <c r="H1252" s="74" t="n"/>
      <c r="I1252" s="74" t="n"/>
      <c r="J1252" s="74" t="n"/>
      <c r="K1252" s="74" t="n"/>
      <c r="L1252" s="74" t="n"/>
      <c r="M1252" s="74" t="n"/>
      <c r="N1252" s="74" t="n"/>
      <c r="O1252" s="74" t="n"/>
      <c r="P1252" s="74" t="n"/>
      <c r="Q1252" s="74" t="n"/>
      <c r="R1252" s="74" t="n"/>
      <c r="S1252" s="74" t="n"/>
      <c r="T1252" s="74" t="n"/>
      <c r="U1252" s="74" t="n"/>
      <c r="V1252" s="74" t="n"/>
      <c r="W1252" s="74" t="n"/>
    </row>
    <row r="1253">
      <c r="A1253" s="74" t="n"/>
      <c r="B1253" s="74" t="n"/>
      <c r="C1253" s="74" t="n"/>
      <c r="D1253" s="74" t="n"/>
      <c r="E1253" s="74" t="n"/>
      <c r="F1253" s="74" t="n"/>
      <c r="G1253" s="74" t="n"/>
      <c r="H1253" s="74" t="n"/>
      <c r="I1253" s="74" t="n"/>
      <c r="J1253" s="74" t="n"/>
      <c r="K1253" s="74" t="n"/>
      <c r="L1253" s="74" t="n"/>
      <c r="M1253" s="74" t="n"/>
      <c r="N1253" s="74" t="n"/>
      <c r="O1253" s="74" t="n"/>
      <c r="P1253" s="74" t="n"/>
      <c r="Q1253" s="74" t="n"/>
      <c r="R1253" s="74" t="n"/>
      <c r="S1253" s="74" t="n"/>
      <c r="T1253" s="74" t="n"/>
      <c r="U1253" s="74" t="n"/>
      <c r="V1253" s="74" t="n"/>
      <c r="W1253" s="74" t="n"/>
    </row>
    <row r="1254">
      <c r="A1254" s="74" t="n"/>
      <c r="B1254" s="74" t="n"/>
      <c r="C1254" s="74" t="n"/>
      <c r="D1254" s="74" t="n"/>
      <c r="E1254" s="74" t="n"/>
      <c r="F1254" s="74" t="n"/>
      <c r="G1254" s="74" t="n"/>
      <c r="H1254" s="74" t="n"/>
      <c r="I1254" s="74" t="n"/>
      <c r="J1254" s="74" t="n"/>
      <c r="K1254" s="74" t="n"/>
      <c r="L1254" s="74" t="n"/>
      <c r="M1254" s="74" t="n"/>
      <c r="N1254" s="74" t="n"/>
      <c r="O1254" s="74" t="n"/>
      <c r="P1254" s="74" t="n"/>
      <c r="Q1254" s="74" t="n"/>
      <c r="R1254" s="74" t="n"/>
      <c r="S1254" s="74" t="n"/>
      <c r="T1254" s="74" t="n"/>
      <c r="U1254" s="74" t="n"/>
      <c r="V1254" s="74" t="n"/>
      <c r="W1254" s="74" t="n"/>
    </row>
    <row r="1255">
      <c r="A1255" s="74" t="n"/>
      <c r="B1255" s="74" t="n"/>
      <c r="C1255" s="74" t="n"/>
      <c r="D1255" s="74" t="n"/>
      <c r="E1255" s="74" t="n"/>
      <c r="F1255" s="74" t="n"/>
      <c r="G1255" s="74" t="n"/>
      <c r="H1255" s="74" t="n"/>
      <c r="I1255" s="74" t="n"/>
      <c r="J1255" s="74" t="n"/>
      <c r="K1255" s="74" t="n"/>
      <c r="L1255" s="74" t="n"/>
      <c r="M1255" s="74" t="n"/>
      <c r="N1255" s="74" t="n"/>
      <c r="O1255" s="74" t="n"/>
      <c r="P1255" s="74" t="n"/>
      <c r="Q1255" s="74" t="n"/>
      <c r="R1255" s="74" t="n"/>
      <c r="S1255" s="74" t="n"/>
      <c r="T1255" s="74" t="n"/>
      <c r="U1255" s="74" t="n"/>
      <c r="V1255" s="74" t="n"/>
      <c r="W1255" s="74" t="n"/>
    </row>
    <row r="1256">
      <c r="A1256" s="74" t="n"/>
      <c r="B1256" s="74" t="n"/>
      <c r="C1256" s="74" t="n"/>
      <c r="D1256" s="74" t="n"/>
      <c r="E1256" s="74" t="n"/>
      <c r="F1256" s="74" t="n"/>
      <c r="G1256" s="74" t="n"/>
      <c r="H1256" s="74" t="n"/>
      <c r="I1256" s="74" t="n"/>
      <c r="J1256" s="74" t="n"/>
      <c r="K1256" s="74" t="n"/>
      <c r="L1256" s="74" t="n"/>
      <c r="M1256" s="74" t="n"/>
      <c r="N1256" s="74" t="n"/>
      <c r="O1256" s="74" t="n"/>
      <c r="P1256" s="74" t="n"/>
      <c r="Q1256" s="74" t="n"/>
      <c r="R1256" s="74" t="n"/>
      <c r="S1256" s="74" t="n"/>
      <c r="T1256" s="74" t="n"/>
      <c r="U1256" s="74" t="n"/>
      <c r="V1256" s="74" t="n"/>
      <c r="W1256" s="74" t="n"/>
    </row>
    <row r="1257">
      <c r="A1257" s="74" t="n"/>
      <c r="B1257" s="74" t="n"/>
      <c r="C1257" s="74" t="n"/>
      <c r="D1257" s="74" t="n"/>
      <c r="E1257" s="74" t="n"/>
      <c r="F1257" s="74" t="n"/>
      <c r="G1257" s="74" t="n"/>
      <c r="H1257" s="74" t="n"/>
      <c r="I1257" s="74" t="n"/>
      <c r="J1257" s="74" t="n"/>
      <c r="K1257" s="74" t="n"/>
      <c r="L1257" s="74" t="n"/>
      <c r="M1257" s="74" t="n"/>
      <c r="N1257" s="74" t="n"/>
      <c r="O1257" s="74" t="n"/>
      <c r="P1257" s="74" t="n"/>
      <c r="Q1257" s="74" t="n"/>
      <c r="R1257" s="74" t="n"/>
      <c r="S1257" s="74" t="n"/>
      <c r="T1257" s="74" t="n"/>
      <c r="U1257" s="74" t="n"/>
      <c r="V1257" s="74" t="n"/>
      <c r="W1257" s="74" t="n"/>
    </row>
    <row r="1258">
      <c r="A1258" s="74" t="n"/>
      <c r="B1258" s="74" t="n"/>
      <c r="C1258" s="74" t="n"/>
      <c r="D1258" s="74" t="n"/>
      <c r="E1258" s="74" t="n"/>
      <c r="F1258" s="74" t="n"/>
      <c r="G1258" s="74" t="n"/>
      <c r="H1258" s="74" t="n"/>
      <c r="I1258" s="74" t="n"/>
      <c r="J1258" s="74" t="n"/>
      <c r="K1258" s="74" t="n"/>
      <c r="L1258" s="74" t="n"/>
      <c r="M1258" s="74" t="n"/>
      <c r="N1258" s="74" t="n"/>
      <c r="O1258" s="74" t="n"/>
      <c r="P1258" s="74" t="n"/>
      <c r="Q1258" s="74" t="n"/>
      <c r="R1258" s="74" t="n"/>
      <c r="S1258" s="74" t="n"/>
      <c r="T1258" s="74" t="n"/>
      <c r="U1258" s="74" t="n"/>
      <c r="V1258" s="74" t="n"/>
      <c r="W1258" s="74" t="n"/>
    </row>
    <row r="1259">
      <c r="A1259" s="74" t="n"/>
      <c r="B1259" s="74" t="n"/>
      <c r="C1259" s="74" t="n"/>
      <c r="D1259" s="74" t="n"/>
      <c r="E1259" s="74" t="n"/>
      <c r="F1259" s="74" t="n"/>
      <c r="G1259" s="74" t="n"/>
      <c r="H1259" s="74" t="n"/>
      <c r="I1259" s="74" t="n"/>
      <c r="J1259" s="74" t="n"/>
      <c r="K1259" s="74" t="n"/>
      <c r="L1259" s="74" t="n"/>
      <c r="M1259" s="74" t="n"/>
      <c r="N1259" s="74" t="n"/>
      <c r="O1259" s="74" t="n"/>
      <c r="P1259" s="74" t="n"/>
      <c r="Q1259" s="74" t="n"/>
      <c r="R1259" s="74" t="n"/>
      <c r="S1259" s="74" t="n"/>
      <c r="T1259" s="74" t="n"/>
      <c r="U1259" s="74" t="n"/>
      <c r="V1259" s="74" t="n"/>
      <c r="W1259" s="74" t="n"/>
    </row>
    <row r="1260">
      <c r="A1260" s="74" t="n"/>
      <c r="B1260" s="74" t="n"/>
      <c r="C1260" s="74" t="n"/>
      <c r="D1260" s="74" t="n"/>
      <c r="E1260" s="74" t="n"/>
      <c r="F1260" s="74" t="n"/>
      <c r="G1260" s="74" t="n"/>
      <c r="H1260" s="74" t="n"/>
      <c r="I1260" s="74" t="n"/>
      <c r="J1260" s="74" t="n"/>
      <c r="K1260" s="74" t="n"/>
      <c r="L1260" s="74" t="n"/>
      <c r="M1260" s="74" t="n"/>
      <c r="N1260" s="74" t="n"/>
      <c r="O1260" s="74" t="n"/>
      <c r="P1260" s="74" t="n"/>
      <c r="Q1260" s="74" t="n"/>
      <c r="R1260" s="74" t="n"/>
      <c r="S1260" s="74" t="n"/>
      <c r="T1260" s="74" t="n"/>
      <c r="U1260" s="74" t="n"/>
      <c r="V1260" s="74" t="n"/>
      <c r="W1260" s="74" t="n"/>
    </row>
    <row r="1261">
      <c r="A1261" s="74" t="n"/>
      <c r="B1261" s="74" t="n"/>
      <c r="C1261" s="74" t="n"/>
      <c r="D1261" s="74" t="n"/>
      <c r="E1261" s="74" t="n"/>
      <c r="F1261" s="74" t="n"/>
      <c r="G1261" s="74" t="n"/>
      <c r="H1261" s="74" t="n"/>
      <c r="I1261" s="74" t="n"/>
      <c r="J1261" s="74" t="n"/>
      <c r="K1261" s="74" t="n"/>
      <c r="L1261" s="74" t="n"/>
      <c r="M1261" s="74" t="n"/>
      <c r="N1261" s="74" t="n"/>
      <c r="O1261" s="74" t="n"/>
      <c r="P1261" s="74" t="n"/>
      <c r="Q1261" s="74" t="n"/>
      <c r="R1261" s="74" t="n"/>
      <c r="S1261" s="74" t="n"/>
      <c r="T1261" s="74" t="n"/>
      <c r="U1261" s="74" t="n"/>
      <c r="V1261" s="74" t="n"/>
      <c r="W1261" s="74" t="n"/>
    </row>
    <row r="1262">
      <c r="A1262" s="74" t="n"/>
      <c r="B1262" s="74" t="n"/>
      <c r="C1262" s="74" t="n"/>
      <c r="D1262" s="74" t="n"/>
      <c r="E1262" s="74" t="n"/>
      <c r="F1262" s="74" t="n"/>
      <c r="G1262" s="74" t="n"/>
      <c r="H1262" s="74" t="n"/>
      <c r="I1262" s="74" t="n"/>
      <c r="J1262" s="74" t="n"/>
      <c r="K1262" s="74" t="n"/>
      <c r="L1262" s="74" t="n"/>
      <c r="M1262" s="74" t="n"/>
      <c r="N1262" s="74" t="n"/>
      <c r="O1262" s="74" t="n"/>
      <c r="P1262" s="74" t="n"/>
      <c r="Q1262" s="74" t="n"/>
      <c r="R1262" s="74" t="n"/>
      <c r="S1262" s="74" t="n"/>
      <c r="T1262" s="74" t="n"/>
      <c r="U1262" s="74" t="n"/>
      <c r="V1262" s="74" t="n"/>
      <c r="W1262" s="74" t="n"/>
    </row>
    <row r="1263">
      <c r="A1263" s="74" t="n"/>
      <c r="B1263" s="74" t="n"/>
      <c r="C1263" s="74" t="n"/>
      <c r="D1263" s="74" t="n"/>
      <c r="E1263" s="74" t="n"/>
      <c r="F1263" s="74" t="n"/>
      <c r="G1263" s="74" t="n"/>
      <c r="H1263" s="74" t="n"/>
      <c r="I1263" s="74" t="n"/>
      <c r="J1263" s="74" t="n"/>
      <c r="K1263" s="74" t="n"/>
      <c r="L1263" s="74" t="n"/>
      <c r="M1263" s="74" t="n"/>
      <c r="N1263" s="74" t="n"/>
      <c r="O1263" s="74" t="n"/>
      <c r="P1263" s="74" t="n"/>
      <c r="Q1263" s="74" t="n"/>
      <c r="R1263" s="74" t="n"/>
      <c r="S1263" s="74" t="n"/>
      <c r="T1263" s="74" t="n"/>
      <c r="U1263" s="74" t="n"/>
      <c r="V1263" s="74" t="n"/>
      <c r="W1263" s="74" t="n"/>
    </row>
    <row r="1264">
      <c r="A1264" s="74" t="n"/>
      <c r="B1264" s="74" t="n"/>
      <c r="C1264" s="74" t="n"/>
      <c r="D1264" s="74" t="n"/>
      <c r="E1264" s="74" t="n"/>
      <c r="F1264" s="74" t="n"/>
      <c r="G1264" s="74" t="n"/>
      <c r="H1264" s="74" t="n"/>
      <c r="I1264" s="74" t="n"/>
      <c r="J1264" s="74" t="n"/>
      <c r="K1264" s="74" t="n"/>
      <c r="L1264" s="74" t="n"/>
      <c r="M1264" s="74" t="n"/>
      <c r="N1264" s="74" t="n"/>
      <c r="O1264" s="74" t="n"/>
      <c r="P1264" s="74" t="n"/>
      <c r="Q1264" s="74" t="n"/>
      <c r="R1264" s="74" t="n"/>
      <c r="S1264" s="74" t="n"/>
      <c r="T1264" s="74" t="n"/>
      <c r="U1264" s="74" t="n"/>
      <c r="V1264" s="74" t="n"/>
      <c r="W1264" s="74" t="n"/>
    </row>
    <row r="1265">
      <c r="A1265" s="74" t="n"/>
      <c r="B1265" s="74" t="n"/>
      <c r="C1265" s="74" t="n"/>
      <c r="D1265" s="74" t="n"/>
      <c r="E1265" s="74" t="n"/>
      <c r="F1265" s="74" t="n"/>
      <c r="G1265" s="74" t="n"/>
      <c r="H1265" s="74" t="n"/>
      <c r="I1265" s="74" t="n"/>
      <c r="J1265" s="74" t="n"/>
      <c r="K1265" s="74" t="n"/>
      <c r="L1265" s="74" t="n"/>
      <c r="M1265" s="74" t="n"/>
      <c r="N1265" s="74" t="n"/>
      <c r="O1265" s="74" t="n"/>
      <c r="P1265" s="74" t="n"/>
      <c r="Q1265" s="74" t="n"/>
      <c r="R1265" s="74" t="n"/>
      <c r="S1265" s="74" t="n"/>
      <c r="T1265" s="74" t="n"/>
      <c r="U1265" s="74" t="n"/>
      <c r="V1265" s="74" t="n"/>
      <c r="W1265" s="74" t="n"/>
    </row>
    <row r="1266">
      <c r="A1266" s="74" t="n"/>
      <c r="B1266" s="74" t="n"/>
      <c r="C1266" s="74" t="n"/>
      <c r="D1266" s="74" t="n"/>
      <c r="E1266" s="74" t="n"/>
      <c r="F1266" s="74" t="n"/>
      <c r="G1266" s="74" t="n"/>
      <c r="H1266" s="74" t="n"/>
      <c r="I1266" s="74" t="n"/>
      <c r="J1266" s="74" t="n"/>
      <c r="K1266" s="74" t="n"/>
      <c r="L1266" s="74" t="n"/>
      <c r="M1266" s="74" t="n"/>
      <c r="N1266" s="74" t="n"/>
      <c r="O1266" s="74" t="n"/>
      <c r="P1266" s="74" t="n"/>
      <c r="Q1266" s="74" t="n"/>
      <c r="R1266" s="74" t="n"/>
      <c r="S1266" s="74" t="n"/>
      <c r="T1266" s="74" t="n"/>
      <c r="U1266" s="74" t="n"/>
      <c r="V1266" s="74" t="n"/>
      <c r="W1266" s="74" t="n"/>
    </row>
    <row r="1267">
      <c r="A1267" s="74" t="n"/>
      <c r="B1267" s="74" t="n"/>
      <c r="C1267" s="74" t="n"/>
      <c r="D1267" s="74" t="n"/>
      <c r="E1267" s="74" t="n"/>
      <c r="F1267" s="74" t="n"/>
      <c r="G1267" s="74" t="n"/>
      <c r="H1267" s="74" t="n"/>
      <c r="I1267" s="74" t="n"/>
      <c r="J1267" s="74" t="n"/>
      <c r="K1267" s="74" t="n"/>
      <c r="L1267" s="74" t="n"/>
      <c r="M1267" s="74" t="n"/>
      <c r="N1267" s="74" t="n"/>
      <c r="O1267" s="74" t="n"/>
      <c r="P1267" s="74" t="n"/>
      <c r="Q1267" s="74" t="n"/>
      <c r="R1267" s="74" t="n"/>
      <c r="S1267" s="74" t="n"/>
      <c r="T1267" s="74" t="n"/>
      <c r="U1267" s="74" t="n"/>
      <c r="V1267" s="74" t="n"/>
      <c r="W1267" s="74" t="n"/>
    </row>
    <row r="1268">
      <c r="A1268" s="74" t="n"/>
      <c r="B1268" s="74" t="n"/>
      <c r="C1268" s="74" t="n"/>
      <c r="D1268" s="74" t="n"/>
      <c r="E1268" s="74" t="n"/>
      <c r="F1268" s="74" t="n"/>
      <c r="G1268" s="74" t="n"/>
      <c r="H1268" s="74" t="n"/>
      <c r="I1268" s="74" t="n"/>
      <c r="J1268" s="74" t="n"/>
      <c r="K1268" s="74" t="n"/>
      <c r="L1268" s="74" t="n"/>
      <c r="M1268" s="74" t="n"/>
      <c r="N1268" s="74" t="n"/>
      <c r="O1268" s="74" t="n"/>
      <c r="P1268" s="74" t="n"/>
      <c r="Q1268" s="74" t="n"/>
      <c r="R1268" s="74" t="n"/>
      <c r="S1268" s="74" t="n"/>
      <c r="T1268" s="74" t="n"/>
      <c r="U1268" s="74" t="n"/>
      <c r="V1268" s="74" t="n"/>
      <c r="W1268" s="74" t="n"/>
    </row>
    <row r="1269">
      <c r="A1269" s="74" t="n"/>
      <c r="B1269" s="74" t="n"/>
      <c r="C1269" s="74" t="n"/>
      <c r="D1269" s="74" t="n"/>
      <c r="E1269" s="74" t="n"/>
      <c r="F1269" s="74" t="n"/>
      <c r="G1269" s="74" t="n"/>
      <c r="H1269" s="74" t="n"/>
      <c r="I1269" s="74" t="n"/>
      <c r="J1269" s="74" t="n"/>
      <c r="K1269" s="74" t="n"/>
      <c r="L1269" s="74" t="n"/>
      <c r="M1269" s="74" t="n"/>
      <c r="N1269" s="74" t="n"/>
      <c r="O1269" s="74" t="n"/>
      <c r="P1269" s="74" t="n"/>
      <c r="Q1269" s="74" t="n"/>
      <c r="R1269" s="74" t="n"/>
      <c r="S1269" s="74" t="n"/>
      <c r="T1269" s="74" t="n"/>
      <c r="U1269" s="74" t="n"/>
      <c r="V1269" s="74" t="n"/>
      <c r="W1269" s="74" t="n"/>
    </row>
    <row r="1270">
      <c r="A1270" s="74" t="n"/>
      <c r="B1270" s="74" t="n"/>
      <c r="C1270" s="74" t="n"/>
      <c r="D1270" s="74" t="n"/>
      <c r="E1270" s="74" t="n"/>
      <c r="F1270" s="74" t="n"/>
      <c r="G1270" s="74" t="n"/>
      <c r="H1270" s="74" t="n"/>
      <c r="I1270" s="74" t="n"/>
      <c r="J1270" s="74" t="n"/>
      <c r="K1270" s="74" t="n"/>
      <c r="L1270" s="74" t="n"/>
      <c r="M1270" s="74" t="n"/>
      <c r="N1270" s="74" t="n"/>
      <c r="O1270" s="74" t="n"/>
      <c r="P1270" s="74" t="n"/>
      <c r="Q1270" s="74" t="n"/>
      <c r="R1270" s="74" t="n"/>
      <c r="S1270" s="74" t="n"/>
      <c r="T1270" s="74" t="n"/>
      <c r="U1270" s="74" t="n"/>
      <c r="V1270" s="74" t="n"/>
      <c r="W1270" s="74" t="n"/>
    </row>
    <row r="1271">
      <c r="A1271" s="74" t="n"/>
      <c r="B1271" s="74" t="n"/>
      <c r="C1271" s="74" t="n"/>
      <c r="D1271" s="74" t="n"/>
      <c r="E1271" s="74" t="n"/>
      <c r="F1271" s="74" t="n"/>
      <c r="G1271" s="74" t="n"/>
      <c r="H1271" s="74" t="n"/>
      <c r="I1271" s="74" t="n"/>
      <c r="J1271" s="74" t="n"/>
      <c r="K1271" s="74" t="n"/>
      <c r="L1271" s="74" t="n"/>
      <c r="M1271" s="74" t="n"/>
      <c r="N1271" s="74" t="n"/>
      <c r="O1271" s="74" t="n"/>
      <c r="P1271" s="74" t="n"/>
      <c r="Q1271" s="74" t="n"/>
      <c r="R1271" s="74" t="n"/>
      <c r="S1271" s="74" t="n"/>
      <c r="T1271" s="74" t="n"/>
      <c r="U1271" s="74" t="n"/>
      <c r="V1271" s="74" t="n"/>
      <c r="W1271" s="74" t="n"/>
    </row>
    <row r="1272">
      <c r="A1272" s="74" t="n"/>
      <c r="B1272" s="74" t="n"/>
      <c r="C1272" s="74" t="n"/>
      <c r="D1272" s="74" t="n"/>
      <c r="E1272" s="74" t="n"/>
      <c r="F1272" s="74" t="n"/>
      <c r="G1272" s="74" t="n"/>
      <c r="H1272" s="74" t="n"/>
      <c r="I1272" s="74" t="n"/>
      <c r="J1272" s="74" t="n"/>
      <c r="K1272" s="74" t="n"/>
      <c r="L1272" s="74" t="n"/>
      <c r="M1272" s="74" t="n"/>
      <c r="N1272" s="74" t="n"/>
      <c r="O1272" s="74" t="n"/>
      <c r="P1272" s="74" t="n"/>
      <c r="Q1272" s="74" t="n"/>
      <c r="R1272" s="74" t="n"/>
      <c r="S1272" s="74" t="n"/>
      <c r="T1272" s="74" t="n"/>
      <c r="U1272" s="74" t="n"/>
      <c r="V1272" s="74" t="n"/>
      <c r="W1272" s="74" t="n"/>
    </row>
    <row r="1273">
      <c r="A1273" s="74" t="n"/>
      <c r="B1273" s="74" t="n"/>
      <c r="C1273" s="74" t="n"/>
      <c r="D1273" s="74" t="n"/>
      <c r="E1273" s="74" t="n"/>
      <c r="F1273" s="74" t="n"/>
      <c r="G1273" s="74" t="n"/>
      <c r="H1273" s="74" t="n"/>
      <c r="I1273" s="74" t="n"/>
      <c r="J1273" s="74" t="n"/>
      <c r="K1273" s="74" t="n"/>
      <c r="L1273" s="74" t="n"/>
      <c r="M1273" s="74" t="n"/>
      <c r="N1273" s="74" t="n"/>
      <c r="O1273" s="74" t="n"/>
      <c r="P1273" s="74" t="n"/>
      <c r="Q1273" s="74" t="n"/>
      <c r="R1273" s="74" t="n"/>
      <c r="S1273" s="74" t="n"/>
      <c r="T1273" s="74" t="n"/>
      <c r="U1273" s="74" t="n"/>
      <c r="V1273" s="74" t="n"/>
      <c r="W1273" s="74" t="n"/>
    </row>
    <row r="1274">
      <c r="A1274" s="74" t="n"/>
      <c r="B1274" s="74" t="n"/>
      <c r="C1274" s="74" t="n"/>
      <c r="D1274" s="74" t="n"/>
      <c r="E1274" s="74" t="n"/>
      <c r="F1274" s="74" t="n"/>
      <c r="G1274" s="74" t="n"/>
      <c r="H1274" s="74" t="n"/>
      <c r="I1274" s="74" t="n"/>
      <c r="J1274" s="74" t="n"/>
      <c r="K1274" s="74" t="n"/>
      <c r="L1274" s="74" t="n"/>
      <c r="M1274" s="74" t="n"/>
      <c r="N1274" s="74" t="n"/>
      <c r="O1274" s="74" t="n"/>
      <c r="P1274" s="74" t="n"/>
      <c r="Q1274" s="74" t="n"/>
      <c r="R1274" s="74" t="n"/>
      <c r="S1274" s="74" t="n"/>
      <c r="T1274" s="74" t="n"/>
      <c r="U1274" s="74" t="n"/>
      <c r="V1274" s="74" t="n"/>
      <c r="W1274" s="74" t="n"/>
    </row>
    <row r="1275">
      <c r="A1275" s="74" t="n"/>
      <c r="B1275" s="74" t="n"/>
      <c r="C1275" s="74" t="n"/>
      <c r="D1275" s="74" t="n"/>
      <c r="E1275" s="74" t="n"/>
      <c r="F1275" s="74" t="n"/>
      <c r="G1275" s="74" t="n"/>
      <c r="H1275" s="74" t="n"/>
      <c r="I1275" s="74" t="n"/>
      <c r="J1275" s="74" t="n"/>
      <c r="K1275" s="74" t="n"/>
      <c r="L1275" s="74" t="n"/>
      <c r="M1275" s="74" t="n"/>
      <c r="N1275" s="74" t="n"/>
      <c r="O1275" s="74" t="n"/>
      <c r="P1275" s="74" t="n"/>
      <c r="Q1275" s="74" t="n"/>
      <c r="R1275" s="74" t="n"/>
      <c r="S1275" s="74" t="n"/>
      <c r="T1275" s="74" t="n"/>
      <c r="U1275" s="74" t="n"/>
      <c r="V1275" s="74" t="n"/>
      <c r="W1275" s="74" t="n"/>
    </row>
    <row r="1276">
      <c r="A1276" s="74" t="n"/>
      <c r="B1276" s="74" t="n"/>
      <c r="C1276" s="74" t="n"/>
      <c r="D1276" s="74" t="n"/>
      <c r="E1276" s="74" t="n"/>
      <c r="F1276" s="74" t="n"/>
      <c r="G1276" s="74" t="n"/>
      <c r="H1276" s="74" t="n"/>
      <c r="I1276" s="74" t="n"/>
      <c r="J1276" s="74" t="n"/>
      <c r="K1276" s="74" t="n"/>
      <c r="L1276" s="74" t="n"/>
      <c r="M1276" s="74" t="n"/>
      <c r="N1276" s="74" t="n"/>
      <c r="O1276" s="74" t="n"/>
      <c r="P1276" s="74" t="n"/>
      <c r="Q1276" s="74" t="n"/>
      <c r="R1276" s="74" t="n"/>
      <c r="S1276" s="74" t="n"/>
      <c r="T1276" s="74" t="n"/>
      <c r="U1276" s="74" t="n"/>
      <c r="V1276" s="74" t="n"/>
      <c r="W1276" s="74" t="n"/>
    </row>
    <row r="1277">
      <c r="A1277" s="74" t="n"/>
      <c r="B1277" s="74" t="n"/>
      <c r="C1277" s="74" t="n"/>
      <c r="D1277" s="74" t="n"/>
      <c r="E1277" s="74" t="n"/>
      <c r="F1277" s="74" t="n"/>
      <c r="G1277" s="74" t="n"/>
      <c r="H1277" s="74" t="n"/>
      <c r="I1277" s="74" t="n"/>
      <c r="J1277" s="74" t="n"/>
      <c r="K1277" s="74" t="n"/>
      <c r="L1277" s="74" t="n"/>
      <c r="M1277" s="74" t="n"/>
      <c r="N1277" s="74" t="n"/>
      <c r="O1277" s="74" t="n"/>
      <c r="P1277" s="74" t="n"/>
      <c r="Q1277" s="74" t="n"/>
      <c r="R1277" s="74" t="n"/>
      <c r="S1277" s="74" t="n"/>
      <c r="T1277" s="74" t="n"/>
      <c r="U1277" s="74" t="n"/>
      <c r="V1277" s="74" t="n"/>
      <c r="W1277" s="74" t="n"/>
    </row>
    <row r="1278">
      <c r="A1278" s="74" t="n"/>
      <c r="B1278" s="74" t="n"/>
      <c r="C1278" s="74" t="n"/>
      <c r="D1278" s="74" t="n"/>
      <c r="E1278" s="74" t="n"/>
      <c r="F1278" s="74" t="n"/>
      <c r="G1278" s="74" t="n"/>
      <c r="H1278" s="74" t="n"/>
      <c r="I1278" s="74" t="n"/>
      <c r="J1278" s="74" t="n"/>
      <c r="K1278" s="74" t="n"/>
      <c r="L1278" s="74" t="n"/>
      <c r="M1278" s="74" t="n"/>
      <c r="N1278" s="74" t="n"/>
      <c r="O1278" s="74" t="n"/>
      <c r="P1278" s="74" t="n"/>
      <c r="Q1278" s="74" t="n"/>
      <c r="R1278" s="74" t="n"/>
      <c r="S1278" s="74" t="n"/>
      <c r="T1278" s="74" t="n"/>
      <c r="U1278" s="74" t="n"/>
      <c r="V1278" s="74" t="n"/>
      <c r="W1278" s="74" t="n"/>
    </row>
    <row r="1279">
      <c r="A1279" s="74" t="n"/>
      <c r="B1279" s="74" t="n"/>
      <c r="C1279" s="74" t="n"/>
      <c r="D1279" s="74" t="n"/>
      <c r="E1279" s="74" t="n"/>
      <c r="F1279" s="74" t="n"/>
      <c r="G1279" s="74" t="n"/>
      <c r="H1279" s="74" t="n"/>
      <c r="I1279" s="74" t="n"/>
      <c r="J1279" s="74" t="n"/>
      <c r="K1279" s="74" t="n"/>
      <c r="L1279" s="74" t="n"/>
      <c r="M1279" s="74" t="n"/>
      <c r="N1279" s="74" t="n"/>
      <c r="O1279" s="74" t="n"/>
      <c r="P1279" s="74" t="n"/>
      <c r="Q1279" s="74" t="n"/>
      <c r="R1279" s="74" t="n"/>
      <c r="S1279" s="74" t="n"/>
      <c r="T1279" s="74" t="n"/>
      <c r="U1279" s="74" t="n"/>
      <c r="V1279" s="74" t="n"/>
      <c r="W1279" s="74" t="n"/>
    </row>
    <row r="1280">
      <c r="A1280" s="74" t="n"/>
      <c r="B1280" s="74" t="n"/>
      <c r="C1280" s="74" t="n"/>
      <c r="D1280" s="74" t="n"/>
      <c r="E1280" s="74" t="n"/>
      <c r="F1280" s="74" t="n"/>
      <c r="G1280" s="74" t="n"/>
      <c r="H1280" s="74" t="n"/>
      <c r="I1280" s="74" t="n"/>
      <c r="J1280" s="74" t="n"/>
      <c r="K1280" s="74" t="n"/>
      <c r="L1280" s="74" t="n"/>
      <c r="M1280" s="74" t="n"/>
      <c r="N1280" s="74" t="n"/>
      <c r="O1280" s="74" t="n"/>
      <c r="P1280" s="74" t="n"/>
      <c r="Q1280" s="74" t="n"/>
      <c r="R1280" s="74" t="n"/>
      <c r="S1280" s="74" t="n"/>
      <c r="T1280" s="74" t="n"/>
      <c r="U1280" s="74" t="n"/>
      <c r="V1280" s="74" t="n"/>
      <c r="W1280" s="74" t="n"/>
    </row>
    <row r="1281">
      <c r="A1281" s="74" t="n"/>
      <c r="B1281" s="74" t="n"/>
      <c r="C1281" s="74" t="n"/>
      <c r="D1281" s="74" t="n"/>
      <c r="E1281" s="74" t="n"/>
      <c r="F1281" s="74" t="n"/>
      <c r="G1281" s="74" t="n"/>
      <c r="H1281" s="74" t="n"/>
      <c r="I1281" s="74" t="n"/>
      <c r="J1281" s="74" t="n"/>
      <c r="K1281" s="74" t="n"/>
      <c r="L1281" s="74" t="n"/>
      <c r="M1281" s="74" t="n"/>
      <c r="N1281" s="74" t="n"/>
      <c r="O1281" s="74" t="n"/>
      <c r="P1281" s="74" t="n"/>
      <c r="Q1281" s="74" t="n"/>
      <c r="R1281" s="74" t="n"/>
      <c r="S1281" s="74" t="n"/>
      <c r="T1281" s="74" t="n"/>
      <c r="U1281" s="74" t="n"/>
      <c r="V1281" s="74" t="n"/>
      <c r="W1281" s="74" t="n"/>
    </row>
    <row r="1282">
      <c r="A1282" s="74" t="n"/>
      <c r="B1282" s="74" t="n"/>
      <c r="C1282" s="74" t="n"/>
      <c r="D1282" s="74" t="n"/>
      <c r="E1282" s="74" t="n"/>
      <c r="F1282" s="74" t="n"/>
      <c r="G1282" s="74" t="n"/>
      <c r="H1282" s="74" t="n"/>
      <c r="I1282" s="74" t="n"/>
      <c r="J1282" s="74" t="n"/>
      <c r="K1282" s="74" t="n"/>
      <c r="L1282" s="74" t="n"/>
      <c r="M1282" s="74" t="n"/>
      <c r="N1282" s="74" t="n"/>
      <c r="O1282" s="74" t="n"/>
      <c r="P1282" s="74" t="n"/>
      <c r="Q1282" s="74" t="n"/>
      <c r="R1282" s="74" t="n"/>
      <c r="S1282" s="74" t="n"/>
      <c r="T1282" s="74" t="n"/>
      <c r="U1282" s="74" t="n"/>
      <c r="V1282" s="74" t="n"/>
      <c r="W1282" s="74" t="n"/>
    </row>
    <row r="1283">
      <c r="A1283" s="74" t="n"/>
      <c r="B1283" s="74" t="n"/>
      <c r="C1283" s="74" t="n"/>
      <c r="D1283" s="74" t="n"/>
      <c r="E1283" s="74" t="n"/>
      <c r="F1283" s="74" t="n"/>
      <c r="G1283" s="74" t="n"/>
      <c r="H1283" s="74" t="n"/>
      <c r="I1283" s="74" t="n"/>
      <c r="J1283" s="74" t="n"/>
      <c r="K1283" s="74" t="n"/>
      <c r="L1283" s="74" t="n"/>
      <c r="M1283" s="74" t="n"/>
      <c r="N1283" s="74" t="n"/>
      <c r="O1283" s="74" t="n"/>
      <c r="P1283" s="74" t="n"/>
      <c r="Q1283" s="74" t="n"/>
      <c r="R1283" s="74" t="n"/>
      <c r="S1283" s="74" t="n"/>
      <c r="T1283" s="74" t="n"/>
      <c r="U1283" s="74" t="n"/>
      <c r="V1283" s="74" t="n"/>
      <c r="W1283" s="74" t="n"/>
    </row>
    <row r="1284">
      <c r="A1284" s="74" t="n"/>
      <c r="B1284" s="74" t="n"/>
      <c r="C1284" s="74" t="n"/>
      <c r="D1284" s="74" t="n"/>
      <c r="E1284" s="74" t="n"/>
      <c r="F1284" s="74" t="n"/>
      <c r="G1284" s="74" t="n"/>
      <c r="H1284" s="74" t="n"/>
      <c r="I1284" s="74" t="n"/>
      <c r="J1284" s="74" t="n"/>
      <c r="K1284" s="74" t="n"/>
      <c r="L1284" s="74" t="n"/>
      <c r="M1284" s="74" t="n"/>
      <c r="N1284" s="74" t="n"/>
      <c r="O1284" s="74" t="n"/>
      <c r="P1284" s="74" t="n"/>
      <c r="Q1284" s="74" t="n"/>
      <c r="R1284" s="74" t="n"/>
      <c r="S1284" s="74" t="n"/>
      <c r="T1284" s="74" t="n"/>
      <c r="U1284" s="74" t="n"/>
      <c r="V1284" s="74" t="n"/>
      <c r="W1284" s="74" t="n"/>
    </row>
    <row r="1285">
      <c r="A1285" s="74" t="n"/>
      <c r="B1285" s="74" t="n"/>
      <c r="C1285" s="74" t="n"/>
      <c r="D1285" s="74" t="n"/>
      <c r="E1285" s="74" t="n"/>
      <c r="F1285" s="74" t="n"/>
      <c r="G1285" s="74" t="n"/>
      <c r="H1285" s="74" t="n"/>
      <c r="I1285" s="74" t="n"/>
      <c r="J1285" s="74" t="n"/>
      <c r="K1285" s="74" t="n"/>
      <c r="L1285" s="74" t="n"/>
      <c r="M1285" s="74" t="n"/>
      <c r="N1285" s="74" t="n"/>
      <c r="O1285" s="74" t="n"/>
      <c r="P1285" s="74" t="n"/>
      <c r="Q1285" s="74" t="n"/>
      <c r="R1285" s="74" t="n"/>
      <c r="S1285" s="74" t="n"/>
      <c r="T1285" s="74" t="n"/>
      <c r="U1285" s="74" t="n"/>
      <c r="V1285" s="74" t="n"/>
      <c r="W1285" s="74" t="n"/>
    </row>
    <row r="1286">
      <c r="A1286" s="74" t="n"/>
      <c r="B1286" s="74" t="n"/>
      <c r="C1286" s="74" t="n"/>
      <c r="D1286" s="74" t="n"/>
      <c r="E1286" s="74" t="n"/>
      <c r="F1286" s="74" t="n"/>
      <c r="G1286" s="74" t="n"/>
      <c r="H1286" s="74" t="n"/>
      <c r="I1286" s="74" t="n"/>
      <c r="J1286" s="74" t="n"/>
      <c r="K1286" s="74" t="n"/>
      <c r="L1286" s="74" t="n"/>
      <c r="M1286" s="74" t="n"/>
      <c r="N1286" s="74" t="n"/>
      <c r="O1286" s="74" t="n"/>
      <c r="P1286" s="74" t="n"/>
      <c r="Q1286" s="74" t="n"/>
      <c r="R1286" s="74" t="n"/>
      <c r="S1286" s="74" t="n"/>
      <c r="T1286" s="74" t="n"/>
      <c r="U1286" s="74" t="n"/>
      <c r="V1286" s="74" t="n"/>
      <c r="W1286" s="74" t="n"/>
    </row>
    <row r="1287">
      <c r="A1287" s="74" t="n"/>
      <c r="B1287" s="74" t="n"/>
      <c r="C1287" s="74" t="n"/>
      <c r="D1287" s="74" t="n"/>
      <c r="E1287" s="74" t="n"/>
      <c r="F1287" s="74" t="n"/>
      <c r="G1287" s="74" t="n"/>
      <c r="H1287" s="74" t="n"/>
      <c r="I1287" s="74" t="n"/>
      <c r="J1287" s="74" t="n"/>
      <c r="K1287" s="74" t="n"/>
      <c r="L1287" s="74" t="n"/>
      <c r="M1287" s="74" t="n"/>
      <c r="N1287" s="74" t="n"/>
      <c r="O1287" s="74" t="n"/>
      <c r="P1287" s="74" t="n"/>
      <c r="Q1287" s="74" t="n"/>
      <c r="R1287" s="74" t="n"/>
      <c r="S1287" s="74" t="n"/>
      <c r="T1287" s="74" t="n"/>
      <c r="U1287" s="74" t="n"/>
      <c r="V1287" s="74" t="n"/>
      <c r="W1287" s="74" t="n"/>
    </row>
    <row r="1288">
      <c r="A1288" s="74" t="n"/>
      <c r="B1288" s="74" t="n"/>
      <c r="C1288" s="74" t="n"/>
      <c r="D1288" s="74" t="n"/>
      <c r="E1288" s="74" t="n"/>
      <c r="F1288" s="74" t="n"/>
      <c r="G1288" s="74" t="n"/>
      <c r="H1288" s="74" t="n"/>
      <c r="I1288" s="74" t="n"/>
      <c r="J1288" s="74" t="n"/>
      <c r="K1288" s="74" t="n"/>
      <c r="L1288" s="74" t="n"/>
      <c r="M1288" s="74" t="n"/>
      <c r="N1288" s="74" t="n"/>
      <c r="O1288" s="74" t="n"/>
      <c r="P1288" s="74" t="n"/>
      <c r="Q1288" s="74" t="n"/>
      <c r="R1288" s="74" t="n"/>
      <c r="S1288" s="74" t="n"/>
      <c r="T1288" s="74" t="n"/>
      <c r="U1288" s="74" t="n"/>
      <c r="V1288" s="74" t="n"/>
      <c r="W1288" s="74" t="n"/>
    </row>
    <row r="1289">
      <c r="A1289" s="74" t="n"/>
      <c r="B1289" s="74" t="n"/>
      <c r="C1289" s="74" t="n"/>
      <c r="D1289" s="74" t="n"/>
      <c r="E1289" s="74" t="n"/>
      <c r="F1289" s="74" t="n"/>
      <c r="G1289" s="74" t="n"/>
      <c r="H1289" s="74" t="n"/>
      <c r="I1289" s="74" t="n"/>
      <c r="J1289" s="74" t="n"/>
      <c r="K1289" s="74" t="n"/>
      <c r="L1289" s="74" t="n"/>
      <c r="M1289" s="74" t="n"/>
      <c r="N1289" s="74" t="n"/>
      <c r="O1289" s="74" t="n"/>
      <c r="P1289" s="74" t="n"/>
      <c r="Q1289" s="74" t="n"/>
      <c r="R1289" s="74" t="n"/>
      <c r="S1289" s="74" t="n"/>
      <c r="T1289" s="74" t="n"/>
      <c r="U1289" s="74" t="n"/>
      <c r="V1289" s="74" t="n"/>
      <c r="W1289" s="74" t="n"/>
    </row>
    <row r="1290">
      <c r="A1290" s="74" t="n"/>
      <c r="B1290" s="74" t="n"/>
      <c r="C1290" s="74" t="n"/>
      <c r="D1290" s="74" t="n"/>
      <c r="E1290" s="74" t="n"/>
      <c r="F1290" s="74" t="n"/>
      <c r="G1290" s="74" t="n"/>
      <c r="H1290" s="74" t="n"/>
      <c r="I1290" s="74" t="n"/>
      <c r="J1290" s="74" t="n"/>
      <c r="K1290" s="74" t="n"/>
      <c r="L1290" s="74" t="n"/>
      <c r="M1290" s="74" t="n"/>
      <c r="N1290" s="74" t="n"/>
      <c r="O1290" s="74" t="n"/>
      <c r="P1290" s="74" t="n"/>
      <c r="Q1290" s="74" t="n"/>
      <c r="R1290" s="74" t="n"/>
      <c r="S1290" s="74" t="n"/>
      <c r="T1290" s="74" t="n"/>
      <c r="U1290" s="74" t="n"/>
      <c r="V1290" s="74" t="n"/>
      <c r="W1290" s="74" t="n"/>
    </row>
    <row r="1291">
      <c r="A1291" s="74" t="n"/>
      <c r="B1291" s="74" t="n"/>
      <c r="C1291" s="74" t="n"/>
      <c r="D1291" s="74" t="n"/>
      <c r="E1291" s="74" t="n"/>
      <c r="F1291" s="74" t="n"/>
      <c r="G1291" s="74" t="n"/>
      <c r="H1291" s="74" t="n"/>
      <c r="I1291" s="74" t="n"/>
      <c r="J1291" s="74" t="n"/>
      <c r="K1291" s="74" t="n"/>
      <c r="L1291" s="74" t="n"/>
      <c r="M1291" s="74" t="n"/>
      <c r="N1291" s="74" t="n"/>
      <c r="O1291" s="74" t="n"/>
      <c r="P1291" s="74" t="n"/>
      <c r="Q1291" s="74" t="n"/>
      <c r="R1291" s="74" t="n"/>
      <c r="S1291" s="74" t="n"/>
      <c r="T1291" s="74" t="n"/>
      <c r="U1291" s="74" t="n"/>
      <c r="V1291" s="74" t="n"/>
      <c r="W1291" s="74" t="n"/>
    </row>
    <row r="1292">
      <c r="A1292" s="74" t="n"/>
      <c r="B1292" s="74" t="n"/>
      <c r="C1292" s="74" t="n"/>
      <c r="D1292" s="74" t="n"/>
      <c r="E1292" s="74" t="n"/>
      <c r="F1292" s="74" t="n"/>
      <c r="G1292" s="74" t="n"/>
      <c r="H1292" s="74" t="n"/>
      <c r="I1292" s="74" t="n"/>
      <c r="J1292" s="74" t="n"/>
      <c r="K1292" s="74" t="n"/>
      <c r="L1292" s="74" t="n"/>
      <c r="M1292" s="74" t="n"/>
      <c r="N1292" s="74" t="n"/>
      <c r="O1292" s="74" t="n"/>
      <c r="P1292" s="74" t="n"/>
      <c r="Q1292" s="74" t="n"/>
      <c r="R1292" s="74" t="n"/>
      <c r="S1292" s="74" t="n"/>
      <c r="T1292" s="74" t="n"/>
      <c r="U1292" s="74" t="n"/>
      <c r="V1292" s="74" t="n"/>
      <c r="W1292" s="74" t="n"/>
    </row>
    <row r="1293">
      <c r="A1293" s="74" t="n"/>
      <c r="B1293" s="74" t="n"/>
      <c r="C1293" s="74" t="n"/>
      <c r="D1293" s="74" t="n"/>
      <c r="E1293" s="74" t="n"/>
      <c r="F1293" s="74" t="n"/>
      <c r="G1293" s="74" t="n"/>
      <c r="H1293" s="74" t="n"/>
      <c r="I1293" s="74" t="n"/>
      <c r="J1293" s="74" t="n"/>
      <c r="K1293" s="74" t="n"/>
      <c r="L1293" s="74" t="n"/>
      <c r="M1293" s="74" t="n"/>
      <c r="N1293" s="74" t="n"/>
      <c r="O1293" s="74" t="n"/>
      <c r="P1293" s="74" t="n"/>
      <c r="Q1293" s="74" t="n"/>
      <c r="R1293" s="74" t="n"/>
      <c r="S1293" s="74" t="n"/>
      <c r="T1293" s="74" t="n"/>
      <c r="U1293" s="74" t="n"/>
      <c r="V1293" s="74" t="n"/>
      <c r="W1293" s="74" t="n"/>
    </row>
    <row r="1294">
      <c r="A1294" s="74" t="n"/>
      <c r="B1294" s="74" t="n"/>
      <c r="C1294" s="74" t="n"/>
      <c r="D1294" s="74" t="n"/>
      <c r="E1294" s="74" t="n"/>
      <c r="F1294" s="74" t="n"/>
      <c r="G1294" s="74" t="n"/>
      <c r="H1294" s="74" t="n"/>
      <c r="I1294" s="74" t="n"/>
      <c r="J1294" s="74" t="n"/>
      <c r="K1294" s="74" t="n"/>
      <c r="L1294" s="74" t="n"/>
      <c r="M1294" s="74" t="n"/>
      <c r="N1294" s="74" t="n"/>
      <c r="O1294" s="74" t="n"/>
      <c r="P1294" s="74" t="n"/>
      <c r="Q1294" s="74" t="n"/>
      <c r="R1294" s="74" t="n"/>
      <c r="S1294" s="74" t="n"/>
      <c r="T1294" s="74" t="n"/>
      <c r="U1294" s="74" t="n"/>
      <c r="V1294" s="74" t="n"/>
      <c r="W1294" s="74" t="n"/>
    </row>
    <row r="1295">
      <c r="A1295" s="74" t="n"/>
      <c r="B1295" s="74" t="n"/>
      <c r="C1295" s="74" t="n"/>
      <c r="D1295" s="74" t="n"/>
      <c r="E1295" s="74" t="n"/>
      <c r="F1295" s="74" t="n"/>
      <c r="G1295" s="74" t="n"/>
      <c r="H1295" s="74" t="n"/>
      <c r="I1295" s="74" t="n"/>
      <c r="J1295" s="74" t="n"/>
      <c r="K1295" s="74" t="n"/>
      <c r="L1295" s="74" t="n"/>
      <c r="M1295" s="74" t="n"/>
      <c r="N1295" s="74" t="n"/>
      <c r="O1295" s="74" t="n"/>
      <c r="P1295" s="74" t="n"/>
      <c r="Q1295" s="74" t="n"/>
      <c r="R1295" s="74" t="n"/>
      <c r="S1295" s="74" t="n"/>
      <c r="T1295" s="74" t="n"/>
      <c r="U1295" s="74" t="n"/>
      <c r="V1295" s="74" t="n"/>
      <c r="W1295" s="74" t="n"/>
    </row>
    <row r="1296">
      <c r="A1296" s="74" t="n"/>
      <c r="B1296" s="74" t="n"/>
      <c r="C1296" s="74" t="n"/>
      <c r="D1296" s="74" t="n"/>
      <c r="E1296" s="74" t="n"/>
      <c r="F1296" s="74" t="n"/>
      <c r="G1296" s="74" t="n"/>
      <c r="H1296" s="74" t="n"/>
      <c r="I1296" s="74" t="n"/>
      <c r="J1296" s="74" t="n"/>
      <c r="K1296" s="74" t="n"/>
      <c r="L1296" s="74" t="n"/>
      <c r="M1296" s="74" t="n"/>
      <c r="N1296" s="74" t="n"/>
      <c r="O1296" s="74" t="n"/>
      <c r="P1296" s="74" t="n"/>
      <c r="Q1296" s="74" t="n"/>
      <c r="R1296" s="74" t="n"/>
      <c r="S1296" s="74" t="n"/>
      <c r="T1296" s="74" t="n"/>
      <c r="U1296" s="74" t="n"/>
      <c r="V1296" s="74" t="n"/>
      <c r="W1296" s="74" t="n"/>
    </row>
    <row r="1297">
      <c r="A1297" s="74" t="n"/>
      <c r="B1297" s="74" t="n"/>
      <c r="C1297" s="74" t="n"/>
      <c r="D1297" s="74" t="n"/>
      <c r="E1297" s="74" t="n"/>
      <c r="F1297" s="74" t="n"/>
      <c r="G1297" s="74" t="n"/>
      <c r="H1297" s="74" t="n"/>
      <c r="I1297" s="74" t="n"/>
      <c r="J1297" s="74" t="n"/>
      <c r="K1297" s="74" t="n"/>
      <c r="L1297" s="74" t="n"/>
      <c r="M1297" s="74" t="n"/>
      <c r="N1297" s="74" t="n"/>
      <c r="O1297" s="74" t="n"/>
      <c r="P1297" s="74" t="n"/>
      <c r="Q1297" s="74" t="n"/>
      <c r="R1297" s="74" t="n"/>
      <c r="S1297" s="74" t="n"/>
      <c r="T1297" s="74" t="n"/>
      <c r="U1297" s="74" t="n"/>
      <c r="V1297" s="74" t="n"/>
      <c r="W1297" s="74" t="n"/>
    </row>
    <row r="1298">
      <c r="A1298" s="74" t="n"/>
      <c r="B1298" s="74" t="n"/>
      <c r="C1298" s="74" t="n"/>
      <c r="D1298" s="74" t="n"/>
      <c r="E1298" s="74" t="n"/>
      <c r="F1298" s="74" t="n"/>
      <c r="G1298" s="74" t="n"/>
      <c r="H1298" s="74" t="n"/>
      <c r="I1298" s="74" t="n"/>
      <c r="J1298" s="74" t="n"/>
      <c r="K1298" s="74" t="n"/>
      <c r="L1298" s="74" t="n"/>
      <c r="M1298" s="74" t="n"/>
      <c r="N1298" s="74" t="n"/>
      <c r="O1298" s="74" t="n"/>
      <c r="P1298" s="74" t="n"/>
      <c r="Q1298" s="74" t="n"/>
      <c r="R1298" s="74" t="n"/>
      <c r="S1298" s="74" t="n"/>
      <c r="T1298" s="74" t="n"/>
      <c r="U1298" s="74" t="n"/>
      <c r="V1298" s="74" t="n"/>
      <c r="W1298" s="74" t="n"/>
    </row>
    <row r="1299">
      <c r="A1299" s="74" t="n"/>
      <c r="B1299" s="74" t="n"/>
      <c r="C1299" s="74" t="n"/>
      <c r="D1299" s="74" t="n"/>
      <c r="E1299" s="74" t="n"/>
      <c r="F1299" s="74" t="n"/>
      <c r="G1299" s="74" t="n"/>
      <c r="H1299" s="74" t="n"/>
      <c r="I1299" s="74" t="n"/>
      <c r="J1299" s="74" t="n"/>
      <c r="K1299" s="74" t="n"/>
      <c r="L1299" s="74" t="n"/>
      <c r="M1299" s="74" t="n"/>
      <c r="N1299" s="74" t="n"/>
      <c r="O1299" s="74" t="n"/>
      <c r="P1299" s="74" t="n"/>
      <c r="Q1299" s="74" t="n"/>
      <c r="R1299" s="74" t="n"/>
      <c r="S1299" s="74" t="n"/>
      <c r="T1299" s="74" t="n"/>
      <c r="U1299" s="74" t="n"/>
      <c r="V1299" s="74" t="n"/>
      <c r="W1299" s="74" t="n"/>
    </row>
    <row r="1300">
      <c r="A1300" s="74" t="n"/>
      <c r="B1300" s="74" t="n"/>
      <c r="C1300" s="74" t="n"/>
      <c r="D1300" s="74" t="n"/>
      <c r="E1300" s="74" t="n"/>
      <c r="F1300" s="74" t="n"/>
      <c r="G1300" s="74" t="n"/>
      <c r="H1300" s="74" t="n"/>
      <c r="I1300" s="74" t="n"/>
      <c r="J1300" s="74" t="n"/>
      <c r="K1300" s="74" t="n"/>
      <c r="L1300" s="74" t="n"/>
      <c r="M1300" s="74" t="n"/>
      <c r="N1300" s="74" t="n"/>
      <c r="O1300" s="74" t="n"/>
      <c r="P1300" s="74" t="n"/>
      <c r="Q1300" s="74" t="n"/>
      <c r="R1300" s="74" t="n"/>
      <c r="S1300" s="74" t="n"/>
      <c r="T1300" s="74" t="n"/>
      <c r="U1300" s="74" t="n"/>
      <c r="V1300" s="74" t="n"/>
      <c r="W1300" s="74" t="n"/>
    </row>
    <row r="1301">
      <c r="A1301" s="74" t="n"/>
      <c r="B1301" s="74" t="n"/>
      <c r="C1301" s="74" t="n"/>
      <c r="D1301" s="74" t="n"/>
      <c r="E1301" s="74" t="n"/>
      <c r="F1301" s="74" t="n"/>
      <c r="G1301" s="74" t="n"/>
      <c r="H1301" s="74" t="n"/>
      <c r="I1301" s="74" t="n"/>
      <c r="J1301" s="74" t="n"/>
      <c r="K1301" s="74" t="n"/>
      <c r="L1301" s="74" t="n"/>
      <c r="M1301" s="74" t="n"/>
      <c r="N1301" s="74" t="n"/>
      <c r="O1301" s="74" t="n"/>
      <c r="P1301" s="74" t="n"/>
      <c r="Q1301" s="74" t="n"/>
      <c r="R1301" s="74" t="n"/>
      <c r="S1301" s="74" t="n"/>
      <c r="T1301" s="74" t="n"/>
      <c r="U1301" s="74" t="n"/>
      <c r="V1301" s="74" t="n"/>
      <c r="W1301" s="74" t="n"/>
    </row>
    <row r="1302">
      <c r="A1302" s="74" t="n"/>
      <c r="B1302" s="74" t="n"/>
      <c r="C1302" s="74" t="n"/>
      <c r="D1302" s="74" t="n"/>
      <c r="E1302" s="74" t="n"/>
      <c r="F1302" s="74" t="n"/>
      <c r="G1302" s="74" t="n"/>
      <c r="H1302" s="74" t="n"/>
      <c r="I1302" s="74" t="n"/>
      <c r="J1302" s="74" t="n"/>
      <c r="K1302" s="74" t="n"/>
      <c r="L1302" s="74" t="n"/>
      <c r="M1302" s="74" t="n"/>
      <c r="N1302" s="74" t="n"/>
      <c r="O1302" s="74" t="n"/>
      <c r="P1302" s="74" t="n"/>
      <c r="Q1302" s="74" t="n"/>
      <c r="R1302" s="74" t="n"/>
      <c r="S1302" s="74" t="n"/>
      <c r="T1302" s="74" t="n"/>
      <c r="U1302" s="74" t="n"/>
      <c r="V1302" s="74" t="n"/>
      <c r="W1302" s="74" t="n"/>
    </row>
    <row r="1303">
      <c r="A1303" s="74" t="n"/>
      <c r="B1303" s="74" t="n"/>
      <c r="C1303" s="74" t="n"/>
      <c r="D1303" s="74" t="n"/>
      <c r="E1303" s="74" t="n"/>
      <c r="F1303" s="74" t="n"/>
      <c r="G1303" s="74" t="n"/>
      <c r="H1303" s="74" t="n"/>
      <c r="I1303" s="74" t="n"/>
      <c r="J1303" s="74" t="n"/>
      <c r="K1303" s="74" t="n"/>
      <c r="L1303" s="74" t="n"/>
      <c r="M1303" s="74" t="n"/>
      <c r="N1303" s="74" t="n"/>
      <c r="O1303" s="74" t="n"/>
      <c r="P1303" s="74" t="n"/>
      <c r="Q1303" s="74" t="n"/>
      <c r="R1303" s="74" t="n"/>
      <c r="S1303" s="74" t="n"/>
      <c r="T1303" s="74" t="n"/>
      <c r="U1303" s="74" t="n"/>
      <c r="V1303" s="74" t="n"/>
      <c r="W1303" s="74" t="n"/>
    </row>
    <row r="1304">
      <c r="A1304" s="74" t="n"/>
      <c r="B1304" s="74" t="n"/>
      <c r="C1304" s="74" t="n"/>
      <c r="D1304" s="74" t="n"/>
      <c r="E1304" s="74" t="n"/>
      <c r="F1304" s="74" t="n"/>
      <c r="G1304" s="74" t="n"/>
      <c r="H1304" s="74" t="n"/>
      <c r="I1304" s="74" t="n"/>
      <c r="J1304" s="74" t="n"/>
      <c r="K1304" s="74" t="n"/>
      <c r="L1304" s="74" t="n"/>
      <c r="M1304" s="74" t="n"/>
      <c r="N1304" s="74" t="n"/>
      <c r="O1304" s="74" t="n"/>
      <c r="P1304" s="74" t="n"/>
      <c r="Q1304" s="74" t="n"/>
      <c r="R1304" s="74" t="n"/>
      <c r="S1304" s="74" t="n"/>
      <c r="T1304" s="74" t="n"/>
      <c r="U1304" s="74" t="n"/>
      <c r="V1304" s="74" t="n"/>
      <c r="W1304" s="74" t="n"/>
    </row>
    <row r="1305">
      <c r="A1305" s="74" t="n"/>
      <c r="B1305" s="74" t="n"/>
      <c r="C1305" s="74" t="n"/>
      <c r="D1305" s="74" t="n"/>
      <c r="E1305" s="74" t="n"/>
      <c r="F1305" s="74" t="n"/>
      <c r="G1305" s="74" t="n"/>
      <c r="H1305" s="74" t="n"/>
      <c r="I1305" s="74" t="n"/>
      <c r="J1305" s="74" t="n"/>
      <c r="K1305" s="74" t="n"/>
      <c r="L1305" s="74" t="n"/>
      <c r="M1305" s="74" t="n"/>
      <c r="N1305" s="74" t="n"/>
      <c r="O1305" s="74" t="n"/>
      <c r="P1305" s="74" t="n"/>
      <c r="Q1305" s="74" t="n"/>
      <c r="R1305" s="74" t="n"/>
      <c r="S1305" s="74" t="n"/>
      <c r="T1305" s="74" t="n"/>
      <c r="U1305" s="74" t="n"/>
      <c r="V1305" s="74" t="n"/>
      <c r="W1305" s="74" t="n"/>
    </row>
    <row r="1306">
      <c r="A1306" s="74" t="n"/>
      <c r="B1306" s="74" t="n"/>
      <c r="C1306" s="74" t="n"/>
      <c r="D1306" s="74" t="n"/>
      <c r="E1306" s="74" t="n"/>
      <c r="F1306" s="74" t="n"/>
      <c r="G1306" s="74" t="n"/>
      <c r="H1306" s="74" t="n"/>
      <c r="I1306" s="74" t="n"/>
      <c r="J1306" s="74" t="n"/>
      <c r="K1306" s="74" t="n"/>
      <c r="L1306" s="74" t="n"/>
      <c r="M1306" s="74" t="n"/>
      <c r="N1306" s="74" t="n"/>
      <c r="O1306" s="74" t="n"/>
      <c r="P1306" s="74" t="n"/>
      <c r="Q1306" s="74" t="n"/>
      <c r="R1306" s="74" t="n"/>
      <c r="S1306" s="74" t="n"/>
      <c r="T1306" s="74" t="n"/>
      <c r="U1306" s="74" t="n"/>
      <c r="V1306" s="74" t="n"/>
      <c r="W1306" s="74" t="n"/>
    </row>
    <row r="1307">
      <c r="A1307" s="74" t="n"/>
      <c r="B1307" s="74" t="n"/>
      <c r="C1307" s="74" t="n"/>
      <c r="D1307" s="74" t="n"/>
      <c r="E1307" s="74" t="n"/>
      <c r="F1307" s="74" t="n"/>
      <c r="G1307" s="74" t="n"/>
      <c r="H1307" s="74" t="n"/>
      <c r="I1307" s="74" t="n"/>
      <c r="J1307" s="74" t="n"/>
      <c r="K1307" s="74" t="n"/>
      <c r="L1307" s="74" t="n"/>
      <c r="M1307" s="74" t="n"/>
      <c r="N1307" s="74" t="n"/>
      <c r="O1307" s="74" t="n"/>
      <c r="P1307" s="74" t="n"/>
      <c r="Q1307" s="74" t="n"/>
      <c r="R1307" s="74" t="n"/>
      <c r="S1307" s="74" t="n"/>
      <c r="T1307" s="74" t="n"/>
      <c r="U1307" s="74" t="n"/>
      <c r="V1307" s="74" t="n"/>
      <c r="W1307" s="74" t="n"/>
    </row>
    <row r="1308">
      <c r="A1308" s="74" t="n"/>
      <c r="B1308" s="74" t="n"/>
      <c r="C1308" s="74" t="n"/>
      <c r="D1308" s="74" t="n"/>
      <c r="E1308" s="74" t="n"/>
      <c r="F1308" s="74" t="n"/>
      <c r="G1308" s="74" t="n"/>
      <c r="H1308" s="74" t="n"/>
      <c r="I1308" s="74" t="n"/>
      <c r="J1308" s="74" t="n"/>
      <c r="K1308" s="74" t="n"/>
      <c r="L1308" s="74" t="n"/>
      <c r="M1308" s="74" t="n"/>
      <c r="N1308" s="74" t="n"/>
      <c r="O1308" s="74" t="n"/>
      <c r="P1308" s="74" t="n"/>
      <c r="Q1308" s="74" t="n"/>
      <c r="R1308" s="74" t="n"/>
      <c r="S1308" s="74" t="n"/>
      <c r="T1308" s="74" t="n"/>
      <c r="U1308" s="74" t="n"/>
      <c r="V1308" s="74" t="n"/>
      <c r="W1308" s="74" t="n"/>
    </row>
    <row r="1309">
      <c r="A1309" s="74" t="n"/>
      <c r="B1309" s="74" t="n"/>
      <c r="C1309" s="74" t="n"/>
      <c r="D1309" s="74" t="n"/>
      <c r="E1309" s="74" t="n"/>
      <c r="F1309" s="74" t="n"/>
      <c r="G1309" s="74" t="n"/>
      <c r="H1309" s="74" t="n"/>
      <c r="I1309" s="74" t="n"/>
      <c r="J1309" s="74" t="n"/>
      <c r="K1309" s="74" t="n"/>
      <c r="L1309" s="74" t="n"/>
      <c r="M1309" s="74" t="n"/>
      <c r="N1309" s="74" t="n"/>
      <c r="O1309" s="74" t="n"/>
      <c r="P1309" s="74" t="n"/>
      <c r="Q1309" s="74" t="n"/>
      <c r="R1309" s="74" t="n"/>
      <c r="S1309" s="74" t="n"/>
      <c r="T1309" s="74" t="n"/>
      <c r="U1309" s="74" t="n"/>
      <c r="V1309" s="74" t="n"/>
      <c r="W1309" s="74" t="n"/>
    </row>
    <row r="1310">
      <c r="A1310" s="74" t="n"/>
      <c r="B1310" s="74" t="n"/>
      <c r="C1310" s="74" t="n"/>
      <c r="D1310" s="74" t="n"/>
      <c r="E1310" s="74" t="n"/>
      <c r="F1310" s="74" t="n"/>
      <c r="G1310" s="74" t="n"/>
      <c r="H1310" s="74" t="n"/>
      <c r="I1310" s="74" t="n"/>
      <c r="J1310" s="74" t="n"/>
      <c r="K1310" s="74" t="n"/>
      <c r="L1310" s="74" t="n"/>
      <c r="M1310" s="74" t="n"/>
      <c r="N1310" s="74" t="n"/>
      <c r="O1310" s="74" t="n"/>
      <c r="P1310" s="74" t="n"/>
      <c r="Q1310" s="74" t="n"/>
      <c r="R1310" s="74" t="n"/>
      <c r="S1310" s="74" t="n"/>
      <c r="T1310" s="74" t="n"/>
      <c r="U1310" s="74" t="n"/>
      <c r="V1310" s="74" t="n"/>
      <c r="W1310" s="74" t="n"/>
    </row>
    <row r="1311">
      <c r="A1311" s="74" t="n"/>
      <c r="B1311" s="74" t="n"/>
      <c r="C1311" s="74" t="n"/>
      <c r="D1311" s="74" t="n"/>
      <c r="E1311" s="74" t="n"/>
      <c r="F1311" s="74" t="n"/>
      <c r="G1311" s="74" t="n"/>
      <c r="H1311" s="74" t="n"/>
      <c r="I1311" s="74" t="n"/>
      <c r="J1311" s="74" t="n"/>
      <c r="K1311" s="74" t="n"/>
      <c r="L1311" s="74" t="n"/>
      <c r="M1311" s="74" t="n"/>
      <c r="N1311" s="74" t="n"/>
      <c r="O1311" s="74" t="n"/>
      <c r="P1311" s="74" t="n"/>
      <c r="Q1311" s="74" t="n"/>
      <c r="R1311" s="74" t="n"/>
      <c r="S1311" s="74" t="n"/>
      <c r="T1311" s="74" t="n"/>
      <c r="U1311" s="74" t="n"/>
      <c r="V1311" s="74" t="n"/>
      <c r="W1311" s="74" t="n"/>
    </row>
    <row r="1312">
      <c r="A1312" s="74" t="n"/>
      <c r="B1312" s="74" t="n"/>
      <c r="C1312" s="74" t="n"/>
      <c r="D1312" s="74" t="n"/>
      <c r="E1312" s="74" t="n"/>
      <c r="F1312" s="74" t="n"/>
      <c r="G1312" s="74" t="n"/>
      <c r="H1312" s="74" t="n"/>
      <c r="I1312" s="74" t="n"/>
      <c r="J1312" s="74" t="n"/>
      <c r="K1312" s="74" t="n"/>
      <c r="L1312" s="74" t="n"/>
      <c r="M1312" s="74" t="n"/>
      <c r="N1312" s="74" t="n"/>
      <c r="O1312" s="74" t="n"/>
      <c r="P1312" s="74" t="n"/>
      <c r="Q1312" s="74" t="n"/>
      <c r="R1312" s="74" t="n"/>
      <c r="S1312" s="74" t="n"/>
      <c r="T1312" s="74" t="n"/>
      <c r="U1312" s="74" t="n"/>
      <c r="V1312" s="74" t="n"/>
      <c r="W1312" s="74" t="n"/>
    </row>
    <row r="1313">
      <c r="A1313" s="74" t="n"/>
      <c r="B1313" s="74" t="n"/>
      <c r="C1313" s="74" t="n"/>
      <c r="D1313" s="74" t="n"/>
      <c r="E1313" s="74" t="n"/>
      <c r="F1313" s="74" t="n"/>
      <c r="G1313" s="74" t="n"/>
      <c r="H1313" s="74" t="n"/>
      <c r="I1313" s="74" t="n"/>
      <c r="J1313" s="74" t="n"/>
      <c r="K1313" s="74" t="n"/>
      <c r="L1313" s="74" t="n"/>
      <c r="M1313" s="74" t="n"/>
      <c r="N1313" s="74" t="n"/>
      <c r="O1313" s="74" t="n"/>
      <c r="P1313" s="74" t="n"/>
      <c r="Q1313" s="74" t="n"/>
      <c r="R1313" s="74" t="n"/>
      <c r="S1313" s="74" t="n"/>
      <c r="T1313" s="74" t="n"/>
      <c r="U1313" s="74" t="n"/>
      <c r="V1313" s="74" t="n"/>
      <c r="W1313" s="74" t="n"/>
    </row>
    <row r="1314">
      <c r="A1314" s="74" t="n"/>
      <c r="B1314" s="74" t="n"/>
      <c r="C1314" s="74" t="n"/>
      <c r="D1314" s="74" t="n"/>
      <c r="E1314" s="74" t="n"/>
      <c r="F1314" s="74" t="n"/>
      <c r="G1314" s="74" t="n"/>
      <c r="H1314" s="74" t="n"/>
      <c r="I1314" s="74" t="n"/>
      <c r="J1314" s="74" t="n"/>
      <c r="K1314" s="74" t="n"/>
      <c r="L1314" s="74" t="n"/>
      <c r="M1314" s="74" t="n"/>
      <c r="N1314" s="74" t="n"/>
      <c r="O1314" s="74" t="n"/>
      <c r="P1314" s="74" t="n"/>
      <c r="Q1314" s="74" t="n"/>
      <c r="R1314" s="74" t="n"/>
      <c r="S1314" s="74" t="n"/>
      <c r="T1314" s="74" t="n"/>
      <c r="U1314" s="74" t="n"/>
      <c r="V1314" s="74" t="n"/>
      <c r="W1314" s="74" t="n"/>
    </row>
    <row r="1315">
      <c r="A1315" s="74" t="n"/>
      <c r="B1315" s="74" t="n"/>
      <c r="C1315" s="74" t="n"/>
      <c r="D1315" s="74" t="n"/>
      <c r="E1315" s="74" t="n"/>
      <c r="F1315" s="74" t="n"/>
      <c r="G1315" s="74" t="n"/>
      <c r="H1315" s="74" t="n"/>
      <c r="I1315" s="74" t="n"/>
      <c r="J1315" s="74" t="n"/>
      <c r="K1315" s="74" t="n"/>
      <c r="L1315" s="74" t="n"/>
      <c r="M1315" s="74" t="n"/>
      <c r="N1315" s="74" t="n"/>
      <c r="O1315" s="74" t="n"/>
      <c r="P1315" s="74" t="n"/>
      <c r="Q1315" s="74" t="n"/>
      <c r="R1315" s="74" t="n"/>
      <c r="S1315" s="74" t="n"/>
      <c r="T1315" s="74" t="n"/>
      <c r="U1315" s="74" t="n"/>
      <c r="V1315" s="74" t="n"/>
      <c r="W1315" s="74" t="n"/>
    </row>
    <row r="1316">
      <c r="A1316" s="74" t="n"/>
      <c r="B1316" s="74" t="n"/>
      <c r="C1316" s="74" t="n"/>
      <c r="D1316" s="74" t="n"/>
      <c r="E1316" s="74" t="n"/>
      <c r="F1316" s="74" t="n"/>
      <c r="G1316" s="74" t="n"/>
      <c r="H1316" s="74" t="n"/>
      <c r="I1316" s="74" t="n"/>
      <c r="J1316" s="74" t="n"/>
      <c r="K1316" s="74" t="n"/>
      <c r="L1316" s="74" t="n"/>
      <c r="M1316" s="74" t="n"/>
      <c r="N1316" s="74" t="n"/>
      <c r="O1316" s="74" t="n"/>
      <c r="P1316" s="74" t="n"/>
      <c r="Q1316" s="74" t="n"/>
      <c r="R1316" s="74" t="n"/>
      <c r="S1316" s="74" t="n"/>
      <c r="T1316" s="74" t="n"/>
      <c r="U1316" s="74" t="n"/>
      <c r="V1316" s="74" t="n"/>
      <c r="W1316" s="74" t="n"/>
    </row>
    <row r="1317">
      <c r="A1317" s="74" t="n"/>
      <c r="B1317" s="74" t="n"/>
      <c r="C1317" s="74" t="n"/>
      <c r="D1317" s="74" t="n"/>
      <c r="E1317" s="74" t="n"/>
      <c r="F1317" s="74" t="n"/>
      <c r="G1317" s="74" t="n"/>
      <c r="H1317" s="74" t="n"/>
      <c r="I1317" s="74" t="n"/>
      <c r="J1317" s="74" t="n"/>
      <c r="K1317" s="74" t="n"/>
      <c r="L1317" s="74" t="n"/>
      <c r="M1317" s="74" t="n"/>
      <c r="N1317" s="74" t="n"/>
      <c r="O1317" s="74" t="n"/>
      <c r="P1317" s="74" t="n"/>
      <c r="Q1317" s="74" t="n"/>
      <c r="R1317" s="74" t="n"/>
      <c r="S1317" s="74" t="n"/>
      <c r="T1317" s="74" t="n"/>
      <c r="U1317" s="74" t="n"/>
      <c r="V1317" s="74" t="n"/>
      <c r="W1317" s="74" t="n"/>
    </row>
    <row r="1318">
      <c r="A1318" s="74" t="n"/>
      <c r="B1318" s="74" t="n"/>
      <c r="C1318" s="74" t="n"/>
      <c r="D1318" s="74" t="n"/>
      <c r="E1318" s="74" t="n"/>
      <c r="F1318" s="74" t="n"/>
      <c r="G1318" s="74" t="n"/>
      <c r="H1318" s="74" t="n"/>
      <c r="I1318" s="74" t="n"/>
      <c r="J1318" s="74" t="n"/>
      <c r="K1318" s="74" t="n"/>
      <c r="L1318" s="74" t="n"/>
      <c r="M1318" s="74" t="n"/>
      <c r="N1318" s="74" t="n"/>
      <c r="O1318" s="74" t="n"/>
      <c r="P1318" s="74" t="n"/>
      <c r="Q1318" s="74" t="n"/>
      <c r="R1318" s="74" t="n"/>
      <c r="S1318" s="74" t="n"/>
      <c r="T1318" s="74" t="n"/>
      <c r="U1318" s="74" t="n"/>
      <c r="V1318" s="74" t="n"/>
      <c r="W1318" s="74" t="n"/>
    </row>
    <row r="1319">
      <c r="A1319" s="74" t="n"/>
      <c r="B1319" s="74" t="n"/>
      <c r="C1319" s="74" t="n"/>
      <c r="D1319" s="74" t="n"/>
      <c r="E1319" s="74" t="n"/>
      <c r="F1319" s="74" t="n"/>
      <c r="G1319" s="74" t="n"/>
      <c r="H1319" s="74" t="n"/>
      <c r="I1319" s="74" t="n"/>
      <c r="J1319" s="74" t="n"/>
      <c r="K1319" s="74" t="n"/>
      <c r="L1319" s="74" t="n"/>
      <c r="M1319" s="74" t="n"/>
      <c r="N1319" s="74" t="n"/>
      <c r="O1319" s="74" t="n"/>
      <c r="P1319" s="74" t="n"/>
      <c r="Q1319" s="74" t="n"/>
      <c r="R1319" s="74" t="n"/>
      <c r="S1319" s="74" t="n"/>
      <c r="T1319" s="74" t="n"/>
      <c r="U1319" s="74" t="n"/>
      <c r="V1319" s="74" t="n"/>
      <c r="W1319" s="74" t="n"/>
    </row>
    <row r="1320">
      <c r="A1320" s="74" t="n"/>
      <c r="B1320" s="74" t="n"/>
      <c r="C1320" s="74" t="n"/>
      <c r="D1320" s="74" t="n"/>
      <c r="E1320" s="74" t="n"/>
      <c r="F1320" s="74" t="n"/>
      <c r="G1320" s="74" t="n"/>
      <c r="H1320" s="74" t="n"/>
      <c r="I1320" s="74" t="n"/>
      <c r="J1320" s="74" t="n"/>
      <c r="K1320" s="74" t="n"/>
      <c r="L1320" s="74" t="n"/>
      <c r="M1320" s="74" t="n"/>
      <c r="N1320" s="74" t="n"/>
      <c r="O1320" s="74" t="n"/>
      <c r="P1320" s="74" t="n"/>
      <c r="Q1320" s="74" t="n"/>
      <c r="R1320" s="74" t="n"/>
      <c r="S1320" s="74" t="n"/>
      <c r="T1320" s="74" t="n"/>
      <c r="U1320" s="74" t="n"/>
      <c r="V1320" s="74" t="n"/>
      <c r="W1320" s="74" t="n"/>
    </row>
    <row r="1321">
      <c r="A1321" s="74" t="n"/>
      <c r="B1321" s="74" t="n"/>
      <c r="C1321" s="74" t="n"/>
      <c r="D1321" s="74" t="n"/>
      <c r="E1321" s="74" t="n"/>
      <c r="F1321" s="74" t="n"/>
      <c r="G1321" s="74" t="n"/>
      <c r="H1321" s="74" t="n"/>
      <c r="I1321" s="74" t="n"/>
      <c r="J1321" s="74" t="n"/>
      <c r="K1321" s="74" t="n"/>
      <c r="L1321" s="74" t="n"/>
      <c r="M1321" s="74" t="n"/>
      <c r="N1321" s="74" t="n"/>
      <c r="O1321" s="74" t="n"/>
      <c r="P1321" s="74" t="n"/>
      <c r="Q1321" s="74" t="n"/>
      <c r="R1321" s="74" t="n"/>
      <c r="S1321" s="74" t="n"/>
      <c r="T1321" s="74" t="n"/>
      <c r="U1321" s="74" t="n"/>
      <c r="V1321" s="74" t="n"/>
      <c r="W1321" s="74" t="n"/>
    </row>
    <row r="1322">
      <c r="A1322" s="74" t="n"/>
      <c r="B1322" s="74" t="n"/>
      <c r="C1322" s="74" t="n"/>
      <c r="D1322" s="74" t="n"/>
      <c r="E1322" s="74" t="n"/>
      <c r="F1322" s="74" t="n"/>
      <c r="G1322" s="74" t="n"/>
      <c r="H1322" s="74" t="n"/>
      <c r="I1322" s="74" t="n"/>
      <c r="J1322" s="74" t="n"/>
      <c r="K1322" s="74" t="n"/>
      <c r="L1322" s="74" t="n"/>
      <c r="M1322" s="74" t="n"/>
      <c r="N1322" s="74" t="n"/>
      <c r="O1322" s="74" t="n"/>
      <c r="P1322" s="74" t="n"/>
      <c r="Q1322" s="74" t="n"/>
      <c r="R1322" s="74" t="n"/>
      <c r="S1322" s="74" t="n"/>
      <c r="T1322" s="74" t="n"/>
      <c r="U1322" s="74" t="n"/>
      <c r="V1322" s="74" t="n"/>
      <c r="W1322" s="74" t="n"/>
    </row>
    <row r="1323">
      <c r="A1323" s="74" t="n"/>
      <c r="B1323" s="74" t="n"/>
      <c r="C1323" s="74" t="n"/>
      <c r="D1323" s="74" t="n"/>
      <c r="E1323" s="74" t="n"/>
      <c r="F1323" s="74" t="n"/>
      <c r="G1323" s="74" t="n"/>
      <c r="H1323" s="74" t="n"/>
      <c r="I1323" s="74" t="n"/>
      <c r="J1323" s="74" t="n"/>
      <c r="K1323" s="74" t="n"/>
      <c r="L1323" s="74" t="n"/>
      <c r="M1323" s="74" t="n"/>
      <c r="N1323" s="74" t="n"/>
      <c r="O1323" s="74" t="n"/>
      <c r="P1323" s="74" t="n"/>
      <c r="Q1323" s="74" t="n"/>
      <c r="R1323" s="74" t="n"/>
      <c r="S1323" s="74" t="n"/>
      <c r="T1323" s="74" t="n"/>
      <c r="U1323" s="74" t="n"/>
      <c r="V1323" s="74" t="n"/>
      <c r="W1323" s="74" t="n"/>
    </row>
    <row r="1324">
      <c r="A1324" s="74" t="n"/>
      <c r="B1324" s="74" t="n"/>
      <c r="C1324" s="74" t="n"/>
      <c r="D1324" s="74" t="n"/>
      <c r="E1324" s="74" t="n"/>
      <c r="F1324" s="74" t="n"/>
      <c r="G1324" s="74" t="n"/>
      <c r="H1324" s="74" t="n"/>
      <c r="I1324" s="74" t="n"/>
      <c r="J1324" s="74" t="n"/>
      <c r="K1324" s="74" t="n"/>
      <c r="L1324" s="74" t="n"/>
      <c r="M1324" s="74" t="n"/>
      <c r="N1324" s="74" t="n"/>
      <c r="O1324" s="74" t="n"/>
      <c r="P1324" s="74" t="n"/>
      <c r="Q1324" s="74" t="n"/>
      <c r="R1324" s="74" t="n"/>
      <c r="S1324" s="74" t="n"/>
      <c r="T1324" s="74" t="n"/>
      <c r="U1324" s="74" t="n"/>
      <c r="V1324" s="74" t="n"/>
      <c r="W1324" s="74" t="n"/>
    </row>
    <row r="1325">
      <c r="A1325" s="74" t="n"/>
      <c r="B1325" s="74" t="n"/>
      <c r="C1325" s="74" t="n"/>
      <c r="D1325" s="74" t="n"/>
      <c r="E1325" s="74" t="n"/>
      <c r="F1325" s="74" t="n"/>
      <c r="G1325" s="74" t="n"/>
      <c r="H1325" s="74" t="n"/>
      <c r="I1325" s="74" t="n"/>
      <c r="J1325" s="74" t="n"/>
      <c r="K1325" s="74" t="n"/>
      <c r="L1325" s="74" t="n"/>
      <c r="M1325" s="74" t="n"/>
      <c r="N1325" s="74" t="n"/>
      <c r="O1325" s="74" t="n"/>
      <c r="P1325" s="74" t="n"/>
      <c r="Q1325" s="74" t="n"/>
      <c r="R1325" s="74" t="n"/>
      <c r="S1325" s="74" t="n"/>
      <c r="T1325" s="74" t="n"/>
      <c r="U1325" s="74" t="n"/>
      <c r="V1325" s="74" t="n"/>
      <c r="W1325" s="74" t="n"/>
    </row>
    <row r="1326">
      <c r="A1326" s="74" t="n"/>
      <c r="B1326" s="74" t="n"/>
      <c r="C1326" s="74" t="n"/>
      <c r="D1326" s="74" t="n"/>
      <c r="E1326" s="74" t="n"/>
      <c r="F1326" s="74" t="n"/>
      <c r="G1326" s="74" t="n"/>
      <c r="H1326" s="74" t="n"/>
      <c r="I1326" s="74" t="n"/>
      <c r="J1326" s="74" t="n"/>
      <c r="K1326" s="74" t="n"/>
      <c r="L1326" s="74" t="n"/>
      <c r="M1326" s="74" t="n"/>
      <c r="N1326" s="74" t="n"/>
      <c r="O1326" s="74" t="n"/>
      <c r="P1326" s="74" t="n"/>
      <c r="Q1326" s="74" t="n"/>
      <c r="R1326" s="74" t="n"/>
      <c r="S1326" s="74" t="n"/>
      <c r="T1326" s="74" t="n"/>
      <c r="U1326" s="74" t="n"/>
      <c r="V1326" s="74" t="n"/>
      <c r="W1326" s="74" t="n"/>
    </row>
    <row r="1327">
      <c r="A1327" s="74" t="n"/>
      <c r="B1327" s="74" t="n"/>
      <c r="C1327" s="74" t="n"/>
      <c r="D1327" s="74" t="n"/>
      <c r="E1327" s="74" t="n"/>
      <c r="F1327" s="74" t="n"/>
      <c r="G1327" s="74" t="n"/>
      <c r="H1327" s="74" t="n"/>
      <c r="I1327" s="74" t="n"/>
      <c r="J1327" s="74" t="n"/>
      <c r="K1327" s="74" t="n"/>
      <c r="L1327" s="74" t="n"/>
      <c r="M1327" s="74" t="n"/>
      <c r="N1327" s="74" t="n"/>
      <c r="O1327" s="74" t="n"/>
      <c r="P1327" s="74" t="n"/>
      <c r="Q1327" s="74" t="n"/>
      <c r="R1327" s="74" t="n"/>
      <c r="S1327" s="74" t="n"/>
      <c r="T1327" s="74" t="n"/>
      <c r="U1327" s="74" t="n"/>
      <c r="V1327" s="74" t="n"/>
      <c r="W1327" s="74" t="n"/>
    </row>
    <row r="1328">
      <c r="A1328" s="74" t="n"/>
      <c r="B1328" s="74" t="n"/>
      <c r="C1328" s="74" t="n"/>
      <c r="D1328" s="74" t="n"/>
      <c r="E1328" s="74" t="n"/>
      <c r="F1328" s="74" t="n"/>
      <c r="G1328" s="74" t="n"/>
      <c r="H1328" s="74" t="n"/>
      <c r="I1328" s="74" t="n"/>
      <c r="J1328" s="74" t="n"/>
      <c r="K1328" s="74" t="n"/>
      <c r="L1328" s="74" t="n"/>
      <c r="M1328" s="74" t="n"/>
      <c r="N1328" s="74" t="n"/>
      <c r="O1328" s="74" t="n"/>
      <c r="P1328" s="74" t="n"/>
      <c r="Q1328" s="74" t="n"/>
      <c r="R1328" s="74" t="n"/>
      <c r="S1328" s="74" t="n"/>
      <c r="T1328" s="74" t="n"/>
      <c r="U1328" s="74" t="n"/>
      <c r="V1328" s="74" t="n"/>
      <c r="W1328" s="74" t="n"/>
    </row>
    <row r="1329">
      <c r="A1329" s="74" t="n"/>
      <c r="B1329" s="74" t="n"/>
      <c r="C1329" s="74" t="n"/>
      <c r="D1329" s="74" t="n"/>
      <c r="E1329" s="74" t="n"/>
      <c r="F1329" s="74" t="n"/>
      <c r="G1329" s="74" t="n"/>
      <c r="H1329" s="74" t="n"/>
      <c r="I1329" s="74" t="n"/>
      <c r="J1329" s="74" t="n"/>
      <c r="K1329" s="74" t="n"/>
      <c r="L1329" s="74" t="n"/>
      <c r="M1329" s="74" t="n"/>
      <c r="N1329" s="74" t="n"/>
      <c r="O1329" s="74" t="n"/>
      <c r="P1329" s="74" t="n"/>
      <c r="Q1329" s="74" t="n"/>
      <c r="R1329" s="74" t="n"/>
      <c r="S1329" s="74" t="n"/>
      <c r="T1329" s="74" t="n"/>
      <c r="U1329" s="74" t="n"/>
      <c r="V1329" s="74" t="n"/>
      <c r="W1329" s="74" t="n"/>
    </row>
    <row r="1330">
      <c r="A1330" s="74" t="n"/>
      <c r="B1330" s="74" t="n"/>
      <c r="C1330" s="74" t="n"/>
      <c r="D1330" s="74" t="n"/>
      <c r="E1330" s="74" t="n"/>
      <c r="F1330" s="74" t="n"/>
      <c r="G1330" s="74" t="n"/>
      <c r="H1330" s="74" t="n"/>
      <c r="I1330" s="74" t="n"/>
      <c r="J1330" s="74" t="n"/>
      <c r="K1330" s="74" t="n"/>
      <c r="L1330" s="74" t="n"/>
      <c r="M1330" s="74" t="n"/>
      <c r="N1330" s="74" t="n"/>
      <c r="O1330" s="74" t="n"/>
      <c r="P1330" s="74" t="n"/>
      <c r="Q1330" s="74" t="n"/>
      <c r="R1330" s="74" t="n"/>
      <c r="S1330" s="74" t="n"/>
      <c r="T1330" s="74" t="n"/>
      <c r="U1330" s="74" t="n"/>
      <c r="V1330" s="74" t="n"/>
      <c r="W1330" s="74" t="n"/>
    </row>
    <row r="1331">
      <c r="A1331" s="74" t="n"/>
      <c r="B1331" s="74" t="n"/>
      <c r="C1331" s="74" t="n"/>
      <c r="D1331" s="74" t="n"/>
      <c r="E1331" s="74" t="n"/>
      <c r="F1331" s="74" t="n"/>
      <c r="G1331" s="74" t="n"/>
      <c r="H1331" s="74" t="n"/>
      <c r="I1331" s="74" t="n"/>
      <c r="J1331" s="74" t="n"/>
      <c r="K1331" s="74" t="n"/>
      <c r="L1331" s="74" t="n"/>
      <c r="M1331" s="74" t="n"/>
      <c r="N1331" s="74" t="n"/>
      <c r="O1331" s="74" t="n"/>
      <c r="P1331" s="74" t="n"/>
      <c r="Q1331" s="74" t="n"/>
      <c r="R1331" s="74" t="n"/>
      <c r="S1331" s="74" t="n"/>
      <c r="T1331" s="74" t="n"/>
      <c r="U1331" s="74" t="n"/>
      <c r="V1331" s="74" t="n"/>
      <c r="W1331" s="74" t="n"/>
    </row>
    <row r="1332">
      <c r="A1332" s="74" t="n"/>
      <c r="B1332" s="74" t="n"/>
      <c r="C1332" s="74" t="n"/>
      <c r="D1332" s="74" t="n"/>
      <c r="E1332" s="74" t="n"/>
      <c r="F1332" s="74" t="n"/>
      <c r="G1332" s="74" t="n"/>
      <c r="H1332" s="74" t="n"/>
      <c r="I1332" s="74" t="n"/>
      <c r="J1332" s="74" t="n"/>
      <c r="K1332" s="74" t="n"/>
      <c r="L1332" s="74" t="n"/>
      <c r="M1332" s="74" t="n"/>
      <c r="N1332" s="74" t="n"/>
      <c r="O1332" s="74" t="n"/>
      <c r="P1332" s="74" t="n"/>
      <c r="Q1332" s="74" t="n"/>
      <c r="R1332" s="74" t="n"/>
      <c r="S1332" s="74" t="n"/>
      <c r="T1332" s="74" t="n"/>
      <c r="U1332" s="74" t="n"/>
      <c r="V1332" s="74" t="n"/>
      <c r="W1332" s="74" t="n"/>
    </row>
    <row r="1333">
      <c r="A1333" s="74" t="n"/>
      <c r="B1333" s="74" t="n"/>
      <c r="C1333" s="74" t="n"/>
      <c r="D1333" s="74" t="n"/>
      <c r="E1333" s="74" t="n"/>
      <c r="F1333" s="74" t="n"/>
      <c r="G1333" s="74" t="n"/>
      <c r="H1333" s="74" t="n"/>
      <c r="I1333" s="74" t="n"/>
      <c r="J1333" s="74" t="n"/>
      <c r="K1333" s="74" t="n"/>
      <c r="L1333" s="74" t="n"/>
      <c r="M1333" s="74" t="n"/>
      <c r="N1333" s="74" t="n"/>
      <c r="O1333" s="74" t="n"/>
      <c r="P1333" s="74" t="n"/>
      <c r="Q1333" s="74" t="n"/>
      <c r="R1333" s="74" t="n"/>
      <c r="S1333" s="74" t="n"/>
      <c r="T1333" s="74" t="n"/>
      <c r="U1333" s="74" t="n"/>
      <c r="V1333" s="74" t="n"/>
      <c r="W1333" s="74" t="n"/>
    </row>
    <row r="1334">
      <c r="A1334" s="74" t="n"/>
      <c r="B1334" s="74" t="n"/>
      <c r="C1334" s="74" t="n"/>
      <c r="D1334" s="74" t="n"/>
      <c r="E1334" s="74" t="n"/>
      <c r="F1334" s="74" t="n"/>
      <c r="G1334" s="74" t="n"/>
      <c r="H1334" s="74" t="n"/>
      <c r="I1334" s="74" t="n"/>
      <c r="J1334" s="74" t="n"/>
      <c r="K1334" s="74" t="n"/>
      <c r="L1334" s="74" t="n"/>
      <c r="M1334" s="74" t="n"/>
      <c r="N1334" s="74" t="n"/>
      <c r="O1334" s="74" t="n"/>
      <c r="P1334" s="74" t="n"/>
      <c r="Q1334" s="74" t="n"/>
      <c r="R1334" s="74" t="n"/>
      <c r="S1334" s="74" t="n"/>
      <c r="T1334" s="74" t="n"/>
      <c r="U1334" s="74" t="n"/>
      <c r="V1334" s="74" t="n"/>
      <c r="W1334" s="74" t="n"/>
    </row>
    <row r="1335">
      <c r="A1335" s="74" t="n"/>
      <c r="B1335" s="74" t="n"/>
      <c r="C1335" s="74" t="n"/>
      <c r="D1335" s="74" t="n"/>
      <c r="E1335" s="74" t="n"/>
      <c r="F1335" s="74" t="n"/>
      <c r="G1335" s="74" t="n"/>
      <c r="H1335" s="74" t="n"/>
      <c r="I1335" s="74" t="n"/>
      <c r="J1335" s="74" t="n"/>
      <c r="K1335" s="74" t="n"/>
      <c r="L1335" s="74" t="n"/>
      <c r="M1335" s="74" t="n"/>
      <c r="N1335" s="74" t="n"/>
      <c r="O1335" s="74" t="n"/>
      <c r="P1335" s="74" t="n"/>
      <c r="Q1335" s="74" t="n"/>
      <c r="R1335" s="74" t="n"/>
      <c r="S1335" s="74" t="n"/>
      <c r="T1335" s="74" t="n"/>
      <c r="U1335" s="74" t="n"/>
      <c r="V1335" s="74" t="n"/>
      <c r="W1335" s="74" t="n"/>
    </row>
    <row r="1336">
      <c r="A1336" s="74" t="n"/>
      <c r="B1336" s="74" t="n"/>
      <c r="C1336" s="74" t="n"/>
      <c r="D1336" s="74" t="n"/>
      <c r="E1336" s="74" t="n"/>
      <c r="F1336" s="74" t="n"/>
      <c r="G1336" s="74" t="n"/>
      <c r="H1336" s="74" t="n"/>
      <c r="I1336" s="74" t="n"/>
      <c r="J1336" s="74" t="n"/>
      <c r="K1336" s="74" t="n"/>
      <c r="L1336" s="74" t="n"/>
      <c r="M1336" s="74" t="n"/>
      <c r="N1336" s="74" t="n"/>
      <c r="O1336" s="74" t="n"/>
      <c r="P1336" s="74" t="n"/>
      <c r="Q1336" s="74" t="n"/>
      <c r="R1336" s="74" t="n"/>
      <c r="S1336" s="74" t="n"/>
      <c r="T1336" s="74" t="n"/>
      <c r="U1336" s="74" t="n"/>
      <c r="V1336" s="74" t="n"/>
      <c r="W1336" s="74" t="n"/>
    </row>
    <row r="1337">
      <c r="A1337" s="74" t="n"/>
      <c r="B1337" s="74" t="n"/>
      <c r="C1337" s="74" t="n"/>
      <c r="D1337" s="74" t="n"/>
      <c r="E1337" s="74" t="n"/>
      <c r="F1337" s="74" t="n"/>
      <c r="G1337" s="74" t="n"/>
      <c r="H1337" s="74" t="n"/>
      <c r="I1337" s="74" t="n"/>
      <c r="J1337" s="74" t="n"/>
      <c r="K1337" s="74" t="n"/>
      <c r="L1337" s="74" t="n"/>
      <c r="M1337" s="74" t="n"/>
      <c r="N1337" s="74" t="n"/>
      <c r="O1337" s="74" t="n"/>
      <c r="P1337" s="74" t="n"/>
      <c r="Q1337" s="74" t="n"/>
      <c r="R1337" s="74" t="n"/>
      <c r="S1337" s="74" t="n"/>
      <c r="T1337" s="74" t="n"/>
      <c r="U1337" s="74" t="n"/>
      <c r="V1337" s="74" t="n"/>
      <c r="W1337" s="74" t="n"/>
    </row>
    <row r="1338">
      <c r="A1338" s="74" t="n"/>
      <c r="B1338" s="74" t="n"/>
      <c r="C1338" s="74" t="n"/>
      <c r="D1338" s="74" t="n"/>
      <c r="E1338" s="74" t="n"/>
      <c r="F1338" s="74" t="n"/>
      <c r="G1338" s="74" t="n"/>
      <c r="H1338" s="74" t="n"/>
      <c r="I1338" s="74" t="n"/>
      <c r="J1338" s="74" t="n"/>
      <c r="K1338" s="74" t="n"/>
      <c r="L1338" s="74" t="n"/>
      <c r="M1338" s="74" t="n"/>
      <c r="N1338" s="74" t="n"/>
      <c r="O1338" s="74" t="n"/>
      <c r="P1338" s="74" t="n"/>
      <c r="Q1338" s="74" t="n"/>
      <c r="R1338" s="74" t="n"/>
      <c r="S1338" s="74" t="n"/>
      <c r="T1338" s="74" t="n"/>
      <c r="U1338" s="74" t="n"/>
      <c r="V1338" s="74" t="n"/>
      <c r="W1338" s="74" t="n"/>
    </row>
    <row r="1339">
      <c r="A1339" s="74" t="n"/>
      <c r="B1339" s="74" t="n"/>
      <c r="C1339" s="74" t="n"/>
      <c r="D1339" s="74" t="n"/>
      <c r="E1339" s="74" t="n"/>
      <c r="F1339" s="74" t="n"/>
      <c r="G1339" s="74" t="n"/>
      <c r="H1339" s="74" t="n"/>
      <c r="I1339" s="74" t="n"/>
      <c r="J1339" s="74" t="n"/>
      <c r="K1339" s="74" t="n"/>
      <c r="L1339" s="74" t="n"/>
      <c r="M1339" s="74" t="n"/>
      <c r="N1339" s="74" t="n"/>
      <c r="O1339" s="74" t="n"/>
      <c r="P1339" s="74" t="n"/>
      <c r="Q1339" s="74" t="n"/>
      <c r="R1339" s="74" t="n"/>
      <c r="S1339" s="74" t="n"/>
      <c r="T1339" s="74" t="n"/>
      <c r="U1339" s="74" t="n"/>
      <c r="V1339" s="74" t="n"/>
      <c r="W1339" s="74" t="n"/>
    </row>
    <row r="1340">
      <c r="A1340" s="74" t="n"/>
      <c r="B1340" s="74" t="n"/>
      <c r="C1340" s="74" t="n"/>
      <c r="D1340" s="74" t="n"/>
      <c r="E1340" s="74" t="n"/>
      <c r="F1340" s="74" t="n"/>
      <c r="G1340" s="74" t="n"/>
      <c r="H1340" s="74" t="n"/>
      <c r="I1340" s="74" t="n"/>
      <c r="J1340" s="74" t="n"/>
      <c r="K1340" s="74" t="n"/>
      <c r="L1340" s="74" t="n"/>
      <c r="M1340" s="74" t="n"/>
      <c r="N1340" s="74" t="n"/>
      <c r="O1340" s="74" t="n"/>
      <c r="P1340" s="74" t="n"/>
      <c r="Q1340" s="74" t="n"/>
      <c r="R1340" s="74" t="n"/>
      <c r="S1340" s="74" t="n"/>
      <c r="T1340" s="74" t="n"/>
      <c r="U1340" s="74" t="n"/>
      <c r="V1340" s="74" t="n"/>
      <c r="W1340" s="74" t="n"/>
    </row>
    <row r="1341">
      <c r="A1341" s="74" t="n"/>
      <c r="B1341" s="74" t="n"/>
      <c r="C1341" s="74" t="n"/>
      <c r="D1341" s="74" t="n"/>
      <c r="E1341" s="74" t="n"/>
      <c r="F1341" s="74" t="n"/>
      <c r="G1341" s="74" t="n"/>
      <c r="H1341" s="74" t="n"/>
      <c r="I1341" s="74" t="n"/>
      <c r="J1341" s="74" t="n"/>
      <c r="K1341" s="74" t="n"/>
      <c r="L1341" s="74" t="n"/>
      <c r="M1341" s="74" t="n"/>
      <c r="N1341" s="74" t="n"/>
      <c r="O1341" s="74" t="n"/>
      <c r="P1341" s="74" t="n"/>
      <c r="Q1341" s="74" t="n"/>
      <c r="R1341" s="74" t="n"/>
      <c r="S1341" s="74" t="n"/>
      <c r="T1341" s="74" t="n"/>
      <c r="U1341" s="74" t="n"/>
      <c r="V1341" s="74" t="n"/>
      <c r="W1341" s="74" t="n"/>
    </row>
    <row r="1342">
      <c r="A1342" s="74" t="n"/>
      <c r="B1342" s="74" t="n"/>
      <c r="C1342" s="74" t="n"/>
      <c r="D1342" s="74" t="n"/>
      <c r="E1342" s="74" t="n"/>
      <c r="F1342" s="74" t="n"/>
      <c r="G1342" s="74" t="n"/>
      <c r="H1342" s="74" t="n"/>
      <c r="I1342" s="74" t="n"/>
      <c r="J1342" s="74" t="n"/>
      <c r="K1342" s="74" t="n"/>
      <c r="L1342" s="74" t="n"/>
      <c r="M1342" s="74" t="n"/>
      <c r="N1342" s="74" t="n"/>
      <c r="O1342" s="74" t="n"/>
      <c r="P1342" s="74" t="n"/>
      <c r="Q1342" s="74" t="n"/>
      <c r="R1342" s="74" t="n"/>
      <c r="S1342" s="74" t="n"/>
      <c r="T1342" s="74" t="n"/>
      <c r="U1342" s="74" t="n"/>
      <c r="V1342" s="74" t="n"/>
      <c r="W1342" s="74" t="n"/>
    </row>
    <row r="1343">
      <c r="A1343" s="74" t="n"/>
      <c r="B1343" s="74" t="n"/>
      <c r="C1343" s="74" t="n"/>
      <c r="D1343" s="74" t="n"/>
      <c r="E1343" s="74" t="n"/>
      <c r="F1343" s="74" t="n"/>
      <c r="G1343" s="74" t="n"/>
      <c r="H1343" s="74" t="n"/>
      <c r="I1343" s="74" t="n"/>
      <c r="J1343" s="74" t="n"/>
      <c r="K1343" s="74" t="n"/>
      <c r="L1343" s="74" t="n"/>
      <c r="M1343" s="74" t="n"/>
      <c r="N1343" s="74" t="n"/>
      <c r="O1343" s="74" t="n"/>
      <c r="P1343" s="74" t="n"/>
      <c r="Q1343" s="74" t="n"/>
      <c r="R1343" s="74" t="n"/>
      <c r="S1343" s="74" t="n"/>
      <c r="T1343" s="74" t="n"/>
      <c r="U1343" s="74" t="n"/>
      <c r="V1343" s="74" t="n"/>
      <c r="W1343" s="74" t="n"/>
    </row>
    <row r="1344">
      <c r="A1344" s="74" t="n"/>
      <c r="B1344" s="74" t="n"/>
      <c r="C1344" s="74" t="n"/>
      <c r="D1344" s="74" t="n"/>
      <c r="E1344" s="74" t="n"/>
      <c r="F1344" s="74" t="n"/>
      <c r="G1344" s="74" t="n"/>
      <c r="H1344" s="74" t="n"/>
      <c r="I1344" s="74" t="n"/>
      <c r="J1344" s="74" t="n"/>
      <c r="K1344" s="74" t="n"/>
      <c r="L1344" s="74" t="n"/>
      <c r="M1344" s="74" t="n"/>
      <c r="N1344" s="74" t="n"/>
      <c r="O1344" s="74" t="n"/>
      <c r="P1344" s="74" t="n"/>
      <c r="Q1344" s="74" t="n"/>
      <c r="R1344" s="74" t="n"/>
      <c r="S1344" s="74" t="n"/>
      <c r="T1344" s="74" t="n"/>
      <c r="U1344" s="74" t="n"/>
      <c r="V1344" s="74" t="n"/>
      <c r="W1344" s="74" t="n"/>
    </row>
    <row r="1345">
      <c r="A1345" s="74" t="n"/>
      <c r="B1345" s="74" t="n"/>
      <c r="C1345" s="74" t="n"/>
      <c r="D1345" s="74" t="n"/>
      <c r="E1345" s="74" t="n"/>
      <c r="F1345" s="74" t="n"/>
      <c r="G1345" s="74" t="n"/>
      <c r="H1345" s="74" t="n"/>
      <c r="I1345" s="74" t="n"/>
      <c r="J1345" s="74" t="n"/>
      <c r="K1345" s="74" t="n"/>
      <c r="L1345" s="74" t="n"/>
      <c r="M1345" s="74" t="n"/>
      <c r="N1345" s="74" t="n"/>
      <c r="O1345" s="74" t="n"/>
      <c r="P1345" s="74" t="n"/>
      <c r="Q1345" s="74" t="n"/>
      <c r="R1345" s="74" t="n"/>
      <c r="S1345" s="74" t="n"/>
      <c r="T1345" s="74" t="n"/>
      <c r="U1345" s="74" t="n"/>
      <c r="V1345" s="74" t="n"/>
      <c r="W1345" s="74" t="n"/>
    </row>
    <row r="1346">
      <c r="A1346" s="74" t="n"/>
      <c r="B1346" s="74" t="n"/>
      <c r="C1346" s="74" t="n"/>
      <c r="D1346" s="74" t="n"/>
      <c r="E1346" s="74" t="n"/>
      <c r="F1346" s="74" t="n"/>
      <c r="G1346" s="74" t="n"/>
      <c r="H1346" s="74" t="n"/>
      <c r="I1346" s="74" t="n"/>
      <c r="J1346" s="74" t="n"/>
      <c r="K1346" s="74" t="n"/>
      <c r="L1346" s="74" t="n"/>
      <c r="M1346" s="74" t="n"/>
      <c r="N1346" s="74" t="n"/>
      <c r="O1346" s="74" t="n"/>
      <c r="P1346" s="74" t="n"/>
      <c r="Q1346" s="74" t="n"/>
      <c r="R1346" s="74" t="n"/>
      <c r="S1346" s="74" t="n"/>
      <c r="T1346" s="74" t="n"/>
      <c r="U1346" s="74" t="n"/>
      <c r="V1346" s="74" t="n"/>
      <c r="W1346" s="74" t="n"/>
    </row>
    <row r="1347">
      <c r="A1347" s="74" t="n"/>
      <c r="B1347" s="74" t="n"/>
      <c r="C1347" s="74" t="n"/>
      <c r="D1347" s="74" t="n"/>
      <c r="E1347" s="74" t="n"/>
      <c r="F1347" s="74" t="n"/>
      <c r="G1347" s="74" t="n"/>
      <c r="H1347" s="74" t="n"/>
      <c r="I1347" s="74" t="n"/>
      <c r="J1347" s="74" t="n"/>
      <c r="K1347" s="74" t="n"/>
      <c r="L1347" s="74" t="n"/>
      <c r="M1347" s="74" t="n"/>
      <c r="N1347" s="74" t="n"/>
      <c r="O1347" s="74" t="n"/>
      <c r="P1347" s="74" t="n"/>
      <c r="Q1347" s="74" t="n"/>
      <c r="R1347" s="74" t="n"/>
      <c r="S1347" s="74" t="n"/>
      <c r="T1347" s="74" t="n"/>
      <c r="U1347" s="74" t="n"/>
      <c r="V1347" s="74" t="n"/>
      <c r="W1347" s="74" t="n"/>
    </row>
    <row r="1348">
      <c r="A1348" s="74" t="n"/>
      <c r="B1348" s="74" t="n"/>
      <c r="C1348" s="74" t="n"/>
      <c r="D1348" s="74" t="n"/>
      <c r="E1348" s="74" t="n"/>
      <c r="F1348" s="74" t="n"/>
      <c r="G1348" s="74" t="n"/>
      <c r="H1348" s="74" t="n"/>
      <c r="I1348" s="74" t="n"/>
      <c r="J1348" s="74" t="n"/>
      <c r="K1348" s="74" t="n"/>
      <c r="L1348" s="74" t="n"/>
      <c r="M1348" s="74" t="n"/>
      <c r="N1348" s="74" t="n"/>
      <c r="O1348" s="74" t="n"/>
      <c r="P1348" s="74" t="n"/>
      <c r="Q1348" s="74" t="n"/>
      <c r="R1348" s="74" t="n"/>
      <c r="S1348" s="74" t="n"/>
      <c r="T1348" s="74" t="n"/>
      <c r="U1348" s="74" t="n"/>
      <c r="V1348" s="74" t="n"/>
      <c r="W1348" s="74" t="n"/>
    </row>
    <row r="1349">
      <c r="A1349" s="74" t="n"/>
      <c r="B1349" s="74" t="n"/>
      <c r="C1349" s="74" t="n"/>
      <c r="D1349" s="74" t="n"/>
      <c r="E1349" s="74" t="n"/>
      <c r="F1349" s="74" t="n"/>
      <c r="G1349" s="74" t="n"/>
      <c r="H1349" s="74" t="n"/>
      <c r="I1349" s="74" t="n"/>
      <c r="J1349" s="74" t="n"/>
      <c r="K1349" s="74" t="n"/>
      <c r="L1349" s="74" t="n"/>
      <c r="M1349" s="74" t="n"/>
      <c r="N1349" s="74" t="n"/>
      <c r="O1349" s="74" t="n"/>
      <c r="P1349" s="74" t="n"/>
      <c r="Q1349" s="74" t="n"/>
      <c r="R1349" s="74" t="n"/>
      <c r="S1349" s="74" t="n"/>
      <c r="T1349" s="74" t="n"/>
      <c r="U1349" s="74" t="n"/>
      <c r="V1349" s="74" t="n"/>
      <c r="W1349" s="74" t="n"/>
    </row>
    <row r="1350">
      <c r="A1350" s="74" t="n"/>
      <c r="B1350" s="74" t="n"/>
      <c r="C1350" s="74" t="n"/>
      <c r="D1350" s="74" t="n"/>
      <c r="E1350" s="74" t="n"/>
      <c r="F1350" s="74" t="n"/>
      <c r="G1350" s="74" t="n"/>
      <c r="H1350" s="74" t="n"/>
      <c r="I1350" s="74" t="n"/>
      <c r="J1350" s="74" t="n"/>
      <c r="K1350" s="74" t="n"/>
      <c r="L1350" s="74" t="n"/>
      <c r="M1350" s="74" t="n"/>
      <c r="N1350" s="74" t="n"/>
      <c r="O1350" s="74" t="n"/>
      <c r="P1350" s="74" t="n"/>
      <c r="Q1350" s="74" t="n"/>
      <c r="R1350" s="74" t="n"/>
      <c r="S1350" s="74" t="n"/>
      <c r="T1350" s="74" t="n"/>
      <c r="U1350" s="74" t="n"/>
      <c r="V1350" s="74" t="n"/>
      <c r="W1350" s="74" t="n"/>
    </row>
    <row r="1351">
      <c r="A1351" s="74" t="n"/>
      <c r="B1351" s="74" t="n"/>
      <c r="C1351" s="74" t="n"/>
      <c r="D1351" s="74" t="n"/>
      <c r="E1351" s="74" t="n"/>
      <c r="F1351" s="74" t="n"/>
      <c r="G1351" s="74" t="n"/>
      <c r="H1351" s="74" t="n"/>
      <c r="I1351" s="74" t="n"/>
      <c r="J1351" s="74" t="n"/>
      <c r="K1351" s="74" t="n"/>
      <c r="L1351" s="74" t="n"/>
      <c r="M1351" s="74" t="n"/>
      <c r="N1351" s="74" t="n"/>
      <c r="O1351" s="74" t="n"/>
      <c r="P1351" s="74" t="n"/>
      <c r="Q1351" s="74" t="n"/>
      <c r="R1351" s="74" t="n"/>
      <c r="S1351" s="74" t="n"/>
      <c r="T1351" s="74" t="n"/>
      <c r="U1351" s="74" t="n"/>
      <c r="V1351" s="74" t="n"/>
      <c r="W1351" s="74" t="n"/>
    </row>
    <row r="1352">
      <c r="A1352" s="74" t="n"/>
      <c r="B1352" s="74" t="n"/>
      <c r="C1352" s="74" t="n"/>
      <c r="D1352" s="74" t="n"/>
      <c r="E1352" s="74" t="n"/>
      <c r="F1352" s="74" t="n"/>
      <c r="G1352" s="74" t="n"/>
      <c r="H1352" s="74" t="n"/>
      <c r="I1352" s="74" t="n"/>
      <c r="J1352" s="74" t="n"/>
      <c r="K1352" s="74" t="n"/>
      <c r="L1352" s="74" t="n"/>
      <c r="M1352" s="74" t="n"/>
      <c r="N1352" s="74" t="n"/>
      <c r="O1352" s="74" t="n"/>
      <c r="P1352" s="74" t="n"/>
      <c r="Q1352" s="74" t="n"/>
      <c r="R1352" s="74" t="n"/>
      <c r="S1352" s="74" t="n"/>
      <c r="T1352" s="74" t="n"/>
      <c r="U1352" s="74" t="n"/>
      <c r="V1352" s="74" t="n"/>
      <c r="W1352" s="74" t="n"/>
    </row>
    <row r="1353">
      <c r="A1353" s="74" t="n"/>
      <c r="B1353" s="74" t="n"/>
      <c r="C1353" s="74" t="n"/>
      <c r="D1353" s="74" t="n"/>
      <c r="E1353" s="74" t="n"/>
      <c r="F1353" s="74" t="n"/>
      <c r="G1353" s="74" t="n"/>
      <c r="H1353" s="74" t="n"/>
      <c r="I1353" s="74" t="n"/>
      <c r="J1353" s="74" t="n"/>
      <c r="K1353" s="74" t="n"/>
      <c r="L1353" s="74" t="n"/>
      <c r="M1353" s="74" t="n"/>
      <c r="N1353" s="74" t="n"/>
      <c r="O1353" s="74" t="n"/>
      <c r="P1353" s="74" t="n"/>
      <c r="Q1353" s="74" t="n"/>
      <c r="R1353" s="74" t="n"/>
      <c r="S1353" s="74" t="n"/>
      <c r="T1353" s="74" t="n"/>
      <c r="U1353" s="74" t="n"/>
      <c r="V1353" s="74" t="n"/>
      <c r="W1353" s="74" t="n"/>
    </row>
    <row r="1354">
      <c r="A1354" s="74" t="n"/>
      <c r="B1354" s="74" t="n"/>
      <c r="C1354" s="74" t="n"/>
      <c r="D1354" s="74" t="n"/>
      <c r="E1354" s="74" t="n"/>
      <c r="F1354" s="74" t="n"/>
      <c r="G1354" s="74" t="n"/>
      <c r="H1354" s="74" t="n"/>
      <c r="I1354" s="74" t="n"/>
      <c r="J1354" s="74" t="n"/>
      <c r="K1354" s="74" t="n"/>
      <c r="L1354" s="74" t="n"/>
      <c r="M1354" s="74" t="n"/>
      <c r="N1354" s="74" t="n"/>
      <c r="O1354" s="74" t="n"/>
      <c r="P1354" s="74" t="n"/>
      <c r="Q1354" s="74" t="n"/>
      <c r="R1354" s="74" t="n"/>
      <c r="S1354" s="74" t="n"/>
      <c r="T1354" s="74" t="n"/>
      <c r="U1354" s="74" t="n"/>
      <c r="V1354" s="74" t="n"/>
      <c r="W1354" s="74" t="n"/>
    </row>
  </sheetData>
  <autoFilter ref="$A$1:$Q$340"/>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42"/>
  <sheetViews>
    <sheetView workbookViewId="0">
      <selection activeCell="A1" sqref="A1"/>
    </sheetView>
  </sheetViews>
  <sheetFormatPr baseColWidth="8" defaultColWidth="12.63" defaultRowHeight="15.75" customHeight="1"/>
  <cols>
    <col width="60.5" customWidth="1" style="84" min="1" max="1"/>
  </cols>
  <sheetData>
    <row r="1">
      <c r="A1" s="75" t="inlineStr">
        <is>
          <t>Stakeholder</t>
        </is>
      </c>
      <c r="B1" s="75" t="inlineStr">
        <is>
          <t>Type of organization</t>
        </is>
      </c>
    </row>
    <row r="2">
      <c r="A2" s="75" t="inlineStr">
        <is>
          <t>Instituto Alana</t>
        </is>
      </c>
      <c r="B2" s="75" t="inlineStr">
        <is>
          <t>Think tanks</t>
        </is>
      </c>
    </row>
    <row r="3">
      <c r="A3" s="75" t="inlineStr">
        <is>
          <t>Instituto Socioambiental (ISA)</t>
        </is>
      </c>
      <c r="B3" s="75" t="inlineStr">
        <is>
          <t>Local implementers</t>
        </is>
      </c>
    </row>
    <row r="4">
      <c r="A4" s="75" t="inlineStr">
        <is>
          <t>The Nature Conservancy Brasil (TNC Brasil)</t>
        </is>
      </c>
      <c r="B4" s="75" t="inlineStr">
        <is>
          <t>Local implementers</t>
        </is>
      </c>
    </row>
    <row r="5">
      <c r="A5" s="75" t="inlineStr">
        <is>
          <t>Conservação Internacional Brasil (CI-Brasil)</t>
        </is>
      </c>
      <c r="B5" s="75" t="inlineStr">
        <is>
          <t>Local implementers</t>
        </is>
      </c>
    </row>
    <row r="6">
      <c r="A6" s="75" t="inlineStr">
        <is>
          <t>WWF-Brasil</t>
        </is>
      </c>
      <c r="B6" s="75" t="inlineStr">
        <is>
          <t>Local implementers</t>
        </is>
      </c>
    </row>
    <row r="7">
      <c r="A7" s="75" t="inlineStr">
        <is>
          <t>Fundação SOS Mata Atlântica</t>
        </is>
      </c>
      <c r="B7" s="75" t="inlineStr">
        <is>
          <t>Local implementers</t>
        </is>
      </c>
    </row>
    <row r="8">
      <c r="A8" s="75" t="inlineStr">
        <is>
          <t>Fundação Amazonas Sustentável (FAS)</t>
        </is>
      </c>
      <c r="B8" s="75" t="inlineStr">
        <is>
          <t>Local implementers</t>
        </is>
      </c>
    </row>
    <row r="9">
      <c r="A9" s="75" t="inlineStr">
        <is>
          <t>Instituto de Manejo e Certificação Florestal e Agrícola (Imaflora)</t>
        </is>
      </c>
      <c r="B9" s="75" t="inlineStr">
        <is>
          <t>Local implementers</t>
        </is>
      </c>
    </row>
    <row r="10">
      <c r="A10" s="75" t="inlineStr">
        <is>
          <t>Instituto de Conservação e Desenvolvimento Sustentável da Amazônia (IDESAM)</t>
        </is>
      </c>
      <c r="B10" s="75" t="inlineStr">
        <is>
          <t>Local implementers</t>
        </is>
      </c>
    </row>
    <row r="11">
      <c r="A11" s="75" t="inlineStr">
        <is>
          <t>Artemisia</t>
        </is>
      </c>
      <c r="B11" s="75" t="inlineStr">
        <is>
          <t>Local implementers</t>
        </is>
      </c>
    </row>
    <row r="12">
      <c r="A12" s="75" t="inlineStr">
        <is>
          <t>Instituto Conexões Sustentáveis (Conexsus)</t>
        </is>
      </c>
      <c r="B12" s="75" t="inlineStr">
        <is>
          <t>Local implementers</t>
        </is>
      </c>
    </row>
    <row r="13">
      <c r="A13" s="75" t="inlineStr">
        <is>
          <t>Instituto Phi</t>
        </is>
      </c>
      <c r="B13" s="75" t="inlineStr">
        <is>
          <t>Philanthropy foundations</t>
        </is>
      </c>
    </row>
    <row r="14">
      <c r="A14" s="75" t="inlineStr">
        <is>
          <t>Instituto de Pesquisas Ecológicas (IPÊ)</t>
        </is>
      </c>
      <c r="B14" s="75" t="inlineStr">
        <is>
          <t>Local implementers</t>
        </is>
      </c>
    </row>
    <row r="15">
      <c r="A15" s="75" t="inlineStr">
        <is>
          <t>AS-PTA – Agricultura Familiar e Agroecologia</t>
        </is>
      </c>
      <c r="B15" s="75" t="inlineStr">
        <is>
          <t>Local implementers</t>
        </is>
      </c>
    </row>
    <row r="16">
      <c r="A16" s="75" t="inlineStr">
        <is>
          <t>Instituto de Pesquisa Ambiental da Amazônia (IPAM)</t>
        </is>
      </c>
      <c r="B16" s="75" t="inlineStr">
        <is>
          <t>Research centers</t>
        </is>
      </c>
    </row>
    <row r="17">
      <c r="A17" s="75" t="inlineStr">
        <is>
          <t>Rainforest Alliance</t>
        </is>
      </c>
      <c r="B17" s="75" t="inlineStr">
        <is>
          <t>Industry platforms and sectoral initiatives</t>
        </is>
      </c>
    </row>
    <row r="18">
      <c r="A18" s="75" t="inlineStr">
        <is>
          <t>Associação Caatinga</t>
        </is>
      </c>
      <c r="B18" s="75" t="inlineStr">
        <is>
          <t>Local implementers</t>
        </is>
      </c>
    </row>
    <row r="19">
      <c r="A19" s="75" t="inlineStr">
        <is>
          <t>Instituto Regional da Pequena Agropecuária Apropriada (IRPAA)</t>
        </is>
      </c>
      <c r="B19" s="75" t="inlineStr">
        <is>
          <t>Local implementers</t>
        </is>
      </c>
    </row>
    <row r="20">
      <c r="A20" s="75" t="inlineStr">
        <is>
          <t>Instituto Brasileiro de Defesa do Consumidor (Idec)</t>
        </is>
      </c>
      <c r="B20" s="75" t="inlineStr">
        <is>
          <t>Think tanks</t>
        </is>
      </c>
    </row>
    <row r="21">
      <c r="A21" s="75" t="inlineStr">
        <is>
          <t>Greenpeace Brasil</t>
        </is>
      </c>
      <c r="B21" s="75" t="inlineStr">
        <is>
          <t>Social movements</t>
        </is>
      </c>
    </row>
    <row r="22">
      <c r="A22" s="75" t="inlineStr">
        <is>
          <t>Instituto Internacional Arayara (Arayara)</t>
        </is>
      </c>
      <c r="B22" s="75" t="inlineStr">
        <is>
          <t>Social movements</t>
        </is>
      </c>
    </row>
    <row r="23">
      <c r="A23" s="75" t="inlineStr">
        <is>
          <t>Fundação Pró-Natureza (Funatura)</t>
        </is>
      </c>
      <c r="B23" s="75" t="inlineStr">
        <is>
          <t>Local implementers</t>
        </is>
      </c>
    </row>
    <row r="24">
      <c r="A24" s="75" t="inlineStr">
        <is>
          <t>Instituto Cerrados (IC)</t>
        </is>
      </c>
      <c r="B24" s="75" t="inlineStr">
        <is>
          <t>Local implementers</t>
        </is>
      </c>
    </row>
    <row r="25">
      <c r="A25" s="75" t="inlineStr">
        <is>
          <t>Operação Amazônia Nativa (OPAN)</t>
        </is>
      </c>
      <c r="B25" s="75" t="inlineStr">
        <is>
          <t>Local implementers</t>
        </is>
      </c>
    </row>
    <row r="26">
      <c r="A26" s="75" t="inlineStr">
        <is>
          <t>Instituto Centro de Vida (ICV)</t>
        </is>
      </c>
      <c r="B26" s="75" t="inlineStr">
        <is>
          <t>Local implementers</t>
        </is>
      </c>
    </row>
    <row r="27">
      <c r="A27" s="75" t="inlineStr">
        <is>
          <t>Instituto Internacional de Educação do Brasil (IEB)</t>
        </is>
      </c>
      <c r="B27" s="75" t="inlineStr">
        <is>
          <t>Local implementers</t>
        </is>
      </c>
    </row>
    <row r="28">
      <c r="A28" s="75" t="inlineStr">
        <is>
          <t>Instituto Ouro Verde (IOV)</t>
        </is>
      </c>
      <c r="B28" s="75" t="inlineStr">
        <is>
          <t>Local implementers</t>
        </is>
      </c>
    </row>
    <row r="29">
      <c r="A29" s="75" t="inlineStr">
        <is>
          <t>Instituto Sociedade, População e Natureza (ISPN)</t>
        </is>
      </c>
      <c r="B29" s="75" t="inlineStr">
        <is>
          <t>Local implementers</t>
        </is>
      </c>
    </row>
    <row r="30">
      <c r="A30" s="75" t="inlineStr">
        <is>
          <t>Conselho Indigenista Missionário (CIMI)</t>
        </is>
      </c>
      <c r="B30" s="75" t="inlineStr">
        <is>
          <t>Grassroots networks</t>
        </is>
      </c>
    </row>
    <row r="31">
      <c r="A31" s="75" t="inlineStr">
        <is>
          <t>Comissão Pastoral da Terra (CPT)</t>
        </is>
      </c>
      <c r="B31" s="75" t="inlineStr">
        <is>
          <t>Grassroots networks</t>
        </is>
      </c>
    </row>
    <row r="32">
      <c r="A32" s="75" t="inlineStr">
        <is>
          <t>Conselho Pastoral dos Pescadores (CPP)</t>
        </is>
      </c>
      <c r="B32" s="75" t="inlineStr">
        <is>
          <t>Grassroots networks</t>
        </is>
      </c>
    </row>
    <row r="33">
      <c r="A33" s="75" t="inlineStr">
        <is>
          <t>Diaconia</t>
        </is>
      </c>
      <c r="B33" s="75" t="inlineStr">
        <is>
          <t>Local implementers</t>
        </is>
      </c>
    </row>
    <row r="34">
      <c r="A34" s="75" t="inlineStr">
        <is>
          <t>Cáritas Brasileira</t>
        </is>
      </c>
      <c r="B34" s="75" t="inlineStr">
        <is>
          <t>Local implementers</t>
        </is>
      </c>
    </row>
    <row r="35">
      <c r="A35" s="75" t="inlineStr">
        <is>
          <t>Federação de Órgãos para Assistência Social e Educacional (FASE)</t>
        </is>
      </c>
      <c r="B35" s="75" t="inlineStr">
        <is>
          <t>Think tanks</t>
        </is>
      </c>
    </row>
    <row r="36">
      <c r="A36" s="75" t="inlineStr">
        <is>
          <t>Misereor</t>
        </is>
      </c>
      <c r="B36" s="75" t="inlineStr">
        <is>
          <t>Bilateral cooperation agencies</t>
        </is>
      </c>
    </row>
    <row r="37">
      <c r="A37" s="75" t="inlineStr">
        <is>
          <t>Trias (Trias vzw)</t>
        </is>
      </c>
      <c r="B37" s="75" t="inlineStr">
        <is>
          <t>Bilateral cooperation agencies</t>
        </is>
      </c>
    </row>
    <row r="38">
      <c r="A38" s="75" t="inlineStr">
        <is>
          <t>Brot für die Welt (Brot für die Welt)</t>
        </is>
      </c>
      <c r="B38" s="75" t="inlineStr">
        <is>
          <t>Bilateral cooperation agencies</t>
        </is>
      </c>
    </row>
    <row r="39">
      <c r="A39" s="75" t="inlineStr">
        <is>
          <t>Catholic Agency for Overseas Development (CAFOD)</t>
        </is>
      </c>
      <c r="B39" s="75" t="inlineStr">
        <is>
          <t>Bilateral cooperation agencies</t>
        </is>
      </c>
    </row>
    <row r="40">
      <c r="A40" s="75" t="inlineStr">
        <is>
          <t>Plan International Brasil (Plan International)</t>
        </is>
      </c>
      <c r="B40" s="75" t="inlineStr">
        <is>
          <t>Local implementers</t>
        </is>
      </c>
    </row>
    <row r="41">
      <c r="A41" s="75" t="inlineStr">
        <is>
          <t>Save the Children Brasil (Save the Children)</t>
        </is>
      </c>
      <c r="B41" s="75" t="inlineStr">
        <is>
          <t>Local implementers</t>
        </is>
      </c>
    </row>
    <row r="42">
      <c r="A42" s="75" t="inlineStr">
        <is>
          <t>Visão Mundial (Visão Mundial)</t>
        </is>
      </c>
      <c r="B42" s="75" t="inlineStr">
        <is>
          <t>Local implementers</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1340"/>
  <sheetViews>
    <sheetView workbookViewId="0">
      <selection activeCell="A1" sqref="A1"/>
    </sheetView>
  </sheetViews>
  <sheetFormatPr baseColWidth="8" defaultColWidth="12.63" defaultRowHeight="15.75" customHeight="1"/>
  <cols>
    <col width="82.13" customWidth="1" style="84" min="1" max="1"/>
    <col width="22.25" customWidth="1" style="84" min="2" max="2"/>
    <col width="12.75" customWidth="1" style="84" min="3" max="3"/>
    <col width="8.880000000000001" customWidth="1" style="84" min="4" max="4"/>
    <col width="17.88" customWidth="1" style="84" min="5" max="5"/>
    <col width="16.88" customWidth="1" style="84" min="6" max="6"/>
    <col width="6.25" customWidth="1" style="84" min="7" max="7"/>
    <col width="16.75" customWidth="1" style="84" min="8" max="8"/>
  </cols>
  <sheetData>
    <row r="1">
      <c r="A1" s="78">
        <f>IFERROR(__xludf.DUMMYFUNCTION("ARRAYFORMULA(QUERY(SUBSTITUTE(SPLIT(FLATTEN(Data_Looker!B1:B339 &amp; ""|"" &amp; SPLIT(SUBSTITUTE(Data_Looker!G1:G339, ""Land, Food and Forest"", ""PROTEGER1""), "", "", FALSE)), ""|""), ""PROTEGER1"", ""Land, Food and Forest""), ""where Col2 &lt;&gt; ''""))"),"Stakeholder ")</f>
        <v/>
      </c>
      <c r="B1" s="78">
        <f>IFERROR(__xludf.DUMMYFUNCTION("""COMPUTED_VALUE"""),"Primary impact area 
(sector of interest / Nexuses)")</f>
        <v/>
      </c>
      <c r="C1" s="76" t="n"/>
      <c r="D1" s="76" t="n"/>
    </row>
    <row r="2">
      <c r="A2" s="78">
        <f>IFERROR(__xludf.DUMMYFUNCTION("""COMPUTED_VALUE"""),"Instituto Ibirapitanga")</f>
        <v/>
      </c>
      <c r="B2" s="78">
        <f>IFERROR(__xludf.DUMMYFUNCTION("""COMPUTED_VALUE"""),"""Land, Food and Forest""")</f>
        <v/>
      </c>
    </row>
    <row r="3">
      <c r="A3" s="78">
        <f>IFERROR(__xludf.DUMMYFUNCTION("""COMPUTED_VALUE"""),"Instituto Serrapilheira")</f>
        <v/>
      </c>
      <c r="B3" s="78">
        <f>IFERROR(__xludf.DUMMYFUNCTION("""COMPUTED_VALUE"""),"""Land, Food and Forest""")</f>
        <v/>
      </c>
    </row>
    <row r="4">
      <c r="A4" s="78">
        <f>IFERROR(__xludf.DUMMYFUNCTION("""COMPUTED_VALUE"""),"Fundo Brasileiro para a Biodiversidade (FUNBIO)")</f>
        <v/>
      </c>
      <c r="B4" s="78">
        <f>IFERROR(__xludf.DUMMYFUNCTION("""COMPUTED_VALUE"""),"""Land, Food and Forest""")</f>
        <v/>
      </c>
    </row>
    <row r="5">
      <c r="A5" s="78">
        <f>IFERROR(__xludf.DUMMYFUNCTION("""COMPUTED_VALUE"""),"Instituto Clima e Sociedade (iCS)")</f>
        <v/>
      </c>
      <c r="B5" s="78">
        <f>IFERROR(__xludf.DUMMYFUNCTION("""COMPUTED_VALUE"""),"Buildings &amp; Transport")</f>
        <v/>
      </c>
    </row>
    <row r="6">
      <c r="A6" s="78">
        <f>IFERROR(__xludf.DUMMYFUNCTION("""COMPUTED_VALUE"""),"Instituto Clima e Sociedade (iCS)")</f>
        <v/>
      </c>
      <c r="B6" s="78">
        <f>IFERROR(__xludf.DUMMYFUNCTION("""COMPUTED_VALUE"""),"Energy")</f>
        <v/>
      </c>
    </row>
    <row r="7">
      <c r="A7" s="78">
        <f>IFERROR(__xludf.DUMMYFUNCTION("""COMPUTED_VALUE"""),"Instituto Clima e Sociedade (iCS)")</f>
        <v/>
      </c>
      <c r="B7" s="78">
        <f>IFERROR(__xludf.DUMMYFUNCTION("""COMPUTED_VALUE"""),"""Land, Food and Forest""")</f>
        <v/>
      </c>
    </row>
    <row r="8">
      <c r="A8" s="78">
        <f>IFERROR(__xludf.DUMMYFUNCTION("""COMPUTED_VALUE"""),"Instituto Cultura, Comunicação e Incidência (ICCI)")</f>
        <v/>
      </c>
      <c r="B8" s="78">
        <f>IFERROR(__xludf.DUMMYFUNCTION("""COMPUTED_VALUE"""),"Buildings &amp; Transport")</f>
        <v/>
      </c>
    </row>
    <row r="9">
      <c r="A9" s="78">
        <f>IFERROR(__xludf.DUMMYFUNCTION("""COMPUTED_VALUE"""),"Instituto Cultura, Comunicação e Incidência (ICCI)")</f>
        <v/>
      </c>
      <c r="B9" s="78">
        <f>IFERROR(__xludf.DUMMYFUNCTION("""COMPUTED_VALUE"""),"Energy")</f>
        <v/>
      </c>
    </row>
    <row r="10">
      <c r="A10" s="78">
        <f>IFERROR(__xludf.DUMMYFUNCTION("""COMPUTED_VALUE"""),"Instituto Cultura, Comunicação e Incidência (ICCI)")</f>
        <v/>
      </c>
      <c r="B10" s="78">
        <f>IFERROR(__xludf.DUMMYFUNCTION("""COMPUTED_VALUE"""),"""Land, Food and Forest""")</f>
        <v/>
      </c>
    </row>
    <row r="11">
      <c r="A11" s="78">
        <f>IFERROR(__xludf.DUMMYFUNCTION("""COMPUTED_VALUE"""),"Grupo de Institutos, Fundações e Empresas (GIFE)")</f>
        <v/>
      </c>
      <c r="B11" s="78">
        <f>IFERROR(__xludf.DUMMYFUNCTION("""COMPUTED_VALUE"""),"Buildings &amp; Transport")</f>
        <v/>
      </c>
    </row>
    <row r="12">
      <c r="A12" s="78">
        <f>IFERROR(__xludf.DUMMYFUNCTION("""COMPUTED_VALUE"""),"Grupo de Institutos, Fundações e Empresas (GIFE)")</f>
        <v/>
      </c>
      <c r="B12" s="78">
        <f>IFERROR(__xludf.DUMMYFUNCTION("""COMPUTED_VALUE"""),"Energy")</f>
        <v/>
      </c>
    </row>
    <row r="13">
      <c r="A13" s="78">
        <f>IFERROR(__xludf.DUMMYFUNCTION("""COMPUTED_VALUE"""),"Grupo de Institutos, Fundações e Empresas (GIFE)")</f>
        <v/>
      </c>
      <c r="B13" s="78">
        <f>IFERROR(__xludf.DUMMYFUNCTION("""COMPUTED_VALUE"""),"""Land, Food and Forest""")</f>
        <v/>
      </c>
    </row>
    <row r="14">
      <c r="A14" s="78">
        <f>IFERROR(__xludf.DUMMYFUNCTION("""COMPUTED_VALUE"""),"Movimento Bem Maior (MBM)")</f>
        <v/>
      </c>
      <c r="B14" s="78">
        <f>IFERROR(__xludf.DUMMYFUNCTION("""COMPUTED_VALUE"""),"Buildings &amp; Transport")</f>
        <v/>
      </c>
    </row>
    <row r="15">
      <c r="A15" s="78">
        <f>IFERROR(__xludf.DUMMYFUNCTION("""COMPUTED_VALUE"""),"Movimento Bem Maior (MBM)")</f>
        <v/>
      </c>
      <c r="B15" s="78">
        <f>IFERROR(__xludf.DUMMYFUNCTION("""COMPUTED_VALUE"""),"""Land, Food and Forest""")</f>
        <v/>
      </c>
    </row>
    <row r="16">
      <c r="A16" s="78">
        <f>IFERROR(__xludf.DUMMYFUNCTION("""COMPUTED_VALUE"""),"Instituto Beija ")</f>
        <v/>
      </c>
      <c r="B16" s="78">
        <f>IFERROR(__xludf.DUMMYFUNCTION("""COMPUTED_VALUE"""),"Buildings &amp; Transport")</f>
        <v/>
      </c>
    </row>
    <row r="17">
      <c r="A17" s="78">
        <f>IFERROR(__xludf.DUMMYFUNCTION("""COMPUTED_VALUE"""),"Instituto Beija ")</f>
        <v/>
      </c>
      <c r="B17" s="78">
        <f>IFERROR(__xludf.DUMMYFUNCTION("""COMPUTED_VALUE"""),"Energy")</f>
        <v/>
      </c>
    </row>
    <row r="18">
      <c r="A18" s="78">
        <f>IFERROR(__xludf.DUMMYFUNCTION("""COMPUTED_VALUE"""),"Instituto Beija ")</f>
        <v/>
      </c>
      <c r="B18" s="78">
        <f>IFERROR(__xludf.DUMMYFUNCTION("""COMPUTED_VALUE"""),"""Land, Food and Forest""")</f>
        <v/>
      </c>
    </row>
    <row r="19">
      <c r="A19" s="78">
        <f>IFERROR(__xludf.DUMMYFUNCTION("""COMPUTED_VALUE"""),"Instituto Beija ")</f>
        <v/>
      </c>
      <c r="B19" s="78">
        <f>IFERROR(__xludf.DUMMYFUNCTION("""COMPUTED_VALUE"""),"Emergency response")</f>
        <v/>
      </c>
    </row>
    <row r="20">
      <c r="A20" s="78">
        <f>IFERROR(__xludf.DUMMYFUNCTION("""COMPUTED_VALUE"""),"Open Society Foundations")</f>
        <v/>
      </c>
      <c r="B20" s="78">
        <f>IFERROR(__xludf.DUMMYFUNCTION("""COMPUTED_VALUE"""),"Buildings &amp; Transport")</f>
        <v/>
      </c>
    </row>
    <row r="21">
      <c r="A21" s="78">
        <f>IFERROR(__xludf.DUMMYFUNCTION("""COMPUTED_VALUE"""),"Open Society Foundations")</f>
        <v/>
      </c>
      <c r="B21" s="78">
        <f>IFERROR(__xludf.DUMMYFUNCTION("""COMPUTED_VALUE"""),"Emergency response")</f>
        <v/>
      </c>
    </row>
    <row r="22">
      <c r="A22" s="78">
        <f>IFERROR(__xludf.DUMMYFUNCTION("""COMPUTED_VALUE"""),"Open Society Foundations")</f>
        <v/>
      </c>
      <c r="B22" s="78">
        <f>IFERROR(__xludf.DUMMYFUNCTION("""COMPUTED_VALUE"""),"Energy")</f>
        <v/>
      </c>
    </row>
    <row r="23">
      <c r="A23" s="78">
        <f>IFERROR(__xludf.DUMMYFUNCTION("""COMPUTED_VALUE"""),"Open Society Foundations")</f>
        <v/>
      </c>
      <c r="B23" s="78">
        <f>IFERROR(__xludf.DUMMYFUNCTION("""COMPUTED_VALUE"""),"""Land, Food and Forest""")</f>
        <v/>
      </c>
    </row>
    <row r="24">
      <c r="A24" s="78">
        <f>IFERROR(__xludf.DUMMYFUNCTION("""COMPUTED_VALUE"""),"Instituto Ethos")</f>
        <v/>
      </c>
      <c r="B24" s="78">
        <f>IFERROR(__xludf.DUMMYFUNCTION("""COMPUTED_VALUE"""),"Buildings &amp; Transport")</f>
        <v/>
      </c>
    </row>
    <row r="25">
      <c r="A25" s="78">
        <f>IFERROR(__xludf.DUMMYFUNCTION("""COMPUTED_VALUE"""),"Instituto Ethos")</f>
        <v/>
      </c>
      <c r="B25" s="78">
        <f>IFERROR(__xludf.DUMMYFUNCTION("""COMPUTED_VALUE"""),"Energy")</f>
        <v/>
      </c>
    </row>
    <row r="26">
      <c r="A26" s="78">
        <f>IFERROR(__xludf.DUMMYFUNCTION("""COMPUTED_VALUE"""),"Instituto Ethos")</f>
        <v/>
      </c>
      <c r="B26" s="78">
        <f>IFERROR(__xludf.DUMMYFUNCTION("""COMPUTED_VALUE"""),"""Land, Food and Forest""")</f>
        <v/>
      </c>
    </row>
    <row r="27">
      <c r="A27" s="78">
        <f>IFERROR(__xludf.DUMMYFUNCTION("""COMPUTED_VALUE"""),"Instituto para o Desenvolvimento do Investimento Social (IDIS)")</f>
        <v/>
      </c>
      <c r="B27" s="78">
        <f>IFERROR(__xludf.DUMMYFUNCTION("""COMPUTED_VALUE"""),"Buildings &amp; Transport")</f>
        <v/>
      </c>
    </row>
    <row r="28">
      <c r="A28" s="78">
        <f>IFERROR(__xludf.DUMMYFUNCTION("""COMPUTED_VALUE"""),"Instituto para o Desenvolvimento do Investimento Social (IDIS)")</f>
        <v/>
      </c>
      <c r="B28" s="78">
        <f>IFERROR(__xludf.DUMMYFUNCTION("""COMPUTED_VALUE"""),"Energy")</f>
        <v/>
      </c>
    </row>
    <row r="29">
      <c r="A29" s="78">
        <f>IFERROR(__xludf.DUMMYFUNCTION("""COMPUTED_VALUE"""),"Instituto para o Desenvolvimento do Investimento Social (IDIS)")</f>
        <v/>
      </c>
      <c r="B29" s="78">
        <f>IFERROR(__xludf.DUMMYFUNCTION("""COMPUTED_VALUE"""),"""Land, Food and Forest""")</f>
        <v/>
      </c>
    </row>
    <row r="30">
      <c r="A30" s="78">
        <f>IFERROR(__xludf.DUMMYFUNCTION("""COMPUTED_VALUE"""),"Instituto Climate Ventures Brasil (Climate Ventures)")</f>
        <v/>
      </c>
      <c r="B30" s="78">
        <f>IFERROR(__xludf.DUMMYFUNCTION("""COMPUTED_VALUE"""),"Buildings &amp; Transport")</f>
        <v/>
      </c>
    </row>
    <row r="31">
      <c r="A31" s="78">
        <f>IFERROR(__xludf.DUMMYFUNCTION("""COMPUTED_VALUE"""),"Instituto Climate Ventures Brasil (Climate Ventures)")</f>
        <v/>
      </c>
      <c r="B31" s="78">
        <f>IFERROR(__xludf.DUMMYFUNCTION("""COMPUTED_VALUE"""),"Energy")</f>
        <v/>
      </c>
    </row>
    <row r="32">
      <c r="A32" s="78">
        <f>IFERROR(__xludf.DUMMYFUNCTION("""COMPUTED_VALUE"""),"Instituto Climate Ventures Brasil (Climate Ventures)")</f>
        <v/>
      </c>
      <c r="B32" s="78">
        <f>IFERROR(__xludf.DUMMYFUNCTION("""COMPUTED_VALUE"""),"""Land, Food and Forest""")</f>
        <v/>
      </c>
    </row>
    <row r="33">
      <c r="A33" s="78">
        <f>IFERROR(__xludf.DUMMYFUNCTION("""COMPUTED_VALUE"""),"The Climate Group")</f>
        <v/>
      </c>
      <c r="B33" s="78">
        <f>IFERROR(__xludf.DUMMYFUNCTION("""COMPUTED_VALUE"""),"Buildings &amp; Transport")</f>
        <v/>
      </c>
    </row>
    <row r="34">
      <c r="A34" s="78">
        <f>IFERROR(__xludf.DUMMYFUNCTION("""COMPUTED_VALUE"""),"The Climate Group")</f>
        <v/>
      </c>
      <c r="B34" s="78">
        <f>IFERROR(__xludf.DUMMYFUNCTION("""COMPUTED_VALUE"""),"Energy")</f>
        <v/>
      </c>
    </row>
    <row r="35">
      <c r="A35" s="78">
        <f>IFERROR(__xludf.DUMMYFUNCTION("""COMPUTED_VALUE"""),"Fundação Arymax")</f>
        <v/>
      </c>
      <c r="B35" s="78">
        <f>IFERROR(__xludf.DUMMYFUNCTION("""COMPUTED_VALUE"""),"Emergency response")</f>
        <v/>
      </c>
    </row>
    <row r="36">
      <c r="A36" s="78">
        <f>IFERROR(__xludf.DUMMYFUNCTION("""COMPUTED_VALUE"""),"Fundação Arymax")</f>
        <v/>
      </c>
      <c r="B36" s="78">
        <f>IFERROR(__xludf.DUMMYFUNCTION("""COMPUTED_VALUE"""),"""Land, Food and Forest""")</f>
        <v/>
      </c>
    </row>
    <row r="37">
      <c r="A37" s="78">
        <f>IFERROR(__xludf.DUMMYFUNCTION("""COMPUTED_VALUE"""),"Instituto Talanoa")</f>
        <v/>
      </c>
      <c r="B37" s="78">
        <f>IFERROR(__xludf.DUMMYFUNCTION("""COMPUTED_VALUE"""),"Buildings &amp; Transport")</f>
        <v/>
      </c>
    </row>
    <row r="38">
      <c r="A38" s="78">
        <f>IFERROR(__xludf.DUMMYFUNCTION("""COMPUTED_VALUE"""),"Instituto Talanoa")</f>
        <v/>
      </c>
      <c r="B38" s="78">
        <f>IFERROR(__xludf.DUMMYFUNCTION("""COMPUTED_VALUE"""),"Energy")</f>
        <v/>
      </c>
    </row>
    <row r="39">
      <c r="A39" s="78">
        <f>IFERROR(__xludf.DUMMYFUNCTION("""COMPUTED_VALUE"""),"Instituto Talanoa")</f>
        <v/>
      </c>
      <c r="B39" s="78">
        <f>IFERROR(__xludf.DUMMYFUNCTION("""COMPUTED_VALUE"""),"""Land, Food and Forest""")</f>
        <v/>
      </c>
    </row>
    <row r="40">
      <c r="A40" s="78">
        <f>IFERROR(__xludf.DUMMYFUNCTION("""COMPUTED_VALUE"""),"Instituto Alana")</f>
        <v/>
      </c>
      <c r="B40" s="78">
        <f>IFERROR(__xludf.DUMMYFUNCTION("""COMPUTED_VALUE"""),"""Land, Food and Forest""")</f>
        <v/>
      </c>
    </row>
    <row r="41">
      <c r="A41" s="78">
        <f>IFERROR(__xludf.DUMMYFUNCTION("""COMPUTED_VALUE"""),"Itaúsa (Itaúsa S.A.)")</f>
        <v/>
      </c>
      <c r="B41" s="78">
        <f>IFERROR(__xludf.DUMMYFUNCTION("""COMPUTED_VALUE"""),"Buildings &amp; Transport")</f>
        <v/>
      </c>
    </row>
    <row r="42">
      <c r="A42" s="78">
        <f>IFERROR(__xludf.DUMMYFUNCTION("""COMPUTED_VALUE"""),"Itaúsa (Itaúsa S.A.)")</f>
        <v/>
      </c>
      <c r="B42" s="78">
        <f>IFERROR(__xludf.DUMMYFUNCTION("""COMPUTED_VALUE"""),"Energy")</f>
        <v/>
      </c>
    </row>
    <row r="43">
      <c r="A43" s="78">
        <f>IFERROR(__xludf.DUMMYFUNCTION("""COMPUTED_VALUE"""),"Itaúsa (Itaúsa S.A.)")</f>
        <v/>
      </c>
      <c r="B43" s="78">
        <f>IFERROR(__xludf.DUMMYFUNCTION("""COMPUTED_VALUE"""),"""Land, Food and Forest""")</f>
        <v/>
      </c>
    </row>
    <row r="44">
      <c r="A44" s="78">
        <f>IFERROR(__xludf.DUMMYFUNCTION("""COMPUTED_VALUE"""),"Instituto Arapyaú")</f>
        <v/>
      </c>
      <c r="B44" s="78">
        <f>IFERROR(__xludf.DUMMYFUNCTION("""COMPUTED_VALUE"""),"Buildings &amp; Transport")</f>
        <v/>
      </c>
    </row>
    <row r="45">
      <c r="A45" s="78">
        <f>IFERROR(__xludf.DUMMYFUNCTION("""COMPUTED_VALUE"""),"Instituto Arapyaú")</f>
        <v/>
      </c>
      <c r="B45" s="78">
        <f>IFERROR(__xludf.DUMMYFUNCTION("""COMPUTED_VALUE"""),"Energy")</f>
        <v/>
      </c>
    </row>
    <row r="46">
      <c r="A46" s="78">
        <f>IFERROR(__xludf.DUMMYFUNCTION("""COMPUTED_VALUE"""),"Instituto Arapyaú")</f>
        <v/>
      </c>
      <c r="B46" s="78">
        <f>IFERROR(__xludf.DUMMYFUNCTION("""COMPUTED_VALUE"""),"""Land, Food and Forest""")</f>
        <v/>
      </c>
    </row>
    <row r="47">
      <c r="A47" s="78">
        <f>IFERROR(__xludf.DUMMYFUNCTION("""COMPUTED_VALUE"""),"Instituto Semeia")</f>
        <v/>
      </c>
      <c r="B47" s="78">
        <f>IFERROR(__xludf.DUMMYFUNCTION("""COMPUTED_VALUE"""),"""Land, Food and Forest""")</f>
        <v/>
      </c>
    </row>
    <row r="48">
      <c r="A48" s="78">
        <f>IFERROR(__xludf.DUMMYFUNCTION("""COMPUTED_VALUE"""),"The David and Lucile Packard Foundation")</f>
        <v/>
      </c>
      <c r="B48" s="78">
        <f>IFERROR(__xludf.DUMMYFUNCTION("""COMPUTED_VALUE"""),"Energy")</f>
        <v/>
      </c>
    </row>
    <row r="49">
      <c r="A49" s="78">
        <f>IFERROR(__xludf.DUMMYFUNCTION("""COMPUTED_VALUE"""),"The David and Lucile Packard Foundation")</f>
        <v/>
      </c>
      <c r="B49" s="78">
        <f>IFERROR(__xludf.DUMMYFUNCTION("""COMPUTED_VALUE"""),"""Land, Food and Forest""")</f>
        <v/>
      </c>
    </row>
    <row r="50">
      <c r="A50" s="78">
        <f>IFERROR(__xludf.DUMMYFUNCTION("""COMPUTED_VALUE"""),"Alcoa")</f>
        <v/>
      </c>
      <c r="B50" s="78">
        <f>IFERROR(__xludf.DUMMYFUNCTION("""COMPUTED_VALUE"""),"Buildings &amp; Transport")</f>
        <v/>
      </c>
    </row>
    <row r="51">
      <c r="A51" s="78">
        <f>IFERROR(__xludf.DUMMYFUNCTION("""COMPUTED_VALUE"""),"Alcoa")</f>
        <v/>
      </c>
      <c r="B51" s="78">
        <f>IFERROR(__xludf.DUMMYFUNCTION("""COMPUTED_VALUE"""),"Energy")</f>
        <v/>
      </c>
    </row>
    <row r="52">
      <c r="A52" s="78">
        <f>IFERROR(__xludf.DUMMYFUNCTION("""COMPUTED_VALUE"""),"Norsk Hydro ASA (Hydro)")</f>
        <v/>
      </c>
      <c r="B52" s="78">
        <f>IFERROR(__xludf.DUMMYFUNCTION("""COMPUTED_VALUE"""),"Buildings &amp; Transport")</f>
        <v/>
      </c>
    </row>
    <row r="53">
      <c r="A53" s="78">
        <f>IFERROR(__xludf.DUMMYFUNCTION("""COMPUTED_VALUE"""),"Norsk Hydro ASA (Hydro)")</f>
        <v/>
      </c>
      <c r="B53" s="78">
        <f>IFERROR(__xludf.DUMMYFUNCTION("""COMPUTED_VALUE"""),"Energy")</f>
        <v/>
      </c>
    </row>
    <row r="54">
      <c r="A54" s="78">
        <f>IFERROR(__xludf.DUMMYFUNCTION("""COMPUTED_VALUE"""),"Instituto Socioambiental (ISA)")</f>
        <v/>
      </c>
      <c r="B54" s="78">
        <f>IFERROR(__xludf.DUMMYFUNCTION("""COMPUTED_VALUE"""),"""Land, Food and Forest""")</f>
        <v/>
      </c>
    </row>
    <row r="55">
      <c r="A55" s="78">
        <f>IFERROR(__xludf.DUMMYFUNCTION("""COMPUTED_VALUE"""),"The Nature Conservancy Brasil (TNC Brasil)")</f>
        <v/>
      </c>
      <c r="B55" s="78">
        <f>IFERROR(__xludf.DUMMYFUNCTION("""COMPUTED_VALUE"""),"""Land, Food and Forest""")</f>
        <v/>
      </c>
    </row>
    <row r="56">
      <c r="A56" s="78">
        <f>IFERROR(__xludf.DUMMYFUNCTION("""COMPUTED_VALUE"""),"Conservação Internacional Brasil (CI-Brasil)")</f>
        <v/>
      </c>
      <c r="B56" s="78">
        <f>IFERROR(__xludf.DUMMYFUNCTION("""COMPUTED_VALUE"""),"""Land, Food and Forest""")</f>
        <v/>
      </c>
    </row>
    <row r="57">
      <c r="A57" s="78">
        <f>IFERROR(__xludf.DUMMYFUNCTION("""COMPUTED_VALUE"""),"WWF-Brasil")</f>
        <v/>
      </c>
      <c r="B57" s="78">
        <f>IFERROR(__xludf.DUMMYFUNCTION("""COMPUTED_VALUE"""),"""Land, Food and Forest""")</f>
        <v/>
      </c>
    </row>
    <row r="58">
      <c r="A58" s="78">
        <f>IFERROR(__xludf.DUMMYFUNCTION("""COMPUTED_VALUE"""),"WRI Brasil")</f>
        <v/>
      </c>
      <c r="B58" s="78">
        <f>IFERROR(__xludf.DUMMYFUNCTION("""COMPUTED_VALUE"""),"Buildings &amp; Transport")</f>
        <v/>
      </c>
    </row>
    <row r="59">
      <c r="A59" s="78">
        <f>IFERROR(__xludf.DUMMYFUNCTION("""COMPUTED_VALUE"""),"WRI Brasil")</f>
        <v/>
      </c>
      <c r="B59" s="78">
        <f>IFERROR(__xludf.DUMMYFUNCTION("""COMPUTED_VALUE"""),"Energy")</f>
        <v/>
      </c>
    </row>
    <row r="60">
      <c r="A60" s="78">
        <f>IFERROR(__xludf.DUMMYFUNCTION("""COMPUTED_VALUE"""),"WRI Brasil")</f>
        <v/>
      </c>
      <c r="B60" s="78">
        <f>IFERROR(__xludf.DUMMYFUNCTION("""COMPUTED_VALUE"""),"""Land, Food and Forest""")</f>
        <v/>
      </c>
    </row>
    <row r="61">
      <c r="A61" s="78">
        <f>IFERROR(__xludf.DUMMYFUNCTION("""COMPUTED_VALUE"""),"Fundação SOS Mata Atlântica")</f>
        <v/>
      </c>
      <c r="B61" s="78">
        <f>IFERROR(__xludf.DUMMYFUNCTION("""COMPUTED_VALUE"""),"""Land, Food and Forest""")</f>
        <v/>
      </c>
    </row>
    <row r="62">
      <c r="A62" s="78">
        <f>IFERROR(__xludf.DUMMYFUNCTION("""COMPUTED_VALUE"""),"Empresa Brasileira de Pesquisa Agropecuária (Embrapa)")</f>
        <v/>
      </c>
      <c r="B62" s="78">
        <f>IFERROR(__xludf.DUMMYFUNCTION("""COMPUTED_VALUE"""),"""Land, Food and Forest""")</f>
        <v/>
      </c>
    </row>
    <row r="63">
      <c r="A63" s="78">
        <f>IFERROR(__xludf.DUMMYFUNCTION("""COMPUTED_VALUE"""),"Sistema S")</f>
        <v/>
      </c>
      <c r="B63" s="78">
        <f>IFERROR(__xludf.DUMMYFUNCTION("""COMPUTED_VALUE"""),"Buildings &amp; Transport")</f>
        <v/>
      </c>
    </row>
    <row r="64">
      <c r="A64" s="78">
        <f>IFERROR(__xludf.DUMMYFUNCTION("""COMPUTED_VALUE"""),"Sistema S")</f>
        <v/>
      </c>
      <c r="B64" s="78">
        <f>IFERROR(__xludf.DUMMYFUNCTION("""COMPUTED_VALUE"""),"Energy")</f>
        <v/>
      </c>
    </row>
    <row r="65">
      <c r="A65" s="78">
        <f>IFERROR(__xludf.DUMMYFUNCTION("""COMPUTED_VALUE"""),"Instituto Brasileiro do Meio Ambiente e dos Recursos Naturais Renováveis (Ibama)")</f>
        <v/>
      </c>
      <c r="B65" s="78">
        <f>IFERROR(__xludf.DUMMYFUNCTION("""COMPUTED_VALUE"""),"Energy")</f>
        <v/>
      </c>
    </row>
    <row r="66">
      <c r="A66" s="78">
        <f>IFERROR(__xludf.DUMMYFUNCTION("""COMPUTED_VALUE"""),"Instituto Brasileiro do Meio Ambiente e dos Recursos Naturais Renováveis (Ibama)")</f>
        <v/>
      </c>
      <c r="B66" s="78">
        <f>IFERROR(__xludf.DUMMYFUNCTION("""COMPUTED_VALUE"""),"""Land, Food and Forest""")</f>
        <v/>
      </c>
    </row>
    <row r="67">
      <c r="A67" s="78">
        <f>IFERROR(__xludf.DUMMYFUNCTION("""COMPUTED_VALUE"""),"Instituto Chico Mendes de Conservação da Biodiversidade (ICMBio)")</f>
        <v/>
      </c>
      <c r="B67" s="78">
        <f>IFERROR(__xludf.DUMMYFUNCTION("""COMPUTED_VALUE"""),"""Land, Food and Forest""")</f>
        <v/>
      </c>
    </row>
    <row r="68">
      <c r="A68" s="78">
        <f>IFERROR(__xludf.DUMMYFUNCTION("""COMPUTED_VALUE"""),"Instituto do Homem e Meio Ambiente da Amazônia (Imazon)")</f>
        <v/>
      </c>
      <c r="B68" s="78">
        <f>IFERROR(__xludf.DUMMYFUNCTION("""COMPUTED_VALUE"""),"""Land, Food and Forest""")</f>
        <v/>
      </c>
    </row>
    <row r="69">
      <c r="A69" s="78">
        <f>IFERROR(__xludf.DUMMYFUNCTION("""COMPUTED_VALUE"""),"Fundação Amazonas Sustentável (FAS)")</f>
        <v/>
      </c>
      <c r="B69" s="78">
        <f>IFERROR(__xludf.DUMMYFUNCTION("""COMPUTED_VALUE"""),"""Land, Food and Forest""")</f>
        <v/>
      </c>
    </row>
    <row r="70">
      <c r="A70" s="78">
        <f>IFERROR(__xludf.DUMMYFUNCTION("""COMPUTED_VALUE"""),"Instituto de Manejo e Certificação Florestal e Agrícola (Imaflora)")</f>
        <v/>
      </c>
      <c r="B70" s="78">
        <f>IFERROR(__xludf.DUMMYFUNCTION("""COMPUTED_VALUE"""),"""Land, Food and Forest""")</f>
        <v/>
      </c>
    </row>
    <row r="71">
      <c r="A71" s="78">
        <f>IFERROR(__xludf.DUMMYFUNCTION("""COMPUTED_VALUE"""),"Fundação Roberto Marinho")</f>
        <v/>
      </c>
      <c r="B71" s="78">
        <f>IFERROR(__xludf.DUMMYFUNCTION("""COMPUTED_VALUE"""),"Buildings &amp; Transport")</f>
        <v/>
      </c>
    </row>
    <row r="72">
      <c r="A72" s="78">
        <f>IFERROR(__xludf.DUMMYFUNCTION("""COMPUTED_VALUE"""),"Fundação Roberto Marinho")</f>
        <v/>
      </c>
      <c r="B72" s="78">
        <f>IFERROR(__xludf.DUMMYFUNCTION("""COMPUTED_VALUE"""),"""Land, Food and Forest""")</f>
        <v/>
      </c>
    </row>
    <row r="73">
      <c r="A73" s="78">
        <f>IFERROR(__xludf.DUMMYFUNCTION("""COMPUTED_VALUE"""),"Instituto Serzedello Corrêa (ISC/TCU)")</f>
        <v/>
      </c>
      <c r="B73" s="78">
        <f>IFERROR(__xludf.DUMMYFUNCTION("""COMPUTED_VALUE"""),"Buildings &amp; Transport")</f>
        <v/>
      </c>
    </row>
    <row r="74">
      <c r="A74" s="78">
        <f>IFERROR(__xludf.DUMMYFUNCTION("""COMPUTED_VALUE"""),"Instituto Serzedello Corrêa (ISC/TCU)")</f>
        <v/>
      </c>
      <c r="B74" s="78">
        <f>IFERROR(__xludf.DUMMYFUNCTION("""COMPUTED_VALUE"""),"Energy")</f>
        <v/>
      </c>
    </row>
    <row r="75">
      <c r="A75" s="78">
        <f>IFERROR(__xludf.DUMMYFUNCTION("""COMPUTED_VALUE"""),"Instituto Serzedello Corrêa (ISC/TCU)")</f>
        <v/>
      </c>
      <c r="B75" s="78">
        <f>IFERROR(__xludf.DUMMYFUNCTION("""COMPUTED_VALUE"""),"""Land, Food and Forest""")</f>
        <v/>
      </c>
    </row>
    <row r="76">
      <c r="A76" s="78">
        <f>IFERROR(__xludf.DUMMYFUNCTION("""COMPUTED_VALUE"""),"Vale S.A.")</f>
        <v/>
      </c>
      <c r="B76" s="78">
        <f>IFERROR(__xludf.DUMMYFUNCTION("""COMPUTED_VALUE"""),"Buildings &amp; Transport")</f>
        <v/>
      </c>
    </row>
    <row r="77">
      <c r="A77" s="78">
        <f>IFERROR(__xludf.DUMMYFUNCTION("""COMPUTED_VALUE"""),"Vale S.A.")</f>
        <v/>
      </c>
      <c r="B77" s="78">
        <f>IFERROR(__xludf.DUMMYFUNCTION("""COMPUTED_VALUE"""),"Energy")</f>
        <v/>
      </c>
    </row>
    <row r="78">
      <c r="A78" s="78">
        <f>IFERROR(__xludf.DUMMYFUNCTION("""COMPUTED_VALUE"""),"Vale S.A.")</f>
        <v/>
      </c>
      <c r="B78" s="78">
        <f>IFERROR(__xludf.DUMMYFUNCTION("""COMPUTED_VALUE"""),"""Land, Food and Forest""")</f>
        <v/>
      </c>
    </row>
    <row r="79">
      <c r="A79" s="78">
        <f>IFERROR(__xludf.DUMMYFUNCTION("""COMPUTED_VALUE"""),"Suzano S.A.")</f>
        <v/>
      </c>
      <c r="B79" s="78">
        <f>IFERROR(__xludf.DUMMYFUNCTION("""COMPUTED_VALUE"""),"Energy")</f>
        <v/>
      </c>
    </row>
    <row r="80">
      <c r="A80" s="78">
        <f>IFERROR(__xludf.DUMMYFUNCTION("""COMPUTED_VALUE"""),"Suzano S.A.")</f>
        <v/>
      </c>
      <c r="B80" s="78">
        <f>IFERROR(__xludf.DUMMYFUNCTION("""COMPUTED_VALUE"""),"""Land, Food and Forest""")</f>
        <v/>
      </c>
    </row>
    <row r="81">
      <c r="A81" s="78">
        <f>IFERROR(__xludf.DUMMYFUNCTION("""COMPUTED_VALUE"""),"Banco da Amazônia S.A. (BASA)")</f>
        <v/>
      </c>
      <c r="B81" s="78">
        <f>IFERROR(__xludf.DUMMYFUNCTION("""COMPUTED_VALUE"""),"Energy")</f>
        <v/>
      </c>
    </row>
    <row r="82">
      <c r="A82" s="78">
        <f>IFERROR(__xludf.DUMMYFUNCTION("""COMPUTED_VALUE"""),"Banco da Amazônia S.A. (BASA)")</f>
        <v/>
      </c>
      <c r="B82" s="78">
        <f>IFERROR(__xludf.DUMMYFUNCTION("""COMPUTED_VALUE"""),"""Land, Food and Forest""")</f>
        <v/>
      </c>
    </row>
    <row r="83">
      <c r="A83" s="78">
        <f>IFERROR(__xludf.DUMMYFUNCTION("""COMPUTED_VALUE"""),"Instituto de Conservação e Desenvolvimento Sustentável da Amazônia (IDESAM)")</f>
        <v/>
      </c>
      <c r="B83" s="78">
        <f>IFERROR(__xludf.DUMMYFUNCTION("""COMPUTED_VALUE"""),"""Land, Food and Forest""")</f>
        <v/>
      </c>
    </row>
    <row r="84">
      <c r="A84" s="78">
        <f>IFERROR(__xludf.DUMMYFUNCTION("""COMPUTED_VALUE"""),"Sitawi Finanças do Bem")</f>
        <v/>
      </c>
      <c r="B84" s="78">
        <f>IFERROR(__xludf.DUMMYFUNCTION("""COMPUTED_VALUE"""),"Buildings &amp; Transport")</f>
        <v/>
      </c>
    </row>
    <row r="85">
      <c r="A85" s="78">
        <f>IFERROR(__xludf.DUMMYFUNCTION("""COMPUTED_VALUE"""),"Sitawi Finanças do Bem")</f>
        <v/>
      </c>
      <c r="B85" s="78">
        <f>IFERROR(__xludf.DUMMYFUNCTION("""COMPUTED_VALUE"""),"Energy")</f>
        <v/>
      </c>
    </row>
    <row r="86">
      <c r="A86" s="78">
        <f>IFERROR(__xludf.DUMMYFUNCTION("""COMPUTED_VALUE"""),"Sitawi Finanças do Bem")</f>
        <v/>
      </c>
      <c r="B86" s="78">
        <f>IFERROR(__xludf.DUMMYFUNCTION("""COMPUTED_VALUE"""),"""Land, Food and Forest""")</f>
        <v/>
      </c>
    </row>
    <row r="87">
      <c r="A87" s="78">
        <f>IFERROR(__xludf.DUMMYFUNCTION("""COMPUTED_VALUE"""),"Din4mo")</f>
        <v/>
      </c>
      <c r="B87" s="78">
        <f>IFERROR(__xludf.DUMMYFUNCTION("""COMPUTED_VALUE"""),"Buildings &amp; Transport")</f>
        <v/>
      </c>
    </row>
    <row r="88">
      <c r="A88" s="78">
        <f>IFERROR(__xludf.DUMMYFUNCTION("""COMPUTED_VALUE"""),"Din4mo")</f>
        <v/>
      </c>
      <c r="B88" s="78">
        <f>IFERROR(__xludf.DUMMYFUNCTION("""COMPUTED_VALUE"""),"Energy")</f>
        <v/>
      </c>
    </row>
    <row r="89">
      <c r="A89" s="78">
        <f>IFERROR(__xludf.DUMMYFUNCTION("""COMPUTED_VALUE"""),"Din4mo")</f>
        <v/>
      </c>
      <c r="B89" s="78">
        <f>IFERROR(__xludf.DUMMYFUNCTION("""COMPUTED_VALUE"""),"""Land, Food and Forest""")</f>
        <v/>
      </c>
    </row>
    <row r="90">
      <c r="A90" s="78">
        <f>IFERROR(__xludf.DUMMYFUNCTION("""COMPUTED_VALUE"""),"Artemisia")</f>
        <v/>
      </c>
      <c r="B90" s="78">
        <f>IFERROR(__xludf.DUMMYFUNCTION("""COMPUTED_VALUE"""),"Buildings &amp; Transport")</f>
        <v/>
      </c>
    </row>
    <row r="91">
      <c r="A91" s="78">
        <f>IFERROR(__xludf.DUMMYFUNCTION("""COMPUTED_VALUE"""),"Impact Hub Network")</f>
        <v/>
      </c>
      <c r="B91" s="78">
        <f>IFERROR(__xludf.DUMMYFUNCTION("""COMPUTED_VALUE"""),"Buildings &amp; Transport")</f>
        <v/>
      </c>
    </row>
    <row r="92">
      <c r="A92" s="78">
        <f>IFERROR(__xludf.DUMMYFUNCTION("""COMPUTED_VALUE"""),"Impact Hub Network")</f>
        <v/>
      </c>
      <c r="B92" s="78">
        <f>IFERROR(__xludf.DUMMYFUNCTION("""COMPUTED_VALUE"""),"Energy")</f>
        <v/>
      </c>
    </row>
    <row r="93">
      <c r="A93" s="78">
        <f>IFERROR(__xludf.DUMMYFUNCTION("""COMPUTED_VALUE"""),"Impact Hub Network")</f>
        <v/>
      </c>
      <c r="B93" s="78">
        <f>IFERROR(__xludf.DUMMYFUNCTION("""COMPUTED_VALUE"""),"""Land, Food and Forest""")</f>
        <v/>
      </c>
    </row>
    <row r="94">
      <c r="A94" s="78">
        <f>IFERROR(__xludf.DUMMYFUNCTION("""COMPUTED_VALUE"""),"Instituto Conexões Sustentáveis (Conexsus)")</f>
        <v/>
      </c>
      <c r="B94" s="78">
        <f>IFERROR(__xludf.DUMMYFUNCTION("""COMPUTED_VALUE"""),"""Land, Food and Forest""")</f>
        <v/>
      </c>
    </row>
    <row r="95">
      <c r="A95" s="78">
        <f>IFERROR(__xludf.DUMMYFUNCTION("""COMPUTED_VALUE"""),"Pipe.Social")</f>
        <v/>
      </c>
      <c r="B95" s="78">
        <f>IFERROR(__xludf.DUMMYFUNCTION("""COMPUTED_VALUE"""),"Buildings &amp; Transport")</f>
        <v/>
      </c>
    </row>
    <row r="96">
      <c r="A96" s="78">
        <f>IFERROR(__xludf.DUMMYFUNCTION("""COMPUTED_VALUE"""),"Pipe.Social")</f>
        <v/>
      </c>
      <c r="B96" s="78">
        <f>IFERROR(__xludf.DUMMYFUNCTION("""COMPUTED_VALUE"""),"Energy")</f>
        <v/>
      </c>
    </row>
    <row r="97">
      <c r="A97" s="78">
        <f>IFERROR(__xludf.DUMMYFUNCTION("""COMPUTED_VALUE"""),"Pipe.Social")</f>
        <v/>
      </c>
      <c r="B97" s="78">
        <f>IFERROR(__xludf.DUMMYFUNCTION("""COMPUTED_VALUE"""),"""Land, Food and Forest""")</f>
        <v/>
      </c>
    </row>
    <row r="98">
      <c r="A98" s="78">
        <f>IFERROR(__xludf.DUMMYFUNCTION("""COMPUTED_VALUE"""),"Yunus Negócios Sociais (Brasil)")</f>
        <v/>
      </c>
      <c r="B98" s="78">
        <f>IFERROR(__xludf.DUMMYFUNCTION("""COMPUTED_VALUE"""),"Buildings &amp; Transport")</f>
        <v/>
      </c>
    </row>
    <row r="99">
      <c r="A99" s="78">
        <f>IFERROR(__xludf.DUMMYFUNCTION("""COMPUTED_VALUE"""),"Yunus Negócios Sociais (Brasil)")</f>
        <v/>
      </c>
      <c r="B99" s="78">
        <f>IFERROR(__xludf.DUMMYFUNCTION("""COMPUTED_VALUE"""),"Energy")</f>
        <v/>
      </c>
    </row>
    <row r="100">
      <c r="A100" s="78">
        <f>IFERROR(__xludf.DUMMYFUNCTION("""COMPUTED_VALUE"""),"Yunus Negócios Sociais (Brasil)")</f>
        <v/>
      </c>
      <c r="B100" s="78">
        <f>IFERROR(__xludf.DUMMYFUNCTION("""COMPUTED_VALUE"""),"""Land, Food and Forest""")</f>
        <v/>
      </c>
    </row>
    <row r="101">
      <c r="A101" s="78">
        <f>IFERROR(__xludf.DUMMYFUNCTION("""COMPUTED_VALUE"""),"Instituto C&amp;A")</f>
        <v/>
      </c>
      <c r="B101" s="78">
        <f>IFERROR(__xludf.DUMMYFUNCTION("""COMPUTED_VALUE"""),"Buildings &amp; Transport")</f>
        <v/>
      </c>
    </row>
    <row r="102">
      <c r="A102" s="78">
        <f>IFERROR(__xludf.DUMMYFUNCTION("""COMPUTED_VALUE"""),"Instituto C&amp;A")</f>
        <v/>
      </c>
      <c r="B102" s="78">
        <f>IFERROR(__xludf.DUMMYFUNCTION("""COMPUTED_VALUE"""),"""Land, Food and Forest""")</f>
        <v/>
      </c>
    </row>
    <row r="103">
      <c r="A103" s="78">
        <f>IFERROR(__xludf.DUMMYFUNCTION("""COMPUTED_VALUE"""),"Lundin Foundation")</f>
        <v/>
      </c>
      <c r="B103" s="78">
        <f>IFERROR(__xludf.DUMMYFUNCTION("""COMPUTED_VALUE"""),"""Land, Food and Forest""")</f>
        <v/>
      </c>
    </row>
    <row r="104">
      <c r="A104" s="78">
        <f>IFERROR(__xludf.DUMMYFUNCTION("""COMPUTED_VALUE"""),"Fundação Grupo Boticário de Proteção à Natureza")</f>
        <v/>
      </c>
      <c r="B104" s="78">
        <f>IFERROR(__xludf.DUMMYFUNCTION("""COMPUTED_VALUE"""),"Buildings &amp; Transport")</f>
        <v/>
      </c>
    </row>
    <row r="105">
      <c r="A105" s="78">
        <f>IFERROR(__xludf.DUMMYFUNCTION("""COMPUTED_VALUE"""),"Fundação Grupo Boticário de Proteção à Natureza")</f>
        <v/>
      </c>
      <c r="B105" s="78">
        <f>IFERROR(__xludf.DUMMYFUNCTION("""COMPUTED_VALUE"""),"""Land, Food and Forest""")</f>
        <v/>
      </c>
    </row>
    <row r="106">
      <c r="A106" s="78">
        <f>IFERROR(__xludf.DUMMYFUNCTION("""COMPUTED_VALUE"""),"Natura")</f>
        <v/>
      </c>
      <c r="B106" s="78">
        <f>IFERROR(__xludf.DUMMYFUNCTION("""COMPUTED_VALUE"""),"""Land, Food and Forest""")</f>
        <v/>
      </c>
    </row>
    <row r="107">
      <c r="A107" s="78">
        <f>IFERROR(__xludf.DUMMYFUNCTION("""COMPUTED_VALUE"""),"Programa das Nações Unidas para o Desenvolvimento (PNUD)")</f>
        <v/>
      </c>
      <c r="B107" s="78">
        <f>IFERROR(__xludf.DUMMYFUNCTION("""COMPUTED_VALUE"""),"Buildings &amp; Transport")</f>
        <v/>
      </c>
    </row>
    <row r="108">
      <c r="A108" s="78">
        <f>IFERROR(__xludf.DUMMYFUNCTION("""COMPUTED_VALUE"""),"Programa das Nações Unidas para o Desenvolvimento (PNUD)")</f>
        <v/>
      </c>
      <c r="B108" s="78">
        <f>IFERROR(__xludf.DUMMYFUNCTION("""COMPUTED_VALUE"""),"Emergency response")</f>
        <v/>
      </c>
    </row>
    <row r="109">
      <c r="A109" s="78">
        <f>IFERROR(__xludf.DUMMYFUNCTION("""COMPUTED_VALUE"""),"Programa das Nações Unidas para o Desenvolvimento (PNUD)")</f>
        <v/>
      </c>
      <c r="B109" s="78">
        <f>IFERROR(__xludf.DUMMYFUNCTION("""COMPUTED_VALUE"""),"Energy")</f>
        <v/>
      </c>
    </row>
    <row r="110">
      <c r="A110" s="78">
        <f>IFERROR(__xludf.DUMMYFUNCTION("""COMPUTED_VALUE"""),"Programa das Nações Unidas para o Desenvolvimento (PNUD)")</f>
        <v/>
      </c>
      <c r="B110" s="78">
        <f>IFERROR(__xludf.DUMMYFUNCTION("""COMPUTED_VALUE"""),"""Land, Food and Forest""")</f>
        <v/>
      </c>
    </row>
    <row r="111">
      <c r="A111" s="78">
        <f>IFERROR(__xludf.DUMMYFUNCTION("""COMPUTED_VALUE"""),"Centro de Empreendedorismo da Amazônia (CEA)")</f>
        <v/>
      </c>
      <c r="B111" s="78">
        <f>IFERROR(__xludf.DUMMYFUNCTION("""COMPUTED_VALUE"""),"""Land, Food and Forest""")</f>
        <v/>
      </c>
    </row>
    <row r="112">
      <c r="A112" s="78">
        <f>IFERROR(__xludf.DUMMYFUNCTION("""COMPUTED_VALUE"""),"Manioca")</f>
        <v/>
      </c>
      <c r="B112" s="78">
        <f>IFERROR(__xludf.DUMMYFUNCTION("""COMPUTED_VALUE"""),"""Land, Food and Forest""")</f>
        <v/>
      </c>
    </row>
    <row r="113">
      <c r="A113" s="78">
        <f>IFERROR(__xludf.DUMMYFUNCTION("""COMPUTED_VALUE"""),"Instituto Votorantim")</f>
        <v/>
      </c>
      <c r="B113" s="78">
        <f>IFERROR(__xludf.DUMMYFUNCTION("""COMPUTED_VALUE"""),"Buildings &amp; Transport")</f>
        <v/>
      </c>
    </row>
    <row r="114">
      <c r="A114" s="78">
        <f>IFERROR(__xludf.DUMMYFUNCTION("""COMPUTED_VALUE"""),"Instituto Votorantim")</f>
        <v/>
      </c>
      <c r="B114" s="78">
        <f>IFERROR(__xludf.DUMMYFUNCTION("""COMPUTED_VALUE"""),"Energy")</f>
        <v/>
      </c>
    </row>
    <row r="115">
      <c r="A115" s="78">
        <f>IFERROR(__xludf.DUMMYFUNCTION("""COMPUTED_VALUE"""),"Instituto Votorantim")</f>
        <v/>
      </c>
      <c r="B115" s="78">
        <f>IFERROR(__xludf.DUMMYFUNCTION("""COMPUTED_VALUE"""),"""Land, Food and Forest""")</f>
        <v/>
      </c>
    </row>
    <row r="116">
      <c r="A116" s="78">
        <f>IFERROR(__xludf.DUMMYFUNCTION("""COMPUTED_VALUE"""),"Quintessa")</f>
        <v/>
      </c>
      <c r="B116" s="78">
        <f>IFERROR(__xludf.DUMMYFUNCTION("""COMPUTED_VALUE"""),"Buildings &amp; Transport")</f>
        <v/>
      </c>
    </row>
    <row r="117">
      <c r="A117" s="78">
        <f>IFERROR(__xludf.DUMMYFUNCTION("""COMPUTED_VALUE"""),"Quintessa")</f>
        <v/>
      </c>
      <c r="B117" s="78">
        <f>IFERROR(__xludf.DUMMYFUNCTION("""COMPUTED_VALUE"""),"Energy")</f>
        <v/>
      </c>
    </row>
    <row r="118">
      <c r="A118" s="78">
        <f>IFERROR(__xludf.DUMMYFUNCTION("""COMPUTED_VALUE"""),"Quintessa")</f>
        <v/>
      </c>
      <c r="B118" s="78">
        <f>IFERROR(__xludf.DUMMYFUNCTION("""COMPUTED_VALUE"""),"""Land, Food and Forest""")</f>
        <v/>
      </c>
    </row>
    <row r="119">
      <c r="A119" s="78">
        <f>IFERROR(__xludf.DUMMYFUNCTION("""COMPUTED_VALUE"""),"De Mendes")</f>
        <v/>
      </c>
      <c r="B119" s="78">
        <f>IFERROR(__xludf.DUMMYFUNCTION("""COMPUTED_VALUE"""),"""Land, Food and Forest""")</f>
        <v/>
      </c>
    </row>
    <row r="120">
      <c r="A120" s="78">
        <f>IFERROR(__xludf.DUMMYFUNCTION("""COMPUTED_VALUE"""),"Endeva")</f>
        <v/>
      </c>
      <c r="B120" s="78">
        <f>IFERROR(__xludf.DUMMYFUNCTION("""COMPUTED_VALUE"""),"""Land, Food and Forest""")</f>
        <v/>
      </c>
    </row>
    <row r="121">
      <c r="A121" s="78">
        <f>IFERROR(__xludf.DUMMYFUNCTION("""COMPUTED_VALUE"""),"Positive Ventures")</f>
        <v/>
      </c>
      <c r="B121" s="78">
        <f>IFERROR(__xludf.DUMMYFUNCTION("""COMPUTED_VALUE"""),"Buildings &amp; Transport")</f>
        <v/>
      </c>
    </row>
    <row r="122">
      <c r="A122" s="78">
        <f>IFERROR(__xludf.DUMMYFUNCTION("""COMPUTED_VALUE"""),"Positive Ventures")</f>
        <v/>
      </c>
      <c r="B122" s="78">
        <f>IFERROR(__xludf.DUMMYFUNCTION("""COMPUTED_VALUE"""),"""Land, Food and Forest""")</f>
        <v/>
      </c>
    </row>
    <row r="123">
      <c r="A123" s="78">
        <f>IFERROR(__xludf.DUMMYFUNCTION("""COMPUTED_VALUE"""),"Ford Foundation")</f>
        <v/>
      </c>
      <c r="B123" s="78">
        <f>IFERROR(__xludf.DUMMYFUNCTION("""COMPUTED_VALUE"""),"""Land, Food and Forest""")</f>
        <v/>
      </c>
    </row>
    <row r="124">
      <c r="A124" s="78">
        <f>IFERROR(__xludf.DUMMYFUNCTION("""COMPUTED_VALUE"""),"Instituto Phi")</f>
        <v/>
      </c>
      <c r="B124" s="78">
        <f>IFERROR(__xludf.DUMMYFUNCTION("""COMPUTED_VALUE"""),"Buildings &amp; Transport")</f>
        <v/>
      </c>
    </row>
    <row r="125">
      <c r="A125" s="78">
        <f>IFERROR(__xludf.DUMMYFUNCTION("""COMPUTED_VALUE"""),"Instituto Phi")</f>
        <v/>
      </c>
      <c r="B125" s="78">
        <f>IFERROR(__xludf.DUMMYFUNCTION("""COMPUTED_VALUE"""),"Energy")</f>
        <v/>
      </c>
    </row>
    <row r="126">
      <c r="A126" s="78">
        <f>IFERROR(__xludf.DUMMYFUNCTION("""COMPUTED_VALUE"""),"Instituto Phi")</f>
        <v/>
      </c>
      <c r="B126" s="78">
        <f>IFERROR(__xludf.DUMMYFUNCTION("""COMPUTED_VALUE"""),"""Land, Food and Forest""")</f>
        <v/>
      </c>
    </row>
    <row r="127">
      <c r="A127" s="78">
        <f>IFERROR(__xludf.DUMMYFUNCTION("""COMPUTED_VALUE"""),"Centro de Estudos em Sustentabilidade da FGV (FGVces)")</f>
        <v/>
      </c>
      <c r="B127" s="78">
        <f>IFERROR(__xludf.DUMMYFUNCTION("""COMPUTED_VALUE"""),"Buildings &amp; Transport")</f>
        <v/>
      </c>
    </row>
    <row r="128">
      <c r="A128" s="78">
        <f>IFERROR(__xludf.DUMMYFUNCTION("""COMPUTED_VALUE"""),"Centro de Estudos em Sustentabilidade da FGV (FGVces)")</f>
        <v/>
      </c>
      <c r="B128" s="78">
        <f>IFERROR(__xludf.DUMMYFUNCTION("""COMPUTED_VALUE"""),"Emergency response")</f>
        <v/>
      </c>
    </row>
    <row r="129">
      <c r="A129" s="78">
        <f>IFERROR(__xludf.DUMMYFUNCTION("""COMPUTED_VALUE"""),"Centro de Estudos em Sustentabilidade da FGV (FGVces)")</f>
        <v/>
      </c>
      <c r="B129" s="78">
        <f>IFERROR(__xludf.DUMMYFUNCTION("""COMPUTED_VALUE"""),"Energy")</f>
        <v/>
      </c>
    </row>
    <row r="130">
      <c r="A130" s="78">
        <f>IFERROR(__xludf.DUMMYFUNCTION("""COMPUTED_VALUE"""),"Centro de Estudos em Sustentabilidade da FGV (FGVces)")</f>
        <v/>
      </c>
      <c r="B130" s="78">
        <f>IFERROR(__xludf.DUMMYFUNCTION("""COMPUTED_VALUE"""),"""Land, Food and Forest""")</f>
        <v/>
      </c>
    </row>
    <row r="131">
      <c r="A131" s="78">
        <f>IFERROR(__xludf.DUMMYFUNCTION("""COMPUTED_VALUE"""),"Bemtevi")</f>
        <v/>
      </c>
      <c r="B131" s="78">
        <f>IFERROR(__xludf.DUMMYFUNCTION("""COMPUTED_VALUE"""),"Buildings &amp; Transport")</f>
        <v/>
      </c>
    </row>
    <row r="132">
      <c r="A132" s="78">
        <f>IFERROR(__xludf.DUMMYFUNCTION("""COMPUTED_VALUE"""),"Bemtevi")</f>
        <v/>
      </c>
      <c r="B132" s="78">
        <f>IFERROR(__xludf.DUMMYFUNCTION("""COMPUTED_VALUE"""),"Energy")</f>
        <v/>
      </c>
    </row>
    <row r="133">
      <c r="A133" s="78">
        <f>IFERROR(__xludf.DUMMYFUNCTION("""COMPUTED_VALUE"""),"Bemtevi")</f>
        <v/>
      </c>
      <c r="B133" s="78">
        <f>IFERROR(__xludf.DUMMYFUNCTION("""COMPUTED_VALUE"""),"""Land, Food and Forest""")</f>
        <v/>
      </c>
    </row>
    <row r="134">
      <c r="A134" s="78">
        <f>IFERROR(__xludf.DUMMYFUNCTION("""COMPUTED_VALUE"""),"Climate and Land Use Alliance (CLUA)")</f>
        <v/>
      </c>
      <c r="B134" s="78">
        <f>IFERROR(__xludf.DUMMYFUNCTION("""COMPUTED_VALUE"""),"""Land, Food and Forest""")</f>
        <v/>
      </c>
    </row>
    <row r="135">
      <c r="A135" s="78">
        <f>IFERROR(__xludf.DUMMYFUNCTION("""COMPUTED_VALUE"""),"AMAZ")</f>
        <v/>
      </c>
      <c r="B135" s="78">
        <f>IFERROR(__xludf.DUMMYFUNCTION("""COMPUTED_VALUE"""),"""Land, Food and Forest""")</f>
        <v/>
      </c>
    </row>
    <row r="136">
      <c r="A136" s="78">
        <f>IFERROR(__xludf.DUMMYFUNCTION("""COMPUTED_VALUE"""),"Mercado Livre")</f>
        <v/>
      </c>
      <c r="B136" s="78">
        <f>IFERROR(__xludf.DUMMYFUNCTION("""COMPUTED_VALUE"""),"Buildings &amp; Transport")</f>
        <v/>
      </c>
    </row>
    <row r="137">
      <c r="A137" s="78">
        <f>IFERROR(__xludf.DUMMYFUNCTION("""COMPUTED_VALUE"""),"Amazon")</f>
        <v/>
      </c>
      <c r="B137" s="78">
        <f>IFERROR(__xludf.DUMMYFUNCTION("""COMPUTED_VALUE"""),"Buildings &amp; Transport")</f>
        <v/>
      </c>
    </row>
    <row r="138">
      <c r="A138" s="78">
        <f>IFERROR(__xludf.DUMMYFUNCTION("""COMPUTED_VALUE"""),"CocoaAction Brasil")</f>
        <v/>
      </c>
      <c r="B138" s="78">
        <f>IFERROR(__xludf.DUMMYFUNCTION("""COMPUTED_VALUE"""),"""Land, Food and Forest""")</f>
        <v/>
      </c>
    </row>
    <row r="139">
      <c r="A139" s="78">
        <f>IFERROR(__xludf.DUMMYFUNCTION("""COMPUTED_VALUE"""),"Instituto de Pesquisas Ecológicas (IPÊ)")</f>
        <v/>
      </c>
      <c r="B139" s="78">
        <f>IFERROR(__xludf.DUMMYFUNCTION("""COMPUTED_VALUE"""),"""Land, Food and Forest""")</f>
        <v/>
      </c>
    </row>
    <row r="140">
      <c r="A140" s="78">
        <f>IFERROR(__xludf.DUMMYFUNCTION("""COMPUTED_VALUE"""),"Comunitas")</f>
        <v/>
      </c>
      <c r="B140" s="78">
        <f>IFERROR(__xludf.DUMMYFUNCTION("""COMPUTED_VALUE"""),"Buildings &amp; Transport")</f>
        <v/>
      </c>
    </row>
    <row r="141">
      <c r="A141" s="78">
        <f>IFERROR(__xludf.DUMMYFUNCTION("""COMPUTED_VALUE"""),"Comunitas")</f>
        <v/>
      </c>
      <c r="B141" s="78">
        <f>IFERROR(__xludf.DUMMYFUNCTION("""COMPUTED_VALUE"""),"Energy")</f>
        <v/>
      </c>
    </row>
    <row r="142">
      <c r="A142" s="78">
        <f>IFERROR(__xludf.DUMMYFUNCTION("""COMPUTED_VALUE"""),"Comunitas")</f>
        <v/>
      </c>
      <c r="B142" s="78">
        <f>IFERROR(__xludf.DUMMYFUNCTION("""COMPUTED_VALUE"""),"""Land, Food and Forest""")</f>
        <v/>
      </c>
    </row>
    <row r="143">
      <c r="A143" s="78">
        <f>IFERROR(__xludf.DUMMYFUNCTION("""COMPUTED_VALUE"""),"Fundação Oswaldo Cruz (Fiocruz)")</f>
        <v/>
      </c>
      <c r="B143" s="78">
        <f>IFERROR(__xludf.DUMMYFUNCTION("""COMPUTED_VALUE"""),"Emergency response")</f>
        <v/>
      </c>
    </row>
    <row r="144">
      <c r="A144" s="78">
        <f>IFERROR(__xludf.DUMMYFUNCTION("""COMPUTED_VALUE"""),"Fundação Oswaldo Cruz (Fiocruz)")</f>
        <v/>
      </c>
      <c r="B144" s="78">
        <f>IFERROR(__xludf.DUMMYFUNCTION("""COMPUTED_VALUE"""),"""Land, Food and Forest""")</f>
        <v/>
      </c>
    </row>
    <row r="145">
      <c r="A145" s="78">
        <f>IFERROR(__xludf.DUMMYFUNCTION("""COMPUTED_VALUE"""),"Fundação Nacional dos Povos Indígenas (FUNAI)")</f>
        <v/>
      </c>
      <c r="B145" s="78">
        <f>IFERROR(__xludf.DUMMYFUNCTION("""COMPUTED_VALUE"""),"""Land, Food and Forest""")</f>
        <v/>
      </c>
    </row>
    <row r="146">
      <c r="A146" s="78">
        <f>IFERROR(__xludf.DUMMYFUNCTION("""COMPUTED_VALUE"""),"Fundação Brasileira para o Desenvolvimento Sustentável (FBDS)")</f>
        <v/>
      </c>
      <c r="B146" s="78">
        <f>IFERROR(__xludf.DUMMYFUNCTION("""COMPUTED_VALUE"""),"Buildings &amp; Transport")</f>
        <v/>
      </c>
    </row>
    <row r="147">
      <c r="A147" s="78">
        <f>IFERROR(__xludf.DUMMYFUNCTION("""COMPUTED_VALUE"""),"Fundação Brasileira para o Desenvolvimento Sustentável (FBDS)")</f>
        <v/>
      </c>
      <c r="B147" s="78">
        <f>IFERROR(__xludf.DUMMYFUNCTION("""COMPUTED_VALUE"""),"Energy")</f>
        <v/>
      </c>
    </row>
    <row r="148">
      <c r="A148" s="78">
        <f>IFERROR(__xludf.DUMMYFUNCTION("""COMPUTED_VALUE"""),"Fundação Brasileira para o Desenvolvimento Sustentável (FBDS)")</f>
        <v/>
      </c>
      <c r="B148" s="78">
        <f>IFERROR(__xludf.DUMMYFUNCTION("""COMPUTED_VALUE"""),"""Land, Food and Forest""")</f>
        <v/>
      </c>
    </row>
    <row r="149">
      <c r="A149" s="78">
        <f>IFERROR(__xludf.DUMMYFUNCTION("""COMPUTED_VALUE"""),"Grupo Terra Nova")</f>
        <v/>
      </c>
      <c r="B149" s="78">
        <f>IFERROR(__xludf.DUMMYFUNCTION("""COMPUTED_VALUE"""),"""Land, Food and Forest""")</f>
        <v/>
      </c>
    </row>
    <row r="150">
      <c r="A150" s="78">
        <f>IFERROR(__xludf.DUMMYFUNCTION("""COMPUTED_VALUE"""),"Grupo Aterpa")</f>
        <v/>
      </c>
      <c r="B150" s="78">
        <f>IFERROR(__xludf.DUMMYFUNCTION("""COMPUTED_VALUE"""),"Buildings &amp; Transport")</f>
        <v/>
      </c>
    </row>
    <row r="151">
      <c r="A151" s="78">
        <f>IFERROR(__xludf.DUMMYFUNCTION("""COMPUTED_VALUE"""),"Observatório do Clima")</f>
        <v/>
      </c>
      <c r="B151" s="78">
        <f>IFERROR(__xludf.DUMMYFUNCTION("""COMPUTED_VALUE"""),"Buildings &amp; Transport")</f>
        <v/>
      </c>
    </row>
    <row r="152">
      <c r="A152" s="78">
        <f>IFERROR(__xludf.DUMMYFUNCTION("""COMPUTED_VALUE"""),"Observatório do Clima")</f>
        <v/>
      </c>
      <c r="B152" s="78">
        <f>IFERROR(__xludf.DUMMYFUNCTION("""COMPUTED_VALUE"""),"Energy")</f>
        <v/>
      </c>
    </row>
    <row r="153">
      <c r="A153" s="78">
        <f>IFERROR(__xludf.DUMMYFUNCTION("""COMPUTED_VALUE"""),"Observatório do Clima")</f>
        <v/>
      </c>
      <c r="B153" s="78">
        <f>IFERROR(__xludf.DUMMYFUNCTION("""COMPUTED_VALUE"""),"""Land, Food and Forest""")</f>
        <v/>
      </c>
    </row>
    <row r="154">
      <c r="A154" s="78">
        <f>IFERROR(__xludf.DUMMYFUNCTION("""COMPUTED_VALUE"""),"United States Agency for International Development (USAID)")</f>
        <v/>
      </c>
      <c r="B154" s="78">
        <f>IFERROR(__xludf.DUMMYFUNCTION("""COMPUTED_VALUE"""),"Buildings &amp; Transport")</f>
        <v/>
      </c>
    </row>
    <row r="155">
      <c r="A155" s="78">
        <f>IFERROR(__xludf.DUMMYFUNCTION("""COMPUTED_VALUE"""),"United States Agency for International Development (USAID)")</f>
        <v/>
      </c>
      <c r="B155" s="78">
        <f>IFERROR(__xludf.DUMMYFUNCTION("""COMPUTED_VALUE"""),"Emergency response")</f>
        <v/>
      </c>
    </row>
    <row r="156">
      <c r="A156" s="78">
        <f>IFERROR(__xludf.DUMMYFUNCTION("""COMPUTED_VALUE"""),"United States Agency for International Development (USAID)")</f>
        <v/>
      </c>
      <c r="B156" s="78">
        <f>IFERROR(__xludf.DUMMYFUNCTION("""COMPUTED_VALUE"""),"Energy")</f>
        <v/>
      </c>
    </row>
    <row r="157">
      <c r="A157" s="78">
        <f>IFERROR(__xludf.DUMMYFUNCTION("""COMPUTED_VALUE"""),"United States Agency for International Development (USAID)")</f>
        <v/>
      </c>
      <c r="B157" s="78">
        <f>IFERROR(__xludf.DUMMYFUNCTION("""COMPUTED_VALUE"""),"""Land, Food and Forest""")</f>
        <v/>
      </c>
    </row>
    <row r="158">
      <c r="A158" s="78">
        <f>IFERROR(__xludf.DUMMYFUNCTION("""COMPUTED_VALUE"""),"Gordon and Betty Moore Foundation")</f>
        <v/>
      </c>
      <c r="B158" s="78">
        <f>IFERROR(__xludf.DUMMYFUNCTION("""COMPUTED_VALUE"""),"Energy")</f>
        <v/>
      </c>
    </row>
    <row r="159">
      <c r="A159" s="78">
        <f>IFERROR(__xludf.DUMMYFUNCTION("""COMPUTED_VALUE"""),"Gordon and Betty Moore Foundation")</f>
        <v/>
      </c>
      <c r="B159" s="78">
        <f>IFERROR(__xludf.DUMMYFUNCTION("""COMPUTED_VALUE"""),"""Land, Food and Forest""")</f>
        <v/>
      </c>
    </row>
    <row r="160">
      <c r="A160" s="78">
        <f>IFERROR(__xludf.DUMMYFUNCTION("""COMPUTED_VALUE"""),"Fundação Avina")</f>
        <v/>
      </c>
      <c r="B160" s="78">
        <f>IFERROR(__xludf.DUMMYFUNCTION("""COMPUTED_VALUE"""),"""Land, Food and Forest""")</f>
        <v/>
      </c>
    </row>
    <row r="161">
      <c r="A161" s="78">
        <f>IFERROR(__xludf.DUMMYFUNCTION("""COMPUTED_VALUE"""),"William and Flora Hewlett Foundation")</f>
        <v/>
      </c>
      <c r="B161" s="78">
        <f>IFERROR(__xludf.DUMMYFUNCTION("""COMPUTED_VALUE"""),"Buildings &amp; Transport")</f>
        <v/>
      </c>
    </row>
    <row r="162">
      <c r="A162" s="78">
        <f>IFERROR(__xludf.DUMMYFUNCTION("""COMPUTED_VALUE"""),"William and Flora Hewlett Foundation")</f>
        <v/>
      </c>
      <c r="B162" s="78">
        <f>IFERROR(__xludf.DUMMYFUNCTION("""COMPUTED_VALUE"""),"Energy")</f>
        <v/>
      </c>
    </row>
    <row r="163">
      <c r="A163" s="78">
        <f>IFERROR(__xludf.DUMMYFUNCTION("""COMPUTED_VALUE"""),"William and Flora Hewlett Foundation")</f>
        <v/>
      </c>
      <c r="B163" s="78">
        <f>IFERROR(__xludf.DUMMYFUNCTION("""COMPUTED_VALUE"""),"""Land, Food and Forest""")</f>
        <v/>
      </c>
    </row>
    <row r="164">
      <c r="A164" s="78">
        <f>IFERROR(__xludf.DUMMYFUNCTION("""COMPUTED_VALUE"""),"ClimateWorks Foundation")</f>
        <v/>
      </c>
      <c r="B164" s="78">
        <f>IFERROR(__xludf.DUMMYFUNCTION("""COMPUTED_VALUE"""),"Buildings &amp; Transport")</f>
        <v/>
      </c>
    </row>
    <row r="165">
      <c r="A165" s="78">
        <f>IFERROR(__xludf.DUMMYFUNCTION("""COMPUTED_VALUE"""),"ClimateWorks Foundation")</f>
        <v/>
      </c>
      <c r="B165" s="78">
        <f>IFERROR(__xludf.DUMMYFUNCTION("""COMPUTED_VALUE"""),"Energy")</f>
        <v/>
      </c>
    </row>
    <row r="166">
      <c r="A166" s="78">
        <f>IFERROR(__xludf.DUMMYFUNCTION("""COMPUTED_VALUE"""),"Children’s Investment Fund Foundation (CIFF)")</f>
        <v/>
      </c>
      <c r="B166" s="78">
        <f>IFERROR(__xludf.DUMMYFUNCTION("""COMPUTED_VALUE"""),"Buildings &amp; Transport")</f>
        <v/>
      </c>
    </row>
    <row r="167">
      <c r="A167" s="78">
        <f>IFERROR(__xludf.DUMMYFUNCTION("""COMPUTED_VALUE"""),"Children’s Investment Fund Foundation (CIFF)")</f>
        <v/>
      </c>
      <c r="B167" s="78">
        <f>IFERROR(__xludf.DUMMYFUNCTION("""COMPUTED_VALUE"""),"Emergency response")</f>
        <v/>
      </c>
    </row>
    <row r="168">
      <c r="A168" s="78">
        <f>IFERROR(__xludf.DUMMYFUNCTION("""COMPUTED_VALUE"""),"Children’s Investment Fund Foundation (CIFF)")</f>
        <v/>
      </c>
      <c r="B168" s="78">
        <f>IFERROR(__xludf.DUMMYFUNCTION("""COMPUTED_VALUE"""),"Energy")</f>
        <v/>
      </c>
    </row>
    <row r="169">
      <c r="A169" s="78">
        <f>IFERROR(__xludf.DUMMYFUNCTION("""COMPUTED_VALUE"""),"Children’s Investment Fund Foundation (CIFF)")</f>
        <v/>
      </c>
      <c r="B169" s="78">
        <f>IFERROR(__xludf.DUMMYFUNCTION("""COMPUTED_VALUE"""),"""Land, Food and Forest""")</f>
        <v/>
      </c>
    </row>
    <row r="170">
      <c r="A170" s="78">
        <f>IFERROR(__xludf.DUMMYFUNCTION("""COMPUTED_VALUE"""),"Oak Foundation")</f>
        <v/>
      </c>
      <c r="B170" s="78">
        <f>IFERROR(__xludf.DUMMYFUNCTION("""COMPUTED_VALUE"""),"Buildings &amp; Transport")</f>
        <v/>
      </c>
    </row>
    <row r="171">
      <c r="A171" s="78">
        <f>IFERROR(__xludf.DUMMYFUNCTION("""COMPUTED_VALUE"""),"Oak Foundation")</f>
        <v/>
      </c>
      <c r="B171" s="78">
        <f>IFERROR(__xludf.DUMMYFUNCTION("""COMPUTED_VALUE"""),"Emergency response")</f>
        <v/>
      </c>
    </row>
    <row r="172">
      <c r="A172" s="78">
        <f>IFERROR(__xludf.DUMMYFUNCTION("""COMPUTED_VALUE"""),"Oak Foundation")</f>
        <v/>
      </c>
      <c r="B172" s="78">
        <f>IFERROR(__xludf.DUMMYFUNCTION("""COMPUTED_VALUE"""),"Energy")</f>
        <v/>
      </c>
    </row>
    <row r="173">
      <c r="A173" s="78">
        <f>IFERROR(__xludf.DUMMYFUNCTION("""COMPUTED_VALUE"""),"Oak Foundation")</f>
        <v/>
      </c>
      <c r="B173" s="78">
        <f>IFERROR(__xludf.DUMMYFUNCTION("""COMPUTED_VALUE"""),"""Land, Food and Forest""")</f>
        <v/>
      </c>
    </row>
    <row r="174">
      <c r="A174" s="78">
        <f>IFERROR(__xludf.DUMMYFUNCTION("""COMPUTED_VALUE"""),"Ministério de Minas e Energia (MME)")</f>
        <v/>
      </c>
      <c r="B174" s="78">
        <f>IFERROR(__xludf.DUMMYFUNCTION("""COMPUTED_VALUE"""),"Energy")</f>
        <v/>
      </c>
    </row>
    <row r="175">
      <c r="A175" s="78">
        <f>IFERROR(__xludf.DUMMYFUNCTION("""COMPUTED_VALUE"""),"Empresa de Pesquisa Energética (EPE)")</f>
        <v/>
      </c>
      <c r="B175" s="78">
        <f>IFERROR(__xludf.DUMMYFUNCTION("""COMPUTED_VALUE"""),"Energy")</f>
        <v/>
      </c>
    </row>
    <row r="176">
      <c r="A176" s="78">
        <f>IFERROR(__xludf.DUMMYFUNCTION("""COMPUTED_VALUE"""),"Agência Nacional de Energia Elétrica (ANEEL)")</f>
        <v/>
      </c>
      <c r="B176" s="78">
        <f>IFERROR(__xludf.DUMMYFUNCTION("""COMPUTED_VALUE"""),"Energy")</f>
        <v/>
      </c>
    </row>
    <row r="177">
      <c r="A177" s="78">
        <f>IFERROR(__xludf.DUMMYFUNCTION("""COMPUTED_VALUE"""),"Operador Nacional do Sistema Elétrico (ONS)")</f>
        <v/>
      </c>
      <c r="B177" s="78">
        <f>IFERROR(__xludf.DUMMYFUNCTION("""COMPUTED_VALUE"""),"Energy")</f>
        <v/>
      </c>
    </row>
    <row r="178">
      <c r="A178" s="78">
        <f>IFERROR(__xludf.DUMMYFUNCTION("""COMPUTED_VALUE"""),"Neoenergia")</f>
        <v/>
      </c>
      <c r="B178" s="78">
        <f>IFERROR(__xludf.DUMMYFUNCTION("""COMPUTED_VALUE"""),"Energy")</f>
        <v/>
      </c>
    </row>
    <row r="179">
      <c r="A179" s="78">
        <f>IFERROR(__xludf.DUMMYFUNCTION("""COMPUTED_VALUE"""),"CPFL Energia")</f>
        <v/>
      </c>
      <c r="B179" s="78">
        <f>IFERROR(__xludf.DUMMYFUNCTION("""COMPUTED_VALUE"""),"Energy")</f>
        <v/>
      </c>
    </row>
    <row r="180">
      <c r="A180" s="78">
        <f>IFERROR(__xludf.DUMMYFUNCTION("""COMPUTED_VALUE"""),"Engie Brasil")</f>
        <v/>
      </c>
      <c r="B180" s="78">
        <f>IFERROR(__xludf.DUMMYFUNCTION("""COMPUTED_VALUE"""),"Energy")</f>
        <v/>
      </c>
    </row>
    <row r="181">
      <c r="A181" s="78">
        <f>IFERROR(__xludf.DUMMYFUNCTION("""COMPUTED_VALUE"""),"EDP Brasil")</f>
        <v/>
      </c>
      <c r="B181" s="78">
        <f>IFERROR(__xludf.DUMMYFUNCTION("""COMPUTED_VALUE"""),"Energy")</f>
        <v/>
      </c>
    </row>
    <row r="182">
      <c r="A182" s="78">
        <f>IFERROR(__xludf.DUMMYFUNCTION("""COMPUTED_VALUE"""),"Enel Brasil")</f>
        <v/>
      </c>
      <c r="B182" s="78">
        <f>IFERROR(__xludf.DUMMYFUNCTION("""COMPUTED_VALUE"""),"Energy")</f>
        <v/>
      </c>
    </row>
    <row r="183">
      <c r="A183" s="78">
        <f>IFERROR(__xludf.DUMMYFUNCTION("""COMPUTED_VALUE"""),"Eletrobras")</f>
        <v/>
      </c>
      <c r="B183" s="78">
        <f>IFERROR(__xludf.DUMMYFUNCTION("""COMPUTED_VALUE"""),"Energy")</f>
        <v/>
      </c>
    </row>
    <row r="184">
      <c r="A184" s="78">
        <f>IFERROR(__xludf.DUMMYFUNCTION("""COMPUTED_VALUE"""),"Instituto de Energia e Meio Ambiente (IEMA)")</f>
        <v/>
      </c>
      <c r="B184" s="78">
        <f>IFERROR(__xludf.DUMMYFUNCTION("""COMPUTED_VALUE"""),"Buildings &amp; Transport")</f>
        <v/>
      </c>
    </row>
    <row r="185">
      <c r="A185" s="78">
        <f>IFERROR(__xludf.DUMMYFUNCTION("""COMPUTED_VALUE"""),"Instituto de Energia e Meio Ambiente (IEMA)")</f>
        <v/>
      </c>
      <c r="B185" s="78">
        <f>IFERROR(__xludf.DUMMYFUNCTION("""COMPUTED_VALUE"""),"Energy")</f>
        <v/>
      </c>
    </row>
    <row r="186">
      <c r="A186" s="78">
        <f>IFERROR(__xludf.DUMMYFUNCTION("""COMPUTED_VALUE"""),"Instituto de Energia e Meio Ambiente (IEMA)")</f>
        <v/>
      </c>
      <c r="B186" s="78">
        <f>IFERROR(__xludf.DUMMYFUNCTION("""COMPUTED_VALUE"""),"""Land, Food and Forest""")</f>
        <v/>
      </c>
    </row>
    <row r="187">
      <c r="A187" s="78">
        <f>IFERROR(__xludf.DUMMYFUNCTION("""COMPUTED_VALUE"""),"Instituto E+ Transição Energética (E+)")</f>
        <v/>
      </c>
      <c r="B187" s="78">
        <f>IFERROR(__xludf.DUMMYFUNCTION("""COMPUTED_VALUE"""),"Energy")</f>
        <v/>
      </c>
    </row>
    <row r="188">
      <c r="A188" s="78">
        <f>IFERROR(__xludf.DUMMYFUNCTION("""COMPUTED_VALUE"""),"European Climate Foundation (ECF)")</f>
        <v/>
      </c>
      <c r="B188" s="78">
        <f>IFERROR(__xludf.DUMMYFUNCTION("""COMPUTED_VALUE"""),"Buildings &amp; Transport")</f>
        <v/>
      </c>
    </row>
    <row r="189">
      <c r="A189" s="78">
        <f>IFERROR(__xludf.DUMMYFUNCTION("""COMPUTED_VALUE"""),"European Climate Foundation (ECF)")</f>
        <v/>
      </c>
      <c r="B189" s="78">
        <f>IFERROR(__xludf.DUMMYFUNCTION("""COMPUTED_VALUE"""),"Energy")</f>
        <v/>
      </c>
    </row>
    <row r="190">
      <c r="A190" s="78">
        <f>IFERROR(__xludf.DUMMYFUNCTION("""COMPUTED_VALUE"""),"European Climate Foundation (ECF)")</f>
        <v/>
      </c>
      <c r="B190" s="78">
        <f>IFERROR(__xludf.DUMMYFUNCTION("""COMPUTED_VALUE"""),"""Land, Food and Forest""")</f>
        <v/>
      </c>
    </row>
    <row r="191">
      <c r="A191" s="78">
        <f>IFERROR(__xludf.DUMMYFUNCTION("""COMPUTED_VALUE"""),"Quadrature Climate Foundation")</f>
        <v/>
      </c>
      <c r="B191" s="78">
        <f>IFERROR(__xludf.DUMMYFUNCTION("""COMPUTED_VALUE"""),"Buildings &amp; Transport")</f>
        <v/>
      </c>
    </row>
    <row r="192">
      <c r="A192" s="78">
        <f>IFERROR(__xludf.DUMMYFUNCTION("""COMPUTED_VALUE"""),"Quadrature Climate Foundation")</f>
        <v/>
      </c>
      <c r="B192" s="78">
        <f>IFERROR(__xludf.DUMMYFUNCTION("""COMPUTED_VALUE"""),"Energy")</f>
        <v/>
      </c>
    </row>
    <row r="193">
      <c r="A193" s="78">
        <f>IFERROR(__xludf.DUMMYFUNCTION("""COMPUTED_VALUE"""),"Quadrature Climate Foundation")</f>
        <v/>
      </c>
      <c r="B193" s="78">
        <f>IFERROR(__xludf.DUMMYFUNCTION("""COMPUTED_VALUE"""),"""Land, Food and Forest""")</f>
        <v/>
      </c>
    </row>
    <row r="194">
      <c r="A194" s="78">
        <f>IFERROR(__xludf.DUMMYFUNCTION("""COMPUTED_VALUE"""),"Ministério das Cidades")</f>
        <v/>
      </c>
      <c r="B194" s="78">
        <f>IFERROR(__xludf.DUMMYFUNCTION("""COMPUTED_VALUE"""),"Buildings &amp; Transport")</f>
        <v/>
      </c>
    </row>
    <row r="195">
      <c r="A195" s="78">
        <f>IFERROR(__xludf.DUMMYFUNCTION("""COMPUTED_VALUE"""),"Agência Nacional de Transportes Terrestres (ANTT)")</f>
        <v/>
      </c>
      <c r="B195" s="78">
        <f>IFERROR(__xludf.DUMMYFUNCTION("""COMPUTED_VALUE"""),"Buildings &amp; Transport")</f>
        <v/>
      </c>
    </row>
    <row r="196">
      <c r="A196" s="78">
        <f>IFERROR(__xludf.DUMMYFUNCTION("""COMPUTED_VALUE"""),"Agência Nacional de Transportes Aquaviários (ANTAQ)")</f>
        <v/>
      </c>
      <c r="B196" s="78">
        <f>IFERROR(__xludf.DUMMYFUNCTION("""COMPUTED_VALUE"""),"Buildings &amp; Transport")</f>
        <v/>
      </c>
    </row>
    <row r="197">
      <c r="A197" s="78">
        <f>IFERROR(__xludf.DUMMYFUNCTION("""COMPUTED_VALUE"""),"CCR S.A. (Grupo CCR)")</f>
        <v/>
      </c>
      <c r="B197" s="78">
        <f>IFERROR(__xludf.DUMMYFUNCTION("""COMPUTED_VALUE"""),"Buildings &amp; Transport")</f>
        <v/>
      </c>
    </row>
    <row r="198">
      <c r="A198" s="78">
        <f>IFERROR(__xludf.DUMMYFUNCTION("""COMPUTED_VALUE"""),"EcoRodovias")</f>
        <v/>
      </c>
      <c r="B198" s="78">
        <f>IFERROR(__xludf.DUMMYFUNCTION("""COMPUTED_VALUE"""),"Buildings &amp; Transport")</f>
        <v/>
      </c>
    </row>
    <row r="199">
      <c r="A199" s="78">
        <f>IFERROR(__xludf.DUMMYFUNCTION("""COMPUTED_VALUE"""),"BYD Brasil")</f>
        <v/>
      </c>
      <c r="B199" s="78">
        <f>IFERROR(__xludf.DUMMYFUNCTION("""COMPUTED_VALUE"""),"Buildings &amp; Transport")</f>
        <v/>
      </c>
    </row>
    <row r="200">
      <c r="A200" s="78">
        <f>IFERROR(__xludf.DUMMYFUNCTION("""COMPUTED_VALUE"""),"BYD Brasil")</f>
        <v/>
      </c>
      <c r="B200" s="78">
        <f>IFERROR(__xludf.DUMMYFUNCTION("""COMPUTED_VALUE"""),"Energy")</f>
        <v/>
      </c>
    </row>
    <row r="201">
      <c r="A201" s="78">
        <f>IFERROR(__xludf.DUMMYFUNCTION("""COMPUTED_VALUE"""),"BYD Brasil")</f>
        <v/>
      </c>
      <c r="B201" s="78">
        <f>IFERROR(__xludf.DUMMYFUNCTION("""COMPUTED_VALUE"""),"""Land, Food and Forest""")</f>
        <v/>
      </c>
    </row>
    <row r="202">
      <c r="A202" s="78">
        <f>IFERROR(__xludf.DUMMYFUNCTION("""COMPUTED_VALUE"""),"Volvo Buses Latin America")</f>
        <v/>
      </c>
      <c r="B202" s="78">
        <f>IFERROR(__xludf.DUMMYFUNCTION("""COMPUTED_VALUE"""),"Buildings &amp; Transport")</f>
        <v/>
      </c>
    </row>
    <row r="203">
      <c r="A203" s="78">
        <f>IFERROR(__xludf.DUMMYFUNCTION("""COMPUTED_VALUE"""),"Mercedes-Benz Brasil")</f>
        <v/>
      </c>
      <c r="B203" s="78">
        <f>IFERROR(__xludf.DUMMYFUNCTION("""COMPUTED_VALUE"""),"Buildings &amp; Transport")</f>
        <v/>
      </c>
    </row>
    <row r="204">
      <c r="A204" s="78">
        <f>IFERROR(__xludf.DUMMYFUNCTION("""COMPUTED_VALUE"""),"Instituto de Políticas de Transporte e Desenvolvimento (ITDP Brasil)")</f>
        <v/>
      </c>
      <c r="B204" s="78">
        <f>IFERROR(__xludf.DUMMYFUNCTION("""COMPUTED_VALUE"""),"Buildings &amp; Transport")</f>
        <v/>
      </c>
    </row>
    <row r="205">
      <c r="A205" s="78">
        <f>IFERROR(__xludf.DUMMYFUNCTION("""COMPUTED_VALUE"""),"Caixa Econômica Federal")</f>
        <v/>
      </c>
      <c r="B205" s="78">
        <f>IFERROR(__xludf.DUMMYFUNCTION("""COMPUTED_VALUE"""),"Buildings &amp; Transport")</f>
        <v/>
      </c>
    </row>
    <row r="206">
      <c r="A206" s="78">
        <f>IFERROR(__xludf.DUMMYFUNCTION("""COMPUTED_VALUE"""),"Caixa Econômica Federal")</f>
        <v/>
      </c>
      <c r="B206" s="78">
        <f>IFERROR(__xludf.DUMMYFUNCTION("""COMPUTED_VALUE"""),"Emergency response")</f>
        <v/>
      </c>
    </row>
    <row r="207">
      <c r="A207" s="78">
        <f>IFERROR(__xludf.DUMMYFUNCTION("""COMPUTED_VALUE"""),"Caixa Econômica Federal")</f>
        <v/>
      </c>
      <c r="B207" s="78">
        <f>IFERROR(__xludf.DUMMYFUNCTION("""COMPUTED_VALUE"""),"Energy")</f>
        <v/>
      </c>
    </row>
    <row r="208">
      <c r="A208" s="78">
        <f>IFERROR(__xludf.DUMMYFUNCTION("""COMPUTED_VALUE"""),"Caixa Econômica Federal")</f>
        <v/>
      </c>
      <c r="B208" s="78">
        <f>IFERROR(__xludf.DUMMYFUNCTION("""COMPUTED_VALUE"""),"""Land, Food and Forest""")</f>
        <v/>
      </c>
    </row>
    <row r="209">
      <c r="A209" s="78">
        <f>IFERROR(__xludf.DUMMYFUNCTION("""COMPUTED_VALUE"""),"MRV")</f>
        <v/>
      </c>
      <c r="B209" s="78">
        <f>IFERROR(__xludf.DUMMYFUNCTION("""COMPUTED_VALUE"""),"Buildings &amp; Transport")</f>
        <v/>
      </c>
    </row>
    <row r="210">
      <c r="A210" s="78">
        <f>IFERROR(__xludf.DUMMYFUNCTION("""COMPUTED_VALUE"""),"Tenda")</f>
        <v/>
      </c>
      <c r="B210" s="78">
        <f>IFERROR(__xludf.DUMMYFUNCTION("""COMPUTED_VALUE"""),"Buildings &amp; Transport")</f>
        <v/>
      </c>
    </row>
    <row r="211">
      <c r="A211" s="78">
        <f>IFERROR(__xludf.DUMMYFUNCTION("""COMPUTED_VALUE"""),"Cyrela")</f>
        <v/>
      </c>
      <c r="B211" s="78">
        <f>IFERROR(__xludf.DUMMYFUNCTION("""COMPUTED_VALUE"""),"Buildings &amp; Transport")</f>
        <v/>
      </c>
    </row>
    <row r="212">
      <c r="A212" s="78">
        <f>IFERROR(__xludf.DUMMYFUNCTION("""COMPUTED_VALUE"""),"Votorantim Cimentos")</f>
        <v/>
      </c>
      <c r="B212" s="78">
        <f>IFERROR(__xludf.DUMMYFUNCTION("""COMPUTED_VALUE"""),"Buildings &amp; Transport")</f>
        <v/>
      </c>
    </row>
    <row r="213">
      <c r="A213" s="78">
        <f>IFERROR(__xludf.DUMMYFUNCTION("""COMPUTED_VALUE"""),"Votorantim Cimentos")</f>
        <v/>
      </c>
      <c r="B213" s="78">
        <f>IFERROR(__xludf.DUMMYFUNCTION("""COMPUTED_VALUE"""),"Energy")</f>
        <v/>
      </c>
    </row>
    <row r="214">
      <c r="A214" s="78">
        <f>IFERROR(__xludf.DUMMYFUNCTION("""COMPUTED_VALUE"""),"InterCement")</f>
        <v/>
      </c>
      <c r="B214" s="78">
        <f>IFERROR(__xludf.DUMMYFUNCTION("""COMPUTED_VALUE"""),"Buildings &amp; Transport")</f>
        <v/>
      </c>
    </row>
    <row r="215">
      <c r="A215" s="78">
        <f>IFERROR(__xludf.DUMMYFUNCTION("""COMPUTED_VALUE"""),"InterCement")</f>
        <v/>
      </c>
      <c r="B215" s="78">
        <f>IFERROR(__xludf.DUMMYFUNCTION("""COMPUTED_VALUE"""),"Energy")</f>
        <v/>
      </c>
    </row>
    <row r="216">
      <c r="A216" s="78">
        <f>IFERROR(__xludf.DUMMYFUNCTION("""COMPUTED_VALUE"""),"Green Building Council Brasil (GBC Brasil)")</f>
        <v/>
      </c>
      <c r="B216" s="78">
        <f>IFERROR(__xludf.DUMMYFUNCTION("""COMPUTED_VALUE"""),"Buildings &amp; Transport")</f>
        <v/>
      </c>
    </row>
    <row r="217">
      <c r="A217" s="78">
        <f>IFERROR(__xludf.DUMMYFUNCTION("""COMPUTED_VALUE"""),"Green Building Council Brasil (GBC Brasil)")</f>
        <v/>
      </c>
      <c r="B217" s="78">
        <f>IFERROR(__xludf.DUMMYFUNCTION("""COMPUTED_VALUE"""),"Energy")</f>
        <v/>
      </c>
    </row>
    <row r="218">
      <c r="A218" s="78">
        <f>IFERROR(__xludf.DUMMYFUNCTION("""COMPUTED_VALUE"""),"Ministério da Agricultura e Pecuária (MAPA)")</f>
        <v/>
      </c>
      <c r="B218" s="78">
        <f>IFERROR(__xludf.DUMMYFUNCTION("""COMPUTED_VALUE"""),"""Land, Food and Forest""")</f>
        <v/>
      </c>
    </row>
    <row r="219">
      <c r="A219" s="78">
        <f>IFERROR(__xludf.DUMMYFUNCTION("""COMPUTED_VALUE"""),"Instituto Nacional de Colonização e Reforma Agrária (INCRA)")</f>
        <v/>
      </c>
      <c r="B219" s="78">
        <f>IFERROR(__xludf.DUMMYFUNCTION("""COMPUTED_VALUE"""),"Emergency response")</f>
        <v/>
      </c>
    </row>
    <row r="220">
      <c r="A220" s="78">
        <f>IFERROR(__xludf.DUMMYFUNCTION("""COMPUTED_VALUE"""),"Instituto Nacional de Colonização e Reforma Agrária (INCRA)")</f>
        <v/>
      </c>
      <c r="B220" s="78">
        <f>IFERROR(__xludf.DUMMYFUNCTION("""COMPUTED_VALUE"""),"""Land, Food and Forest""")</f>
        <v/>
      </c>
    </row>
    <row r="221">
      <c r="A221" s="78">
        <f>IFERROR(__xludf.DUMMYFUNCTION("""COMPUTED_VALUE"""),"Agroicone")</f>
        <v/>
      </c>
      <c r="B221" s="78">
        <f>IFERROR(__xludf.DUMMYFUNCTION("""COMPUTED_VALUE"""),"""Land, Food and Forest""")</f>
        <v/>
      </c>
    </row>
    <row r="222">
      <c r="A222" s="78">
        <f>IFERROR(__xludf.DUMMYFUNCTION("""COMPUTED_VALUE"""),"JBS")</f>
        <v/>
      </c>
      <c r="B222" s="78">
        <f>IFERROR(__xludf.DUMMYFUNCTION("""COMPUTED_VALUE"""),"Buildings &amp; Transport")</f>
        <v/>
      </c>
    </row>
    <row r="223">
      <c r="A223" s="78">
        <f>IFERROR(__xludf.DUMMYFUNCTION("""COMPUTED_VALUE"""),"JBS")</f>
        <v/>
      </c>
      <c r="B223" s="78">
        <f>IFERROR(__xludf.DUMMYFUNCTION("""COMPUTED_VALUE"""),"""Land, Food and Forest""")</f>
        <v/>
      </c>
    </row>
    <row r="224">
      <c r="A224" s="78">
        <f>IFERROR(__xludf.DUMMYFUNCTION("""COMPUTED_VALUE"""),"Marfrig")</f>
        <v/>
      </c>
      <c r="B224" s="78">
        <f>IFERROR(__xludf.DUMMYFUNCTION("""COMPUTED_VALUE"""),"Buildings &amp; Transport")</f>
        <v/>
      </c>
    </row>
    <row r="225">
      <c r="A225" s="78">
        <f>IFERROR(__xludf.DUMMYFUNCTION("""COMPUTED_VALUE"""),"Marfrig")</f>
        <v/>
      </c>
      <c r="B225" s="78">
        <f>IFERROR(__xludf.DUMMYFUNCTION("""COMPUTED_VALUE"""),"""Land, Food and Forest""")</f>
        <v/>
      </c>
    </row>
    <row r="226">
      <c r="A226" s="78">
        <f>IFERROR(__xludf.DUMMYFUNCTION("""COMPUTED_VALUE"""),"Amaggi")</f>
        <v/>
      </c>
      <c r="B226" s="78">
        <f>IFERROR(__xludf.DUMMYFUNCTION("""COMPUTED_VALUE"""),"Buildings &amp; Transport")</f>
        <v/>
      </c>
    </row>
    <row r="227">
      <c r="A227" s="78">
        <f>IFERROR(__xludf.DUMMYFUNCTION("""COMPUTED_VALUE"""),"Amaggi")</f>
        <v/>
      </c>
      <c r="B227" s="78">
        <f>IFERROR(__xludf.DUMMYFUNCTION("""COMPUTED_VALUE"""),"""Land, Food and Forest""")</f>
        <v/>
      </c>
    </row>
    <row r="228">
      <c r="A228" s="78">
        <f>IFERROR(__xludf.DUMMYFUNCTION("""COMPUTED_VALUE"""),"SLC Agrícola")</f>
        <v/>
      </c>
      <c r="B228" s="78">
        <f>IFERROR(__xludf.DUMMYFUNCTION("""COMPUTED_VALUE"""),"Buildings &amp; Transport")</f>
        <v/>
      </c>
    </row>
    <row r="229">
      <c r="A229" s="78">
        <f>IFERROR(__xludf.DUMMYFUNCTION("""COMPUTED_VALUE"""),"SLC Agrícola")</f>
        <v/>
      </c>
      <c r="B229" s="78">
        <f>IFERROR(__xludf.DUMMYFUNCTION("""COMPUTED_VALUE"""),"""Land, Food and Forest""")</f>
        <v/>
      </c>
    </row>
    <row r="230">
      <c r="A230" s="78">
        <f>IFERROR(__xludf.DUMMYFUNCTION("""COMPUTED_VALUE"""),"Instituto de Pesquisa Ambiental da Amazônia (IPAM)")</f>
        <v/>
      </c>
      <c r="B230" s="78">
        <f>IFERROR(__xludf.DUMMYFUNCTION("""COMPUTED_VALUE"""),"""Land, Food and Forest""")</f>
        <v/>
      </c>
    </row>
    <row r="231">
      <c r="A231" s="78">
        <f>IFERROR(__xludf.DUMMYFUNCTION("""COMPUTED_VALUE"""),"Global Canopy")</f>
        <v/>
      </c>
      <c r="B231" s="78">
        <f>IFERROR(__xludf.DUMMYFUNCTION("""COMPUTED_VALUE"""),"""Land, Food and Forest""")</f>
        <v/>
      </c>
    </row>
    <row r="232">
      <c r="A232" s="78">
        <f>IFERROR(__xludf.DUMMYFUNCTION("""COMPUTED_VALUE"""),"Good Energies Foundation")</f>
        <v/>
      </c>
      <c r="B232" s="78">
        <f>IFERROR(__xludf.DUMMYFUNCTION("""COMPUTED_VALUE"""),"Energy")</f>
        <v/>
      </c>
    </row>
    <row r="233">
      <c r="A233" s="78">
        <f>IFERROR(__xludf.DUMMYFUNCTION("""COMPUTED_VALUE"""),"Ministério do Desenvolvimento e Assistência Social, Família e Combate à Fome (MDS)")</f>
        <v/>
      </c>
      <c r="B233" s="78">
        <f>IFERROR(__xludf.DUMMYFUNCTION("""COMPUTED_VALUE"""),"Emergency response")</f>
        <v/>
      </c>
    </row>
    <row r="234">
      <c r="A234" s="78">
        <f>IFERROR(__xludf.DUMMYFUNCTION("""COMPUTED_VALUE"""),"Ministério do Desenvolvimento e Assistência Social, Família e Combate à Fome (MDS)")</f>
        <v/>
      </c>
      <c r="B234" s="78">
        <f>IFERROR(__xludf.DUMMYFUNCTION("""COMPUTED_VALUE"""),"""Land, Food and Forest""")</f>
        <v/>
      </c>
    </row>
    <row r="235">
      <c r="A235" s="78">
        <f>IFERROR(__xludf.DUMMYFUNCTION("""COMPUTED_VALUE"""),"Conselho Nacional de Segurança Alimentar e Nutricional (CONSEA)")</f>
        <v/>
      </c>
      <c r="B235" s="78">
        <f>IFERROR(__xludf.DUMMYFUNCTION("""COMPUTED_VALUE"""),"Emergency response")</f>
        <v/>
      </c>
    </row>
    <row r="236">
      <c r="A236" s="78">
        <f>IFERROR(__xludf.DUMMYFUNCTION("""COMPUTED_VALUE"""),"Conselho Nacional de Segurança Alimentar e Nutricional (CONSEA)")</f>
        <v/>
      </c>
      <c r="B236" s="78">
        <f>IFERROR(__xludf.DUMMYFUNCTION("""COMPUTED_VALUE"""),"""Land, Food and Forest""")</f>
        <v/>
      </c>
    </row>
    <row r="237">
      <c r="A237" s="78">
        <f>IFERROR(__xludf.DUMMYFUNCTION("""COMPUTED_VALUE"""),"Grupo Pão de Açúcar (GPA)")</f>
        <v/>
      </c>
      <c r="B237" s="78">
        <f>IFERROR(__xludf.DUMMYFUNCTION("""COMPUTED_VALUE"""),"Buildings &amp; Transport")</f>
        <v/>
      </c>
    </row>
    <row r="238">
      <c r="A238" s="78">
        <f>IFERROR(__xludf.DUMMYFUNCTION("""COMPUTED_VALUE"""),"Grupo Pão de Açúcar (GPA)")</f>
        <v/>
      </c>
      <c r="B238" s="78">
        <f>IFERROR(__xludf.DUMMYFUNCTION("""COMPUTED_VALUE"""),"""Land, Food and Forest""")</f>
        <v/>
      </c>
    </row>
    <row r="239">
      <c r="A239" s="78">
        <f>IFERROR(__xludf.DUMMYFUNCTION("""COMPUTED_VALUE"""),"Assaí Atacadista")</f>
        <v/>
      </c>
      <c r="B239" s="78">
        <f>IFERROR(__xludf.DUMMYFUNCTION("""COMPUTED_VALUE"""),"Buildings &amp; Transport")</f>
        <v/>
      </c>
    </row>
    <row r="240">
      <c r="A240" s="78">
        <f>IFERROR(__xludf.DUMMYFUNCTION("""COMPUTED_VALUE"""),"Assaí Atacadista")</f>
        <v/>
      </c>
      <c r="B240" s="78">
        <f>IFERROR(__xludf.DUMMYFUNCTION("""COMPUTED_VALUE"""),"""Land, Food and Forest""")</f>
        <v/>
      </c>
    </row>
    <row r="241">
      <c r="A241" s="78">
        <f>IFERROR(__xludf.DUMMYFUNCTION("""COMPUTED_VALUE"""),"Carrefour Brasil")</f>
        <v/>
      </c>
      <c r="B241" s="78">
        <f>IFERROR(__xludf.DUMMYFUNCTION("""COMPUTED_VALUE"""),"Buildings &amp; Transport")</f>
        <v/>
      </c>
    </row>
    <row r="242">
      <c r="A242" s="78">
        <f>IFERROR(__xludf.DUMMYFUNCTION("""COMPUTED_VALUE"""),"Carrefour Brasil")</f>
        <v/>
      </c>
      <c r="B242" s="78">
        <f>IFERROR(__xludf.DUMMYFUNCTION("""COMPUTED_VALUE"""),"""Land, Food and Forest""")</f>
        <v/>
      </c>
    </row>
    <row r="243">
      <c r="A243" s="78">
        <f>IFERROR(__xludf.DUMMYFUNCTION("""COMPUTED_VALUE"""),"Nestlé Brasil")</f>
        <v/>
      </c>
      <c r="B243" s="78">
        <f>IFERROR(__xludf.DUMMYFUNCTION("""COMPUTED_VALUE"""),"Buildings &amp; Transport")</f>
        <v/>
      </c>
    </row>
    <row r="244">
      <c r="A244" s="78">
        <f>IFERROR(__xludf.DUMMYFUNCTION("""COMPUTED_VALUE"""),"Nestlé Brasil")</f>
        <v/>
      </c>
      <c r="B244" s="78">
        <f>IFERROR(__xludf.DUMMYFUNCTION("""COMPUTED_VALUE"""),"""Land, Food and Forest""")</f>
        <v/>
      </c>
    </row>
    <row r="245">
      <c r="A245" s="78">
        <f>IFERROR(__xludf.DUMMYFUNCTION("""COMPUTED_VALUE"""),"Unilever Brasil")</f>
        <v/>
      </c>
      <c r="B245" s="78">
        <f>IFERROR(__xludf.DUMMYFUNCTION("""COMPUTED_VALUE"""),"Buildings &amp; Transport")</f>
        <v/>
      </c>
    </row>
    <row r="246">
      <c r="A246" s="78">
        <f>IFERROR(__xludf.DUMMYFUNCTION("""COMPUTED_VALUE"""),"Unilever Brasil")</f>
        <v/>
      </c>
      <c r="B246" s="78">
        <f>IFERROR(__xludf.DUMMYFUNCTION("""COMPUTED_VALUE"""),"""Land, Food and Forest""")</f>
        <v/>
      </c>
    </row>
    <row r="247">
      <c r="A247" s="78">
        <f>IFERROR(__xludf.DUMMYFUNCTION("""COMPUTED_VALUE"""),"Danone Brasil")</f>
        <v/>
      </c>
      <c r="B247" s="78">
        <f>IFERROR(__xludf.DUMMYFUNCTION("""COMPUTED_VALUE"""),"Buildings &amp; Transport")</f>
        <v/>
      </c>
    </row>
    <row r="248">
      <c r="A248" s="78">
        <f>IFERROR(__xludf.DUMMYFUNCTION("""COMPUTED_VALUE"""),"Danone Brasil")</f>
        <v/>
      </c>
      <c r="B248" s="78">
        <f>IFERROR(__xludf.DUMMYFUNCTION("""COMPUTED_VALUE"""),"""Land, Food and Forest""")</f>
        <v/>
      </c>
    </row>
    <row r="249">
      <c r="A249" s="78">
        <f>IFERROR(__xludf.DUMMYFUNCTION("""COMPUTED_VALUE"""),"Rede PENSSAN")</f>
        <v/>
      </c>
      <c r="B249" s="78">
        <f>IFERROR(__xludf.DUMMYFUNCTION("""COMPUTED_VALUE"""),"""Land, Food and Forest""")</f>
        <v/>
      </c>
    </row>
    <row r="250">
      <c r="A250" s="78">
        <f>IFERROR(__xludf.DUMMYFUNCTION("""COMPUTED_VALUE"""),"Instituto Comida do Amanhã")</f>
        <v/>
      </c>
      <c r="B250" s="78">
        <f>IFERROR(__xludf.DUMMYFUNCTION("""COMPUTED_VALUE"""),"""Land, Food and Forest""")</f>
        <v/>
      </c>
    </row>
    <row r="251">
      <c r="A251" s="78">
        <f>IFERROR(__xludf.DUMMYFUNCTION("""COMPUTED_VALUE"""),"EAT Foundation")</f>
        <v/>
      </c>
      <c r="B251" s="78">
        <f>IFERROR(__xludf.DUMMYFUNCTION("""COMPUTED_VALUE"""),"""Land, Food and Forest""")</f>
        <v/>
      </c>
    </row>
    <row r="252">
      <c r="A252" s="78">
        <f>IFERROR(__xludf.DUMMYFUNCTION("""COMPUTED_VALUE"""),"Programa de Sistemas Alimentares da FAO no Brasil (FAO – Food Systems Programme)")</f>
        <v/>
      </c>
      <c r="B252" s="78">
        <f>IFERROR(__xludf.DUMMYFUNCTION("""COMPUTED_VALUE"""),"""Land, Food and Forest""")</f>
        <v/>
      </c>
    </row>
    <row r="253">
      <c r="A253" s="78">
        <f>IFERROR(__xludf.DUMMYFUNCTION("""COMPUTED_VALUE"""),"Serviço Florestal Brasileiro (SFB)")</f>
        <v/>
      </c>
      <c r="B253" s="78">
        <f>IFERROR(__xludf.DUMMYFUNCTION("""COMPUTED_VALUE"""),"""Land, Food and Forest""")</f>
        <v/>
      </c>
    </row>
    <row r="254">
      <c r="A254" s="78">
        <f>IFERROR(__xludf.DUMMYFUNCTION("""COMPUTED_VALUE"""),"Klabin")</f>
        <v/>
      </c>
      <c r="B254" s="78">
        <f>IFERROR(__xludf.DUMMYFUNCTION("""COMPUTED_VALUE"""),"Buildings &amp; Transport")</f>
        <v/>
      </c>
    </row>
    <row r="255">
      <c r="A255" s="78">
        <f>IFERROR(__xludf.DUMMYFUNCTION("""COMPUTED_VALUE"""),"Klabin")</f>
        <v/>
      </c>
      <c r="B255" s="78">
        <f>IFERROR(__xludf.DUMMYFUNCTION("""COMPUTED_VALUE"""),"Energy")</f>
        <v/>
      </c>
    </row>
    <row r="256">
      <c r="A256" s="78">
        <f>IFERROR(__xludf.DUMMYFUNCTION("""COMPUTED_VALUE"""),"Klabin")</f>
        <v/>
      </c>
      <c r="B256" s="78">
        <f>IFERROR(__xludf.DUMMYFUNCTION("""COMPUTED_VALUE"""),"""Land, Food and Forest""")</f>
        <v/>
      </c>
    </row>
    <row r="257">
      <c r="A257" s="78">
        <f>IFERROR(__xludf.DUMMYFUNCTION("""COMPUTED_VALUE"""),"Bracell")</f>
        <v/>
      </c>
      <c r="B257" s="78">
        <f>IFERROR(__xludf.DUMMYFUNCTION("""COMPUTED_VALUE"""),"Buildings &amp; Transport")</f>
        <v/>
      </c>
    </row>
    <row r="258">
      <c r="A258" s="78">
        <f>IFERROR(__xludf.DUMMYFUNCTION("""COMPUTED_VALUE"""),"Bracell")</f>
        <v/>
      </c>
      <c r="B258" s="78">
        <f>IFERROR(__xludf.DUMMYFUNCTION("""COMPUTED_VALUE"""),"""Land, Food and Forest""")</f>
        <v/>
      </c>
    </row>
    <row r="259">
      <c r="A259" s="78">
        <f>IFERROR(__xludf.DUMMYFUNCTION("""COMPUTED_VALUE"""),"Dexco")</f>
        <v/>
      </c>
      <c r="B259" s="78">
        <f>IFERROR(__xludf.DUMMYFUNCTION("""COMPUTED_VALUE"""),"Buildings &amp; Transport")</f>
        <v/>
      </c>
    </row>
    <row r="260">
      <c r="A260" s="78">
        <f>IFERROR(__xludf.DUMMYFUNCTION("""COMPUTED_VALUE"""),"Dexco")</f>
        <v/>
      </c>
      <c r="B260" s="78">
        <f>IFERROR(__xludf.DUMMYFUNCTION("""COMPUTED_VALUE"""),"""Land, Food and Forest""")</f>
        <v/>
      </c>
    </row>
    <row r="261">
      <c r="A261" s="78">
        <f>IFERROR(__xludf.DUMMYFUNCTION("""COMPUTED_VALUE"""),"Suzano Ventures")</f>
        <v/>
      </c>
      <c r="B261" s="78">
        <f>IFERROR(__xludf.DUMMYFUNCTION("""COMPUTED_VALUE"""),"Buildings &amp; Transport")</f>
        <v/>
      </c>
    </row>
    <row r="262">
      <c r="A262" s="78">
        <f>IFERROR(__xludf.DUMMYFUNCTION("""COMPUTED_VALUE"""),"Suzano Ventures")</f>
        <v/>
      </c>
      <c r="B262" s="78">
        <f>IFERROR(__xludf.DUMMYFUNCTION("""COMPUTED_VALUE"""),"Energy")</f>
        <v/>
      </c>
    </row>
    <row r="263">
      <c r="A263" s="78">
        <f>IFERROR(__xludf.DUMMYFUNCTION("""COMPUTED_VALUE"""),"Suzano Ventures")</f>
        <v/>
      </c>
      <c r="B263" s="78">
        <f>IFERROR(__xludf.DUMMYFUNCTION("""COMPUTED_VALUE"""),"""Land, Food and Forest""")</f>
        <v/>
      </c>
    </row>
    <row r="264">
      <c r="A264" s="78">
        <f>IFERROR(__xludf.DUMMYFUNCTION("""COMPUTED_VALUE"""),"Rainforest Alliance")</f>
        <v/>
      </c>
      <c r="B264" s="78">
        <f>IFERROR(__xludf.DUMMYFUNCTION("""COMPUTED_VALUE"""),"""Land, Food and Forest""")</f>
        <v/>
      </c>
    </row>
    <row r="265">
      <c r="A265" s="78">
        <f>IFERROR(__xludf.DUMMYFUNCTION("""COMPUTED_VALUE"""),"Forest Trends")</f>
        <v/>
      </c>
      <c r="B265" s="78">
        <f>IFERROR(__xludf.DUMMYFUNCTION("""COMPUTED_VALUE"""),"""Land, Food and Forest""")</f>
        <v/>
      </c>
    </row>
    <row r="266">
      <c r="A266" s="78">
        <f>IFERROR(__xludf.DUMMYFUNCTION("""COMPUTED_VALUE"""),"Earth Innovation Institute")</f>
        <v/>
      </c>
      <c r="B266" s="78">
        <f>IFERROR(__xludf.DUMMYFUNCTION("""COMPUTED_VALUE"""),"""Land, Food and Forest""")</f>
        <v/>
      </c>
    </row>
    <row r="267">
      <c r="A267" s="78">
        <f>IFERROR(__xludf.DUMMYFUNCTION("""COMPUTED_VALUE"""),"Bezos Earth Fund")</f>
        <v/>
      </c>
      <c r="B267" s="78">
        <f>IFERROR(__xludf.DUMMYFUNCTION("""COMPUTED_VALUE"""),"Buildings &amp; Transport")</f>
        <v/>
      </c>
    </row>
    <row r="268">
      <c r="A268" s="78">
        <f>IFERROR(__xludf.DUMMYFUNCTION("""COMPUTED_VALUE"""),"Bezos Earth Fund")</f>
        <v/>
      </c>
      <c r="B268" s="78">
        <f>IFERROR(__xludf.DUMMYFUNCTION("""COMPUTED_VALUE"""),"Emergency response")</f>
        <v/>
      </c>
    </row>
    <row r="269">
      <c r="A269" s="78">
        <f>IFERROR(__xludf.DUMMYFUNCTION("""COMPUTED_VALUE"""),"Bezos Earth Fund")</f>
        <v/>
      </c>
      <c r="B269" s="78">
        <f>IFERROR(__xludf.DUMMYFUNCTION("""COMPUTED_VALUE"""),"Energy")</f>
        <v/>
      </c>
    </row>
    <row r="270">
      <c r="A270" s="78">
        <f>IFERROR(__xludf.DUMMYFUNCTION("""COMPUTED_VALUE"""),"Bezos Earth Fund")</f>
        <v/>
      </c>
      <c r="B270" s="78">
        <f>IFERROR(__xludf.DUMMYFUNCTION("""COMPUTED_VALUE"""),"""Land, Food and Forest""")</f>
        <v/>
      </c>
    </row>
    <row r="271">
      <c r="A271" s="78">
        <f>IFERROR(__xludf.DUMMYFUNCTION("""COMPUTED_VALUE"""),"Bloomberg Philanthropies")</f>
        <v/>
      </c>
      <c r="B271" s="78">
        <f>IFERROR(__xludf.DUMMYFUNCTION("""COMPUTED_VALUE"""),"Buildings &amp; Transport")</f>
        <v/>
      </c>
    </row>
    <row r="272">
      <c r="A272" s="78">
        <f>IFERROR(__xludf.DUMMYFUNCTION("""COMPUTED_VALUE"""),"Bloomberg Philanthropies")</f>
        <v/>
      </c>
      <c r="B272" s="78">
        <f>IFERROR(__xludf.DUMMYFUNCTION("""COMPUTED_VALUE"""),"Emergency response")</f>
        <v/>
      </c>
    </row>
    <row r="273">
      <c r="A273" s="78">
        <f>IFERROR(__xludf.DUMMYFUNCTION("""COMPUTED_VALUE"""),"Bloomberg Philanthropies")</f>
        <v/>
      </c>
      <c r="B273" s="78">
        <f>IFERROR(__xludf.DUMMYFUNCTION("""COMPUTED_VALUE"""),"Energy")</f>
        <v/>
      </c>
    </row>
    <row r="274">
      <c r="A274" s="78">
        <f>IFERROR(__xludf.DUMMYFUNCTION("""COMPUTED_VALUE"""),"Bloomberg Philanthropies")</f>
        <v/>
      </c>
      <c r="B274" s="78">
        <f>IFERROR(__xludf.DUMMYFUNCTION("""COMPUTED_VALUE"""),"""Land, Food and Forest""")</f>
        <v/>
      </c>
    </row>
    <row r="275">
      <c r="A275" s="78">
        <f>IFERROR(__xludf.DUMMYFUNCTION("""COMPUTED_VALUE"""),"Laudes Foundation")</f>
        <v/>
      </c>
      <c r="B275" s="78">
        <f>IFERROR(__xludf.DUMMYFUNCTION("""COMPUTED_VALUE"""),"Buildings &amp; Transport")</f>
        <v/>
      </c>
    </row>
    <row r="276">
      <c r="A276" s="78">
        <f>IFERROR(__xludf.DUMMYFUNCTION("""COMPUTED_VALUE"""),"Laudes Foundation")</f>
        <v/>
      </c>
      <c r="B276" s="78">
        <f>IFERROR(__xludf.DUMMYFUNCTION("""COMPUTED_VALUE"""),"Energy")</f>
        <v/>
      </c>
    </row>
    <row r="277">
      <c r="A277" s="78">
        <f>IFERROR(__xludf.DUMMYFUNCTION("""COMPUTED_VALUE"""),"Skoll Foundation")</f>
        <v/>
      </c>
      <c r="B277" s="78">
        <f>IFERROR(__xludf.DUMMYFUNCTION("""COMPUTED_VALUE"""),"Buildings &amp; Transport")</f>
        <v/>
      </c>
    </row>
    <row r="278">
      <c r="A278" s="78">
        <f>IFERROR(__xludf.DUMMYFUNCTION("""COMPUTED_VALUE"""),"Skoll Foundation")</f>
        <v/>
      </c>
      <c r="B278" s="78">
        <f>IFERROR(__xludf.DUMMYFUNCTION("""COMPUTED_VALUE"""),"Emergency response")</f>
        <v/>
      </c>
    </row>
    <row r="279">
      <c r="A279" s="78">
        <f>IFERROR(__xludf.DUMMYFUNCTION("""COMPUTED_VALUE"""),"Skoll Foundation")</f>
        <v/>
      </c>
      <c r="B279" s="78">
        <f>IFERROR(__xludf.DUMMYFUNCTION("""COMPUTED_VALUE"""),"Energy")</f>
        <v/>
      </c>
    </row>
    <row r="280">
      <c r="A280" s="78">
        <f>IFERROR(__xludf.DUMMYFUNCTION("""COMPUTED_VALUE"""),"Skoll Foundation")</f>
        <v/>
      </c>
      <c r="B280" s="78">
        <f>IFERROR(__xludf.DUMMYFUNCTION("""COMPUTED_VALUE"""),"""Land, Food and Forest""")</f>
        <v/>
      </c>
    </row>
    <row r="281">
      <c r="A281" s="78">
        <f>IFERROR(__xludf.DUMMYFUNCTION("""COMPUTED_VALUE"""),"Walton Family Foundation")</f>
        <v/>
      </c>
      <c r="B281" s="78">
        <f>IFERROR(__xludf.DUMMYFUNCTION("""COMPUTED_VALUE"""),"""Land, Food and Forest""")</f>
        <v/>
      </c>
    </row>
    <row r="282">
      <c r="A282" s="78">
        <f>IFERROR(__xludf.DUMMYFUNCTION("""COMPUTED_VALUE"""),"Blue Moon Fund")</f>
        <v/>
      </c>
      <c r="B282" s="78">
        <f>IFERROR(__xludf.DUMMYFUNCTION("""COMPUTED_VALUE"""),"Energy")</f>
        <v/>
      </c>
    </row>
    <row r="283">
      <c r="A283" s="78">
        <f>IFERROR(__xludf.DUMMYFUNCTION("""COMPUTED_VALUE"""),"Blue Moon Fund")</f>
        <v/>
      </c>
      <c r="B283" s="78">
        <f>IFERROR(__xludf.DUMMYFUNCTION("""COMPUTED_VALUE"""),"""Land, Food and Forest""")</f>
        <v/>
      </c>
    </row>
    <row r="284">
      <c r="A284" s="78">
        <f>IFERROR(__xludf.DUMMYFUNCTION("""COMPUTED_VALUE"""),"Rainforest Trust")</f>
        <v/>
      </c>
      <c r="B284" s="78">
        <f>IFERROR(__xludf.DUMMYFUNCTION("""COMPUTED_VALUE"""),"""Land, Food and Forest""")</f>
        <v/>
      </c>
    </row>
    <row r="285">
      <c r="A285" s="78">
        <f>IFERROR(__xludf.DUMMYFUNCTION("""COMPUTED_VALUE"""),"John D. and Catherine T. MacArthur Foundation (MacArthur Foundation)")</f>
        <v/>
      </c>
      <c r="B285" s="78">
        <f>IFERROR(__xludf.DUMMYFUNCTION("""COMPUTED_VALUE"""),"Buildings &amp; Transport")</f>
        <v/>
      </c>
    </row>
    <row r="286">
      <c r="A286" s="78">
        <f>IFERROR(__xludf.DUMMYFUNCTION("""COMPUTED_VALUE"""),"John D. and Catherine T. MacArthur Foundation (MacArthur Foundation)")</f>
        <v/>
      </c>
      <c r="B286" s="78">
        <f>IFERROR(__xludf.DUMMYFUNCTION("""COMPUTED_VALUE"""),"Emergency response")</f>
        <v/>
      </c>
    </row>
    <row r="287">
      <c r="A287" s="78">
        <f>IFERROR(__xludf.DUMMYFUNCTION("""COMPUTED_VALUE"""),"John D. and Catherine T. MacArthur Foundation (MacArthur Foundation)")</f>
        <v/>
      </c>
      <c r="B287" s="78">
        <f>IFERROR(__xludf.DUMMYFUNCTION("""COMPUTED_VALUE"""),"Energy")</f>
        <v/>
      </c>
    </row>
    <row r="288">
      <c r="A288" s="78">
        <f>IFERROR(__xludf.DUMMYFUNCTION("""COMPUTED_VALUE"""),"John D. and Catherine T. MacArthur Foundation (MacArthur Foundation)")</f>
        <v/>
      </c>
      <c r="B288" s="78">
        <f>IFERROR(__xludf.DUMMYFUNCTION("""COMPUTED_VALUE"""),"""Land, Food and Forest""")</f>
        <v/>
      </c>
    </row>
    <row r="289">
      <c r="A289" s="78">
        <f>IFERROR(__xludf.DUMMYFUNCTION("""COMPUTED_VALUE"""),"Rockefeller Brothers Fund")</f>
        <v/>
      </c>
      <c r="B289" s="78">
        <f>IFERROR(__xludf.DUMMYFUNCTION("""COMPUTED_VALUE"""),"Buildings &amp; Transport")</f>
        <v/>
      </c>
    </row>
    <row r="290">
      <c r="A290" s="78">
        <f>IFERROR(__xludf.DUMMYFUNCTION("""COMPUTED_VALUE"""),"Rockefeller Brothers Fund")</f>
        <v/>
      </c>
      <c r="B290" s="78">
        <f>IFERROR(__xludf.DUMMYFUNCTION("""COMPUTED_VALUE"""),"Emergency response")</f>
        <v/>
      </c>
    </row>
    <row r="291">
      <c r="A291" s="78">
        <f>IFERROR(__xludf.DUMMYFUNCTION("""COMPUTED_VALUE"""),"Rockefeller Brothers Fund")</f>
        <v/>
      </c>
      <c r="B291" s="78">
        <f>IFERROR(__xludf.DUMMYFUNCTION("""COMPUTED_VALUE"""),"Energy")</f>
        <v/>
      </c>
    </row>
    <row r="292">
      <c r="A292" s="78">
        <f>IFERROR(__xludf.DUMMYFUNCTION("""COMPUTED_VALUE"""),"Rockefeller Brothers Fund")</f>
        <v/>
      </c>
      <c r="B292" s="78">
        <f>IFERROR(__xludf.DUMMYFUNCTION("""COMPUTED_VALUE"""),"""Land, Food and Forest""")</f>
        <v/>
      </c>
    </row>
    <row r="293">
      <c r="A293" s="78">
        <f>IFERROR(__xludf.DUMMYFUNCTION("""COMPUTED_VALUE"""),"Consórcio Nordeste")</f>
        <v/>
      </c>
      <c r="B293" s="78">
        <f>IFERROR(__xludf.DUMMYFUNCTION("""COMPUTED_VALUE"""),"Buildings &amp; Transport")</f>
        <v/>
      </c>
    </row>
    <row r="294">
      <c r="A294" s="78">
        <f>IFERROR(__xludf.DUMMYFUNCTION("""COMPUTED_VALUE"""),"Consórcio Nordeste")</f>
        <v/>
      </c>
      <c r="B294" s="78">
        <f>IFERROR(__xludf.DUMMYFUNCTION("""COMPUTED_VALUE"""),"Energy")</f>
        <v/>
      </c>
    </row>
    <row r="295">
      <c r="A295" s="78">
        <f>IFERROR(__xludf.DUMMYFUNCTION("""COMPUTED_VALUE"""),"Consórcio Nordeste")</f>
        <v/>
      </c>
      <c r="B295" s="78">
        <f>IFERROR(__xludf.DUMMYFUNCTION("""COMPUTED_VALUE"""),"""Land, Food and Forest""")</f>
        <v/>
      </c>
    </row>
    <row r="296">
      <c r="A296" s="78">
        <f>IFERROR(__xludf.DUMMYFUNCTION("""COMPUTED_VALUE"""),"Laboratório de Inovação Financeira (LAB/CVM)")</f>
        <v/>
      </c>
      <c r="B296" s="78">
        <f>IFERROR(__xludf.DUMMYFUNCTION("""COMPUTED_VALUE"""),"Buildings &amp; Transport")</f>
        <v/>
      </c>
    </row>
    <row r="297">
      <c r="A297" s="78">
        <f>IFERROR(__xludf.DUMMYFUNCTION("""COMPUTED_VALUE"""),"Laboratório de Inovação Financeira (LAB/CVM)")</f>
        <v/>
      </c>
      <c r="B297" s="78">
        <f>IFERROR(__xludf.DUMMYFUNCTION("""COMPUTED_VALUE"""),"Energy")</f>
        <v/>
      </c>
    </row>
    <row r="298">
      <c r="A298" s="78">
        <f>IFERROR(__xludf.DUMMYFUNCTION("""COMPUTED_VALUE"""),"Laboratório de Inovação Financeira (LAB/CVM)")</f>
        <v/>
      </c>
      <c r="B298" s="78">
        <f>IFERROR(__xludf.DUMMYFUNCTION("""COMPUTED_VALUE"""),"""Land, Food and Forest""")</f>
        <v/>
      </c>
    </row>
    <row r="299">
      <c r="A299" s="78">
        <f>IFERROR(__xludf.DUMMYFUNCTION("""COMPUTED_VALUE"""),"Conselho Empresarial Brasileiro para o Desenvolvimento Sustentável (CEBDS)")</f>
        <v/>
      </c>
      <c r="B299" s="78">
        <f>IFERROR(__xludf.DUMMYFUNCTION("""COMPUTED_VALUE"""),"Buildings &amp; Transport")</f>
        <v/>
      </c>
    </row>
    <row r="300">
      <c r="A300" s="78">
        <f>IFERROR(__xludf.DUMMYFUNCTION("""COMPUTED_VALUE"""),"Conselho Empresarial Brasileiro para o Desenvolvimento Sustentável (CEBDS)")</f>
        <v/>
      </c>
      <c r="B300" s="78">
        <f>IFERROR(__xludf.DUMMYFUNCTION("""COMPUTED_VALUE"""),"Energy")</f>
        <v/>
      </c>
    </row>
    <row r="301">
      <c r="A301" s="78">
        <f>IFERROR(__xludf.DUMMYFUNCTION("""COMPUTED_VALUE"""),"Conselho Empresarial Brasileiro para o Desenvolvimento Sustentável (CEBDS)")</f>
        <v/>
      </c>
      <c r="B301" s="78">
        <f>IFERROR(__xludf.DUMMYFUNCTION("""COMPUTED_VALUE"""),"""Land, Food and Forest""")</f>
        <v/>
      </c>
    </row>
    <row r="302">
      <c r="A302" s="78">
        <f>IFERROR(__xludf.DUMMYFUNCTION("""COMPUTED_VALUE"""),"Associação Brasileira de Desenvolvimento (ABDE)")</f>
        <v/>
      </c>
      <c r="B302" s="78">
        <f>IFERROR(__xludf.DUMMYFUNCTION("""COMPUTED_VALUE"""),"Buildings &amp; Transport")</f>
        <v/>
      </c>
    </row>
    <row r="303">
      <c r="A303" s="78">
        <f>IFERROR(__xludf.DUMMYFUNCTION("""COMPUTED_VALUE"""),"Associação Brasileira de Desenvolvimento (ABDE)")</f>
        <v/>
      </c>
      <c r="B303" s="78">
        <f>IFERROR(__xludf.DUMMYFUNCTION("""COMPUTED_VALUE"""),"Energy")</f>
        <v/>
      </c>
    </row>
    <row r="304">
      <c r="A304" s="78">
        <f>IFERROR(__xludf.DUMMYFUNCTION("""COMPUTED_VALUE"""),"Associação Brasileira de Desenvolvimento (ABDE)")</f>
        <v/>
      </c>
      <c r="B304" s="78">
        <f>IFERROR(__xludf.DUMMYFUNCTION("""COMPUTED_VALUE"""),"""Land, Food and Forest""")</f>
        <v/>
      </c>
    </row>
    <row r="305">
      <c r="A305" s="78">
        <f>IFERROR(__xludf.DUMMYFUNCTION("""COMPUTED_VALUE"""),"Climate Policy Initiative (CPI)")</f>
        <v/>
      </c>
      <c r="B305" s="78">
        <f>IFERROR(__xludf.DUMMYFUNCTION("""COMPUTED_VALUE"""),"Energy")</f>
        <v/>
      </c>
    </row>
    <row r="306">
      <c r="A306" s="78">
        <f>IFERROR(__xludf.DUMMYFUNCTION("""COMPUTED_VALUE"""),"Climate Policy Initiative (CPI)")</f>
        <v/>
      </c>
      <c r="B306" s="78">
        <f>IFERROR(__xludf.DUMMYFUNCTION("""COMPUTED_VALUE"""),"""Land, Food and Forest""")</f>
        <v/>
      </c>
    </row>
    <row r="307">
      <c r="A307" s="78">
        <f>IFERROR(__xludf.DUMMYFUNCTION("""COMPUTED_VALUE"""),"Climate Finance Hub Brasil")</f>
        <v/>
      </c>
      <c r="B307" s="78">
        <f>IFERROR(__xludf.DUMMYFUNCTION("""COMPUTED_VALUE"""),"Buildings &amp; Transport")</f>
        <v/>
      </c>
    </row>
    <row r="308">
      <c r="A308" s="78">
        <f>IFERROR(__xludf.DUMMYFUNCTION("""COMPUTED_VALUE"""),"Climate Finance Hub Brasil")</f>
        <v/>
      </c>
      <c r="B308" s="78">
        <f>IFERROR(__xludf.DUMMYFUNCTION("""COMPUTED_VALUE"""),"Energy")</f>
        <v/>
      </c>
    </row>
    <row r="309">
      <c r="A309" s="78">
        <f>IFERROR(__xludf.DUMMYFUNCTION("""COMPUTED_VALUE"""),"Climate Finance Hub Brasil")</f>
        <v/>
      </c>
      <c r="B309" s="78">
        <f>IFERROR(__xludf.DUMMYFUNCTION("""COMPUTED_VALUE"""),"""Land, Food and Forest""")</f>
        <v/>
      </c>
    </row>
    <row r="310">
      <c r="A310" s="78">
        <f>IFERROR(__xludf.DUMMYFUNCTION("""COMPUTED_VALUE"""),"Associação Brasileira de Energia Eólica (ABEEólica)")</f>
        <v/>
      </c>
      <c r="B310" s="78">
        <f>IFERROR(__xludf.DUMMYFUNCTION("""COMPUTED_VALUE"""),"Energy")</f>
        <v/>
      </c>
    </row>
    <row r="311">
      <c r="A311" s="78">
        <f>IFERROR(__xludf.DUMMYFUNCTION("""COMPUTED_VALUE"""),"Associação Brasileira de Energia Solar Fotovoltaica (ABSolar)")</f>
        <v/>
      </c>
      <c r="B311" s="78">
        <f>IFERROR(__xludf.DUMMYFUNCTION("""COMPUTED_VALUE"""),"Energy")</f>
        <v/>
      </c>
    </row>
    <row r="312">
      <c r="A312" s="78">
        <f>IFERROR(__xludf.DUMMYFUNCTION("""COMPUTED_VALUE"""),"Associação Brasileira do Biogás (ABiogás)")</f>
        <v/>
      </c>
      <c r="B312" s="78">
        <f>IFERROR(__xludf.DUMMYFUNCTION("""COMPUTED_VALUE"""),"Energy")</f>
        <v/>
      </c>
    </row>
    <row r="313">
      <c r="A313" s="78">
        <f>IFERROR(__xludf.DUMMYFUNCTION("""COMPUTED_VALUE"""),"Associação Brasileira do Hidrogênio (ABH2)")</f>
        <v/>
      </c>
      <c r="B313" s="78">
        <f>IFERROR(__xludf.DUMMYFUNCTION("""COMPUTED_VALUE"""),"Energy")</f>
        <v/>
      </c>
    </row>
    <row r="314">
      <c r="A314" s="78">
        <f>IFERROR(__xludf.DUMMYFUNCTION("""COMPUTED_VALUE"""),"Instituto Nacional de Eficiência Energética (INEE)")</f>
        <v/>
      </c>
      <c r="B314" s="78">
        <f>IFERROR(__xludf.DUMMYFUNCTION("""COMPUTED_VALUE"""),"Energy")</f>
        <v/>
      </c>
    </row>
    <row r="315">
      <c r="A315" s="78">
        <f>IFERROR(__xludf.DUMMYFUNCTION("""COMPUTED_VALUE"""),"Superintendência do Desenvolvimento do Nordeste (SUDENE)")</f>
        <v/>
      </c>
      <c r="B315" s="78">
        <f>IFERROR(__xludf.DUMMYFUNCTION("""COMPUTED_VALUE"""),"Buildings &amp; Transport")</f>
        <v/>
      </c>
    </row>
    <row r="316">
      <c r="A316" s="78">
        <f>IFERROR(__xludf.DUMMYFUNCTION("""COMPUTED_VALUE"""),"Superintendência do Desenvolvimento do Nordeste (SUDENE)")</f>
        <v/>
      </c>
      <c r="B316" s="78">
        <f>IFERROR(__xludf.DUMMYFUNCTION("""COMPUTED_VALUE"""),"Energy")</f>
        <v/>
      </c>
    </row>
    <row r="317">
      <c r="A317" s="78">
        <f>IFERROR(__xludf.DUMMYFUNCTION("""COMPUTED_VALUE"""),"Superintendência do Desenvolvimento do Nordeste (SUDENE)")</f>
        <v/>
      </c>
      <c r="B317" s="78">
        <f>IFERROR(__xludf.DUMMYFUNCTION("""COMPUTED_VALUE"""),"""Land, Food and Forest""")</f>
        <v/>
      </c>
    </row>
    <row r="318">
      <c r="A318" s="78">
        <f>IFERROR(__xludf.DUMMYFUNCTION("""COMPUTED_VALUE"""),"Associação Brasileira de Grandes Consumidores Industriais de Energia e de Consumidores Livres (ABRACE)")</f>
        <v/>
      </c>
      <c r="B318" s="78">
        <f>IFERROR(__xludf.DUMMYFUNCTION("""COMPUTED_VALUE"""),"Energy")</f>
        <v/>
      </c>
    </row>
    <row r="319">
      <c r="A319" s="78">
        <f>IFERROR(__xludf.DUMMYFUNCTION("""COMPUTED_VALUE"""),"Casa dos Ventos")</f>
        <v/>
      </c>
      <c r="B319" s="78">
        <f>IFERROR(__xludf.DUMMYFUNCTION("""COMPUTED_VALUE"""),"Energy")</f>
        <v/>
      </c>
    </row>
    <row r="320">
      <c r="A320" s="78">
        <f>IFERROR(__xludf.DUMMYFUNCTION("""COMPUTED_VALUE"""),"Voltalia Energia do Brasil (Voltalia)")</f>
        <v/>
      </c>
      <c r="B320" s="78">
        <f>IFERROR(__xludf.DUMMYFUNCTION("""COMPUTED_VALUE"""),"Energy")</f>
        <v/>
      </c>
    </row>
    <row r="321">
      <c r="A321" s="78">
        <f>IFERROR(__xludf.DUMMYFUNCTION("""COMPUTED_VALUE"""),"Brava Energia")</f>
        <v/>
      </c>
      <c r="B321" s="78">
        <f>IFERROR(__xludf.DUMMYFUNCTION("""COMPUTED_VALUE"""),"Energy")</f>
        <v/>
      </c>
    </row>
    <row r="322">
      <c r="A322" s="78">
        <f>IFERROR(__xludf.DUMMYFUNCTION("""COMPUTED_VALUE"""),"Grupo Stellantis (Stellantis)")</f>
        <v/>
      </c>
      <c r="B322" s="78">
        <f>IFERROR(__xludf.DUMMYFUNCTION("""COMPUTED_VALUE"""),"Energy")</f>
        <v/>
      </c>
    </row>
    <row r="323">
      <c r="A323" s="78">
        <f>IFERROR(__xludf.DUMMYFUNCTION("""COMPUTED_VALUE"""),"Agência Brasileira de Promoção de Exportações e Investimentos (ApexBrasil)")</f>
        <v/>
      </c>
      <c r="B323" s="78">
        <f>IFERROR(__xludf.DUMMYFUNCTION("""COMPUTED_VALUE"""),"Buildings &amp; Transport")</f>
        <v/>
      </c>
    </row>
    <row r="324">
      <c r="A324" s="78">
        <f>IFERROR(__xludf.DUMMYFUNCTION("""COMPUTED_VALUE"""),"Agência Brasileira de Promoção de Exportações e Investimentos (ApexBrasil)")</f>
        <v/>
      </c>
      <c r="B324" s="78">
        <f>IFERROR(__xludf.DUMMYFUNCTION("""COMPUTED_VALUE"""),"Energy")</f>
        <v/>
      </c>
    </row>
    <row r="325">
      <c r="A325" s="78">
        <f>IFERROR(__xludf.DUMMYFUNCTION("""COMPUTED_VALUE"""),"Complexo Industrial Portuário de Suape (Suape)")</f>
        <v/>
      </c>
      <c r="B325" s="78">
        <f>IFERROR(__xludf.DUMMYFUNCTION("""COMPUTED_VALUE"""),"Buildings &amp; Transport")</f>
        <v/>
      </c>
    </row>
    <row r="326">
      <c r="A326" s="78">
        <f>IFERROR(__xludf.DUMMYFUNCTION("""COMPUTED_VALUE"""),"Complexo Industrial Portuário de Suape (Suape)")</f>
        <v/>
      </c>
      <c r="B326" s="78">
        <f>IFERROR(__xludf.DUMMYFUNCTION("""COMPUTED_VALUE"""),"Energy")</f>
        <v/>
      </c>
    </row>
    <row r="327">
      <c r="A327" s="78">
        <f>IFERROR(__xludf.DUMMYFUNCTION("""COMPUTED_VALUE"""),"Complexo do Pecém (CIPP S.A.)")</f>
        <v/>
      </c>
      <c r="B327" s="78">
        <f>IFERROR(__xludf.DUMMYFUNCTION("""COMPUTED_VALUE"""),"Buildings &amp; Transport")</f>
        <v/>
      </c>
    </row>
    <row r="328">
      <c r="A328" s="78">
        <f>IFERROR(__xludf.DUMMYFUNCTION("""COMPUTED_VALUE"""),"Complexo do Pecém (CIPP S.A.)")</f>
        <v/>
      </c>
      <c r="B328" s="78">
        <f>IFERROR(__xludf.DUMMYFUNCTION("""COMPUTED_VALUE"""),"Energy")</f>
        <v/>
      </c>
    </row>
    <row r="329">
      <c r="A329" s="78">
        <f>IFERROR(__xludf.DUMMYFUNCTION("""COMPUTED_VALUE"""),"Hydrogen Council")</f>
        <v/>
      </c>
      <c r="B329" s="78">
        <f>IFERROR(__xludf.DUMMYFUNCTION("""COMPUTED_VALUE"""),"Buildings &amp; Transport")</f>
        <v/>
      </c>
    </row>
    <row r="330">
      <c r="A330" s="78">
        <f>IFERROR(__xludf.DUMMYFUNCTION("""COMPUTED_VALUE"""),"Hydrogen Council")</f>
        <v/>
      </c>
      <c r="B330" s="78">
        <f>IFERROR(__xludf.DUMMYFUNCTION("""COMPUTED_VALUE"""),"Energy")</f>
        <v/>
      </c>
    </row>
    <row r="331">
      <c r="A331" s="78">
        <f>IFERROR(__xludf.DUMMYFUNCTION("""COMPUTED_VALUE"""),"World Energy Council")</f>
        <v/>
      </c>
      <c r="B331" s="78">
        <f>IFERROR(__xludf.DUMMYFUNCTION("""COMPUTED_VALUE"""),"Energy")</f>
        <v/>
      </c>
    </row>
    <row r="332">
      <c r="A332" s="78">
        <f>IFERROR(__xludf.DUMMYFUNCTION("""COMPUTED_VALUE"""),"Câmara Setorial de Energias Renováveis do Ceará (CS Renováveis/CE)")</f>
        <v/>
      </c>
      <c r="B332" s="78">
        <f>IFERROR(__xludf.DUMMYFUNCTION("""COMPUTED_VALUE"""),"Energy")</f>
        <v/>
      </c>
    </row>
    <row r="333">
      <c r="A333" s="78">
        <f>IFERROR(__xludf.DUMMYFUNCTION("""COMPUTED_VALUE"""),"Glasgow Financial Alliance for Net Zero (GFANZ)")</f>
        <v/>
      </c>
      <c r="B333" s="78">
        <f>IFERROR(__xludf.DUMMYFUNCTION("""COMPUTED_VALUE"""),"Buildings &amp; Transport")</f>
        <v/>
      </c>
    </row>
    <row r="334">
      <c r="A334" s="78">
        <f>IFERROR(__xludf.DUMMYFUNCTION("""COMPUTED_VALUE"""),"Glasgow Financial Alliance for Net Zero (GFANZ)")</f>
        <v/>
      </c>
      <c r="B334" s="78">
        <f>IFERROR(__xludf.DUMMYFUNCTION("""COMPUTED_VALUE"""),"Energy")</f>
        <v/>
      </c>
    </row>
    <row r="335">
      <c r="A335" s="78">
        <f>IFERROR(__xludf.DUMMYFUNCTION("""COMPUTED_VALUE"""),"Centro Brasileiro de Relações Internacionais (CEBRI)")</f>
        <v/>
      </c>
      <c r="B335" s="78">
        <f>IFERROR(__xludf.DUMMYFUNCTION("""COMPUTED_VALUE"""),"Buildings &amp; Transport")</f>
        <v/>
      </c>
    </row>
    <row r="336">
      <c r="A336" s="78">
        <f>IFERROR(__xludf.DUMMYFUNCTION("""COMPUTED_VALUE"""),"Centro Brasileiro de Relações Internacionais (CEBRI)")</f>
        <v/>
      </c>
      <c r="B336" s="78">
        <f>IFERROR(__xludf.DUMMYFUNCTION("""COMPUTED_VALUE"""),"Energy")</f>
        <v/>
      </c>
    </row>
    <row r="337">
      <c r="A337" s="78">
        <f>IFERROR(__xludf.DUMMYFUNCTION("""COMPUTED_VALUE"""),"Centro Brasileiro de Relações Internacionais (CEBRI)")</f>
        <v/>
      </c>
      <c r="B337" s="78">
        <f>IFERROR(__xludf.DUMMYFUNCTION("""COMPUTED_VALUE"""),"""Land, Food and Forest""")</f>
        <v/>
      </c>
    </row>
    <row r="338">
      <c r="A338" s="78">
        <f>IFERROR(__xludf.DUMMYFUNCTION("""COMPUTED_VALUE"""),"Future Climate")</f>
        <v/>
      </c>
      <c r="B338" s="78">
        <f>IFERROR(__xludf.DUMMYFUNCTION("""COMPUTED_VALUE"""),"Buildings &amp; Transport")</f>
        <v/>
      </c>
    </row>
    <row r="339">
      <c r="A339" s="78">
        <f>IFERROR(__xludf.DUMMYFUNCTION("""COMPUTED_VALUE"""),"Future Climate")</f>
        <v/>
      </c>
      <c r="B339" s="78">
        <f>IFERROR(__xludf.DUMMYFUNCTION("""COMPUTED_VALUE"""),"Energy")</f>
        <v/>
      </c>
    </row>
    <row r="340">
      <c r="A340" s="78">
        <f>IFERROR(__xludf.DUMMYFUNCTION("""COMPUTED_VALUE"""),"Future Climate")</f>
        <v/>
      </c>
      <c r="B340" s="78">
        <f>IFERROR(__xludf.DUMMYFUNCTION("""COMPUTED_VALUE"""),"""Land, Food and Forest""")</f>
        <v/>
      </c>
    </row>
    <row r="341">
      <c r="A341" s="78">
        <f>IFERROR(__xludf.DUMMYFUNCTION("""COMPUTED_VALUE"""),"AS-PTA – Agricultura Familiar e Agroecologia (AS-PTA)")</f>
        <v/>
      </c>
      <c r="B341" s="78">
        <f>IFERROR(__xludf.DUMMYFUNCTION("""COMPUTED_VALUE"""),"Energy")</f>
        <v/>
      </c>
    </row>
    <row r="342">
      <c r="A342" s="78">
        <f>IFERROR(__xludf.DUMMYFUNCTION("""COMPUTED_VALUE"""),"AS-PTA – Agricultura Familiar e Agroecologia (AS-PTA)")</f>
        <v/>
      </c>
      <c r="B342" s="78">
        <f>IFERROR(__xludf.DUMMYFUNCTION("""COMPUTED_VALUE"""),"""Land, Food and Forest""")</f>
        <v/>
      </c>
    </row>
    <row r="343">
      <c r="A343" s="78">
        <f>IFERROR(__xludf.DUMMYFUNCTION("""COMPUTED_VALUE"""),"Associação Brasileira das Entidades dos Mercados Financeiro e de Capitais (ANBIMA)")</f>
        <v/>
      </c>
      <c r="B343" s="78">
        <f>IFERROR(__xludf.DUMMYFUNCTION("""COMPUTED_VALUE"""),"Buildings &amp; Transport")</f>
        <v/>
      </c>
    </row>
    <row r="344">
      <c r="A344" s="78">
        <f>IFERROR(__xludf.DUMMYFUNCTION("""COMPUTED_VALUE"""),"Associação Brasileira das Entidades dos Mercados Financeiro e de Capitais (ANBIMA)")</f>
        <v/>
      </c>
      <c r="B344" s="78">
        <f>IFERROR(__xludf.DUMMYFUNCTION("""COMPUTED_VALUE"""),"Energy")</f>
        <v/>
      </c>
    </row>
    <row r="345">
      <c r="A345" s="78">
        <f>IFERROR(__xludf.DUMMYFUNCTION("""COMPUTED_VALUE"""),"Associação Brasileira das Entidades dos Mercados Financeiro e de Capitais (ANBIMA)")</f>
        <v/>
      </c>
      <c r="B345" s="78">
        <f>IFERROR(__xludf.DUMMYFUNCTION("""COMPUTED_VALUE"""),"""Land, Food and Forest""")</f>
        <v/>
      </c>
    </row>
    <row r="346">
      <c r="A346" s="78">
        <f>IFERROR(__xludf.DUMMYFUNCTION("""COMPUTED_VALUE"""),"C40 Cities (C40)")</f>
        <v/>
      </c>
      <c r="B346" s="78">
        <f>IFERROR(__xludf.DUMMYFUNCTION("""COMPUTED_VALUE"""),"Buildings &amp; Transport")</f>
        <v/>
      </c>
    </row>
    <row r="347">
      <c r="A347" s="78">
        <f>IFERROR(__xludf.DUMMYFUNCTION("""COMPUTED_VALUE"""),"C40 Cities (C40)")</f>
        <v/>
      </c>
      <c r="B347" s="78">
        <f>IFERROR(__xludf.DUMMYFUNCTION("""COMPUTED_VALUE"""),"""Land, Food and Forest""")</f>
        <v/>
      </c>
    </row>
    <row r="348">
      <c r="A348" s="78">
        <f>IFERROR(__xludf.DUMMYFUNCTION("""COMPUTED_VALUE"""),"Programa das Nações Unidas para os Assentamentos Humanos (ONU-Habitat)")</f>
        <v/>
      </c>
      <c r="B348" s="78">
        <f>IFERROR(__xludf.DUMMYFUNCTION("""COMPUTED_VALUE"""),"Buildings &amp; Transport")</f>
        <v/>
      </c>
    </row>
    <row r="349">
      <c r="A349" s="78">
        <f>IFERROR(__xludf.DUMMYFUNCTION("""COMPUTED_VALUE"""),"Programa das Nações Unidas para os Assentamentos Humanos (ONU-Habitat)")</f>
        <v/>
      </c>
      <c r="B349" s="78">
        <f>IFERROR(__xludf.DUMMYFUNCTION("""COMPUTED_VALUE"""),"Emergency response")</f>
        <v/>
      </c>
    </row>
    <row r="350">
      <c r="A350" s="78">
        <f>IFERROR(__xludf.DUMMYFUNCTION("""COMPUTED_VALUE"""),"Associação Nacional de Transportes Públicos (ANTP)")</f>
        <v/>
      </c>
      <c r="B350" s="78">
        <f>IFERROR(__xludf.DUMMYFUNCTION("""COMPUTED_VALUE"""),"Buildings &amp; Transport")</f>
        <v/>
      </c>
    </row>
    <row r="351">
      <c r="A351" s="78">
        <f>IFERROR(__xludf.DUMMYFUNCTION("""COMPUTED_VALUE"""),"Governos Locais pela Sustentabilidade (ICLEI)")</f>
        <v/>
      </c>
      <c r="B351" s="78">
        <f>IFERROR(__xludf.DUMMYFUNCTION("""COMPUTED_VALUE"""),"Buildings &amp; Transport")</f>
        <v/>
      </c>
    </row>
    <row r="352">
      <c r="A352" s="78">
        <f>IFERROR(__xludf.DUMMYFUNCTION("""COMPUTED_VALUE"""),"Governos Locais pela Sustentabilidade (ICLEI)")</f>
        <v/>
      </c>
      <c r="B352" s="78">
        <f>IFERROR(__xludf.DUMMYFUNCTION("""COMPUTED_VALUE"""),"Energy")</f>
        <v/>
      </c>
    </row>
    <row r="353">
      <c r="A353" s="78">
        <f>IFERROR(__xludf.DUMMYFUNCTION("""COMPUTED_VALUE"""),"Governos Locais pela Sustentabilidade (ICLEI)")</f>
        <v/>
      </c>
      <c r="B353" s="78">
        <f>IFERROR(__xludf.DUMMYFUNCTION("""COMPUTED_VALUE"""),"""Land, Food and Forest""")</f>
        <v/>
      </c>
    </row>
    <row r="354">
      <c r="A354" s="78">
        <f>IFERROR(__xludf.DUMMYFUNCTION("""COMPUTED_VALUE"""),"Programa das Nações Unidas para o Meio Ambiente (PNUMA)")</f>
        <v/>
      </c>
      <c r="B354" s="78">
        <f>IFERROR(__xludf.DUMMYFUNCTION("""COMPUTED_VALUE"""),"Buildings &amp; Transport")</f>
        <v/>
      </c>
    </row>
    <row r="355">
      <c r="A355" s="78">
        <f>IFERROR(__xludf.DUMMYFUNCTION("""COMPUTED_VALUE"""),"Programa das Nações Unidas para o Meio Ambiente (PNUMA)")</f>
        <v/>
      </c>
      <c r="B355" s="78">
        <f>IFERROR(__xludf.DUMMYFUNCTION("""COMPUTED_VALUE"""),"Energy")</f>
        <v/>
      </c>
    </row>
    <row r="356">
      <c r="A356" s="78">
        <f>IFERROR(__xludf.DUMMYFUNCTION("""COMPUTED_VALUE"""),"Programa das Nações Unidas para o Meio Ambiente (PNUMA)")</f>
        <v/>
      </c>
      <c r="B356" s="78">
        <f>IFERROR(__xludf.DUMMYFUNCTION("""COMPUTED_VALUE"""),"""Land, Food and Forest""")</f>
        <v/>
      </c>
    </row>
    <row r="357">
      <c r="A357" s="78">
        <f>IFERROR(__xludf.DUMMYFUNCTION("""COMPUTED_VALUE"""),"Associação Brasileira das Empresas de Serviços de Conservação de Energia (ABESCO)")</f>
        <v/>
      </c>
      <c r="B357" s="78">
        <f>IFERROR(__xludf.DUMMYFUNCTION("""COMPUTED_VALUE"""),"Buildings &amp; Transport")</f>
        <v/>
      </c>
    </row>
    <row r="358">
      <c r="A358" s="78">
        <f>IFERROR(__xludf.DUMMYFUNCTION("""COMPUTED_VALUE"""),"Associação Brasileira das Empresas de Serviços de Conservação de Energia (ABESCO)")</f>
        <v/>
      </c>
      <c r="B358" s="78">
        <f>IFERROR(__xludf.DUMMYFUNCTION("""COMPUTED_VALUE"""),"Energy")</f>
        <v/>
      </c>
    </row>
    <row r="359">
      <c r="A359" s="78">
        <f>IFERROR(__xludf.DUMMYFUNCTION("""COMPUTED_VALUE"""),"Associação Nacional das Empresas de Transportes Urbanos (NTU)")</f>
        <v/>
      </c>
      <c r="B359" s="78">
        <f>IFERROR(__xludf.DUMMYFUNCTION("""COMPUTED_VALUE"""),"Buildings &amp; Transport")</f>
        <v/>
      </c>
    </row>
    <row r="360">
      <c r="A360" s="78">
        <f>IFERROR(__xludf.DUMMYFUNCTION("""COMPUTED_VALUE"""),"Instituto Nacional de Pesquisas Espaciais (INPE)")</f>
        <v/>
      </c>
      <c r="B360" s="78">
        <f>IFERROR(__xludf.DUMMYFUNCTION("""COMPUTED_VALUE"""),"""Land, Food and Forest""")</f>
        <v/>
      </c>
    </row>
    <row r="361">
      <c r="A361" s="78">
        <f>IFERROR(__xludf.DUMMYFUNCTION("""COMPUTED_VALUE"""),"Coalizão Brasil Clima, Florestas e Agricultura")</f>
        <v/>
      </c>
      <c r="B361" s="78">
        <f>IFERROR(__xludf.DUMMYFUNCTION("""COMPUTED_VALUE"""),"""Land, Food and Forest""")</f>
        <v/>
      </c>
    </row>
    <row r="362">
      <c r="A362" s="78">
        <f>IFERROR(__xludf.DUMMYFUNCTION("""COMPUTED_VALUE"""),"Sustainable Energy for All (SEforALL)")</f>
        <v/>
      </c>
      <c r="B362" s="78">
        <f>IFERROR(__xludf.DUMMYFUNCTION("""COMPUTED_VALUE"""),"Energy")</f>
        <v/>
      </c>
    </row>
    <row r="363">
      <c r="A363" s="78">
        <f>IFERROR(__xludf.DUMMYFUNCTION("""COMPUTED_VALUE"""),"Global Covenant of Mayors for Climate &amp; Energy")</f>
        <v/>
      </c>
      <c r="B363" s="78">
        <f>IFERROR(__xludf.DUMMYFUNCTION("""COMPUTED_VALUE"""),"Buildings &amp; Transport")</f>
        <v/>
      </c>
    </row>
    <row r="364">
      <c r="A364" s="78">
        <f>IFERROR(__xludf.DUMMYFUNCTION("""COMPUTED_VALUE"""),"Global Covenant of Mayors for Climate &amp; Energy")</f>
        <v/>
      </c>
      <c r="B364" s="78">
        <f>IFERROR(__xludf.DUMMYFUNCTION("""COMPUTED_VALUE"""),"Energy")</f>
        <v/>
      </c>
    </row>
    <row r="365">
      <c r="A365" s="78">
        <f>IFERROR(__xludf.DUMMYFUNCTION("""COMPUTED_VALUE"""),"Organização para a Cooperação e Desenvolvimento Econômico (OECD)")</f>
        <v/>
      </c>
      <c r="B365" s="78">
        <f>IFERROR(__xludf.DUMMYFUNCTION("""COMPUTED_VALUE"""),"Buildings &amp; Transport")</f>
        <v/>
      </c>
    </row>
    <row r="366">
      <c r="A366" s="78">
        <f>IFERROR(__xludf.DUMMYFUNCTION("""COMPUTED_VALUE"""),"Organização para a Cooperação e Desenvolvimento Econômico (OECD)")</f>
        <v/>
      </c>
      <c r="B366" s="78">
        <f>IFERROR(__xludf.DUMMYFUNCTION("""COMPUTED_VALUE"""),"Energy")</f>
        <v/>
      </c>
    </row>
    <row r="367">
      <c r="A367" s="78">
        <f>IFERROR(__xludf.DUMMYFUNCTION("""COMPUTED_VALUE"""),"Organização para a Cooperação e Desenvolvimento Econômico (OECD)")</f>
        <v/>
      </c>
      <c r="B367" s="78">
        <f>IFERROR(__xludf.DUMMYFUNCTION("""COMPUTED_VALUE"""),"""Land, Food and Forest""")</f>
        <v/>
      </c>
    </row>
    <row r="368">
      <c r="A368" s="78">
        <f>IFERROR(__xludf.DUMMYFUNCTION("""COMPUTED_VALUE"""),"Centro Internacional de Pesquisa Florestal e Agroflorestal (CIFOR-ICRAF)")</f>
        <v/>
      </c>
      <c r="B368" s="78">
        <f>IFERROR(__xludf.DUMMYFUNCTION("""COMPUTED_VALUE"""),"""Land, Food and Forest""")</f>
        <v/>
      </c>
    </row>
    <row r="369">
      <c r="A369" s="78">
        <f>IFERROR(__xludf.DUMMYFUNCTION("""COMPUTED_VALUE"""),"Organização das Cooperativas Brasileiras (OCB)")</f>
        <v/>
      </c>
      <c r="B369" s="78">
        <f>IFERROR(__xludf.DUMMYFUNCTION("""COMPUTED_VALUE"""),"Buildings &amp; Transport")</f>
        <v/>
      </c>
    </row>
    <row r="370">
      <c r="A370" s="78">
        <f>IFERROR(__xludf.DUMMYFUNCTION("""COMPUTED_VALUE"""),"Organização das Cooperativas Brasileiras (OCB)")</f>
        <v/>
      </c>
      <c r="B370" s="78">
        <f>IFERROR(__xludf.DUMMYFUNCTION("""COMPUTED_VALUE"""),"Energy")</f>
        <v/>
      </c>
    </row>
    <row r="371">
      <c r="A371" s="78">
        <f>IFERROR(__xludf.DUMMYFUNCTION("""COMPUTED_VALUE"""),"Organização das Cooperativas Brasileiras (OCB)")</f>
        <v/>
      </c>
      <c r="B371" s="78">
        <f>IFERROR(__xludf.DUMMYFUNCTION("""COMPUTED_VALUE"""),"""Land, Food and Forest""")</f>
        <v/>
      </c>
    </row>
    <row r="372">
      <c r="A372" s="78">
        <f>IFERROR(__xludf.DUMMYFUNCTION("""COMPUTED_VALUE"""),"Fundo Internacional de Desenvolvimento Agrícola (IFAD)")</f>
        <v/>
      </c>
      <c r="B372" s="78">
        <f>IFERROR(__xludf.DUMMYFUNCTION("""COMPUTED_VALUE"""),"""Land, Food and Forest""")</f>
        <v/>
      </c>
    </row>
    <row r="373">
      <c r="A373" s="78">
        <f>IFERROR(__xludf.DUMMYFUNCTION("""COMPUTED_VALUE"""),"Wellcome Trust")</f>
        <v/>
      </c>
      <c r="B373" s="78">
        <f>IFERROR(__xludf.DUMMYFUNCTION("""COMPUTED_VALUE"""),"Emergency response")</f>
        <v/>
      </c>
    </row>
    <row r="374">
      <c r="A374" s="78">
        <f>IFERROR(__xludf.DUMMYFUNCTION("""COMPUTED_VALUE"""),"Associação Caatinga")</f>
        <v/>
      </c>
      <c r="B374" s="78">
        <f>IFERROR(__xludf.DUMMYFUNCTION("""COMPUTED_VALUE"""),"""Land, Food and Forest""")</f>
        <v/>
      </c>
    </row>
    <row r="375">
      <c r="A375" s="78">
        <f>IFERROR(__xludf.DUMMYFUNCTION("""COMPUTED_VALUE"""),"Fundo Constitucional de Financiamento do Nordeste (FNE)")</f>
        <v/>
      </c>
      <c r="B375" s="78">
        <f>IFERROR(__xludf.DUMMYFUNCTION("""COMPUTED_VALUE"""),"Buildings &amp; Transport")</f>
        <v/>
      </c>
    </row>
    <row r="376">
      <c r="A376" s="78">
        <f>IFERROR(__xludf.DUMMYFUNCTION("""COMPUTED_VALUE"""),"Fundo Constitucional de Financiamento do Nordeste (FNE)")</f>
        <v/>
      </c>
      <c r="B376" s="78">
        <f>IFERROR(__xludf.DUMMYFUNCTION("""COMPUTED_VALUE"""),"Energy")</f>
        <v/>
      </c>
    </row>
    <row r="377">
      <c r="A377" s="78">
        <f>IFERROR(__xludf.DUMMYFUNCTION("""COMPUTED_VALUE"""),"Fundo Constitucional de Financiamento do Nordeste (FNE)")</f>
        <v/>
      </c>
      <c r="B377" s="78">
        <f>IFERROR(__xludf.DUMMYFUNCTION("""COMPUTED_VALUE"""),"""Land, Food and Forest""")</f>
        <v/>
      </c>
    </row>
    <row r="378">
      <c r="A378" s="78">
        <f>IFERROR(__xludf.DUMMYFUNCTION("""COMPUTED_VALUE"""),"Articulação Semiárido Brasileiro (ASA Brasil)")</f>
        <v/>
      </c>
      <c r="B378" s="78">
        <f>IFERROR(__xludf.DUMMYFUNCTION("""COMPUTED_VALUE"""),"""Land, Food and Forest""")</f>
        <v/>
      </c>
    </row>
    <row r="379">
      <c r="A379" s="78">
        <f>IFERROR(__xludf.DUMMYFUNCTION("""COMPUTED_VALUE"""),"Fundação Araripe")</f>
        <v/>
      </c>
      <c r="B379" s="78">
        <f>IFERROR(__xludf.DUMMYFUNCTION("""COMPUTED_VALUE"""),"""Land, Food and Forest""")</f>
        <v/>
      </c>
    </row>
    <row r="380">
      <c r="A380" s="78">
        <f>IFERROR(__xludf.DUMMYFUNCTION("""COMPUTED_VALUE"""),"Centro de Manejo de Fauna da Caatinga (CEMAFauna)")</f>
        <v/>
      </c>
      <c r="B380" s="78">
        <f>IFERROR(__xludf.DUMMYFUNCTION("""COMPUTED_VALUE"""),"""Land, Food and Forest""")</f>
        <v/>
      </c>
    </row>
    <row r="381">
      <c r="A381" s="78">
        <f>IFERROR(__xludf.DUMMYFUNCTION("""COMPUTED_VALUE"""),"Instituto Regional da Pequena Agropecuária Apropriada (IRPAA)")</f>
        <v/>
      </c>
      <c r="B381" s="78">
        <f>IFERROR(__xludf.DUMMYFUNCTION("""COMPUTED_VALUE"""),"""Land, Food and Forest""")</f>
        <v/>
      </c>
    </row>
    <row r="382">
      <c r="A382" s="78">
        <f>IFERROR(__xludf.DUMMYFUNCTION("""COMPUTED_VALUE"""),"Global Energy Alliance for People and Planet (GEAPP)")</f>
        <v/>
      </c>
      <c r="B382" s="78">
        <f>IFERROR(__xludf.DUMMYFUNCTION("""COMPUTED_VALUE"""),"Energy")</f>
        <v/>
      </c>
    </row>
    <row r="383">
      <c r="A383" s="78">
        <f>IFERROR(__xludf.DUMMYFUNCTION("""COMPUTED_VALUE"""),"Banco Nacional de Desenvolvimento Econômico e Social (BNDES)")</f>
        <v/>
      </c>
      <c r="B383" s="78">
        <f>IFERROR(__xludf.DUMMYFUNCTION("""COMPUTED_VALUE"""),"Buildings &amp; Transport")</f>
        <v/>
      </c>
    </row>
    <row r="384">
      <c r="A384" s="78">
        <f>IFERROR(__xludf.DUMMYFUNCTION("""COMPUTED_VALUE"""),"Banco Nacional de Desenvolvimento Econômico e Social (BNDES)")</f>
        <v/>
      </c>
      <c r="B384" s="78">
        <f>IFERROR(__xludf.DUMMYFUNCTION("""COMPUTED_VALUE"""),"Emergency response")</f>
        <v/>
      </c>
    </row>
    <row r="385">
      <c r="A385" s="78">
        <f>IFERROR(__xludf.DUMMYFUNCTION("""COMPUTED_VALUE"""),"Banco Nacional de Desenvolvimento Econômico e Social (BNDES)")</f>
        <v/>
      </c>
      <c r="B385" s="78">
        <f>IFERROR(__xludf.DUMMYFUNCTION("""COMPUTED_VALUE"""),"Energy")</f>
        <v/>
      </c>
    </row>
    <row r="386">
      <c r="A386" s="78">
        <f>IFERROR(__xludf.DUMMYFUNCTION("""COMPUTED_VALUE"""),"Banco Nacional de Desenvolvimento Econômico e Social (BNDES)")</f>
        <v/>
      </c>
      <c r="B386" s="78">
        <f>IFERROR(__xludf.DUMMYFUNCTION("""COMPUTED_VALUE"""),"""Land, Food and Forest""")</f>
        <v/>
      </c>
    </row>
    <row r="387">
      <c r="A387" s="78">
        <f>IFERROR(__xludf.DUMMYFUNCTION("""COMPUTED_VALUE"""),"Banco do Nordeste (BNB)")</f>
        <v/>
      </c>
      <c r="B387" s="78">
        <f>IFERROR(__xludf.DUMMYFUNCTION("""COMPUTED_VALUE"""),"Buildings &amp; Transport")</f>
        <v/>
      </c>
    </row>
    <row r="388">
      <c r="A388" s="78">
        <f>IFERROR(__xludf.DUMMYFUNCTION("""COMPUTED_VALUE"""),"Banco do Nordeste (BNB)")</f>
        <v/>
      </c>
      <c r="B388" s="78">
        <f>IFERROR(__xludf.DUMMYFUNCTION("""COMPUTED_VALUE"""),"Energy")</f>
        <v/>
      </c>
    </row>
    <row r="389">
      <c r="A389" s="78">
        <f>IFERROR(__xludf.DUMMYFUNCTION("""COMPUTED_VALUE"""),"Banco do Nordeste (BNB)")</f>
        <v/>
      </c>
      <c r="B389" s="78">
        <f>IFERROR(__xludf.DUMMYFUNCTION("""COMPUTED_VALUE"""),"""Land, Food and Forest""")</f>
        <v/>
      </c>
    </row>
    <row r="390">
      <c r="A390" s="78">
        <f>IFERROR(__xludf.DUMMYFUNCTION("""COMPUTED_VALUE"""),"Banco do Brasil (BB)")</f>
        <v/>
      </c>
      <c r="B390" s="78">
        <f>IFERROR(__xludf.DUMMYFUNCTION("""COMPUTED_VALUE"""),"Buildings &amp; Transport")</f>
        <v/>
      </c>
    </row>
    <row r="391">
      <c r="A391" s="78">
        <f>IFERROR(__xludf.DUMMYFUNCTION("""COMPUTED_VALUE"""),"Banco do Brasil (BB)")</f>
        <v/>
      </c>
      <c r="B391" s="78">
        <f>IFERROR(__xludf.DUMMYFUNCTION("""COMPUTED_VALUE"""),"Energy")</f>
        <v/>
      </c>
    </row>
    <row r="392">
      <c r="A392" s="78">
        <f>IFERROR(__xludf.DUMMYFUNCTION("""COMPUTED_VALUE"""),"Banco do Brasil (BB)")</f>
        <v/>
      </c>
      <c r="B392" s="78">
        <f>IFERROR(__xludf.DUMMYFUNCTION("""COMPUTED_VALUE"""),"""Land, Food and Forest""")</f>
        <v/>
      </c>
    </row>
    <row r="393">
      <c r="A393" s="78">
        <f>IFERROR(__xludf.DUMMYFUNCTION("""COMPUTED_VALUE"""),"Câmara de Comercialização de Energia Elétrica (CCEE)")</f>
        <v/>
      </c>
      <c r="B393" s="78">
        <f>IFERROR(__xludf.DUMMYFUNCTION("""COMPUTED_VALUE"""),"Energy")</f>
        <v/>
      </c>
    </row>
    <row r="394">
      <c r="A394" s="78">
        <f>IFERROR(__xludf.DUMMYFUNCTION("""COMPUTED_VALUE"""),"Agência Nacional do Petróleo, Gás Natural e Biocombustíveis (ANP)")</f>
        <v/>
      </c>
      <c r="B394" s="78">
        <f>IFERROR(__xludf.DUMMYFUNCTION("""COMPUTED_VALUE"""),"Buildings &amp; Transport")</f>
        <v/>
      </c>
    </row>
    <row r="395">
      <c r="A395" s="78">
        <f>IFERROR(__xludf.DUMMYFUNCTION("""COMPUTED_VALUE"""),"Agência Nacional do Petróleo, Gás Natural e Biocombustíveis (ANP)")</f>
        <v/>
      </c>
      <c r="B395" s="78">
        <f>IFERROR(__xludf.DUMMYFUNCTION("""COMPUTED_VALUE"""),"Energy")</f>
        <v/>
      </c>
    </row>
    <row r="396">
      <c r="A396" s="78">
        <f>IFERROR(__xludf.DUMMYFUNCTION("""COMPUTED_VALUE"""),"Agência Nacional de Águas e Saneamento Básico (ANA)")</f>
        <v/>
      </c>
      <c r="B396" s="78">
        <f>IFERROR(__xludf.DUMMYFUNCTION("""COMPUTED_VALUE"""),"Buildings &amp; Transport")</f>
        <v/>
      </c>
    </row>
    <row r="397">
      <c r="A397" s="78">
        <f>IFERROR(__xludf.DUMMYFUNCTION("""COMPUTED_VALUE"""),"Agência Nacional de Águas e Saneamento Básico (ANA)")</f>
        <v/>
      </c>
      <c r="B397" s="78">
        <f>IFERROR(__xludf.DUMMYFUNCTION("""COMPUTED_VALUE"""),"Energy")</f>
        <v/>
      </c>
    </row>
    <row r="398">
      <c r="A398" s="78">
        <f>IFERROR(__xludf.DUMMYFUNCTION("""COMPUTED_VALUE"""),"Agência Nacional de Águas e Saneamento Básico (ANA)")</f>
        <v/>
      </c>
      <c r="B398" s="78">
        <f>IFERROR(__xludf.DUMMYFUNCTION("""COMPUTED_VALUE"""),"""Land, Food and Forest""")</f>
        <v/>
      </c>
    </row>
    <row r="399">
      <c r="A399" s="78">
        <f>IFERROR(__xludf.DUMMYFUNCTION("""COMPUTED_VALUE"""),"MapBiomas (MapBiomas)")</f>
        <v/>
      </c>
      <c r="B399" s="78">
        <f>IFERROR(__xludf.DUMMYFUNCTION("""COMPUTED_VALUE"""),"""Land, Food and Forest""")</f>
        <v/>
      </c>
    </row>
    <row r="400">
      <c r="A400" s="78">
        <f>IFERROR(__xludf.DUMMYFUNCTION("""COMPUTED_VALUE"""),"Instituto Nacional do Semiárido (INSA)")</f>
        <v/>
      </c>
      <c r="B400" s="78">
        <f>IFERROR(__xludf.DUMMYFUNCTION("""COMPUTED_VALUE"""),"""Land, Food and Forest""")</f>
        <v/>
      </c>
    </row>
    <row r="401">
      <c r="A401" s="78">
        <f>IFERROR(__xludf.DUMMYFUNCTION("""COMPUTED_VALUE"""),"Instituto de Desenvolvimento Sustentável Mamirauá (IDSM)")</f>
        <v/>
      </c>
      <c r="B401" s="78">
        <f>IFERROR(__xludf.DUMMYFUNCTION("""COMPUTED_VALUE"""),"""Land, Food and Forest""")</f>
        <v/>
      </c>
    </row>
    <row r="402">
      <c r="A402" s="78">
        <f>IFERROR(__xludf.DUMMYFUNCTION("""COMPUTED_VALUE"""),"Instituto Centro de Vida (ICV)")</f>
        <v/>
      </c>
      <c r="B402" s="78">
        <f>IFERROR(__xludf.DUMMYFUNCTION("""COMPUTED_VALUE"""),"""Land, Food and Forest""")</f>
        <v/>
      </c>
    </row>
    <row r="403">
      <c r="A403" s="78">
        <f>IFERROR(__xludf.DUMMYFUNCTION("""COMPUTED_VALUE"""),"Instituto Internacional de Educação do Brasil (IEB)")</f>
        <v/>
      </c>
      <c r="B403" s="78">
        <f>IFERROR(__xludf.DUMMYFUNCTION("""COMPUTED_VALUE"""),"""Land, Food and Forest""")</f>
        <v/>
      </c>
    </row>
    <row r="404">
      <c r="A404" s="78">
        <f>IFERROR(__xludf.DUMMYFUNCTION("""COMPUTED_VALUE"""),"Fundação Vitória Amazônica (FVA)")</f>
        <v/>
      </c>
      <c r="B404" s="78">
        <f>IFERROR(__xludf.DUMMYFUNCTION("""COMPUTED_VALUE"""),"""Land, Food and Forest""")</f>
        <v/>
      </c>
    </row>
    <row r="405">
      <c r="A405" s="78">
        <f>IFERROR(__xludf.DUMMYFUNCTION("""COMPUTED_VALUE"""),"Instituto Ouro Verde (IOV)")</f>
        <v/>
      </c>
      <c r="B405" s="78">
        <f>IFERROR(__xludf.DUMMYFUNCTION("""COMPUTED_VALUE"""),"""Land, Food and Forest""")</f>
        <v/>
      </c>
    </row>
    <row r="406">
      <c r="A406" s="78">
        <f>IFERROR(__xludf.DUMMYFUNCTION("""COMPUTED_VALUE"""),"Instituto Sociedade, População e Natureza (ISPN)")</f>
        <v/>
      </c>
      <c r="B406" s="78">
        <f>IFERROR(__xludf.DUMMYFUNCTION("""COMPUTED_VALUE"""),"""Land, Food and Forest""")</f>
        <v/>
      </c>
    </row>
    <row r="407">
      <c r="A407" s="78">
        <f>IFERROR(__xludf.DUMMYFUNCTION("""COMPUTED_VALUE"""),"Rede Cerrado (Rede Cerrado)")</f>
        <v/>
      </c>
      <c r="B407" s="78">
        <f>IFERROR(__xludf.DUMMYFUNCTION("""COMPUTED_VALUE"""),"""Land, Food and Forest""")</f>
        <v/>
      </c>
    </row>
    <row r="408">
      <c r="A408" s="78">
        <f>IFERROR(__xludf.DUMMYFUNCTION("""COMPUTED_VALUE"""),"Associação Brasileira de Geração Distribuída (ABGD)")</f>
        <v/>
      </c>
      <c r="B408" s="78">
        <f>IFERROR(__xludf.DUMMYFUNCTION("""COMPUTED_VALUE"""),"Energy")</f>
        <v/>
      </c>
    </row>
    <row r="409">
      <c r="A409" s="78">
        <f>IFERROR(__xludf.DUMMYFUNCTION("""COMPUTED_VALUE"""),"Associação Brasileira do Veículo Elétrico (ABVE)")</f>
        <v/>
      </c>
      <c r="B409" s="78">
        <f>IFERROR(__xludf.DUMMYFUNCTION("""COMPUTED_VALUE"""),"Buildings &amp; Transport")</f>
        <v/>
      </c>
    </row>
    <row r="410">
      <c r="A410" s="78">
        <f>IFERROR(__xludf.DUMMYFUNCTION("""COMPUTED_VALUE"""),"Associação Brasileira do Veículo Elétrico (ABVE)")</f>
        <v/>
      </c>
      <c r="B410" s="78">
        <f>IFERROR(__xludf.DUMMYFUNCTION("""COMPUTED_VALUE"""),"Energy")</f>
        <v/>
      </c>
    </row>
    <row r="411">
      <c r="A411" s="78">
        <f>IFERROR(__xludf.DUMMYFUNCTION("""COMPUTED_VALUE"""),"Confederação Nacional do Transporte (CNT)")</f>
        <v/>
      </c>
      <c r="B411" s="78">
        <f>IFERROR(__xludf.DUMMYFUNCTION("""COMPUTED_VALUE"""),"Buildings &amp; Transport")</f>
        <v/>
      </c>
    </row>
    <row r="412">
      <c r="A412" s="78">
        <f>IFERROR(__xludf.DUMMYFUNCTION("""COMPUTED_VALUE"""),"Departamento Nacional de Infraestrutura de Transportes (DNIT)")</f>
        <v/>
      </c>
      <c r="B412" s="78">
        <f>IFERROR(__xludf.DUMMYFUNCTION("""COMPUTED_VALUE"""),"Buildings &amp; Transport")</f>
        <v/>
      </c>
    </row>
    <row r="413">
      <c r="A413" s="78">
        <f>IFERROR(__xludf.DUMMYFUNCTION("""COMPUTED_VALUE"""),"Agência Nacional de Aviação Civil (ANAC)")</f>
        <v/>
      </c>
      <c r="B413" s="78">
        <f>IFERROR(__xludf.DUMMYFUNCTION("""COMPUTED_VALUE"""),"Buildings &amp; Transport")</f>
        <v/>
      </c>
    </row>
    <row r="414">
      <c r="A414" s="78">
        <f>IFERROR(__xludf.DUMMYFUNCTION("""COMPUTED_VALUE"""),"Câmara Brasileira da Indústria da Construção (CBIC)")</f>
        <v/>
      </c>
      <c r="B414" s="78">
        <f>IFERROR(__xludf.DUMMYFUNCTION("""COMPUTED_VALUE"""),"Buildings &amp; Transport")</f>
        <v/>
      </c>
    </row>
    <row r="415">
      <c r="A415" s="78">
        <f>IFERROR(__xludf.DUMMYFUNCTION("""COMPUTED_VALUE"""),"Conselho de Arquitetura e Urbanismo do Brasil (CAU/BR)")</f>
        <v/>
      </c>
      <c r="B415" s="78">
        <f>IFERROR(__xludf.DUMMYFUNCTION("""COMPUTED_VALUE"""),"Buildings &amp; Transport")</f>
        <v/>
      </c>
    </row>
    <row r="416">
      <c r="A416" s="78">
        <f>IFERROR(__xludf.DUMMYFUNCTION("""COMPUTED_VALUE"""),"Conselho Federal de Engenharia e Agronomia (Confea)")</f>
        <v/>
      </c>
      <c r="B416" s="78">
        <f>IFERROR(__xludf.DUMMYFUNCTION("""COMPUTED_VALUE"""),"""Land, Food and Forest""")</f>
        <v/>
      </c>
    </row>
    <row r="417">
      <c r="A417" s="78">
        <f>IFERROR(__xludf.DUMMYFUNCTION("""COMPUTED_VALUE"""),"Serviço Brasileiro de Apoio às Micro e Pequenas Empresas (SEBRAE)")</f>
        <v/>
      </c>
      <c r="B417" s="78">
        <f>IFERROR(__xludf.DUMMYFUNCTION("""COMPUTED_VALUE"""),"Buildings &amp; Transport")</f>
        <v/>
      </c>
    </row>
    <row r="418">
      <c r="A418" s="78">
        <f>IFERROR(__xludf.DUMMYFUNCTION("""COMPUTED_VALUE"""),"Serviço Brasileiro de Apoio às Micro e Pequenas Empresas (SEBRAE)")</f>
        <v/>
      </c>
      <c r="B418" s="78">
        <f>IFERROR(__xludf.DUMMYFUNCTION("""COMPUTED_VALUE"""),"Energy")</f>
        <v/>
      </c>
    </row>
    <row r="419">
      <c r="A419" s="78">
        <f>IFERROR(__xludf.DUMMYFUNCTION("""COMPUTED_VALUE"""),"Serviço Brasileiro de Apoio às Micro e Pequenas Empresas (SEBRAE)")</f>
        <v/>
      </c>
      <c r="B419" s="78">
        <f>IFERROR(__xludf.DUMMYFUNCTION("""COMPUTED_VALUE"""),"""Land, Food and Forest""")</f>
        <v/>
      </c>
    </row>
    <row r="420">
      <c r="A420" s="78">
        <f>IFERROR(__xludf.DUMMYFUNCTION("""COMPUTED_VALUE"""),"União Nacional de Cooperativas da Agricultura Familiar e Economia Solidária (Unicafes)")</f>
        <v/>
      </c>
      <c r="B420" s="78">
        <f>IFERROR(__xludf.DUMMYFUNCTION("""COMPUTED_VALUE"""),"""Land, Food and Forest""")</f>
        <v/>
      </c>
    </row>
    <row r="421">
      <c r="A421" s="78">
        <f>IFERROR(__xludf.DUMMYFUNCTION("""COMPUTED_VALUE"""),"Infocos Agri-Agency")</f>
        <v/>
      </c>
      <c r="B421" s="78">
        <f>IFERROR(__xludf.DUMMYFUNCTION("""COMPUTED_VALUE"""),"""Land, Food and Forest""")</f>
        <v/>
      </c>
    </row>
    <row r="422">
      <c r="A422" s="78">
        <f>IFERROR(__xludf.DUMMYFUNCTION("""COMPUTED_VALUE"""),"Instituto Democracia e Sustentabilidade (IDS)")</f>
        <v/>
      </c>
      <c r="B422" s="78">
        <f>IFERROR(__xludf.DUMMYFUNCTION("""COMPUTED_VALUE"""),"Energy")</f>
        <v/>
      </c>
    </row>
    <row r="423">
      <c r="A423" s="78">
        <f>IFERROR(__xludf.DUMMYFUNCTION("""COMPUTED_VALUE"""),"Instituto Democracia e Sustentabilidade (IDS)")</f>
        <v/>
      </c>
      <c r="B423" s="78">
        <f>IFERROR(__xludf.DUMMYFUNCTION("""COMPUTED_VALUE"""),"""Land, Food and Forest""")</f>
        <v/>
      </c>
    </row>
    <row r="424">
      <c r="A424" s="78">
        <f>IFERROR(__xludf.DUMMYFUNCTION("""COMPUTED_VALUE"""),"Instituto Cidades Sustentáveis")</f>
        <v/>
      </c>
      <c r="B424" s="78">
        <f>IFERROR(__xludf.DUMMYFUNCTION("""COMPUTED_VALUE"""),"Buildings &amp; Transport")</f>
        <v/>
      </c>
    </row>
    <row r="425">
      <c r="A425" s="78">
        <f>IFERROR(__xludf.DUMMYFUNCTION("""COMPUTED_VALUE"""),"Rede Nossa São Paulo")</f>
        <v/>
      </c>
      <c r="B425" s="78">
        <f>IFERROR(__xludf.DUMMYFUNCTION("""COMPUTED_VALUE"""),"Buildings &amp; Transport")</f>
        <v/>
      </c>
    </row>
    <row r="426">
      <c r="A426" s="78">
        <f>IFERROR(__xludf.DUMMYFUNCTION("""COMPUTED_VALUE"""),"Instituto Pólis")</f>
        <v/>
      </c>
      <c r="B426" s="78">
        <f>IFERROR(__xludf.DUMMYFUNCTION("""COMPUTED_VALUE"""),"Buildings &amp; Transport")</f>
        <v/>
      </c>
    </row>
    <row r="427">
      <c r="A427" s="78">
        <f>IFERROR(__xludf.DUMMYFUNCTION("""COMPUTED_VALUE"""),"Instituto Escolhas")</f>
        <v/>
      </c>
      <c r="B427" s="78">
        <f>IFERROR(__xludf.DUMMYFUNCTION("""COMPUTED_VALUE"""),"Energy")</f>
        <v/>
      </c>
    </row>
    <row r="428">
      <c r="A428" s="78">
        <f>IFERROR(__xludf.DUMMYFUNCTION("""COMPUTED_VALUE"""),"Instituto Escolhas")</f>
        <v/>
      </c>
      <c r="B428" s="78">
        <f>IFERROR(__xludf.DUMMYFUNCTION("""COMPUTED_VALUE"""),"""Land, Food and Forest""")</f>
        <v/>
      </c>
    </row>
    <row r="429">
      <c r="A429" s="78">
        <f>IFERROR(__xludf.DUMMYFUNCTION("""COMPUTED_VALUE"""),"Instituto de Estudos Socioeconômicos (INESC)")</f>
        <v/>
      </c>
      <c r="B429" s="78">
        <f>IFERROR(__xludf.DUMMYFUNCTION("""COMPUTED_VALUE"""),"Energy")</f>
        <v/>
      </c>
    </row>
    <row r="430">
      <c r="A430" s="78">
        <f>IFERROR(__xludf.DUMMYFUNCTION("""COMPUTED_VALUE"""),"Instituto de Estudos Socioeconômicos (INESC)")</f>
        <v/>
      </c>
      <c r="B430" s="78">
        <f>IFERROR(__xludf.DUMMYFUNCTION("""COMPUTED_VALUE"""),"""Land, Food and Forest""")</f>
        <v/>
      </c>
    </row>
    <row r="431">
      <c r="A431" s="78">
        <f>IFERROR(__xludf.DUMMYFUNCTION("""COMPUTED_VALUE"""),"Greenpeace Brasil")</f>
        <v/>
      </c>
      <c r="B431" s="78">
        <f>IFERROR(__xludf.DUMMYFUNCTION("""COMPUTED_VALUE"""),"Energy")</f>
        <v/>
      </c>
    </row>
    <row r="432">
      <c r="A432" s="78">
        <f>IFERROR(__xludf.DUMMYFUNCTION("""COMPUTED_VALUE"""),"Greenpeace Brasil")</f>
        <v/>
      </c>
      <c r="B432" s="78">
        <f>IFERROR(__xludf.DUMMYFUNCTION("""COMPUTED_VALUE"""),"""Land, Food and Forest""")</f>
        <v/>
      </c>
    </row>
    <row r="433">
      <c r="A433" s="78">
        <f>IFERROR(__xludf.DUMMYFUNCTION("""COMPUTED_VALUE"""),"Instituto Internacional Arayara (Arayara)")</f>
        <v/>
      </c>
      <c r="B433" s="78">
        <f>IFERROR(__xludf.DUMMYFUNCTION("""COMPUTED_VALUE"""),"Energy")</f>
        <v/>
      </c>
    </row>
    <row r="434">
      <c r="A434" s="78">
        <f>IFERROR(__xludf.DUMMYFUNCTION("""COMPUTED_VALUE"""),"Instituto Internacional Arayara (Arayara)")</f>
        <v/>
      </c>
      <c r="B434" s="78">
        <f>IFERROR(__xludf.DUMMYFUNCTION("""COMPUTED_VALUE"""),"""Land, Food and Forest""")</f>
        <v/>
      </c>
    </row>
    <row r="435">
      <c r="A435" s="78">
        <f>IFERROR(__xludf.DUMMYFUNCTION("""COMPUTED_VALUE"""),"Rede Brasileira de Justiça Ambiental (RBJA)")</f>
        <v/>
      </c>
      <c r="B435" s="78">
        <f>IFERROR(__xludf.DUMMYFUNCTION("""COMPUTED_VALUE"""),"Energy")</f>
        <v/>
      </c>
    </row>
    <row r="436">
      <c r="A436" s="78">
        <f>IFERROR(__xludf.DUMMYFUNCTION("""COMPUTED_VALUE"""),"Rede Brasileira de Justiça Ambiental (RBJA)")</f>
        <v/>
      </c>
      <c r="B436" s="78">
        <f>IFERROR(__xludf.DUMMYFUNCTION("""COMPUTED_VALUE"""),"""Land, Food and Forest""")</f>
        <v/>
      </c>
    </row>
    <row r="437">
      <c r="A437" s="78">
        <f>IFERROR(__xludf.DUMMYFUNCTION("""COMPUTED_VALUE"""),"Fundação Pró-Natureza (Funatura)")</f>
        <v/>
      </c>
      <c r="B437" s="78">
        <f>IFERROR(__xludf.DUMMYFUNCTION("""COMPUTED_VALUE"""),"""Land, Food and Forest""")</f>
        <v/>
      </c>
    </row>
    <row r="438">
      <c r="A438" s="78">
        <f>IFERROR(__xludf.DUMMYFUNCTION("""COMPUTED_VALUE"""),"Instituto Cerrados (IC)")</f>
        <v/>
      </c>
      <c r="B438" s="78">
        <f>IFERROR(__xludf.DUMMYFUNCTION("""COMPUTED_VALUE"""),"""Land, Food and Forest""")</f>
        <v/>
      </c>
    </row>
    <row r="439">
      <c r="A439" s="78">
        <f>IFERROR(__xludf.DUMMYFUNCTION("""COMPUTED_VALUE"""),"Operação Amazônia Nativa (OPAN)")</f>
        <v/>
      </c>
      <c r="B439" s="78">
        <f>IFERROR(__xludf.DUMMYFUNCTION("""COMPUTED_VALUE"""),"""Land, Food and Forest""")</f>
        <v/>
      </c>
    </row>
    <row r="440">
      <c r="A440" s="78">
        <f>IFERROR(__xludf.DUMMYFUNCTION("""COMPUTED_VALUE"""),"Instituto Peabiru")</f>
        <v/>
      </c>
      <c r="B440" s="78">
        <f>IFERROR(__xludf.DUMMYFUNCTION("""COMPUTED_VALUE"""),"""Land, Food and Forest""")</f>
        <v/>
      </c>
    </row>
    <row r="441">
      <c r="A441" s="78">
        <f>IFERROR(__xludf.DUMMYFUNCTION("""COMPUTED_VALUE"""),"Projeto Saúde e Alegria (PSA)")</f>
        <v/>
      </c>
      <c r="B441" s="78">
        <f>IFERROR(__xludf.DUMMYFUNCTION("""COMPUTED_VALUE"""),"""Land, Food and Forest""")</f>
        <v/>
      </c>
    </row>
    <row r="442">
      <c r="A442" s="78">
        <f>IFERROR(__xludf.DUMMYFUNCTION("""COMPUTED_VALUE"""),"Articulação dos Povos Indígenas do Brasil (APIB)")</f>
        <v/>
      </c>
      <c r="B442" s="78">
        <f>IFERROR(__xludf.DUMMYFUNCTION("""COMPUTED_VALUE"""),"""Land, Food and Forest""")</f>
        <v/>
      </c>
    </row>
    <row r="443">
      <c r="A443" s="78">
        <f>IFERROR(__xludf.DUMMYFUNCTION("""COMPUTED_VALUE"""),"Coordenação das Organizações Indígenas da Amazônia Brasileira (COIAB)")</f>
        <v/>
      </c>
      <c r="B443" s="78">
        <f>IFERROR(__xludf.DUMMYFUNCTION("""COMPUTED_VALUE"""),"""Land, Food and Forest""")</f>
        <v/>
      </c>
    </row>
    <row r="444">
      <c r="A444" s="78">
        <f>IFERROR(__xludf.DUMMYFUNCTION("""COMPUTED_VALUE"""),"Conselho Indigenista Missionário (CIMI)")</f>
        <v/>
      </c>
      <c r="B444" s="78">
        <f>IFERROR(__xludf.DUMMYFUNCTION("""COMPUTED_VALUE"""),"""Land, Food and Forest""")</f>
        <v/>
      </c>
    </row>
    <row r="445">
      <c r="A445" s="78">
        <f>IFERROR(__xludf.DUMMYFUNCTION("""COMPUTED_VALUE"""),"Comissão Pastoral da Terra (CPT)")</f>
        <v/>
      </c>
      <c r="B445" s="78">
        <f>IFERROR(__xludf.DUMMYFUNCTION("""COMPUTED_VALUE"""),"Emergency response")</f>
        <v/>
      </c>
    </row>
    <row r="446">
      <c r="A446" s="78">
        <f>IFERROR(__xludf.DUMMYFUNCTION("""COMPUTED_VALUE"""),"Comissão Pastoral da Terra (CPT)")</f>
        <v/>
      </c>
      <c r="B446" s="78">
        <f>IFERROR(__xludf.DUMMYFUNCTION("""COMPUTED_VALUE"""),"Energy")</f>
        <v/>
      </c>
    </row>
    <row r="447">
      <c r="A447" s="78">
        <f>IFERROR(__xludf.DUMMYFUNCTION("""COMPUTED_VALUE"""),"Comissão Pastoral da Terra (CPT)")</f>
        <v/>
      </c>
      <c r="B447" s="78">
        <f>IFERROR(__xludf.DUMMYFUNCTION("""COMPUTED_VALUE"""),"""Land, Food and Forest""")</f>
        <v/>
      </c>
    </row>
    <row r="448">
      <c r="A448" s="78">
        <f>IFERROR(__xludf.DUMMYFUNCTION("""COMPUTED_VALUE"""),"Conselho Nacional das Populações Extrativistas (CNS)")</f>
        <v/>
      </c>
      <c r="B448" s="78">
        <f>IFERROR(__xludf.DUMMYFUNCTION("""COMPUTED_VALUE"""),"""Land, Food and Forest""")</f>
        <v/>
      </c>
    </row>
    <row r="449">
      <c r="A449" s="78">
        <f>IFERROR(__xludf.DUMMYFUNCTION("""COMPUTED_VALUE"""),"Articulação Nacional de Agroecologia (ANA)")</f>
        <v/>
      </c>
      <c r="B449" s="78">
        <f>IFERROR(__xludf.DUMMYFUNCTION("""COMPUTED_VALUE"""),"""Land, Food and Forest""")</f>
        <v/>
      </c>
    </row>
    <row r="450">
      <c r="A450" s="78">
        <f>IFERROR(__xludf.DUMMYFUNCTION("""COMPUTED_VALUE"""),"Diaconia")</f>
        <v/>
      </c>
      <c r="B450" s="78">
        <f>IFERROR(__xludf.DUMMYFUNCTION("""COMPUTED_VALUE"""),"Emergency response")</f>
        <v/>
      </c>
    </row>
    <row r="451">
      <c r="A451" s="78">
        <f>IFERROR(__xludf.DUMMYFUNCTION("""COMPUTED_VALUE"""),"Diaconia")</f>
        <v/>
      </c>
      <c r="B451" s="78">
        <f>IFERROR(__xludf.DUMMYFUNCTION("""COMPUTED_VALUE"""),"""Land, Food and Forest""")</f>
        <v/>
      </c>
    </row>
    <row r="452">
      <c r="A452" s="78">
        <f>IFERROR(__xludf.DUMMYFUNCTION("""COMPUTED_VALUE"""),"Cáritas Brasileira")</f>
        <v/>
      </c>
      <c r="B452" s="78">
        <f>IFERROR(__xludf.DUMMYFUNCTION("""COMPUTED_VALUE"""),"Emergency response")</f>
        <v/>
      </c>
    </row>
    <row r="453">
      <c r="A453" s="78">
        <f>IFERROR(__xludf.DUMMYFUNCTION("""COMPUTED_VALUE"""),"Cáritas Brasileira")</f>
        <v/>
      </c>
      <c r="B453" s="78">
        <f>IFERROR(__xludf.DUMMYFUNCTION("""COMPUTED_VALUE"""),"""Land, Food and Forest""")</f>
        <v/>
      </c>
    </row>
    <row r="454">
      <c r="A454" s="78">
        <f>IFERROR(__xludf.DUMMYFUNCTION("""COMPUTED_VALUE"""),"Federação de Órgãos para Assistência Social e Educacional (FASE)")</f>
        <v/>
      </c>
      <c r="B454" s="78">
        <f>IFERROR(__xludf.DUMMYFUNCTION("""COMPUTED_VALUE"""),"""Land, Food and Forest""")</f>
        <v/>
      </c>
    </row>
    <row r="455">
      <c r="A455" s="78">
        <f>IFERROR(__xludf.DUMMYFUNCTION("""COMPUTED_VALUE"""),"Centro de Estudos do Trabalho e de Assessoria ao Trabalhador e à Trabalhadora (CETRA)")</f>
        <v/>
      </c>
      <c r="B455" s="78">
        <f>IFERROR(__xludf.DUMMYFUNCTION("""COMPUTED_VALUE"""),"""Land, Food and Forest""")</f>
        <v/>
      </c>
    </row>
    <row r="456">
      <c r="A456" s="78">
        <f>IFERROR(__xludf.DUMMYFUNCTION("""COMPUTED_VALUE"""),"Centro de Desenvolvimento Agroecológico Sabiá (Centro Sabiá)")</f>
        <v/>
      </c>
      <c r="B456" s="78">
        <f>IFERROR(__xludf.DUMMYFUNCTION("""COMPUTED_VALUE"""),"""Land, Food and Forest""")</f>
        <v/>
      </c>
    </row>
    <row r="457">
      <c r="A457" s="78">
        <f>IFERROR(__xludf.DUMMYFUNCTION("""COMPUTED_VALUE"""),"Programa de Aplicação de Tecnologias Apropriadas às Comunidades (PATAC)")</f>
        <v/>
      </c>
      <c r="B457" s="78">
        <f>IFERROR(__xludf.DUMMYFUNCTION("""COMPUTED_VALUE"""),"""Land, Food and Forest""")</f>
        <v/>
      </c>
    </row>
    <row r="458">
      <c r="A458" s="78">
        <f>IFERROR(__xludf.DUMMYFUNCTION("""COMPUTED_VALUE"""),"Instituto de Arquitetos do Brasil (IAB)")</f>
        <v/>
      </c>
      <c r="B458" s="78">
        <f>IFERROR(__xludf.DUMMYFUNCTION("""COMPUTED_VALUE"""),"Buildings &amp; Transport")</f>
        <v/>
      </c>
    </row>
    <row r="459">
      <c r="A459" s="78">
        <f>IFERROR(__xludf.DUMMYFUNCTION("""COMPUTED_VALUE"""),"Deutsche Gesellschaft für Internationale Zusammenarbeit (GIZ)")</f>
        <v/>
      </c>
      <c r="B459" s="78">
        <f>IFERROR(__xludf.DUMMYFUNCTION("""COMPUTED_VALUE"""),"Buildings &amp; Transport")</f>
        <v/>
      </c>
    </row>
    <row r="460">
      <c r="A460" s="78">
        <f>IFERROR(__xludf.DUMMYFUNCTION("""COMPUTED_VALUE"""),"Deutsche Gesellschaft für Internationale Zusammenarbeit (GIZ)")</f>
        <v/>
      </c>
      <c r="B460" s="78">
        <f>IFERROR(__xludf.DUMMYFUNCTION("""COMPUTED_VALUE"""),"Energy")</f>
        <v/>
      </c>
    </row>
    <row r="461">
      <c r="A461" s="78">
        <f>IFERROR(__xludf.DUMMYFUNCTION("""COMPUTED_VALUE"""),"Deutsche Gesellschaft für Internationale Zusammenarbeit (GIZ)")</f>
        <v/>
      </c>
      <c r="B461" s="78">
        <f>IFERROR(__xludf.DUMMYFUNCTION("""COMPUTED_VALUE"""),"""Land, Food and Forest""")</f>
        <v/>
      </c>
    </row>
    <row r="462">
      <c r="A462" s="78">
        <f>IFERROR(__xludf.DUMMYFUNCTION("""COMPUTED_VALUE"""),"Kreditanstalt für Wiederaufbau (KfW)")</f>
        <v/>
      </c>
      <c r="B462" s="78">
        <f>IFERROR(__xludf.DUMMYFUNCTION("""COMPUTED_VALUE"""),"Buildings &amp; Transport")</f>
        <v/>
      </c>
    </row>
    <row r="463">
      <c r="A463" s="78">
        <f>IFERROR(__xludf.DUMMYFUNCTION("""COMPUTED_VALUE"""),"Kreditanstalt für Wiederaufbau (KfW)")</f>
        <v/>
      </c>
      <c r="B463" s="78">
        <f>IFERROR(__xludf.DUMMYFUNCTION("""COMPUTED_VALUE"""),"Energy")</f>
        <v/>
      </c>
    </row>
    <row r="464">
      <c r="A464" s="78">
        <f>IFERROR(__xludf.DUMMYFUNCTION("""COMPUTED_VALUE"""),"Kreditanstalt für Wiederaufbau (KfW)")</f>
        <v/>
      </c>
      <c r="B464" s="78">
        <f>IFERROR(__xludf.DUMMYFUNCTION("""COMPUTED_VALUE"""),"""Land, Food and Forest""")</f>
        <v/>
      </c>
    </row>
    <row r="465">
      <c r="A465" s="78">
        <f>IFERROR(__xludf.DUMMYFUNCTION("""COMPUTED_VALUE"""),"Deutsche Investitions- und Entwicklungsgesellschaft (DEG)")</f>
        <v/>
      </c>
      <c r="B465" s="78">
        <f>IFERROR(__xludf.DUMMYFUNCTION("""COMPUTED_VALUE"""),"Buildings &amp; Transport")</f>
        <v/>
      </c>
    </row>
    <row r="466">
      <c r="A466" s="78">
        <f>IFERROR(__xludf.DUMMYFUNCTION("""COMPUTED_VALUE"""),"Deutsche Investitions- und Entwicklungsgesellschaft (DEG)")</f>
        <v/>
      </c>
      <c r="B466" s="78">
        <f>IFERROR(__xludf.DUMMYFUNCTION("""COMPUTED_VALUE"""),"Energy")</f>
        <v/>
      </c>
    </row>
    <row r="467">
      <c r="A467" s="78">
        <f>IFERROR(__xludf.DUMMYFUNCTION("""COMPUTED_VALUE"""),"Deutsche Investitions- und Entwicklungsgesellschaft (DEG)")</f>
        <v/>
      </c>
      <c r="B467" s="78">
        <f>IFERROR(__xludf.DUMMYFUNCTION("""COMPUTED_VALUE"""),"""Land, Food and Forest""")</f>
        <v/>
      </c>
    </row>
    <row r="468">
      <c r="A468" s="78">
        <f>IFERROR(__xludf.DUMMYFUNCTION("""COMPUTED_VALUE"""),"Agência Francesa de Desenvolvimento (AFD)")</f>
        <v/>
      </c>
      <c r="B468" s="78">
        <f>IFERROR(__xludf.DUMMYFUNCTION("""COMPUTED_VALUE"""),"Buildings &amp; Transport")</f>
        <v/>
      </c>
    </row>
    <row r="469">
      <c r="A469" s="78">
        <f>IFERROR(__xludf.DUMMYFUNCTION("""COMPUTED_VALUE"""),"Agência Francesa de Desenvolvimento (AFD)")</f>
        <v/>
      </c>
      <c r="B469" s="78">
        <f>IFERROR(__xludf.DUMMYFUNCTION("""COMPUTED_VALUE"""),"Energy")</f>
        <v/>
      </c>
    </row>
    <row r="470">
      <c r="A470" s="78">
        <f>IFERROR(__xludf.DUMMYFUNCTION("""COMPUTED_VALUE"""),"Agência Francesa de Desenvolvimento (AFD)")</f>
        <v/>
      </c>
      <c r="B470" s="78">
        <f>IFERROR(__xludf.DUMMYFUNCTION("""COMPUTED_VALUE"""),"""Land, Food and Forest""")</f>
        <v/>
      </c>
    </row>
    <row r="471">
      <c r="A471" s="78">
        <f>IFERROR(__xludf.DUMMYFUNCTION("""COMPUTED_VALUE"""),"Proparco")</f>
        <v/>
      </c>
      <c r="B471" s="78">
        <f>IFERROR(__xludf.DUMMYFUNCTION("""COMPUTED_VALUE"""),"Buildings &amp; Transport")</f>
        <v/>
      </c>
    </row>
    <row r="472">
      <c r="A472" s="78">
        <f>IFERROR(__xludf.DUMMYFUNCTION("""COMPUTED_VALUE"""),"Proparco")</f>
        <v/>
      </c>
      <c r="B472" s="78">
        <f>IFERROR(__xludf.DUMMYFUNCTION("""COMPUTED_VALUE"""),"Energy")</f>
        <v/>
      </c>
    </row>
    <row r="473">
      <c r="A473" s="78">
        <f>IFERROR(__xludf.DUMMYFUNCTION("""COMPUTED_VALUE"""),"Proparco")</f>
        <v/>
      </c>
      <c r="B473" s="78">
        <f>IFERROR(__xludf.DUMMYFUNCTION("""COMPUTED_VALUE"""),"""Land, Food and Forest""")</f>
        <v/>
      </c>
    </row>
    <row r="474">
      <c r="A474" s="78">
        <f>IFERROR(__xludf.DUMMYFUNCTION("""COMPUTED_VALUE"""),"Expertise France")</f>
        <v/>
      </c>
      <c r="B474" s="78">
        <f>IFERROR(__xludf.DUMMYFUNCTION("""COMPUTED_VALUE"""),"Buildings &amp; Transport")</f>
        <v/>
      </c>
    </row>
    <row r="475">
      <c r="A475" s="78">
        <f>IFERROR(__xludf.DUMMYFUNCTION("""COMPUTED_VALUE"""),"Expertise France")</f>
        <v/>
      </c>
      <c r="B475" s="78">
        <f>IFERROR(__xludf.DUMMYFUNCTION("""COMPUTED_VALUE"""),"Energy")</f>
        <v/>
      </c>
    </row>
    <row r="476">
      <c r="A476" s="78">
        <f>IFERROR(__xludf.DUMMYFUNCTION("""COMPUTED_VALUE"""),"Expertise France")</f>
        <v/>
      </c>
      <c r="B476" s="78">
        <f>IFERROR(__xludf.DUMMYFUNCTION("""COMPUTED_VALUE"""),"""Land, Food and Forest""")</f>
        <v/>
      </c>
    </row>
    <row r="477">
      <c r="A477" s="78">
        <f>IFERROR(__xludf.DUMMYFUNCTION("""COMPUTED_VALUE"""),"Agência de Cooperação Internacional do Japão (JICA)")</f>
        <v/>
      </c>
      <c r="B477" s="78">
        <f>IFERROR(__xludf.DUMMYFUNCTION("""COMPUTED_VALUE"""),"Buildings &amp; Transport")</f>
        <v/>
      </c>
    </row>
    <row r="478">
      <c r="A478" s="78">
        <f>IFERROR(__xludf.DUMMYFUNCTION("""COMPUTED_VALUE"""),"Agência de Cooperação Internacional do Japão (JICA)")</f>
        <v/>
      </c>
      <c r="B478" s="78">
        <f>IFERROR(__xludf.DUMMYFUNCTION("""COMPUTED_VALUE"""),"Energy")</f>
        <v/>
      </c>
    </row>
    <row r="479">
      <c r="A479" s="78">
        <f>IFERROR(__xludf.DUMMYFUNCTION("""COMPUTED_VALUE"""),"Agência de Cooperação Internacional do Japão (JICA)")</f>
        <v/>
      </c>
      <c r="B479" s="78">
        <f>IFERROR(__xludf.DUMMYFUNCTION("""COMPUTED_VALUE"""),"""Land, Food and Forest""")</f>
        <v/>
      </c>
    </row>
    <row r="480">
      <c r="A480" s="78">
        <f>IFERROR(__xludf.DUMMYFUNCTION("""COMPUTED_VALUE"""),"Agência de Cooperação Internacional da Coreia (KOICA)")</f>
        <v/>
      </c>
      <c r="B480" s="78">
        <f>IFERROR(__xludf.DUMMYFUNCTION("""COMPUTED_VALUE"""),"Buildings &amp; Transport")</f>
        <v/>
      </c>
    </row>
    <row r="481">
      <c r="A481" s="78">
        <f>IFERROR(__xludf.DUMMYFUNCTION("""COMPUTED_VALUE"""),"Agência de Cooperação Internacional da Coreia (KOICA)")</f>
        <v/>
      </c>
      <c r="B481" s="78">
        <f>IFERROR(__xludf.DUMMYFUNCTION("""COMPUTED_VALUE"""),"Energy")</f>
        <v/>
      </c>
    </row>
    <row r="482">
      <c r="A482" s="78">
        <f>IFERROR(__xludf.DUMMYFUNCTION("""COMPUTED_VALUE"""),"Agência de Cooperação Internacional da Coreia (KOICA)")</f>
        <v/>
      </c>
      <c r="B482" s="78">
        <f>IFERROR(__xludf.DUMMYFUNCTION("""COMPUTED_VALUE"""),"""Land, Food and Forest""")</f>
        <v/>
      </c>
    </row>
    <row r="483">
      <c r="A483" s="78">
        <f>IFERROR(__xludf.DUMMYFUNCTION("""COMPUTED_VALUE"""),"Agência Espanhola de Cooperação Internacional para o Desenvolvimento (AECID)")</f>
        <v/>
      </c>
      <c r="B483" s="78">
        <f>IFERROR(__xludf.DUMMYFUNCTION("""COMPUTED_VALUE"""),"Buildings &amp; Transport")</f>
        <v/>
      </c>
    </row>
    <row r="484">
      <c r="A484" s="78">
        <f>IFERROR(__xludf.DUMMYFUNCTION("""COMPUTED_VALUE"""),"Agência Espanhola de Cooperação Internacional para o Desenvolvimento (AECID)")</f>
        <v/>
      </c>
      <c r="B484" s="78">
        <f>IFERROR(__xludf.DUMMYFUNCTION("""COMPUTED_VALUE"""),"Energy")</f>
        <v/>
      </c>
    </row>
    <row r="485">
      <c r="A485" s="78">
        <f>IFERROR(__xludf.DUMMYFUNCTION("""COMPUTED_VALUE"""),"Agência Espanhola de Cooperação Internacional para o Desenvolvimento (AECID)")</f>
        <v/>
      </c>
      <c r="B485" s="78">
        <f>IFERROR(__xludf.DUMMYFUNCTION("""COMPUTED_VALUE"""),"""Land, Food and Forest""")</f>
        <v/>
      </c>
    </row>
    <row r="486">
      <c r="A486" s="78">
        <f>IFERROR(__xludf.DUMMYFUNCTION("""COMPUTED_VALUE"""),"Agência Italiana de Cooperação para o Desenvolvimento (AICS)")</f>
        <v/>
      </c>
      <c r="B486" s="78">
        <f>IFERROR(__xludf.DUMMYFUNCTION("""COMPUTED_VALUE"""),"Buildings &amp; Transport")</f>
        <v/>
      </c>
    </row>
    <row r="487">
      <c r="A487" s="78">
        <f>IFERROR(__xludf.DUMMYFUNCTION("""COMPUTED_VALUE"""),"Agência Italiana de Cooperação para o Desenvolvimento (AICS)")</f>
        <v/>
      </c>
      <c r="B487" s="78">
        <f>IFERROR(__xludf.DUMMYFUNCTION("""COMPUTED_VALUE"""),"Energy")</f>
        <v/>
      </c>
    </row>
    <row r="488">
      <c r="A488" s="78">
        <f>IFERROR(__xludf.DUMMYFUNCTION("""COMPUTED_VALUE"""),"Agência Italiana de Cooperação para o Desenvolvimento (AICS)")</f>
        <v/>
      </c>
      <c r="B488" s="78">
        <f>IFERROR(__xludf.DUMMYFUNCTION("""COMPUTED_VALUE"""),"""Land, Food and Forest""")</f>
        <v/>
      </c>
    </row>
    <row r="489">
      <c r="A489" s="78">
        <f>IFERROR(__xludf.DUMMYFUNCTION("""COMPUTED_VALUE"""),"Agência Suíça para o Desenvolvimento e Cooperação (COSUDE)")</f>
        <v/>
      </c>
      <c r="B489" s="78">
        <f>IFERROR(__xludf.DUMMYFUNCTION("""COMPUTED_VALUE"""),"Emergency response")</f>
        <v/>
      </c>
    </row>
    <row r="490">
      <c r="A490" s="78">
        <f>IFERROR(__xludf.DUMMYFUNCTION("""COMPUTED_VALUE"""),"Agência Suíça para o Desenvolvimento e Cooperação (COSUDE)")</f>
        <v/>
      </c>
      <c r="B490" s="78">
        <f>IFERROR(__xludf.DUMMYFUNCTION("""COMPUTED_VALUE"""),"""Land, Food and Forest""")</f>
        <v/>
      </c>
    </row>
    <row r="491">
      <c r="A491" s="78">
        <f>IFERROR(__xludf.DUMMYFUNCTION("""COMPUTED_VALUE"""),"Agência Sueca de Cooperação para o Desenvolvimento Internacional (Sida)")</f>
        <v/>
      </c>
      <c r="B491" s="78">
        <f>IFERROR(__xludf.DUMMYFUNCTION("""COMPUTED_VALUE"""),"Energy")</f>
        <v/>
      </c>
    </row>
    <row r="492">
      <c r="A492" s="78">
        <f>IFERROR(__xludf.DUMMYFUNCTION("""COMPUTED_VALUE"""),"Agência Sueca de Cooperação para o Desenvolvimento Internacional (Sida)")</f>
        <v/>
      </c>
      <c r="B492" s="78">
        <f>IFERROR(__xludf.DUMMYFUNCTION("""COMPUTED_VALUE"""),"""Land, Food and Forest""")</f>
        <v/>
      </c>
    </row>
    <row r="493">
      <c r="A493" s="78">
        <f>IFERROR(__xludf.DUMMYFUNCTION("""COMPUTED_VALUE"""),"Agência Dinamarquesa para o Desenvolvimento Internacional (DANIDA)")</f>
        <v/>
      </c>
      <c r="B493" s="78">
        <f>IFERROR(__xludf.DUMMYFUNCTION("""COMPUTED_VALUE"""),"Energy")</f>
        <v/>
      </c>
    </row>
    <row r="494">
      <c r="A494" s="78">
        <f>IFERROR(__xludf.DUMMYFUNCTION("""COMPUTED_VALUE"""),"Agência Dinamarquesa para o Desenvolvimento Internacional (DANIDA)")</f>
        <v/>
      </c>
      <c r="B494" s="78">
        <f>IFERROR(__xludf.DUMMYFUNCTION("""COMPUTED_VALUE"""),"""Land, Food and Forest""")</f>
        <v/>
      </c>
    </row>
    <row r="495">
      <c r="A495" s="78">
        <f>IFERROR(__xludf.DUMMYFUNCTION("""COMPUTED_VALUE"""),"Agência Norueguesa de Cooperação para o Desenvolvimento (Norad)")</f>
        <v/>
      </c>
      <c r="B495" s="78">
        <f>IFERROR(__xludf.DUMMYFUNCTION("""COMPUTED_VALUE"""),"Energy")</f>
        <v/>
      </c>
    </row>
    <row r="496">
      <c r="A496" s="78">
        <f>IFERROR(__xludf.DUMMYFUNCTION("""COMPUTED_VALUE"""),"Agência Norueguesa de Cooperação para o Desenvolvimento (Norad)")</f>
        <v/>
      </c>
      <c r="B496" s="78">
        <f>IFERROR(__xludf.DUMMYFUNCTION("""COMPUTED_VALUE"""),"""Land, Food and Forest""")</f>
        <v/>
      </c>
    </row>
    <row r="497">
      <c r="A497" s="78">
        <f>IFERROR(__xludf.DUMMYFUNCTION("""COMPUTED_VALUE"""),"Iniciativa Internacional de Clima e Florestas da Noruega (NICFI)")</f>
        <v/>
      </c>
      <c r="B497" s="78">
        <f>IFERROR(__xludf.DUMMYFUNCTION("""COMPUTED_VALUE"""),"""Land, Food and Forest""")</f>
        <v/>
      </c>
    </row>
    <row r="498">
      <c r="A498" s="78">
        <f>IFERROR(__xludf.DUMMYFUNCTION("""COMPUTED_VALUE"""),"UK PACT")</f>
        <v/>
      </c>
      <c r="B498" s="78">
        <f>IFERROR(__xludf.DUMMYFUNCTION("""COMPUTED_VALUE"""),"Buildings &amp; Transport")</f>
        <v/>
      </c>
    </row>
    <row r="499">
      <c r="A499" s="78">
        <f>IFERROR(__xludf.DUMMYFUNCTION("""COMPUTED_VALUE"""),"UK PACT")</f>
        <v/>
      </c>
      <c r="B499" s="78">
        <f>IFERROR(__xludf.DUMMYFUNCTION("""COMPUTED_VALUE"""),"Energy")</f>
        <v/>
      </c>
    </row>
    <row r="500">
      <c r="A500" s="78">
        <f>IFERROR(__xludf.DUMMYFUNCTION("""COMPUTED_VALUE"""),"UK PACT")</f>
        <v/>
      </c>
      <c r="B500" s="78">
        <f>IFERROR(__xludf.DUMMYFUNCTION("""COMPUTED_VALUE"""),"""Land, Food and Forest""")</f>
        <v/>
      </c>
    </row>
    <row r="501">
      <c r="A501" s="78">
        <f>IFERROR(__xludf.DUMMYFUNCTION("""COMPUTED_VALUE"""),"Delegação da União Europeia no Brasil (UE)")</f>
        <v/>
      </c>
      <c r="B501" s="78">
        <f>IFERROR(__xludf.DUMMYFUNCTION("""COMPUTED_VALUE"""),"Buildings &amp; Transport")</f>
        <v/>
      </c>
    </row>
    <row r="502">
      <c r="A502" s="78">
        <f>IFERROR(__xludf.DUMMYFUNCTION("""COMPUTED_VALUE"""),"Delegação da União Europeia no Brasil (UE)")</f>
        <v/>
      </c>
      <c r="B502" s="78">
        <f>IFERROR(__xludf.DUMMYFUNCTION("""COMPUTED_VALUE"""),"Energy")</f>
        <v/>
      </c>
    </row>
    <row r="503">
      <c r="A503" s="78">
        <f>IFERROR(__xludf.DUMMYFUNCTION("""COMPUTED_VALUE"""),"Delegação da União Europeia no Brasil (UE)")</f>
        <v/>
      </c>
      <c r="B503" s="78">
        <f>IFERROR(__xludf.DUMMYFUNCTION("""COMPUTED_VALUE"""),"""Land, Food and Forest""")</f>
        <v/>
      </c>
    </row>
    <row r="504">
      <c r="A504" s="78">
        <f>IFERROR(__xludf.DUMMYFUNCTION("""COMPUTED_VALUE"""),"Banco Europeu de Investimento (BEI)")</f>
        <v/>
      </c>
      <c r="B504" s="78">
        <f>IFERROR(__xludf.DUMMYFUNCTION("""COMPUTED_VALUE"""),"Buildings &amp; Transport")</f>
        <v/>
      </c>
    </row>
    <row r="505">
      <c r="A505" s="78">
        <f>IFERROR(__xludf.DUMMYFUNCTION("""COMPUTED_VALUE"""),"Banco Europeu de Investimento (BEI)")</f>
        <v/>
      </c>
      <c r="B505" s="78">
        <f>IFERROR(__xludf.DUMMYFUNCTION("""COMPUTED_VALUE"""),"Energy")</f>
        <v/>
      </c>
    </row>
    <row r="506">
      <c r="A506" s="78">
        <f>IFERROR(__xludf.DUMMYFUNCTION("""COMPUTED_VALUE"""),"Banco Europeu de Investimento (BEI)")</f>
        <v/>
      </c>
      <c r="B506" s="78">
        <f>IFERROR(__xludf.DUMMYFUNCTION("""COMPUTED_VALUE"""),"""Land, Food and Forest""")</f>
        <v/>
      </c>
    </row>
    <row r="507">
      <c r="A507" s="78">
        <f>IFERROR(__xludf.DUMMYFUNCTION("""COMPUTED_VALUE"""),"Lux-Development (LuxDev)")</f>
        <v/>
      </c>
      <c r="B507" s="78">
        <f>IFERROR(__xludf.DUMMYFUNCTION("""COMPUTED_VALUE"""),"Buildings &amp; Transport")</f>
        <v/>
      </c>
    </row>
    <row r="508">
      <c r="A508" s="78">
        <f>IFERROR(__xludf.DUMMYFUNCTION("""COMPUTED_VALUE"""),"Lux-Development (LuxDev)")</f>
        <v/>
      </c>
      <c r="B508" s="78">
        <f>IFERROR(__xludf.DUMMYFUNCTION("""COMPUTED_VALUE"""),"Energy")</f>
        <v/>
      </c>
    </row>
    <row r="509">
      <c r="A509" s="78">
        <f>IFERROR(__xludf.DUMMYFUNCTION("""COMPUTED_VALUE"""),"Lux-Development (LuxDev)")</f>
        <v/>
      </c>
      <c r="B509" s="78">
        <f>IFERROR(__xludf.DUMMYFUNCTION("""COMPUTED_VALUE"""),"""Land, Food and Forest""")</f>
        <v/>
      </c>
    </row>
    <row r="510">
      <c r="A510" s="78">
        <f>IFERROR(__xludf.DUMMYFUNCTION("""COMPUTED_VALUE"""),"Irish Aid (Irish Aid)")</f>
        <v/>
      </c>
      <c r="B510" s="78">
        <f>IFERROR(__xludf.DUMMYFUNCTION("""COMPUTED_VALUE"""),"Buildings &amp; Transport")</f>
        <v/>
      </c>
    </row>
    <row r="511">
      <c r="A511" s="78">
        <f>IFERROR(__xludf.DUMMYFUNCTION("""COMPUTED_VALUE"""),"Irish Aid (Irish Aid)")</f>
        <v/>
      </c>
      <c r="B511" s="78">
        <f>IFERROR(__xludf.DUMMYFUNCTION("""COMPUTED_VALUE"""),"Emergency response")</f>
        <v/>
      </c>
    </row>
    <row r="512">
      <c r="A512" s="78">
        <f>IFERROR(__xludf.DUMMYFUNCTION("""COMPUTED_VALUE"""),"Irish Aid (Irish Aid)")</f>
        <v/>
      </c>
      <c r="B512" s="78">
        <f>IFERROR(__xludf.DUMMYFUNCTION("""COMPUTED_VALUE"""),"Energy")</f>
        <v/>
      </c>
    </row>
    <row r="513">
      <c r="A513" s="78">
        <f>IFERROR(__xludf.DUMMYFUNCTION("""COMPUTED_VALUE"""),"Irish Aid (Irish Aid)")</f>
        <v/>
      </c>
      <c r="B513" s="78">
        <f>IFERROR(__xludf.DUMMYFUNCTION("""COMPUTED_VALUE"""),"""Land, Food and Forest""")</f>
        <v/>
      </c>
    </row>
    <row r="514">
      <c r="A514" s="78">
        <f>IFERROR(__xludf.DUMMYFUNCTION("""COMPUTED_VALUE"""),"Agência Austríaca de Desenvolvimento (ADA)")</f>
        <v/>
      </c>
      <c r="B514" s="78">
        <f>IFERROR(__xludf.DUMMYFUNCTION("""COMPUTED_VALUE"""),"Buildings &amp; Transport")</f>
        <v/>
      </c>
    </row>
    <row r="515">
      <c r="A515" s="78">
        <f>IFERROR(__xludf.DUMMYFUNCTION("""COMPUTED_VALUE"""),"Agência Austríaca de Desenvolvimento (ADA)")</f>
        <v/>
      </c>
      <c r="B515" s="78">
        <f>IFERROR(__xludf.DUMMYFUNCTION("""COMPUTED_VALUE"""),"Energy")</f>
        <v/>
      </c>
    </row>
    <row r="516">
      <c r="A516" s="78">
        <f>IFERROR(__xludf.DUMMYFUNCTION("""COMPUTED_VALUE"""),"Agência Austríaca de Desenvolvimento (ADA)")</f>
        <v/>
      </c>
      <c r="B516" s="78">
        <f>IFERROR(__xludf.DUMMYFUNCTION("""COMPUTED_VALUE"""),"""Land, Food and Forest""")</f>
        <v/>
      </c>
    </row>
    <row r="517">
      <c r="A517" s="78">
        <f>IFERROR(__xludf.DUMMYFUNCTION("""COMPUTED_VALUE"""),"Camões – Instituto da Cooperação e da Língua (Camões, I.P.)")</f>
        <v/>
      </c>
      <c r="B517" s="78">
        <f>IFERROR(__xludf.DUMMYFUNCTION("""COMPUTED_VALUE"""),"Buildings &amp; Transport")</f>
        <v/>
      </c>
    </row>
    <row r="518">
      <c r="A518" s="78">
        <f>IFERROR(__xludf.DUMMYFUNCTION("""COMPUTED_VALUE"""),"Camões – Instituto da Cooperação e da Língua (Camões, I.P.)")</f>
        <v/>
      </c>
      <c r="B518" s="78">
        <f>IFERROR(__xludf.DUMMYFUNCTION("""COMPUTED_VALUE"""),"Energy")</f>
        <v/>
      </c>
    </row>
    <row r="519">
      <c r="A519" s="78">
        <f>IFERROR(__xludf.DUMMYFUNCTION("""COMPUTED_VALUE"""),"Camões – Instituto da Cooperação e da Língua (Camões, I.P.)")</f>
        <v/>
      </c>
      <c r="B519" s="78">
        <f>IFERROR(__xludf.DUMMYFUNCTION("""COMPUTED_VALUE"""),"""Land, Food and Forest""")</f>
        <v/>
      </c>
    </row>
    <row r="520">
      <c r="A520" s="78">
        <f>IFERROR(__xludf.DUMMYFUNCTION("""COMPUTED_VALUE"""),"Misereor (Misereor)")</f>
        <v/>
      </c>
      <c r="B520" s="78">
        <f>IFERROR(__xludf.DUMMYFUNCTION("""COMPUTED_VALUE"""),"""Land, Food and Forest""")</f>
        <v/>
      </c>
    </row>
    <row r="521">
      <c r="A521" s="78">
        <f>IFERROR(__xludf.DUMMYFUNCTION("""COMPUTED_VALUE"""),"Trias (Trias vzw)")</f>
        <v/>
      </c>
      <c r="B521" s="78">
        <f>IFERROR(__xludf.DUMMYFUNCTION("""COMPUTED_VALUE"""),"""Land, Food and Forest""")</f>
        <v/>
      </c>
    </row>
    <row r="522">
      <c r="A522" s="78">
        <f>IFERROR(__xludf.DUMMYFUNCTION("""COMPUTED_VALUE"""),"Brot für die Welt (Brot für die Welt)")</f>
        <v/>
      </c>
      <c r="B522" s="78">
        <f>IFERROR(__xludf.DUMMYFUNCTION("""COMPUTED_VALUE"""),"Emergency response")</f>
        <v/>
      </c>
    </row>
    <row r="523">
      <c r="A523" s="78">
        <f>IFERROR(__xludf.DUMMYFUNCTION("""COMPUTED_VALUE"""),"Brot für die Welt (Brot für die Welt)")</f>
        <v/>
      </c>
      <c r="B523" s="78">
        <f>IFERROR(__xludf.DUMMYFUNCTION("""COMPUTED_VALUE"""),"""Land, Food and Forest""")</f>
        <v/>
      </c>
    </row>
    <row r="524">
      <c r="A524" s="78">
        <f>IFERROR(__xludf.DUMMYFUNCTION("""COMPUTED_VALUE"""),"Catholic Agency for Overseas Development (CAFOD)")</f>
        <v/>
      </c>
      <c r="B524" s="78">
        <f>IFERROR(__xludf.DUMMYFUNCTION("""COMPUTED_VALUE"""),"Emergency response")</f>
        <v/>
      </c>
    </row>
    <row r="525">
      <c r="A525" s="78">
        <f>IFERROR(__xludf.DUMMYFUNCTION("""COMPUTED_VALUE"""),"Catholic Agency for Overseas Development (CAFOD)")</f>
        <v/>
      </c>
      <c r="B525" s="78">
        <f>IFERROR(__xludf.DUMMYFUNCTION("""COMPUTED_VALUE"""),"""Land, Food and Forest""")</f>
        <v/>
      </c>
    </row>
    <row r="526">
      <c r="A526" s="78">
        <f>IFERROR(__xludf.DUMMYFUNCTION("""COMPUTED_VALUE"""),"Fundação Heinrich Böll (Heinrich Böll Stiftung)")</f>
        <v/>
      </c>
      <c r="B526" s="78">
        <f>IFERROR(__xludf.DUMMYFUNCTION("""COMPUTED_VALUE"""),"Energy")</f>
        <v/>
      </c>
    </row>
    <row r="527">
      <c r="A527" s="78">
        <f>IFERROR(__xludf.DUMMYFUNCTION("""COMPUTED_VALUE"""),"Fundação Heinrich Böll (Heinrich Böll Stiftung)")</f>
        <v/>
      </c>
      <c r="B527" s="78">
        <f>IFERROR(__xludf.DUMMYFUNCTION("""COMPUTED_VALUE"""),"""Land, Food and Forest""")</f>
        <v/>
      </c>
    </row>
    <row r="528">
      <c r="A528" s="78">
        <f>IFERROR(__xludf.DUMMYFUNCTION("""COMPUTED_VALUE"""),"Fundação Friedrich Ebert (Friedrich-Ebert-Stiftung)")</f>
        <v/>
      </c>
      <c r="B528" s="78">
        <f>IFERROR(__xludf.DUMMYFUNCTION("""COMPUTED_VALUE"""),"Buildings &amp; Transport")</f>
        <v/>
      </c>
    </row>
    <row r="529">
      <c r="A529" s="78">
        <f>IFERROR(__xludf.DUMMYFUNCTION("""COMPUTED_VALUE"""),"Fundação Friedrich Ebert (Friedrich-Ebert-Stiftung)")</f>
        <v/>
      </c>
      <c r="B529" s="78">
        <f>IFERROR(__xludf.DUMMYFUNCTION("""COMPUTED_VALUE"""),"Energy")</f>
        <v/>
      </c>
    </row>
    <row r="530">
      <c r="A530" s="78">
        <f>IFERROR(__xludf.DUMMYFUNCTION("""COMPUTED_VALUE"""),"Fundação Konrad Adenauer (Konrad-Adenauer-Stiftung)")</f>
        <v/>
      </c>
      <c r="B530" s="78">
        <f>IFERROR(__xludf.DUMMYFUNCTION("""COMPUTED_VALUE"""),"Buildings &amp; Transport")</f>
        <v/>
      </c>
    </row>
    <row r="531">
      <c r="A531" s="78">
        <f>IFERROR(__xludf.DUMMYFUNCTION("""COMPUTED_VALUE"""),"Fundação Konrad Adenauer (Konrad-Adenauer-Stiftung)")</f>
        <v/>
      </c>
      <c r="B531" s="78">
        <f>IFERROR(__xludf.DUMMYFUNCTION("""COMPUTED_VALUE"""),"Energy")</f>
        <v/>
      </c>
    </row>
    <row r="532">
      <c r="A532" s="78">
        <f>IFERROR(__xludf.DUMMYFUNCTION("""COMPUTED_VALUE"""),"Fundação Rosa Luxemburgo (Rosa-Luxemburg-Stiftung)")</f>
        <v/>
      </c>
      <c r="B532" s="78">
        <f>IFERROR(__xludf.DUMMYFUNCTION("""COMPUTED_VALUE"""),"Energy")</f>
        <v/>
      </c>
    </row>
    <row r="533">
      <c r="A533" s="78">
        <f>IFERROR(__xludf.DUMMYFUNCTION("""COMPUTED_VALUE"""),"Fundação Rosa Luxemburgo (Rosa-Luxemburg-Stiftung)")</f>
        <v/>
      </c>
      <c r="B533" s="78">
        <f>IFERROR(__xludf.DUMMYFUNCTION("""COMPUTED_VALUE"""),"""Land, Food and Forest""")</f>
        <v/>
      </c>
    </row>
    <row r="534">
      <c r="A534" s="78">
        <f>IFERROR(__xludf.DUMMYFUNCTION("""COMPUTED_VALUE"""),"Plan International Brasil (Plan International)")</f>
        <v/>
      </c>
      <c r="B534" s="78">
        <f>IFERROR(__xludf.DUMMYFUNCTION("""COMPUTED_VALUE"""),"Emergency response")</f>
        <v/>
      </c>
    </row>
    <row r="535">
      <c r="A535" s="78">
        <f>IFERROR(__xludf.DUMMYFUNCTION("""COMPUTED_VALUE"""),"Save the Children Brasil (Save the Children)")</f>
        <v/>
      </c>
      <c r="B535" s="78">
        <f>IFERROR(__xludf.DUMMYFUNCTION("""COMPUTED_VALUE"""),"Emergency response")</f>
        <v/>
      </c>
    </row>
    <row r="536">
      <c r="A536" s="78">
        <f>IFERROR(__xludf.DUMMYFUNCTION("""COMPUTED_VALUE"""),"Visão Mundial (Visão Mundial)")</f>
        <v/>
      </c>
      <c r="B536" s="78">
        <f>IFERROR(__xludf.DUMMYFUNCTION("""COMPUTED_VALUE"""),"Emergency response")</f>
        <v/>
      </c>
    </row>
    <row r="537">
      <c r="A537" s="78">
        <f>IFERROR(__xludf.DUMMYFUNCTION("""COMPUTED_VALUE"""),"Movimento dos Trabalhadores Rurais Sem Terra (MST)")</f>
        <v/>
      </c>
      <c r="B537" s="78">
        <f>IFERROR(__xludf.DUMMYFUNCTION("""COMPUTED_VALUE"""),"Emergency response")</f>
        <v/>
      </c>
    </row>
    <row r="538">
      <c r="A538" s="78">
        <f>IFERROR(__xludf.DUMMYFUNCTION("""COMPUTED_VALUE"""),"Movimento dos Trabalhadores Rurais Sem Terra (MST)")</f>
        <v/>
      </c>
      <c r="B538" s="78">
        <f>IFERROR(__xludf.DUMMYFUNCTION("""COMPUTED_VALUE"""),"""Land, Food and Forest""")</f>
        <v/>
      </c>
    </row>
    <row r="539">
      <c r="A539" s="78">
        <f>IFERROR(__xludf.DUMMYFUNCTION("""COMPUTED_VALUE"""),"Movimento dos Trabalhadores Sem Teto (MTST)")</f>
        <v/>
      </c>
      <c r="B539" s="78">
        <f>IFERROR(__xludf.DUMMYFUNCTION("""COMPUTED_VALUE"""),"Buildings &amp; Transport")</f>
        <v/>
      </c>
    </row>
    <row r="540">
      <c r="A540" s="78">
        <f>IFERROR(__xludf.DUMMYFUNCTION("""COMPUTED_VALUE"""),"Movimento dos Atingidos por Barragens (MAB)")</f>
        <v/>
      </c>
      <c r="B540" s="78">
        <f>IFERROR(__xludf.DUMMYFUNCTION("""COMPUTED_VALUE"""),"Energy")</f>
        <v/>
      </c>
    </row>
    <row r="541">
      <c r="A541" s="78">
        <f>IFERROR(__xludf.DUMMYFUNCTION("""COMPUTED_VALUE"""),"Movimento dos Atingidos por Barragens (MAB)")</f>
        <v/>
      </c>
      <c r="B541" s="78">
        <f>IFERROR(__xludf.DUMMYFUNCTION("""COMPUTED_VALUE"""),"""Land, Food and Forest""")</f>
        <v/>
      </c>
    </row>
    <row r="542">
      <c r="A542" s="78">
        <f>IFERROR(__xludf.DUMMYFUNCTION("""COMPUTED_VALUE"""),"Movimento dos Pequenos Agricultores (MPA)")</f>
        <v/>
      </c>
      <c r="B542" s="78">
        <f>IFERROR(__xludf.DUMMYFUNCTION("""COMPUTED_VALUE"""),"""Land, Food and Forest""")</f>
        <v/>
      </c>
    </row>
    <row r="543">
      <c r="A543" s="78">
        <f>IFERROR(__xludf.DUMMYFUNCTION("""COMPUTED_VALUE"""),"Movimento pela Soberania Popular na Mineração (MAM)")</f>
        <v/>
      </c>
      <c r="B543" s="78">
        <f>IFERROR(__xludf.DUMMYFUNCTION("""COMPUTED_VALUE"""),"Energy")</f>
        <v/>
      </c>
    </row>
    <row r="544">
      <c r="A544" s="78">
        <f>IFERROR(__xludf.DUMMYFUNCTION("""COMPUTED_VALUE"""),"Movimento pela Soberania Popular na Mineração (MAM)")</f>
        <v/>
      </c>
      <c r="B544" s="78">
        <f>IFERROR(__xludf.DUMMYFUNCTION("""COMPUTED_VALUE"""),"""Land, Food and Forest""")</f>
        <v/>
      </c>
    </row>
    <row r="545">
      <c r="A545" s="78">
        <f>IFERROR(__xludf.DUMMYFUNCTION("""COMPUTED_VALUE"""),"Confederação Nacional dos Trabalhadores Rurais Agricultores e Agricultoras Familiares (CONTAG)")</f>
        <v/>
      </c>
      <c r="B545" s="78">
        <f>IFERROR(__xludf.DUMMYFUNCTION("""COMPUTED_VALUE"""),"""Land, Food and Forest""")</f>
        <v/>
      </c>
    </row>
    <row r="546">
      <c r="A546" s="78">
        <f>IFERROR(__xludf.DUMMYFUNCTION("""COMPUTED_VALUE"""),"Coordenação Nacional de Articulação das Comunidades Negras Rurais Quilombolas (CONAQ)")</f>
        <v/>
      </c>
      <c r="B546" s="78">
        <f>IFERROR(__xludf.DUMMYFUNCTION("""COMPUTED_VALUE"""),"""Land, Food and Forest""")</f>
        <v/>
      </c>
    </row>
    <row r="547">
      <c r="A547" s="78">
        <f>IFERROR(__xludf.DUMMYFUNCTION("""COMPUTED_VALUE"""),"Movimento de Mulheres Camponesas (MMC)")</f>
        <v/>
      </c>
      <c r="B547" s="78">
        <f>IFERROR(__xludf.DUMMYFUNCTION("""COMPUTED_VALUE"""),"""Land, Food and Forest""")</f>
        <v/>
      </c>
    </row>
    <row r="548">
      <c r="A548" s="78">
        <f>IFERROR(__xludf.DUMMYFUNCTION("""COMPUTED_VALUE"""),"Movimento Interestadual das Quebradeiras de Coco Babaçu (MIQCB)")</f>
        <v/>
      </c>
      <c r="B548" s="78">
        <f>IFERROR(__xludf.DUMMYFUNCTION("""COMPUTED_VALUE"""),"""Land, Food and Forest""")</f>
        <v/>
      </c>
    </row>
    <row r="549">
      <c r="A549" s="78">
        <f>IFERROR(__xludf.DUMMYFUNCTION("""COMPUTED_VALUE"""),"Conselho Pastoral dos Pescadores (CPP)")</f>
        <v/>
      </c>
      <c r="B549" s="78">
        <f>IFERROR(__xludf.DUMMYFUNCTION("""COMPUTED_VALUE"""),"""Land, Food and Forest""")</f>
        <v/>
      </c>
    </row>
    <row r="550">
      <c r="A550" s="78">
        <f>IFERROR(__xludf.DUMMYFUNCTION("""COMPUTED_VALUE"""),"Movimento Nacional de Catadores de Materiais Recicláveis (MNCR)")</f>
        <v/>
      </c>
      <c r="B550" s="78">
        <f>IFERROR(__xludf.DUMMYFUNCTION("""COMPUTED_VALUE"""),"Buildings &amp; Transport")</f>
        <v/>
      </c>
    </row>
    <row r="551">
      <c r="A551" s="78">
        <f>IFERROR(__xludf.DUMMYFUNCTION("""COMPUTED_VALUE"""),"Articulação dos Povos Indígenas do Nordeste, Minas Gerais e Espírito Santo (APOINME)")</f>
        <v/>
      </c>
      <c r="B551" s="78">
        <f>IFERROR(__xludf.DUMMYFUNCTION("""COMPUTED_VALUE"""),"""Land, Food and Forest""")</f>
        <v/>
      </c>
    </row>
    <row r="552">
      <c r="A552" s="78">
        <f>IFERROR(__xludf.DUMMYFUNCTION("""COMPUTED_VALUE"""),"Federação das Organizações Indígenas do Rio Negro (FOIRN)")</f>
        <v/>
      </c>
      <c r="B552" s="78">
        <f>IFERROR(__xludf.DUMMYFUNCTION("""COMPUTED_VALUE"""),"""Land, Food and Forest""")</f>
        <v/>
      </c>
    </row>
    <row r="553">
      <c r="A553" s="78">
        <f>IFERROR(__xludf.DUMMYFUNCTION("""COMPUTED_VALUE"""),"Conselho Indígena de Roraima (CIR)")</f>
        <v/>
      </c>
      <c r="B553" s="78">
        <f>IFERROR(__xludf.DUMMYFUNCTION("""COMPUTED_VALUE"""),"""Land, Food and Forest""")</f>
        <v/>
      </c>
    </row>
    <row r="554">
      <c r="A554" s="78">
        <f>IFERROR(__xludf.DUMMYFUNCTION("""COMPUTED_VALUE"""),"Hutukara Associação Yanomami (HAY)")</f>
        <v/>
      </c>
      <c r="B554" s="78">
        <f>IFERROR(__xludf.DUMMYFUNCTION("""COMPUTED_VALUE"""),"""Land, Food and Forest""")</f>
        <v/>
      </c>
    </row>
    <row r="555">
      <c r="A555" s="78">
        <f>IFERROR(__xludf.DUMMYFUNCTION("""COMPUTED_VALUE"""),"Movimento Xingu Vivo para Sempre")</f>
        <v/>
      </c>
      <c r="B555" s="78">
        <f>IFERROR(__xludf.DUMMYFUNCTION("""COMPUTED_VALUE"""),"Energy")</f>
        <v/>
      </c>
    </row>
    <row r="556">
      <c r="A556" s="78">
        <f>IFERROR(__xludf.DUMMYFUNCTION("""COMPUTED_VALUE"""),"Movimento Xingu Vivo para Sempre")</f>
        <v/>
      </c>
      <c r="B556" s="78">
        <f>IFERROR(__xludf.DUMMYFUNCTION("""COMPUTED_VALUE"""),"""Land, Food and Forest""")</f>
        <v/>
      </c>
    </row>
    <row r="557">
      <c r="A557" s="78">
        <f>IFERROR(__xludf.DUMMYFUNCTION("""COMPUTED_VALUE"""),"Rede Xingu+ (Rede Xingu+)")</f>
        <v/>
      </c>
      <c r="B557" s="78">
        <f>IFERROR(__xludf.DUMMYFUNCTION("""COMPUTED_VALUE"""),"""Land, Food and Forest""")</f>
        <v/>
      </c>
    </row>
    <row r="558">
      <c r="A558" s="78">
        <f>IFERROR(__xludf.DUMMYFUNCTION("""COMPUTED_VALUE"""),"Movimento Tapajós Vivo")</f>
        <v/>
      </c>
      <c r="B558" s="78">
        <f>IFERROR(__xludf.DUMMYFUNCTION("""COMPUTED_VALUE"""),"Energy")</f>
        <v/>
      </c>
    </row>
    <row r="559">
      <c r="A559" s="78">
        <f>IFERROR(__xludf.DUMMYFUNCTION("""COMPUTED_VALUE"""),"Movimento Tapajós Vivo")</f>
        <v/>
      </c>
      <c r="B559" s="78">
        <f>IFERROR(__xludf.DUMMYFUNCTION("""COMPUTED_VALUE"""),"""Land, Food and Forest""")</f>
        <v/>
      </c>
    </row>
    <row r="560">
      <c r="A560" s="78">
        <f>IFERROR(__xludf.DUMMYFUNCTION("""COMPUTED_VALUE"""),"Articulação Nacional de Economia Solidária (FBES)")</f>
        <v/>
      </c>
      <c r="B560" s="78">
        <f>IFERROR(__xludf.DUMMYFUNCTION("""COMPUTED_VALUE"""),"Buildings &amp; Transport")</f>
        <v/>
      </c>
    </row>
    <row r="561">
      <c r="A561" s="78">
        <f>IFERROR(__xludf.DUMMYFUNCTION("""COMPUTED_VALUE"""),"Articulação Nacional de Economia Solidária (FBES)")</f>
        <v/>
      </c>
      <c r="B561" s="78">
        <f>IFERROR(__xludf.DUMMYFUNCTION("""COMPUTED_VALUE"""),"""Land, Food and Forest""")</f>
        <v/>
      </c>
    </row>
    <row r="562">
      <c r="A562" s="78">
        <f>IFERROR(__xludf.DUMMYFUNCTION("""COMPUTED_VALUE"""),"Movimento Atingidos pelas Renováveis (MAR)")</f>
        <v/>
      </c>
      <c r="B562" s="78">
        <f>IFERROR(__xludf.DUMMYFUNCTION("""COMPUTED_VALUE"""),"Energy")</f>
        <v/>
      </c>
    </row>
    <row r="563">
      <c r="A563" s="78">
        <f>IFERROR(__xludf.DUMMYFUNCTION("""COMPUTED_VALUE"""),"Seridó Vivo (Seridó Vivo)")</f>
        <v/>
      </c>
      <c r="B563" s="78">
        <f>IFERROR(__xludf.DUMMYFUNCTION("""COMPUTED_VALUE"""),"Energy")</f>
        <v/>
      </c>
    </row>
    <row r="564">
      <c r="A564" s="78">
        <f>IFERROR(__xludf.DUMMYFUNCTION("""COMPUTED_VALUE"""),"Coalizão Energia Limpa (Coalizão Energia Limpa)")</f>
        <v/>
      </c>
      <c r="B564" s="78">
        <f>IFERROR(__xludf.DUMMYFUNCTION("""COMPUTED_VALUE"""),"Energy")</f>
        <v/>
      </c>
    </row>
    <row r="1001">
      <c r="C1001" s="78" t="inlineStr">
        <is>
          <t>Primary impact area 
(sector of interest / Nexuses)</t>
        </is>
      </c>
    </row>
    <row r="1002">
      <c r="C1002" s="78" t="inlineStr">
        <is>
          <t>"Land, Food and Forest"</t>
        </is>
      </c>
    </row>
    <row r="1003">
      <c r="C1003" s="78" t="inlineStr">
        <is>
          <t>"Land, Food and Forest"</t>
        </is>
      </c>
    </row>
    <row r="1004">
      <c r="C1004" s="78" t="inlineStr">
        <is>
          <t>"Land, Food and Forest"</t>
        </is>
      </c>
    </row>
    <row r="1005">
      <c r="C1005" s="78" t="inlineStr">
        <is>
          <t>Buildings &amp; Transport, Energy, "Land, Food and Forest"</t>
        </is>
      </c>
    </row>
    <row r="1006">
      <c r="C1006" s="78" t="inlineStr">
        <is>
          <t>Buildings &amp; Transport, Energy, "Land, Food and Forest"</t>
        </is>
      </c>
    </row>
    <row r="1007">
      <c r="C1007" s="78" t="inlineStr">
        <is>
          <t>Buildings &amp; Transport, Energy, "Land, Food and Forest"</t>
        </is>
      </c>
    </row>
    <row r="1008">
      <c r="C1008" s="78" t="inlineStr">
        <is>
          <t>Buildings &amp; Transport, Energy, "Land, Food and Forest"</t>
        </is>
      </c>
    </row>
    <row r="1009">
      <c r="C1009" s="78" t="inlineStr">
        <is>
          <t>Buildings &amp; Transport, Emergency response, Energy, "Land, Food and Forest"</t>
        </is>
      </c>
    </row>
    <row r="1010">
      <c r="C1010" s="78" t="inlineStr">
        <is>
          <t>Buildings &amp; Transport, Energy, "Land, Food and Forest"</t>
        </is>
      </c>
    </row>
    <row r="1011">
      <c r="C1011" s="78" t="inlineStr">
        <is>
          <t>Buildings &amp; Transport, Energy, "Land, Food and Forest"</t>
        </is>
      </c>
    </row>
    <row r="1012">
      <c r="C1012" s="78" t="inlineStr">
        <is>
          <t>Buildings &amp; Transport, Energy, "Land, Food and Forest"</t>
        </is>
      </c>
    </row>
    <row r="1013">
      <c r="C1013" s="78" t="inlineStr">
        <is>
          <t>Buildings &amp; Transport, Energy</t>
        </is>
      </c>
    </row>
    <row r="1014">
      <c r="C1014" s="78" t="inlineStr">
        <is>
          <t>NA</t>
        </is>
      </c>
    </row>
    <row r="1015">
      <c r="C1015" s="78" t="inlineStr">
        <is>
          <t>NA</t>
        </is>
      </c>
    </row>
    <row r="1016">
      <c r="C1016" s="78" t="inlineStr">
        <is>
          <t>Emergency response, "Land, Food and Forest"</t>
        </is>
      </c>
    </row>
    <row r="1017">
      <c r="C1017" s="78" t="inlineStr">
        <is>
          <t>Buildings &amp; Transport, Energy, "Land, Food and Forest"</t>
        </is>
      </c>
    </row>
    <row r="1018">
      <c r="C1018" s="78" t="inlineStr">
        <is>
          <t>"Land, Food and Forest"</t>
        </is>
      </c>
    </row>
    <row r="1019">
      <c r="C1019" s="78" t="inlineStr">
        <is>
          <t>Buildings &amp; Transport, Energy, "Land, Food and Forest"</t>
        </is>
      </c>
    </row>
    <row r="1020">
      <c r="C1020" s="78" t="inlineStr">
        <is>
          <t>Buildings &amp; Transport, Energy</t>
        </is>
      </c>
    </row>
    <row r="1021">
      <c r="C1021" s="78" t="inlineStr">
        <is>
          <t>"Land, Food and Forest"</t>
        </is>
      </c>
    </row>
    <row r="1022">
      <c r="C1022" s="78" t="inlineStr">
        <is>
          <t>Energy, "Land, Food and Forest"</t>
        </is>
      </c>
    </row>
    <row r="1023">
      <c r="C1023" s="78" t="inlineStr">
        <is>
          <t>Buildings &amp; Transport, Energy</t>
        </is>
      </c>
    </row>
    <row r="1024">
      <c r="C1024" s="78" t="inlineStr">
        <is>
          <t>Buildings &amp; Transport, Energy</t>
        </is>
      </c>
    </row>
    <row r="1025">
      <c r="C1025" s="78" t="inlineStr">
        <is>
          <t>"Land, Food and Forest"</t>
        </is>
      </c>
    </row>
    <row r="1026">
      <c r="C1026" s="78" t="inlineStr">
        <is>
          <t>"Land, Food and Forest"</t>
        </is>
      </c>
    </row>
    <row r="1027">
      <c r="C1027" s="78" t="inlineStr">
        <is>
          <t>"Land, Food and Forest"</t>
        </is>
      </c>
    </row>
    <row r="1028">
      <c r="C1028" s="78" t="inlineStr">
        <is>
          <t>"Land, Food and Forest"</t>
        </is>
      </c>
    </row>
    <row r="1029">
      <c r="C1029" s="78" t="inlineStr">
        <is>
          <t>Buildings &amp; Transport, Energy, "Land, Food and Forest"</t>
        </is>
      </c>
    </row>
    <row r="1030">
      <c r="C1030" s="78" t="inlineStr">
        <is>
          <t>"Land, Food and Forest"</t>
        </is>
      </c>
    </row>
    <row r="1031">
      <c r="C1031" s="78" t="inlineStr">
        <is>
          <t>"Land, Food and Forest"</t>
        </is>
      </c>
    </row>
    <row r="1032">
      <c r="C1032" s="78" t="inlineStr">
        <is>
          <t>Buildings &amp; Transport, Energy</t>
        </is>
      </c>
    </row>
    <row r="1033">
      <c r="C1033" s="78" t="inlineStr">
        <is>
          <t>Energy, "Land, Food and Forest"</t>
        </is>
      </c>
    </row>
    <row r="1034">
      <c r="C1034" s="78" t="inlineStr">
        <is>
          <t>"Land, Food and Forest"</t>
        </is>
      </c>
    </row>
    <row r="1035">
      <c r="C1035" s="78" t="inlineStr">
        <is>
          <t>"Land, Food and Forest"</t>
        </is>
      </c>
    </row>
    <row r="1036">
      <c r="C1036" s="78" t="inlineStr">
        <is>
          <t>"Land, Food and Forest"</t>
        </is>
      </c>
    </row>
    <row r="1037">
      <c r="C1037" s="78" t="inlineStr">
        <is>
          <t>"Land, Food and Forest"</t>
        </is>
      </c>
    </row>
    <row r="1038">
      <c r="C1038" s="78" t="inlineStr">
        <is>
          <t>Buildings &amp; Transport, "Land, Food and Forest"</t>
        </is>
      </c>
    </row>
    <row r="1039">
      <c r="C1039" s="78" t="inlineStr">
        <is>
          <t>NA</t>
        </is>
      </c>
    </row>
    <row r="1040">
      <c r="C1040" s="78" t="inlineStr">
        <is>
          <t>NA</t>
        </is>
      </c>
    </row>
    <row r="1041">
      <c r="C1041" s="78" t="inlineStr">
        <is>
          <t>Buildings &amp; Transport, Energy, "Land, Food and Forest"</t>
        </is>
      </c>
    </row>
    <row r="1042">
      <c r="C1042" s="78" t="inlineStr">
        <is>
          <t>Buildings &amp; Transport, Energy, "Land, Food and Forest"</t>
        </is>
      </c>
    </row>
    <row r="1043">
      <c r="C1043" s="78" t="inlineStr">
        <is>
          <t>Energy, "Land, Food and Forest"</t>
        </is>
      </c>
    </row>
    <row r="1044">
      <c r="C1044" s="78" t="inlineStr">
        <is>
          <t>Energy, "Land, Food and Forest"</t>
        </is>
      </c>
    </row>
    <row r="1045">
      <c r="C1045" s="78" t="inlineStr">
        <is>
          <t>"Land, Food and Forest"</t>
        </is>
      </c>
    </row>
    <row r="1046">
      <c r="C1046" s="78" t="inlineStr">
        <is>
          <t>Buildings &amp; Transport, Energy, "Land, Food and Forest"</t>
        </is>
      </c>
    </row>
    <row r="1047">
      <c r="C1047" s="78" t="inlineStr">
        <is>
          <t>Buildings &amp; Transport, Energy, "Land, Food and Forest"</t>
        </is>
      </c>
    </row>
    <row r="1048">
      <c r="C1048" s="78" t="inlineStr">
        <is>
          <t>Buildings &amp; Transport</t>
        </is>
      </c>
    </row>
    <row r="1049">
      <c r="C1049" s="78" t="inlineStr">
        <is>
          <t>NA</t>
        </is>
      </c>
    </row>
    <row r="1050">
      <c r="C1050" s="78" t="inlineStr">
        <is>
          <t>Buildings &amp; Transport, Energy, "Land, Food and Forest"</t>
        </is>
      </c>
    </row>
    <row r="1051">
      <c r="C1051" s="78" t="inlineStr">
        <is>
          <t>"Land, Food and Forest"</t>
        </is>
      </c>
    </row>
    <row r="1052">
      <c r="C1052" s="78" t="inlineStr">
        <is>
          <t>Buildings &amp; Transport, Energy, "Land, Food and Forest"</t>
        </is>
      </c>
    </row>
    <row r="1053">
      <c r="C1053" s="78" t="inlineStr">
        <is>
          <t>Buildings &amp; Transport, Energy, "Land, Food and Forest"</t>
        </is>
      </c>
    </row>
    <row r="1054">
      <c r="C1054" s="78" t="inlineStr">
        <is>
          <t>Buildings &amp; Transport, "Land, Food and Forest"</t>
        </is>
      </c>
    </row>
    <row r="1055">
      <c r="C1055" s="78" t="inlineStr">
        <is>
          <t>"Land, Food and Forest"</t>
        </is>
      </c>
    </row>
    <row r="1056">
      <c r="C1056" s="78" t="inlineStr">
        <is>
          <t>NA</t>
        </is>
      </c>
    </row>
    <row r="1057">
      <c r="C1057" s="78" t="inlineStr">
        <is>
          <t>NA</t>
        </is>
      </c>
    </row>
    <row r="1058">
      <c r="C1058" s="78" t="inlineStr">
        <is>
          <t>Buildings &amp; Transport, "Land, Food and Forest"</t>
        </is>
      </c>
    </row>
    <row r="1059">
      <c r="C1059" s="78" t="inlineStr">
        <is>
          <t>"Land, Food and Forest"</t>
        </is>
      </c>
    </row>
    <row r="1060">
      <c r="C1060" s="78" t="inlineStr">
        <is>
          <t>Buildings &amp; Transport, Emergency response, Energy, "Land, Food and Forest"</t>
        </is>
      </c>
    </row>
    <row r="1061">
      <c r="C1061" s="78" t="inlineStr">
        <is>
          <t>"Land, Food and Forest"</t>
        </is>
      </c>
    </row>
    <row r="1062">
      <c r="C1062" s="78" t="inlineStr">
        <is>
          <t>"Land, Food and Forest"</t>
        </is>
      </c>
    </row>
    <row r="1063">
      <c r="C1063" s="78" t="inlineStr">
        <is>
          <t>Buildings &amp; Transport, Energy, "Land, Food and Forest"</t>
        </is>
      </c>
    </row>
    <row r="1064">
      <c r="C1064" s="78" t="inlineStr">
        <is>
          <t>Buildings &amp; Transport, Energy, "Land, Food and Forest"</t>
        </is>
      </c>
    </row>
    <row r="1065">
      <c r="C1065" s="78" t="inlineStr">
        <is>
          <t>"Land, Food and Forest"</t>
        </is>
      </c>
    </row>
    <row r="1066">
      <c r="C1066" s="78" t="inlineStr">
        <is>
          <t>"Land, Food and Forest"</t>
        </is>
      </c>
    </row>
    <row r="1067">
      <c r="C1067" s="78" t="inlineStr">
        <is>
          <t>NA</t>
        </is>
      </c>
    </row>
    <row r="1068">
      <c r="C1068" s="78" t="inlineStr">
        <is>
          <t>Buildings &amp; Transport, "Land, Food and Forest"</t>
        </is>
      </c>
    </row>
    <row r="1069">
      <c r="C1069" s="78" t="inlineStr">
        <is>
          <t>NA</t>
        </is>
      </c>
    </row>
    <row r="1070">
      <c r="C1070" s="78" t="inlineStr">
        <is>
          <t>"Land, Food and Forest"</t>
        </is>
      </c>
    </row>
    <row r="1071">
      <c r="C1071" s="78" t="inlineStr">
        <is>
          <t>NA</t>
        </is>
      </c>
    </row>
    <row r="1072">
      <c r="C1072" s="78" t="inlineStr">
        <is>
          <t>Buildings &amp; Transport, Energy, "Land, Food and Forest"</t>
        </is>
      </c>
    </row>
    <row r="1073">
      <c r="C1073" s="78" t="inlineStr">
        <is>
          <t>NA</t>
        </is>
      </c>
    </row>
    <row r="1074">
      <c r="C1074" s="78" t="inlineStr">
        <is>
          <t>Buildings &amp; Transport, Emergency response, Energy, "Land, Food and Forest"</t>
        </is>
      </c>
    </row>
    <row r="1075">
      <c r="C1075" s="78" t="inlineStr">
        <is>
          <t>NA</t>
        </is>
      </c>
    </row>
    <row r="1076">
      <c r="C1076" s="78" t="inlineStr">
        <is>
          <t>NA</t>
        </is>
      </c>
    </row>
    <row r="1077">
      <c r="C1077" s="78" t="inlineStr">
        <is>
          <t>NA</t>
        </is>
      </c>
    </row>
    <row r="1078">
      <c r="C1078" s="78" t="inlineStr">
        <is>
          <t>Buildings &amp; Transport, Energy, "Land, Food and Forest"</t>
        </is>
      </c>
    </row>
    <row r="1079">
      <c r="C1079" s="78" t="inlineStr">
        <is>
          <t>"Land, Food and Forest"</t>
        </is>
      </c>
    </row>
    <row r="1080">
      <c r="C1080" s="78" t="inlineStr">
        <is>
          <t>"Land, Food and Forest"</t>
        </is>
      </c>
    </row>
    <row r="1081">
      <c r="C1081" s="78" t="inlineStr">
        <is>
          <t>Buildings &amp; Transport</t>
        </is>
      </c>
    </row>
    <row r="1082">
      <c r="C1082" s="78" t="inlineStr">
        <is>
          <t>Buildings &amp; Transport</t>
        </is>
      </c>
    </row>
    <row r="1083">
      <c r="C1083" s="78" t="inlineStr">
        <is>
          <t>"Land, Food and Forest"</t>
        </is>
      </c>
    </row>
    <row r="1084">
      <c r="C1084" s="78" t="inlineStr">
        <is>
          <t>"Land, Food and Forest"</t>
        </is>
      </c>
    </row>
    <row r="1085">
      <c r="C1085" s="78" t="inlineStr">
        <is>
          <t>Buildings &amp; Transport, Energy, "Land, Food and Forest"</t>
        </is>
      </c>
    </row>
    <row r="1086">
      <c r="C1086" s="78" t="inlineStr">
        <is>
          <t>Emergency response, "Land, Food and Forest"</t>
        </is>
      </c>
    </row>
    <row r="1087">
      <c r="C1087" s="78" t="inlineStr">
        <is>
          <t>NA</t>
        </is>
      </c>
    </row>
    <row r="1088">
      <c r="C1088" s="78" t="inlineStr">
        <is>
          <t>NA</t>
        </is>
      </c>
    </row>
    <row r="1089">
      <c r="C1089" s="78" t="inlineStr">
        <is>
          <t>NA</t>
        </is>
      </c>
    </row>
    <row r="1090">
      <c r="C1090" s="78" t="inlineStr">
        <is>
          <t>"Land, Food and Forest"</t>
        </is>
      </c>
    </row>
    <row r="1091">
      <c r="C1091" s="78" t="inlineStr">
        <is>
          <t>Buildings &amp; Transport, Energy, "Land, Food and Forest"</t>
        </is>
      </c>
    </row>
    <row r="1092">
      <c r="C1092" s="78" t="inlineStr">
        <is>
          <t>"Land, Food and Forest"</t>
        </is>
      </c>
    </row>
    <row r="1093">
      <c r="C1093" s="78" t="inlineStr">
        <is>
          <t>Buildings &amp; Transport</t>
        </is>
      </c>
    </row>
    <row r="1094">
      <c r="C1094" s="78" t="inlineStr">
        <is>
          <t>Buildings &amp; Transport, Energy, "Land, Food and Forest"</t>
        </is>
      </c>
    </row>
    <row r="1095">
      <c r="C1095" s="78" t="inlineStr">
        <is>
          <t>Buildings &amp; Transport, Emergency response, Energy, "Land, Food and Forest"</t>
        </is>
      </c>
    </row>
    <row r="1096">
      <c r="C1096" s="78" t="inlineStr">
        <is>
          <t>Energy, "Land, Food and Forest"</t>
        </is>
      </c>
    </row>
    <row r="1097">
      <c r="C1097" s="78" t="inlineStr">
        <is>
          <t>"Land, Food and Forest"</t>
        </is>
      </c>
    </row>
    <row r="1098">
      <c r="C1098" s="78" t="inlineStr">
        <is>
          <t>Buildings &amp; Transport, Energy, "Land, Food and Forest"</t>
        </is>
      </c>
    </row>
    <row r="1099">
      <c r="C1099" s="78" t="inlineStr">
        <is>
          <t>Buildings &amp; Transport, Energy</t>
        </is>
      </c>
    </row>
    <row r="1100">
      <c r="C1100" s="78" t="inlineStr">
        <is>
          <t>Buildings &amp; Transport, Emergency response, Energy, "Land, Food and Forest"</t>
        </is>
      </c>
    </row>
    <row r="1101">
      <c r="C1101" s="78" t="inlineStr">
        <is>
          <t>Buildings &amp; Transport, Emergency response, Energy, "Land, Food and Forest"</t>
        </is>
      </c>
    </row>
    <row r="1102">
      <c r="C1102" s="78" t="inlineStr">
        <is>
          <t>Energy</t>
        </is>
      </c>
    </row>
    <row r="1103">
      <c r="C1103" s="78" t="inlineStr">
        <is>
          <t>Energy</t>
        </is>
      </c>
    </row>
    <row r="1104">
      <c r="C1104" s="78" t="inlineStr">
        <is>
          <t>Energy</t>
        </is>
      </c>
    </row>
    <row r="1105">
      <c r="C1105" s="78" t="inlineStr">
        <is>
          <t>Energy</t>
        </is>
      </c>
    </row>
    <row r="1106">
      <c r="C1106" s="78" t="inlineStr">
        <is>
          <t>Energy</t>
        </is>
      </c>
    </row>
    <row r="1107">
      <c r="C1107" s="78" t="inlineStr">
        <is>
          <t>Energy</t>
        </is>
      </c>
    </row>
    <row r="1108">
      <c r="C1108" s="78" t="inlineStr">
        <is>
          <t>Energy</t>
        </is>
      </c>
    </row>
    <row r="1109">
      <c r="C1109" s="78" t="inlineStr">
        <is>
          <t>Energy</t>
        </is>
      </c>
    </row>
    <row r="1110">
      <c r="C1110" s="78" t="inlineStr">
        <is>
          <t>Energy</t>
        </is>
      </c>
    </row>
    <row r="1111">
      <c r="C1111" s="78" t="inlineStr">
        <is>
          <t>Energy</t>
        </is>
      </c>
    </row>
    <row r="1112">
      <c r="C1112" s="78" t="inlineStr">
        <is>
          <t>Buildings &amp; Transport, Energy, "Land, Food and Forest"</t>
        </is>
      </c>
    </row>
    <row r="1113">
      <c r="C1113" s="78" t="inlineStr">
        <is>
          <t>Energy</t>
        </is>
      </c>
    </row>
    <row r="1114">
      <c r="C1114" s="78" t="inlineStr">
        <is>
          <t>Buildings &amp; Transport, Energy, "Land, Food and Forest"</t>
        </is>
      </c>
    </row>
    <row r="1115">
      <c r="C1115" s="78" t="inlineStr">
        <is>
          <t>Buildings &amp; Transport, Energy, "Land, Food and Forest"</t>
        </is>
      </c>
    </row>
    <row r="1116">
      <c r="C1116" s="78" t="inlineStr">
        <is>
          <t>Buildings &amp; Transport</t>
        </is>
      </c>
    </row>
    <row r="1117">
      <c r="C1117" s="78" t="inlineStr">
        <is>
          <t>Buildings &amp; Transport</t>
        </is>
      </c>
    </row>
    <row r="1118">
      <c r="C1118" s="78" t="inlineStr">
        <is>
          <t>Buildings &amp; Transport</t>
        </is>
      </c>
    </row>
    <row r="1119">
      <c r="C1119" s="78" t="inlineStr">
        <is>
          <t>Buildings &amp; Transport</t>
        </is>
      </c>
    </row>
    <row r="1120">
      <c r="C1120" s="78" t="inlineStr">
        <is>
          <t>Buildings &amp; Transport</t>
        </is>
      </c>
    </row>
    <row r="1121">
      <c r="C1121" s="78" t="inlineStr">
        <is>
          <t>Buildings &amp; Transport, Energy, "Land, Food and Forest"</t>
        </is>
      </c>
    </row>
    <row r="1122">
      <c r="C1122" s="78" t="inlineStr">
        <is>
          <t>Buildings &amp; Transport</t>
        </is>
      </c>
    </row>
    <row r="1123">
      <c r="C1123" s="78" t="inlineStr">
        <is>
          <t>Buildings &amp; Transport</t>
        </is>
      </c>
    </row>
    <row r="1124">
      <c r="C1124" s="78" t="inlineStr">
        <is>
          <t>Buildings &amp; Transport</t>
        </is>
      </c>
    </row>
    <row r="1125">
      <c r="C1125" s="78" t="inlineStr">
        <is>
          <t>Buildings &amp; Transport, Emergency response, Energy, "Land, Food and Forest"</t>
        </is>
      </c>
    </row>
    <row r="1126">
      <c r="C1126" s="78" t="inlineStr">
        <is>
          <t>Buildings &amp; Transport</t>
        </is>
      </c>
    </row>
    <row r="1127">
      <c r="C1127" s="78" t="inlineStr">
        <is>
          <t>Buildings &amp; Transport</t>
        </is>
      </c>
    </row>
    <row r="1128">
      <c r="C1128" s="78" t="inlineStr">
        <is>
          <t>Buildings &amp; Transport</t>
        </is>
      </c>
    </row>
    <row r="1129">
      <c r="C1129" s="78" t="inlineStr">
        <is>
          <t>Buildings &amp; Transport, Energy</t>
        </is>
      </c>
    </row>
    <row r="1130">
      <c r="C1130" s="78" t="inlineStr">
        <is>
          <t>Buildings &amp; Transport, Energy</t>
        </is>
      </c>
    </row>
    <row r="1131">
      <c r="C1131" s="78" t="inlineStr">
        <is>
          <t>Buildings &amp; Transport, Energy</t>
        </is>
      </c>
    </row>
    <row r="1132">
      <c r="C1132" s="78" t="inlineStr">
        <is>
          <t>"Land, Food and Forest"</t>
        </is>
      </c>
    </row>
    <row r="1133">
      <c r="C1133" s="78" t="inlineStr">
        <is>
          <t>Emergency response, "Land, Food and Forest"</t>
        </is>
      </c>
    </row>
    <row r="1134">
      <c r="C1134" s="78" t="inlineStr">
        <is>
          <t>"Land, Food and Forest"</t>
        </is>
      </c>
    </row>
    <row r="1135">
      <c r="C1135" s="78" t="inlineStr">
        <is>
          <t>Buildings &amp; Transport, "Land, Food and Forest"</t>
        </is>
      </c>
    </row>
    <row r="1136">
      <c r="C1136" s="78" t="inlineStr">
        <is>
          <t>Buildings &amp; Transport, "Land, Food and Forest"</t>
        </is>
      </c>
    </row>
    <row r="1137">
      <c r="C1137" s="78" t="inlineStr">
        <is>
          <t>Buildings &amp; Transport, "Land, Food and Forest"</t>
        </is>
      </c>
    </row>
    <row r="1138">
      <c r="C1138" s="78" t="inlineStr">
        <is>
          <t>Buildings &amp; Transport, "Land, Food and Forest"</t>
        </is>
      </c>
    </row>
    <row r="1139">
      <c r="C1139" s="78" t="inlineStr">
        <is>
          <t>"Land, Food and Forest"</t>
        </is>
      </c>
    </row>
    <row r="1140">
      <c r="C1140" s="78" t="inlineStr">
        <is>
          <t>"Land, Food and Forest"</t>
        </is>
      </c>
    </row>
    <row r="1141">
      <c r="C1141" s="78" t="inlineStr">
        <is>
          <t>Energy</t>
        </is>
      </c>
    </row>
    <row r="1142">
      <c r="C1142" s="78" t="inlineStr">
        <is>
          <t>Emergency response, "Land, Food and Forest"</t>
        </is>
      </c>
    </row>
    <row r="1143">
      <c r="C1143" s="78" t="inlineStr">
        <is>
          <t>NA</t>
        </is>
      </c>
    </row>
    <row r="1144">
      <c r="C1144" s="78" t="inlineStr">
        <is>
          <t>Emergency response, "Land, Food and Forest"</t>
        </is>
      </c>
    </row>
    <row r="1145">
      <c r="C1145" s="78" t="inlineStr">
        <is>
          <t>Buildings &amp; Transport, "Land, Food and Forest"</t>
        </is>
      </c>
    </row>
    <row r="1146">
      <c r="C1146" s="78" t="inlineStr">
        <is>
          <t>Buildings &amp; Transport, "Land, Food and Forest"</t>
        </is>
      </c>
    </row>
    <row r="1147">
      <c r="C1147" s="78" t="inlineStr">
        <is>
          <t>Buildings &amp; Transport, "Land, Food and Forest"</t>
        </is>
      </c>
    </row>
    <row r="1148">
      <c r="C1148" s="78" t="inlineStr">
        <is>
          <t>Buildings &amp; Transport, "Land, Food and Forest"</t>
        </is>
      </c>
    </row>
    <row r="1149">
      <c r="C1149" s="78" t="inlineStr">
        <is>
          <t>Buildings &amp; Transport, "Land, Food and Forest"</t>
        </is>
      </c>
    </row>
    <row r="1150">
      <c r="C1150" s="78" t="inlineStr">
        <is>
          <t>Buildings &amp; Transport, "Land, Food and Forest"</t>
        </is>
      </c>
    </row>
    <row r="1151">
      <c r="C1151" s="78" t="inlineStr">
        <is>
          <t>"Land, Food and Forest"</t>
        </is>
      </c>
    </row>
    <row r="1152">
      <c r="C1152" s="78" t="inlineStr">
        <is>
          <t>"Land, Food and Forest"</t>
        </is>
      </c>
    </row>
    <row r="1153">
      <c r="C1153" s="78" t="inlineStr">
        <is>
          <t>"Land, Food and Forest"</t>
        </is>
      </c>
    </row>
    <row r="1154">
      <c r="C1154" s="78" t="inlineStr">
        <is>
          <t>"Land, Food and Forest"</t>
        </is>
      </c>
    </row>
    <row r="1155">
      <c r="C1155" s="78" t="inlineStr">
        <is>
          <t>"Land, Food and Forest"</t>
        </is>
      </c>
    </row>
    <row r="1156">
      <c r="C1156" s="78" t="inlineStr">
        <is>
          <t>Buildings &amp; Transport, Energy, "Land, Food and Forest"</t>
        </is>
      </c>
    </row>
    <row r="1157">
      <c r="C1157" s="78" t="inlineStr">
        <is>
          <t>Buildings &amp; Transport, "Land, Food and Forest"</t>
        </is>
      </c>
    </row>
    <row r="1158">
      <c r="C1158" s="78" t="inlineStr">
        <is>
          <t>Buildings &amp; Transport, "Land, Food and Forest"</t>
        </is>
      </c>
    </row>
    <row r="1159">
      <c r="C1159" s="78" t="inlineStr">
        <is>
          <t>Buildings &amp; Transport, Energy, "Land, Food and Forest"</t>
        </is>
      </c>
    </row>
    <row r="1160">
      <c r="C1160" s="78" t="inlineStr">
        <is>
          <t>"Land, Food and Forest"</t>
        </is>
      </c>
    </row>
    <row r="1161">
      <c r="C1161" s="78" t="inlineStr">
        <is>
          <t>"Land, Food and Forest"</t>
        </is>
      </c>
    </row>
    <row r="1162">
      <c r="C1162" s="78" t="inlineStr">
        <is>
          <t>"Land, Food and Forest"</t>
        </is>
      </c>
    </row>
    <row r="1163">
      <c r="C1163" s="78" t="inlineStr">
        <is>
          <t>Buildings &amp; Transport, Emergency response, Energy, "Land, Food and Forest"</t>
        </is>
      </c>
    </row>
    <row r="1164">
      <c r="C1164" s="78" t="inlineStr">
        <is>
          <t>Buildings &amp; Transport, Emergency response, Energy, "Land, Food and Forest"</t>
        </is>
      </c>
    </row>
    <row r="1165">
      <c r="C1165" s="78" t="inlineStr">
        <is>
          <t>Buildings &amp; Transport, Energy</t>
        </is>
      </c>
    </row>
    <row r="1166">
      <c r="C1166" s="78" t="inlineStr">
        <is>
          <t>Buildings &amp; Transport, Emergency response, Energy, "Land, Food and Forest"</t>
        </is>
      </c>
    </row>
    <row r="1167">
      <c r="C1167" s="78" t="inlineStr">
        <is>
          <t>"Land, Food and Forest"</t>
        </is>
      </c>
    </row>
    <row r="1168">
      <c r="C1168" s="78" t="inlineStr">
        <is>
          <t>Energy, "Land, Food and Forest"</t>
        </is>
      </c>
    </row>
    <row r="1169">
      <c r="C1169" s="78" t="inlineStr">
        <is>
          <t>"Land, Food and Forest"</t>
        </is>
      </c>
    </row>
    <row r="1170">
      <c r="C1170" s="78" t="inlineStr">
        <is>
          <t>Buildings &amp; Transport, Emergency response, Energy, "Land, Food and Forest"</t>
        </is>
      </c>
    </row>
    <row r="1171">
      <c r="C1171" s="78" t="inlineStr">
        <is>
          <t>Buildings &amp; Transport, Emergency response, Energy, "Land, Food and Forest"</t>
        </is>
      </c>
    </row>
    <row r="1172">
      <c r="C1172" s="78" t="inlineStr">
        <is>
          <t>Buildings &amp; Transport, Energy, "Land, Food and Forest"</t>
        </is>
      </c>
    </row>
    <row r="1173">
      <c r="C1173" s="78" t="inlineStr">
        <is>
          <t>Buildings &amp; Transport, Energy, "Land, Food and Forest"</t>
        </is>
      </c>
    </row>
    <row r="1174">
      <c r="C1174" s="78" t="inlineStr">
        <is>
          <t>Buildings &amp; Transport, Energy, "Land, Food and Forest"</t>
        </is>
      </c>
    </row>
    <row r="1175">
      <c r="C1175" s="78" t="inlineStr">
        <is>
          <t>Buildings &amp; Transport, Energy, "Land, Food and Forest"</t>
        </is>
      </c>
    </row>
    <row r="1176">
      <c r="C1176" s="78" t="inlineStr">
        <is>
          <t>Energy, "Land, Food and Forest"</t>
        </is>
      </c>
    </row>
    <row r="1177">
      <c r="C1177" s="78" t="inlineStr">
        <is>
          <t>Buildings &amp; Transport, Energy, "Land, Food and Forest"</t>
        </is>
      </c>
    </row>
    <row r="1178">
      <c r="C1178" s="78" t="inlineStr">
        <is>
          <t>Energy</t>
        </is>
      </c>
    </row>
    <row r="1179">
      <c r="C1179" s="78" t="inlineStr">
        <is>
          <t>Energy</t>
        </is>
      </c>
    </row>
    <row r="1180">
      <c r="C1180" s="78" t="inlineStr">
        <is>
          <t>Energy</t>
        </is>
      </c>
    </row>
    <row r="1181">
      <c r="C1181" s="78" t="inlineStr">
        <is>
          <t>Energy</t>
        </is>
      </c>
    </row>
    <row r="1182">
      <c r="C1182" s="78" t="inlineStr">
        <is>
          <t>Energy</t>
        </is>
      </c>
    </row>
    <row r="1183">
      <c r="C1183" s="78" t="inlineStr">
        <is>
          <t>Buildings &amp; Transport, Energy, "Land, Food and Forest"</t>
        </is>
      </c>
    </row>
    <row r="1184">
      <c r="C1184" s="78" t="inlineStr">
        <is>
          <t>Energy</t>
        </is>
      </c>
    </row>
    <row r="1185">
      <c r="C1185" s="78" t="inlineStr">
        <is>
          <t>Energy</t>
        </is>
      </c>
    </row>
    <row r="1186">
      <c r="C1186" s="78" t="inlineStr">
        <is>
          <t>Energy</t>
        </is>
      </c>
    </row>
    <row r="1187">
      <c r="C1187" s="78" t="inlineStr">
        <is>
          <t>Energy</t>
        </is>
      </c>
    </row>
    <row r="1188">
      <c r="C1188" s="78" t="inlineStr">
        <is>
          <t>Energy</t>
        </is>
      </c>
    </row>
    <row r="1189">
      <c r="C1189" s="78" t="inlineStr">
        <is>
          <t>Buildings &amp; Transport, Energy</t>
        </is>
      </c>
    </row>
    <row r="1190">
      <c r="C1190" s="78" t="inlineStr">
        <is>
          <t>Buildings &amp; Transport, Energy</t>
        </is>
      </c>
    </row>
    <row r="1191">
      <c r="C1191" s="78" t="inlineStr">
        <is>
          <t>Buildings &amp; Transport, Energy</t>
        </is>
      </c>
    </row>
    <row r="1192">
      <c r="C1192" s="78" t="inlineStr">
        <is>
          <t>Buildings &amp; Transport, Energy</t>
        </is>
      </c>
    </row>
    <row r="1193">
      <c r="C1193" s="78" t="inlineStr">
        <is>
          <t>Energy</t>
        </is>
      </c>
    </row>
    <row r="1194">
      <c r="C1194" s="78" t="inlineStr">
        <is>
          <t>Energy</t>
        </is>
      </c>
    </row>
    <row r="1195">
      <c r="C1195" s="78" t="inlineStr">
        <is>
          <t>Buildings &amp; Transport, Energy</t>
        </is>
      </c>
    </row>
    <row r="1196">
      <c r="C1196" s="78" t="inlineStr">
        <is>
          <t>Buildings &amp; Transport, Energy, "Land, Food and Forest"</t>
        </is>
      </c>
    </row>
    <row r="1197">
      <c r="C1197" s="78" t="inlineStr">
        <is>
          <t>Buildings &amp; Transport, Energy, "Land, Food and Forest"</t>
        </is>
      </c>
    </row>
    <row r="1198">
      <c r="C1198" s="78" t="inlineStr">
        <is>
          <t>Energy, "Land, Food and Forest"</t>
        </is>
      </c>
    </row>
    <row r="1199">
      <c r="C1199" s="78" t="inlineStr">
        <is>
          <t>Buildings &amp; Transport, Energy, "Land, Food and Forest"</t>
        </is>
      </c>
    </row>
    <row r="1200">
      <c r="C1200" s="78" t="inlineStr">
        <is>
          <t>Buildings &amp; Transport, "Land, Food and Forest"</t>
        </is>
      </c>
    </row>
    <row r="1201">
      <c r="C1201" s="78" t="inlineStr">
        <is>
          <t>Buildings &amp; Transport, Emergency response</t>
        </is>
      </c>
    </row>
    <row r="1202">
      <c r="C1202" s="78" t="inlineStr">
        <is>
          <t>Buildings &amp; Transport</t>
        </is>
      </c>
    </row>
    <row r="1203">
      <c r="C1203" s="78" t="inlineStr">
        <is>
          <t>Buildings &amp; Transport, Energy, "Land, Food and Forest"</t>
        </is>
      </c>
    </row>
    <row r="1204">
      <c r="C1204" s="78" t="inlineStr">
        <is>
          <t>Buildings &amp; Transport, Energy, "Land, Food and Forest"</t>
        </is>
      </c>
    </row>
    <row r="1205">
      <c r="C1205" s="78" t="inlineStr">
        <is>
          <t>Buildings &amp; Transport, Energy</t>
        </is>
      </c>
    </row>
    <row r="1206">
      <c r="C1206" s="78" t="inlineStr">
        <is>
          <t>Buildings &amp; Transport</t>
        </is>
      </c>
    </row>
    <row r="1207">
      <c r="C1207" s="78" t="inlineStr">
        <is>
          <t>"Land, Food and Forest"</t>
        </is>
      </c>
    </row>
    <row r="1208">
      <c r="C1208" s="78" t="inlineStr">
        <is>
          <t>"Land, Food and Forest"</t>
        </is>
      </c>
    </row>
    <row r="1209">
      <c r="C1209" s="78" t="inlineStr">
        <is>
          <t>Energy</t>
        </is>
      </c>
    </row>
    <row r="1210">
      <c r="C1210" s="78" t="inlineStr">
        <is>
          <t>Buildings &amp; Transport, Energy</t>
        </is>
      </c>
    </row>
    <row r="1211">
      <c r="C1211" s="78" t="inlineStr">
        <is>
          <t>Buildings &amp; Transport, Energy, "Land, Food and Forest"</t>
        </is>
      </c>
    </row>
    <row r="1212">
      <c r="C1212" s="78" t="inlineStr">
        <is>
          <t>"Land, Food and Forest"</t>
        </is>
      </c>
    </row>
    <row r="1213">
      <c r="C1213" s="78" t="inlineStr">
        <is>
          <t>Buildings &amp; Transport, Energy, "Land, Food and Forest"</t>
        </is>
      </c>
    </row>
    <row r="1214">
      <c r="C1214" s="78" t="inlineStr">
        <is>
          <t>"Land, Food and Forest"</t>
        </is>
      </c>
    </row>
    <row r="1215">
      <c r="C1215" s="78" t="inlineStr">
        <is>
          <t>Emergency response</t>
        </is>
      </c>
    </row>
    <row r="1216">
      <c r="C1216" s="78" t="inlineStr">
        <is>
          <t>"Land, Food and Forest"</t>
        </is>
      </c>
    </row>
    <row r="1217">
      <c r="C1217" s="78" t="inlineStr">
        <is>
          <t>Buildings &amp; Transport, Energy, "Land, Food and Forest"</t>
        </is>
      </c>
    </row>
    <row r="1218">
      <c r="C1218" s="78" t="inlineStr">
        <is>
          <t>"Land, Food and Forest"</t>
        </is>
      </c>
    </row>
    <row r="1219">
      <c r="C1219" s="78" t="inlineStr">
        <is>
          <t>"Land, Food and Forest"</t>
        </is>
      </c>
    </row>
    <row r="1220">
      <c r="C1220" s="78" t="inlineStr">
        <is>
          <t>"Land, Food and Forest"</t>
        </is>
      </c>
    </row>
    <row r="1221">
      <c r="C1221" s="78" t="inlineStr">
        <is>
          <t>"Land, Food and Forest"</t>
        </is>
      </c>
    </row>
    <row r="1222">
      <c r="C1222" s="78" t="inlineStr">
        <is>
          <t>Energy</t>
        </is>
      </c>
    </row>
    <row r="1223">
      <c r="C1223" s="78" t="inlineStr">
        <is>
          <t>Buildings &amp; Transport, Emergency response, Energy, "Land, Food and Forest"</t>
        </is>
      </c>
    </row>
    <row r="1224">
      <c r="C1224" s="78" t="inlineStr">
        <is>
          <t>Buildings &amp; Transport, Energy, "Land, Food and Forest"</t>
        </is>
      </c>
    </row>
    <row r="1225">
      <c r="C1225" s="78" t="inlineStr">
        <is>
          <t>Buildings &amp; Transport, Energy, "Land, Food and Forest"</t>
        </is>
      </c>
    </row>
    <row r="1226">
      <c r="C1226" s="78" t="inlineStr">
        <is>
          <t>NA</t>
        </is>
      </c>
    </row>
    <row r="1227">
      <c r="C1227" s="78" t="inlineStr">
        <is>
          <t>NA</t>
        </is>
      </c>
    </row>
    <row r="1228">
      <c r="C1228" s="78" t="inlineStr">
        <is>
          <t>Energy</t>
        </is>
      </c>
    </row>
    <row r="1229">
      <c r="C1229" s="78" t="inlineStr">
        <is>
          <t>Buildings &amp; Transport, Energy</t>
        </is>
      </c>
    </row>
    <row r="1230">
      <c r="C1230" s="78" t="inlineStr">
        <is>
          <t>Buildings &amp; Transport, Energy, "Land, Food and Forest"</t>
        </is>
      </c>
    </row>
    <row r="1231">
      <c r="C1231" s="78" t="inlineStr">
        <is>
          <t>"Land, Food and Forest"</t>
        </is>
      </c>
    </row>
    <row r="1232">
      <c r="C1232" s="78" t="inlineStr">
        <is>
          <t>"Land, Food and Forest"</t>
        </is>
      </c>
    </row>
    <row r="1233">
      <c r="C1233" s="78" t="inlineStr">
        <is>
          <t>"Land, Food and Forest"</t>
        </is>
      </c>
    </row>
    <row r="1234">
      <c r="C1234" s="78" t="inlineStr">
        <is>
          <t>"Land, Food and Forest"</t>
        </is>
      </c>
    </row>
    <row r="1235">
      <c r="C1235" s="78" t="inlineStr">
        <is>
          <t>"Land, Food and Forest"</t>
        </is>
      </c>
    </row>
    <row r="1236">
      <c r="C1236" s="78" t="inlineStr">
        <is>
          <t>"Land, Food and Forest"</t>
        </is>
      </c>
    </row>
    <row r="1237">
      <c r="C1237" s="78" t="inlineStr">
        <is>
          <t>"Land, Food and Forest"</t>
        </is>
      </c>
    </row>
    <row r="1238">
      <c r="C1238" s="78" t="inlineStr">
        <is>
          <t>"Land, Food and Forest"</t>
        </is>
      </c>
    </row>
    <row r="1239">
      <c r="C1239" s="78" t="inlineStr">
        <is>
          <t>"Land, Food and Forest"</t>
        </is>
      </c>
    </row>
    <row r="1240">
      <c r="C1240" s="78" t="inlineStr">
        <is>
          <t>Energy</t>
        </is>
      </c>
    </row>
    <row r="1241">
      <c r="C1241" s="78" t="inlineStr">
        <is>
          <t>Buildings &amp; Transport, Energy</t>
        </is>
      </c>
    </row>
    <row r="1242">
      <c r="C1242" s="78" t="inlineStr">
        <is>
          <t>Buildings &amp; Transport</t>
        </is>
      </c>
    </row>
    <row r="1243">
      <c r="C1243" s="78" t="inlineStr">
        <is>
          <t>Buildings &amp; Transport</t>
        </is>
      </c>
    </row>
    <row r="1244">
      <c r="C1244" s="78" t="inlineStr">
        <is>
          <t>Buildings &amp; Transport</t>
        </is>
      </c>
    </row>
    <row r="1245">
      <c r="C1245" s="78" t="inlineStr">
        <is>
          <t>NA</t>
        </is>
      </c>
    </row>
    <row r="1246">
      <c r="C1246" s="78" t="inlineStr">
        <is>
          <t>Buildings &amp; Transport</t>
        </is>
      </c>
    </row>
    <row r="1247">
      <c r="C1247" s="78" t="inlineStr">
        <is>
          <t>Buildings &amp; Transport</t>
        </is>
      </c>
    </row>
    <row r="1248">
      <c r="C1248" s="78" t="inlineStr">
        <is>
          <t>"Land, Food and Forest"</t>
        </is>
      </c>
    </row>
    <row r="1249">
      <c r="C1249" s="78" t="inlineStr">
        <is>
          <t>NA</t>
        </is>
      </c>
    </row>
    <row r="1250">
      <c r="C1250" s="78" t="inlineStr">
        <is>
          <t>Buildings &amp; Transport, Energy, "Land, Food and Forest"</t>
        </is>
      </c>
    </row>
    <row r="1251">
      <c r="C1251" s="78" t="inlineStr">
        <is>
          <t>"Land, Food and Forest"</t>
        </is>
      </c>
    </row>
    <row r="1252">
      <c r="C1252" s="78" t="inlineStr">
        <is>
          <t>"Land, Food and Forest"</t>
        </is>
      </c>
    </row>
    <row r="1253">
      <c r="C1253" s="78" t="inlineStr">
        <is>
          <t>Energy, "Land, Food and Forest"</t>
        </is>
      </c>
    </row>
    <row r="1254">
      <c r="C1254" s="78" t="inlineStr">
        <is>
          <t>Buildings &amp; Transport</t>
        </is>
      </c>
    </row>
    <row r="1255">
      <c r="C1255" s="78" t="inlineStr">
        <is>
          <t>Buildings &amp; Transport</t>
        </is>
      </c>
    </row>
    <row r="1256">
      <c r="C1256" s="78" t="inlineStr">
        <is>
          <t>Buildings &amp; Transport</t>
        </is>
      </c>
    </row>
    <row r="1257">
      <c r="C1257" s="78" t="inlineStr">
        <is>
          <t>Energy, "Land, Food and Forest"</t>
        </is>
      </c>
    </row>
    <row r="1258">
      <c r="C1258" s="78" t="inlineStr">
        <is>
          <t>Energy, "Land, Food and Forest"</t>
        </is>
      </c>
    </row>
    <row r="1259">
      <c r="C1259" s="78" t="inlineStr">
        <is>
          <t>NA</t>
        </is>
      </c>
    </row>
    <row r="1260">
      <c r="C1260" s="78" t="inlineStr">
        <is>
          <t>Energy, "Land, Food and Forest"</t>
        </is>
      </c>
    </row>
    <row r="1261">
      <c r="C1261" s="78" t="inlineStr">
        <is>
          <t>Energy, "Land, Food and Forest"</t>
        </is>
      </c>
    </row>
    <row r="1262">
      <c r="C1262" s="78" t="inlineStr">
        <is>
          <t>Energy, "Land, Food and Forest"</t>
        </is>
      </c>
    </row>
    <row r="1263">
      <c r="C1263" s="78" t="inlineStr">
        <is>
          <t>"Land, Food and Forest"</t>
        </is>
      </c>
    </row>
    <row r="1264">
      <c r="C1264" s="78" t="inlineStr">
        <is>
          <t>"Land, Food and Forest"</t>
        </is>
      </c>
    </row>
    <row r="1265">
      <c r="C1265" s="78" t="inlineStr">
        <is>
          <t>"Land, Food and Forest"</t>
        </is>
      </c>
    </row>
    <row r="1266">
      <c r="C1266" s="78" t="inlineStr">
        <is>
          <t>"Land, Food and Forest"</t>
        </is>
      </c>
    </row>
    <row r="1267">
      <c r="C1267" s="78" t="inlineStr">
        <is>
          <t>"Land, Food and Forest"</t>
        </is>
      </c>
    </row>
    <row r="1268">
      <c r="C1268" s="78" t="inlineStr">
        <is>
          <t>"Land, Food and Forest"</t>
        </is>
      </c>
    </row>
    <row r="1269">
      <c r="C1269" s="78" t="inlineStr">
        <is>
          <t>"Land, Food and Forest"</t>
        </is>
      </c>
    </row>
    <row r="1270">
      <c r="C1270" s="78" t="inlineStr">
        <is>
          <t>"Land, Food and Forest"</t>
        </is>
      </c>
    </row>
    <row r="1271">
      <c r="C1271" s="78" t="inlineStr">
        <is>
          <t>Emergency response, Energy, "Land, Food and Forest"</t>
        </is>
      </c>
    </row>
    <row r="1272">
      <c r="C1272" s="78" t="inlineStr">
        <is>
          <t>"Land, Food and Forest"</t>
        </is>
      </c>
    </row>
    <row r="1273">
      <c r="C1273" s="78" t="inlineStr">
        <is>
          <t>"Land, Food and Forest"</t>
        </is>
      </c>
    </row>
    <row r="1274">
      <c r="C1274" s="78" t="inlineStr">
        <is>
          <t>Emergency response, "Land, Food and Forest"</t>
        </is>
      </c>
    </row>
    <row r="1275">
      <c r="C1275" s="78" t="inlineStr">
        <is>
          <t>Emergency response, "Land, Food and Forest"</t>
        </is>
      </c>
    </row>
    <row r="1276">
      <c r="C1276" s="78" t="inlineStr">
        <is>
          <t>"Land, Food and Forest"</t>
        </is>
      </c>
    </row>
    <row r="1277">
      <c r="C1277" s="78" t="inlineStr">
        <is>
          <t>"Land, Food and Forest"</t>
        </is>
      </c>
    </row>
    <row r="1278">
      <c r="C1278" s="78" t="inlineStr">
        <is>
          <t>"Land, Food and Forest"</t>
        </is>
      </c>
    </row>
    <row r="1279">
      <c r="C1279" s="78" t="inlineStr">
        <is>
          <t>"Land, Food and Forest"</t>
        </is>
      </c>
    </row>
    <row r="1280">
      <c r="C1280" s="78" t="inlineStr">
        <is>
          <t>Buildings &amp; Transport</t>
        </is>
      </c>
    </row>
    <row r="1281">
      <c r="C1281" s="78" t="inlineStr">
        <is>
          <t>Buildings &amp; Transport, Energy, "Land, Food and Forest"</t>
        </is>
      </c>
    </row>
    <row r="1282">
      <c r="C1282" s="78" t="inlineStr">
        <is>
          <t>Buildings &amp; Transport, Energy, "Land, Food and Forest"</t>
        </is>
      </c>
    </row>
    <row r="1283">
      <c r="C1283" s="78" t="inlineStr">
        <is>
          <t>Buildings &amp; Transport, Energy, "Land, Food and Forest"</t>
        </is>
      </c>
    </row>
    <row r="1284">
      <c r="C1284" s="78" t="inlineStr">
        <is>
          <t>Buildings &amp; Transport, Energy, "Land, Food and Forest"</t>
        </is>
      </c>
    </row>
    <row r="1285">
      <c r="C1285" s="78" t="inlineStr">
        <is>
          <t>Buildings &amp; Transport, Energy, "Land, Food and Forest"</t>
        </is>
      </c>
    </row>
    <row r="1286">
      <c r="C1286" s="78" t="inlineStr">
        <is>
          <t>Buildings &amp; Transport, Energy, "Land, Food and Forest"</t>
        </is>
      </c>
    </row>
    <row r="1287">
      <c r="C1287" s="78" t="inlineStr">
        <is>
          <t>Buildings &amp; Transport, Energy, "Land, Food and Forest"</t>
        </is>
      </c>
    </row>
    <row r="1288">
      <c r="C1288" s="78" t="inlineStr">
        <is>
          <t>Buildings &amp; Transport, Energy, "Land, Food and Forest"</t>
        </is>
      </c>
    </row>
    <row r="1289">
      <c r="C1289" s="78" t="inlineStr">
        <is>
          <t>Buildings &amp; Transport, Energy, "Land, Food and Forest"</t>
        </is>
      </c>
    </row>
    <row r="1290">
      <c r="C1290" s="78" t="inlineStr">
        <is>
          <t>Buildings &amp; Transport, Energy, "Land, Food and Forest"</t>
        </is>
      </c>
    </row>
    <row r="1291">
      <c r="C1291" s="78" t="inlineStr">
        <is>
          <t>Emergency response, "Land, Food and Forest"</t>
        </is>
      </c>
    </row>
    <row r="1292">
      <c r="C1292" s="78" t="inlineStr">
        <is>
          <t>Energy, "Land, Food and Forest"</t>
        </is>
      </c>
    </row>
    <row r="1293">
      <c r="C1293" s="78" t="inlineStr">
        <is>
          <t>Energy, "Land, Food and Forest"</t>
        </is>
      </c>
    </row>
    <row r="1294">
      <c r="C1294" s="78" t="inlineStr">
        <is>
          <t>Energy, "Land, Food and Forest"</t>
        </is>
      </c>
    </row>
    <row r="1295">
      <c r="C1295" s="78" t="inlineStr">
        <is>
          <t>"Land, Food and Forest"</t>
        </is>
      </c>
    </row>
    <row r="1296">
      <c r="C1296" s="78" t="inlineStr">
        <is>
          <t>NA</t>
        </is>
      </c>
    </row>
    <row r="1297">
      <c r="C1297" s="78" t="inlineStr">
        <is>
          <t>Buildings &amp; Transport, Energy, "Land, Food and Forest"</t>
        </is>
      </c>
    </row>
    <row r="1298">
      <c r="C1298" s="78" t="inlineStr">
        <is>
          <t>Buildings &amp; Transport, Energy, "Land, Food and Forest"</t>
        </is>
      </c>
    </row>
    <row r="1299">
      <c r="C1299" s="78" t="inlineStr">
        <is>
          <t>Buildings &amp; Transport, Energy, "Land, Food and Forest"</t>
        </is>
      </c>
    </row>
    <row r="1300">
      <c r="C1300" s="78" t="inlineStr">
        <is>
          <t>Buildings &amp; Transport, Energy, "Land, Food and Forest"</t>
        </is>
      </c>
    </row>
    <row r="1301">
      <c r="C1301" s="78" t="inlineStr">
        <is>
          <t>Buildings &amp; Transport, Emergency response, Energy, "Land, Food and Forest"</t>
        </is>
      </c>
    </row>
    <row r="1302">
      <c r="C1302" s="78" t="inlineStr">
        <is>
          <t>Buildings &amp; Transport, Energy, "Land, Food and Forest"</t>
        </is>
      </c>
    </row>
    <row r="1303">
      <c r="C1303" s="78" t="inlineStr">
        <is>
          <t>Buildings &amp; Transport, Energy, "Land, Food and Forest"</t>
        </is>
      </c>
    </row>
    <row r="1304">
      <c r="C1304" s="78" t="inlineStr">
        <is>
          <t>"Land, Food and Forest"</t>
        </is>
      </c>
    </row>
    <row r="1305">
      <c r="C1305" s="78" t="inlineStr">
        <is>
          <t>"Land, Food and Forest"</t>
        </is>
      </c>
    </row>
    <row r="1306">
      <c r="C1306" s="78" t="inlineStr">
        <is>
          <t>Emergency response, "Land, Food and Forest"</t>
        </is>
      </c>
    </row>
    <row r="1307">
      <c r="C1307" s="78" t="inlineStr">
        <is>
          <t>Emergency response, "Land, Food and Forest"</t>
        </is>
      </c>
    </row>
    <row r="1308">
      <c r="C1308" s="78" t="inlineStr">
        <is>
          <t>Energy, "Land, Food and Forest"</t>
        </is>
      </c>
    </row>
    <row r="1309">
      <c r="C1309" s="78" t="inlineStr">
        <is>
          <t>Buildings &amp; Transport, Energy</t>
        </is>
      </c>
    </row>
    <row r="1310">
      <c r="C1310" s="78" t="inlineStr">
        <is>
          <t>Buildings &amp; Transport, Energy</t>
        </is>
      </c>
    </row>
    <row r="1311">
      <c r="C1311" s="78" t="inlineStr">
        <is>
          <t>Energy, "Land, Food and Forest"</t>
        </is>
      </c>
    </row>
    <row r="1312">
      <c r="C1312" s="78" t="inlineStr">
        <is>
          <t>Emergency response</t>
        </is>
      </c>
    </row>
    <row r="1313">
      <c r="C1313" s="78" t="inlineStr">
        <is>
          <t>Emergency response</t>
        </is>
      </c>
    </row>
    <row r="1314">
      <c r="C1314" s="78" t="inlineStr">
        <is>
          <t>Emergency response</t>
        </is>
      </c>
    </row>
    <row r="1315">
      <c r="C1315" s="78" t="inlineStr">
        <is>
          <t>Emergency response, "Land, Food and Forest"</t>
        </is>
      </c>
    </row>
    <row r="1316">
      <c r="C1316" s="78" t="inlineStr">
        <is>
          <t>Buildings &amp; Transport</t>
        </is>
      </c>
    </row>
    <row r="1317">
      <c r="C1317" s="78" t="inlineStr">
        <is>
          <t>Energy, "Land, Food and Forest"</t>
        </is>
      </c>
    </row>
    <row r="1318">
      <c r="C1318" s="78" t="inlineStr">
        <is>
          <t>"Land, Food and Forest"</t>
        </is>
      </c>
    </row>
    <row r="1319">
      <c r="C1319" s="78" t="inlineStr">
        <is>
          <t>Energy, "Land, Food and Forest"</t>
        </is>
      </c>
    </row>
    <row r="1320">
      <c r="C1320" s="78" t="inlineStr">
        <is>
          <t>"Land, Food and Forest"</t>
        </is>
      </c>
    </row>
    <row r="1321">
      <c r="C1321" s="78" t="inlineStr">
        <is>
          <t>"Land, Food and Forest"</t>
        </is>
      </c>
    </row>
    <row r="1322">
      <c r="C1322" s="78" t="inlineStr">
        <is>
          <t>NA</t>
        </is>
      </c>
    </row>
    <row r="1323">
      <c r="C1323" s="78" t="inlineStr">
        <is>
          <t>"Land, Food and Forest"</t>
        </is>
      </c>
    </row>
    <row r="1324">
      <c r="C1324" s="78" t="inlineStr">
        <is>
          <t>"Land, Food and Forest"</t>
        </is>
      </c>
    </row>
    <row r="1325">
      <c r="C1325" s="78" t="inlineStr">
        <is>
          <t>"Land, Food and Forest"</t>
        </is>
      </c>
    </row>
    <row r="1326">
      <c r="C1326" s="78" t="inlineStr">
        <is>
          <t>Buildings &amp; Transport</t>
        </is>
      </c>
    </row>
    <row r="1327">
      <c r="C1327" s="78" t="inlineStr">
        <is>
          <t>NA</t>
        </is>
      </c>
    </row>
    <row r="1328">
      <c r="C1328" s="78" t="inlineStr">
        <is>
          <t>"Land, Food and Forest"</t>
        </is>
      </c>
    </row>
    <row r="1329">
      <c r="C1329" s="78" t="inlineStr">
        <is>
          <t>"Land, Food and Forest"</t>
        </is>
      </c>
    </row>
    <row r="1330">
      <c r="C1330" s="78" t="inlineStr">
        <is>
          <t>"Land, Food and Forest"</t>
        </is>
      </c>
    </row>
    <row r="1331">
      <c r="C1331" s="78" t="inlineStr">
        <is>
          <t>"Land, Food and Forest"</t>
        </is>
      </c>
    </row>
    <row r="1332">
      <c r="C1332" s="78" t="inlineStr">
        <is>
          <t>Energy, "Land, Food and Forest"</t>
        </is>
      </c>
    </row>
    <row r="1333">
      <c r="C1333" s="78" t="inlineStr">
        <is>
          <t>"Land, Food and Forest"</t>
        </is>
      </c>
    </row>
    <row r="1334">
      <c r="C1334" s="78" t="inlineStr">
        <is>
          <t>Energy, "Land, Food and Forest"</t>
        </is>
      </c>
    </row>
    <row r="1335">
      <c r="C1335" s="78" t="inlineStr">
        <is>
          <t>Buildings &amp; Transport, "Land, Food and Forest"</t>
        </is>
      </c>
    </row>
    <row r="1336">
      <c r="C1336" s="78" t="inlineStr">
        <is>
          <t>Energy</t>
        </is>
      </c>
    </row>
    <row r="1337">
      <c r="C1337" s="78" t="inlineStr">
        <is>
          <t>Energy</t>
        </is>
      </c>
    </row>
    <row r="1338">
      <c r="C1338" s="78" t="inlineStr">
        <is>
          <t>Energy</t>
        </is>
      </c>
    </row>
    <row r="1339">
      <c r="C1339" s="78" t="inlineStr">
        <is>
          <t>Buildings &amp; Transport</t>
        </is>
      </c>
    </row>
    <row r="1340">
      <c r="C1340" s="78" t="inlineStr">
        <is>
          <t>Buildings &amp; Transport, Energy, "Land, Food and Forest"</t>
        </is>
      </c>
    </row>
  </sheetData>
  <autoFilter ref="$A$1:$B$562"/>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550"/>
  <sheetViews>
    <sheetView workbookViewId="0">
      <selection activeCell="A1" sqref="A1"/>
    </sheetView>
  </sheetViews>
  <sheetFormatPr baseColWidth="8" defaultColWidth="12.63" defaultRowHeight="15.75" customHeight="1"/>
  <cols>
    <col width="22.25" customWidth="1" style="84" min="2" max="2"/>
  </cols>
  <sheetData>
    <row r="1">
      <c r="A1" s="78" t="inlineStr">
        <is>
          <t>Funding Role</t>
        </is>
      </c>
      <c r="B1" s="78" t="inlineStr">
        <is>
          <t>Primary impact area 
(sector of interest / Nexuses)</t>
        </is>
      </c>
    </row>
    <row r="2">
      <c r="A2" s="78" t="inlineStr">
        <is>
          <t>Donor</t>
        </is>
      </c>
      <c r="B2" s="78" t="inlineStr">
        <is>
          <t>Land, Food and Forest</t>
        </is>
      </c>
    </row>
    <row r="3">
      <c r="A3" s="78" t="inlineStr">
        <is>
          <t>Donor</t>
        </is>
      </c>
      <c r="B3" s="78" t="inlineStr">
        <is>
          <t>Land, Food and Forest</t>
        </is>
      </c>
    </row>
    <row r="4">
      <c r="A4" s="78" t="inlineStr">
        <is>
          <t>Re-granter</t>
        </is>
      </c>
      <c r="B4" s="78" t="inlineStr">
        <is>
          <t>Land, Food and Forest</t>
        </is>
      </c>
    </row>
    <row r="5">
      <c r="A5" s="78" t="inlineStr">
        <is>
          <t>Re-granter</t>
        </is>
      </c>
      <c r="B5" s="78" t="inlineStr">
        <is>
          <t>Buildings &amp; Transport</t>
        </is>
      </c>
    </row>
    <row r="6">
      <c r="A6" s="78" t="inlineStr">
        <is>
          <t>Re-granter</t>
        </is>
      </c>
      <c r="B6" s="78" t="inlineStr">
        <is>
          <t>Energy</t>
        </is>
      </c>
    </row>
    <row r="7">
      <c r="A7" s="78" t="inlineStr">
        <is>
          <t>Re-granter</t>
        </is>
      </c>
      <c r="B7" s="78" t="inlineStr">
        <is>
          <t>Land, Food and Forest</t>
        </is>
      </c>
    </row>
    <row r="8">
      <c r="A8" s="78" t="inlineStr">
        <is>
          <t>Re-granter</t>
        </is>
      </c>
      <c r="B8" s="78" t="inlineStr">
        <is>
          <t>Buildings &amp; Transport</t>
        </is>
      </c>
    </row>
    <row r="9">
      <c r="A9" s="78" t="inlineStr">
        <is>
          <t>Re-granter</t>
        </is>
      </c>
      <c r="B9" s="78" t="inlineStr">
        <is>
          <t>Energy</t>
        </is>
      </c>
    </row>
    <row r="10">
      <c r="A10" s="78" t="inlineStr">
        <is>
          <t>Re-granter</t>
        </is>
      </c>
      <c r="B10" s="78" t="inlineStr">
        <is>
          <t>Land, Food and Forest</t>
        </is>
      </c>
    </row>
    <row r="11">
      <c r="A11" s="78" t="inlineStr">
        <is>
          <t>Grantee</t>
        </is>
      </c>
      <c r="B11" s="78" t="inlineStr">
        <is>
          <t>Buildings &amp; Transport</t>
        </is>
      </c>
    </row>
    <row r="12">
      <c r="A12" s="78" t="inlineStr">
        <is>
          <t>Grantee</t>
        </is>
      </c>
      <c r="B12" s="78" t="inlineStr">
        <is>
          <t>Energy</t>
        </is>
      </c>
    </row>
    <row r="13">
      <c r="A13" s="78" t="inlineStr">
        <is>
          <t>Grantee</t>
        </is>
      </c>
      <c r="B13" s="78" t="inlineStr">
        <is>
          <t>Land, Food and Forest</t>
        </is>
      </c>
    </row>
    <row r="14">
      <c r="A14" s="78" t="inlineStr">
        <is>
          <t>Donor</t>
        </is>
      </c>
      <c r="B14" s="78" t="inlineStr">
        <is>
          <t>Buildings &amp; Transport</t>
        </is>
      </c>
    </row>
    <row r="15">
      <c r="A15" s="78" t="inlineStr">
        <is>
          <t>Donor</t>
        </is>
      </c>
      <c r="B15" s="78" t="inlineStr">
        <is>
          <t>Energy</t>
        </is>
      </c>
    </row>
    <row r="16">
      <c r="A16" s="78" t="inlineStr">
        <is>
          <t>Donor</t>
        </is>
      </c>
      <c r="B16" s="78" t="inlineStr">
        <is>
          <t>Land, Food and Forest</t>
        </is>
      </c>
    </row>
    <row r="17">
      <c r="A17" s="78" t="inlineStr">
        <is>
          <t>Donor</t>
        </is>
      </c>
      <c r="B17" s="78" t="inlineStr">
        <is>
          <t>Emergency response</t>
        </is>
      </c>
    </row>
    <row r="18">
      <c r="A18" s="78" t="inlineStr">
        <is>
          <t>Donor</t>
        </is>
      </c>
      <c r="B18" s="78" t="inlineStr">
        <is>
          <t>Buildings &amp; Transport</t>
        </is>
      </c>
    </row>
    <row r="19">
      <c r="A19" s="78" t="inlineStr">
        <is>
          <t>Donor</t>
        </is>
      </c>
      <c r="B19" s="78" t="inlineStr">
        <is>
          <t>Emergency response</t>
        </is>
      </c>
    </row>
    <row r="20">
      <c r="A20" s="78" t="inlineStr">
        <is>
          <t>Donor</t>
        </is>
      </c>
      <c r="B20" s="78" t="inlineStr">
        <is>
          <t>Energy</t>
        </is>
      </c>
    </row>
    <row r="21">
      <c r="A21" s="78" t="inlineStr">
        <is>
          <t>Donor</t>
        </is>
      </c>
      <c r="B21" s="78" t="inlineStr">
        <is>
          <t>Land, Food and Forest</t>
        </is>
      </c>
    </row>
    <row r="22">
      <c r="A22" s="78" t="inlineStr">
        <is>
          <t>Grantee</t>
        </is>
      </c>
      <c r="B22" s="78" t="inlineStr">
        <is>
          <t>Buildings &amp; Transport</t>
        </is>
      </c>
    </row>
    <row r="23">
      <c r="A23" s="78" t="inlineStr">
        <is>
          <t>Grantee</t>
        </is>
      </c>
      <c r="B23" s="78" t="inlineStr">
        <is>
          <t>Energy</t>
        </is>
      </c>
    </row>
    <row r="24">
      <c r="A24" s="78" t="inlineStr">
        <is>
          <t>Grantee</t>
        </is>
      </c>
      <c r="B24" s="78" t="inlineStr">
        <is>
          <t>Land, Food and Forest</t>
        </is>
      </c>
    </row>
    <row r="25">
      <c r="A25" s="78" t="inlineStr">
        <is>
          <t>Grantee</t>
        </is>
      </c>
      <c r="B25" s="78" t="inlineStr">
        <is>
          <t>Buildings &amp; Transport</t>
        </is>
      </c>
    </row>
    <row r="26">
      <c r="A26" s="78" t="inlineStr">
        <is>
          <t>Grantee</t>
        </is>
      </c>
      <c r="B26" s="78" t="inlineStr">
        <is>
          <t>Energy</t>
        </is>
      </c>
    </row>
    <row r="27">
      <c r="A27" s="78" t="inlineStr">
        <is>
          <t>Grantee</t>
        </is>
      </c>
      <c r="B27" s="78" t="inlineStr">
        <is>
          <t>Land, Food and Forest</t>
        </is>
      </c>
    </row>
    <row r="28">
      <c r="A28" s="78" t="inlineStr">
        <is>
          <t>Grantee</t>
        </is>
      </c>
      <c r="B28" s="78" t="inlineStr">
        <is>
          <t>Buildings &amp; Transport</t>
        </is>
      </c>
    </row>
    <row r="29">
      <c r="A29" s="78" t="inlineStr">
        <is>
          <t>Grantee</t>
        </is>
      </c>
      <c r="B29" s="78" t="inlineStr">
        <is>
          <t>Energy</t>
        </is>
      </c>
    </row>
    <row r="30">
      <c r="A30" s="78" t="inlineStr">
        <is>
          <t>Grantee</t>
        </is>
      </c>
      <c r="B30" s="78" t="inlineStr">
        <is>
          <t>Land, Food and Forest</t>
        </is>
      </c>
    </row>
    <row r="31">
      <c r="A31" s="78" t="inlineStr">
        <is>
          <t>Grantee</t>
        </is>
      </c>
      <c r="B31" s="78" t="inlineStr">
        <is>
          <t>Buildings &amp; Transport</t>
        </is>
      </c>
    </row>
    <row r="32">
      <c r="A32" s="78" t="inlineStr">
        <is>
          <t>Grantee</t>
        </is>
      </c>
      <c r="B32" s="78" t="inlineStr">
        <is>
          <t>Energy</t>
        </is>
      </c>
    </row>
    <row r="33">
      <c r="A33" s="78" t="inlineStr">
        <is>
          <t>Donor</t>
        </is>
      </c>
      <c r="B33" s="78" t="inlineStr">
        <is>
          <t>Emergency response</t>
        </is>
      </c>
    </row>
    <row r="34">
      <c r="A34" s="78" t="inlineStr">
        <is>
          <t>Donor</t>
        </is>
      </c>
      <c r="B34" s="78" t="inlineStr">
        <is>
          <t>Land, Food and Forest</t>
        </is>
      </c>
    </row>
    <row r="35">
      <c r="A35" s="78" t="inlineStr">
        <is>
          <t>Grantee</t>
        </is>
      </c>
      <c r="B35" s="78" t="inlineStr">
        <is>
          <t>Buildings &amp; Transport</t>
        </is>
      </c>
    </row>
    <row r="36">
      <c r="A36" s="78" t="inlineStr">
        <is>
          <t>Grantee</t>
        </is>
      </c>
      <c r="B36" s="78" t="inlineStr">
        <is>
          <t>Energy</t>
        </is>
      </c>
    </row>
    <row r="37">
      <c r="A37" s="78" t="inlineStr">
        <is>
          <t>Grantee</t>
        </is>
      </c>
      <c r="B37" s="78" t="inlineStr">
        <is>
          <t>Land, Food and Forest</t>
        </is>
      </c>
    </row>
    <row r="38">
      <c r="A38" s="78" t="inlineStr">
        <is>
          <t>Donor</t>
        </is>
      </c>
      <c r="B38" s="78" t="inlineStr">
        <is>
          <t>Land, Food and Forest</t>
        </is>
      </c>
    </row>
    <row r="39">
      <c r="A39" s="78" t="inlineStr">
        <is>
          <t>Re-granter</t>
        </is>
      </c>
      <c r="B39" s="78" t="inlineStr">
        <is>
          <t>Buildings &amp; Transport</t>
        </is>
      </c>
    </row>
    <row r="40">
      <c r="A40" s="78" t="inlineStr">
        <is>
          <t>Re-granter</t>
        </is>
      </c>
      <c r="B40" s="78" t="inlineStr">
        <is>
          <t>Energy</t>
        </is>
      </c>
    </row>
    <row r="41">
      <c r="A41" s="78" t="inlineStr">
        <is>
          <t>Re-granter</t>
        </is>
      </c>
      <c r="B41" s="78" t="inlineStr">
        <is>
          <t>Land, Food and Forest</t>
        </is>
      </c>
    </row>
    <row r="42">
      <c r="A42" s="78" t="inlineStr">
        <is>
          <t>Donor</t>
        </is>
      </c>
      <c r="B42" s="78" t="inlineStr">
        <is>
          <t>Buildings &amp; Transport</t>
        </is>
      </c>
    </row>
    <row r="43">
      <c r="A43" s="78" t="inlineStr">
        <is>
          <t>Donor</t>
        </is>
      </c>
      <c r="B43" s="78" t="inlineStr">
        <is>
          <t>Energy</t>
        </is>
      </c>
    </row>
    <row r="44">
      <c r="A44" s="78" t="inlineStr">
        <is>
          <t>Donor</t>
        </is>
      </c>
      <c r="B44" s="78" t="inlineStr">
        <is>
          <t>Land, Food and Forest</t>
        </is>
      </c>
    </row>
    <row r="45">
      <c r="A45" s="78" t="inlineStr">
        <is>
          <t>Donor</t>
        </is>
      </c>
      <c r="B45" s="78" t="inlineStr">
        <is>
          <t>Land, Food and Forest</t>
        </is>
      </c>
    </row>
    <row r="46">
      <c r="A46" s="78" t="inlineStr">
        <is>
          <t>Donor</t>
        </is>
      </c>
      <c r="B46" s="78" t="inlineStr">
        <is>
          <t>Energy</t>
        </is>
      </c>
    </row>
    <row r="47">
      <c r="A47" s="78" t="inlineStr">
        <is>
          <t>Donor</t>
        </is>
      </c>
      <c r="B47" s="78" t="inlineStr">
        <is>
          <t>Land, Food and Forest</t>
        </is>
      </c>
    </row>
    <row r="48">
      <c r="A48" s="78" t="inlineStr">
        <is>
          <t>Donor</t>
        </is>
      </c>
      <c r="B48" s="78" t="inlineStr">
        <is>
          <t>Buildings &amp; Transport</t>
        </is>
      </c>
    </row>
    <row r="49">
      <c r="A49" s="78" t="inlineStr">
        <is>
          <t>Donor</t>
        </is>
      </c>
      <c r="B49" s="78" t="inlineStr">
        <is>
          <t>Energy</t>
        </is>
      </c>
    </row>
    <row r="50">
      <c r="A50" s="78" t="inlineStr">
        <is>
          <t>Donor</t>
        </is>
      </c>
      <c r="B50" s="78" t="inlineStr">
        <is>
          <t>Buildings &amp; Transport</t>
        </is>
      </c>
    </row>
    <row r="51">
      <c r="A51" s="78" t="inlineStr">
        <is>
          <t>Donor</t>
        </is>
      </c>
      <c r="B51" s="78" t="inlineStr">
        <is>
          <t>Energy</t>
        </is>
      </c>
    </row>
    <row r="52">
      <c r="A52" s="78" t="inlineStr">
        <is>
          <t>Grantee</t>
        </is>
      </c>
      <c r="B52" s="78" t="inlineStr">
        <is>
          <t>Land, Food and Forest</t>
        </is>
      </c>
    </row>
    <row r="53">
      <c r="A53" s="78" t="inlineStr">
        <is>
          <t>Grantee</t>
        </is>
      </c>
      <c r="B53" s="78" t="inlineStr">
        <is>
          <t>Land, Food and Forest</t>
        </is>
      </c>
    </row>
    <row r="54">
      <c r="A54" s="78" t="inlineStr">
        <is>
          <t>Grantee</t>
        </is>
      </c>
      <c r="B54" s="78" t="inlineStr">
        <is>
          <t>Land, Food and Forest</t>
        </is>
      </c>
    </row>
    <row r="55">
      <c r="A55" s="78" t="inlineStr">
        <is>
          <t>Grantee</t>
        </is>
      </c>
      <c r="B55" s="78" t="inlineStr">
        <is>
          <t>Land, Food and Forest</t>
        </is>
      </c>
    </row>
    <row r="56">
      <c r="A56" s="78" t="inlineStr">
        <is>
          <t>Grantee</t>
        </is>
      </c>
      <c r="B56" s="78" t="inlineStr">
        <is>
          <t>Buildings &amp; Transport</t>
        </is>
      </c>
    </row>
    <row r="57">
      <c r="A57" s="78" t="inlineStr">
        <is>
          <t>Grantee</t>
        </is>
      </c>
      <c r="B57" s="78" t="inlineStr">
        <is>
          <t>Energy</t>
        </is>
      </c>
    </row>
    <row r="58">
      <c r="A58" s="78" t="inlineStr">
        <is>
          <t>Grantee</t>
        </is>
      </c>
      <c r="B58" s="78" t="inlineStr">
        <is>
          <t>Land, Food and Forest</t>
        </is>
      </c>
    </row>
    <row r="59">
      <c r="A59" s="78" t="inlineStr">
        <is>
          <t>Grantee</t>
        </is>
      </c>
      <c r="B59" s="78" t="inlineStr">
        <is>
          <t>Land, Food and Forest</t>
        </is>
      </c>
    </row>
    <row r="60">
      <c r="A60" s="78" t="inlineStr">
        <is>
          <t>Grantee</t>
        </is>
      </c>
      <c r="B60" s="78" t="inlineStr">
        <is>
          <t>Land, Food and Forest</t>
        </is>
      </c>
    </row>
    <row r="61">
      <c r="A61" s="78" t="inlineStr">
        <is>
          <t>Grantee</t>
        </is>
      </c>
      <c r="B61" s="78" t="inlineStr">
        <is>
          <t>Buildings &amp; Transport</t>
        </is>
      </c>
    </row>
    <row r="62">
      <c r="A62" s="78" t="inlineStr">
        <is>
          <t>Grantee</t>
        </is>
      </c>
      <c r="B62" s="78" t="inlineStr">
        <is>
          <t>Energy</t>
        </is>
      </c>
    </row>
    <row r="63">
      <c r="A63" s="78" t="inlineStr">
        <is>
          <t>Grantee</t>
        </is>
      </c>
      <c r="B63" s="78" t="inlineStr">
        <is>
          <t>Land, Food and Forest</t>
        </is>
      </c>
    </row>
    <row r="64">
      <c r="A64" s="78" t="inlineStr">
        <is>
          <t>Grantee</t>
        </is>
      </c>
      <c r="B64" s="78" t="inlineStr">
        <is>
          <t>Land, Food and Forest</t>
        </is>
      </c>
    </row>
    <row r="65">
      <c r="A65" s="78" t="inlineStr">
        <is>
          <t>Grantee</t>
        </is>
      </c>
      <c r="B65" s="78" t="inlineStr">
        <is>
          <t>Land, Food and Forest</t>
        </is>
      </c>
    </row>
    <row r="66">
      <c r="A66" s="78" t="inlineStr">
        <is>
          <t>Re-granter</t>
        </is>
      </c>
      <c r="B66" s="78" t="inlineStr">
        <is>
          <t>Buildings &amp; Transport</t>
        </is>
      </c>
    </row>
    <row r="67">
      <c r="A67" s="78" t="inlineStr">
        <is>
          <t>Re-granter</t>
        </is>
      </c>
      <c r="B67" s="78" t="inlineStr">
        <is>
          <t>Land, Food and Forest</t>
        </is>
      </c>
    </row>
    <row r="68">
      <c r="A68" s="78" t="inlineStr">
        <is>
          <t>Grantee</t>
        </is>
      </c>
      <c r="B68" s="78" t="inlineStr">
        <is>
          <t>Buildings &amp; Transport</t>
        </is>
      </c>
    </row>
    <row r="69">
      <c r="A69" s="78" t="inlineStr">
        <is>
          <t>Grantee</t>
        </is>
      </c>
      <c r="B69" s="78" t="inlineStr">
        <is>
          <t>Energy</t>
        </is>
      </c>
    </row>
    <row r="70">
      <c r="A70" s="78" t="inlineStr">
        <is>
          <t>Grantee</t>
        </is>
      </c>
      <c r="B70" s="78" t="inlineStr">
        <is>
          <t>Land, Food and Forest</t>
        </is>
      </c>
    </row>
    <row r="71">
      <c r="A71" s="78" t="inlineStr">
        <is>
          <t>Donor</t>
        </is>
      </c>
      <c r="B71" s="78" t="inlineStr">
        <is>
          <t>Buildings &amp; Transport</t>
        </is>
      </c>
    </row>
    <row r="72">
      <c r="A72" s="78" t="inlineStr">
        <is>
          <t>Donor</t>
        </is>
      </c>
      <c r="B72" s="78" t="inlineStr">
        <is>
          <t>Energy</t>
        </is>
      </c>
    </row>
    <row r="73">
      <c r="A73" s="78" t="inlineStr">
        <is>
          <t>Donor</t>
        </is>
      </c>
      <c r="B73" s="78" t="inlineStr">
        <is>
          <t>Land, Food and Forest</t>
        </is>
      </c>
    </row>
    <row r="74">
      <c r="A74" s="78" t="inlineStr">
        <is>
          <t>Donor</t>
        </is>
      </c>
      <c r="B74" s="78" t="inlineStr">
        <is>
          <t>Energy</t>
        </is>
      </c>
    </row>
    <row r="75">
      <c r="A75" s="78" t="inlineStr">
        <is>
          <t>Donor</t>
        </is>
      </c>
      <c r="B75" s="78" t="inlineStr">
        <is>
          <t>Land, Food and Forest</t>
        </is>
      </c>
    </row>
    <row r="76">
      <c r="A76" s="78" t="inlineStr">
        <is>
          <t>Re-granter</t>
        </is>
      </c>
      <c r="B76" s="78" t="inlineStr">
        <is>
          <t>Energy</t>
        </is>
      </c>
    </row>
    <row r="77">
      <c r="A77" s="78" t="inlineStr">
        <is>
          <t>Re-granter</t>
        </is>
      </c>
      <c r="B77" s="78" t="inlineStr">
        <is>
          <t>Land, Food and Forest</t>
        </is>
      </c>
    </row>
    <row r="78">
      <c r="A78" s="78" t="inlineStr">
        <is>
          <t>Grantee</t>
        </is>
      </c>
      <c r="B78" s="78" t="inlineStr">
        <is>
          <t>Land, Food and Forest</t>
        </is>
      </c>
    </row>
    <row r="79">
      <c r="A79" s="78" t="inlineStr">
        <is>
          <t>Re-granter</t>
        </is>
      </c>
      <c r="B79" s="78" t="inlineStr">
        <is>
          <t>Buildings &amp; Transport</t>
        </is>
      </c>
    </row>
    <row r="80">
      <c r="A80" s="78" t="inlineStr">
        <is>
          <t>Re-granter</t>
        </is>
      </c>
      <c r="B80" s="78" t="inlineStr">
        <is>
          <t>Energy</t>
        </is>
      </c>
    </row>
    <row r="81">
      <c r="A81" s="78" t="inlineStr">
        <is>
          <t>Re-granter</t>
        </is>
      </c>
      <c r="B81" s="78" t="inlineStr">
        <is>
          <t>Land, Food and Forest</t>
        </is>
      </c>
    </row>
    <row r="82">
      <c r="A82" s="78" t="inlineStr">
        <is>
          <t>Re-granter</t>
        </is>
      </c>
      <c r="B82" s="78" t="inlineStr">
        <is>
          <t>Buildings &amp; Transport</t>
        </is>
      </c>
    </row>
    <row r="83">
      <c r="A83" s="78" t="inlineStr">
        <is>
          <t>Re-granter</t>
        </is>
      </c>
      <c r="B83" s="78" t="inlineStr">
        <is>
          <t>Energy</t>
        </is>
      </c>
    </row>
    <row r="84">
      <c r="A84" s="78" t="inlineStr">
        <is>
          <t>Re-granter</t>
        </is>
      </c>
      <c r="B84" s="78" t="inlineStr">
        <is>
          <t>Land, Food and Forest</t>
        </is>
      </c>
    </row>
    <row r="85">
      <c r="A85" s="78" t="inlineStr">
        <is>
          <t>Grantee</t>
        </is>
      </c>
      <c r="B85" s="78" t="inlineStr">
        <is>
          <t>Buildings &amp; Transport</t>
        </is>
      </c>
    </row>
    <row r="86">
      <c r="A86" s="78" t="inlineStr">
        <is>
          <t>Grantee</t>
        </is>
      </c>
      <c r="B86" s="78" t="inlineStr">
        <is>
          <t>Buildings &amp; Transport</t>
        </is>
      </c>
    </row>
    <row r="87">
      <c r="A87" s="78" t="inlineStr">
        <is>
          <t>Grantee</t>
        </is>
      </c>
      <c r="B87" s="78" t="inlineStr">
        <is>
          <t>Energy</t>
        </is>
      </c>
    </row>
    <row r="88">
      <c r="A88" s="78" t="inlineStr">
        <is>
          <t>Grantee</t>
        </is>
      </c>
      <c r="B88" s="78" t="inlineStr">
        <is>
          <t>Land, Food and Forest</t>
        </is>
      </c>
    </row>
    <row r="89">
      <c r="A89" s="78" t="inlineStr">
        <is>
          <t>Re-granter</t>
        </is>
      </c>
      <c r="B89" s="78" t="inlineStr">
        <is>
          <t>Land, Food and Forest</t>
        </is>
      </c>
    </row>
    <row r="90">
      <c r="A90" s="78" t="inlineStr">
        <is>
          <t>Grantee</t>
        </is>
      </c>
      <c r="B90" s="78" t="inlineStr">
        <is>
          <t>Buildings &amp; Transport</t>
        </is>
      </c>
    </row>
    <row r="91">
      <c r="A91" s="78" t="inlineStr">
        <is>
          <t>Grantee</t>
        </is>
      </c>
      <c r="B91" s="78" t="inlineStr">
        <is>
          <t>Energy</t>
        </is>
      </c>
    </row>
    <row r="92">
      <c r="A92" s="78" t="inlineStr">
        <is>
          <t>Grantee</t>
        </is>
      </c>
      <c r="B92" s="78" t="inlineStr">
        <is>
          <t>Land, Food and Forest</t>
        </is>
      </c>
    </row>
    <row r="93">
      <c r="A93" s="78" t="inlineStr">
        <is>
          <t>Re-granter</t>
        </is>
      </c>
      <c r="B93" s="78" t="inlineStr">
        <is>
          <t>Buildings &amp; Transport</t>
        </is>
      </c>
    </row>
    <row r="94">
      <c r="A94" s="78" t="inlineStr">
        <is>
          <t>Re-granter</t>
        </is>
      </c>
      <c r="B94" s="78" t="inlineStr">
        <is>
          <t>Energy</t>
        </is>
      </c>
    </row>
    <row r="95">
      <c r="A95" s="78" t="inlineStr">
        <is>
          <t>Re-granter</t>
        </is>
      </c>
      <c r="B95" s="78" t="inlineStr">
        <is>
          <t>Land, Food and Forest</t>
        </is>
      </c>
    </row>
    <row r="96">
      <c r="A96" s="78" t="inlineStr">
        <is>
          <t>Donor</t>
        </is>
      </c>
      <c r="B96" s="78" t="inlineStr">
        <is>
          <t>Buildings &amp; Transport</t>
        </is>
      </c>
    </row>
    <row r="97">
      <c r="A97" s="78" t="inlineStr">
        <is>
          <t>Donor</t>
        </is>
      </c>
      <c r="B97" s="78" t="inlineStr">
        <is>
          <t>Land, Food and Forest</t>
        </is>
      </c>
    </row>
    <row r="98">
      <c r="A98" s="78" t="inlineStr">
        <is>
          <t>Donor</t>
        </is>
      </c>
      <c r="B98" s="78" t="inlineStr">
        <is>
          <t>Land, Food and Forest</t>
        </is>
      </c>
    </row>
    <row r="99">
      <c r="A99" s="78" t="inlineStr">
        <is>
          <t>Donor</t>
        </is>
      </c>
      <c r="B99" s="78" t="inlineStr">
        <is>
          <t>Buildings &amp; Transport</t>
        </is>
      </c>
    </row>
    <row r="100">
      <c r="A100" s="78" t="inlineStr">
        <is>
          <t>Donor</t>
        </is>
      </c>
      <c r="B100" s="78" t="inlineStr">
        <is>
          <t>Land, Food and Forest</t>
        </is>
      </c>
    </row>
    <row r="101">
      <c r="A101" s="78" t="inlineStr">
        <is>
          <t>Donor</t>
        </is>
      </c>
      <c r="B101" s="78" t="inlineStr">
        <is>
          <t>Land, Food and Forest</t>
        </is>
      </c>
    </row>
    <row r="102">
      <c r="A102" s="78" t="inlineStr">
        <is>
          <t>Re-granter</t>
        </is>
      </c>
      <c r="B102" s="78" t="inlineStr">
        <is>
          <t>Buildings &amp; Transport</t>
        </is>
      </c>
    </row>
    <row r="103">
      <c r="A103" s="78" t="inlineStr">
        <is>
          <t>Re-granter</t>
        </is>
      </c>
      <c r="B103" s="78" t="inlineStr">
        <is>
          <t>Emergency response</t>
        </is>
      </c>
    </row>
    <row r="104">
      <c r="A104" s="78" t="inlineStr">
        <is>
          <t>Re-granter</t>
        </is>
      </c>
      <c r="B104" s="78" t="inlineStr">
        <is>
          <t>Energy</t>
        </is>
      </c>
    </row>
    <row r="105">
      <c r="A105" s="78" t="inlineStr">
        <is>
          <t>Re-granter</t>
        </is>
      </c>
      <c r="B105" s="78" t="inlineStr">
        <is>
          <t>Land, Food and Forest</t>
        </is>
      </c>
    </row>
    <row r="106">
      <c r="A106" s="78" t="inlineStr">
        <is>
          <t>Grantee</t>
        </is>
      </c>
      <c r="B106" s="78" t="inlineStr">
        <is>
          <t>Land, Food and Forest</t>
        </is>
      </c>
    </row>
    <row r="107">
      <c r="A107" s="78" t="inlineStr">
        <is>
          <t>Grantee</t>
        </is>
      </c>
      <c r="B107" s="78" t="inlineStr">
        <is>
          <t>Land, Food and Forest</t>
        </is>
      </c>
    </row>
    <row r="108">
      <c r="A108" s="78" t="inlineStr">
        <is>
          <t>Donor</t>
        </is>
      </c>
      <c r="B108" s="78" t="inlineStr">
        <is>
          <t>Buildings &amp; Transport</t>
        </is>
      </c>
    </row>
    <row r="109">
      <c r="A109" s="78" t="inlineStr">
        <is>
          <t>Donor</t>
        </is>
      </c>
      <c r="B109" s="78" t="inlineStr">
        <is>
          <t>Energy</t>
        </is>
      </c>
    </row>
    <row r="110">
      <c r="A110" s="78" t="inlineStr">
        <is>
          <t>Donor</t>
        </is>
      </c>
      <c r="B110" s="78" t="inlineStr">
        <is>
          <t>Land, Food and Forest</t>
        </is>
      </c>
    </row>
    <row r="111">
      <c r="A111" s="78" t="inlineStr">
        <is>
          <t>Grantee</t>
        </is>
      </c>
      <c r="B111" s="78" t="inlineStr">
        <is>
          <t>Buildings &amp; Transport</t>
        </is>
      </c>
    </row>
    <row r="112">
      <c r="A112" s="78" t="inlineStr">
        <is>
          <t>Grantee</t>
        </is>
      </c>
      <c r="B112" s="78" t="inlineStr">
        <is>
          <t>Energy</t>
        </is>
      </c>
    </row>
    <row r="113">
      <c r="A113" s="78" t="inlineStr">
        <is>
          <t>Grantee</t>
        </is>
      </c>
      <c r="B113" s="78" t="inlineStr">
        <is>
          <t>Land, Food and Forest</t>
        </is>
      </c>
    </row>
    <row r="114">
      <c r="A114" s="78" t="inlineStr">
        <is>
          <t>Grantee</t>
        </is>
      </c>
      <c r="B114" s="78" t="inlineStr">
        <is>
          <t>Land, Food and Forest</t>
        </is>
      </c>
    </row>
    <row r="115">
      <c r="A115" s="78" t="inlineStr">
        <is>
          <t>Grantee</t>
        </is>
      </c>
      <c r="B115" s="78" t="inlineStr">
        <is>
          <t>Land, Food and Forest</t>
        </is>
      </c>
    </row>
    <row r="116">
      <c r="A116" s="78" t="inlineStr">
        <is>
          <t>Re-granter</t>
        </is>
      </c>
      <c r="B116" s="78" t="inlineStr">
        <is>
          <t>Buildings &amp; Transport</t>
        </is>
      </c>
    </row>
    <row r="117">
      <c r="A117" s="78" t="inlineStr">
        <is>
          <t>Re-granter</t>
        </is>
      </c>
      <c r="B117" s="78" t="inlineStr">
        <is>
          <t>Land, Food and Forest</t>
        </is>
      </c>
    </row>
    <row r="118">
      <c r="A118" s="78" t="inlineStr">
        <is>
          <t>Donor</t>
        </is>
      </c>
      <c r="B118" s="78" t="inlineStr">
        <is>
          <t>Land, Food and Forest</t>
        </is>
      </c>
    </row>
    <row r="119">
      <c r="A119" s="78" t="inlineStr">
        <is>
          <t>Grantee</t>
        </is>
      </c>
      <c r="B119" s="78" t="inlineStr">
        <is>
          <t>Buildings &amp; Transport</t>
        </is>
      </c>
    </row>
    <row r="120">
      <c r="A120" s="78" t="inlineStr">
        <is>
          <t>Grantee</t>
        </is>
      </c>
      <c r="B120" s="78" t="inlineStr">
        <is>
          <t>Energy</t>
        </is>
      </c>
    </row>
    <row r="121">
      <c r="A121" s="78" t="inlineStr">
        <is>
          <t>Grantee</t>
        </is>
      </c>
      <c r="B121" s="78" t="inlineStr">
        <is>
          <t>Land, Food and Forest</t>
        </is>
      </c>
    </row>
    <row r="122">
      <c r="A122" s="78" t="inlineStr">
        <is>
          <t>Grantee</t>
        </is>
      </c>
      <c r="B122" s="78" t="inlineStr">
        <is>
          <t>Buildings &amp; Transport</t>
        </is>
      </c>
    </row>
    <row r="123">
      <c r="A123" s="78" t="inlineStr">
        <is>
          <t>Grantee</t>
        </is>
      </c>
      <c r="B123" s="78" t="inlineStr">
        <is>
          <t>Emergency response</t>
        </is>
      </c>
    </row>
    <row r="124">
      <c r="A124" s="78" t="inlineStr">
        <is>
          <t>Grantee</t>
        </is>
      </c>
      <c r="B124" s="78" t="inlineStr">
        <is>
          <t>Energy</t>
        </is>
      </c>
    </row>
    <row r="125">
      <c r="A125" s="78" t="inlineStr">
        <is>
          <t>Grantee</t>
        </is>
      </c>
      <c r="B125" s="78" t="inlineStr">
        <is>
          <t>Land, Food and Forest</t>
        </is>
      </c>
    </row>
    <row r="126">
      <c r="A126" s="78" t="inlineStr">
        <is>
          <t>Re-granter</t>
        </is>
      </c>
      <c r="B126" s="78" t="inlineStr">
        <is>
          <t>Buildings &amp; Transport</t>
        </is>
      </c>
    </row>
    <row r="127">
      <c r="A127" s="78" t="inlineStr">
        <is>
          <t>Re-granter</t>
        </is>
      </c>
      <c r="B127" s="78" t="inlineStr">
        <is>
          <t>Energy</t>
        </is>
      </c>
    </row>
    <row r="128">
      <c r="A128" s="78" t="inlineStr">
        <is>
          <t>Re-granter</t>
        </is>
      </c>
      <c r="B128" s="78" t="inlineStr">
        <is>
          <t>Land, Food and Forest</t>
        </is>
      </c>
    </row>
    <row r="129">
      <c r="A129" s="78" t="inlineStr">
        <is>
          <t>Donor</t>
        </is>
      </c>
      <c r="B129" s="78" t="inlineStr">
        <is>
          <t>Land, Food and Forest</t>
        </is>
      </c>
    </row>
    <row r="130">
      <c r="A130" s="78" t="inlineStr">
        <is>
          <t>Re-granter</t>
        </is>
      </c>
      <c r="B130" s="78" t="inlineStr">
        <is>
          <t>Land, Food and Forest</t>
        </is>
      </c>
    </row>
    <row r="131">
      <c r="A131" s="78" t="inlineStr">
        <is>
          <t>Donor</t>
        </is>
      </c>
      <c r="B131" s="78" t="inlineStr">
        <is>
          <t>Buildings &amp; Transport</t>
        </is>
      </c>
    </row>
    <row r="132">
      <c r="A132" s="78" t="inlineStr">
        <is>
          <t>Donor</t>
        </is>
      </c>
      <c r="B132" s="78" t="inlineStr">
        <is>
          <t>Buildings &amp; Transport</t>
        </is>
      </c>
    </row>
    <row r="133">
      <c r="A133" s="78" t="inlineStr">
        <is>
          <t>Donor</t>
        </is>
      </c>
      <c r="B133" s="78" t="inlineStr">
        <is>
          <t>Land, Food and Forest</t>
        </is>
      </c>
    </row>
    <row r="134">
      <c r="A134" s="78" t="inlineStr">
        <is>
          <t>Grantee</t>
        </is>
      </c>
      <c r="B134" s="78" t="inlineStr">
        <is>
          <t>Land, Food and Forest</t>
        </is>
      </c>
    </row>
    <row r="135">
      <c r="A135" s="78" t="inlineStr">
        <is>
          <t>Grantee</t>
        </is>
      </c>
      <c r="B135" s="78" t="inlineStr">
        <is>
          <t>Buildings &amp; Transport</t>
        </is>
      </c>
    </row>
    <row r="136">
      <c r="A136" s="78" t="inlineStr">
        <is>
          <t>Grantee</t>
        </is>
      </c>
      <c r="B136" s="78" t="inlineStr">
        <is>
          <t>Energy</t>
        </is>
      </c>
    </row>
    <row r="137">
      <c r="A137" s="78" t="inlineStr">
        <is>
          <t>Grantee</t>
        </is>
      </c>
      <c r="B137" s="78" t="inlineStr">
        <is>
          <t>Land, Food and Forest</t>
        </is>
      </c>
    </row>
    <row r="138">
      <c r="A138" s="78" t="inlineStr">
        <is>
          <t>Grantee</t>
        </is>
      </c>
      <c r="B138" s="78" t="inlineStr">
        <is>
          <t>Emergency response</t>
        </is>
      </c>
    </row>
    <row r="139">
      <c r="A139" s="78" t="inlineStr">
        <is>
          <t>Grantee</t>
        </is>
      </c>
      <c r="B139" s="78" t="inlineStr">
        <is>
          <t>Land, Food and Forest</t>
        </is>
      </c>
    </row>
    <row r="140">
      <c r="A140" s="78" t="inlineStr">
        <is>
          <t>Grantee</t>
        </is>
      </c>
      <c r="B140" s="78" t="inlineStr">
        <is>
          <t>Land, Food and Forest</t>
        </is>
      </c>
    </row>
    <row r="141">
      <c r="A141" s="78" t="inlineStr">
        <is>
          <t>Grantee</t>
        </is>
      </c>
      <c r="B141" s="78" t="inlineStr">
        <is>
          <t>Buildings &amp; Transport</t>
        </is>
      </c>
    </row>
    <row r="142">
      <c r="A142" s="78" t="inlineStr">
        <is>
          <t>Grantee</t>
        </is>
      </c>
      <c r="B142" s="78" t="inlineStr">
        <is>
          <t>Energy</t>
        </is>
      </c>
    </row>
    <row r="143">
      <c r="A143" s="78" t="inlineStr">
        <is>
          <t>Grantee</t>
        </is>
      </c>
      <c r="B143" s="78" t="inlineStr">
        <is>
          <t>Land, Food and Forest</t>
        </is>
      </c>
    </row>
    <row r="144">
      <c r="A144" s="78" t="inlineStr">
        <is>
          <t>Grantee</t>
        </is>
      </c>
      <c r="B144" s="78" t="inlineStr">
        <is>
          <t>Land, Food and Forest</t>
        </is>
      </c>
    </row>
    <row r="145">
      <c r="A145" s="78" t="inlineStr">
        <is>
          <t>Grantee</t>
        </is>
      </c>
      <c r="B145" s="78" t="inlineStr">
        <is>
          <t>Buildings &amp; Transport</t>
        </is>
      </c>
    </row>
    <row r="146">
      <c r="A146" s="78" t="inlineStr">
        <is>
          <t>Grantee</t>
        </is>
      </c>
      <c r="B146" s="78" t="inlineStr">
        <is>
          <t>Buildings &amp; Transport</t>
        </is>
      </c>
    </row>
    <row r="147">
      <c r="A147" s="78" t="inlineStr">
        <is>
          <t>Grantee</t>
        </is>
      </c>
      <c r="B147" s="78" t="inlineStr">
        <is>
          <t>Energy</t>
        </is>
      </c>
    </row>
    <row r="148">
      <c r="A148" s="78" t="inlineStr">
        <is>
          <t>Grantee</t>
        </is>
      </c>
      <c r="B148" s="78" t="inlineStr">
        <is>
          <t>Land, Food and Forest</t>
        </is>
      </c>
    </row>
    <row r="149">
      <c r="A149" s="78" t="inlineStr">
        <is>
          <t>Donor</t>
        </is>
      </c>
      <c r="B149" s="78" t="inlineStr">
        <is>
          <t>Buildings &amp; Transport</t>
        </is>
      </c>
    </row>
    <row r="150">
      <c r="A150" s="78" t="inlineStr">
        <is>
          <t>Donor</t>
        </is>
      </c>
      <c r="B150" s="78" t="inlineStr">
        <is>
          <t>Emergency response</t>
        </is>
      </c>
    </row>
    <row r="151">
      <c r="A151" s="78" t="inlineStr">
        <is>
          <t>Donor</t>
        </is>
      </c>
      <c r="B151" s="78" t="inlineStr">
        <is>
          <t>Energy</t>
        </is>
      </c>
    </row>
    <row r="152">
      <c r="A152" s="78" t="inlineStr">
        <is>
          <t>Donor</t>
        </is>
      </c>
      <c r="B152" s="78" t="inlineStr">
        <is>
          <t>Land, Food and Forest</t>
        </is>
      </c>
    </row>
    <row r="153">
      <c r="A153" s="78" t="inlineStr">
        <is>
          <t>Donor</t>
        </is>
      </c>
      <c r="B153" s="78" t="inlineStr">
        <is>
          <t>Energy</t>
        </is>
      </c>
    </row>
    <row r="154">
      <c r="A154" s="78" t="inlineStr">
        <is>
          <t>Donor</t>
        </is>
      </c>
      <c r="B154" s="78" t="inlineStr">
        <is>
          <t>Land, Food and Forest</t>
        </is>
      </c>
    </row>
    <row r="155">
      <c r="A155" s="78" t="inlineStr">
        <is>
          <t>Donor</t>
        </is>
      </c>
      <c r="B155" s="78" t="inlineStr">
        <is>
          <t>Land, Food and Forest</t>
        </is>
      </c>
    </row>
    <row r="156">
      <c r="A156" s="78" t="inlineStr">
        <is>
          <t>Donor</t>
        </is>
      </c>
      <c r="B156" s="78" t="inlineStr">
        <is>
          <t>Buildings &amp; Transport</t>
        </is>
      </c>
    </row>
    <row r="157">
      <c r="A157" s="78" t="inlineStr">
        <is>
          <t>Donor</t>
        </is>
      </c>
      <c r="B157" s="78" t="inlineStr">
        <is>
          <t>Energy</t>
        </is>
      </c>
    </row>
    <row r="158">
      <c r="A158" s="78" t="inlineStr">
        <is>
          <t>Donor</t>
        </is>
      </c>
      <c r="B158" s="78" t="inlineStr">
        <is>
          <t>Land, Food and Forest</t>
        </is>
      </c>
    </row>
    <row r="159">
      <c r="A159" s="78" t="inlineStr">
        <is>
          <t>Donor</t>
        </is>
      </c>
      <c r="B159" s="78" t="inlineStr">
        <is>
          <t>Buildings &amp; Transport</t>
        </is>
      </c>
    </row>
    <row r="160">
      <c r="A160" s="78" t="inlineStr">
        <is>
          <t>Donor</t>
        </is>
      </c>
      <c r="B160" s="78" t="inlineStr">
        <is>
          <t>Energy</t>
        </is>
      </c>
    </row>
    <row r="161">
      <c r="A161" s="78" t="inlineStr">
        <is>
          <t>Donor</t>
        </is>
      </c>
      <c r="B161" s="78" t="inlineStr">
        <is>
          <t>Buildings &amp; Transport</t>
        </is>
      </c>
    </row>
    <row r="162">
      <c r="A162" s="78" t="inlineStr">
        <is>
          <t>Donor</t>
        </is>
      </c>
      <c r="B162" s="78" t="inlineStr">
        <is>
          <t>Emergency response</t>
        </is>
      </c>
    </row>
    <row r="163">
      <c r="A163" s="78" t="inlineStr">
        <is>
          <t>Donor</t>
        </is>
      </c>
      <c r="B163" s="78" t="inlineStr">
        <is>
          <t>Energy</t>
        </is>
      </c>
    </row>
    <row r="164">
      <c r="A164" s="78" t="inlineStr">
        <is>
          <t>Donor</t>
        </is>
      </c>
      <c r="B164" s="78" t="inlineStr">
        <is>
          <t>Land, Food and Forest</t>
        </is>
      </c>
    </row>
    <row r="165">
      <c r="A165" s="78" t="inlineStr">
        <is>
          <t>Donor</t>
        </is>
      </c>
      <c r="B165" s="78" t="inlineStr">
        <is>
          <t>Buildings &amp; Transport</t>
        </is>
      </c>
    </row>
    <row r="166">
      <c r="A166" s="78" t="inlineStr">
        <is>
          <t>Donor</t>
        </is>
      </c>
      <c r="B166" s="78" t="inlineStr">
        <is>
          <t>Emergency response</t>
        </is>
      </c>
    </row>
    <row r="167">
      <c r="A167" s="78" t="inlineStr">
        <is>
          <t>Donor</t>
        </is>
      </c>
      <c r="B167" s="78" t="inlineStr">
        <is>
          <t>Energy</t>
        </is>
      </c>
    </row>
    <row r="168">
      <c r="A168" s="78" t="inlineStr">
        <is>
          <t>Donor</t>
        </is>
      </c>
      <c r="B168" s="78" t="inlineStr">
        <is>
          <t>Land, Food and Forest</t>
        </is>
      </c>
    </row>
    <row r="169">
      <c r="A169" s="78" t="inlineStr">
        <is>
          <t>Donor</t>
        </is>
      </c>
      <c r="B169" s="78" t="inlineStr">
        <is>
          <t>Energy</t>
        </is>
      </c>
    </row>
    <row r="170">
      <c r="A170" s="78" t="inlineStr">
        <is>
          <t>Donor</t>
        </is>
      </c>
      <c r="B170" s="78" t="inlineStr">
        <is>
          <t>Energy</t>
        </is>
      </c>
    </row>
    <row r="171">
      <c r="A171" s="78" t="inlineStr">
        <is>
          <t>Donor</t>
        </is>
      </c>
      <c r="B171" s="78" t="inlineStr">
        <is>
          <t>Energy</t>
        </is>
      </c>
    </row>
    <row r="172">
      <c r="A172" s="78" t="inlineStr">
        <is>
          <t>Donor</t>
        </is>
      </c>
      <c r="B172" s="78" t="inlineStr">
        <is>
          <t>Energy</t>
        </is>
      </c>
    </row>
    <row r="173">
      <c r="A173" s="78" t="inlineStr">
        <is>
          <t>Donor</t>
        </is>
      </c>
      <c r="B173" s="78" t="inlineStr">
        <is>
          <t>Energy</t>
        </is>
      </c>
    </row>
    <row r="174">
      <c r="A174" s="78" t="inlineStr">
        <is>
          <t>Donor</t>
        </is>
      </c>
      <c r="B174" s="78" t="inlineStr">
        <is>
          <t>Energy</t>
        </is>
      </c>
    </row>
    <row r="175">
      <c r="A175" s="78" t="inlineStr">
        <is>
          <t>Grantee</t>
        </is>
      </c>
      <c r="B175" s="78" t="inlineStr">
        <is>
          <t>Buildings &amp; Transport</t>
        </is>
      </c>
    </row>
    <row r="176">
      <c r="A176" s="78" t="inlineStr">
        <is>
          <t>Grantee</t>
        </is>
      </c>
      <c r="B176" s="78" t="inlineStr">
        <is>
          <t>Energy</t>
        </is>
      </c>
    </row>
    <row r="177">
      <c r="A177" s="78" t="inlineStr">
        <is>
          <t>Grantee</t>
        </is>
      </c>
      <c r="B177" s="78" t="inlineStr">
        <is>
          <t>Land, Food and Forest</t>
        </is>
      </c>
    </row>
    <row r="178">
      <c r="A178" s="78" t="inlineStr">
        <is>
          <t>Grantee</t>
        </is>
      </c>
      <c r="B178" s="78" t="inlineStr">
        <is>
          <t>Energy</t>
        </is>
      </c>
    </row>
    <row r="179">
      <c r="A179" s="78" t="inlineStr">
        <is>
          <t>Donor</t>
        </is>
      </c>
      <c r="B179" s="78" t="inlineStr">
        <is>
          <t>Buildings &amp; Transport</t>
        </is>
      </c>
    </row>
    <row r="180">
      <c r="A180" s="78" t="inlineStr">
        <is>
          <t>Donor</t>
        </is>
      </c>
      <c r="B180" s="78" t="inlineStr">
        <is>
          <t>Energy</t>
        </is>
      </c>
    </row>
    <row r="181">
      <c r="A181" s="78" t="inlineStr">
        <is>
          <t>Donor</t>
        </is>
      </c>
      <c r="B181" s="78" t="inlineStr">
        <is>
          <t>Land, Food and Forest</t>
        </is>
      </c>
    </row>
    <row r="182">
      <c r="A182" s="78" t="inlineStr">
        <is>
          <t>Donor</t>
        </is>
      </c>
      <c r="B182" s="78" t="inlineStr">
        <is>
          <t>Buildings &amp; Transport</t>
        </is>
      </c>
    </row>
    <row r="183">
      <c r="A183" s="78" t="inlineStr">
        <is>
          <t>Donor</t>
        </is>
      </c>
      <c r="B183" s="78" t="inlineStr">
        <is>
          <t>Energy</t>
        </is>
      </c>
    </row>
    <row r="184">
      <c r="A184" s="78" t="inlineStr">
        <is>
          <t>Donor</t>
        </is>
      </c>
      <c r="B184" s="78" t="inlineStr">
        <is>
          <t>Land, Food and Forest</t>
        </is>
      </c>
    </row>
    <row r="185">
      <c r="A185" s="78" t="inlineStr">
        <is>
          <t>Grantee</t>
        </is>
      </c>
      <c r="B185" s="78" t="inlineStr">
        <is>
          <t>Buildings &amp; Transport</t>
        </is>
      </c>
    </row>
    <row r="186">
      <c r="A186" s="78" t="inlineStr">
        <is>
          <t>Grantee</t>
        </is>
      </c>
      <c r="B186" s="78" t="inlineStr">
        <is>
          <t>Buildings &amp; Transport</t>
        </is>
      </c>
    </row>
    <row r="187">
      <c r="A187" s="78" t="inlineStr">
        <is>
          <t>Donor</t>
        </is>
      </c>
      <c r="B187" s="78" t="inlineStr">
        <is>
          <t>Buildings &amp; Transport</t>
        </is>
      </c>
    </row>
    <row r="188">
      <c r="A188" s="78" t="inlineStr">
        <is>
          <t>Donor</t>
        </is>
      </c>
      <c r="B188" s="78" t="inlineStr">
        <is>
          <t>Buildings &amp; Transport</t>
        </is>
      </c>
    </row>
    <row r="189">
      <c r="A189" s="78" t="inlineStr">
        <is>
          <t>Donor</t>
        </is>
      </c>
      <c r="B189" s="78" t="inlineStr">
        <is>
          <t>Buildings &amp; Transport</t>
        </is>
      </c>
    </row>
    <row r="190">
      <c r="A190" s="78" t="inlineStr">
        <is>
          <t>Donor</t>
        </is>
      </c>
      <c r="B190" s="78" t="inlineStr">
        <is>
          <t>Energy</t>
        </is>
      </c>
    </row>
    <row r="191">
      <c r="A191" s="78" t="inlineStr">
        <is>
          <t>Donor</t>
        </is>
      </c>
      <c r="B191" s="78" t="inlineStr">
        <is>
          <t>Land, Food and Forest</t>
        </is>
      </c>
    </row>
    <row r="192">
      <c r="A192" s="78" t="inlineStr">
        <is>
          <t>Donor</t>
        </is>
      </c>
      <c r="B192" s="78" t="inlineStr">
        <is>
          <t>Buildings &amp; Transport</t>
        </is>
      </c>
    </row>
    <row r="193">
      <c r="A193" s="78" t="inlineStr">
        <is>
          <t>Donor</t>
        </is>
      </c>
      <c r="B193" s="78" t="inlineStr">
        <is>
          <t>Buildings &amp; Transport</t>
        </is>
      </c>
    </row>
    <row r="194">
      <c r="A194" s="78" t="inlineStr">
        <is>
          <t>Grantee</t>
        </is>
      </c>
      <c r="B194" s="78" t="inlineStr">
        <is>
          <t>Buildings &amp; Transport</t>
        </is>
      </c>
    </row>
    <row r="195">
      <c r="A195" s="78" t="inlineStr">
        <is>
          <t>Re-granter</t>
        </is>
      </c>
      <c r="B195" s="78" t="inlineStr">
        <is>
          <t>Buildings &amp; Transport</t>
        </is>
      </c>
    </row>
    <row r="196">
      <c r="A196" s="78" t="inlineStr">
        <is>
          <t>Re-granter</t>
        </is>
      </c>
      <c r="B196" s="78" t="inlineStr">
        <is>
          <t>Emergency response</t>
        </is>
      </c>
    </row>
    <row r="197">
      <c r="A197" s="78" t="inlineStr">
        <is>
          <t>Re-granter</t>
        </is>
      </c>
      <c r="B197" s="78" t="inlineStr">
        <is>
          <t>Energy</t>
        </is>
      </c>
    </row>
    <row r="198">
      <c r="A198" s="78" t="inlineStr">
        <is>
          <t>Re-granter</t>
        </is>
      </c>
      <c r="B198" s="78" t="inlineStr">
        <is>
          <t>Land, Food and Forest</t>
        </is>
      </c>
    </row>
    <row r="199">
      <c r="A199" s="78" t="inlineStr">
        <is>
          <t>Donor</t>
        </is>
      </c>
      <c r="B199" s="78" t="inlineStr">
        <is>
          <t>Buildings &amp; Transport</t>
        </is>
      </c>
    </row>
    <row r="200">
      <c r="A200" s="78" t="inlineStr">
        <is>
          <t>Donor</t>
        </is>
      </c>
      <c r="B200" s="78" t="inlineStr">
        <is>
          <t>Buildings &amp; Transport</t>
        </is>
      </c>
    </row>
    <row r="201">
      <c r="A201" s="78" t="inlineStr">
        <is>
          <t>Donor</t>
        </is>
      </c>
      <c r="B201" s="78" t="inlineStr">
        <is>
          <t>Buildings &amp; Transport</t>
        </is>
      </c>
    </row>
    <row r="202">
      <c r="A202" s="78" t="inlineStr">
        <is>
          <t>Donor</t>
        </is>
      </c>
      <c r="B202" s="78" t="inlineStr">
        <is>
          <t>Buildings &amp; Transport</t>
        </is>
      </c>
    </row>
    <row r="203">
      <c r="A203" s="78" t="inlineStr">
        <is>
          <t>Donor</t>
        </is>
      </c>
      <c r="B203" s="78" t="inlineStr">
        <is>
          <t>Energy</t>
        </is>
      </c>
    </row>
    <row r="204">
      <c r="A204" s="78" t="inlineStr">
        <is>
          <t>Donor</t>
        </is>
      </c>
      <c r="B204" s="78" t="inlineStr">
        <is>
          <t>Buildings &amp; Transport</t>
        </is>
      </c>
    </row>
    <row r="205">
      <c r="A205" s="78" t="inlineStr">
        <is>
          <t>Donor</t>
        </is>
      </c>
      <c r="B205" s="78" t="inlineStr">
        <is>
          <t>Energy</t>
        </is>
      </c>
    </row>
    <row r="206">
      <c r="A206" s="78" t="inlineStr">
        <is>
          <t>Grantee</t>
        </is>
      </c>
      <c r="B206" s="78" t="inlineStr">
        <is>
          <t>Buildings &amp; Transport</t>
        </is>
      </c>
    </row>
    <row r="207">
      <c r="A207" s="78" t="inlineStr">
        <is>
          <t>Grantee</t>
        </is>
      </c>
      <c r="B207" s="78" t="inlineStr">
        <is>
          <t>Energy</t>
        </is>
      </c>
    </row>
    <row r="208">
      <c r="A208" s="78" t="inlineStr">
        <is>
          <t>Grantee</t>
        </is>
      </c>
      <c r="B208" s="78" t="inlineStr">
        <is>
          <t>Emergency response</t>
        </is>
      </c>
    </row>
    <row r="209">
      <c r="A209" s="78" t="inlineStr">
        <is>
          <t>Grantee</t>
        </is>
      </c>
      <c r="B209" s="78" t="inlineStr">
        <is>
          <t>Land, Food and Forest</t>
        </is>
      </c>
    </row>
    <row r="210">
      <c r="A210" s="78" t="inlineStr">
        <is>
          <t>Donor</t>
        </is>
      </c>
      <c r="B210" s="78" t="inlineStr">
        <is>
          <t>Land, Food and Forest</t>
        </is>
      </c>
    </row>
    <row r="211">
      <c r="A211" s="78" t="inlineStr">
        <is>
          <t>Donor</t>
        </is>
      </c>
      <c r="B211" s="78" t="inlineStr">
        <is>
          <t>Buildings &amp; Transport</t>
        </is>
      </c>
    </row>
    <row r="212">
      <c r="A212" s="78" t="inlineStr">
        <is>
          <t>Donor</t>
        </is>
      </c>
      <c r="B212" s="78" t="inlineStr">
        <is>
          <t>Land, Food and Forest</t>
        </is>
      </c>
    </row>
    <row r="213">
      <c r="A213" s="78" t="inlineStr">
        <is>
          <t>Donor</t>
        </is>
      </c>
      <c r="B213" s="78" t="inlineStr">
        <is>
          <t>Buildings &amp; Transport</t>
        </is>
      </c>
    </row>
    <row r="214">
      <c r="A214" s="78" t="inlineStr">
        <is>
          <t>Donor</t>
        </is>
      </c>
      <c r="B214" s="78" t="inlineStr">
        <is>
          <t>Land, Food and Forest</t>
        </is>
      </c>
    </row>
    <row r="215">
      <c r="A215" s="78" t="inlineStr">
        <is>
          <t>Donor</t>
        </is>
      </c>
      <c r="B215" s="78" t="inlineStr">
        <is>
          <t>Buildings &amp; Transport</t>
        </is>
      </c>
    </row>
    <row r="216">
      <c r="A216" s="78" t="inlineStr">
        <is>
          <t>Donor</t>
        </is>
      </c>
      <c r="B216" s="78" t="inlineStr">
        <is>
          <t>Land, Food and Forest</t>
        </is>
      </c>
    </row>
    <row r="217">
      <c r="A217" s="78" t="inlineStr">
        <is>
          <t>Donor</t>
        </is>
      </c>
      <c r="B217" s="78" t="inlineStr">
        <is>
          <t>Buildings &amp; Transport</t>
        </is>
      </c>
    </row>
    <row r="218">
      <c r="A218" s="78" t="inlineStr">
        <is>
          <t>Donor</t>
        </is>
      </c>
      <c r="B218" s="78" t="inlineStr">
        <is>
          <t>Land, Food and Forest</t>
        </is>
      </c>
    </row>
    <row r="219">
      <c r="A219" s="78" t="inlineStr">
        <is>
          <t>Grantee</t>
        </is>
      </c>
      <c r="B219" s="78" t="inlineStr">
        <is>
          <t>Land, Food and Forest</t>
        </is>
      </c>
    </row>
    <row r="220">
      <c r="A220" s="78" t="inlineStr">
        <is>
          <t>Grantee</t>
        </is>
      </c>
      <c r="B220" s="78" t="inlineStr">
        <is>
          <t>Land, Food and Forest</t>
        </is>
      </c>
    </row>
    <row r="221">
      <c r="A221" s="78" t="inlineStr">
        <is>
          <t>Donor</t>
        </is>
      </c>
      <c r="B221" s="78" t="inlineStr">
        <is>
          <t>Energy</t>
        </is>
      </c>
    </row>
    <row r="222">
      <c r="A222" s="78" t="inlineStr">
        <is>
          <t>Grantee</t>
        </is>
      </c>
      <c r="B222" s="78" t="inlineStr">
        <is>
          <t>Emergency response</t>
        </is>
      </c>
    </row>
    <row r="223">
      <c r="A223" s="78" t="inlineStr">
        <is>
          <t>Grantee</t>
        </is>
      </c>
      <c r="B223" s="78" t="inlineStr">
        <is>
          <t>Land, Food and Forest</t>
        </is>
      </c>
    </row>
    <row r="224">
      <c r="A224" s="78" t="inlineStr">
        <is>
          <t>Donor</t>
        </is>
      </c>
      <c r="B224" s="78" t="inlineStr">
        <is>
          <t>Buildings &amp; Transport</t>
        </is>
      </c>
    </row>
    <row r="225">
      <c r="A225" s="78" t="inlineStr">
        <is>
          <t>Donor</t>
        </is>
      </c>
      <c r="B225" s="78" t="inlineStr">
        <is>
          <t>Land, Food and Forest</t>
        </is>
      </c>
    </row>
    <row r="226">
      <c r="A226" s="78" t="inlineStr">
        <is>
          <t>Donor</t>
        </is>
      </c>
      <c r="B226" s="78" t="inlineStr">
        <is>
          <t>Buildings &amp; Transport</t>
        </is>
      </c>
    </row>
    <row r="227">
      <c r="A227" s="78" t="inlineStr">
        <is>
          <t>Donor</t>
        </is>
      </c>
      <c r="B227" s="78" t="inlineStr">
        <is>
          <t>Land, Food and Forest</t>
        </is>
      </c>
    </row>
    <row r="228">
      <c r="A228" s="78" t="inlineStr">
        <is>
          <t>Donor</t>
        </is>
      </c>
      <c r="B228" s="78" t="inlineStr">
        <is>
          <t>Buildings &amp; Transport</t>
        </is>
      </c>
    </row>
    <row r="229">
      <c r="A229" s="78" t="inlineStr">
        <is>
          <t>Donor</t>
        </is>
      </c>
      <c r="B229" s="78" t="inlineStr">
        <is>
          <t>Land, Food and Forest</t>
        </is>
      </c>
    </row>
    <row r="230">
      <c r="A230" s="78" t="inlineStr">
        <is>
          <t>Donor</t>
        </is>
      </c>
      <c r="B230" s="78" t="inlineStr">
        <is>
          <t>Buildings &amp; Transport</t>
        </is>
      </c>
    </row>
    <row r="231">
      <c r="A231" s="78" t="inlineStr">
        <is>
          <t>Donor</t>
        </is>
      </c>
      <c r="B231" s="78" t="inlineStr">
        <is>
          <t>Land, Food and Forest</t>
        </is>
      </c>
    </row>
    <row r="232">
      <c r="A232" s="78" t="inlineStr">
        <is>
          <t>Donor</t>
        </is>
      </c>
      <c r="B232" s="78" t="inlineStr">
        <is>
          <t>Buildings &amp; Transport</t>
        </is>
      </c>
    </row>
    <row r="233">
      <c r="A233" s="78" t="inlineStr">
        <is>
          <t>Donor</t>
        </is>
      </c>
      <c r="B233" s="78" t="inlineStr">
        <is>
          <t>Land, Food and Forest</t>
        </is>
      </c>
    </row>
    <row r="234">
      <c r="A234" s="78" t="inlineStr">
        <is>
          <t>Donor</t>
        </is>
      </c>
      <c r="B234" s="78" t="inlineStr">
        <is>
          <t>Buildings &amp; Transport</t>
        </is>
      </c>
    </row>
    <row r="235">
      <c r="A235" s="78" t="inlineStr">
        <is>
          <t>Donor</t>
        </is>
      </c>
      <c r="B235" s="78" t="inlineStr">
        <is>
          <t>Land, Food and Forest</t>
        </is>
      </c>
    </row>
    <row r="236">
      <c r="A236" s="78" t="inlineStr">
        <is>
          <t>Grantee</t>
        </is>
      </c>
      <c r="B236" s="78" t="inlineStr">
        <is>
          <t>Land, Food and Forest</t>
        </is>
      </c>
    </row>
    <row r="237">
      <c r="A237" s="78" t="inlineStr">
        <is>
          <t>Grantee</t>
        </is>
      </c>
      <c r="B237" s="78" t="inlineStr">
        <is>
          <t>Land, Food and Forest</t>
        </is>
      </c>
    </row>
    <row r="238">
      <c r="A238" s="78" t="inlineStr">
        <is>
          <t>Donor</t>
        </is>
      </c>
      <c r="B238" s="78" t="inlineStr">
        <is>
          <t>Land, Food and Forest</t>
        </is>
      </c>
    </row>
    <row r="239">
      <c r="A239" s="78" t="inlineStr">
        <is>
          <t>Grantee</t>
        </is>
      </c>
      <c r="B239" s="78" t="inlineStr">
        <is>
          <t>Land, Food and Forest</t>
        </is>
      </c>
    </row>
    <row r="240">
      <c r="A240" s="78" t="inlineStr">
        <is>
          <t>Donor</t>
        </is>
      </c>
      <c r="B240" s="78" t="inlineStr">
        <is>
          <t>Buildings &amp; Transport</t>
        </is>
      </c>
    </row>
    <row r="241">
      <c r="A241" s="78" t="inlineStr">
        <is>
          <t>Donor</t>
        </is>
      </c>
      <c r="B241" s="78" t="inlineStr">
        <is>
          <t>Energy</t>
        </is>
      </c>
    </row>
    <row r="242">
      <c r="A242" s="78" t="inlineStr">
        <is>
          <t>Donor</t>
        </is>
      </c>
      <c r="B242" s="78" t="inlineStr">
        <is>
          <t>Land, Food and Forest</t>
        </is>
      </c>
    </row>
    <row r="243">
      <c r="A243" s="78" t="inlineStr">
        <is>
          <t>Donor</t>
        </is>
      </c>
      <c r="B243" s="78" t="inlineStr">
        <is>
          <t>Buildings &amp; Transport</t>
        </is>
      </c>
    </row>
    <row r="244">
      <c r="A244" s="78" t="inlineStr">
        <is>
          <t>Donor</t>
        </is>
      </c>
      <c r="B244" s="78" t="inlineStr">
        <is>
          <t>Land, Food and Forest</t>
        </is>
      </c>
    </row>
    <row r="245">
      <c r="A245" s="78" t="inlineStr">
        <is>
          <t>Donor</t>
        </is>
      </c>
      <c r="B245" s="78" t="inlineStr">
        <is>
          <t>Buildings &amp; Transport</t>
        </is>
      </c>
    </row>
    <row r="246">
      <c r="A246" s="78" t="inlineStr">
        <is>
          <t>Donor</t>
        </is>
      </c>
      <c r="B246" s="78" t="inlineStr">
        <is>
          <t>Land, Food and Forest</t>
        </is>
      </c>
    </row>
    <row r="247">
      <c r="A247" s="78" t="inlineStr">
        <is>
          <t>Re-granter</t>
        </is>
      </c>
      <c r="B247" s="78" t="inlineStr">
        <is>
          <t>Buildings &amp; Transport</t>
        </is>
      </c>
    </row>
    <row r="248">
      <c r="A248" s="78" t="inlineStr">
        <is>
          <t>Re-granter</t>
        </is>
      </c>
      <c r="B248" s="78" t="inlineStr">
        <is>
          <t>Energy</t>
        </is>
      </c>
    </row>
    <row r="249">
      <c r="A249" s="78" t="inlineStr">
        <is>
          <t>Re-granter</t>
        </is>
      </c>
      <c r="B249" s="78" t="inlineStr">
        <is>
          <t>Land, Food and Forest</t>
        </is>
      </c>
    </row>
    <row r="250">
      <c r="A250" s="78" t="inlineStr">
        <is>
          <t>Grantee</t>
        </is>
      </c>
      <c r="B250" s="78" t="inlineStr">
        <is>
          <t>Land, Food and Forest</t>
        </is>
      </c>
    </row>
    <row r="251">
      <c r="A251" s="78" t="inlineStr">
        <is>
          <t>Grantee</t>
        </is>
      </c>
      <c r="B251" s="78" t="inlineStr">
        <is>
          <t>Land, Food and Forest</t>
        </is>
      </c>
    </row>
    <row r="252">
      <c r="A252" s="78" t="inlineStr">
        <is>
          <t>Grantee</t>
        </is>
      </c>
      <c r="B252" s="78" t="inlineStr">
        <is>
          <t>Land, Food and Forest</t>
        </is>
      </c>
    </row>
    <row r="253">
      <c r="A253" s="78" t="inlineStr">
        <is>
          <t>Donor</t>
        </is>
      </c>
      <c r="B253" s="78" t="inlineStr">
        <is>
          <t>Buildings &amp; Transport</t>
        </is>
      </c>
    </row>
    <row r="254">
      <c r="A254" s="78" t="inlineStr">
        <is>
          <t>Donor</t>
        </is>
      </c>
      <c r="B254" s="78" t="inlineStr">
        <is>
          <t>Emergency response</t>
        </is>
      </c>
    </row>
    <row r="255">
      <c r="A255" s="78" t="inlineStr">
        <is>
          <t>Donor</t>
        </is>
      </c>
      <c r="B255" s="78" t="inlineStr">
        <is>
          <t>Energy</t>
        </is>
      </c>
    </row>
    <row r="256">
      <c r="A256" s="78" t="inlineStr">
        <is>
          <t>Donor</t>
        </is>
      </c>
      <c r="B256" s="78" t="inlineStr">
        <is>
          <t>Land, Food and Forest</t>
        </is>
      </c>
    </row>
    <row r="257">
      <c r="A257" s="78" t="inlineStr">
        <is>
          <t>Donor</t>
        </is>
      </c>
      <c r="B257" s="78" t="inlineStr">
        <is>
          <t>Buildings &amp; Transport</t>
        </is>
      </c>
    </row>
    <row r="258">
      <c r="A258" s="78" t="inlineStr">
        <is>
          <t>Donor</t>
        </is>
      </c>
      <c r="B258" s="78" t="inlineStr">
        <is>
          <t>Emergency response</t>
        </is>
      </c>
    </row>
    <row r="259">
      <c r="A259" s="78" t="inlineStr">
        <is>
          <t>Donor</t>
        </is>
      </c>
      <c r="B259" s="78" t="inlineStr">
        <is>
          <t>Energy</t>
        </is>
      </c>
    </row>
    <row r="260">
      <c r="A260" s="78" t="inlineStr">
        <is>
          <t>Donor</t>
        </is>
      </c>
      <c r="B260" s="78" t="inlineStr">
        <is>
          <t>Land, Food and Forest</t>
        </is>
      </c>
    </row>
    <row r="261">
      <c r="A261" s="78" t="inlineStr">
        <is>
          <t>Donor</t>
        </is>
      </c>
      <c r="B261" s="78" t="inlineStr">
        <is>
          <t>Buildings &amp; Transport</t>
        </is>
      </c>
    </row>
    <row r="262">
      <c r="A262" s="78" t="inlineStr">
        <is>
          <t>Donor</t>
        </is>
      </c>
      <c r="B262" s="78" t="inlineStr">
        <is>
          <t>Energy</t>
        </is>
      </c>
    </row>
    <row r="263">
      <c r="A263" s="78" t="inlineStr">
        <is>
          <t>Donor</t>
        </is>
      </c>
      <c r="B263" s="78" t="inlineStr">
        <is>
          <t>Buildings &amp; Transport</t>
        </is>
      </c>
    </row>
    <row r="264">
      <c r="A264" s="78" t="inlineStr">
        <is>
          <t>Donor</t>
        </is>
      </c>
      <c r="B264" s="78" t="inlineStr">
        <is>
          <t>Emergency response</t>
        </is>
      </c>
    </row>
    <row r="265">
      <c r="A265" s="78" t="inlineStr">
        <is>
          <t>Donor</t>
        </is>
      </c>
      <c r="B265" s="78" t="inlineStr">
        <is>
          <t>Energy</t>
        </is>
      </c>
    </row>
    <row r="266">
      <c r="A266" s="78" t="inlineStr">
        <is>
          <t>Donor</t>
        </is>
      </c>
      <c r="B266" s="78" t="inlineStr">
        <is>
          <t>Land, Food and Forest</t>
        </is>
      </c>
    </row>
    <row r="267">
      <c r="A267" s="78" t="inlineStr">
        <is>
          <t>Donor</t>
        </is>
      </c>
      <c r="B267" s="78" t="inlineStr">
        <is>
          <t>Land, Food and Forest</t>
        </is>
      </c>
    </row>
    <row r="268">
      <c r="A268" s="78" t="inlineStr">
        <is>
          <t>Donor</t>
        </is>
      </c>
      <c r="B268" s="78" t="inlineStr">
        <is>
          <t>Energy</t>
        </is>
      </c>
    </row>
    <row r="269">
      <c r="A269" s="78" t="inlineStr">
        <is>
          <t>Donor</t>
        </is>
      </c>
      <c r="B269" s="78" t="inlineStr">
        <is>
          <t>Land, Food and Forest</t>
        </is>
      </c>
    </row>
    <row r="270">
      <c r="A270" s="78" t="inlineStr">
        <is>
          <t>Donor</t>
        </is>
      </c>
      <c r="B270" s="78" t="inlineStr">
        <is>
          <t>Land, Food and Forest</t>
        </is>
      </c>
    </row>
    <row r="271">
      <c r="A271" s="78" t="inlineStr">
        <is>
          <t>Donor</t>
        </is>
      </c>
      <c r="B271" s="78" t="inlineStr">
        <is>
          <t>Buildings &amp; Transport</t>
        </is>
      </c>
    </row>
    <row r="272">
      <c r="A272" s="78" t="inlineStr">
        <is>
          <t>Donor</t>
        </is>
      </c>
      <c r="B272" s="78" t="inlineStr">
        <is>
          <t>Emergency response</t>
        </is>
      </c>
    </row>
    <row r="273">
      <c r="A273" s="78" t="inlineStr">
        <is>
          <t>Donor</t>
        </is>
      </c>
      <c r="B273" s="78" t="inlineStr">
        <is>
          <t>Energy</t>
        </is>
      </c>
    </row>
    <row r="274">
      <c r="A274" s="78" t="inlineStr">
        <is>
          <t>Donor</t>
        </is>
      </c>
      <c r="B274" s="78" t="inlineStr">
        <is>
          <t>Land, Food and Forest</t>
        </is>
      </c>
    </row>
    <row r="275">
      <c r="A275" s="78" t="inlineStr">
        <is>
          <t>Donor</t>
        </is>
      </c>
      <c r="B275" s="78" t="inlineStr">
        <is>
          <t>Buildings &amp; Transport</t>
        </is>
      </c>
    </row>
    <row r="276">
      <c r="A276" s="78" t="inlineStr">
        <is>
          <t>Donor</t>
        </is>
      </c>
      <c r="B276" s="78" t="inlineStr">
        <is>
          <t>Emergency response</t>
        </is>
      </c>
    </row>
    <row r="277">
      <c r="A277" s="78" t="inlineStr">
        <is>
          <t>Donor</t>
        </is>
      </c>
      <c r="B277" s="78" t="inlineStr">
        <is>
          <t>Energy</t>
        </is>
      </c>
    </row>
    <row r="278">
      <c r="A278" s="78" t="inlineStr">
        <is>
          <t>Donor</t>
        </is>
      </c>
      <c r="B278" s="78" t="inlineStr">
        <is>
          <t>Land, Food and Forest</t>
        </is>
      </c>
    </row>
    <row r="279">
      <c r="A279" s="78" t="inlineStr">
        <is>
          <t>Grantee</t>
        </is>
      </c>
      <c r="B279" s="78" t="inlineStr">
        <is>
          <t>Buildings &amp; Transport</t>
        </is>
      </c>
    </row>
    <row r="280">
      <c r="A280" s="78" t="inlineStr">
        <is>
          <t>Grantee</t>
        </is>
      </c>
      <c r="B280" s="78" t="inlineStr">
        <is>
          <t>Energy</t>
        </is>
      </c>
    </row>
    <row r="281">
      <c r="A281" s="78" t="inlineStr">
        <is>
          <t>Grantee</t>
        </is>
      </c>
      <c r="B281" s="78" t="inlineStr">
        <is>
          <t>Land, Food and Forest</t>
        </is>
      </c>
    </row>
    <row r="282">
      <c r="A282" s="78" t="inlineStr">
        <is>
          <t>Grantee</t>
        </is>
      </c>
      <c r="B282" s="78" t="inlineStr">
        <is>
          <t>Buildings &amp; Transport</t>
        </is>
      </c>
    </row>
    <row r="283">
      <c r="A283" s="78" t="inlineStr">
        <is>
          <t>Grantee</t>
        </is>
      </c>
      <c r="B283" s="78" t="inlineStr">
        <is>
          <t>Energy</t>
        </is>
      </c>
    </row>
    <row r="284">
      <c r="A284" s="78" t="inlineStr">
        <is>
          <t>Grantee</t>
        </is>
      </c>
      <c r="B284" s="78" t="inlineStr">
        <is>
          <t>Land, Food and Forest</t>
        </is>
      </c>
    </row>
    <row r="285">
      <c r="A285" s="78" t="inlineStr">
        <is>
          <t>Grantee</t>
        </is>
      </c>
      <c r="B285" s="78" t="inlineStr">
        <is>
          <t>Buildings &amp; Transport</t>
        </is>
      </c>
    </row>
    <row r="286">
      <c r="A286" s="78" t="inlineStr">
        <is>
          <t>Grantee</t>
        </is>
      </c>
      <c r="B286" s="78" t="inlineStr">
        <is>
          <t>Energy</t>
        </is>
      </c>
    </row>
    <row r="287">
      <c r="A287" s="78" t="inlineStr">
        <is>
          <t>Grantee</t>
        </is>
      </c>
      <c r="B287" s="78" t="inlineStr">
        <is>
          <t>Land, Food and Forest</t>
        </is>
      </c>
    </row>
    <row r="288">
      <c r="A288" s="78" t="inlineStr">
        <is>
          <t>Re-granter</t>
        </is>
      </c>
      <c r="B288" s="78" t="inlineStr">
        <is>
          <t>Buildings &amp; Transport</t>
        </is>
      </c>
    </row>
    <row r="289">
      <c r="A289" s="78" t="inlineStr">
        <is>
          <t>Re-granter</t>
        </is>
      </c>
      <c r="B289" s="78" t="inlineStr">
        <is>
          <t>Energy</t>
        </is>
      </c>
    </row>
    <row r="290">
      <c r="A290" s="78" t="inlineStr">
        <is>
          <t>Re-granter</t>
        </is>
      </c>
      <c r="B290" s="78" t="inlineStr">
        <is>
          <t>Land, Food and Forest</t>
        </is>
      </c>
    </row>
    <row r="291">
      <c r="A291" s="78" t="inlineStr">
        <is>
          <t>Grantee</t>
        </is>
      </c>
      <c r="B291" s="78" t="inlineStr">
        <is>
          <t>Energy</t>
        </is>
      </c>
    </row>
    <row r="292">
      <c r="A292" s="78" t="inlineStr">
        <is>
          <t>Grantee</t>
        </is>
      </c>
      <c r="B292" s="78" t="inlineStr">
        <is>
          <t>Land, Food and Forest</t>
        </is>
      </c>
    </row>
    <row r="293">
      <c r="A293" s="78" t="inlineStr">
        <is>
          <t>Grantee</t>
        </is>
      </c>
      <c r="B293" s="78" t="inlineStr">
        <is>
          <t>Buildings &amp; Transport</t>
        </is>
      </c>
    </row>
    <row r="294">
      <c r="A294" s="78" t="inlineStr">
        <is>
          <t>Grantee</t>
        </is>
      </c>
      <c r="B294" s="78" t="inlineStr">
        <is>
          <t>Energy</t>
        </is>
      </c>
    </row>
    <row r="295">
      <c r="A295" s="78" t="inlineStr">
        <is>
          <t>Grantee</t>
        </is>
      </c>
      <c r="B295" s="78" t="inlineStr">
        <is>
          <t>Land, Food and Forest</t>
        </is>
      </c>
    </row>
    <row r="296">
      <c r="A296" s="78" t="inlineStr">
        <is>
          <t>Grantee</t>
        </is>
      </c>
      <c r="B296" s="78" t="inlineStr">
        <is>
          <t>Energy</t>
        </is>
      </c>
    </row>
    <row r="297">
      <c r="A297" s="78" t="inlineStr">
        <is>
          <t>Grantee</t>
        </is>
      </c>
      <c r="B297" s="78" t="inlineStr">
        <is>
          <t>Energy</t>
        </is>
      </c>
    </row>
    <row r="298">
      <c r="A298" s="78" t="inlineStr">
        <is>
          <t>Grantee</t>
        </is>
      </c>
      <c r="B298" s="78" t="inlineStr">
        <is>
          <t>Energy</t>
        </is>
      </c>
    </row>
    <row r="299">
      <c r="A299" s="78" t="inlineStr">
        <is>
          <t>Grantee</t>
        </is>
      </c>
      <c r="B299" s="78" t="inlineStr">
        <is>
          <t>Energy</t>
        </is>
      </c>
    </row>
    <row r="300">
      <c r="A300" s="78" t="inlineStr">
        <is>
          <t>Grantee</t>
        </is>
      </c>
      <c r="B300" s="78" t="inlineStr">
        <is>
          <t>Energy</t>
        </is>
      </c>
    </row>
    <row r="301">
      <c r="A301" s="78" t="inlineStr">
        <is>
          <t>Re-granter</t>
        </is>
      </c>
      <c r="B301" s="78" t="inlineStr">
        <is>
          <t>Buildings &amp; Transport</t>
        </is>
      </c>
    </row>
    <row r="302">
      <c r="A302" s="78" t="inlineStr">
        <is>
          <t>Re-granter</t>
        </is>
      </c>
      <c r="B302" s="78" t="inlineStr">
        <is>
          <t>Energy</t>
        </is>
      </c>
    </row>
    <row r="303">
      <c r="A303" s="78" t="inlineStr">
        <is>
          <t>Re-granter</t>
        </is>
      </c>
      <c r="B303" s="78" t="inlineStr">
        <is>
          <t>Land, Food and Forest</t>
        </is>
      </c>
    </row>
    <row r="304">
      <c r="A304" s="78" t="inlineStr">
        <is>
          <t>Grantee</t>
        </is>
      </c>
      <c r="B304" s="78" t="inlineStr">
        <is>
          <t>Energy</t>
        </is>
      </c>
    </row>
    <row r="305">
      <c r="A305" s="78" t="inlineStr">
        <is>
          <t>Donor</t>
        </is>
      </c>
      <c r="B305" s="78" t="inlineStr">
        <is>
          <t>Energy</t>
        </is>
      </c>
    </row>
    <row r="306">
      <c r="A306" s="78" t="inlineStr">
        <is>
          <t>Donor</t>
        </is>
      </c>
      <c r="B306" s="78" t="inlineStr">
        <is>
          <t>Energy</t>
        </is>
      </c>
    </row>
    <row r="307">
      <c r="A307" s="78" t="inlineStr">
        <is>
          <t>Donor</t>
        </is>
      </c>
      <c r="B307" s="78" t="inlineStr">
        <is>
          <t>Energy</t>
        </is>
      </c>
    </row>
    <row r="308">
      <c r="A308" s="78" t="inlineStr">
        <is>
          <t>Donor</t>
        </is>
      </c>
      <c r="B308" s="78" t="inlineStr">
        <is>
          <t>Energy</t>
        </is>
      </c>
    </row>
    <row r="309">
      <c r="A309" s="78" t="inlineStr">
        <is>
          <t>Grantee</t>
        </is>
      </c>
      <c r="B309" s="78" t="inlineStr">
        <is>
          <t>Buildings &amp; Transport</t>
        </is>
      </c>
    </row>
    <row r="310">
      <c r="A310" s="78" t="inlineStr">
        <is>
          <t>Grantee</t>
        </is>
      </c>
      <c r="B310" s="78" t="inlineStr">
        <is>
          <t>Energy</t>
        </is>
      </c>
    </row>
    <row r="311">
      <c r="A311" s="78" t="inlineStr">
        <is>
          <t>Grantee</t>
        </is>
      </c>
      <c r="B311" s="78" t="inlineStr">
        <is>
          <t>Buildings &amp; Transport</t>
        </is>
      </c>
    </row>
    <row r="312">
      <c r="A312" s="78" t="inlineStr">
        <is>
          <t>Grantee</t>
        </is>
      </c>
      <c r="B312" s="78" t="inlineStr">
        <is>
          <t>Energy</t>
        </is>
      </c>
    </row>
    <row r="313">
      <c r="A313" s="78" t="inlineStr">
        <is>
          <t>Grantee</t>
        </is>
      </c>
      <c r="B313" s="78" t="inlineStr">
        <is>
          <t>Buildings &amp; Transport</t>
        </is>
      </c>
    </row>
    <row r="314">
      <c r="A314" s="78" t="inlineStr">
        <is>
          <t>Grantee</t>
        </is>
      </c>
      <c r="B314" s="78" t="inlineStr">
        <is>
          <t>Energy</t>
        </is>
      </c>
    </row>
    <row r="315">
      <c r="A315" s="78" t="inlineStr">
        <is>
          <t>Grantee</t>
        </is>
      </c>
      <c r="B315" s="78" t="inlineStr">
        <is>
          <t>Buildings &amp; Transport</t>
        </is>
      </c>
    </row>
    <row r="316">
      <c r="A316" s="78" t="inlineStr">
        <is>
          <t>Grantee</t>
        </is>
      </c>
      <c r="B316" s="78" t="inlineStr">
        <is>
          <t>Energy</t>
        </is>
      </c>
    </row>
    <row r="317">
      <c r="A317" s="78" t="inlineStr">
        <is>
          <t>Grantee</t>
        </is>
      </c>
      <c r="B317" s="78" t="inlineStr">
        <is>
          <t>Energy</t>
        </is>
      </c>
    </row>
    <row r="318">
      <c r="A318" s="78" t="inlineStr">
        <is>
          <t>Grantee</t>
        </is>
      </c>
      <c r="B318" s="78" t="inlineStr">
        <is>
          <t>Energy</t>
        </is>
      </c>
    </row>
    <row r="319">
      <c r="A319" s="78" t="inlineStr">
        <is>
          <t>Re-granter</t>
        </is>
      </c>
      <c r="B319" s="78" t="inlineStr">
        <is>
          <t>Buildings &amp; Transport</t>
        </is>
      </c>
    </row>
    <row r="320">
      <c r="A320" s="78" t="inlineStr">
        <is>
          <t>Re-granter</t>
        </is>
      </c>
      <c r="B320" s="78" t="inlineStr">
        <is>
          <t>Energy</t>
        </is>
      </c>
    </row>
    <row r="321">
      <c r="A321" s="78" t="inlineStr">
        <is>
          <t>Grantee</t>
        </is>
      </c>
      <c r="B321" s="78" t="inlineStr">
        <is>
          <t>Buildings &amp; Transport</t>
        </is>
      </c>
    </row>
    <row r="322">
      <c r="A322" s="78" t="inlineStr">
        <is>
          <t>Grantee</t>
        </is>
      </c>
      <c r="B322" s="78" t="inlineStr">
        <is>
          <t>Energy</t>
        </is>
      </c>
    </row>
    <row r="323">
      <c r="A323" s="78" t="inlineStr">
        <is>
          <t>Grantee</t>
        </is>
      </c>
      <c r="B323" s="78" t="inlineStr">
        <is>
          <t>Land, Food and Forest</t>
        </is>
      </c>
    </row>
    <row r="324">
      <c r="A324" s="78" t="inlineStr">
        <is>
          <t>Grantee</t>
        </is>
      </c>
      <c r="B324" s="78" t="inlineStr">
        <is>
          <t>Buildings &amp; Transport</t>
        </is>
      </c>
    </row>
    <row r="325">
      <c r="A325" s="78" t="inlineStr">
        <is>
          <t>Grantee</t>
        </is>
      </c>
      <c r="B325" s="78" t="inlineStr">
        <is>
          <t>Energy</t>
        </is>
      </c>
    </row>
    <row r="326">
      <c r="A326" s="78" t="inlineStr">
        <is>
          <t>Grantee</t>
        </is>
      </c>
      <c r="B326" s="78" t="inlineStr">
        <is>
          <t>Land, Food and Forest</t>
        </is>
      </c>
    </row>
    <row r="327">
      <c r="A327" s="78" t="inlineStr">
        <is>
          <t>Grantee</t>
        </is>
      </c>
      <c r="B327" s="78" t="inlineStr">
        <is>
          <t>Energy</t>
        </is>
      </c>
    </row>
    <row r="328">
      <c r="A328" s="78" t="inlineStr">
        <is>
          <t>Grantee</t>
        </is>
      </c>
      <c r="B328" s="78" t="inlineStr">
        <is>
          <t>Land, Food and Forest</t>
        </is>
      </c>
    </row>
    <row r="329">
      <c r="A329" s="78" t="inlineStr">
        <is>
          <t>Grantee</t>
        </is>
      </c>
      <c r="B329" s="78" t="inlineStr">
        <is>
          <t>Buildings &amp; Transport</t>
        </is>
      </c>
    </row>
    <row r="330">
      <c r="A330" s="78" t="inlineStr">
        <is>
          <t>Grantee</t>
        </is>
      </c>
      <c r="B330" s="78" t="inlineStr">
        <is>
          <t>Energy</t>
        </is>
      </c>
    </row>
    <row r="331">
      <c r="A331" s="78" t="inlineStr">
        <is>
          <t>Grantee</t>
        </is>
      </c>
      <c r="B331" s="78" t="inlineStr">
        <is>
          <t>Land, Food and Forest</t>
        </is>
      </c>
    </row>
    <row r="332">
      <c r="A332" s="78" t="inlineStr">
        <is>
          <t>Grantee</t>
        </is>
      </c>
      <c r="B332" s="78" t="inlineStr">
        <is>
          <t>Buildings &amp; Transport</t>
        </is>
      </c>
    </row>
    <row r="333">
      <c r="A333" s="78" t="inlineStr">
        <is>
          <t>Grantee</t>
        </is>
      </c>
      <c r="B333" s="78" t="inlineStr">
        <is>
          <t>Land, Food and Forest</t>
        </is>
      </c>
    </row>
    <row r="334">
      <c r="A334" s="78" t="inlineStr">
        <is>
          <t>Grantee</t>
        </is>
      </c>
      <c r="B334" s="78" t="inlineStr">
        <is>
          <t>Buildings &amp; Transport</t>
        </is>
      </c>
    </row>
    <row r="335">
      <c r="A335" s="78" t="inlineStr">
        <is>
          <t>Grantee</t>
        </is>
      </c>
      <c r="B335" s="78" t="inlineStr">
        <is>
          <t>Emergency response</t>
        </is>
      </c>
    </row>
    <row r="336">
      <c r="A336" s="78" t="inlineStr">
        <is>
          <t>Grantee</t>
        </is>
      </c>
      <c r="B336" s="78" t="inlineStr">
        <is>
          <t>Buildings &amp; Transport</t>
        </is>
      </c>
    </row>
    <row r="337">
      <c r="A337" s="78" t="inlineStr">
        <is>
          <t>Grantee</t>
        </is>
      </c>
      <c r="B337" s="78" t="inlineStr">
        <is>
          <t>Buildings &amp; Transport</t>
        </is>
      </c>
    </row>
    <row r="338">
      <c r="A338" s="78" t="inlineStr">
        <is>
          <t>Grantee</t>
        </is>
      </c>
      <c r="B338" s="78" t="inlineStr">
        <is>
          <t>Energy</t>
        </is>
      </c>
    </row>
    <row r="339">
      <c r="A339" s="78" t="inlineStr">
        <is>
          <t>Grantee</t>
        </is>
      </c>
      <c r="B339" s="78" t="inlineStr">
        <is>
          <t>Land, Food and Forest</t>
        </is>
      </c>
    </row>
    <row r="340">
      <c r="A340" s="78" t="inlineStr">
        <is>
          <t>Grantee</t>
        </is>
      </c>
      <c r="B340" s="78" t="inlineStr">
        <is>
          <t>Buildings &amp; Transport</t>
        </is>
      </c>
    </row>
    <row r="341">
      <c r="A341" s="78" t="inlineStr">
        <is>
          <t>Grantee</t>
        </is>
      </c>
      <c r="B341" s="78" t="inlineStr">
        <is>
          <t>Energy</t>
        </is>
      </c>
    </row>
    <row r="342">
      <c r="A342" s="78" t="inlineStr">
        <is>
          <t>Grantee</t>
        </is>
      </c>
      <c r="B342" s="78" t="inlineStr">
        <is>
          <t>Land, Food and Forest</t>
        </is>
      </c>
    </row>
    <row r="343">
      <c r="A343" s="78" t="inlineStr">
        <is>
          <t>Grantee</t>
        </is>
      </c>
      <c r="B343" s="78" t="inlineStr">
        <is>
          <t>Buildings &amp; Transport</t>
        </is>
      </c>
    </row>
    <row r="344">
      <c r="A344" s="78" t="inlineStr">
        <is>
          <t>Grantee</t>
        </is>
      </c>
      <c r="B344" s="78" t="inlineStr">
        <is>
          <t>Energy</t>
        </is>
      </c>
    </row>
    <row r="345">
      <c r="A345" s="78" t="inlineStr">
        <is>
          <t>Grantee</t>
        </is>
      </c>
      <c r="B345" s="78" t="inlineStr">
        <is>
          <t>Buildings &amp; Transport</t>
        </is>
      </c>
    </row>
    <row r="346">
      <c r="A346" s="78" t="inlineStr">
        <is>
          <t>Grantee</t>
        </is>
      </c>
      <c r="B346" s="78" t="inlineStr">
        <is>
          <t>Land, Food and Forest</t>
        </is>
      </c>
    </row>
    <row r="347">
      <c r="A347" s="78" t="inlineStr">
        <is>
          <t>Grantee</t>
        </is>
      </c>
      <c r="B347" s="78" t="inlineStr">
        <is>
          <t>Land, Food and Forest</t>
        </is>
      </c>
    </row>
    <row r="348">
      <c r="A348" s="78" t="inlineStr">
        <is>
          <t>Grantee</t>
        </is>
      </c>
      <c r="B348" s="78" t="inlineStr">
        <is>
          <t>Energy</t>
        </is>
      </c>
    </row>
    <row r="349">
      <c r="A349" s="78" t="inlineStr">
        <is>
          <t>Grantee</t>
        </is>
      </c>
      <c r="B349" s="78" t="inlineStr">
        <is>
          <t>Buildings &amp; Transport</t>
        </is>
      </c>
    </row>
    <row r="350">
      <c r="A350" s="78" t="inlineStr">
        <is>
          <t>Grantee</t>
        </is>
      </c>
      <c r="B350" s="78" t="inlineStr">
        <is>
          <t>Energy</t>
        </is>
      </c>
    </row>
    <row r="351">
      <c r="A351" s="78" t="inlineStr">
        <is>
          <t>Grantee</t>
        </is>
      </c>
      <c r="B351" s="78" t="inlineStr">
        <is>
          <t>Buildings &amp; Transport</t>
        </is>
      </c>
    </row>
    <row r="352">
      <c r="A352" s="78" t="inlineStr">
        <is>
          <t>Grantee</t>
        </is>
      </c>
      <c r="B352" s="78" t="inlineStr">
        <is>
          <t>Energy</t>
        </is>
      </c>
    </row>
    <row r="353">
      <c r="A353" s="78" t="inlineStr">
        <is>
          <t>Grantee</t>
        </is>
      </c>
      <c r="B353" s="78" t="inlineStr">
        <is>
          <t>Land, Food and Forest</t>
        </is>
      </c>
    </row>
    <row r="354">
      <c r="A354" s="78" t="inlineStr">
        <is>
          <t>Grantee</t>
        </is>
      </c>
      <c r="B354" s="78" t="inlineStr">
        <is>
          <t>Land, Food and Forest</t>
        </is>
      </c>
    </row>
    <row r="355">
      <c r="A355" s="78" t="inlineStr">
        <is>
          <t>Grantee</t>
        </is>
      </c>
      <c r="B355" s="78" t="inlineStr">
        <is>
          <t>Buildings &amp; Transport</t>
        </is>
      </c>
    </row>
    <row r="356">
      <c r="A356" s="78" t="inlineStr">
        <is>
          <t>Grantee</t>
        </is>
      </c>
      <c r="B356" s="78" t="inlineStr">
        <is>
          <t>Energy</t>
        </is>
      </c>
    </row>
    <row r="357">
      <c r="A357" s="78" t="inlineStr">
        <is>
          <t>Grantee</t>
        </is>
      </c>
      <c r="B357" s="78" t="inlineStr">
        <is>
          <t>Land, Food and Forest</t>
        </is>
      </c>
    </row>
    <row r="358">
      <c r="A358" s="78" t="inlineStr">
        <is>
          <t>Re-granter</t>
        </is>
      </c>
      <c r="B358" s="78" t="inlineStr">
        <is>
          <t>Land, Food and Forest</t>
        </is>
      </c>
    </row>
    <row r="359">
      <c r="A359" s="78" t="inlineStr">
        <is>
          <t>Donor</t>
        </is>
      </c>
      <c r="B359" s="78" t="inlineStr">
        <is>
          <t>Emergency response</t>
        </is>
      </c>
    </row>
    <row r="360">
      <c r="A360" s="78" t="inlineStr">
        <is>
          <t>Grantee</t>
        </is>
      </c>
      <c r="B360" s="78" t="inlineStr">
        <is>
          <t>Land, Food and Forest</t>
        </is>
      </c>
    </row>
    <row r="361">
      <c r="A361" s="78" t="inlineStr">
        <is>
          <t>Re-granter</t>
        </is>
      </c>
      <c r="B361" s="78" t="inlineStr">
        <is>
          <t>Buildings &amp; Transport</t>
        </is>
      </c>
    </row>
    <row r="362">
      <c r="A362" s="78" t="inlineStr">
        <is>
          <t>Re-granter</t>
        </is>
      </c>
      <c r="B362" s="78" t="inlineStr">
        <is>
          <t>Energy</t>
        </is>
      </c>
    </row>
    <row r="363">
      <c r="A363" s="78" t="inlineStr">
        <is>
          <t>Re-granter</t>
        </is>
      </c>
      <c r="B363" s="78" t="inlineStr">
        <is>
          <t>Land, Food and Forest</t>
        </is>
      </c>
    </row>
    <row r="364">
      <c r="A364" s="78" t="inlineStr">
        <is>
          <t>Grantee</t>
        </is>
      </c>
      <c r="B364" s="78" t="inlineStr">
        <is>
          <t>Land, Food and Forest</t>
        </is>
      </c>
    </row>
    <row r="365">
      <c r="A365" s="78" t="inlineStr">
        <is>
          <t>Grantee</t>
        </is>
      </c>
      <c r="B365" s="78" t="inlineStr">
        <is>
          <t>Land, Food and Forest</t>
        </is>
      </c>
    </row>
    <row r="366">
      <c r="A366" s="78" t="inlineStr">
        <is>
          <t>Grantee</t>
        </is>
      </c>
      <c r="B366" s="78" t="inlineStr">
        <is>
          <t>Land, Food and Forest</t>
        </is>
      </c>
    </row>
    <row r="367">
      <c r="A367" s="78" t="inlineStr">
        <is>
          <t>Grantee</t>
        </is>
      </c>
      <c r="B367" s="78" t="inlineStr">
        <is>
          <t>Land, Food and Forest</t>
        </is>
      </c>
    </row>
    <row r="368">
      <c r="A368" s="78" t="inlineStr">
        <is>
          <t>Donor</t>
        </is>
      </c>
      <c r="B368" s="78" t="inlineStr">
        <is>
          <t>Energy</t>
        </is>
      </c>
    </row>
    <row r="369">
      <c r="A369" s="78" t="inlineStr">
        <is>
          <t>Re-granter</t>
        </is>
      </c>
      <c r="B369" s="78" t="inlineStr">
        <is>
          <t>Buildings &amp; Transport</t>
        </is>
      </c>
    </row>
    <row r="370">
      <c r="A370" s="78" t="inlineStr">
        <is>
          <t>Re-granter</t>
        </is>
      </c>
      <c r="B370" s="78" t="inlineStr">
        <is>
          <t>Emergency response</t>
        </is>
      </c>
    </row>
    <row r="371">
      <c r="A371" s="78" t="inlineStr">
        <is>
          <t>Re-granter</t>
        </is>
      </c>
      <c r="B371" s="78" t="inlineStr">
        <is>
          <t>Energy</t>
        </is>
      </c>
    </row>
    <row r="372">
      <c r="A372" s="78" t="inlineStr">
        <is>
          <t>Re-granter</t>
        </is>
      </c>
      <c r="B372" s="78" t="inlineStr">
        <is>
          <t>Land, Food and Forest</t>
        </is>
      </c>
    </row>
    <row r="373">
      <c r="A373" s="78" t="inlineStr">
        <is>
          <t>Re-granter</t>
        </is>
      </c>
      <c r="B373" s="78" t="inlineStr">
        <is>
          <t>Buildings &amp; Transport</t>
        </is>
      </c>
    </row>
    <row r="374">
      <c r="A374" s="78" t="inlineStr">
        <is>
          <t>Re-granter</t>
        </is>
      </c>
      <c r="B374" s="78" t="inlineStr">
        <is>
          <t>Energy</t>
        </is>
      </c>
    </row>
    <row r="375">
      <c r="A375" s="78" t="inlineStr">
        <is>
          <t>Re-granter</t>
        </is>
      </c>
      <c r="B375" s="78" t="inlineStr">
        <is>
          <t>Land, Food and Forest</t>
        </is>
      </c>
    </row>
    <row r="376">
      <c r="A376" s="78" t="inlineStr">
        <is>
          <t>Re-granter</t>
        </is>
      </c>
      <c r="B376" s="78" t="inlineStr">
        <is>
          <t>Buildings &amp; Transport</t>
        </is>
      </c>
    </row>
    <row r="377">
      <c r="A377" s="78" t="inlineStr">
        <is>
          <t>Re-granter</t>
        </is>
      </c>
      <c r="B377" s="78" t="inlineStr">
        <is>
          <t>Energy</t>
        </is>
      </c>
    </row>
    <row r="378">
      <c r="A378" s="78" t="inlineStr">
        <is>
          <t>Re-granter</t>
        </is>
      </c>
      <c r="B378" s="78" t="inlineStr">
        <is>
          <t>Land, Food and Forest</t>
        </is>
      </c>
    </row>
    <row r="379">
      <c r="A379" s="78" t="inlineStr">
        <is>
          <t>Grantee</t>
        </is>
      </c>
      <c r="B379" s="78" t="inlineStr">
        <is>
          <t>Energy</t>
        </is>
      </c>
    </row>
    <row r="380">
      <c r="A380" s="78" t="inlineStr">
        <is>
          <t>Grantee</t>
        </is>
      </c>
      <c r="B380" s="78" t="inlineStr">
        <is>
          <t>Buildings &amp; Transport</t>
        </is>
      </c>
    </row>
    <row r="381">
      <c r="A381" s="78" t="inlineStr">
        <is>
          <t>Grantee</t>
        </is>
      </c>
      <c r="B381" s="78" t="inlineStr">
        <is>
          <t>Energy</t>
        </is>
      </c>
    </row>
    <row r="382">
      <c r="A382" s="78" t="inlineStr">
        <is>
          <t>Grantee</t>
        </is>
      </c>
      <c r="B382" s="78" t="inlineStr">
        <is>
          <t>Buildings &amp; Transport</t>
        </is>
      </c>
    </row>
    <row r="383">
      <c r="A383" s="78" t="inlineStr">
        <is>
          <t>Grantee</t>
        </is>
      </c>
      <c r="B383" s="78" t="inlineStr">
        <is>
          <t>Energy</t>
        </is>
      </c>
    </row>
    <row r="384">
      <c r="A384" s="78" t="inlineStr">
        <is>
          <t>Grantee</t>
        </is>
      </c>
      <c r="B384" s="78" t="inlineStr">
        <is>
          <t>Land, Food and Forest</t>
        </is>
      </c>
    </row>
    <row r="385">
      <c r="A385" s="78" t="inlineStr">
        <is>
          <t>Grantee</t>
        </is>
      </c>
      <c r="B385" s="78" t="inlineStr">
        <is>
          <t>Land, Food and Forest</t>
        </is>
      </c>
    </row>
    <row r="386">
      <c r="A386" s="78" t="inlineStr">
        <is>
          <t>Grantee</t>
        </is>
      </c>
      <c r="B386" s="78" t="inlineStr">
        <is>
          <t>Land, Food and Forest</t>
        </is>
      </c>
    </row>
    <row r="387">
      <c r="A387" s="78" t="inlineStr">
        <is>
          <t>Grantee</t>
        </is>
      </c>
      <c r="B387" s="78" t="inlineStr">
        <is>
          <t>Land, Food and Forest</t>
        </is>
      </c>
    </row>
    <row r="388">
      <c r="A388" s="78" t="inlineStr">
        <is>
          <t>Grantee</t>
        </is>
      </c>
      <c r="B388" s="78" t="inlineStr">
        <is>
          <t>Land, Food and Forest</t>
        </is>
      </c>
    </row>
    <row r="389">
      <c r="A389" s="78" t="inlineStr">
        <is>
          <t>Grantee</t>
        </is>
      </c>
      <c r="B389" s="78" t="inlineStr">
        <is>
          <t>Land, Food and Forest</t>
        </is>
      </c>
    </row>
    <row r="390">
      <c r="A390" s="78" t="inlineStr">
        <is>
          <t>Grantee</t>
        </is>
      </c>
      <c r="B390" s="78" t="inlineStr">
        <is>
          <t>Land, Food and Forest</t>
        </is>
      </c>
    </row>
    <row r="391">
      <c r="A391" s="78" t="inlineStr">
        <is>
          <t>Grantee</t>
        </is>
      </c>
      <c r="B391" s="78" t="inlineStr">
        <is>
          <t>Land, Food and Forest</t>
        </is>
      </c>
    </row>
    <row r="392">
      <c r="A392" s="78" t="inlineStr">
        <is>
          <t>Donor</t>
        </is>
      </c>
      <c r="B392" s="78" t="inlineStr">
        <is>
          <t>Land, Food and Forest</t>
        </is>
      </c>
    </row>
    <row r="393">
      <c r="A393" s="78" t="inlineStr">
        <is>
          <t>Grantee</t>
        </is>
      </c>
      <c r="B393" s="78" t="inlineStr">
        <is>
          <t>Land, Food and Forest</t>
        </is>
      </c>
    </row>
    <row r="394">
      <c r="A394" s="78" t="inlineStr">
        <is>
          <t>Grantee</t>
        </is>
      </c>
      <c r="B394" s="78" t="inlineStr">
        <is>
          <t>Energy</t>
        </is>
      </c>
    </row>
    <row r="395">
      <c r="A395" s="78" t="inlineStr">
        <is>
          <t>Grantee</t>
        </is>
      </c>
      <c r="B395" s="78" t="inlineStr">
        <is>
          <t>Buildings &amp; Transport</t>
        </is>
      </c>
    </row>
    <row r="396">
      <c r="A396" s="78" t="inlineStr">
        <is>
          <t>Grantee</t>
        </is>
      </c>
      <c r="B396" s="78" t="inlineStr">
        <is>
          <t>Energy</t>
        </is>
      </c>
    </row>
    <row r="397">
      <c r="A397" s="78" t="inlineStr">
        <is>
          <t>Grantee</t>
        </is>
      </c>
      <c r="B397" s="78" t="inlineStr">
        <is>
          <t>Buildings &amp; Transport</t>
        </is>
      </c>
    </row>
    <row r="398">
      <c r="A398" s="78" t="inlineStr">
        <is>
          <t>Grantee</t>
        </is>
      </c>
      <c r="B398" s="78" t="inlineStr">
        <is>
          <t>Buildings &amp; Transport</t>
        </is>
      </c>
    </row>
    <row r="399">
      <c r="A399" s="78" t="inlineStr">
        <is>
          <t>Grantee</t>
        </is>
      </c>
      <c r="B399" s="78" t="inlineStr">
        <is>
          <t>Buildings &amp; Transport</t>
        </is>
      </c>
    </row>
    <row r="400">
      <c r="A400" s="78" t="inlineStr">
        <is>
          <t>Grantee</t>
        </is>
      </c>
      <c r="B400" s="78" t="inlineStr">
        <is>
          <t>Buildings &amp; Transport</t>
        </is>
      </c>
    </row>
    <row r="401">
      <c r="A401" s="78" t="inlineStr">
        <is>
          <t>Grantee</t>
        </is>
      </c>
      <c r="B401" s="78" t="inlineStr">
        <is>
          <t>Buildings &amp; Transport</t>
        </is>
      </c>
    </row>
    <row r="402">
      <c r="A402" s="78" t="inlineStr">
        <is>
          <t>Grantee</t>
        </is>
      </c>
      <c r="B402" s="78" t="inlineStr">
        <is>
          <t>Land, Food and Forest</t>
        </is>
      </c>
    </row>
    <row r="403">
      <c r="A403" s="78" t="inlineStr">
        <is>
          <t>Grantee</t>
        </is>
      </c>
      <c r="B403" s="78" t="inlineStr">
        <is>
          <t>Buildings &amp; Transport</t>
        </is>
      </c>
    </row>
    <row r="404">
      <c r="A404" s="78" t="inlineStr">
        <is>
          <t>Grantee</t>
        </is>
      </c>
      <c r="B404" s="78" t="inlineStr">
        <is>
          <t>Energy</t>
        </is>
      </c>
    </row>
    <row r="405">
      <c r="A405" s="78" t="inlineStr">
        <is>
          <t>Grantee</t>
        </is>
      </c>
      <c r="B405" s="78" t="inlineStr">
        <is>
          <t>Land, Food and Forest</t>
        </is>
      </c>
    </row>
    <row r="406">
      <c r="A406" s="78" t="inlineStr">
        <is>
          <t>Grantee</t>
        </is>
      </c>
      <c r="B406" s="78" t="inlineStr">
        <is>
          <t>Land, Food and Forest</t>
        </is>
      </c>
    </row>
    <row r="407">
      <c r="A407" s="78" t="inlineStr">
        <is>
          <t>Grantee</t>
        </is>
      </c>
      <c r="B407" s="78" t="inlineStr">
        <is>
          <t>Land, Food and Forest</t>
        </is>
      </c>
    </row>
    <row r="408">
      <c r="A408" s="78" t="inlineStr">
        <is>
          <t>Grantee</t>
        </is>
      </c>
      <c r="B408" s="78" t="inlineStr">
        <is>
          <t>Energy</t>
        </is>
      </c>
    </row>
    <row r="409">
      <c r="A409" s="78" t="inlineStr">
        <is>
          <t>Grantee</t>
        </is>
      </c>
      <c r="B409" s="78" t="inlineStr">
        <is>
          <t>Land, Food and Forest</t>
        </is>
      </c>
    </row>
    <row r="410">
      <c r="A410" s="78" t="inlineStr">
        <is>
          <t>Grantee</t>
        </is>
      </c>
      <c r="B410" s="78" t="inlineStr">
        <is>
          <t>Buildings &amp; Transport</t>
        </is>
      </c>
    </row>
    <row r="411">
      <c r="A411" s="78" t="inlineStr">
        <is>
          <t>Grantee</t>
        </is>
      </c>
      <c r="B411" s="78" t="inlineStr">
        <is>
          <t>Buildings &amp; Transport</t>
        </is>
      </c>
    </row>
    <row r="412">
      <c r="A412" s="78" t="inlineStr">
        <is>
          <t>Grantee</t>
        </is>
      </c>
      <c r="B412" s="78" t="inlineStr">
        <is>
          <t>Buildings &amp; Transport</t>
        </is>
      </c>
    </row>
    <row r="413">
      <c r="A413" s="78" t="inlineStr">
        <is>
          <t>Grantee</t>
        </is>
      </c>
      <c r="B413" s="78" t="inlineStr">
        <is>
          <t>Energy</t>
        </is>
      </c>
    </row>
    <row r="414">
      <c r="A414" s="78" t="inlineStr">
        <is>
          <t>Grantee</t>
        </is>
      </c>
      <c r="B414" s="78" t="inlineStr">
        <is>
          <t>Land, Food and Forest</t>
        </is>
      </c>
    </row>
    <row r="415">
      <c r="A415" s="78" t="inlineStr">
        <is>
          <t>Grantee</t>
        </is>
      </c>
      <c r="B415" s="78" t="inlineStr">
        <is>
          <t>Energy</t>
        </is>
      </c>
    </row>
    <row r="416">
      <c r="A416" s="78" t="inlineStr">
        <is>
          <t>Grantee</t>
        </is>
      </c>
      <c r="B416" s="78" t="inlineStr">
        <is>
          <t>Land, Food and Forest</t>
        </is>
      </c>
    </row>
    <row r="417">
      <c r="A417" s="78" t="inlineStr">
        <is>
          <t>Grantee</t>
        </is>
      </c>
      <c r="B417" s="78" t="inlineStr">
        <is>
          <t>Energy</t>
        </is>
      </c>
    </row>
    <row r="418">
      <c r="A418" s="78" t="inlineStr">
        <is>
          <t>Grantee</t>
        </is>
      </c>
      <c r="B418" s="78" t="inlineStr">
        <is>
          <t>Land, Food and Forest</t>
        </is>
      </c>
    </row>
    <row r="419">
      <c r="A419" s="78" t="inlineStr">
        <is>
          <t>Grantee</t>
        </is>
      </c>
      <c r="B419" s="78" t="inlineStr">
        <is>
          <t>Energy</t>
        </is>
      </c>
    </row>
    <row r="420">
      <c r="A420" s="78" t="inlineStr">
        <is>
          <t>Grantee</t>
        </is>
      </c>
      <c r="B420" s="78" t="inlineStr">
        <is>
          <t>Land, Food and Forest</t>
        </is>
      </c>
    </row>
    <row r="421">
      <c r="A421" s="78" t="inlineStr">
        <is>
          <t>Grantee</t>
        </is>
      </c>
      <c r="B421" s="78" t="inlineStr">
        <is>
          <t>Energy</t>
        </is>
      </c>
    </row>
    <row r="422">
      <c r="A422" s="78" t="inlineStr">
        <is>
          <t>Grantee</t>
        </is>
      </c>
      <c r="B422" s="78" t="inlineStr">
        <is>
          <t>Land, Food and Forest</t>
        </is>
      </c>
    </row>
    <row r="423">
      <c r="A423" s="78" t="inlineStr">
        <is>
          <t>Grantee</t>
        </is>
      </c>
      <c r="B423" s="78" t="inlineStr">
        <is>
          <t>Land, Food and Forest</t>
        </is>
      </c>
    </row>
    <row r="424">
      <c r="A424" s="78" t="inlineStr">
        <is>
          <t>Grantee</t>
        </is>
      </c>
      <c r="B424" s="78" t="inlineStr">
        <is>
          <t>Land, Food and Forest</t>
        </is>
      </c>
    </row>
    <row r="425">
      <c r="A425" s="78" t="inlineStr">
        <is>
          <t>Grantee</t>
        </is>
      </c>
      <c r="B425" s="78" t="inlineStr">
        <is>
          <t>Land, Food and Forest</t>
        </is>
      </c>
    </row>
    <row r="426">
      <c r="A426" s="78" t="inlineStr">
        <is>
          <t>Grantee</t>
        </is>
      </c>
      <c r="B426" s="78" t="inlineStr">
        <is>
          <t>Land, Food and Forest</t>
        </is>
      </c>
    </row>
    <row r="427">
      <c r="A427" s="78" t="inlineStr">
        <is>
          <t>Grantee</t>
        </is>
      </c>
      <c r="B427" s="78" t="inlineStr">
        <is>
          <t>Land, Food and Forest</t>
        </is>
      </c>
    </row>
    <row r="428">
      <c r="A428" s="78" t="inlineStr">
        <is>
          <t>Grantee</t>
        </is>
      </c>
      <c r="B428" s="78" t="inlineStr">
        <is>
          <t>Land, Food and Forest</t>
        </is>
      </c>
    </row>
    <row r="429">
      <c r="A429" s="78" t="inlineStr">
        <is>
          <t>Grantee</t>
        </is>
      </c>
      <c r="B429" s="78" t="inlineStr">
        <is>
          <t>Land, Food and Forest</t>
        </is>
      </c>
    </row>
    <row r="430">
      <c r="A430" s="78" t="inlineStr">
        <is>
          <t>Grantee</t>
        </is>
      </c>
      <c r="B430" s="78" t="inlineStr">
        <is>
          <t>Land, Food and Forest</t>
        </is>
      </c>
    </row>
    <row r="431">
      <c r="A431" s="78" t="inlineStr">
        <is>
          <t>Grantee</t>
        </is>
      </c>
      <c r="B431" s="78" t="inlineStr">
        <is>
          <t>Emergency response</t>
        </is>
      </c>
    </row>
    <row r="432">
      <c r="A432" s="78" t="inlineStr">
        <is>
          <t>Grantee</t>
        </is>
      </c>
      <c r="B432" s="78" t="inlineStr">
        <is>
          <t>Energy</t>
        </is>
      </c>
    </row>
    <row r="433">
      <c r="A433" s="78" t="inlineStr">
        <is>
          <t>Grantee</t>
        </is>
      </c>
      <c r="B433" s="78" t="inlineStr">
        <is>
          <t>Land, Food and Forest</t>
        </is>
      </c>
    </row>
    <row r="434">
      <c r="A434" s="78" t="inlineStr">
        <is>
          <t>Grantee</t>
        </is>
      </c>
      <c r="B434" s="78" t="inlineStr">
        <is>
          <t>Land, Food and Forest</t>
        </is>
      </c>
    </row>
    <row r="435">
      <c r="A435" s="78" t="inlineStr">
        <is>
          <t>Grantee</t>
        </is>
      </c>
      <c r="B435" s="78" t="inlineStr">
        <is>
          <t>Land, Food and Forest</t>
        </is>
      </c>
    </row>
    <row r="436">
      <c r="A436" s="78" t="inlineStr">
        <is>
          <t>Grantee</t>
        </is>
      </c>
      <c r="B436" s="78" t="inlineStr">
        <is>
          <t>Emergency response</t>
        </is>
      </c>
    </row>
    <row r="437">
      <c r="A437" s="78" t="inlineStr">
        <is>
          <t>Grantee</t>
        </is>
      </c>
      <c r="B437" s="78" t="inlineStr">
        <is>
          <t>Land, Food and Forest</t>
        </is>
      </c>
    </row>
    <row r="438">
      <c r="A438" s="78" t="inlineStr">
        <is>
          <t>Grantee</t>
        </is>
      </c>
      <c r="B438" s="78" t="inlineStr">
        <is>
          <t>Emergency response</t>
        </is>
      </c>
    </row>
    <row r="439">
      <c r="A439" s="78" t="inlineStr">
        <is>
          <t>Grantee</t>
        </is>
      </c>
      <c r="B439" s="78" t="inlineStr">
        <is>
          <t>Land, Food and Forest</t>
        </is>
      </c>
    </row>
    <row r="440">
      <c r="A440" s="78" t="inlineStr">
        <is>
          <t>Grantee</t>
        </is>
      </c>
      <c r="B440" s="78" t="inlineStr">
        <is>
          <t>Land, Food and Forest</t>
        </is>
      </c>
    </row>
    <row r="441">
      <c r="A441" s="78" t="inlineStr">
        <is>
          <t>Grantee</t>
        </is>
      </c>
      <c r="B441" s="78" t="inlineStr">
        <is>
          <t>Land, Food and Forest</t>
        </is>
      </c>
    </row>
    <row r="442">
      <c r="A442" s="78" t="inlineStr">
        <is>
          <t>Grantee</t>
        </is>
      </c>
      <c r="B442" s="78" t="inlineStr">
        <is>
          <t>Land, Food and Forest</t>
        </is>
      </c>
    </row>
    <row r="443">
      <c r="A443" s="78" t="inlineStr">
        <is>
          <t>Grantee</t>
        </is>
      </c>
      <c r="B443" s="78" t="inlineStr">
        <is>
          <t>Land, Food and Forest</t>
        </is>
      </c>
    </row>
    <row r="444">
      <c r="A444" s="78" t="inlineStr">
        <is>
          <t>Grantee</t>
        </is>
      </c>
      <c r="B444" s="78" t="inlineStr">
        <is>
          <t>Buildings &amp; Transport</t>
        </is>
      </c>
    </row>
    <row r="445">
      <c r="A445" s="78" t="inlineStr">
        <is>
          <t>Donor</t>
        </is>
      </c>
      <c r="B445" s="78" t="inlineStr">
        <is>
          <t>Buildings &amp; Transport</t>
        </is>
      </c>
    </row>
    <row r="446">
      <c r="A446" s="78" t="inlineStr">
        <is>
          <t>Donor</t>
        </is>
      </c>
      <c r="B446" s="78" t="inlineStr">
        <is>
          <t>Energy</t>
        </is>
      </c>
    </row>
    <row r="447">
      <c r="A447" s="78" t="inlineStr">
        <is>
          <t>Donor</t>
        </is>
      </c>
      <c r="B447" s="78" t="inlineStr">
        <is>
          <t>Land, Food and Forest</t>
        </is>
      </c>
    </row>
    <row r="448">
      <c r="A448" s="78" t="inlineStr">
        <is>
          <t>Re-granter</t>
        </is>
      </c>
      <c r="B448" s="78" t="inlineStr">
        <is>
          <t>Buildings &amp; Transport</t>
        </is>
      </c>
    </row>
    <row r="449">
      <c r="A449" s="78" t="inlineStr">
        <is>
          <t>Re-granter</t>
        </is>
      </c>
      <c r="B449" s="78" t="inlineStr">
        <is>
          <t>Energy</t>
        </is>
      </c>
    </row>
    <row r="450">
      <c r="A450" s="78" t="inlineStr">
        <is>
          <t>Re-granter</t>
        </is>
      </c>
      <c r="B450" s="78" t="inlineStr">
        <is>
          <t>Land, Food and Forest</t>
        </is>
      </c>
    </row>
    <row r="451">
      <c r="A451" s="78" t="inlineStr">
        <is>
          <t>Re-granter</t>
        </is>
      </c>
      <c r="B451" s="78" t="inlineStr">
        <is>
          <t>Buildings &amp; Transport</t>
        </is>
      </c>
    </row>
    <row r="452">
      <c r="A452" s="78" t="inlineStr">
        <is>
          <t>Re-granter</t>
        </is>
      </c>
      <c r="B452" s="78" t="inlineStr">
        <is>
          <t>Energy</t>
        </is>
      </c>
    </row>
    <row r="453">
      <c r="A453" s="78" t="inlineStr">
        <is>
          <t>Re-granter</t>
        </is>
      </c>
      <c r="B453" s="78" t="inlineStr">
        <is>
          <t>Land, Food and Forest</t>
        </is>
      </c>
    </row>
    <row r="454">
      <c r="A454" s="78" t="inlineStr">
        <is>
          <t>Re-granter</t>
        </is>
      </c>
      <c r="B454" s="78" t="inlineStr">
        <is>
          <t>Buildings &amp; Transport</t>
        </is>
      </c>
    </row>
    <row r="455">
      <c r="A455" s="78" t="inlineStr">
        <is>
          <t>Re-granter</t>
        </is>
      </c>
      <c r="B455" s="78" t="inlineStr">
        <is>
          <t>Energy</t>
        </is>
      </c>
    </row>
    <row r="456">
      <c r="A456" s="78" t="inlineStr">
        <is>
          <t>Re-granter</t>
        </is>
      </c>
      <c r="B456" s="78" t="inlineStr">
        <is>
          <t>Land, Food and Forest</t>
        </is>
      </c>
    </row>
    <row r="457">
      <c r="A457" s="78" t="inlineStr">
        <is>
          <t>Re-granter</t>
        </is>
      </c>
      <c r="B457" s="78" t="inlineStr">
        <is>
          <t>Buildings &amp; Transport</t>
        </is>
      </c>
    </row>
    <row r="458">
      <c r="A458" s="78" t="inlineStr">
        <is>
          <t>Re-granter</t>
        </is>
      </c>
      <c r="B458" s="78" t="inlineStr">
        <is>
          <t>Energy</t>
        </is>
      </c>
    </row>
    <row r="459">
      <c r="A459" s="78" t="inlineStr">
        <is>
          <t>Re-granter</t>
        </is>
      </c>
      <c r="B459" s="78" t="inlineStr">
        <is>
          <t>Land, Food and Forest</t>
        </is>
      </c>
    </row>
    <row r="460">
      <c r="A460" s="78" t="inlineStr">
        <is>
          <t>Grantee</t>
        </is>
      </c>
      <c r="B460" s="78" t="inlineStr">
        <is>
          <t>Buildings &amp; Transport</t>
        </is>
      </c>
    </row>
    <row r="461">
      <c r="A461" s="78" t="inlineStr">
        <is>
          <t>Grantee</t>
        </is>
      </c>
      <c r="B461" s="78" t="inlineStr">
        <is>
          <t>Energy</t>
        </is>
      </c>
    </row>
    <row r="462">
      <c r="A462" s="78" t="inlineStr">
        <is>
          <t>Grantee</t>
        </is>
      </c>
      <c r="B462" s="78" t="inlineStr">
        <is>
          <t>Land, Food and Forest</t>
        </is>
      </c>
    </row>
    <row r="463">
      <c r="A463" s="78" t="inlineStr">
        <is>
          <t>Re-granter</t>
        </is>
      </c>
      <c r="B463" s="78" t="inlineStr">
        <is>
          <t>Buildings &amp; Transport</t>
        </is>
      </c>
    </row>
    <row r="464">
      <c r="A464" s="78" t="inlineStr">
        <is>
          <t>Re-granter</t>
        </is>
      </c>
      <c r="B464" s="78" t="inlineStr">
        <is>
          <t>Energy</t>
        </is>
      </c>
    </row>
    <row r="465">
      <c r="A465" s="78" t="inlineStr">
        <is>
          <t>Re-granter</t>
        </is>
      </c>
      <c r="B465" s="78" t="inlineStr">
        <is>
          <t>Land, Food and Forest</t>
        </is>
      </c>
    </row>
    <row r="466">
      <c r="A466" s="78" t="inlineStr">
        <is>
          <t>Donor</t>
        </is>
      </c>
      <c r="B466" s="78" t="inlineStr">
        <is>
          <t>Buildings &amp; Transport</t>
        </is>
      </c>
    </row>
    <row r="467">
      <c r="A467" s="78" t="inlineStr">
        <is>
          <t>Donor</t>
        </is>
      </c>
      <c r="B467" s="78" t="inlineStr">
        <is>
          <t>Energy</t>
        </is>
      </c>
    </row>
    <row r="468">
      <c r="A468" s="78" t="inlineStr">
        <is>
          <t>Donor</t>
        </is>
      </c>
      <c r="B468" s="78" t="inlineStr">
        <is>
          <t>Land, Food and Forest</t>
        </is>
      </c>
    </row>
    <row r="469">
      <c r="A469" s="78" t="inlineStr">
        <is>
          <t>Donor</t>
        </is>
      </c>
      <c r="B469" s="78" t="inlineStr">
        <is>
          <t>Buildings &amp; Transport</t>
        </is>
      </c>
    </row>
    <row r="470">
      <c r="A470" s="78" t="inlineStr">
        <is>
          <t>Donor</t>
        </is>
      </c>
      <c r="B470" s="78" t="inlineStr">
        <is>
          <t>Energy</t>
        </is>
      </c>
    </row>
    <row r="471">
      <c r="A471" s="78" t="inlineStr">
        <is>
          <t>Donor</t>
        </is>
      </c>
      <c r="B471" s="78" t="inlineStr">
        <is>
          <t>Land, Food and Forest</t>
        </is>
      </c>
    </row>
    <row r="472">
      <c r="A472" s="78" t="inlineStr">
        <is>
          <t>Donor</t>
        </is>
      </c>
      <c r="B472" s="78" t="inlineStr">
        <is>
          <t>Buildings &amp; Transport</t>
        </is>
      </c>
    </row>
    <row r="473">
      <c r="A473" s="78" t="inlineStr">
        <is>
          <t>Donor</t>
        </is>
      </c>
      <c r="B473" s="78" t="inlineStr">
        <is>
          <t>Energy</t>
        </is>
      </c>
    </row>
    <row r="474">
      <c r="A474" s="78" t="inlineStr">
        <is>
          <t>Donor</t>
        </is>
      </c>
      <c r="B474" s="78" t="inlineStr">
        <is>
          <t>Land, Food and Forest</t>
        </is>
      </c>
    </row>
    <row r="475">
      <c r="A475" s="78" t="inlineStr">
        <is>
          <t>Donor</t>
        </is>
      </c>
      <c r="B475" s="78" t="inlineStr">
        <is>
          <t>Emergency response</t>
        </is>
      </c>
    </row>
    <row r="476">
      <c r="A476" s="78" t="inlineStr">
        <is>
          <t>Donor</t>
        </is>
      </c>
      <c r="B476" s="78" t="inlineStr">
        <is>
          <t>Land, Food and Forest</t>
        </is>
      </c>
    </row>
    <row r="477">
      <c r="A477" s="78" t="inlineStr">
        <is>
          <t>Donor</t>
        </is>
      </c>
      <c r="B477" s="78" t="inlineStr">
        <is>
          <t>Energy</t>
        </is>
      </c>
    </row>
    <row r="478">
      <c r="A478" s="78" t="inlineStr">
        <is>
          <t>Donor</t>
        </is>
      </c>
      <c r="B478" s="78" t="inlineStr">
        <is>
          <t>Land, Food and Forest</t>
        </is>
      </c>
    </row>
    <row r="479">
      <c r="A479" s="78" t="inlineStr">
        <is>
          <t>Donor</t>
        </is>
      </c>
      <c r="B479" s="78" t="inlineStr">
        <is>
          <t>Energy</t>
        </is>
      </c>
    </row>
    <row r="480">
      <c r="A480" s="78" t="inlineStr">
        <is>
          <t>Donor</t>
        </is>
      </c>
      <c r="B480" s="78" t="inlineStr">
        <is>
          <t>Land, Food and Forest</t>
        </is>
      </c>
    </row>
    <row r="481">
      <c r="A481" s="78" t="inlineStr">
        <is>
          <t>Donor</t>
        </is>
      </c>
      <c r="B481" s="78" t="inlineStr">
        <is>
          <t>Energy</t>
        </is>
      </c>
    </row>
    <row r="482">
      <c r="A482" s="78" t="inlineStr">
        <is>
          <t>Donor</t>
        </is>
      </c>
      <c r="B482" s="78" t="inlineStr">
        <is>
          <t>Land, Food and Forest</t>
        </is>
      </c>
    </row>
    <row r="483">
      <c r="A483" s="78" t="inlineStr">
        <is>
          <t>Donor</t>
        </is>
      </c>
      <c r="B483" s="78" t="inlineStr">
        <is>
          <t>Land, Food and Forest</t>
        </is>
      </c>
    </row>
    <row r="484">
      <c r="A484" s="78" t="inlineStr">
        <is>
          <t>Donor</t>
        </is>
      </c>
      <c r="B484" s="78" t="inlineStr">
        <is>
          <t>Buildings &amp; Transport</t>
        </is>
      </c>
    </row>
    <row r="485">
      <c r="A485" s="78" t="inlineStr">
        <is>
          <t>Donor</t>
        </is>
      </c>
      <c r="B485" s="78" t="inlineStr">
        <is>
          <t>Energy</t>
        </is>
      </c>
    </row>
    <row r="486">
      <c r="A486" s="78" t="inlineStr">
        <is>
          <t>Donor</t>
        </is>
      </c>
      <c r="B486" s="78" t="inlineStr">
        <is>
          <t>Land, Food and Forest</t>
        </is>
      </c>
    </row>
    <row r="487">
      <c r="A487" s="78" t="inlineStr">
        <is>
          <t>Donor</t>
        </is>
      </c>
      <c r="B487" s="78" t="inlineStr">
        <is>
          <t>Buildings &amp; Transport</t>
        </is>
      </c>
    </row>
    <row r="488">
      <c r="A488" s="78" t="inlineStr">
        <is>
          <t>Donor</t>
        </is>
      </c>
      <c r="B488" s="78" t="inlineStr">
        <is>
          <t>Energy</t>
        </is>
      </c>
    </row>
    <row r="489">
      <c r="A489" s="78" t="inlineStr">
        <is>
          <t>Donor</t>
        </is>
      </c>
      <c r="B489" s="78" t="inlineStr">
        <is>
          <t>Land, Food and Forest</t>
        </is>
      </c>
    </row>
    <row r="490">
      <c r="A490" s="78" t="inlineStr">
        <is>
          <t>Re-granter</t>
        </is>
      </c>
      <c r="B490" s="78" t="inlineStr">
        <is>
          <t>Buildings &amp; Transport</t>
        </is>
      </c>
    </row>
    <row r="491">
      <c r="A491" s="78" t="inlineStr">
        <is>
          <t>Re-granter</t>
        </is>
      </c>
      <c r="B491" s="78" t="inlineStr">
        <is>
          <t>Energy</t>
        </is>
      </c>
    </row>
    <row r="492">
      <c r="A492" s="78" t="inlineStr">
        <is>
          <t>Re-granter</t>
        </is>
      </c>
      <c r="B492" s="78" t="inlineStr">
        <is>
          <t>Land, Food and Forest</t>
        </is>
      </c>
    </row>
    <row r="493">
      <c r="A493" s="78" t="inlineStr">
        <is>
          <t>Grantee</t>
        </is>
      </c>
      <c r="B493" s="78" t="inlineStr">
        <is>
          <t>Buildings &amp; Transport</t>
        </is>
      </c>
    </row>
    <row r="494">
      <c r="A494" s="78" t="inlineStr">
        <is>
          <t>Grantee</t>
        </is>
      </c>
      <c r="B494" s="78" t="inlineStr">
        <is>
          <t>Energy</t>
        </is>
      </c>
    </row>
    <row r="495">
      <c r="A495" s="78" t="inlineStr">
        <is>
          <t>Grantee</t>
        </is>
      </c>
      <c r="B495" s="78" t="inlineStr">
        <is>
          <t>Land, Food and Forest</t>
        </is>
      </c>
    </row>
    <row r="496">
      <c r="A496" s="78" t="inlineStr">
        <is>
          <t>Donor</t>
        </is>
      </c>
      <c r="B496" s="78" t="inlineStr">
        <is>
          <t>Buildings &amp; Transport</t>
        </is>
      </c>
    </row>
    <row r="497">
      <c r="A497" s="78" t="inlineStr">
        <is>
          <t>Donor</t>
        </is>
      </c>
      <c r="B497" s="78" t="inlineStr">
        <is>
          <t>Emergency response</t>
        </is>
      </c>
    </row>
    <row r="498">
      <c r="A498" s="78" t="inlineStr">
        <is>
          <t>Donor</t>
        </is>
      </c>
      <c r="B498" s="78" t="inlineStr">
        <is>
          <t>Energy</t>
        </is>
      </c>
    </row>
    <row r="499">
      <c r="A499" s="78" t="inlineStr">
        <is>
          <t>Donor</t>
        </is>
      </c>
      <c r="B499" s="78" t="inlineStr">
        <is>
          <t>Land, Food and Forest</t>
        </is>
      </c>
    </row>
    <row r="500">
      <c r="A500" s="78" t="inlineStr">
        <is>
          <t>Donor</t>
        </is>
      </c>
      <c r="B500" s="78" t="inlineStr">
        <is>
          <t>Buildings &amp; Transport</t>
        </is>
      </c>
    </row>
    <row r="501">
      <c r="A501" s="78" t="inlineStr">
        <is>
          <t>Donor</t>
        </is>
      </c>
      <c r="B501" s="78" t="inlineStr">
        <is>
          <t>Energy</t>
        </is>
      </c>
    </row>
    <row r="502">
      <c r="A502" s="78" t="inlineStr">
        <is>
          <t>Donor</t>
        </is>
      </c>
      <c r="B502" s="78" t="inlineStr">
        <is>
          <t>Land, Food and Forest</t>
        </is>
      </c>
    </row>
    <row r="503">
      <c r="A503" s="78" t="inlineStr">
        <is>
          <t>Donor</t>
        </is>
      </c>
      <c r="B503" s="78" t="inlineStr">
        <is>
          <t>Buildings &amp; Transport</t>
        </is>
      </c>
    </row>
    <row r="504">
      <c r="A504" s="78" t="inlineStr">
        <is>
          <t>Donor</t>
        </is>
      </c>
      <c r="B504" s="78" t="inlineStr">
        <is>
          <t>Energy</t>
        </is>
      </c>
    </row>
    <row r="505">
      <c r="A505" s="78" t="inlineStr">
        <is>
          <t>Donor</t>
        </is>
      </c>
      <c r="B505" s="78" t="inlineStr">
        <is>
          <t>Land, Food and Forest</t>
        </is>
      </c>
    </row>
    <row r="506">
      <c r="A506" s="78" t="inlineStr">
        <is>
          <t>Donor</t>
        </is>
      </c>
      <c r="B506" s="78" t="inlineStr">
        <is>
          <t>Land, Food and Forest</t>
        </is>
      </c>
    </row>
    <row r="507">
      <c r="A507" s="78" t="inlineStr">
        <is>
          <t>Grantee</t>
        </is>
      </c>
      <c r="B507" s="78" t="inlineStr">
        <is>
          <t>Land, Food and Forest</t>
        </is>
      </c>
    </row>
    <row r="508">
      <c r="A508" s="78" t="inlineStr">
        <is>
          <t>Donor</t>
        </is>
      </c>
      <c r="B508" s="78" t="inlineStr">
        <is>
          <t>Emergency response</t>
        </is>
      </c>
    </row>
    <row r="509">
      <c r="A509" s="78" t="inlineStr">
        <is>
          <t>Donor</t>
        </is>
      </c>
      <c r="B509" s="78" t="inlineStr">
        <is>
          <t>Land, Food and Forest</t>
        </is>
      </c>
    </row>
    <row r="510">
      <c r="A510" s="78" t="inlineStr">
        <is>
          <t>Donor</t>
        </is>
      </c>
      <c r="B510" s="78" t="inlineStr">
        <is>
          <t>Emergency response</t>
        </is>
      </c>
    </row>
    <row r="511">
      <c r="A511" s="78" t="inlineStr">
        <is>
          <t>Donor</t>
        </is>
      </c>
      <c r="B511" s="78" t="inlineStr">
        <is>
          <t>Land, Food and Forest</t>
        </is>
      </c>
    </row>
    <row r="512">
      <c r="A512" s="78" t="inlineStr">
        <is>
          <t>Donor</t>
        </is>
      </c>
      <c r="B512" s="78" t="inlineStr">
        <is>
          <t>Energy</t>
        </is>
      </c>
    </row>
    <row r="513">
      <c r="A513" s="78" t="inlineStr">
        <is>
          <t>Donor</t>
        </is>
      </c>
      <c r="B513" s="78" t="inlineStr">
        <is>
          <t>Land, Food and Forest</t>
        </is>
      </c>
    </row>
    <row r="514">
      <c r="A514" s="78" t="inlineStr">
        <is>
          <t>Donor</t>
        </is>
      </c>
      <c r="B514" s="78" t="inlineStr">
        <is>
          <t>Buildings &amp; Transport</t>
        </is>
      </c>
    </row>
    <row r="515">
      <c r="A515" s="78" t="inlineStr">
        <is>
          <t>Donor</t>
        </is>
      </c>
      <c r="B515" s="78" t="inlineStr">
        <is>
          <t>Energy</t>
        </is>
      </c>
    </row>
    <row r="516">
      <c r="A516" s="78" t="inlineStr">
        <is>
          <t>Donor</t>
        </is>
      </c>
      <c r="B516" s="78" t="inlineStr">
        <is>
          <t>Buildings &amp; Transport</t>
        </is>
      </c>
    </row>
    <row r="517">
      <c r="A517" s="78" t="inlineStr">
        <is>
          <t>Donor</t>
        </is>
      </c>
      <c r="B517" s="78" t="inlineStr">
        <is>
          <t>Energy</t>
        </is>
      </c>
    </row>
    <row r="518">
      <c r="A518" s="78" t="inlineStr">
        <is>
          <t>Donor</t>
        </is>
      </c>
      <c r="B518" s="78" t="inlineStr">
        <is>
          <t>Energy</t>
        </is>
      </c>
    </row>
    <row r="519">
      <c r="A519" s="78" t="inlineStr">
        <is>
          <t>Donor</t>
        </is>
      </c>
      <c r="B519" s="78" t="inlineStr">
        <is>
          <t>Land, Food and Forest</t>
        </is>
      </c>
    </row>
    <row r="520">
      <c r="A520" s="78" t="inlineStr">
        <is>
          <t>Grantee</t>
        </is>
      </c>
      <c r="B520" s="78" t="inlineStr">
        <is>
          <t>Emergency response</t>
        </is>
      </c>
    </row>
    <row r="521">
      <c r="A521" s="78" t="inlineStr">
        <is>
          <t>Grantee</t>
        </is>
      </c>
      <c r="B521" s="78" t="inlineStr">
        <is>
          <t>Emergency response</t>
        </is>
      </c>
    </row>
    <row r="522">
      <c r="A522" s="78" t="inlineStr">
        <is>
          <t>Grantee</t>
        </is>
      </c>
      <c r="B522" s="78" t="inlineStr">
        <is>
          <t>Emergency response</t>
        </is>
      </c>
    </row>
    <row r="523">
      <c r="A523" s="78" t="inlineStr">
        <is>
          <t>Grantee</t>
        </is>
      </c>
      <c r="B523" s="78" t="inlineStr">
        <is>
          <t>Emergency response</t>
        </is>
      </c>
    </row>
    <row r="524">
      <c r="A524" s="78" t="inlineStr">
        <is>
          <t>Grantee</t>
        </is>
      </c>
      <c r="B524" s="78" t="inlineStr">
        <is>
          <t>Land, Food and Forest</t>
        </is>
      </c>
    </row>
    <row r="525">
      <c r="A525" s="78" t="inlineStr">
        <is>
          <t>Grantee</t>
        </is>
      </c>
      <c r="B525" s="78" t="inlineStr">
        <is>
          <t>Buildings &amp; Transport</t>
        </is>
      </c>
    </row>
    <row r="526">
      <c r="A526" s="78" t="inlineStr">
        <is>
          <t>Grantee</t>
        </is>
      </c>
      <c r="B526" s="78" t="inlineStr">
        <is>
          <t>Energy</t>
        </is>
      </c>
    </row>
    <row r="527">
      <c r="A527" s="78" t="inlineStr">
        <is>
          <t>Grantee</t>
        </is>
      </c>
      <c r="B527" s="78" t="inlineStr">
        <is>
          <t>Land, Food and Forest</t>
        </is>
      </c>
    </row>
    <row r="528">
      <c r="A528" s="78" t="inlineStr">
        <is>
          <t>Grantee</t>
        </is>
      </c>
      <c r="B528" s="78" t="inlineStr">
        <is>
          <t>Land, Food and Forest</t>
        </is>
      </c>
    </row>
    <row r="529">
      <c r="A529" s="78" t="inlineStr">
        <is>
          <t>Grantee</t>
        </is>
      </c>
      <c r="B529" s="78" t="inlineStr">
        <is>
          <t>Energy</t>
        </is>
      </c>
    </row>
    <row r="530">
      <c r="A530" s="78" t="inlineStr">
        <is>
          <t>Grantee</t>
        </is>
      </c>
      <c r="B530" s="78" t="inlineStr">
        <is>
          <t>Land, Food and Forest</t>
        </is>
      </c>
    </row>
    <row r="531">
      <c r="A531" s="78" t="inlineStr">
        <is>
          <t>Grantee</t>
        </is>
      </c>
      <c r="B531" s="78" t="inlineStr">
        <is>
          <t>Land, Food and Forest</t>
        </is>
      </c>
    </row>
    <row r="532">
      <c r="A532" s="78" t="inlineStr">
        <is>
          <t>Grantee</t>
        </is>
      </c>
      <c r="B532" s="78" t="inlineStr">
        <is>
          <t>Land, Food and Forest</t>
        </is>
      </c>
    </row>
    <row r="533">
      <c r="A533" s="78" t="inlineStr">
        <is>
          <t>Grantee</t>
        </is>
      </c>
      <c r="B533" s="78" t="inlineStr">
        <is>
          <t>Land, Food and Forest</t>
        </is>
      </c>
    </row>
    <row r="534">
      <c r="A534" s="78" t="inlineStr">
        <is>
          <t>Grantee</t>
        </is>
      </c>
      <c r="B534" s="78" t="inlineStr">
        <is>
          <t>Land, Food and Forest</t>
        </is>
      </c>
    </row>
    <row r="535">
      <c r="A535" s="78" t="inlineStr">
        <is>
          <t>Grantee</t>
        </is>
      </c>
      <c r="B535" s="78" t="inlineStr">
        <is>
          <t>Land, Food and Forest</t>
        </is>
      </c>
    </row>
    <row r="536">
      <c r="A536" s="78" t="inlineStr">
        <is>
          <t>Grantee</t>
        </is>
      </c>
      <c r="B536" s="78" t="inlineStr">
        <is>
          <t>Buildings &amp; Transport</t>
        </is>
      </c>
    </row>
    <row r="537">
      <c r="A537" s="78" t="inlineStr">
        <is>
          <t>Grantee</t>
        </is>
      </c>
      <c r="B537" s="78" t="inlineStr">
        <is>
          <t>Land, Food and Forest</t>
        </is>
      </c>
    </row>
    <row r="538">
      <c r="A538" s="78" t="inlineStr">
        <is>
          <t>Grantee</t>
        </is>
      </c>
      <c r="B538" s="78" t="inlineStr">
        <is>
          <t>Land, Food and Forest</t>
        </is>
      </c>
    </row>
    <row r="539">
      <c r="A539" s="78" t="inlineStr">
        <is>
          <t>Grantee</t>
        </is>
      </c>
      <c r="B539" s="78" t="inlineStr">
        <is>
          <t>Land, Food and Forest</t>
        </is>
      </c>
    </row>
    <row r="540">
      <c r="A540" s="78" t="inlineStr">
        <is>
          <t>Grantee</t>
        </is>
      </c>
      <c r="B540" s="78" t="inlineStr">
        <is>
          <t>Land, Food and Forest</t>
        </is>
      </c>
    </row>
    <row r="541">
      <c r="A541" s="78" t="inlineStr">
        <is>
          <t>Grantee</t>
        </is>
      </c>
      <c r="B541" s="78" t="inlineStr">
        <is>
          <t>Energy</t>
        </is>
      </c>
    </row>
    <row r="542">
      <c r="A542" s="78" t="inlineStr">
        <is>
          <t>Grantee</t>
        </is>
      </c>
      <c r="B542" s="78" t="inlineStr">
        <is>
          <t>Land, Food and Forest</t>
        </is>
      </c>
    </row>
    <row r="543">
      <c r="A543" s="78" t="inlineStr">
        <is>
          <t>Grantee</t>
        </is>
      </c>
      <c r="B543" s="78" t="inlineStr">
        <is>
          <t>Land, Food and Forest</t>
        </is>
      </c>
    </row>
    <row r="544">
      <c r="A544" s="78" t="inlineStr">
        <is>
          <t>Grantee</t>
        </is>
      </c>
      <c r="B544" s="78" t="inlineStr">
        <is>
          <t>Energy</t>
        </is>
      </c>
    </row>
    <row r="545">
      <c r="A545" s="78" t="inlineStr">
        <is>
          <t>Grantee</t>
        </is>
      </c>
      <c r="B545" s="78" t="inlineStr">
        <is>
          <t>Land, Food and Forest</t>
        </is>
      </c>
    </row>
    <row r="546">
      <c r="A546" s="78" t="inlineStr">
        <is>
          <t>Grantee</t>
        </is>
      </c>
      <c r="B546" s="78" t="inlineStr">
        <is>
          <t>Buildings &amp; Transport</t>
        </is>
      </c>
    </row>
    <row r="547">
      <c r="A547" s="78" t="inlineStr">
        <is>
          <t>Grantee</t>
        </is>
      </c>
      <c r="B547" s="78" t="inlineStr">
        <is>
          <t>Land, Food and Forest</t>
        </is>
      </c>
    </row>
    <row r="548">
      <c r="A548" s="78" t="inlineStr">
        <is>
          <t>Grantee</t>
        </is>
      </c>
      <c r="B548" s="78" t="inlineStr">
        <is>
          <t>Energy</t>
        </is>
      </c>
    </row>
    <row r="549">
      <c r="A549" s="78" t="inlineStr">
        <is>
          <t>Grantee</t>
        </is>
      </c>
      <c r="B549" s="78" t="inlineStr">
        <is>
          <t>Energy</t>
        </is>
      </c>
    </row>
    <row r="550">
      <c r="A550" s="78" t="inlineStr">
        <is>
          <t>Grantee</t>
        </is>
      </c>
      <c r="B550" s="78" t="inlineStr">
        <is>
          <t>Energy</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B231"/>
  <sheetViews>
    <sheetView workbookViewId="0">
      <selection activeCell="A1" sqref="A1"/>
    </sheetView>
  </sheetViews>
  <sheetFormatPr baseColWidth="8" defaultColWidth="12.63" defaultRowHeight="15.75" customHeight="1"/>
  <cols>
    <col width="82.13" customWidth="1" style="84" min="1" max="1"/>
    <col width="8.380000000000001" customWidth="1" style="84" min="2" max="2"/>
  </cols>
  <sheetData>
    <row r="1">
      <c r="A1" s="78" t="inlineStr">
        <is>
          <t>Stakeholder</t>
        </is>
      </c>
      <c r="B1" s="78" t="inlineStr">
        <is>
          <t>Biome</t>
        </is>
      </c>
    </row>
    <row r="2">
      <c r="A2" s="78">
        <f>IFERROR(__xludf.DUMMYFUNCTION("ARRAYFORMULA(QUERY(SPLIT(FLATTEN(Data_Looker!B2:B340 &amp; ""|"" &amp; SPLIT(Data_Looker!H2:H340, "", "")), ""|""), ""where Col2 &lt;&gt; ''""))"),"Instituto Ibirapitanga")</f>
        <v/>
      </c>
      <c r="B2" s="78">
        <f>IFERROR(__xludf.DUMMYFUNCTION("""COMPUTED_VALUE"""),"Amazonia")</f>
        <v/>
      </c>
    </row>
    <row r="3">
      <c r="A3" s="78">
        <f>IFERROR(__xludf.DUMMYFUNCTION("""COMPUTED_VALUE"""),"Fundo Brasileiro para a Biodiversidade (FUNBIO)")</f>
        <v/>
      </c>
      <c r="B3" s="78">
        <f>IFERROR(__xludf.DUMMYFUNCTION("""COMPUTED_VALUE"""),"Amazonia")</f>
        <v/>
      </c>
    </row>
    <row r="4">
      <c r="A4" s="78">
        <f>IFERROR(__xludf.DUMMYFUNCTION("""COMPUTED_VALUE"""),"Fundo Brasileiro para a Biodiversidade (FUNBIO)")</f>
        <v/>
      </c>
      <c r="B4" s="78">
        <f>IFERROR(__xludf.DUMMYFUNCTION("""COMPUTED_VALUE"""),"Caatinga")</f>
        <v/>
      </c>
    </row>
    <row r="5">
      <c r="A5" s="78">
        <f>IFERROR(__xludf.DUMMYFUNCTION("""COMPUTED_VALUE"""),"Fundo Brasileiro para a Biodiversidade (FUNBIO)")</f>
        <v/>
      </c>
      <c r="B5" s="78">
        <f>IFERROR(__xludf.DUMMYFUNCTION("""COMPUTED_VALUE"""),"Cerrado")</f>
        <v/>
      </c>
    </row>
    <row r="6">
      <c r="A6" s="78">
        <f>IFERROR(__xludf.DUMMYFUNCTION("""COMPUTED_VALUE"""),"Instituto Clima e Sociedade (iCS)")</f>
        <v/>
      </c>
      <c r="B6" s="78">
        <f>IFERROR(__xludf.DUMMYFUNCTION("""COMPUTED_VALUE"""),"Amazonia")</f>
        <v/>
      </c>
    </row>
    <row r="7">
      <c r="A7" s="78">
        <f>IFERROR(__xludf.DUMMYFUNCTION("""COMPUTED_VALUE"""),"Instituto Clima e Sociedade (iCS)")</f>
        <v/>
      </c>
      <c r="B7" s="78">
        <f>IFERROR(__xludf.DUMMYFUNCTION("""COMPUTED_VALUE"""),"Caatinga")</f>
        <v/>
      </c>
    </row>
    <row r="8">
      <c r="A8" s="78">
        <f>IFERROR(__xludf.DUMMYFUNCTION("""COMPUTED_VALUE"""),"Instituto Clima e Sociedade (iCS)")</f>
        <v/>
      </c>
      <c r="B8" s="78">
        <f>IFERROR(__xludf.DUMMYFUNCTION("""COMPUTED_VALUE"""),"Cerrado")</f>
        <v/>
      </c>
    </row>
    <row r="9">
      <c r="A9" s="78">
        <f>IFERROR(__xludf.DUMMYFUNCTION("""COMPUTED_VALUE"""),"Movimento Bem Maior (MBM)")</f>
        <v/>
      </c>
      <c r="B9" s="78">
        <f>IFERROR(__xludf.DUMMYFUNCTION("""COMPUTED_VALUE"""),"Amazonia")</f>
        <v/>
      </c>
    </row>
    <row r="10">
      <c r="A10" s="78">
        <f>IFERROR(__xludf.DUMMYFUNCTION("""COMPUTED_VALUE"""),"Open Society Foundations")</f>
        <v/>
      </c>
      <c r="B10" s="78">
        <f>IFERROR(__xludf.DUMMYFUNCTION("""COMPUTED_VALUE"""),"Amazonia")</f>
        <v/>
      </c>
    </row>
    <row r="11">
      <c r="A11" s="78">
        <f>IFERROR(__xludf.DUMMYFUNCTION("""COMPUTED_VALUE"""),"Instituto Ethos")</f>
        <v/>
      </c>
      <c r="B11" s="78">
        <f>IFERROR(__xludf.DUMMYFUNCTION("""COMPUTED_VALUE"""),"Amazonia")</f>
        <v/>
      </c>
    </row>
    <row r="12">
      <c r="A12" s="78">
        <f>IFERROR(__xludf.DUMMYFUNCTION("""COMPUTED_VALUE"""),"Instituto Climate Ventures Brasil (Climate Ventures)")</f>
        <v/>
      </c>
      <c r="B12" s="78">
        <f>IFERROR(__xludf.DUMMYFUNCTION("""COMPUTED_VALUE"""),"Amazonia")</f>
        <v/>
      </c>
    </row>
    <row r="13">
      <c r="A13" s="78">
        <f>IFERROR(__xludf.DUMMYFUNCTION("""COMPUTED_VALUE"""),"Instituto Climate Ventures Brasil (Climate Ventures)")</f>
        <v/>
      </c>
      <c r="B13" s="78">
        <f>IFERROR(__xludf.DUMMYFUNCTION("""COMPUTED_VALUE"""),"Caatinga")</f>
        <v/>
      </c>
    </row>
    <row r="14">
      <c r="A14" s="78">
        <f>IFERROR(__xludf.DUMMYFUNCTION("""COMPUTED_VALUE"""),"Instituto Climate Ventures Brasil (Climate Ventures)")</f>
        <v/>
      </c>
      <c r="B14" s="78">
        <f>IFERROR(__xludf.DUMMYFUNCTION("""COMPUTED_VALUE"""),"Cerrado")</f>
        <v/>
      </c>
    </row>
    <row r="15">
      <c r="A15" s="78">
        <f>IFERROR(__xludf.DUMMYFUNCTION("""COMPUTED_VALUE"""),"Instituto Talanoa")</f>
        <v/>
      </c>
      <c r="B15" s="78">
        <f>IFERROR(__xludf.DUMMYFUNCTION("""COMPUTED_VALUE"""),"Amazonia")</f>
        <v/>
      </c>
    </row>
    <row r="16">
      <c r="A16" s="78">
        <f>IFERROR(__xludf.DUMMYFUNCTION("""COMPUTED_VALUE"""),"Instituto Talanoa")</f>
        <v/>
      </c>
      <c r="B16" s="78">
        <f>IFERROR(__xludf.DUMMYFUNCTION("""COMPUTED_VALUE"""),"Caatinga")</f>
        <v/>
      </c>
    </row>
    <row r="17">
      <c r="A17" s="78">
        <f>IFERROR(__xludf.DUMMYFUNCTION("""COMPUTED_VALUE"""),"Instituto Talanoa")</f>
        <v/>
      </c>
      <c r="B17" s="78">
        <f>IFERROR(__xludf.DUMMYFUNCTION("""COMPUTED_VALUE"""),"Cerrado")</f>
        <v/>
      </c>
    </row>
    <row r="18">
      <c r="A18" s="78">
        <f>IFERROR(__xludf.DUMMYFUNCTION("""COMPUTED_VALUE"""),"Instituto Alana")</f>
        <v/>
      </c>
      <c r="B18" s="78">
        <f>IFERROR(__xludf.DUMMYFUNCTION("""COMPUTED_VALUE"""),"Amazonia")</f>
        <v/>
      </c>
    </row>
    <row r="19">
      <c r="A19" s="78">
        <f>IFERROR(__xludf.DUMMYFUNCTION("""COMPUTED_VALUE"""),"Instituto Alana")</f>
        <v/>
      </c>
      <c r="B19" s="78">
        <f>IFERROR(__xludf.DUMMYFUNCTION("""COMPUTED_VALUE"""),"Caatinga")</f>
        <v/>
      </c>
    </row>
    <row r="20">
      <c r="A20" s="78">
        <f>IFERROR(__xludf.DUMMYFUNCTION("""COMPUTED_VALUE"""),"Instituto Alana")</f>
        <v/>
      </c>
      <c r="B20" s="78">
        <f>IFERROR(__xludf.DUMMYFUNCTION("""COMPUTED_VALUE"""),"Cerrado")</f>
        <v/>
      </c>
    </row>
    <row r="21">
      <c r="A21" s="78">
        <f>IFERROR(__xludf.DUMMYFUNCTION("""COMPUTED_VALUE"""),"Instituto Arapyaú")</f>
        <v/>
      </c>
      <c r="B21" s="78">
        <f>IFERROR(__xludf.DUMMYFUNCTION("""COMPUTED_VALUE"""),"Amazonia")</f>
        <v/>
      </c>
    </row>
    <row r="22">
      <c r="A22" s="78">
        <f>IFERROR(__xludf.DUMMYFUNCTION("""COMPUTED_VALUE"""),"Instituto Semeia")</f>
        <v/>
      </c>
      <c r="B22" s="78">
        <f>IFERROR(__xludf.DUMMYFUNCTION("""COMPUTED_VALUE"""),"Amazonia")</f>
        <v/>
      </c>
    </row>
    <row r="23">
      <c r="A23" s="78">
        <f>IFERROR(__xludf.DUMMYFUNCTION("""COMPUTED_VALUE"""),"Instituto Semeia")</f>
        <v/>
      </c>
      <c r="B23" s="78">
        <f>IFERROR(__xludf.DUMMYFUNCTION("""COMPUTED_VALUE"""),"Cerrado")</f>
        <v/>
      </c>
    </row>
    <row r="24">
      <c r="A24" s="78">
        <f>IFERROR(__xludf.DUMMYFUNCTION("""COMPUTED_VALUE"""),"Alcoa")</f>
        <v/>
      </c>
      <c r="B24" s="78">
        <f>IFERROR(__xludf.DUMMYFUNCTION("""COMPUTED_VALUE"""),"Amazonia")</f>
        <v/>
      </c>
    </row>
    <row r="25">
      <c r="A25" s="78">
        <f>IFERROR(__xludf.DUMMYFUNCTION("""COMPUTED_VALUE"""),"Norsk Hydro ASA (Hydro)")</f>
        <v/>
      </c>
      <c r="B25" s="78">
        <f>IFERROR(__xludf.DUMMYFUNCTION("""COMPUTED_VALUE"""),"Amazonia")</f>
        <v/>
      </c>
    </row>
    <row r="26">
      <c r="A26" s="78">
        <f>IFERROR(__xludf.DUMMYFUNCTION("""COMPUTED_VALUE"""),"Instituto Socioambiental (ISA)")</f>
        <v/>
      </c>
      <c r="B26" s="78">
        <f>IFERROR(__xludf.DUMMYFUNCTION("""COMPUTED_VALUE"""),"Amazonia")</f>
        <v/>
      </c>
    </row>
    <row r="27">
      <c r="A27" s="78">
        <f>IFERROR(__xludf.DUMMYFUNCTION("""COMPUTED_VALUE"""),"The Nature Conservancy Brasil (TNC Brasil)")</f>
        <v/>
      </c>
      <c r="B27" s="78">
        <f>IFERROR(__xludf.DUMMYFUNCTION("""COMPUTED_VALUE"""),"Amazonia")</f>
        <v/>
      </c>
    </row>
    <row r="28">
      <c r="A28" s="78">
        <f>IFERROR(__xludf.DUMMYFUNCTION("""COMPUTED_VALUE"""),"The Nature Conservancy Brasil (TNC Brasil)")</f>
        <v/>
      </c>
      <c r="B28" s="78">
        <f>IFERROR(__xludf.DUMMYFUNCTION("""COMPUTED_VALUE"""),"Cerrado")</f>
        <v/>
      </c>
    </row>
    <row r="29">
      <c r="A29" s="78">
        <f>IFERROR(__xludf.DUMMYFUNCTION("""COMPUTED_VALUE"""),"Conservação Internacional Brasil (CI-Brasil)")</f>
        <v/>
      </c>
      <c r="B29" s="78">
        <f>IFERROR(__xludf.DUMMYFUNCTION("""COMPUTED_VALUE"""),"Amazonia")</f>
        <v/>
      </c>
    </row>
    <row r="30">
      <c r="A30" s="78">
        <f>IFERROR(__xludf.DUMMYFUNCTION("""COMPUTED_VALUE"""),"Conservação Internacional Brasil (CI-Brasil)")</f>
        <v/>
      </c>
      <c r="B30" s="78">
        <f>IFERROR(__xludf.DUMMYFUNCTION("""COMPUTED_VALUE"""),"Cerrado")</f>
        <v/>
      </c>
    </row>
    <row r="31">
      <c r="A31" s="78">
        <f>IFERROR(__xludf.DUMMYFUNCTION("""COMPUTED_VALUE"""),"WWF-Brasil")</f>
        <v/>
      </c>
      <c r="B31" s="78">
        <f>IFERROR(__xludf.DUMMYFUNCTION("""COMPUTED_VALUE"""),"Amazonia")</f>
        <v/>
      </c>
    </row>
    <row r="32">
      <c r="A32" s="78">
        <f>IFERROR(__xludf.DUMMYFUNCTION("""COMPUTED_VALUE"""),"WWF-Brasil")</f>
        <v/>
      </c>
      <c r="B32" s="78">
        <f>IFERROR(__xludf.DUMMYFUNCTION("""COMPUTED_VALUE"""),"Cerrado")</f>
        <v/>
      </c>
    </row>
    <row r="33">
      <c r="A33" s="78">
        <f>IFERROR(__xludf.DUMMYFUNCTION("""COMPUTED_VALUE"""),"WRI Brasil")</f>
        <v/>
      </c>
      <c r="B33" s="78">
        <f>IFERROR(__xludf.DUMMYFUNCTION("""COMPUTED_VALUE"""),"Amazonia")</f>
        <v/>
      </c>
    </row>
    <row r="34">
      <c r="A34" s="78">
        <f>IFERROR(__xludf.DUMMYFUNCTION("""COMPUTED_VALUE"""),"WRI Brasil")</f>
        <v/>
      </c>
      <c r="B34" s="78">
        <f>IFERROR(__xludf.DUMMYFUNCTION("""COMPUTED_VALUE"""),"Caatinga")</f>
        <v/>
      </c>
    </row>
    <row r="35">
      <c r="A35" s="78">
        <f>IFERROR(__xludf.DUMMYFUNCTION("""COMPUTED_VALUE"""),"WRI Brasil")</f>
        <v/>
      </c>
      <c r="B35" s="78">
        <f>IFERROR(__xludf.DUMMYFUNCTION("""COMPUTED_VALUE"""),"Cerrado")</f>
        <v/>
      </c>
    </row>
    <row r="36">
      <c r="A36" s="78">
        <f>IFERROR(__xludf.DUMMYFUNCTION("""COMPUTED_VALUE"""),"Empresa Brasileira de Pesquisa Agropecuária (Embrapa)")</f>
        <v/>
      </c>
      <c r="B36" s="78">
        <f>IFERROR(__xludf.DUMMYFUNCTION("""COMPUTED_VALUE"""),"Amazonia")</f>
        <v/>
      </c>
    </row>
    <row r="37">
      <c r="A37" s="78">
        <f>IFERROR(__xludf.DUMMYFUNCTION("""COMPUTED_VALUE"""),"Empresa Brasileira de Pesquisa Agropecuária (Embrapa)")</f>
        <v/>
      </c>
      <c r="B37" s="78">
        <f>IFERROR(__xludf.DUMMYFUNCTION("""COMPUTED_VALUE"""),"Caatinga")</f>
        <v/>
      </c>
    </row>
    <row r="38">
      <c r="A38" s="78">
        <f>IFERROR(__xludf.DUMMYFUNCTION("""COMPUTED_VALUE"""),"Empresa Brasileira de Pesquisa Agropecuária (Embrapa)")</f>
        <v/>
      </c>
      <c r="B38" s="78">
        <f>IFERROR(__xludf.DUMMYFUNCTION("""COMPUTED_VALUE"""),"Cerrado")</f>
        <v/>
      </c>
    </row>
    <row r="39">
      <c r="A39" s="78">
        <f>IFERROR(__xludf.DUMMYFUNCTION("""COMPUTED_VALUE"""),"Instituto Brasileiro do Meio Ambiente e dos Recursos Naturais Renováveis (Ibama)")</f>
        <v/>
      </c>
      <c r="B39" s="78">
        <f>IFERROR(__xludf.DUMMYFUNCTION("""COMPUTED_VALUE"""),"Amazonia")</f>
        <v/>
      </c>
    </row>
    <row r="40">
      <c r="A40" s="78">
        <f>IFERROR(__xludf.DUMMYFUNCTION("""COMPUTED_VALUE"""),"Instituto Brasileiro do Meio Ambiente e dos Recursos Naturais Renováveis (Ibama)")</f>
        <v/>
      </c>
      <c r="B40" s="78">
        <f>IFERROR(__xludf.DUMMYFUNCTION("""COMPUTED_VALUE"""),"Caatinga")</f>
        <v/>
      </c>
    </row>
    <row r="41">
      <c r="A41" s="78">
        <f>IFERROR(__xludf.DUMMYFUNCTION("""COMPUTED_VALUE"""),"Instituto Brasileiro do Meio Ambiente e dos Recursos Naturais Renováveis (Ibama)")</f>
        <v/>
      </c>
      <c r="B41" s="78">
        <f>IFERROR(__xludf.DUMMYFUNCTION("""COMPUTED_VALUE"""),"Cerrado")</f>
        <v/>
      </c>
    </row>
    <row r="42">
      <c r="A42" s="78">
        <f>IFERROR(__xludf.DUMMYFUNCTION("""COMPUTED_VALUE"""),"Instituto Chico Mendes de Conservação da Biodiversidade (ICMBio)")</f>
        <v/>
      </c>
      <c r="B42" s="78">
        <f>IFERROR(__xludf.DUMMYFUNCTION("""COMPUTED_VALUE"""),"Amazonia")</f>
        <v/>
      </c>
    </row>
    <row r="43">
      <c r="A43" s="78">
        <f>IFERROR(__xludf.DUMMYFUNCTION("""COMPUTED_VALUE"""),"Instituto Chico Mendes de Conservação da Biodiversidade (ICMBio)")</f>
        <v/>
      </c>
      <c r="B43" s="78">
        <f>IFERROR(__xludf.DUMMYFUNCTION("""COMPUTED_VALUE"""),"Caatinga")</f>
        <v/>
      </c>
    </row>
    <row r="44">
      <c r="A44" s="78">
        <f>IFERROR(__xludf.DUMMYFUNCTION("""COMPUTED_VALUE"""),"Instituto Chico Mendes de Conservação da Biodiversidade (ICMBio)")</f>
        <v/>
      </c>
      <c r="B44" s="78">
        <f>IFERROR(__xludf.DUMMYFUNCTION("""COMPUTED_VALUE"""),"Cerrado")</f>
        <v/>
      </c>
    </row>
    <row r="45">
      <c r="A45" s="78">
        <f>IFERROR(__xludf.DUMMYFUNCTION("""COMPUTED_VALUE"""),"Instituto do Homem e Meio Ambiente da Amazônia (Imazon)")</f>
        <v/>
      </c>
      <c r="B45" s="78">
        <f>IFERROR(__xludf.DUMMYFUNCTION("""COMPUTED_VALUE"""),"Amazonia")</f>
        <v/>
      </c>
    </row>
    <row r="46">
      <c r="A46" s="78">
        <f>IFERROR(__xludf.DUMMYFUNCTION("""COMPUTED_VALUE"""),"Fundação Amazonas Sustentável (FAS)")</f>
        <v/>
      </c>
      <c r="B46" s="78">
        <f>IFERROR(__xludf.DUMMYFUNCTION("""COMPUTED_VALUE"""),"Amazonia")</f>
        <v/>
      </c>
    </row>
    <row r="47">
      <c r="A47" s="78">
        <f>IFERROR(__xludf.DUMMYFUNCTION("""COMPUTED_VALUE"""),"Instituto de Manejo e Certificação Florestal e Agrícola (Imaflora)")</f>
        <v/>
      </c>
      <c r="B47" s="78">
        <f>IFERROR(__xludf.DUMMYFUNCTION("""COMPUTED_VALUE"""),"Amazonia")</f>
        <v/>
      </c>
    </row>
    <row r="48">
      <c r="A48" s="78">
        <f>IFERROR(__xludf.DUMMYFUNCTION("""COMPUTED_VALUE"""),"Instituto de Manejo e Certificação Florestal e Agrícola (Imaflora)")</f>
        <v/>
      </c>
      <c r="B48" s="78">
        <f>IFERROR(__xludf.DUMMYFUNCTION("""COMPUTED_VALUE"""),"Caatinga")</f>
        <v/>
      </c>
    </row>
    <row r="49">
      <c r="A49" s="78">
        <f>IFERROR(__xludf.DUMMYFUNCTION("""COMPUTED_VALUE"""),"Instituto de Manejo e Certificação Florestal e Agrícola (Imaflora)")</f>
        <v/>
      </c>
      <c r="B49" s="78">
        <f>IFERROR(__xludf.DUMMYFUNCTION("""COMPUTED_VALUE"""),"Cerrado")</f>
        <v/>
      </c>
    </row>
    <row r="50">
      <c r="A50" s="78">
        <f>IFERROR(__xludf.DUMMYFUNCTION("""COMPUTED_VALUE"""),"Vale S.A.")</f>
        <v/>
      </c>
      <c r="B50" s="78">
        <f>IFERROR(__xludf.DUMMYFUNCTION("""COMPUTED_VALUE"""),"Amazonia")</f>
        <v/>
      </c>
    </row>
    <row r="51">
      <c r="A51" s="78">
        <f>IFERROR(__xludf.DUMMYFUNCTION("""COMPUTED_VALUE"""),"Vale S.A.")</f>
        <v/>
      </c>
      <c r="B51" s="78">
        <f>IFERROR(__xludf.DUMMYFUNCTION("""COMPUTED_VALUE"""),"Cerrado")</f>
        <v/>
      </c>
    </row>
    <row r="52">
      <c r="A52" s="78">
        <f>IFERROR(__xludf.DUMMYFUNCTION("""COMPUTED_VALUE"""),"Suzano S.A.")</f>
        <v/>
      </c>
      <c r="B52" s="78">
        <f>IFERROR(__xludf.DUMMYFUNCTION("""COMPUTED_VALUE"""),"Amazonia")</f>
        <v/>
      </c>
    </row>
    <row r="53">
      <c r="A53" s="78">
        <f>IFERROR(__xludf.DUMMYFUNCTION("""COMPUTED_VALUE"""),"Suzano S.A.")</f>
        <v/>
      </c>
      <c r="B53" s="78">
        <f>IFERROR(__xludf.DUMMYFUNCTION("""COMPUTED_VALUE"""),"Cerrado")</f>
        <v/>
      </c>
    </row>
    <row r="54">
      <c r="A54" s="78">
        <f>IFERROR(__xludf.DUMMYFUNCTION("""COMPUTED_VALUE"""),"Banco da Amazônia S.A. (BASA)")</f>
        <v/>
      </c>
      <c r="B54" s="78">
        <f>IFERROR(__xludf.DUMMYFUNCTION("""COMPUTED_VALUE"""),"Amazonia")</f>
        <v/>
      </c>
    </row>
    <row r="55">
      <c r="A55" s="78">
        <f>IFERROR(__xludf.DUMMYFUNCTION("""COMPUTED_VALUE"""),"Instituto de Conservação e Desenvolvimento Sustentável da Amazônia (IDESAM)")</f>
        <v/>
      </c>
      <c r="B55" s="78">
        <f>IFERROR(__xludf.DUMMYFUNCTION("""COMPUTED_VALUE"""),"Amazonia")</f>
        <v/>
      </c>
    </row>
    <row r="56">
      <c r="A56" s="78">
        <f>IFERROR(__xludf.DUMMYFUNCTION("""COMPUTED_VALUE"""),"Instituto Conexões Sustentáveis (Conexsus)")</f>
        <v/>
      </c>
      <c r="B56" s="78">
        <f>IFERROR(__xludf.DUMMYFUNCTION("""COMPUTED_VALUE"""),"Amazonia")</f>
        <v/>
      </c>
    </row>
    <row r="57">
      <c r="A57" s="78">
        <f>IFERROR(__xludf.DUMMYFUNCTION("""COMPUTED_VALUE"""),"Instituto Conexões Sustentáveis (Conexsus)")</f>
        <v/>
      </c>
      <c r="B57" s="78">
        <f>IFERROR(__xludf.DUMMYFUNCTION("""COMPUTED_VALUE"""),"Caatinga")</f>
        <v/>
      </c>
    </row>
    <row r="58">
      <c r="A58" s="78">
        <f>IFERROR(__xludf.DUMMYFUNCTION("""COMPUTED_VALUE"""),"Instituto Conexões Sustentáveis (Conexsus)")</f>
        <v/>
      </c>
      <c r="B58" s="78">
        <f>IFERROR(__xludf.DUMMYFUNCTION("""COMPUTED_VALUE"""),"Cerrado")</f>
        <v/>
      </c>
    </row>
    <row r="59">
      <c r="A59" s="78">
        <f>IFERROR(__xludf.DUMMYFUNCTION("""COMPUTED_VALUE"""),"Fundação Grupo Boticário de Proteção à Natureza")</f>
        <v/>
      </c>
      <c r="B59" s="78">
        <f>IFERROR(__xludf.DUMMYFUNCTION("""COMPUTED_VALUE"""),"Cerrado")</f>
        <v/>
      </c>
    </row>
    <row r="60">
      <c r="A60" s="78">
        <f>IFERROR(__xludf.DUMMYFUNCTION("""COMPUTED_VALUE"""),"Natura")</f>
        <v/>
      </c>
      <c r="B60" s="78">
        <f>IFERROR(__xludf.DUMMYFUNCTION("""COMPUTED_VALUE"""),"Amazonia")</f>
        <v/>
      </c>
    </row>
    <row r="61">
      <c r="A61" s="78">
        <f>IFERROR(__xludf.DUMMYFUNCTION("""COMPUTED_VALUE"""),"Natura")</f>
        <v/>
      </c>
      <c r="B61" s="78">
        <f>IFERROR(__xludf.DUMMYFUNCTION("""COMPUTED_VALUE"""),"Cerrado")</f>
        <v/>
      </c>
    </row>
    <row r="62">
      <c r="A62" s="78">
        <f>IFERROR(__xludf.DUMMYFUNCTION("""COMPUTED_VALUE"""),"Centro de Empreendedorismo da Amazônia (CEA)")</f>
        <v/>
      </c>
      <c r="B62" s="78">
        <f>IFERROR(__xludf.DUMMYFUNCTION("""COMPUTED_VALUE"""),"Amazonia")</f>
        <v/>
      </c>
    </row>
    <row r="63">
      <c r="A63" s="78">
        <f>IFERROR(__xludf.DUMMYFUNCTION("""COMPUTED_VALUE"""),"Manioca")</f>
        <v/>
      </c>
      <c r="B63" s="78">
        <f>IFERROR(__xludf.DUMMYFUNCTION("""COMPUTED_VALUE"""),"Amazonia")</f>
        <v/>
      </c>
    </row>
    <row r="64">
      <c r="A64" s="78">
        <f>IFERROR(__xludf.DUMMYFUNCTION("""COMPUTED_VALUE"""),"De Mendes")</f>
        <v/>
      </c>
      <c r="B64" s="78">
        <f>IFERROR(__xludf.DUMMYFUNCTION("""COMPUTED_VALUE"""),"Amazonia")</f>
        <v/>
      </c>
    </row>
    <row r="65">
      <c r="A65" s="78">
        <f>IFERROR(__xludf.DUMMYFUNCTION("""COMPUTED_VALUE"""),"Climate and Land Use Alliance (CLUA)")</f>
        <v/>
      </c>
      <c r="B65" s="78">
        <f>IFERROR(__xludf.DUMMYFUNCTION("""COMPUTED_VALUE"""),"Amazonia")</f>
        <v/>
      </c>
    </row>
    <row r="66">
      <c r="A66" s="78">
        <f>IFERROR(__xludf.DUMMYFUNCTION("""COMPUTED_VALUE"""),"Climate and Land Use Alliance (CLUA)")</f>
        <v/>
      </c>
      <c r="B66" s="78">
        <f>IFERROR(__xludf.DUMMYFUNCTION("""COMPUTED_VALUE"""),"Cerrado")</f>
        <v/>
      </c>
    </row>
    <row r="67">
      <c r="A67" s="78">
        <f>IFERROR(__xludf.DUMMYFUNCTION("""COMPUTED_VALUE"""),"AMAZ")</f>
        <v/>
      </c>
      <c r="B67" s="78">
        <f>IFERROR(__xludf.DUMMYFUNCTION("""COMPUTED_VALUE"""),"Amazonia")</f>
        <v/>
      </c>
    </row>
    <row r="68">
      <c r="A68" s="78">
        <f>IFERROR(__xludf.DUMMYFUNCTION("""COMPUTED_VALUE"""),"CocoaAction Brasil")</f>
        <v/>
      </c>
      <c r="B68" s="78">
        <f>IFERROR(__xludf.DUMMYFUNCTION("""COMPUTED_VALUE"""),"Amazonia")</f>
        <v/>
      </c>
    </row>
    <row r="69">
      <c r="A69" s="78">
        <f>IFERROR(__xludf.DUMMYFUNCTION("""COMPUTED_VALUE"""),"Instituto de Pesquisas Ecológicas (IPÊ)")</f>
        <v/>
      </c>
      <c r="B69" s="78">
        <f>IFERROR(__xludf.DUMMYFUNCTION("""COMPUTED_VALUE"""),"Amazonia")</f>
        <v/>
      </c>
    </row>
    <row r="70">
      <c r="A70" s="78">
        <f>IFERROR(__xludf.DUMMYFUNCTION("""COMPUTED_VALUE"""),"Fundação Nacional dos Povos Indígenas (FUNAI)")</f>
        <v/>
      </c>
      <c r="B70" s="78">
        <f>IFERROR(__xludf.DUMMYFUNCTION("""COMPUTED_VALUE"""),"Amazonia")</f>
        <v/>
      </c>
    </row>
    <row r="71">
      <c r="A71" s="78">
        <f>IFERROR(__xludf.DUMMYFUNCTION("""COMPUTED_VALUE"""),"Fundação Nacional dos Povos Indígenas (FUNAI)")</f>
        <v/>
      </c>
      <c r="B71" s="78">
        <f>IFERROR(__xludf.DUMMYFUNCTION("""COMPUTED_VALUE"""),"Caatinga")</f>
        <v/>
      </c>
    </row>
    <row r="72">
      <c r="A72" s="78">
        <f>IFERROR(__xludf.DUMMYFUNCTION("""COMPUTED_VALUE"""),"Fundação Nacional dos Povos Indígenas (FUNAI)")</f>
        <v/>
      </c>
      <c r="B72" s="78">
        <f>IFERROR(__xludf.DUMMYFUNCTION("""COMPUTED_VALUE"""),"Cerrado")</f>
        <v/>
      </c>
    </row>
    <row r="73">
      <c r="A73" s="78">
        <f>IFERROR(__xludf.DUMMYFUNCTION("""COMPUTED_VALUE"""),"Gordon and Betty Moore Foundation")</f>
        <v/>
      </c>
      <c r="B73" s="78">
        <f>IFERROR(__xludf.DUMMYFUNCTION("""COMPUTED_VALUE"""),"Amazonia")</f>
        <v/>
      </c>
    </row>
    <row r="74">
      <c r="A74" s="78">
        <f>IFERROR(__xludf.DUMMYFUNCTION("""COMPUTED_VALUE"""),"Instituto de Energia e Meio Ambiente (IEMA)")</f>
        <v/>
      </c>
      <c r="B74" s="78">
        <f>IFERROR(__xludf.DUMMYFUNCTION("""COMPUTED_VALUE"""),"Amazonia")</f>
        <v/>
      </c>
    </row>
    <row r="75">
      <c r="A75" s="78">
        <f>IFERROR(__xludf.DUMMYFUNCTION("""COMPUTED_VALUE"""),"Instituto de Energia e Meio Ambiente (IEMA)")</f>
        <v/>
      </c>
      <c r="B75" s="78">
        <f>IFERROR(__xludf.DUMMYFUNCTION("""COMPUTED_VALUE"""),"Caatinga")</f>
        <v/>
      </c>
    </row>
    <row r="76">
      <c r="A76" s="78">
        <f>IFERROR(__xludf.DUMMYFUNCTION("""COMPUTED_VALUE"""),"Instituto de Energia e Meio Ambiente (IEMA)")</f>
        <v/>
      </c>
      <c r="B76" s="78">
        <f>IFERROR(__xludf.DUMMYFUNCTION("""COMPUTED_VALUE"""),"Cerrado")</f>
        <v/>
      </c>
    </row>
    <row r="77">
      <c r="A77" s="78">
        <f>IFERROR(__xludf.DUMMYFUNCTION("""COMPUTED_VALUE"""),"Instituto E+ Transição Energética (E+)")</f>
        <v/>
      </c>
      <c r="B77" s="78">
        <f>IFERROR(__xludf.DUMMYFUNCTION("""COMPUTED_VALUE"""),"Amazonia")</f>
        <v/>
      </c>
    </row>
    <row r="78">
      <c r="A78" s="78">
        <f>IFERROR(__xludf.DUMMYFUNCTION("""COMPUTED_VALUE"""),"Instituto E+ Transição Energética (E+)")</f>
        <v/>
      </c>
      <c r="B78" s="78">
        <f>IFERROR(__xludf.DUMMYFUNCTION("""COMPUTED_VALUE"""),"Caatinga")</f>
        <v/>
      </c>
    </row>
    <row r="79">
      <c r="A79" s="78">
        <f>IFERROR(__xludf.DUMMYFUNCTION("""COMPUTED_VALUE"""),"Agroicone")</f>
        <v/>
      </c>
      <c r="B79" s="78">
        <f>IFERROR(__xludf.DUMMYFUNCTION("""COMPUTED_VALUE"""),"Amazonia")</f>
        <v/>
      </c>
    </row>
    <row r="80">
      <c r="A80" s="78">
        <f>IFERROR(__xludf.DUMMYFUNCTION("""COMPUTED_VALUE"""),"Agroicone")</f>
        <v/>
      </c>
      <c r="B80" s="78">
        <f>IFERROR(__xludf.DUMMYFUNCTION("""COMPUTED_VALUE"""),"Cerrado")</f>
        <v/>
      </c>
    </row>
    <row r="81">
      <c r="A81" s="78">
        <f>IFERROR(__xludf.DUMMYFUNCTION("""COMPUTED_VALUE"""),"JBS")</f>
        <v/>
      </c>
      <c r="B81" s="78">
        <f>IFERROR(__xludf.DUMMYFUNCTION("""COMPUTED_VALUE"""),"Amazonia")</f>
        <v/>
      </c>
    </row>
    <row r="82">
      <c r="A82" s="78">
        <f>IFERROR(__xludf.DUMMYFUNCTION("""COMPUTED_VALUE"""),"JBS")</f>
        <v/>
      </c>
      <c r="B82" s="78">
        <f>IFERROR(__xludf.DUMMYFUNCTION("""COMPUTED_VALUE"""),"Cerrado")</f>
        <v/>
      </c>
    </row>
    <row r="83">
      <c r="A83" s="78">
        <f>IFERROR(__xludf.DUMMYFUNCTION("""COMPUTED_VALUE"""),"Marfrig")</f>
        <v/>
      </c>
      <c r="B83" s="78">
        <f>IFERROR(__xludf.DUMMYFUNCTION("""COMPUTED_VALUE"""),"Amazonia")</f>
        <v/>
      </c>
    </row>
    <row r="84">
      <c r="A84" s="78">
        <f>IFERROR(__xludf.DUMMYFUNCTION("""COMPUTED_VALUE"""),"Marfrig")</f>
        <v/>
      </c>
      <c r="B84" s="78">
        <f>IFERROR(__xludf.DUMMYFUNCTION("""COMPUTED_VALUE"""),"Cerrado")</f>
        <v/>
      </c>
    </row>
    <row r="85">
      <c r="A85" s="78">
        <f>IFERROR(__xludf.DUMMYFUNCTION("""COMPUTED_VALUE"""),"Amaggi")</f>
        <v/>
      </c>
      <c r="B85" s="78">
        <f>IFERROR(__xludf.DUMMYFUNCTION("""COMPUTED_VALUE"""),"Amazonia")</f>
        <v/>
      </c>
    </row>
    <row r="86">
      <c r="A86" s="78">
        <f>IFERROR(__xludf.DUMMYFUNCTION("""COMPUTED_VALUE"""),"Amaggi")</f>
        <v/>
      </c>
      <c r="B86" s="78">
        <f>IFERROR(__xludf.DUMMYFUNCTION("""COMPUTED_VALUE"""),"Cerrado")</f>
        <v/>
      </c>
    </row>
    <row r="87">
      <c r="A87" s="78">
        <f>IFERROR(__xludf.DUMMYFUNCTION("""COMPUTED_VALUE"""),"SLC Agrícola")</f>
        <v/>
      </c>
      <c r="B87" s="78">
        <f>IFERROR(__xludf.DUMMYFUNCTION("""COMPUTED_VALUE"""),"Amazonia")</f>
        <v/>
      </c>
    </row>
    <row r="88">
      <c r="A88" s="78">
        <f>IFERROR(__xludf.DUMMYFUNCTION("""COMPUTED_VALUE"""),"SLC Agrícola")</f>
        <v/>
      </c>
      <c r="B88" s="78">
        <f>IFERROR(__xludf.DUMMYFUNCTION("""COMPUTED_VALUE"""),"Cerrado")</f>
        <v/>
      </c>
    </row>
    <row r="89">
      <c r="A89" s="78">
        <f>IFERROR(__xludf.DUMMYFUNCTION("""COMPUTED_VALUE"""),"Instituto de Pesquisa Ambiental da Amazônia (IPAM)")</f>
        <v/>
      </c>
      <c r="B89" s="78">
        <f>IFERROR(__xludf.DUMMYFUNCTION("""COMPUTED_VALUE"""),"Amazonia")</f>
        <v/>
      </c>
    </row>
    <row r="90">
      <c r="A90" s="78">
        <f>IFERROR(__xludf.DUMMYFUNCTION("""COMPUTED_VALUE"""),"Instituto de Pesquisa Ambiental da Amazônia (IPAM)")</f>
        <v/>
      </c>
      <c r="B90" s="78">
        <f>IFERROR(__xludf.DUMMYFUNCTION("""COMPUTED_VALUE"""),"Cerrado")</f>
        <v/>
      </c>
    </row>
    <row r="91">
      <c r="A91" s="78">
        <f>IFERROR(__xludf.DUMMYFUNCTION("""COMPUTED_VALUE"""),"Global Canopy")</f>
        <v/>
      </c>
      <c r="B91" s="78">
        <f>IFERROR(__xludf.DUMMYFUNCTION("""COMPUTED_VALUE"""),"Amazonia")</f>
        <v/>
      </c>
    </row>
    <row r="92">
      <c r="A92" s="78">
        <f>IFERROR(__xludf.DUMMYFUNCTION("""COMPUTED_VALUE"""),"Global Canopy")</f>
        <v/>
      </c>
      <c r="B92" s="78">
        <f>IFERROR(__xludf.DUMMYFUNCTION("""COMPUTED_VALUE"""),"Cerrado")</f>
        <v/>
      </c>
    </row>
    <row r="93">
      <c r="A93" s="78">
        <f>IFERROR(__xludf.DUMMYFUNCTION("""COMPUTED_VALUE"""),"Good Energies Foundation")</f>
        <v/>
      </c>
      <c r="B93" s="78">
        <f>IFERROR(__xludf.DUMMYFUNCTION("""COMPUTED_VALUE"""),"Amazonia")</f>
        <v/>
      </c>
    </row>
    <row r="94">
      <c r="A94" s="78">
        <f>IFERROR(__xludf.DUMMYFUNCTION("""COMPUTED_VALUE"""),"Carrefour Brasil")</f>
        <v/>
      </c>
      <c r="B94" s="78">
        <f>IFERROR(__xludf.DUMMYFUNCTION("""COMPUTED_VALUE"""),"Amazonia")</f>
        <v/>
      </c>
    </row>
    <row r="95">
      <c r="A95" s="78">
        <f>IFERROR(__xludf.DUMMYFUNCTION("""COMPUTED_VALUE"""),"Carrefour Brasil")</f>
        <v/>
      </c>
      <c r="B95" s="78">
        <f>IFERROR(__xludf.DUMMYFUNCTION("""COMPUTED_VALUE"""),"Cerrado")</f>
        <v/>
      </c>
    </row>
    <row r="96">
      <c r="A96" s="78">
        <f>IFERROR(__xludf.DUMMYFUNCTION("""COMPUTED_VALUE"""),"Nestlé Brasil")</f>
        <v/>
      </c>
      <c r="B96" s="78">
        <f>IFERROR(__xludf.DUMMYFUNCTION("""COMPUTED_VALUE"""),"Cerrado")</f>
        <v/>
      </c>
    </row>
    <row r="97">
      <c r="A97" s="78">
        <f>IFERROR(__xludf.DUMMYFUNCTION("""COMPUTED_VALUE"""),"Serviço Florestal Brasileiro (SFB)")</f>
        <v/>
      </c>
      <c r="B97" s="78">
        <f>IFERROR(__xludf.DUMMYFUNCTION("""COMPUTED_VALUE"""),"Amazonia")</f>
        <v/>
      </c>
    </row>
    <row r="98">
      <c r="A98" s="78">
        <f>IFERROR(__xludf.DUMMYFUNCTION("""COMPUTED_VALUE"""),"Serviço Florestal Brasileiro (SFB)")</f>
        <v/>
      </c>
      <c r="B98" s="78">
        <f>IFERROR(__xludf.DUMMYFUNCTION("""COMPUTED_VALUE"""),"Cerrado")</f>
        <v/>
      </c>
    </row>
    <row r="99">
      <c r="A99" s="78">
        <f>IFERROR(__xludf.DUMMYFUNCTION("""COMPUTED_VALUE"""),"Klabin")</f>
        <v/>
      </c>
      <c r="B99" s="78">
        <f>IFERROR(__xludf.DUMMYFUNCTION("""COMPUTED_VALUE"""),"Cerrado")</f>
        <v/>
      </c>
    </row>
    <row r="100">
      <c r="A100" s="78">
        <f>IFERROR(__xludf.DUMMYFUNCTION("""COMPUTED_VALUE"""),"Bracell")</f>
        <v/>
      </c>
      <c r="B100" s="78">
        <f>IFERROR(__xludf.DUMMYFUNCTION("""COMPUTED_VALUE"""),"Cerrado")</f>
        <v/>
      </c>
    </row>
    <row r="101">
      <c r="A101" s="78">
        <f>IFERROR(__xludf.DUMMYFUNCTION("""COMPUTED_VALUE"""),"Rainforest Alliance")</f>
        <v/>
      </c>
      <c r="B101" s="78">
        <f>IFERROR(__xludf.DUMMYFUNCTION("""COMPUTED_VALUE"""),"Amazonia")</f>
        <v/>
      </c>
    </row>
    <row r="102">
      <c r="A102" s="78">
        <f>IFERROR(__xludf.DUMMYFUNCTION("""COMPUTED_VALUE"""),"Rainforest Alliance")</f>
        <v/>
      </c>
      <c r="B102" s="78">
        <f>IFERROR(__xludf.DUMMYFUNCTION("""COMPUTED_VALUE"""),"Cerrado")</f>
        <v/>
      </c>
    </row>
    <row r="103">
      <c r="A103" s="78">
        <f>IFERROR(__xludf.DUMMYFUNCTION("""COMPUTED_VALUE"""),"Forest Trends")</f>
        <v/>
      </c>
      <c r="B103" s="78">
        <f>IFERROR(__xludf.DUMMYFUNCTION("""COMPUTED_VALUE"""),"Amazonia")</f>
        <v/>
      </c>
    </row>
    <row r="104">
      <c r="A104" s="78">
        <f>IFERROR(__xludf.DUMMYFUNCTION("""COMPUTED_VALUE"""),"Forest Trends")</f>
        <v/>
      </c>
      <c r="B104" s="78">
        <f>IFERROR(__xludf.DUMMYFUNCTION("""COMPUTED_VALUE"""),"Cerrado")</f>
        <v/>
      </c>
    </row>
    <row r="105">
      <c r="A105" s="78">
        <f>IFERROR(__xludf.DUMMYFUNCTION("""COMPUTED_VALUE"""),"Earth Innovation Institute")</f>
        <v/>
      </c>
      <c r="B105" s="78">
        <f>IFERROR(__xludf.DUMMYFUNCTION("""COMPUTED_VALUE"""),"Amazonia")</f>
        <v/>
      </c>
    </row>
    <row r="106">
      <c r="A106" s="78">
        <f>IFERROR(__xludf.DUMMYFUNCTION("""COMPUTED_VALUE"""),"Earth Innovation Institute")</f>
        <v/>
      </c>
      <c r="B106" s="78">
        <f>IFERROR(__xludf.DUMMYFUNCTION("""COMPUTED_VALUE"""),"Cerrado")</f>
        <v/>
      </c>
    </row>
    <row r="107">
      <c r="A107" s="78">
        <f>IFERROR(__xludf.DUMMYFUNCTION("""COMPUTED_VALUE"""),"Consórcio Nordeste")</f>
        <v/>
      </c>
      <c r="B107" s="78">
        <f>IFERROR(__xludf.DUMMYFUNCTION("""COMPUTED_VALUE"""),"Caatinga")</f>
        <v/>
      </c>
    </row>
    <row r="108">
      <c r="A108" s="78">
        <f>IFERROR(__xludf.DUMMYFUNCTION("""COMPUTED_VALUE"""),"Consórcio Nordeste")</f>
        <v/>
      </c>
      <c r="B108" s="78">
        <f>IFERROR(__xludf.DUMMYFUNCTION("""COMPUTED_VALUE"""),"Cerrado")</f>
        <v/>
      </c>
    </row>
    <row r="109">
      <c r="A109" s="78">
        <f>IFERROR(__xludf.DUMMYFUNCTION("""COMPUTED_VALUE"""),"Climate Policy Initiative (CPI)")</f>
        <v/>
      </c>
      <c r="B109" s="78">
        <f>IFERROR(__xludf.DUMMYFUNCTION("""COMPUTED_VALUE"""),"Amazonia")</f>
        <v/>
      </c>
    </row>
    <row r="110">
      <c r="A110" s="78">
        <f>IFERROR(__xludf.DUMMYFUNCTION("""COMPUTED_VALUE"""),"Climate Policy Initiative (CPI)")</f>
        <v/>
      </c>
      <c r="B110" s="78">
        <f>IFERROR(__xludf.DUMMYFUNCTION("""COMPUTED_VALUE"""),"Caatinga")</f>
        <v/>
      </c>
    </row>
    <row r="111">
      <c r="A111" s="78">
        <f>IFERROR(__xludf.DUMMYFUNCTION("""COMPUTED_VALUE"""),"Climate Policy Initiative (CPI)")</f>
        <v/>
      </c>
      <c r="B111" s="78">
        <f>IFERROR(__xludf.DUMMYFUNCTION("""COMPUTED_VALUE"""),"Cerrado")</f>
        <v/>
      </c>
    </row>
    <row r="112">
      <c r="A112" s="78">
        <f>IFERROR(__xludf.DUMMYFUNCTION("""COMPUTED_VALUE"""),"Associação Brasileira de Energia Eólica (ABEEólica)")</f>
        <v/>
      </c>
      <c r="B112" s="78">
        <f>IFERROR(__xludf.DUMMYFUNCTION("""COMPUTED_VALUE"""),"Caatinga")</f>
        <v/>
      </c>
    </row>
    <row r="113">
      <c r="A113" s="78">
        <f>IFERROR(__xludf.DUMMYFUNCTION("""COMPUTED_VALUE"""),"Associação Brasileira de Energia Solar Fotovoltaica (ABSolar)")</f>
        <v/>
      </c>
      <c r="B113" s="78">
        <f>IFERROR(__xludf.DUMMYFUNCTION("""COMPUTED_VALUE"""),"Caatinga")</f>
        <v/>
      </c>
    </row>
    <row r="114">
      <c r="A114" s="78">
        <f>IFERROR(__xludf.DUMMYFUNCTION("""COMPUTED_VALUE"""),"Associação Brasileira de Energia Solar Fotovoltaica (ABSolar)")</f>
        <v/>
      </c>
      <c r="B114" s="78">
        <f>IFERROR(__xludf.DUMMYFUNCTION("""COMPUTED_VALUE"""),"Cerrado")</f>
        <v/>
      </c>
    </row>
    <row r="115">
      <c r="A115" s="78">
        <f>IFERROR(__xludf.DUMMYFUNCTION("""COMPUTED_VALUE"""),"Superintendência do Desenvolvimento do Nordeste (SUDENE)")</f>
        <v/>
      </c>
      <c r="B115" s="78">
        <f>IFERROR(__xludf.DUMMYFUNCTION("""COMPUTED_VALUE"""),"Caatinga")</f>
        <v/>
      </c>
    </row>
    <row r="116">
      <c r="A116" s="78">
        <f>IFERROR(__xludf.DUMMYFUNCTION("""COMPUTED_VALUE"""),"Casa dos Ventos")</f>
        <v/>
      </c>
      <c r="B116" s="78">
        <f>IFERROR(__xludf.DUMMYFUNCTION("""COMPUTED_VALUE"""),"Caatinga")</f>
        <v/>
      </c>
    </row>
    <row r="117">
      <c r="A117" s="78">
        <f>IFERROR(__xludf.DUMMYFUNCTION("""COMPUTED_VALUE"""),"Voltalia Energia do Brasil (Voltalia)")</f>
        <v/>
      </c>
      <c r="B117" s="78">
        <f>IFERROR(__xludf.DUMMYFUNCTION("""COMPUTED_VALUE"""),"Caatinga")</f>
        <v/>
      </c>
    </row>
    <row r="118">
      <c r="A118" s="78">
        <f>IFERROR(__xludf.DUMMYFUNCTION("""COMPUTED_VALUE"""),"Câmara Setorial de Energias Renováveis do Ceará (CS Renováveis/CE)")</f>
        <v/>
      </c>
      <c r="B118" s="78">
        <f>IFERROR(__xludf.DUMMYFUNCTION("""COMPUTED_VALUE"""),"Caatinga")</f>
        <v/>
      </c>
    </row>
    <row r="119">
      <c r="A119" s="78">
        <f>IFERROR(__xludf.DUMMYFUNCTION("""COMPUTED_VALUE"""),"AS-PTA – Agricultura Familiar e Agroecologia (AS-PTA)")</f>
        <v/>
      </c>
      <c r="B119" s="78">
        <f>IFERROR(__xludf.DUMMYFUNCTION("""COMPUTED_VALUE"""),"Caatinga")</f>
        <v/>
      </c>
    </row>
    <row r="120">
      <c r="A120" s="78">
        <f>IFERROR(__xludf.DUMMYFUNCTION("""COMPUTED_VALUE"""),"Instituto Nacional de Pesquisas Espaciais (INPE)")</f>
        <v/>
      </c>
      <c r="B120" s="78">
        <f>IFERROR(__xludf.DUMMYFUNCTION("""COMPUTED_VALUE"""),"Amazonia")</f>
        <v/>
      </c>
    </row>
    <row r="121">
      <c r="A121" s="78">
        <f>IFERROR(__xludf.DUMMYFUNCTION("""COMPUTED_VALUE"""),"Instituto Nacional de Pesquisas Espaciais (INPE)")</f>
        <v/>
      </c>
      <c r="B121" s="78">
        <f>IFERROR(__xludf.DUMMYFUNCTION("""COMPUTED_VALUE"""),"Cerrado")</f>
        <v/>
      </c>
    </row>
    <row r="122">
      <c r="A122" s="78">
        <f>IFERROR(__xludf.DUMMYFUNCTION("""COMPUTED_VALUE"""),"Coalizão Brasil Clima, Florestas e Agricultura")</f>
        <v/>
      </c>
      <c r="B122" s="78">
        <f>IFERROR(__xludf.DUMMYFUNCTION("""COMPUTED_VALUE"""),"Amazonia")</f>
        <v/>
      </c>
    </row>
    <row r="123">
      <c r="A123" s="78">
        <f>IFERROR(__xludf.DUMMYFUNCTION("""COMPUTED_VALUE"""),"Coalizão Brasil Clima, Florestas e Agricultura")</f>
        <v/>
      </c>
      <c r="B123" s="78">
        <f>IFERROR(__xludf.DUMMYFUNCTION("""COMPUTED_VALUE"""),"Cerrado")</f>
        <v/>
      </c>
    </row>
    <row r="124">
      <c r="A124" s="78">
        <f>IFERROR(__xludf.DUMMYFUNCTION("""COMPUTED_VALUE"""),"Centro Internacional de Pesquisa Florestal e Agroflorestal (CIFOR-ICRAF)")</f>
        <v/>
      </c>
      <c r="B124" s="78">
        <f>IFERROR(__xludf.DUMMYFUNCTION("""COMPUTED_VALUE"""),"Amazonia")</f>
        <v/>
      </c>
    </row>
    <row r="125">
      <c r="A125" s="78">
        <f>IFERROR(__xludf.DUMMYFUNCTION("""COMPUTED_VALUE"""),"Centro Internacional de Pesquisa Florestal e Agroflorestal (CIFOR-ICRAF)")</f>
        <v/>
      </c>
      <c r="B125" s="78">
        <f>IFERROR(__xludf.DUMMYFUNCTION("""COMPUTED_VALUE"""),"Cerrado")</f>
        <v/>
      </c>
    </row>
    <row r="126">
      <c r="A126" s="78">
        <f>IFERROR(__xludf.DUMMYFUNCTION("""COMPUTED_VALUE"""),"Associação Caatinga")</f>
        <v/>
      </c>
      <c r="B126" s="78">
        <f>IFERROR(__xludf.DUMMYFUNCTION("""COMPUTED_VALUE"""),"Caatinga")</f>
        <v/>
      </c>
    </row>
    <row r="127">
      <c r="A127" s="78">
        <f>IFERROR(__xludf.DUMMYFUNCTION("""COMPUTED_VALUE"""),"Fundo Constitucional de Financiamento do Nordeste (FNE)")</f>
        <v/>
      </c>
      <c r="B127" s="78">
        <f>IFERROR(__xludf.DUMMYFUNCTION("""COMPUTED_VALUE"""),"Caatinga")</f>
        <v/>
      </c>
    </row>
    <row r="128">
      <c r="A128" s="78">
        <f>IFERROR(__xludf.DUMMYFUNCTION("""COMPUTED_VALUE"""),"Fundo Constitucional de Financiamento do Nordeste (FNE)")</f>
        <v/>
      </c>
      <c r="B128" s="78">
        <f>IFERROR(__xludf.DUMMYFUNCTION("""COMPUTED_VALUE"""),"Cerrado")</f>
        <v/>
      </c>
    </row>
    <row r="129">
      <c r="A129" s="78">
        <f>IFERROR(__xludf.DUMMYFUNCTION("""COMPUTED_VALUE"""),"Articulação Semiárido Brasileiro (ASA Brasil)")</f>
        <v/>
      </c>
      <c r="B129" s="78">
        <f>IFERROR(__xludf.DUMMYFUNCTION("""COMPUTED_VALUE"""),"Caatinga")</f>
        <v/>
      </c>
    </row>
    <row r="130">
      <c r="A130" s="78">
        <f>IFERROR(__xludf.DUMMYFUNCTION("""COMPUTED_VALUE"""),"Fundação Araripe")</f>
        <v/>
      </c>
      <c r="B130" s="78">
        <f>IFERROR(__xludf.DUMMYFUNCTION("""COMPUTED_VALUE"""),"Caatinga")</f>
        <v/>
      </c>
    </row>
    <row r="131">
      <c r="A131" s="78">
        <f>IFERROR(__xludf.DUMMYFUNCTION("""COMPUTED_VALUE"""),"Centro de Manejo de Fauna da Caatinga (CEMAFauna)")</f>
        <v/>
      </c>
      <c r="B131" s="78">
        <f>IFERROR(__xludf.DUMMYFUNCTION("""COMPUTED_VALUE"""),"Caatinga")</f>
        <v/>
      </c>
    </row>
    <row r="132">
      <c r="A132" s="78">
        <f>IFERROR(__xludf.DUMMYFUNCTION("""COMPUTED_VALUE"""),"Instituto Regional da Pequena Agropecuária Apropriada (IRPAA)")</f>
        <v/>
      </c>
      <c r="B132" s="78">
        <f>IFERROR(__xludf.DUMMYFUNCTION("""COMPUTED_VALUE"""),"Caatinga")</f>
        <v/>
      </c>
    </row>
    <row r="133">
      <c r="A133" s="78">
        <f>IFERROR(__xludf.DUMMYFUNCTION("""COMPUTED_VALUE"""),"Banco do Nordeste (BNB)")</f>
        <v/>
      </c>
      <c r="B133" s="78">
        <f>IFERROR(__xludf.DUMMYFUNCTION("""COMPUTED_VALUE"""),"Caatinga")</f>
        <v/>
      </c>
    </row>
    <row r="134">
      <c r="A134" s="78">
        <f>IFERROR(__xludf.DUMMYFUNCTION("""COMPUTED_VALUE"""),"MapBiomas (MapBiomas)")</f>
        <v/>
      </c>
      <c r="B134" s="78">
        <f>IFERROR(__xludf.DUMMYFUNCTION("""COMPUTED_VALUE"""),"Amazonia")</f>
        <v/>
      </c>
    </row>
    <row r="135">
      <c r="A135" s="78">
        <f>IFERROR(__xludf.DUMMYFUNCTION("""COMPUTED_VALUE"""),"MapBiomas (MapBiomas)")</f>
        <v/>
      </c>
      <c r="B135" s="78">
        <f>IFERROR(__xludf.DUMMYFUNCTION("""COMPUTED_VALUE"""),"Caatinga")</f>
        <v/>
      </c>
    </row>
    <row r="136">
      <c r="A136" s="78">
        <f>IFERROR(__xludf.DUMMYFUNCTION("""COMPUTED_VALUE"""),"MapBiomas (MapBiomas)")</f>
        <v/>
      </c>
      <c r="B136" s="78">
        <f>IFERROR(__xludf.DUMMYFUNCTION("""COMPUTED_VALUE"""),"Cerrado")</f>
        <v/>
      </c>
    </row>
    <row r="137">
      <c r="A137" s="78">
        <f>IFERROR(__xludf.DUMMYFUNCTION("""COMPUTED_VALUE"""),"Instituto Nacional do Semiárido (INSA)")</f>
        <v/>
      </c>
      <c r="B137" s="78">
        <f>IFERROR(__xludf.DUMMYFUNCTION("""COMPUTED_VALUE"""),"Caatinga")</f>
        <v/>
      </c>
    </row>
    <row r="138">
      <c r="A138" s="78">
        <f>IFERROR(__xludf.DUMMYFUNCTION("""COMPUTED_VALUE"""),"Instituto de Desenvolvimento Sustentável Mamirauá (IDSM)")</f>
        <v/>
      </c>
      <c r="B138" s="78">
        <f>IFERROR(__xludf.DUMMYFUNCTION("""COMPUTED_VALUE"""),"Amazonia")</f>
        <v/>
      </c>
    </row>
    <row r="139">
      <c r="A139" s="78">
        <f>IFERROR(__xludf.DUMMYFUNCTION("""COMPUTED_VALUE"""),"Instituto Centro de Vida (ICV)")</f>
        <v/>
      </c>
      <c r="B139" s="78">
        <f>IFERROR(__xludf.DUMMYFUNCTION("""COMPUTED_VALUE"""),"Amazonia")</f>
        <v/>
      </c>
    </row>
    <row r="140">
      <c r="A140" s="78">
        <f>IFERROR(__xludf.DUMMYFUNCTION("""COMPUTED_VALUE"""),"Instituto Centro de Vida (ICV)")</f>
        <v/>
      </c>
      <c r="B140" s="78">
        <f>IFERROR(__xludf.DUMMYFUNCTION("""COMPUTED_VALUE"""),"Cerrado")</f>
        <v/>
      </c>
    </row>
    <row r="141">
      <c r="A141" s="78">
        <f>IFERROR(__xludf.DUMMYFUNCTION("""COMPUTED_VALUE"""),"Instituto Internacional de Educação do Brasil (IEB)")</f>
        <v/>
      </c>
      <c r="B141" s="78">
        <f>IFERROR(__xludf.DUMMYFUNCTION("""COMPUTED_VALUE"""),"Amazonia")</f>
        <v/>
      </c>
    </row>
    <row r="142">
      <c r="A142" s="78">
        <f>IFERROR(__xludf.DUMMYFUNCTION("""COMPUTED_VALUE"""),"Instituto Internacional de Educação do Brasil (IEB)")</f>
        <v/>
      </c>
      <c r="B142" s="78">
        <f>IFERROR(__xludf.DUMMYFUNCTION("""COMPUTED_VALUE"""),"Cerrado")</f>
        <v/>
      </c>
    </row>
    <row r="143">
      <c r="A143" s="78">
        <f>IFERROR(__xludf.DUMMYFUNCTION("""COMPUTED_VALUE"""),"Fundação Vitória Amazônica (FVA)")</f>
        <v/>
      </c>
      <c r="B143" s="78">
        <f>IFERROR(__xludf.DUMMYFUNCTION("""COMPUTED_VALUE"""),"Amazonia")</f>
        <v/>
      </c>
    </row>
    <row r="144">
      <c r="A144" s="78">
        <f>IFERROR(__xludf.DUMMYFUNCTION("""COMPUTED_VALUE"""),"Instituto Ouro Verde (IOV)")</f>
        <v/>
      </c>
      <c r="B144" s="78">
        <f>IFERROR(__xludf.DUMMYFUNCTION("""COMPUTED_VALUE"""),"Amazonia")</f>
        <v/>
      </c>
    </row>
    <row r="145">
      <c r="A145" s="78">
        <f>IFERROR(__xludf.DUMMYFUNCTION("""COMPUTED_VALUE"""),"Instituto Ouro Verde (IOV)")</f>
        <v/>
      </c>
      <c r="B145" s="78">
        <f>IFERROR(__xludf.DUMMYFUNCTION("""COMPUTED_VALUE"""),"Cerrado")</f>
        <v/>
      </c>
    </row>
    <row r="146">
      <c r="A146" s="78">
        <f>IFERROR(__xludf.DUMMYFUNCTION("""COMPUTED_VALUE"""),"Instituto Sociedade, População e Natureza (ISPN)")</f>
        <v/>
      </c>
      <c r="B146" s="78">
        <f>IFERROR(__xludf.DUMMYFUNCTION("""COMPUTED_VALUE"""),"Cerrado")</f>
        <v/>
      </c>
    </row>
    <row r="147">
      <c r="A147" s="78">
        <f>IFERROR(__xludf.DUMMYFUNCTION("""COMPUTED_VALUE"""),"Rede Cerrado (Rede Cerrado)")</f>
        <v/>
      </c>
      <c r="B147" s="78">
        <f>IFERROR(__xludf.DUMMYFUNCTION("""COMPUTED_VALUE"""),"Cerrado")</f>
        <v/>
      </c>
    </row>
    <row r="148">
      <c r="A148" s="78">
        <f>IFERROR(__xludf.DUMMYFUNCTION("""COMPUTED_VALUE"""),"União Nacional de Cooperativas da Agricultura Familiar e Economia Solidária (Unicafes)")</f>
        <v/>
      </c>
      <c r="B148" s="78">
        <f>IFERROR(__xludf.DUMMYFUNCTION("""COMPUTED_VALUE"""),"Amazonia")</f>
        <v/>
      </c>
    </row>
    <row r="149">
      <c r="A149" s="78">
        <f>IFERROR(__xludf.DUMMYFUNCTION("""COMPUTED_VALUE"""),"União Nacional de Cooperativas da Agricultura Familiar e Economia Solidária (Unicafes)")</f>
        <v/>
      </c>
      <c r="B149" s="78">
        <f>IFERROR(__xludf.DUMMYFUNCTION("""COMPUTED_VALUE"""),"Caatinga")</f>
        <v/>
      </c>
    </row>
    <row r="150">
      <c r="A150" s="78">
        <f>IFERROR(__xludf.DUMMYFUNCTION("""COMPUTED_VALUE"""),"União Nacional de Cooperativas da Agricultura Familiar e Economia Solidária (Unicafes)")</f>
        <v/>
      </c>
      <c r="B150" s="78">
        <f>IFERROR(__xludf.DUMMYFUNCTION("""COMPUTED_VALUE"""),"Cerrado")</f>
        <v/>
      </c>
    </row>
    <row r="151">
      <c r="A151" s="78">
        <f>IFERROR(__xludf.DUMMYFUNCTION("""COMPUTED_VALUE"""),"Greenpeace Brasil")</f>
        <v/>
      </c>
      <c r="B151" s="78">
        <f>IFERROR(__xludf.DUMMYFUNCTION("""COMPUTED_VALUE"""),"Amazonia")</f>
        <v/>
      </c>
    </row>
    <row r="152">
      <c r="A152" s="78">
        <f>IFERROR(__xludf.DUMMYFUNCTION("""COMPUTED_VALUE"""),"Greenpeace Brasil")</f>
        <v/>
      </c>
      <c r="B152" s="78">
        <f>IFERROR(__xludf.DUMMYFUNCTION("""COMPUTED_VALUE"""),"Cerrado")</f>
        <v/>
      </c>
    </row>
    <row r="153">
      <c r="A153" s="78">
        <f>IFERROR(__xludf.DUMMYFUNCTION("""COMPUTED_VALUE"""),"Fundação Pró-Natureza (Funatura)")</f>
        <v/>
      </c>
      <c r="B153" s="78">
        <f>IFERROR(__xludf.DUMMYFUNCTION("""COMPUTED_VALUE"""),"Amazonia")</f>
        <v/>
      </c>
    </row>
    <row r="154">
      <c r="A154" s="78">
        <f>IFERROR(__xludf.DUMMYFUNCTION("""COMPUTED_VALUE"""),"Fundação Pró-Natureza (Funatura)")</f>
        <v/>
      </c>
      <c r="B154" s="78">
        <f>IFERROR(__xludf.DUMMYFUNCTION("""COMPUTED_VALUE"""),"Cerrado")</f>
        <v/>
      </c>
    </row>
    <row r="155">
      <c r="A155" s="78">
        <f>IFERROR(__xludf.DUMMYFUNCTION("""COMPUTED_VALUE"""),"Instituto Cerrados (IC)")</f>
        <v/>
      </c>
      <c r="B155" s="78">
        <f>IFERROR(__xludf.DUMMYFUNCTION("""COMPUTED_VALUE"""),"Cerrado")</f>
        <v/>
      </c>
    </row>
    <row r="156">
      <c r="A156" s="78">
        <f>IFERROR(__xludf.DUMMYFUNCTION("""COMPUTED_VALUE"""),"Operação Amazônia Nativa (OPAN)")</f>
        <v/>
      </c>
      <c r="B156" s="78">
        <f>IFERROR(__xludf.DUMMYFUNCTION("""COMPUTED_VALUE"""),"Amazonia")</f>
        <v/>
      </c>
    </row>
    <row r="157">
      <c r="A157" s="78">
        <f>IFERROR(__xludf.DUMMYFUNCTION("""COMPUTED_VALUE"""),"Instituto Peabiru")</f>
        <v/>
      </c>
      <c r="B157" s="78">
        <f>IFERROR(__xludf.DUMMYFUNCTION("""COMPUTED_VALUE"""),"Amazonia")</f>
        <v/>
      </c>
    </row>
    <row r="158">
      <c r="A158" s="78">
        <f>IFERROR(__xludf.DUMMYFUNCTION("""COMPUTED_VALUE"""),"Projeto Saúde e Alegria (PSA)")</f>
        <v/>
      </c>
      <c r="B158" s="78">
        <f>IFERROR(__xludf.DUMMYFUNCTION("""COMPUTED_VALUE"""),"Amazonia")</f>
        <v/>
      </c>
    </row>
    <row r="159">
      <c r="A159" s="78">
        <f>IFERROR(__xludf.DUMMYFUNCTION("""COMPUTED_VALUE"""),"Articulação dos Povos Indígenas do Brasil (APIB)")</f>
        <v/>
      </c>
      <c r="B159" s="78">
        <f>IFERROR(__xludf.DUMMYFUNCTION("""COMPUTED_VALUE"""),"Amazonia")</f>
        <v/>
      </c>
    </row>
    <row r="160">
      <c r="A160" s="78">
        <f>IFERROR(__xludf.DUMMYFUNCTION("""COMPUTED_VALUE"""),"Articulação dos Povos Indígenas do Brasil (APIB)")</f>
        <v/>
      </c>
      <c r="B160" s="78">
        <f>IFERROR(__xludf.DUMMYFUNCTION("""COMPUTED_VALUE"""),"Caatinga")</f>
        <v/>
      </c>
    </row>
    <row r="161">
      <c r="A161" s="78">
        <f>IFERROR(__xludf.DUMMYFUNCTION("""COMPUTED_VALUE"""),"Articulação dos Povos Indígenas do Brasil (APIB)")</f>
        <v/>
      </c>
      <c r="B161" s="78">
        <f>IFERROR(__xludf.DUMMYFUNCTION("""COMPUTED_VALUE"""),"Cerrado")</f>
        <v/>
      </c>
    </row>
    <row r="162">
      <c r="A162" s="78">
        <f>IFERROR(__xludf.DUMMYFUNCTION("""COMPUTED_VALUE"""),"Coordenação das Organizações Indígenas da Amazônia Brasileira (COIAB)")</f>
        <v/>
      </c>
      <c r="B162" s="78">
        <f>IFERROR(__xludf.DUMMYFUNCTION("""COMPUTED_VALUE"""),"Amazonia")</f>
        <v/>
      </c>
    </row>
    <row r="163">
      <c r="A163" s="78">
        <f>IFERROR(__xludf.DUMMYFUNCTION("""COMPUTED_VALUE"""),"Conselho Indigenista Missionário (CIMI)")</f>
        <v/>
      </c>
      <c r="B163" s="78">
        <f>IFERROR(__xludf.DUMMYFUNCTION("""COMPUTED_VALUE"""),"Amazonia")</f>
        <v/>
      </c>
    </row>
    <row r="164">
      <c r="A164" s="78">
        <f>IFERROR(__xludf.DUMMYFUNCTION("""COMPUTED_VALUE"""),"Conselho Indigenista Missionário (CIMI)")</f>
        <v/>
      </c>
      <c r="B164" s="78">
        <f>IFERROR(__xludf.DUMMYFUNCTION("""COMPUTED_VALUE"""),"Caatinga")</f>
        <v/>
      </c>
    </row>
    <row r="165">
      <c r="A165" s="78">
        <f>IFERROR(__xludf.DUMMYFUNCTION("""COMPUTED_VALUE"""),"Conselho Indigenista Missionário (CIMI)")</f>
        <v/>
      </c>
      <c r="B165" s="78">
        <f>IFERROR(__xludf.DUMMYFUNCTION("""COMPUTED_VALUE"""),"Cerrado")</f>
        <v/>
      </c>
    </row>
    <row r="166">
      <c r="A166" s="78">
        <f>IFERROR(__xludf.DUMMYFUNCTION("""COMPUTED_VALUE"""),"Comissão Pastoral da Terra (CPT)")</f>
        <v/>
      </c>
      <c r="B166" s="78">
        <f>IFERROR(__xludf.DUMMYFUNCTION("""COMPUTED_VALUE"""),"Amazonia")</f>
        <v/>
      </c>
    </row>
    <row r="167">
      <c r="A167" s="78">
        <f>IFERROR(__xludf.DUMMYFUNCTION("""COMPUTED_VALUE"""),"Comissão Pastoral da Terra (CPT)")</f>
        <v/>
      </c>
      <c r="B167" s="78">
        <f>IFERROR(__xludf.DUMMYFUNCTION("""COMPUTED_VALUE"""),"Caatinga")</f>
        <v/>
      </c>
    </row>
    <row r="168">
      <c r="A168" s="78">
        <f>IFERROR(__xludf.DUMMYFUNCTION("""COMPUTED_VALUE"""),"Comissão Pastoral da Terra (CPT)")</f>
        <v/>
      </c>
      <c r="B168" s="78">
        <f>IFERROR(__xludf.DUMMYFUNCTION("""COMPUTED_VALUE"""),"Cerrado")</f>
        <v/>
      </c>
    </row>
    <row r="169">
      <c r="A169" s="78">
        <f>IFERROR(__xludf.DUMMYFUNCTION("""COMPUTED_VALUE"""),"Conselho Nacional das Populações Extrativistas (CNS)")</f>
        <v/>
      </c>
      <c r="B169" s="78">
        <f>IFERROR(__xludf.DUMMYFUNCTION("""COMPUTED_VALUE"""),"Amazonia")</f>
        <v/>
      </c>
    </row>
    <row r="170">
      <c r="A170" s="78">
        <f>IFERROR(__xludf.DUMMYFUNCTION("""COMPUTED_VALUE"""),"Conselho Nacional das Populações Extrativistas (CNS)")</f>
        <v/>
      </c>
      <c r="B170" s="78">
        <f>IFERROR(__xludf.DUMMYFUNCTION("""COMPUTED_VALUE"""),"Caatinga")</f>
        <v/>
      </c>
    </row>
    <row r="171">
      <c r="A171" s="78">
        <f>IFERROR(__xludf.DUMMYFUNCTION("""COMPUTED_VALUE"""),"Conselho Nacional das Populações Extrativistas (CNS)")</f>
        <v/>
      </c>
      <c r="B171" s="78">
        <f>IFERROR(__xludf.DUMMYFUNCTION("""COMPUTED_VALUE"""),"Cerrado")</f>
        <v/>
      </c>
    </row>
    <row r="172">
      <c r="A172" s="78">
        <f>IFERROR(__xludf.DUMMYFUNCTION("""COMPUTED_VALUE"""),"Articulação Nacional de Agroecologia (ANA)")</f>
        <v/>
      </c>
      <c r="B172" s="78">
        <f>IFERROR(__xludf.DUMMYFUNCTION("""COMPUTED_VALUE"""),"Amazonia")</f>
        <v/>
      </c>
    </row>
    <row r="173">
      <c r="A173" s="78">
        <f>IFERROR(__xludf.DUMMYFUNCTION("""COMPUTED_VALUE"""),"Articulação Nacional de Agroecologia (ANA)")</f>
        <v/>
      </c>
      <c r="B173" s="78">
        <f>IFERROR(__xludf.DUMMYFUNCTION("""COMPUTED_VALUE"""),"Caatinga")</f>
        <v/>
      </c>
    </row>
    <row r="174">
      <c r="A174" s="78">
        <f>IFERROR(__xludf.DUMMYFUNCTION("""COMPUTED_VALUE"""),"Articulação Nacional de Agroecologia (ANA)")</f>
        <v/>
      </c>
      <c r="B174" s="78">
        <f>IFERROR(__xludf.DUMMYFUNCTION("""COMPUTED_VALUE"""),"Cerrado")</f>
        <v/>
      </c>
    </row>
    <row r="175">
      <c r="A175" s="78">
        <f>IFERROR(__xludf.DUMMYFUNCTION("""COMPUTED_VALUE"""),"Diaconia")</f>
        <v/>
      </c>
      <c r="B175" s="78">
        <f>IFERROR(__xludf.DUMMYFUNCTION("""COMPUTED_VALUE"""),"Caatinga")</f>
        <v/>
      </c>
    </row>
    <row r="176">
      <c r="A176" s="78">
        <f>IFERROR(__xludf.DUMMYFUNCTION("""COMPUTED_VALUE"""),"Cáritas Brasileira")</f>
        <v/>
      </c>
      <c r="B176" s="78">
        <f>IFERROR(__xludf.DUMMYFUNCTION("""COMPUTED_VALUE"""),"Amazonia")</f>
        <v/>
      </c>
    </row>
    <row r="177">
      <c r="A177" s="78">
        <f>IFERROR(__xludf.DUMMYFUNCTION("""COMPUTED_VALUE"""),"Cáritas Brasileira")</f>
        <v/>
      </c>
      <c r="B177" s="78">
        <f>IFERROR(__xludf.DUMMYFUNCTION("""COMPUTED_VALUE"""),"Caatinga")</f>
        <v/>
      </c>
    </row>
    <row r="178">
      <c r="A178" s="78">
        <f>IFERROR(__xludf.DUMMYFUNCTION("""COMPUTED_VALUE"""),"Cáritas Brasileira")</f>
        <v/>
      </c>
      <c r="B178" s="78">
        <f>IFERROR(__xludf.DUMMYFUNCTION("""COMPUTED_VALUE"""),"Cerrado")</f>
        <v/>
      </c>
    </row>
    <row r="179">
      <c r="A179" s="78">
        <f>IFERROR(__xludf.DUMMYFUNCTION("""COMPUTED_VALUE"""),"Centro de Estudos do Trabalho e de Assessoria ao Trabalhador e à Trabalhadora (CETRA)")</f>
        <v/>
      </c>
      <c r="B179" s="78">
        <f>IFERROR(__xludf.DUMMYFUNCTION("""COMPUTED_VALUE"""),"Caatinga")</f>
        <v/>
      </c>
    </row>
    <row r="180">
      <c r="A180" s="78">
        <f>IFERROR(__xludf.DUMMYFUNCTION("""COMPUTED_VALUE"""),"Centro de Desenvolvimento Agroecológico Sabiá (Centro Sabiá)")</f>
        <v/>
      </c>
      <c r="B180" s="78">
        <f>IFERROR(__xludf.DUMMYFUNCTION("""COMPUTED_VALUE"""),"Caatinga")</f>
        <v/>
      </c>
    </row>
    <row r="181">
      <c r="A181" s="78">
        <f>IFERROR(__xludf.DUMMYFUNCTION("""COMPUTED_VALUE"""),"Programa de Aplicação de Tecnologias Apropriadas às Comunidades (PATAC)")</f>
        <v/>
      </c>
      <c r="B181" s="78">
        <f>IFERROR(__xludf.DUMMYFUNCTION("""COMPUTED_VALUE"""),"Caatinga")</f>
        <v/>
      </c>
    </row>
    <row r="182">
      <c r="A182" s="78">
        <f>IFERROR(__xludf.DUMMYFUNCTION("""COMPUTED_VALUE"""),"Deutsche Gesellschaft für Internationale Zusammenarbeit (GIZ)")</f>
        <v/>
      </c>
      <c r="B182" s="78">
        <f>IFERROR(__xludf.DUMMYFUNCTION("""COMPUTED_VALUE"""),"Amazonia")</f>
        <v/>
      </c>
    </row>
    <row r="183">
      <c r="A183" s="78">
        <f>IFERROR(__xludf.DUMMYFUNCTION("""COMPUTED_VALUE"""),"Deutsche Gesellschaft für Internationale Zusammenarbeit (GIZ)")</f>
        <v/>
      </c>
      <c r="B183" s="78">
        <f>IFERROR(__xludf.DUMMYFUNCTION("""COMPUTED_VALUE"""),"Cerrado")</f>
        <v/>
      </c>
    </row>
    <row r="184">
      <c r="A184" s="78">
        <f>IFERROR(__xludf.DUMMYFUNCTION("""COMPUTED_VALUE"""),"Kreditanstalt für Wiederaufbau (KfW)")</f>
        <v/>
      </c>
      <c r="B184" s="78">
        <f>IFERROR(__xludf.DUMMYFUNCTION("""COMPUTED_VALUE"""),"Amazonia")</f>
        <v/>
      </c>
    </row>
    <row r="185">
      <c r="A185" s="78">
        <f>IFERROR(__xludf.DUMMYFUNCTION("""COMPUTED_VALUE"""),"Agência Norueguesa de Cooperação para o Desenvolvimento (Norad)")</f>
        <v/>
      </c>
      <c r="B185" s="78">
        <f>IFERROR(__xludf.DUMMYFUNCTION("""COMPUTED_VALUE"""),"Amazonia")</f>
        <v/>
      </c>
    </row>
    <row r="186">
      <c r="A186" s="78">
        <f>IFERROR(__xludf.DUMMYFUNCTION("""COMPUTED_VALUE"""),"Agência Norueguesa de Cooperação para o Desenvolvimento (Norad)")</f>
        <v/>
      </c>
      <c r="B186" s="78">
        <f>IFERROR(__xludf.DUMMYFUNCTION("""COMPUTED_VALUE"""),"Cerrado")</f>
        <v/>
      </c>
    </row>
    <row r="187">
      <c r="A187" s="78">
        <f>IFERROR(__xludf.DUMMYFUNCTION("""COMPUTED_VALUE"""),"Iniciativa Internacional de Clima e Florestas da Noruega (NICFI)")</f>
        <v/>
      </c>
      <c r="B187" s="78">
        <f>IFERROR(__xludf.DUMMYFUNCTION("""COMPUTED_VALUE"""),"Amazonia")</f>
        <v/>
      </c>
    </row>
    <row r="188">
      <c r="A188" s="78">
        <f>IFERROR(__xludf.DUMMYFUNCTION("""COMPUTED_VALUE"""),"Iniciativa Internacional de Clima e Florestas da Noruega (NICFI)")</f>
        <v/>
      </c>
      <c r="B188" s="78">
        <f>IFERROR(__xludf.DUMMYFUNCTION("""COMPUTED_VALUE"""),"Cerrado")</f>
        <v/>
      </c>
    </row>
    <row r="189">
      <c r="A189" s="78">
        <f>IFERROR(__xludf.DUMMYFUNCTION("""COMPUTED_VALUE"""),"Misereor (Misereor)")</f>
        <v/>
      </c>
      <c r="B189" s="78">
        <f>IFERROR(__xludf.DUMMYFUNCTION("""COMPUTED_VALUE"""),"Amazonia")</f>
        <v/>
      </c>
    </row>
    <row r="190">
      <c r="A190" s="78">
        <f>IFERROR(__xludf.DUMMYFUNCTION("""COMPUTED_VALUE"""),"Misereor (Misereor)")</f>
        <v/>
      </c>
      <c r="B190" s="78">
        <f>IFERROR(__xludf.DUMMYFUNCTION("""COMPUTED_VALUE"""),"Cerrado")</f>
        <v/>
      </c>
    </row>
    <row r="191">
      <c r="A191" s="78">
        <f>IFERROR(__xludf.DUMMYFUNCTION("""COMPUTED_VALUE"""),"Trias (Trias vzw)")</f>
        <v/>
      </c>
      <c r="B191" s="78">
        <f>IFERROR(__xludf.DUMMYFUNCTION("""COMPUTED_VALUE"""),"Amazonia")</f>
        <v/>
      </c>
    </row>
    <row r="192">
      <c r="A192" s="78">
        <f>IFERROR(__xludf.DUMMYFUNCTION("""COMPUTED_VALUE"""),"Trias (Trias vzw)")</f>
        <v/>
      </c>
      <c r="B192" s="78">
        <f>IFERROR(__xludf.DUMMYFUNCTION("""COMPUTED_VALUE"""),"Caatinga")</f>
        <v/>
      </c>
    </row>
    <row r="193">
      <c r="A193" s="78">
        <f>IFERROR(__xludf.DUMMYFUNCTION("""COMPUTED_VALUE"""),"Trias (Trias vzw)")</f>
        <v/>
      </c>
      <c r="B193" s="78">
        <f>IFERROR(__xludf.DUMMYFUNCTION("""COMPUTED_VALUE"""),"Cerrado")</f>
        <v/>
      </c>
    </row>
    <row r="194">
      <c r="A194" s="78">
        <f>IFERROR(__xludf.DUMMYFUNCTION("""COMPUTED_VALUE"""),"Brot für die Welt (Brot für die Welt)")</f>
        <v/>
      </c>
      <c r="B194" s="78">
        <f>IFERROR(__xludf.DUMMYFUNCTION("""COMPUTED_VALUE"""),"Amazonia")</f>
        <v/>
      </c>
    </row>
    <row r="195">
      <c r="A195" s="78">
        <f>IFERROR(__xludf.DUMMYFUNCTION("""COMPUTED_VALUE"""),"Brot für die Welt (Brot für die Welt)")</f>
        <v/>
      </c>
      <c r="B195" s="78">
        <f>IFERROR(__xludf.DUMMYFUNCTION("""COMPUTED_VALUE"""),"Cerrado")</f>
        <v/>
      </c>
    </row>
    <row r="196">
      <c r="A196" s="78">
        <f>IFERROR(__xludf.DUMMYFUNCTION("""COMPUTED_VALUE"""),"Movimento dos Trabalhadores Rurais Sem Terra (MST)")</f>
        <v/>
      </c>
      <c r="B196" s="78">
        <f>IFERROR(__xludf.DUMMYFUNCTION("""COMPUTED_VALUE"""),"Amazonia")</f>
        <v/>
      </c>
    </row>
    <row r="197">
      <c r="A197" s="78">
        <f>IFERROR(__xludf.DUMMYFUNCTION("""COMPUTED_VALUE"""),"Movimento dos Trabalhadores Rurais Sem Terra (MST)")</f>
        <v/>
      </c>
      <c r="B197" s="78">
        <f>IFERROR(__xludf.DUMMYFUNCTION("""COMPUTED_VALUE"""),"Caatinga")</f>
        <v/>
      </c>
    </row>
    <row r="198">
      <c r="A198" s="78">
        <f>IFERROR(__xludf.DUMMYFUNCTION("""COMPUTED_VALUE"""),"Movimento dos Trabalhadores Rurais Sem Terra (MST)")</f>
        <v/>
      </c>
      <c r="B198" s="78">
        <f>IFERROR(__xludf.DUMMYFUNCTION("""COMPUTED_VALUE"""),"Cerrado")</f>
        <v/>
      </c>
    </row>
    <row r="199">
      <c r="A199" s="78">
        <f>IFERROR(__xludf.DUMMYFUNCTION("""COMPUTED_VALUE"""),"Movimento dos Atingidos por Barragens (MAB)")</f>
        <v/>
      </c>
      <c r="B199" s="78">
        <f>IFERROR(__xludf.DUMMYFUNCTION("""COMPUTED_VALUE"""),"Amazonia")</f>
        <v/>
      </c>
    </row>
    <row r="200">
      <c r="A200" s="78">
        <f>IFERROR(__xludf.DUMMYFUNCTION("""COMPUTED_VALUE"""),"Movimento dos Atingidos por Barragens (MAB)")</f>
        <v/>
      </c>
      <c r="B200" s="78">
        <f>IFERROR(__xludf.DUMMYFUNCTION("""COMPUTED_VALUE"""),"Caatinga")</f>
        <v/>
      </c>
    </row>
    <row r="201">
      <c r="A201" s="78">
        <f>IFERROR(__xludf.DUMMYFUNCTION("""COMPUTED_VALUE"""),"Movimento dos Atingidos por Barragens (MAB)")</f>
        <v/>
      </c>
      <c r="B201" s="78">
        <f>IFERROR(__xludf.DUMMYFUNCTION("""COMPUTED_VALUE"""),"Cerrado")</f>
        <v/>
      </c>
    </row>
    <row r="202">
      <c r="A202" s="78">
        <f>IFERROR(__xludf.DUMMYFUNCTION("""COMPUTED_VALUE"""),"Movimento dos Pequenos Agricultores (MPA)")</f>
        <v/>
      </c>
      <c r="B202" s="78">
        <f>IFERROR(__xludf.DUMMYFUNCTION("""COMPUTED_VALUE"""),"Amazonia")</f>
        <v/>
      </c>
    </row>
    <row r="203">
      <c r="A203" s="78">
        <f>IFERROR(__xludf.DUMMYFUNCTION("""COMPUTED_VALUE"""),"Movimento dos Pequenos Agricultores (MPA)")</f>
        <v/>
      </c>
      <c r="B203" s="78">
        <f>IFERROR(__xludf.DUMMYFUNCTION("""COMPUTED_VALUE"""),"Caatinga")</f>
        <v/>
      </c>
    </row>
    <row r="204">
      <c r="A204" s="78">
        <f>IFERROR(__xludf.DUMMYFUNCTION("""COMPUTED_VALUE"""),"Movimento dos Pequenos Agricultores (MPA)")</f>
        <v/>
      </c>
      <c r="B204" s="78">
        <f>IFERROR(__xludf.DUMMYFUNCTION("""COMPUTED_VALUE"""),"Cerrado")</f>
        <v/>
      </c>
    </row>
    <row r="205">
      <c r="A205" s="78">
        <f>IFERROR(__xludf.DUMMYFUNCTION("""COMPUTED_VALUE"""),"Movimento pela Soberania Popular na Mineração (MAM)")</f>
        <v/>
      </c>
      <c r="B205" s="78">
        <f>IFERROR(__xludf.DUMMYFUNCTION("""COMPUTED_VALUE"""),"Amazonia")</f>
        <v/>
      </c>
    </row>
    <row r="206">
      <c r="A206" s="78">
        <f>IFERROR(__xludf.DUMMYFUNCTION("""COMPUTED_VALUE"""),"Movimento pela Soberania Popular na Mineração (MAM)")</f>
        <v/>
      </c>
      <c r="B206" s="78">
        <f>IFERROR(__xludf.DUMMYFUNCTION("""COMPUTED_VALUE"""),"Cerrado")</f>
        <v/>
      </c>
    </row>
    <row r="207">
      <c r="A207" s="78">
        <f>IFERROR(__xludf.DUMMYFUNCTION("""COMPUTED_VALUE"""),"Confederação Nacional dos Trabalhadores Rurais Agricultores e Agricultoras Familiares (CONTAG)")</f>
        <v/>
      </c>
      <c r="B207" s="78">
        <f>IFERROR(__xludf.DUMMYFUNCTION("""COMPUTED_VALUE"""),"Amazonia")</f>
        <v/>
      </c>
    </row>
    <row r="208">
      <c r="A208" s="78">
        <f>IFERROR(__xludf.DUMMYFUNCTION("""COMPUTED_VALUE"""),"Confederação Nacional dos Trabalhadores Rurais Agricultores e Agricultoras Familiares (CONTAG)")</f>
        <v/>
      </c>
      <c r="B208" s="78">
        <f>IFERROR(__xludf.DUMMYFUNCTION("""COMPUTED_VALUE"""),"Caatinga")</f>
        <v/>
      </c>
    </row>
    <row r="209">
      <c r="A209" s="78">
        <f>IFERROR(__xludf.DUMMYFUNCTION("""COMPUTED_VALUE"""),"Confederação Nacional dos Trabalhadores Rurais Agricultores e Agricultoras Familiares (CONTAG)")</f>
        <v/>
      </c>
      <c r="B209" s="78">
        <f>IFERROR(__xludf.DUMMYFUNCTION("""COMPUTED_VALUE"""),"Cerrado")</f>
        <v/>
      </c>
    </row>
    <row r="210">
      <c r="A210" s="78">
        <f>IFERROR(__xludf.DUMMYFUNCTION("""COMPUTED_VALUE"""),"Coordenação Nacional de Articulação das Comunidades Negras Rurais Quilombolas (CONAQ)")</f>
        <v/>
      </c>
      <c r="B210" s="78">
        <f>IFERROR(__xludf.DUMMYFUNCTION("""COMPUTED_VALUE"""),"Amazonia")</f>
        <v/>
      </c>
    </row>
    <row r="211">
      <c r="A211" s="78">
        <f>IFERROR(__xludf.DUMMYFUNCTION("""COMPUTED_VALUE"""),"Coordenação Nacional de Articulação das Comunidades Negras Rurais Quilombolas (CONAQ)")</f>
        <v/>
      </c>
      <c r="B211" s="78">
        <f>IFERROR(__xludf.DUMMYFUNCTION("""COMPUTED_VALUE"""),"Caatinga")</f>
        <v/>
      </c>
    </row>
    <row r="212">
      <c r="A212" s="78">
        <f>IFERROR(__xludf.DUMMYFUNCTION("""COMPUTED_VALUE"""),"Coordenação Nacional de Articulação das Comunidades Negras Rurais Quilombolas (CONAQ)")</f>
        <v/>
      </c>
      <c r="B212" s="78">
        <f>IFERROR(__xludf.DUMMYFUNCTION("""COMPUTED_VALUE"""),"Cerrado")</f>
        <v/>
      </c>
    </row>
    <row r="213">
      <c r="A213" s="78">
        <f>IFERROR(__xludf.DUMMYFUNCTION("""COMPUTED_VALUE"""),"Movimento de Mulheres Camponesas (MMC)")</f>
        <v/>
      </c>
      <c r="B213" s="78">
        <f>IFERROR(__xludf.DUMMYFUNCTION("""COMPUTED_VALUE"""),"Amazonia")</f>
        <v/>
      </c>
    </row>
    <row r="214">
      <c r="A214" s="78">
        <f>IFERROR(__xludf.DUMMYFUNCTION("""COMPUTED_VALUE"""),"Movimento de Mulheres Camponesas (MMC)")</f>
        <v/>
      </c>
      <c r="B214" s="78">
        <f>IFERROR(__xludf.DUMMYFUNCTION("""COMPUTED_VALUE"""),"Caatinga")</f>
        <v/>
      </c>
    </row>
    <row r="215">
      <c r="A215" s="78">
        <f>IFERROR(__xludf.DUMMYFUNCTION("""COMPUTED_VALUE"""),"Movimento de Mulheres Camponesas (MMC)")</f>
        <v/>
      </c>
      <c r="B215" s="78">
        <f>IFERROR(__xludf.DUMMYFUNCTION("""COMPUTED_VALUE"""),"Cerrado")</f>
        <v/>
      </c>
    </row>
    <row r="216">
      <c r="A216" s="78">
        <f>IFERROR(__xludf.DUMMYFUNCTION("""COMPUTED_VALUE"""),"Movimento Interestadual das Quebradeiras de Coco Babaçu (MIQCB)")</f>
        <v/>
      </c>
      <c r="B216" s="78">
        <f>IFERROR(__xludf.DUMMYFUNCTION("""COMPUTED_VALUE"""),"Amazonia")</f>
        <v/>
      </c>
    </row>
    <row r="217">
      <c r="A217" s="78">
        <f>IFERROR(__xludf.DUMMYFUNCTION("""COMPUTED_VALUE"""),"Movimento Interestadual das Quebradeiras de Coco Babaçu (MIQCB)")</f>
        <v/>
      </c>
      <c r="B217" s="78">
        <f>IFERROR(__xludf.DUMMYFUNCTION("""COMPUTED_VALUE"""),"Cerrado")</f>
        <v/>
      </c>
    </row>
    <row r="218">
      <c r="A218" s="78">
        <f>IFERROR(__xludf.DUMMYFUNCTION("""COMPUTED_VALUE"""),"Conselho Pastoral dos Pescadores (CPP)")</f>
        <v/>
      </c>
      <c r="B218" s="78">
        <f>IFERROR(__xludf.DUMMYFUNCTION("""COMPUTED_VALUE"""),"Amazonia")</f>
        <v/>
      </c>
    </row>
    <row r="219">
      <c r="A219" s="78">
        <f>IFERROR(__xludf.DUMMYFUNCTION("""COMPUTED_VALUE"""),"Articulação dos Povos Indígenas do Nordeste, Minas Gerais e Espírito Santo (APOINME)")</f>
        <v/>
      </c>
      <c r="B219" s="78">
        <f>IFERROR(__xludf.DUMMYFUNCTION("""COMPUTED_VALUE"""),"Caatinga")</f>
        <v/>
      </c>
    </row>
    <row r="220">
      <c r="A220" s="78">
        <f>IFERROR(__xludf.DUMMYFUNCTION("""COMPUTED_VALUE"""),"Federação das Organizações Indígenas do Rio Negro (FOIRN)")</f>
        <v/>
      </c>
      <c r="B220" s="78">
        <f>IFERROR(__xludf.DUMMYFUNCTION("""COMPUTED_VALUE"""),"Amazonia")</f>
        <v/>
      </c>
    </row>
    <row r="221">
      <c r="A221" s="78">
        <f>IFERROR(__xludf.DUMMYFUNCTION("""COMPUTED_VALUE"""),"Conselho Indígena de Roraima (CIR)")</f>
        <v/>
      </c>
      <c r="B221" s="78">
        <f>IFERROR(__xludf.DUMMYFUNCTION("""COMPUTED_VALUE"""),"Amazonia")</f>
        <v/>
      </c>
    </row>
    <row r="222">
      <c r="A222" s="78">
        <f>IFERROR(__xludf.DUMMYFUNCTION("""COMPUTED_VALUE"""),"Conselho Indígena de Roraima (CIR)")</f>
        <v/>
      </c>
      <c r="B222" s="78">
        <f>IFERROR(__xludf.DUMMYFUNCTION("""COMPUTED_VALUE"""),"Cerrado")</f>
        <v/>
      </c>
    </row>
    <row r="223">
      <c r="A223" s="78">
        <f>IFERROR(__xludf.DUMMYFUNCTION("""COMPUTED_VALUE"""),"Hutukara Associação Yanomami (HAY)")</f>
        <v/>
      </c>
      <c r="B223" s="78">
        <f>IFERROR(__xludf.DUMMYFUNCTION("""COMPUTED_VALUE"""),"Amazonia")</f>
        <v/>
      </c>
    </row>
    <row r="224">
      <c r="A224" s="78">
        <f>IFERROR(__xludf.DUMMYFUNCTION("""COMPUTED_VALUE"""),"Movimento Xingu Vivo para Sempre")</f>
        <v/>
      </c>
      <c r="B224" s="78">
        <f>IFERROR(__xludf.DUMMYFUNCTION("""COMPUTED_VALUE"""),"Amazonia")</f>
        <v/>
      </c>
    </row>
    <row r="225">
      <c r="A225" s="78">
        <f>IFERROR(__xludf.DUMMYFUNCTION("""COMPUTED_VALUE"""),"Movimento Xingu Vivo para Sempre")</f>
        <v/>
      </c>
      <c r="B225" s="78">
        <f>IFERROR(__xludf.DUMMYFUNCTION("""COMPUTED_VALUE"""),"Cerrado")</f>
        <v/>
      </c>
    </row>
    <row r="226">
      <c r="A226" s="78">
        <f>IFERROR(__xludf.DUMMYFUNCTION("""COMPUTED_VALUE"""),"Rede Xingu+ (Rede Xingu+)")</f>
        <v/>
      </c>
      <c r="B226" s="78">
        <f>IFERROR(__xludf.DUMMYFUNCTION("""COMPUTED_VALUE"""),"Amazonia")</f>
        <v/>
      </c>
    </row>
    <row r="227">
      <c r="A227" s="78">
        <f>IFERROR(__xludf.DUMMYFUNCTION("""COMPUTED_VALUE"""),"Rede Xingu+ (Rede Xingu+)")</f>
        <v/>
      </c>
      <c r="B227" s="78">
        <f>IFERROR(__xludf.DUMMYFUNCTION("""COMPUTED_VALUE"""),"Cerrado")</f>
        <v/>
      </c>
    </row>
    <row r="228">
      <c r="A228" s="78">
        <f>IFERROR(__xludf.DUMMYFUNCTION("""COMPUTED_VALUE"""),"Movimento Tapajós Vivo")</f>
        <v/>
      </c>
      <c r="B228" s="78">
        <f>IFERROR(__xludf.DUMMYFUNCTION("""COMPUTED_VALUE"""),"Amazonia")</f>
        <v/>
      </c>
    </row>
    <row r="229">
      <c r="A229" s="78">
        <f>IFERROR(__xludf.DUMMYFUNCTION("""COMPUTED_VALUE"""),"Movimento Atingidos pelas Renováveis (MAR)")</f>
        <v/>
      </c>
      <c r="B229" s="78">
        <f>IFERROR(__xludf.DUMMYFUNCTION("""COMPUTED_VALUE"""),"Caatinga")</f>
        <v/>
      </c>
    </row>
    <row r="230">
      <c r="A230" s="78">
        <f>IFERROR(__xludf.DUMMYFUNCTION("""COMPUTED_VALUE"""),"Movimento Atingidos pelas Renováveis (MAR)")</f>
        <v/>
      </c>
      <c r="B230" s="78">
        <f>IFERROR(__xludf.DUMMYFUNCTION("""COMPUTED_VALUE"""),"Cerrado")</f>
        <v/>
      </c>
    </row>
    <row r="231">
      <c r="A231" s="78">
        <f>IFERROR(__xludf.DUMMYFUNCTION("""COMPUTED_VALUE"""),"Seridó Vivo (Seridó Vivo)")</f>
        <v/>
      </c>
      <c r="B231" s="78">
        <f>IFERROR(__xludf.DUMMYFUNCTION("""COMPUTED_VALUE"""),"Caatinga")</f>
        <v/>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B137"/>
  <sheetViews>
    <sheetView workbookViewId="0">
      <selection activeCell="A1" sqref="A1"/>
    </sheetView>
  </sheetViews>
  <sheetFormatPr baseColWidth="8" defaultColWidth="12.63" defaultRowHeight="15.75" customHeight="1"/>
  <cols>
    <col width="74.63" customWidth="1" style="84" min="1" max="1"/>
    <col width="22.25" customWidth="1" style="84" min="2" max="2"/>
  </cols>
  <sheetData>
    <row r="1">
      <c r="A1" s="78">
        <f>IFERROR(__xludf.DUMMYFUNCTION("ARRAYFORMULA(QUERY(SUBSTITUTE(SPLIT(FLATTEN(Data_Looker!B1:B339 &amp; ""|"" &amp; SPLIT(SUBSTITUTE(Data_Looker!I1:I339, ""Land, Food and Forest"", ""PROTEGER1""), "", "", FALSE)), ""|""), ""PROTEGER1"", ""Land, Food and Forest""), ""where Col2 &lt;&gt; ''""))"),"Stakeholder ")</f>
        <v/>
      </c>
      <c r="B1" s="78">
        <f>IFERROR(__xludf.DUMMYFUNCTION("""COMPUTED_VALUE"""),"Secondary Territory lens
(Biome) ")</f>
        <v/>
      </c>
    </row>
    <row r="2">
      <c r="A2" s="78">
        <f>IFERROR(__xludf.DUMMYFUNCTION("""COMPUTED_VALUE"""),"Fundo Brasileiro para a Biodiversidade (FUNBIO)")</f>
        <v/>
      </c>
      <c r="B2" s="78">
        <f>IFERROR(__xludf.DUMMYFUNCTION("""COMPUTED_VALUE"""),"Mata&amp;Atlântica")</f>
        <v/>
      </c>
    </row>
    <row r="3">
      <c r="A3" s="78">
        <f>IFERROR(__xludf.DUMMYFUNCTION("""COMPUTED_VALUE"""),"Fundo Brasileiro para a Biodiversidade (FUNBIO)")</f>
        <v/>
      </c>
      <c r="B3" s="78">
        <f>IFERROR(__xludf.DUMMYFUNCTION("""COMPUTED_VALUE"""),"Pantanal")</f>
        <v/>
      </c>
    </row>
    <row r="4">
      <c r="A4" s="78">
        <f>IFERROR(__xludf.DUMMYFUNCTION("""COMPUTED_VALUE"""),"Fundo Brasileiro para a Biodiversidade (FUNBIO)")</f>
        <v/>
      </c>
      <c r="B4" s="78">
        <f>IFERROR(__xludf.DUMMYFUNCTION("""COMPUTED_VALUE"""),"Pampa")</f>
        <v/>
      </c>
    </row>
    <row r="5">
      <c r="A5" s="78">
        <f>IFERROR(__xludf.DUMMYFUNCTION("""COMPUTED_VALUE"""),"Fundo Brasileiro para a Biodiversidade (FUNBIO)")</f>
        <v/>
      </c>
      <c r="B5" s="78">
        <f>IFERROR(__xludf.DUMMYFUNCTION("""COMPUTED_VALUE"""),"Coastal&amp;maritime")</f>
        <v/>
      </c>
    </row>
    <row r="6">
      <c r="A6" s="78">
        <f>IFERROR(__xludf.DUMMYFUNCTION("""COMPUTED_VALUE"""),"Instituto Clima e Sociedade (iCS)")</f>
        <v/>
      </c>
      <c r="B6" s="78">
        <f>IFERROR(__xludf.DUMMYFUNCTION("""COMPUTED_VALUE"""),"Mata&amp;Atlântica")</f>
        <v/>
      </c>
    </row>
    <row r="7">
      <c r="A7" s="78">
        <f>IFERROR(__xludf.DUMMYFUNCTION("""COMPUTED_VALUE"""),"Instituto Clima e Sociedade (iCS)")</f>
        <v/>
      </c>
      <c r="B7" s="78">
        <f>IFERROR(__xludf.DUMMYFUNCTION("""COMPUTED_VALUE"""),"Pantanal")</f>
        <v/>
      </c>
    </row>
    <row r="8">
      <c r="A8" s="78">
        <f>IFERROR(__xludf.DUMMYFUNCTION("""COMPUTED_VALUE"""),"Instituto Clima e Sociedade (iCS)")</f>
        <v/>
      </c>
      <c r="B8" s="78">
        <f>IFERROR(__xludf.DUMMYFUNCTION("""COMPUTED_VALUE"""),"Pampa")</f>
        <v/>
      </c>
    </row>
    <row r="9">
      <c r="A9" s="78">
        <f>IFERROR(__xludf.DUMMYFUNCTION("""COMPUTED_VALUE"""),"Instituto Clima e Sociedade (iCS)")</f>
        <v/>
      </c>
      <c r="B9" s="78">
        <f>IFERROR(__xludf.DUMMYFUNCTION("""COMPUTED_VALUE"""),"Coastal&amp;maritime")</f>
        <v/>
      </c>
    </row>
    <row r="10">
      <c r="A10" s="78">
        <f>IFERROR(__xludf.DUMMYFUNCTION("""COMPUTED_VALUE"""),"Instituto Ethos")</f>
        <v/>
      </c>
      <c r="B10" s="78">
        <f>IFERROR(__xludf.DUMMYFUNCTION("""COMPUTED_VALUE"""),"Mata&amp;Atlântica")</f>
        <v/>
      </c>
    </row>
    <row r="11">
      <c r="A11" s="78">
        <f>IFERROR(__xludf.DUMMYFUNCTION("""COMPUTED_VALUE"""),"Instituto Ethos")</f>
        <v/>
      </c>
      <c r="B11" s="78">
        <f>IFERROR(__xludf.DUMMYFUNCTION("""COMPUTED_VALUE"""),"Pantanal")</f>
        <v/>
      </c>
    </row>
    <row r="12">
      <c r="A12" s="78">
        <f>IFERROR(__xludf.DUMMYFUNCTION("""COMPUTED_VALUE"""),"Instituto Ethos")</f>
        <v/>
      </c>
      <c r="B12" s="78">
        <f>IFERROR(__xludf.DUMMYFUNCTION("""COMPUTED_VALUE"""),"Pampa")</f>
        <v/>
      </c>
    </row>
    <row r="13">
      <c r="A13" s="78">
        <f>IFERROR(__xludf.DUMMYFUNCTION("""COMPUTED_VALUE"""),"Instituto Ethos")</f>
        <v/>
      </c>
      <c r="B13" s="78">
        <f>IFERROR(__xludf.DUMMYFUNCTION("""COMPUTED_VALUE"""),"Coastal&amp;maritime")</f>
        <v/>
      </c>
    </row>
    <row r="14">
      <c r="A14" s="78">
        <f>IFERROR(__xludf.DUMMYFUNCTION("""COMPUTED_VALUE"""),"Instituto Climate Ventures Brasil (Climate Ventures)")</f>
        <v/>
      </c>
      <c r="B14" s="78">
        <f>IFERROR(__xludf.DUMMYFUNCTION("""COMPUTED_VALUE"""),"Mata&amp;Atlântica")</f>
        <v/>
      </c>
    </row>
    <row r="15">
      <c r="A15" s="78">
        <f>IFERROR(__xludf.DUMMYFUNCTION("""COMPUTED_VALUE"""),"Instituto Climate Ventures Brasil (Climate Ventures)")</f>
        <v/>
      </c>
      <c r="B15" s="78">
        <f>IFERROR(__xludf.DUMMYFUNCTION("""COMPUTED_VALUE"""),"Pantanal")</f>
        <v/>
      </c>
    </row>
    <row r="16">
      <c r="A16" s="78">
        <f>IFERROR(__xludf.DUMMYFUNCTION("""COMPUTED_VALUE"""),"Instituto Climate Ventures Brasil (Climate Ventures)")</f>
        <v/>
      </c>
      <c r="B16" s="78">
        <f>IFERROR(__xludf.DUMMYFUNCTION("""COMPUTED_VALUE"""),"Pampa")</f>
        <v/>
      </c>
    </row>
    <row r="17">
      <c r="A17" s="78">
        <f>IFERROR(__xludf.DUMMYFUNCTION("""COMPUTED_VALUE"""),"Instituto Climate Ventures Brasil (Climate Ventures)")</f>
        <v/>
      </c>
      <c r="B17" s="78">
        <f>IFERROR(__xludf.DUMMYFUNCTION("""COMPUTED_VALUE"""),"Coastal&amp;maritime")</f>
        <v/>
      </c>
    </row>
    <row r="18">
      <c r="A18" s="78">
        <f>IFERROR(__xludf.DUMMYFUNCTION("""COMPUTED_VALUE"""),"Fundação Tide Setúbal")</f>
        <v/>
      </c>
      <c r="B18" s="78">
        <f>IFERROR(__xludf.DUMMYFUNCTION("""COMPUTED_VALUE"""),"Mata&amp;Atlântica")</f>
        <v/>
      </c>
    </row>
    <row r="19">
      <c r="A19" s="78">
        <f>IFERROR(__xludf.DUMMYFUNCTION("""COMPUTED_VALUE"""),"Instituto Talanoa")</f>
        <v/>
      </c>
      <c r="B19" s="78">
        <f>IFERROR(__xludf.DUMMYFUNCTION("""COMPUTED_VALUE"""),"Mata&amp;Atlântica")</f>
        <v/>
      </c>
    </row>
    <row r="20">
      <c r="A20" s="78">
        <f>IFERROR(__xludf.DUMMYFUNCTION("""COMPUTED_VALUE"""),"Instituto Talanoa")</f>
        <v/>
      </c>
      <c r="B20" s="78">
        <f>IFERROR(__xludf.DUMMYFUNCTION("""COMPUTED_VALUE"""),"Pantanal")</f>
        <v/>
      </c>
    </row>
    <row r="21">
      <c r="A21" s="78">
        <f>IFERROR(__xludf.DUMMYFUNCTION("""COMPUTED_VALUE"""),"Instituto Talanoa")</f>
        <v/>
      </c>
      <c r="B21" s="78">
        <f>IFERROR(__xludf.DUMMYFUNCTION("""COMPUTED_VALUE"""),"Pampa")</f>
        <v/>
      </c>
    </row>
    <row r="22">
      <c r="A22" s="78">
        <f>IFERROR(__xludf.DUMMYFUNCTION("""COMPUTED_VALUE"""),"Instituto Talanoa")</f>
        <v/>
      </c>
      <c r="B22" s="78">
        <f>IFERROR(__xludf.DUMMYFUNCTION("""COMPUTED_VALUE"""),"Coastal&amp;maritime")</f>
        <v/>
      </c>
    </row>
    <row r="23">
      <c r="A23" s="78">
        <f>IFERROR(__xludf.DUMMYFUNCTION("""COMPUTED_VALUE"""),"Instituto Alana")</f>
        <v/>
      </c>
      <c r="B23" s="78">
        <f>IFERROR(__xludf.DUMMYFUNCTION("""COMPUTED_VALUE"""),"Mata&amp;Atlântica")</f>
        <v/>
      </c>
    </row>
    <row r="24">
      <c r="A24" s="78">
        <f>IFERROR(__xludf.DUMMYFUNCTION("""COMPUTED_VALUE"""),"Instituto Arapyaú")</f>
        <v/>
      </c>
      <c r="B24" s="78">
        <f>IFERROR(__xludf.DUMMYFUNCTION("""COMPUTED_VALUE"""),"Mata&amp;Atlântica")</f>
        <v/>
      </c>
    </row>
    <row r="25">
      <c r="A25" s="78">
        <f>IFERROR(__xludf.DUMMYFUNCTION("""COMPUTED_VALUE"""),"Instituto Semeia")</f>
        <v/>
      </c>
      <c r="B25" s="78">
        <f>IFERROR(__xludf.DUMMYFUNCTION("""COMPUTED_VALUE"""),"Mata&amp;Atlântica")</f>
        <v/>
      </c>
    </row>
    <row r="26">
      <c r="A26" s="78">
        <f>IFERROR(__xludf.DUMMYFUNCTION("""COMPUTED_VALUE"""),"Instituto Semeia")</f>
        <v/>
      </c>
      <c r="B26" s="78">
        <f>IFERROR(__xludf.DUMMYFUNCTION("""COMPUTED_VALUE"""),"Pantanal")</f>
        <v/>
      </c>
    </row>
    <row r="27">
      <c r="A27" s="78">
        <f>IFERROR(__xludf.DUMMYFUNCTION("""COMPUTED_VALUE"""),"Instituto Semeia")</f>
        <v/>
      </c>
      <c r="B27" s="78">
        <f>IFERROR(__xludf.DUMMYFUNCTION("""COMPUTED_VALUE"""),"Pampa")</f>
        <v/>
      </c>
    </row>
    <row r="28">
      <c r="A28" s="78">
        <f>IFERROR(__xludf.DUMMYFUNCTION("""COMPUTED_VALUE"""),"Instituto Semeia")</f>
        <v/>
      </c>
      <c r="B28" s="78">
        <f>IFERROR(__xludf.DUMMYFUNCTION("""COMPUTED_VALUE"""),"Coastal&amp;maritime")</f>
        <v/>
      </c>
    </row>
    <row r="29">
      <c r="A29" s="78">
        <f>IFERROR(__xludf.DUMMYFUNCTION("""COMPUTED_VALUE"""),"Alcoa")</f>
        <v/>
      </c>
      <c r="B29" s="78">
        <f>IFERROR(__xludf.DUMMYFUNCTION("""COMPUTED_VALUE"""),"Coastal&amp;maritime")</f>
        <v/>
      </c>
    </row>
    <row r="30">
      <c r="A30" s="78">
        <f>IFERROR(__xludf.DUMMYFUNCTION("""COMPUTED_VALUE"""),"Norsk Hydro ASA (Hydro)")</f>
        <v/>
      </c>
      <c r="B30" s="78">
        <f>IFERROR(__xludf.DUMMYFUNCTION("""COMPUTED_VALUE"""),"Coastal&amp;maritime")</f>
        <v/>
      </c>
    </row>
    <row r="31">
      <c r="A31" s="78">
        <f>IFERROR(__xludf.DUMMYFUNCTION("""COMPUTED_VALUE"""),"Instituto Socioambiental (ISA)")</f>
        <v/>
      </c>
      <c r="B31" s="78">
        <f>IFERROR(__xludf.DUMMYFUNCTION("""COMPUTED_VALUE"""),"Mata&amp;Atlântica")</f>
        <v/>
      </c>
    </row>
    <row r="32">
      <c r="A32" s="78">
        <f>IFERROR(__xludf.DUMMYFUNCTION("""COMPUTED_VALUE"""),"The Nature Conservancy Brasil (TNC Brasil)")</f>
        <v/>
      </c>
      <c r="B32" s="78">
        <f>IFERROR(__xludf.DUMMYFUNCTION("""COMPUTED_VALUE"""),"Mata&amp;Atlântica")</f>
        <v/>
      </c>
    </row>
    <row r="33">
      <c r="A33" s="78">
        <f>IFERROR(__xludf.DUMMYFUNCTION("""COMPUTED_VALUE"""),"The Nature Conservancy Brasil (TNC Brasil)")</f>
        <v/>
      </c>
      <c r="B33" s="78">
        <f>IFERROR(__xludf.DUMMYFUNCTION("""COMPUTED_VALUE"""),"Coastal&amp;maritime")</f>
        <v/>
      </c>
    </row>
    <row r="34">
      <c r="A34" s="78">
        <f>IFERROR(__xludf.DUMMYFUNCTION("""COMPUTED_VALUE"""),"Conservação Internacional Brasil (CI-Brasil)")</f>
        <v/>
      </c>
      <c r="B34" s="78">
        <f>IFERROR(__xludf.DUMMYFUNCTION("""COMPUTED_VALUE"""),"Mata&amp;Atlântica")</f>
        <v/>
      </c>
    </row>
    <row r="35">
      <c r="A35" s="78">
        <f>IFERROR(__xludf.DUMMYFUNCTION("""COMPUTED_VALUE"""),"Conservação Internacional Brasil (CI-Brasil)")</f>
        <v/>
      </c>
      <c r="B35" s="78">
        <f>IFERROR(__xludf.DUMMYFUNCTION("""COMPUTED_VALUE"""),"Coastal&amp;maritime")</f>
        <v/>
      </c>
    </row>
    <row r="36">
      <c r="A36" s="78">
        <f>IFERROR(__xludf.DUMMYFUNCTION("""COMPUTED_VALUE"""),"WWF-Brasil")</f>
        <v/>
      </c>
      <c r="B36" s="78">
        <f>IFERROR(__xludf.DUMMYFUNCTION("""COMPUTED_VALUE"""),"Pantanal")</f>
        <v/>
      </c>
    </row>
    <row r="37">
      <c r="A37" s="78">
        <f>IFERROR(__xludf.DUMMYFUNCTION("""COMPUTED_VALUE"""),"WWF-Brasil")</f>
        <v/>
      </c>
      <c r="B37" s="78">
        <f>IFERROR(__xludf.DUMMYFUNCTION("""COMPUTED_VALUE"""),"Mata&amp;Atlântica")</f>
        <v/>
      </c>
    </row>
    <row r="38">
      <c r="A38" s="78">
        <f>IFERROR(__xludf.DUMMYFUNCTION("""COMPUTED_VALUE"""),"WRI Brasil")</f>
        <v/>
      </c>
      <c r="B38" s="78">
        <f>IFERROR(__xludf.DUMMYFUNCTION("""COMPUTED_VALUE"""),"Mata&amp;Atlântica")</f>
        <v/>
      </c>
    </row>
    <row r="39">
      <c r="A39" s="78">
        <f>IFERROR(__xludf.DUMMYFUNCTION("""COMPUTED_VALUE"""),"Fundação SOS Mata Atlântica")</f>
        <v/>
      </c>
      <c r="B39" s="78">
        <f>IFERROR(__xludf.DUMMYFUNCTION("""COMPUTED_VALUE"""),"Mata&amp;Atlântica")</f>
        <v/>
      </c>
    </row>
    <row r="40">
      <c r="A40" s="78">
        <f>IFERROR(__xludf.DUMMYFUNCTION("""COMPUTED_VALUE"""),"Empresa Brasileira de Pesquisa Agropecuária (Embrapa)")</f>
        <v/>
      </c>
      <c r="B40" s="78">
        <f>IFERROR(__xludf.DUMMYFUNCTION("""COMPUTED_VALUE"""),"Mata&amp;Atlântica")</f>
        <v/>
      </c>
    </row>
    <row r="41">
      <c r="A41" s="78">
        <f>IFERROR(__xludf.DUMMYFUNCTION("""COMPUTED_VALUE"""),"Empresa Brasileira de Pesquisa Agropecuária (Embrapa)")</f>
        <v/>
      </c>
      <c r="B41" s="78">
        <f>IFERROR(__xludf.DUMMYFUNCTION("""COMPUTED_VALUE"""),"Pantanal")</f>
        <v/>
      </c>
    </row>
    <row r="42">
      <c r="A42" s="78">
        <f>IFERROR(__xludf.DUMMYFUNCTION("""COMPUTED_VALUE"""),"Empresa Brasileira de Pesquisa Agropecuária (Embrapa)")</f>
        <v/>
      </c>
      <c r="B42" s="78">
        <f>IFERROR(__xludf.DUMMYFUNCTION("""COMPUTED_VALUE"""),"Pampa")</f>
        <v/>
      </c>
    </row>
    <row r="43">
      <c r="A43" s="78">
        <f>IFERROR(__xludf.DUMMYFUNCTION("""COMPUTED_VALUE"""),"Empresa Brasileira de Pesquisa Agropecuária (Embrapa)")</f>
        <v/>
      </c>
      <c r="B43" s="78">
        <f>IFERROR(__xludf.DUMMYFUNCTION("""COMPUTED_VALUE"""),"Coastal&amp;maritime")</f>
        <v/>
      </c>
    </row>
    <row r="44">
      <c r="A44" s="78">
        <f>IFERROR(__xludf.DUMMYFUNCTION("""COMPUTED_VALUE"""),"Instituto Brasileiro do Meio Ambiente e dos Recursos Naturais Renováveis (Ibama)")</f>
        <v/>
      </c>
      <c r="B44" s="78">
        <f>IFERROR(__xludf.DUMMYFUNCTION("""COMPUTED_VALUE"""),"Mata&amp;Atlântica")</f>
        <v/>
      </c>
    </row>
    <row r="45">
      <c r="A45" s="78">
        <f>IFERROR(__xludf.DUMMYFUNCTION("""COMPUTED_VALUE"""),"Instituto Brasileiro do Meio Ambiente e dos Recursos Naturais Renováveis (Ibama)")</f>
        <v/>
      </c>
      <c r="B45" s="78">
        <f>IFERROR(__xludf.DUMMYFUNCTION("""COMPUTED_VALUE"""),"Pantanal")</f>
        <v/>
      </c>
    </row>
    <row r="46">
      <c r="A46" s="78">
        <f>IFERROR(__xludf.DUMMYFUNCTION("""COMPUTED_VALUE"""),"Instituto Brasileiro do Meio Ambiente e dos Recursos Naturais Renováveis (Ibama)")</f>
        <v/>
      </c>
      <c r="B46" s="78">
        <f>IFERROR(__xludf.DUMMYFUNCTION("""COMPUTED_VALUE"""),"Pampa")</f>
        <v/>
      </c>
    </row>
    <row r="47">
      <c r="A47" s="78">
        <f>IFERROR(__xludf.DUMMYFUNCTION("""COMPUTED_VALUE"""),"Instituto Brasileiro do Meio Ambiente e dos Recursos Naturais Renováveis (Ibama)")</f>
        <v/>
      </c>
      <c r="B47" s="78">
        <f>IFERROR(__xludf.DUMMYFUNCTION("""COMPUTED_VALUE"""),"Coastal&amp;maritime")</f>
        <v/>
      </c>
    </row>
    <row r="48">
      <c r="A48" s="78">
        <f>IFERROR(__xludf.DUMMYFUNCTION("""COMPUTED_VALUE"""),"Instituto Chico Mendes de Conservação da Biodiversidade (ICMBio)")</f>
        <v/>
      </c>
      <c r="B48" s="78">
        <f>IFERROR(__xludf.DUMMYFUNCTION("""COMPUTED_VALUE"""),"Mata&amp;Atlântica")</f>
        <v/>
      </c>
    </row>
    <row r="49">
      <c r="A49" s="78">
        <f>IFERROR(__xludf.DUMMYFUNCTION("""COMPUTED_VALUE"""),"Instituto Chico Mendes de Conservação da Biodiversidade (ICMBio)")</f>
        <v/>
      </c>
      <c r="B49" s="78">
        <f>IFERROR(__xludf.DUMMYFUNCTION("""COMPUTED_VALUE"""),"Pantanal")</f>
        <v/>
      </c>
    </row>
    <row r="50">
      <c r="A50" s="78">
        <f>IFERROR(__xludf.DUMMYFUNCTION("""COMPUTED_VALUE"""),"Instituto Chico Mendes de Conservação da Biodiversidade (ICMBio)")</f>
        <v/>
      </c>
      <c r="B50" s="78">
        <f>IFERROR(__xludf.DUMMYFUNCTION("""COMPUTED_VALUE"""),"Pampa")</f>
        <v/>
      </c>
    </row>
    <row r="51">
      <c r="A51" s="78">
        <f>IFERROR(__xludf.DUMMYFUNCTION("""COMPUTED_VALUE"""),"Instituto Chico Mendes de Conservação da Biodiversidade (ICMBio)")</f>
        <v/>
      </c>
      <c r="B51" s="78">
        <f>IFERROR(__xludf.DUMMYFUNCTION("""COMPUTED_VALUE"""),"Coastal&amp;maritime")</f>
        <v/>
      </c>
    </row>
    <row r="52">
      <c r="A52" s="78">
        <f>IFERROR(__xludf.DUMMYFUNCTION("""COMPUTED_VALUE"""),"Instituto de Manejo e Certificação Florestal e Agrícola (Imaflora)")</f>
        <v/>
      </c>
      <c r="B52" s="78">
        <f>IFERROR(__xludf.DUMMYFUNCTION("""COMPUTED_VALUE"""),"Mata&amp;Atlântica")</f>
        <v/>
      </c>
    </row>
    <row r="53">
      <c r="A53" s="78">
        <f>IFERROR(__xludf.DUMMYFUNCTION("""COMPUTED_VALUE"""),"Instituto de Manejo e Certificação Florestal e Agrícola (Imaflora)")</f>
        <v/>
      </c>
      <c r="B53" s="78">
        <f>IFERROR(__xludf.DUMMYFUNCTION("""COMPUTED_VALUE"""),"Pampa")</f>
        <v/>
      </c>
    </row>
    <row r="54">
      <c r="A54" s="78">
        <f>IFERROR(__xludf.DUMMYFUNCTION("""COMPUTED_VALUE"""),"Vale S.A.")</f>
        <v/>
      </c>
      <c r="B54" s="78">
        <f>IFERROR(__xludf.DUMMYFUNCTION("""COMPUTED_VALUE"""),"Mata&amp;Atlântica")</f>
        <v/>
      </c>
    </row>
    <row r="55">
      <c r="A55" s="78">
        <f>IFERROR(__xludf.DUMMYFUNCTION("""COMPUTED_VALUE"""),"Suzano S.A.")</f>
        <v/>
      </c>
      <c r="B55" s="78">
        <f>IFERROR(__xludf.DUMMYFUNCTION("""COMPUTED_VALUE"""),"Mata&amp;Atlântica")</f>
        <v/>
      </c>
    </row>
    <row r="56">
      <c r="A56" s="78">
        <f>IFERROR(__xludf.DUMMYFUNCTION("""COMPUTED_VALUE"""),"Instituto Conexões Sustentáveis (Conexsus)")</f>
        <v/>
      </c>
      <c r="B56" s="78">
        <f>IFERROR(__xludf.DUMMYFUNCTION("""COMPUTED_VALUE"""),"Mata&amp;Atlântica")</f>
        <v/>
      </c>
    </row>
    <row r="57">
      <c r="A57" s="78">
        <f>IFERROR(__xludf.DUMMYFUNCTION("""COMPUTED_VALUE"""),"Instituto Conexões Sustentáveis (Conexsus)")</f>
        <v/>
      </c>
      <c r="B57" s="78">
        <f>IFERROR(__xludf.DUMMYFUNCTION("""COMPUTED_VALUE"""),"Pampa")</f>
        <v/>
      </c>
    </row>
    <row r="58">
      <c r="A58" s="78">
        <f>IFERROR(__xludf.DUMMYFUNCTION("""COMPUTED_VALUE"""),"Fundação Grupo Boticário de Proteção à Natureza")</f>
        <v/>
      </c>
      <c r="B58" s="78">
        <f>IFERROR(__xludf.DUMMYFUNCTION("""COMPUTED_VALUE"""),"Mata&amp;Atlântica")</f>
        <v/>
      </c>
    </row>
    <row r="59">
      <c r="A59" s="78">
        <f>IFERROR(__xludf.DUMMYFUNCTION("""COMPUTED_VALUE"""),"Natura")</f>
        <v/>
      </c>
      <c r="B59" s="78">
        <f>IFERROR(__xludf.DUMMYFUNCTION("""COMPUTED_VALUE"""),"Mata&amp;Atlântica")</f>
        <v/>
      </c>
    </row>
    <row r="60">
      <c r="A60" s="78">
        <f>IFERROR(__xludf.DUMMYFUNCTION("""COMPUTED_VALUE"""),"Natura")</f>
        <v/>
      </c>
      <c r="B60" s="78">
        <f>IFERROR(__xludf.DUMMYFUNCTION("""COMPUTED_VALUE"""),"Pampa")</f>
        <v/>
      </c>
    </row>
    <row r="61">
      <c r="A61" s="78">
        <f>IFERROR(__xludf.DUMMYFUNCTION("""COMPUTED_VALUE"""),"Natura")</f>
        <v/>
      </c>
      <c r="B61" s="78">
        <f>IFERROR(__xludf.DUMMYFUNCTION("""COMPUTED_VALUE"""),"Pantanal")</f>
        <v/>
      </c>
    </row>
    <row r="62">
      <c r="A62" s="78">
        <f>IFERROR(__xludf.DUMMYFUNCTION("""COMPUTED_VALUE"""),"CocoaAction Brasil")</f>
        <v/>
      </c>
      <c r="B62" s="78">
        <f>IFERROR(__xludf.DUMMYFUNCTION("""COMPUTED_VALUE"""),"Mata&amp;Atlântica")</f>
        <v/>
      </c>
    </row>
    <row r="63">
      <c r="A63" s="78">
        <f>IFERROR(__xludf.DUMMYFUNCTION("""COMPUTED_VALUE"""),"Instituto de Pesquisas Ecológicas (IPÊ)")</f>
        <v/>
      </c>
      <c r="B63" s="78">
        <f>IFERROR(__xludf.DUMMYFUNCTION("""COMPUTED_VALUE"""),"Mata&amp;Atlântica")</f>
        <v/>
      </c>
    </row>
    <row r="64">
      <c r="A64" s="78">
        <f>IFERROR(__xludf.DUMMYFUNCTION("""COMPUTED_VALUE"""),"Instituto de Pesquisas Ecológicas (IPÊ)")</f>
        <v/>
      </c>
      <c r="B64" s="78">
        <f>IFERROR(__xludf.DUMMYFUNCTION("""COMPUTED_VALUE"""),"Pantanal")</f>
        <v/>
      </c>
    </row>
    <row r="65">
      <c r="A65" s="78">
        <f>IFERROR(__xludf.DUMMYFUNCTION("""COMPUTED_VALUE"""),"Fundação Nacional dos Povos Indígenas (FUNAI)")</f>
        <v/>
      </c>
      <c r="B65" s="78">
        <f>IFERROR(__xludf.DUMMYFUNCTION("""COMPUTED_VALUE"""),"Mata&amp;Atlântica")</f>
        <v/>
      </c>
    </row>
    <row r="66">
      <c r="A66" s="78">
        <f>IFERROR(__xludf.DUMMYFUNCTION("""COMPUTED_VALUE"""),"Fundação Nacional dos Povos Indígenas (FUNAI)")</f>
        <v/>
      </c>
      <c r="B66" s="78">
        <f>IFERROR(__xludf.DUMMYFUNCTION("""COMPUTED_VALUE"""),"Pantanal")</f>
        <v/>
      </c>
    </row>
    <row r="67">
      <c r="A67" s="78">
        <f>IFERROR(__xludf.DUMMYFUNCTION("""COMPUTED_VALUE"""),"Fundação Nacional dos Povos Indígenas (FUNAI)")</f>
        <v/>
      </c>
      <c r="B67" s="78">
        <f>IFERROR(__xludf.DUMMYFUNCTION("""COMPUTED_VALUE"""),"Pampa")</f>
        <v/>
      </c>
    </row>
    <row r="68">
      <c r="A68" s="78">
        <f>IFERROR(__xludf.DUMMYFUNCTION("""COMPUTED_VALUE"""),"Fundação Nacional dos Povos Indígenas (FUNAI)")</f>
        <v/>
      </c>
      <c r="B68" s="78">
        <f>IFERROR(__xludf.DUMMYFUNCTION("""COMPUTED_VALUE"""),"Coastal&amp;maritime")</f>
        <v/>
      </c>
    </row>
    <row r="69">
      <c r="A69" s="78">
        <f>IFERROR(__xludf.DUMMYFUNCTION("""COMPUTED_VALUE"""),"Instituto de Energia e Meio Ambiente (IEMA)")</f>
        <v/>
      </c>
      <c r="B69" s="78">
        <f>IFERROR(__xludf.DUMMYFUNCTION("""COMPUTED_VALUE"""),"Mata&amp;Atlântica")</f>
        <v/>
      </c>
    </row>
    <row r="70">
      <c r="A70" s="78">
        <f>IFERROR(__xludf.DUMMYFUNCTION("""COMPUTED_VALUE"""),"Instituto de Energia e Meio Ambiente (IEMA)")</f>
        <v/>
      </c>
      <c r="B70" s="78">
        <f>IFERROR(__xludf.DUMMYFUNCTION("""COMPUTED_VALUE"""),"Pantanal")</f>
        <v/>
      </c>
    </row>
    <row r="71">
      <c r="A71" s="78">
        <f>IFERROR(__xludf.DUMMYFUNCTION("""COMPUTED_VALUE"""),"Instituto E+ Transição Energética (E+)")</f>
        <v/>
      </c>
      <c r="B71" s="78">
        <f>IFERROR(__xludf.DUMMYFUNCTION("""COMPUTED_VALUE"""),"Mata&amp;Atlântica")</f>
        <v/>
      </c>
    </row>
    <row r="72">
      <c r="A72" s="78">
        <f>IFERROR(__xludf.DUMMYFUNCTION("""COMPUTED_VALUE"""),"JBS")</f>
        <v/>
      </c>
      <c r="B72" s="78">
        <f>IFERROR(__xludf.DUMMYFUNCTION("""COMPUTED_VALUE"""),"Pantanal")</f>
        <v/>
      </c>
    </row>
    <row r="73">
      <c r="A73" s="78">
        <f>IFERROR(__xludf.DUMMYFUNCTION("""COMPUTED_VALUE"""),"Marfrig")</f>
        <v/>
      </c>
      <c r="B73" s="78">
        <f>IFERROR(__xludf.DUMMYFUNCTION("""COMPUTED_VALUE"""),"Pantanal")</f>
        <v/>
      </c>
    </row>
    <row r="74">
      <c r="A74" s="78">
        <f>IFERROR(__xludf.DUMMYFUNCTION("""COMPUTED_VALUE"""),"Amaggi")</f>
        <v/>
      </c>
      <c r="B74" s="78">
        <f>IFERROR(__xludf.DUMMYFUNCTION("""COMPUTED_VALUE"""),"Pantanal")</f>
        <v/>
      </c>
    </row>
    <row r="75">
      <c r="A75" s="78">
        <f>IFERROR(__xludf.DUMMYFUNCTION("""COMPUTED_VALUE"""),"SLC Agrícola")</f>
        <v/>
      </c>
      <c r="B75" s="78">
        <f>IFERROR(__xludf.DUMMYFUNCTION("""COMPUTED_VALUE"""),"Pantanal")</f>
        <v/>
      </c>
    </row>
    <row r="76">
      <c r="A76" s="78">
        <f>IFERROR(__xludf.DUMMYFUNCTION("""COMPUTED_VALUE"""),"Good Energies Foundation")</f>
        <v/>
      </c>
      <c r="B76" s="78">
        <f>IFERROR(__xludf.DUMMYFUNCTION("""COMPUTED_VALUE"""),"Mata&amp;Atlântica")</f>
        <v/>
      </c>
    </row>
    <row r="77">
      <c r="A77" s="78">
        <f>IFERROR(__xludf.DUMMYFUNCTION("""COMPUTED_VALUE"""),"Nestlé Brasil")</f>
        <v/>
      </c>
      <c r="B77" s="78">
        <f>IFERROR(__xludf.DUMMYFUNCTION("""COMPUTED_VALUE"""),"Mata&amp;Atlântica")</f>
        <v/>
      </c>
    </row>
    <row r="78">
      <c r="A78" s="78">
        <f>IFERROR(__xludf.DUMMYFUNCTION("""COMPUTED_VALUE"""),"Serviço Florestal Brasileiro (SFB)")</f>
        <v/>
      </c>
      <c r="B78" s="78">
        <f>IFERROR(__xludf.DUMMYFUNCTION("""COMPUTED_VALUE"""),"Mata&amp;Atlântica")</f>
        <v/>
      </c>
    </row>
    <row r="79">
      <c r="A79" s="78">
        <f>IFERROR(__xludf.DUMMYFUNCTION("""COMPUTED_VALUE"""),"Klabin")</f>
        <v/>
      </c>
      <c r="B79" s="78">
        <f>IFERROR(__xludf.DUMMYFUNCTION("""COMPUTED_VALUE"""),"Mata&amp;Atlântica")</f>
        <v/>
      </c>
    </row>
    <row r="80">
      <c r="A80" s="78">
        <f>IFERROR(__xludf.DUMMYFUNCTION("""COMPUTED_VALUE"""),"Rainforest Alliance")</f>
        <v/>
      </c>
      <c r="B80" s="78">
        <f>IFERROR(__xludf.DUMMYFUNCTION("""COMPUTED_VALUE"""),"Mata&amp;Atlântica")</f>
        <v/>
      </c>
    </row>
    <row r="81">
      <c r="A81" s="78">
        <f>IFERROR(__xludf.DUMMYFUNCTION("""COMPUTED_VALUE"""),"Consórcio Nordeste")</f>
        <v/>
      </c>
      <c r="B81" s="78">
        <f>IFERROR(__xludf.DUMMYFUNCTION("""COMPUTED_VALUE"""),"Coastal&amp;maritime")</f>
        <v/>
      </c>
    </row>
    <row r="82">
      <c r="A82" s="78">
        <f>IFERROR(__xludf.DUMMYFUNCTION("""COMPUTED_VALUE"""),"Consórcio Nordeste")</f>
        <v/>
      </c>
      <c r="B82" s="78">
        <f>IFERROR(__xludf.DUMMYFUNCTION("""COMPUTED_VALUE"""),"Mata&amp;Atlântica")</f>
        <v/>
      </c>
    </row>
    <row r="83">
      <c r="A83" s="78">
        <f>IFERROR(__xludf.DUMMYFUNCTION("""COMPUTED_VALUE"""),"Associação Brasileira de Energia Eólica (ABEEólica)")</f>
        <v/>
      </c>
      <c r="B83" s="78">
        <f>IFERROR(__xludf.DUMMYFUNCTION("""COMPUTED_VALUE"""),"Coastal&amp;maritime")</f>
        <v/>
      </c>
    </row>
    <row r="84">
      <c r="A84" s="78">
        <f>IFERROR(__xludf.DUMMYFUNCTION("""COMPUTED_VALUE"""),"Superintendência do Desenvolvimento do Nordeste (SUDENE)")</f>
        <v/>
      </c>
      <c r="B84" s="78">
        <f>IFERROR(__xludf.DUMMYFUNCTION("""COMPUTED_VALUE"""),"Coastal&amp;maritime")</f>
        <v/>
      </c>
    </row>
    <row r="85">
      <c r="A85" s="78">
        <f>IFERROR(__xludf.DUMMYFUNCTION("""COMPUTED_VALUE"""),"Superintendência do Desenvolvimento do Nordeste (SUDENE)")</f>
        <v/>
      </c>
      <c r="B85" s="78">
        <f>IFERROR(__xludf.DUMMYFUNCTION("""COMPUTED_VALUE"""),"Mata&amp;Atlântica")</f>
        <v/>
      </c>
    </row>
    <row r="86">
      <c r="A86" s="78">
        <f>IFERROR(__xludf.DUMMYFUNCTION("""COMPUTED_VALUE"""),"Casa dos Ventos")</f>
        <v/>
      </c>
      <c r="B86" s="78">
        <f>IFERROR(__xludf.DUMMYFUNCTION("""COMPUTED_VALUE"""),"Coastal&amp;maritime")</f>
        <v/>
      </c>
    </row>
    <row r="87">
      <c r="A87" s="78">
        <f>IFERROR(__xludf.DUMMYFUNCTION("""COMPUTED_VALUE"""),"Voltalia Energia do Brasil (Voltalia)")</f>
        <v/>
      </c>
      <c r="B87" s="78">
        <f>IFERROR(__xludf.DUMMYFUNCTION("""COMPUTED_VALUE"""),"Coastal&amp;maritime")</f>
        <v/>
      </c>
    </row>
    <row r="88">
      <c r="A88" s="78">
        <f>IFERROR(__xludf.DUMMYFUNCTION("""COMPUTED_VALUE"""),"Complexo Industrial Portuário de Suape (Suape)")</f>
        <v/>
      </c>
      <c r="B88" s="78">
        <f>IFERROR(__xludf.DUMMYFUNCTION("""COMPUTED_VALUE"""),"Coastal&amp;maritime")</f>
        <v/>
      </c>
    </row>
    <row r="89">
      <c r="A89" s="78">
        <f>IFERROR(__xludf.DUMMYFUNCTION("""COMPUTED_VALUE"""),"Complexo do Pecém (CIPP S.A.)")</f>
        <v/>
      </c>
      <c r="B89" s="78">
        <f>IFERROR(__xludf.DUMMYFUNCTION("""COMPUTED_VALUE"""),"Coastal&amp;maritime")</f>
        <v/>
      </c>
    </row>
    <row r="90">
      <c r="A90" s="78">
        <f>IFERROR(__xludf.DUMMYFUNCTION("""COMPUTED_VALUE"""),"Câmara Setorial de Energias Renováveis do Ceará (CS Renováveis/CE)")</f>
        <v/>
      </c>
      <c r="B90" s="78">
        <f>IFERROR(__xludf.DUMMYFUNCTION("""COMPUTED_VALUE"""),"Coastal&amp;maritime")</f>
        <v/>
      </c>
    </row>
    <row r="91">
      <c r="A91" s="78">
        <f>IFERROR(__xludf.DUMMYFUNCTION("""COMPUTED_VALUE"""),"AS-PTA – Agricultura Familiar e Agroecologia (AS-PTA)")</f>
        <v/>
      </c>
      <c r="B91" s="78">
        <f>IFERROR(__xludf.DUMMYFUNCTION("""COMPUTED_VALUE"""),"Mata&amp;Atlântica")</f>
        <v/>
      </c>
    </row>
    <row r="92">
      <c r="A92" s="78">
        <f>IFERROR(__xludf.DUMMYFUNCTION("""COMPUTED_VALUE"""),"Instituto Nacional de Pesquisas Espaciais (INPE)")</f>
        <v/>
      </c>
      <c r="B92" s="78">
        <f>IFERROR(__xludf.DUMMYFUNCTION("""COMPUTED_VALUE"""),"Mata&amp;Atlântica")</f>
        <v/>
      </c>
    </row>
    <row r="93">
      <c r="A93" s="78">
        <f>IFERROR(__xludf.DUMMYFUNCTION("""COMPUTED_VALUE"""),"Instituto Nacional de Pesquisas Espaciais (INPE)")</f>
        <v/>
      </c>
      <c r="B93" s="78">
        <f>IFERROR(__xludf.DUMMYFUNCTION("""COMPUTED_VALUE"""),"Pantanal")</f>
        <v/>
      </c>
    </row>
    <row r="94">
      <c r="A94" s="78">
        <f>IFERROR(__xludf.DUMMYFUNCTION("""COMPUTED_VALUE"""),"Instituto Nacional de Pesquisas Espaciais (INPE)")</f>
        <v/>
      </c>
      <c r="B94" s="78">
        <f>IFERROR(__xludf.DUMMYFUNCTION("""COMPUTED_VALUE"""),"Pampa")</f>
        <v/>
      </c>
    </row>
    <row r="95">
      <c r="A95" s="78">
        <f>IFERROR(__xludf.DUMMYFUNCTION("""COMPUTED_VALUE"""),"Instituto Nacional de Pesquisas Espaciais (INPE)")</f>
        <v/>
      </c>
      <c r="B95" s="78">
        <f>IFERROR(__xludf.DUMMYFUNCTION("""COMPUTED_VALUE"""),"Coastal&amp;maritime")</f>
        <v/>
      </c>
    </row>
    <row r="96">
      <c r="A96" s="78">
        <f>IFERROR(__xludf.DUMMYFUNCTION("""COMPUTED_VALUE"""),"Coalizão Brasil Clima, Florestas e Agricultura")</f>
        <v/>
      </c>
      <c r="B96" s="78">
        <f>IFERROR(__xludf.DUMMYFUNCTION("""COMPUTED_VALUE"""),"Mata&amp;Atlântica")</f>
        <v/>
      </c>
    </row>
    <row r="97">
      <c r="A97" s="78">
        <f>IFERROR(__xludf.DUMMYFUNCTION("""COMPUTED_VALUE"""),"Coalizão Brasil Clima, Florestas e Agricultura")</f>
        <v/>
      </c>
      <c r="B97" s="78">
        <f>IFERROR(__xludf.DUMMYFUNCTION("""COMPUTED_VALUE"""),"Pantanal")</f>
        <v/>
      </c>
    </row>
    <row r="98">
      <c r="A98" s="78">
        <f>IFERROR(__xludf.DUMMYFUNCTION("""COMPUTED_VALUE"""),"Centro Internacional de Pesquisa Florestal e Agroflorestal (CIFOR-ICRAF)")</f>
        <v/>
      </c>
      <c r="B98" s="78">
        <f>IFERROR(__xludf.DUMMYFUNCTION("""COMPUTED_VALUE"""),"Mata&amp;Atlântica")</f>
        <v/>
      </c>
    </row>
    <row r="99">
      <c r="A99" s="78">
        <f>IFERROR(__xludf.DUMMYFUNCTION("""COMPUTED_VALUE"""),"Fundo Constitucional de Financiamento do Nordeste (FNE)")</f>
        <v/>
      </c>
      <c r="B99" s="78">
        <f>IFERROR(__xludf.DUMMYFUNCTION("""COMPUTED_VALUE"""),"Coastal&amp;maritime")</f>
        <v/>
      </c>
    </row>
    <row r="100">
      <c r="A100" s="78">
        <f>IFERROR(__xludf.DUMMYFUNCTION("""COMPUTED_VALUE"""),"Banco do Nordeste (BNB)")</f>
        <v/>
      </c>
      <c r="B100" s="78">
        <f>IFERROR(__xludf.DUMMYFUNCTION("""COMPUTED_VALUE"""),"Coastal&amp;maritime")</f>
        <v/>
      </c>
    </row>
    <row r="101">
      <c r="A101" s="78">
        <f>IFERROR(__xludf.DUMMYFUNCTION("""COMPUTED_VALUE"""),"MapBiomas (MapBiomas)")</f>
        <v/>
      </c>
      <c r="B101" s="78">
        <f>IFERROR(__xludf.DUMMYFUNCTION("""COMPUTED_VALUE"""),"Mata&amp;Atlântica")</f>
        <v/>
      </c>
    </row>
    <row r="102">
      <c r="A102" s="78">
        <f>IFERROR(__xludf.DUMMYFUNCTION("""COMPUTED_VALUE"""),"MapBiomas (MapBiomas)")</f>
        <v/>
      </c>
      <c r="B102" s="78">
        <f>IFERROR(__xludf.DUMMYFUNCTION("""COMPUTED_VALUE"""),"Pantanal")</f>
        <v/>
      </c>
    </row>
    <row r="103">
      <c r="A103" s="78">
        <f>IFERROR(__xludf.DUMMYFUNCTION("""COMPUTED_VALUE"""),"MapBiomas (MapBiomas)")</f>
        <v/>
      </c>
      <c r="B103" s="78">
        <f>IFERROR(__xludf.DUMMYFUNCTION("""COMPUTED_VALUE"""),"Pampa")</f>
        <v/>
      </c>
    </row>
    <row r="104">
      <c r="A104" s="78">
        <f>IFERROR(__xludf.DUMMYFUNCTION("""COMPUTED_VALUE"""),"MapBiomas (MapBiomas)")</f>
        <v/>
      </c>
      <c r="B104" s="78">
        <f>IFERROR(__xludf.DUMMYFUNCTION("""COMPUTED_VALUE"""),"Coastal&amp;maritime")</f>
        <v/>
      </c>
    </row>
    <row r="105">
      <c r="A105" s="78">
        <f>IFERROR(__xludf.DUMMYFUNCTION("""COMPUTED_VALUE"""),"União Nacional de Cooperativas da Agricultura Familiar e Economia Solidária (Unicafes)")</f>
        <v/>
      </c>
      <c r="B105" s="78">
        <f>IFERROR(__xludf.DUMMYFUNCTION("""COMPUTED_VALUE"""),"Mata&amp;Atlântica")</f>
        <v/>
      </c>
    </row>
    <row r="106">
      <c r="A106" s="78">
        <f>IFERROR(__xludf.DUMMYFUNCTION("""COMPUTED_VALUE"""),"União Nacional de Cooperativas da Agricultura Familiar e Economia Solidária (Unicafes)")</f>
        <v/>
      </c>
      <c r="B106" s="78">
        <f>IFERROR(__xludf.DUMMYFUNCTION("""COMPUTED_VALUE"""),"Pantanal")</f>
        <v/>
      </c>
    </row>
    <row r="107">
      <c r="A107" s="78">
        <f>IFERROR(__xludf.DUMMYFUNCTION("""COMPUTED_VALUE"""),"União Nacional de Cooperativas da Agricultura Familiar e Economia Solidária (Unicafes)")</f>
        <v/>
      </c>
      <c r="B107" s="78">
        <f>IFERROR(__xludf.DUMMYFUNCTION("""COMPUTED_VALUE"""),"Pampa")</f>
        <v/>
      </c>
    </row>
    <row r="108">
      <c r="A108" s="78">
        <f>IFERROR(__xludf.DUMMYFUNCTION("""COMPUTED_VALUE"""),"Rede Nossa São Paulo")</f>
        <v/>
      </c>
      <c r="B108" s="78">
        <f>IFERROR(__xludf.DUMMYFUNCTION("""COMPUTED_VALUE"""),"Mata&amp;Atlântica")</f>
        <v/>
      </c>
    </row>
    <row r="109">
      <c r="A109" s="78">
        <f>IFERROR(__xludf.DUMMYFUNCTION("""COMPUTED_VALUE"""),"Greenpeace Brasil")</f>
        <v/>
      </c>
      <c r="B109" s="78">
        <f>IFERROR(__xludf.DUMMYFUNCTION("""COMPUTED_VALUE"""),"Mata&amp;Atlântica")</f>
        <v/>
      </c>
    </row>
    <row r="110">
      <c r="A110" s="78">
        <f>IFERROR(__xludf.DUMMYFUNCTION("""COMPUTED_VALUE"""),"Greenpeace Brasil")</f>
        <v/>
      </c>
      <c r="B110" s="78">
        <f>IFERROR(__xludf.DUMMYFUNCTION("""COMPUTED_VALUE"""),"Pantanal")</f>
        <v/>
      </c>
    </row>
    <row r="111">
      <c r="A111" s="78">
        <f>IFERROR(__xludf.DUMMYFUNCTION("""COMPUTED_VALUE"""),"Articulação dos Povos Indígenas do Brasil (APIB)")</f>
        <v/>
      </c>
      <c r="B111" s="78">
        <f>IFERROR(__xludf.DUMMYFUNCTION("""COMPUTED_VALUE"""),"Mata&amp;Atlântica")</f>
        <v/>
      </c>
    </row>
    <row r="112">
      <c r="A112" s="78">
        <f>IFERROR(__xludf.DUMMYFUNCTION("""COMPUTED_VALUE"""),"Conselho Indigenista Missionário (CIMI)")</f>
        <v/>
      </c>
      <c r="B112" s="78">
        <f>IFERROR(__xludf.DUMMYFUNCTION("""COMPUTED_VALUE"""),"Mata&amp;Atlântica")</f>
        <v/>
      </c>
    </row>
    <row r="113">
      <c r="A113" s="78">
        <f>IFERROR(__xludf.DUMMYFUNCTION("""COMPUTED_VALUE"""),"Comissão Pastoral da Terra (CPT)")</f>
        <v/>
      </c>
      <c r="B113" s="78">
        <f>IFERROR(__xludf.DUMMYFUNCTION("""COMPUTED_VALUE"""),"Mata&amp;Atlântica")</f>
        <v/>
      </c>
    </row>
    <row r="114">
      <c r="A114" s="78">
        <f>IFERROR(__xludf.DUMMYFUNCTION("""COMPUTED_VALUE"""),"Conselho Nacional das Populações Extrativistas (CNS)")</f>
        <v/>
      </c>
      <c r="B114" s="78">
        <f>IFERROR(__xludf.DUMMYFUNCTION("""COMPUTED_VALUE"""),"Mata&amp;Atlântica")</f>
        <v/>
      </c>
    </row>
    <row r="115">
      <c r="A115" s="78">
        <f>IFERROR(__xludf.DUMMYFUNCTION("""COMPUTED_VALUE"""),"Articulação Nacional de Agroecologia (ANA)")</f>
        <v/>
      </c>
      <c r="B115" s="78">
        <f>IFERROR(__xludf.DUMMYFUNCTION("""COMPUTED_VALUE"""),"Mata&amp;Atlântica")</f>
        <v/>
      </c>
    </row>
    <row r="116">
      <c r="A116" s="78">
        <f>IFERROR(__xludf.DUMMYFUNCTION("""COMPUTED_VALUE"""),"Diaconia")</f>
        <v/>
      </c>
      <c r="B116" s="78">
        <f>IFERROR(__xludf.DUMMYFUNCTION("""COMPUTED_VALUE"""),"Coastal&amp;maritime")</f>
        <v/>
      </c>
    </row>
    <row r="117">
      <c r="A117" s="78">
        <f>IFERROR(__xludf.DUMMYFUNCTION("""COMPUTED_VALUE"""),"Cáritas Brasileira")</f>
        <v/>
      </c>
      <c r="B117" s="78">
        <f>IFERROR(__xludf.DUMMYFUNCTION("""COMPUTED_VALUE"""),"Mata&amp;Atlântica")</f>
        <v/>
      </c>
    </row>
    <row r="118">
      <c r="A118" s="78">
        <f>IFERROR(__xludf.DUMMYFUNCTION("""COMPUTED_VALUE"""),"Centro de Desenvolvimento Agroecológico Sabiá (Centro Sabiá)")</f>
        <v/>
      </c>
      <c r="B118" s="78">
        <f>IFERROR(__xludf.DUMMYFUNCTION("""COMPUTED_VALUE"""),"Mata&amp;Atlântica")</f>
        <v/>
      </c>
    </row>
    <row r="119">
      <c r="A119" s="78">
        <f>IFERROR(__xludf.DUMMYFUNCTION("""COMPUTED_VALUE"""),"Kreditanstalt für Wiederaufbau (KfW)")</f>
        <v/>
      </c>
      <c r="B119" s="78">
        <f>IFERROR(__xludf.DUMMYFUNCTION("""COMPUTED_VALUE"""),"Mata&amp;Atlântica")</f>
        <v/>
      </c>
    </row>
    <row r="120">
      <c r="A120" s="78">
        <f>IFERROR(__xludf.DUMMYFUNCTION("""COMPUTED_VALUE"""),"Movimento dos Trabalhadores Rurais Sem Terra (MST)")</f>
        <v/>
      </c>
      <c r="B120" s="78">
        <f>IFERROR(__xludf.DUMMYFUNCTION("""COMPUTED_VALUE"""),"Mata&amp;Atlântica")</f>
        <v/>
      </c>
    </row>
    <row r="121">
      <c r="A121" s="78">
        <f>IFERROR(__xludf.DUMMYFUNCTION("""COMPUTED_VALUE"""),"Movimento dos Trabalhadores Rurais Sem Terra (MST)")</f>
        <v/>
      </c>
      <c r="B121" s="78">
        <f>IFERROR(__xludf.DUMMYFUNCTION("""COMPUTED_VALUE"""),"Pantanal")</f>
        <v/>
      </c>
    </row>
    <row r="122">
      <c r="A122" s="78">
        <f>IFERROR(__xludf.DUMMYFUNCTION("""COMPUTED_VALUE"""),"Movimento dos Trabalhadores Rurais Sem Terra (MST)")</f>
        <v/>
      </c>
      <c r="B122" s="78">
        <f>IFERROR(__xludf.DUMMYFUNCTION("""COMPUTED_VALUE"""),"Pampa")</f>
        <v/>
      </c>
    </row>
    <row r="123">
      <c r="A123" s="78">
        <f>IFERROR(__xludf.DUMMYFUNCTION("""COMPUTED_VALUE"""),"Movimento dos Atingidos por Barragens (MAB)")</f>
        <v/>
      </c>
      <c r="B123" s="78">
        <f>IFERROR(__xludf.DUMMYFUNCTION("""COMPUTED_VALUE"""),"Mata&amp;Atlântica")</f>
        <v/>
      </c>
    </row>
    <row r="124">
      <c r="A124" s="78">
        <f>IFERROR(__xludf.DUMMYFUNCTION("""COMPUTED_VALUE"""),"Movimento dos Pequenos Agricultores (MPA)")</f>
        <v/>
      </c>
      <c r="B124" s="78">
        <f>IFERROR(__xludf.DUMMYFUNCTION("""COMPUTED_VALUE"""),"Mata&amp;Atlântica")</f>
        <v/>
      </c>
    </row>
    <row r="125">
      <c r="A125" s="78">
        <f>IFERROR(__xludf.DUMMYFUNCTION("""COMPUTED_VALUE"""),"Movimento pela Soberania Popular na Mineração (MAM)")</f>
        <v/>
      </c>
      <c r="B125" s="78">
        <f>IFERROR(__xludf.DUMMYFUNCTION("""COMPUTED_VALUE"""),"Mata&amp;Atlântica")</f>
        <v/>
      </c>
    </row>
    <row r="126">
      <c r="A126" s="78">
        <f>IFERROR(__xludf.DUMMYFUNCTION("""COMPUTED_VALUE"""),"Confederação Nacional dos Trabalhadores Rurais Agricultores e Agricultoras Familiares (CONTAG)")</f>
        <v/>
      </c>
      <c r="B126" s="78">
        <f>IFERROR(__xludf.DUMMYFUNCTION("""COMPUTED_VALUE"""),"Mata&amp;Atlântica")</f>
        <v/>
      </c>
    </row>
    <row r="127">
      <c r="A127" s="78">
        <f>IFERROR(__xludf.DUMMYFUNCTION("""COMPUTED_VALUE"""),"Confederação Nacional dos Trabalhadores Rurais Agricultores e Agricultoras Familiares (CONTAG)")</f>
        <v/>
      </c>
      <c r="B127" s="78">
        <f>IFERROR(__xludf.DUMMYFUNCTION("""COMPUTED_VALUE"""),"Pantanal")</f>
        <v/>
      </c>
    </row>
    <row r="128">
      <c r="A128" s="78">
        <f>IFERROR(__xludf.DUMMYFUNCTION("""COMPUTED_VALUE"""),"Confederação Nacional dos Trabalhadores Rurais Agricultores e Agricultoras Familiares (CONTAG)")</f>
        <v/>
      </c>
      <c r="B128" s="78">
        <f>IFERROR(__xludf.DUMMYFUNCTION("""COMPUTED_VALUE"""),"Pampa")</f>
        <v/>
      </c>
    </row>
    <row r="129">
      <c r="A129" s="78">
        <f>IFERROR(__xludf.DUMMYFUNCTION("""COMPUTED_VALUE"""),"Coordenação Nacional de Articulação das Comunidades Negras Rurais Quilombolas (CONAQ)")</f>
        <v/>
      </c>
      <c r="B129" s="78">
        <f>IFERROR(__xludf.DUMMYFUNCTION("""COMPUTED_VALUE"""),"Mata&amp;Atlântica")</f>
        <v/>
      </c>
    </row>
    <row r="130">
      <c r="A130" s="78">
        <f>IFERROR(__xludf.DUMMYFUNCTION("""COMPUTED_VALUE"""),"Coordenação Nacional de Articulação das Comunidades Negras Rurais Quilombolas (CONAQ)")</f>
        <v/>
      </c>
      <c r="B130" s="78">
        <f>IFERROR(__xludf.DUMMYFUNCTION("""COMPUTED_VALUE"""),"Pantanal")</f>
        <v/>
      </c>
    </row>
    <row r="131">
      <c r="A131" s="78">
        <f>IFERROR(__xludf.DUMMYFUNCTION("""COMPUTED_VALUE"""),"Coordenação Nacional de Articulação das Comunidades Negras Rurais Quilombolas (CONAQ)")</f>
        <v/>
      </c>
      <c r="B131" s="78">
        <f>IFERROR(__xludf.DUMMYFUNCTION("""COMPUTED_VALUE"""),"Pampa")</f>
        <v/>
      </c>
    </row>
    <row r="132">
      <c r="A132" s="78">
        <f>IFERROR(__xludf.DUMMYFUNCTION("""COMPUTED_VALUE"""),"Movimento de Mulheres Camponesas (MMC)")</f>
        <v/>
      </c>
      <c r="B132" s="78">
        <f>IFERROR(__xludf.DUMMYFUNCTION("""COMPUTED_VALUE"""),"Mata&amp;Atlântica")</f>
        <v/>
      </c>
    </row>
    <row r="133">
      <c r="A133" s="78">
        <f>IFERROR(__xludf.DUMMYFUNCTION("""COMPUTED_VALUE"""),"Movimento de Mulheres Camponesas (MMC)")</f>
        <v/>
      </c>
      <c r="B133" s="78">
        <f>IFERROR(__xludf.DUMMYFUNCTION("""COMPUTED_VALUE"""),"Pantanal")</f>
        <v/>
      </c>
    </row>
    <row r="134">
      <c r="A134" s="78">
        <f>IFERROR(__xludf.DUMMYFUNCTION("""COMPUTED_VALUE"""),"Movimento de Mulheres Camponesas (MMC)")</f>
        <v/>
      </c>
      <c r="B134" s="78">
        <f>IFERROR(__xludf.DUMMYFUNCTION("""COMPUTED_VALUE"""),"Pampa")</f>
        <v/>
      </c>
    </row>
    <row r="135">
      <c r="A135" s="78">
        <f>IFERROR(__xludf.DUMMYFUNCTION("""COMPUTED_VALUE"""),"Conselho Pastoral dos Pescadores (CPP)")</f>
        <v/>
      </c>
      <c r="B135" s="78">
        <f>IFERROR(__xludf.DUMMYFUNCTION("""COMPUTED_VALUE"""),"Coastal&amp;maritime")</f>
        <v/>
      </c>
    </row>
    <row r="136">
      <c r="A136" s="78">
        <f>IFERROR(__xludf.DUMMYFUNCTION("""COMPUTED_VALUE"""),"Conselho Pastoral dos Pescadores (CPP)")</f>
        <v/>
      </c>
      <c r="B136" s="78">
        <f>IFERROR(__xludf.DUMMYFUNCTION("""COMPUTED_VALUE"""),"Mata&amp;Atlântica")</f>
        <v/>
      </c>
    </row>
    <row r="137">
      <c r="A137" s="78">
        <f>IFERROR(__xludf.DUMMYFUNCTION("""COMPUTED_VALUE"""),"Articulação dos Povos Indígenas do Nordeste, Minas Gerais e Espírito Santo (APOINME)")</f>
        <v/>
      </c>
      <c r="B137" s="78">
        <f>IFERROR(__xludf.DUMMYFUNCTION("""COMPUTED_VALUE"""),"Mata&amp;Atlântica")</f>
        <v/>
      </c>
    </row>
  </sheetData>
  <autoFilter ref="$A$1:$B$137"/>
  <pageMargins left="0.75" right="0.75" top="1" bottom="1" header="0.5" footer="0.5"/>
</worksheet>
</file>

<file path=xl/worksheets/sheet9.xml><?xml version="1.0" encoding="utf-8"?>
<worksheet xmlns="http://schemas.openxmlformats.org/spreadsheetml/2006/main">
  <sheetPr>
    <outlinePr summaryBelow="0" summaryRight="0"/>
    <pageSetUpPr/>
  </sheetPr>
  <dimension ref="A1:B654"/>
  <sheetViews>
    <sheetView workbookViewId="0">
      <selection activeCell="A1" sqref="A1"/>
    </sheetView>
  </sheetViews>
  <sheetFormatPr baseColWidth="8" defaultColWidth="12.63" defaultRowHeight="15.75" customHeight="1"/>
  <cols>
    <col width="74.63" customWidth="1" style="84" min="1" max="1"/>
    <col width="15.13" customWidth="1" style="84" min="2" max="2"/>
  </cols>
  <sheetData>
    <row r="1">
      <c r="A1" s="78" t="inlineStr">
        <is>
          <t>Stakeholder</t>
        </is>
      </c>
      <c r="B1" s="78" t="inlineStr">
        <is>
          <t>Role within the ecosystem</t>
        </is>
      </c>
    </row>
    <row r="2">
      <c r="A2" s="78">
        <f>IFERROR(__xludf.DUMMYFUNCTION("ARRAYFORMULA(
  QUERY(
    SPLIT(
      FLATTEN(
        Data_Looker!B2:B340 &amp; ""♦"" &amp;
        TRIM(
          SPLIT(
            REGEXREPLACE(Data_Looker!K2:K340, ""\s*(,|;|\n)\s*"", ""♣""),
            ""♣""
          )
        )
      ),
      ""♦""
  "&amp;"  ),
    ""where Col2 is not null and Col2 &lt;&gt; ''"",
    0
  )
)
"),"Instituto Ibirapitanga")</f>
        <v/>
      </c>
      <c r="B2" s="78">
        <f>IFERROR(__xludf.DUMMYFUNCTION("""COMPUTED_VALUE"""),"Funder")</f>
        <v/>
      </c>
    </row>
    <row r="3">
      <c r="A3" s="78">
        <f>IFERROR(__xludf.DUMMYFUNCTION("""COMPUTED_VALUE"""),"Instituto Ibirapitanga")</f>
        <v/>
      </c>
      <c r="B3" s="78">
        <f>IFERROR(__xludf.DUMMYFUNCTION("""COMPUTED_VALUE"""),"Strategic partner")</f>
        <v/>
      </c>
    </row>
    <row r="4">
      <c r="A4" s="78">
        <f>IFERROR(__xludf.DUMMYFUNCTION("""COMPUTED_VALUE"""),"Instituto Serrapilheira")</f>
        <v/>
      </c>
      <c r="B4" s="78">
        <f>IFERROR(__xludf.DUMMYFUNCTION("""COMPUTED_VALUE"""),"Funder")</f>
        <v/>
      </c>
    </row>
    <row r="5">
      <c r="A5" s="78">
        <f>IFERROR(__xludf.DUMMYFUNCTION("""COMPUTED_VALUE"""),"Instituto Serrapilheira")</f>
        <v/>
      </c>
      <c r="B5" s="78">
        <f>IFERROR(__xludf.DUMMYFUNCTION("""COMPUTED_VALUE"""),"Technical assistance / research")</f>
        <v/>
      </c>
    </row>
    <row r="6">
      <c r="A6" s="78">
        <f>IFERROR(__xludf.DUMMYFUNCTION("""COMPUTED_VALUE"""),"Instituto Serrapilheira")</f>
        <v/>
      </c>
      <c r="B6" s="78">
        <f>IFERROR(__xludf.DUMMYFUNCTION("""COMPUTED_VALUE"""),"Strategic partner")</f>
        <v/>
      </c>
    </row>
    <row r="7">
      <c r="A7" s="78">
        <f>IFERROR(__xludf.DUMMYFUNCTION("""COMPUTED_VALUE"""),"Fundo Brasileiro para a Biodiversidade (FUNBIO)")</f>
        <v/>
      </c>
      <c r="B7" s="78">
        <f>IFERROR(__xludf.DUMMYFUNCTION("""COMPUTED_VALUE"""),"Funder")</f>
        <v/>
      </c>
    </row>
    <row r="8">
      <c r="A8" s="78">
        <f>IFERROR(__xludf.DUMMYFUNCTION("""COMPUTED_VALUE"""),"Fundo Brasileiro para a Biodiversidade (FUNBIO)")</f>
        <v/>
      </c>
      <c r="B8" s="78">
        <f>IFERROR(__xludf.DUMMYFUNCTION("""COMPUTED_VALUE"""),"Capital provider / Financial intermediary")</f>
        <v/>
      </c>
    </row>
    <row r="9">
      <c r="A9" s="78">
        <f>IFERROR(__xludf.DUMMYFUNCTION("""COMPUTED_VALUE"""),"Instituto Clima e Sociedade (iCS)")</f>
        <v/>
      </c>
      <c r="B9" s="78">
        <f>IFERROR(__xludf.DUMMYFUNCTION("""COMPUTED_VALUE"""),"Funder")</f>
        <v/>
      </c>
    </row>
    <row r="10">
      <c r="A10" s="78">
        <f>IFERROR(__xludf.DUMMYFUNCTION("""COMPUTED_VALUE"""),"Instituto Clima e Sociedade (iCS)")</f>
        <v/>
      </c>
      <c r="B10" s="78">
        <f>IFERROR(__xludf.DUMMYFUNCTION("""COMPUTED_VALUE"""),"Strategic partner")</f>
        <v/>
      </c>
    </row>
    <row r="11">
      <c r="A11" s="78">
        <f>IFERROR(__xludf.DUMMYFUNCTION("""COMPUTED_VALUE"""),"Instituto Clima e Sociedade (iCS)")</f>
        <v/>
      </c>
      <c r="B11" s="78">
        <f>IFERROR(__xludf.DUMMYFUNCTION("""COMPUTED_VALUE"""),"Convenor/enablers")</f>
        <v/>
      </c>
    </row>
    <row r="12">
      <c r="A12" s="78">
        <f>IFERROR(__xludf.DUMMYFUNCTION("""COMPUTED_VALUE"""),"Instituto Clima e Sociedade (iCS)")</f>
        <v/>
      </c>
      <c r="B12" s="78">
        <f>IFERROR(__xludf.DUMMYFUNCTION("""COMPUTED_VALUE"""),"Capital provider / Financial intermediary")</f>
        <v/>
      </c>
    </row>
    <row r="13">
      <c r="A13" s="78">
        <f>IFERROR(__xludf.DUMMYFUNCTION("""COMPUTED_VALUE"""),"Instituto Cultura, Comunicação e Incidência (ICCI)")</f>
        <v/>
      </c>
      <c r="B13" s="78">
        <f>IFERROR(__xludf.DUMMYFUNCTION("""COMPUTED_VALUE"""),"Project developer / Implementer")</f>
        <v/>
      </c>
    </row>
    <row r="14">
      <c r="A14" s="78">
        <f>IFERROR(__xludf.DUMMYFUNCTION("""COMPUTED_VALUE"""),"Instituto Cultura, Comunicação e Incidência (ICCI)")</f>
        <v/>
      </c>
      <c r="B14" s="78">
        <f>IFERROR(__xludf.DUMMYFUNCTION("""COMPUTED_VALUE"""),"Policy influence / regulation")</f>
        <v/>
      </c>
    </row>
    <row r="15">
      <c r="A15" s="78">
        <f>IFERROR(__xludf.DUMMYFUNCTION("""COMPUTED_VALUE"""),"Grupo de Institutos, Fundações e Empresas (GIFE)")</f>
        <v/>
      </c>
      <c r="B15" s="78">
        <f>IFERROR(__xludf.DUMMYFUNCTION("""COMPUTED_VALUE"""),"Convenor/enablers")</f>
        <v/>
      </c>
    </row>
    <row r="16">
      <c r="A16" s="78">
        <f>IFERROR(__xludf.DUMMYFUNCTION("""COMPUTED_VALUE"""),"Movimento Bem Maior (MBM)")</f>
        <v/>
      </c>
      <c r="B16" s="78">
        <f>IFERROR(__xludf.DUMMYFUNCTION("""COMPUTED_VALUE"""),"Funder")</f>
        <v/>
      </c>
    </row>
    <row r="17">
      <c r="A17" s="78">
        <f>IFERROR(__xludf.DUMMYFUNCTION("""COMPUTED_VALUE"""),"Movimento Bem Maior (MBM)")</f>
        <v/>
      </c>
      <c r="B17" s="78">
        <f>IFERROR(__xludf.DUMMYFUNCTION("""COMPUTED_VALUE"""),"Convenor/enablers")</f>
        <v/>
      </c>
    </row>
    <row r="18">
      <c r="A18" s="78">
        <f>IFERROR(__xludf.DUMMYFUNCTION("""COMPUTED_VALUE"""),"Instituto Beija ")</f>
        <v/>
      </c>
      <c r="B18" s="78">
        <f>IFERROR(__xludf.DUMMYFUNCTION("""COMPUTED_VALUE"""),"Funder")</f>
        <v/>
      </c>
    </row>
    <row r="19">
      <c r="A19" s="78">
        <f>IFERROR(__xludf.DUMMYFUNCTION("""COMPUTED_VALUE"""),"Instituto Beija ")</f>
        <v/>
      </c>
      <c r="B19" s="78">
        <f>IFERROR(__xludf.DUMMYFUNCTION("""COMPUTED_VALUE"""),"Convenor/enablers")</f>
        <v/>
      </c>
    </row>
    <row r="20">
      <c r="A20" s="78">
        <f>IFERROR(__xludf.DUMMYFUNCTION("""COMPUTED_VALUE"""),"Open Society Foundations")</f>
        <v/>
      </c>
      <c r="B20" s="78">
        <f>IFERROR(__xludf.DUMMYFUNCTION("""COMPUTED_VALUE"""),"Funder")</f>
        <v/>
      </c>
    </row>
    <row r="21">
      <c r="A21" s="78">
        <f>IFERROR(__xludf.DUMMYFUNCTION("""COMPUTED_VALUE"""),"Open Society Foundations")</f>
        <v/>
      </c>
      <c r="B21" s="78">
        <f>IFERROR(__xludf.DUMMYFUNCTION("""COMPUTED_VALUE"""),"Strategic partner")</f>
        <v/>
      </c>
    </row>
    <row r="22">
      <c r="A22" s="78">
        <f>IFERROR(__xludf.DUMMYFUNCTION("""COMPUTED_VALUE"""),"Instituto Ethos")</f>
        <v/>
      </c>
      <c r="B22" s="78">
        <f>IFERROR(__xludf.DUMMYFUNCTION("""COMPUTED_VALUE"""),"Convenor/enablers")</f>
        <v/>
      </c>
    </row>
    <row r="23">
      <c r="A23" s="78">
        <f>IFERROR(__xludf.DUMMYFUNCTION("""COMPUTED_VALUE"""),"Instituto Ethos")</f>
        <v/>
      </c>
      <c r="B23" s="78">
        <f>IFERROR(__xludf.DUMMYFUNCTION("""COMPUTED_VALUE"""),"Policy influence / regulation")</f>
        <v/>
      </c>
    </row>
    <row r="24">
      <c r="A24" s="78">
        <f>IFERROR(__xludf.DUMMYFUNCTION("""COMPUTED_VALUE"""),"Instituto para o Desenvolvimento do Investimento Social (IDIS)")</f>
        <v/>
      </c>
      <c r="B24" s="78">
        <f>IFERROR(__xludf.DUMMYFUNCTION("""COMPUTED_VALUE"""),"Technical assistance / research")</f>
        <v/>
      </c>
    </row>
    <row r="25">
      <c r="A25" s="78">
        <f>IFERROR(__xludf.DUMMYFUNCTION("""COMPUTED_VALUE"""),"Instituto para o Desenvolvimento do Investimento Social (IDIS)")</f>
        <v/>
      </c>
      <c r="B25" s="78">
        <f>IFERROR(__xludf.DUMMYFUNCTION("""COMPUTED_VALUE"""),"Convenor/enablers")</f>
        <v/>
      </c>
    </row>
    <row r="26">
      <c r="A26" s="78">
        <f>IFERROR(__xludf.DUMMYFUNCTION("""COMPUTED_VALUE"""),"Instituto Climate Ventures Brasil (Climate Ventures)")</f>
        <v/>
      </c>
      <c r="B26" s="78">
        <f>IFERROR(__xludf.DUMMYFUNCTION("""COMPUTED_VALUE"""),"Convenor/enablers")</f>
        <v/>
      </c>
    </row>
    <row r="27">
      <c r="A27" s="78">
        <f>IFERROR(__xludf.DUMMYFUNCTION("""COMPUTED_VALUE"""),"Instituto Climate Ventures Brasil (Climate Ventures)")</f>
        <v/>
      </c>
      <c r="B27" s="78">
        <f>IFERROR(__xludf.DUMMYFUNCTION("""COMPUTED_VALUE"""),"Project developer / Implementer")</f>
        <v/>
      </c>
    </row>
    <row r="28">
      <c r="A28" s="78">
        <f>IFERROR(__xludf.DUMMYFUNCTION("""COMPUTED_VALUE"""),"The Climate Group")</f>
        <v/>
      </c>
      <c r="B28" s="78">
        <f>IFERROR(__xludf.DUMMYFUNCTION("""COMPUTED_VALUE"""),"Convenor/enablers")</f>
        <v/>
      </c>
    </row>
    <row r="29">
      <c r="A29" s="78">
        <f>IFERROR(__xludf.DUMMYFUNCTION("""COMPUTED_VALUE"""),"The Climate Group")</f>
        <v/>
      </c>
      <c r="B29" s="78">
        <f>IFERROR(__xludf.DUMMYFUNCTION("""COMPUTED_VALUE"""),"Strategic partner")</f>
        <v/>
      </c>
    </row>
    <row r="30">
      <c r="A30" s="78">
        <f>IFERROR(__xludf.DUMMYFUNCTION("""COMPUTED_VALUE"""),"Fundação Maria Cecilia Souto Vidigal")</f>
        <v/>
      </c>
      <c r="B30" s="78">
        <f>IFERROR(__xludf.DUMMYFUNCTION("""COMPUTED_VALUE"""),"Funder")</f>
        <v/>
      </c>
    </row>
    <row r="31">
      <c r="A31" s="78">
        <f>IFERROR(__xludf.DUMMYFUNCTION("""COMPUTED_VALUE"""),"Fundação Maria Cecilia Souto Vidigal")</f>
        <v/>
      </c>
      <c r="B31" s="78">
        <f>IFERROR(__xludf.DUMMYFUNCTION("""COMPUTED_VALUE"""),"Strategic partner")</f>
        <v/>
      </c>
    </row>
    <row r="32">
      <c r="A32" s="78">
        <f>IFERROR(__xludf.DUMMYFUNCTION("""COMPUTED_VALUE"""),"Fundação Tide Setúbal")</f>
        <v/>
      </c>
      <c r="B32" s="78">
        <f>IFERROR(__xludf.DUMMYFUNCTION("""COMPUTED_VALUE"""),"Funder")</f>
        <v/>
      </c>
    </row>
    <row r="33">
      <c r="A33" s="78">
        <f>IFERROR(__xludf.DUMMYFUNCTION("""COMPUTED_VALUE"""),"Fundação Tide Setúbal")</f>
        <v/>
      </c>
      <c r="B33" s="78">
        <f>IFERROR(__xludf.DUMMYFUNCTION("""COMPUTED_VALUE"""),"Territorial anchor")</f>
        <v/>
      </c>
    </row>
    <row r="34">
      <c r="A34" s="78">
        <f>IFERROR(__xludf.DUMMYFUNCTION("""COMPUTED_VALUE"""),"Fundação Arymax")</f>
        <v/>
      </c>
      <c r="B34" s="78">
        <f>IFERROR(__xludf.DUMMYFUNCTION("""COMPUTED_VALUE"""),"Funder")</f>
        <v/>
      </c>
    </row>
    <row r="35">
      <c r="A35" s="78">
        <f>IFERROR(__xludf.DUMMYFUNCTION("""COMPUTED_VALUE"""),"Fundação Arymax")</f>
        <v/>
      </c>
      <c r="B35" s="78">
        <f>IFERROR(__xludf.DUMMYFUNCTION("""COMPUTED_VALUE"""),"Strategic partner")</f>
        <v/>
      </c>
    </row>
    <row r="36">
      <c r="A36" s="78">
        <f>IFERROR(__xludf.DUMMYFUNCTION("""COMPUTED_VALUE"""),"Instituto Talanoa")</f>
        <v/>
      </c>
      <c r="B36" s="78">
        <f>IFERROR(__xludf.DUMMYFUNCTION("""COMPUTED_VALUE"""),"Technical assistance / research")</f>
        <v/>
      </c>
    </row>
    <row r="37">
      <c r="A37" s="78">
        <f>IFERROR(__xludf.DUMMYFUNCTION("""COMPUTED_VALUE"""),"Instituto Talanoa")</f>
        <v/>
      </c>
      <c r="B37" s="78">
        <f>IFERROR(__xludf.DUMMYFUNCTION("""COMPUTED_VALUE"""),"Policy influence / regulation")</f>
        <v/>
      </c>
    </row>
    <row r="38">
      <c r="A38" s="78">
        <f>IFERROR(__xludf.DUMMYFUNCTION("""COMPUTED_VALUE"""),"Instituto Alana")</f>
        <v/>
      </c>
      <c r="B38" s="78">
        <f>IFERROR(__xludf.DUMMYFUNCTION("""COMPUTED_VALUE"""),"Funder")</f>
        <v/>
      </c>
    </row>
    <row r="39">
      <c r="A39" s="78">
        <f>IFERROR(__xludf.DUMMYFUNCTION("""COMPUTED_VALUE"""),"Instituto Alana")</f>
        <v/>
      </c>
      <c r="B39" s="78">
        <f>IFERROR(__xludf.DUMMYFUNCTION("""COMPUTED_VALUE"""),"Policy influence / regulation")</f>
        <v/>
      </c>
    </row>
    <row r="40">
      <c r="A40" s="78">
        <f>IFERROR(__xludf.DUMMYFUNCTION("""COMPUTED_VALUE"""),"Instituto Alana")</f>
        <v/>
      </c>
      <c r="B40" s="78">
        <f>IFERROR(__xludf.DUMMYFUNCTION("""COMPUTED_VALUE"""),"Strategic partner")</f>
        <v/>
      </c>
    </row>
    <row r="41">
      <c r="A41" s="78">
        <f>IFERROR(__xludf.DUMMYFUNCTION("""COMPUTED_VALUE"""),"Instituto Alana")</f>
        <v/>
      </c>
      <c r="B41" s="78">
        <f>IFERROR(__xludf.DUMMYFUNCTION("""COMPUTED_VALUE"""),"Community legitimacy / proximate leadership")</f>
        <v/>
      </c>
    </row>
    <row r="42">
      <c r="A42" s="78">
        <f>IFERROR(__xludf.DUMMYFUNCTION("""COMPUTED_VALUE"""),"Itaúsa (Itaúsa S.A.)")</f>
        <v/>
      </c>
      <c r="B42" s="78">
        <f>IFERROR(__xludf.DUMMYFUNCTION("""COMPUTED_VALUE"""),"Strategic partner")</f>
        <v/>
      </c>
    </row>
    <row r="43">
      <c r="A43" s="78">
        <f>IFERROR(__xludf.DUMMYFUNCTION("""COMPUTED_VALUE"""),"Itaúsa (Itaúsa S.A.)")</f>
        <v/>
      </c>
      <c r="B43" s="78">
        <f>IFERROR(__xludf.DUMMYFUNCTION("""COMPUTED_VALUE"""),"Capital provider / Financial intermediary")</f>
        <v/>
      </c>
    </row>
    <row r="44">
      <c r="A44" s="78">
        <f>IFERROR(__xludf.DUMMYFUNCTION("""COMPUTED_VALUE"""),"Instituto Arapyaú")</f>
        <v/>
      </c>
      <c r="B44" s="78">
        <f>IFERROR(__xludf.DUMMYFUNCTION("""COMPUTED_VALUE"""),"Funder")</f>
        <v/>
      </c>
    </row>
    <row r="45">
      <c r="A45" s="78">
        <f>IFERROR(__xludf.DUMMYFUNCTION("""COMPUTED_VALUE"""),"Instituto Arapyaú")</f>
        <v/>
      </c>
      <c r="B45" s="78">
        <f>IFERROR(__xludf.DUMMYFUNCTION("""COMPUTED_VALUE"""),"Strategic partner")</f>
        <v/>
      </c>
    </row>
    <row r="46">
      <c r="A46" s="78">
        <f>IFERROR(__xludf.DUMMYFUNCTION("""COMPUTED_VALUE"""),"Instituto Arapyaú")</f>
        <v/>
      </c>
      <c r="B46" s="78">
        <f>IFERROR(__xludf.DUMMYFUNCTION("""COMPUTED_VALUE"""),"Territorial anchor")</f>
        <v/>
      </c>
    </row>
    <row r="47">
      <c r="A47" s="78">
        <f>IFERROR(__xludf.DUMMYFUNCTION("""COMPUTED_VALUE"""),"Instituto Semeia")</f>
        <v/>
      </c>
      <c r="B47" s="78">
        <f>IFERROR(__xludf.DUMMYFUNCTION("""COMPUTED_VALUE"""),"Technical assistance / research")</f>
        <v/>
      </c>
    </row>
    <row r="48">
      <c r="A48" s="78">
        <f>IFERROR(__xludf.DUMMYFUNCTION("""COMPUTED_VALUE"""),"Instituto Semeia")</f>
        <v/>
      </c>
      <c r="B48" s="78">
        <f>IFERROR(__xludf.DUMMYFUNCTION("""COMPUTED_VALUE"""),"Project developer / Implementer")</f>
        <v/>
      </c>
    </row>
    <row r="49">
      <c r="A49" s="78">
        <f>IFERROR(__xludf.DUMMYFUNCTION("""COMPUTED_VALUE"""),"Instituto Semeia")</f>
        <v/>
      </c>
      <c r="B49" s="78">
        <f>IFERROR(__xludf.DUMMYFUNCTION("""COMPUTED_VALUE"""),"Funder")</f>
        <v/>
      </c>
    </row>
    <row r="50">
      <c r="A50" s="78">
        <f>IFERROR(__xludf.DUMMYFUNCTION("""COMPUTED_VALUE"""),"The David and Lucile Packard Foundation")</f>
        <v/>
      </c>
      <c r="B50" s="78">
        <f>IFERROR(__xludf.DUMMYFUNCTION("""COMPUTED_VALUE"""),"Funder")</f>
        <v/>
      </c>
    </row>
    <row r="51">
      <c r="A51" s="78">
        <f>IFERROR(__xludf.DUMMYFUNCTION("""COMPUTED_VALUE"""),"The David and Lucile Packard Foundation")</f>
        <v/>
      </c>
      <c r="B51" s="78">
        <f>IFERROR(__xludf.DUMMYFUNCTION("""COMPUTED_VALUE"""),"Strategic partner")</f>
        <v/>
      </c>
    </row>
    <row r="52">
      <c r="A52" s="78">
        <f>IFERROR(__xludf.DUMMYFUNCTION("""COMPUTED_VALUE"""),"Alcoa")</f>
        <v/>
      </c>
      <c r="B52" s="78">
        <f>IFERROR(__xludf.DUMMYFUNCTION("""COMPUTED_VALUE"""),"Strategic partner")</f>
        <v/>
      </c>
    </row>
    <row r="53">
      <c r="A53" s="78">
        <f>IFERROR(__xludf.DUMMYFUNCTION("""COMPUTED_VALUE"""),"Alcoa")</f>
        <v/>
      </c>
      <c r="B53" s="78">
        <f>IFERROR(__xludf.DUMMYFUNCTION("""COMPUTED_VALUE"""),"Implementation capacity (delivery)")</f>
        <v/>
      </c>
    </row>
    <row r="54">
      <c r="A54" s="78">
        <f>IFERROR(__xludf.DUMMYFUNCTION("""COMPUTED_VALUE"""),"Norsk Hydro ASA (Hydro)")</f>
        <v/>
      </c>
      <c r="B54" s="78">
        <f>IFERROR(__xludf.DUMMYFUNCTION("""COMPUTED_VALUE"""),"Strategic partner")</f>
        <v/>
      </c>
    </row>
    <row r="55">
      <c r="A55" s="78">
        <f>IFERROR(__xludf.DUMMYFUNCTION("""COMPUTED_VALUE"""),"Norsk Hydro ASA (Hydro)")</f>
        <v/>
      </c>
      <c r="B55" s="78">
        <f>IFERROR(__xludf.DUMMYFUNCTION("""COMPUTED_VALUE"""),"Implementation capacity (delivery)")</f>
        <v/>
      </c>
    </row>
    <row r="56">
      <c r="A56" s="78">
        <f>IFERROR(__xludf.DUMMYFUNCTION("""COMPUTED_VALUE"""),"Instituto Socioambiental (ISA)")</f>
        <v/>
      </c>
      <c r="B56" s="78">
        <f>IFERROR(__xludf.DUMMYFUNCTION("""COMPUTED_VALUE"""),"Project developer / Implementer")</f>
        <v/>
      </c>
    </row>
    <row r="57">
      <c r="A57" s="78">
        <f>IFERROR(__xludf.DUMMYFUNCTION("""COMPUTED_VALUE"""),"Instituto Socioambiental (ISA)")</f>
        <v/>
      </c>
      <c r="B57" s="78">
        <f>IFERROR(__xludf.DUMMYFUNCTION("""COMPUTED_VALUE"""),"Community legitimacy / proximate leadership")</f>
        <v/>
      </c>
    </row>
    <row r="58">
      <c r="A58" s="78">
        <f>IFERROR(__xludf.DUMMYFUNCTION("""COMPUTED_VALUE"""),"The Nature Conservancy Brasil (TNC Brasil)")</f>
        <v/>
      </c>
      <c r="B58" s="78">
        <f>IFERROR(__xludf.DUMMYFUNCTION("""COMPUTED_VALUE"""),"Strategic partner")</f>
        <v/>
      </c>
    </row>
    <row r="59">
      <c r="A59" s="78">
        <f>IFERROR(__xludf.DUMMYFUNCTION("""COMPUTED_VALUE"""),"The Nature Conservancy Brasil (TNC Brasil)")</f>
        <v/>
      </c>
      <c r="B59" s="78">
        <f>IFERROR(__xludf.DUMMYFUNCTION("""COMPUTED_VALUE"""),"Project developer / Implementer")</f>
        <v/>
      </c>
    </row>
    <row r="60">
      <c r="A60" s="78">
        <f>IFERROR(__xludf.DUMMYFUNCTION("""COMPUTED_VALUE"""),"Conservação Internacional Brasil (CI-Brasil)")</f>
        <v/>
      </c>
      <c r="B60" s="78">
        <f>IFERROR(__xludf.DUMMYFUNCTION("""COMPUTED_VALUE"""),"Strategic partner")</f>
        <v/>
      </c>
    </row>
    <row r="61">
      <c r="A61" s="78">
        <f>IFERROR(__xludf.DUMMYFUNCTION("""COMPUTED_VALUE"""),"Conservação Internacional Brasil (CI-Brasil)")</f>
        <v/>
      </c>
      <c r="B61" s="78">
        <f>IFERROR(__xludf.DUMMYFUNCTION("""COMPUTED_VALUE"""),"Project developer / Implementer")</f>
        <v/>
      </c>
    </row>
    <row r="62">
      <c r="A62" s="78">
        <f>IFERROR(__xludf.DUMMYFUNCTION("""COMPUTED_VALUE"""),"WWF-Brasil")</f>
        <v/>
      </c>
      <c r="B62" s="78">
        <f>IFERROR(__xludf.DUMMYFUNCTION("""COMPUTED_VALUE"""),"Strategic partner")</f>
        <v/>
      </c>
    </row>
    <row r="63">
      <c r="A63" s="78">
        <f>IFERROR(__xludf.DUMMYFUNCTION("""COMPUTED_VALUE"""),"WWF-Brasil")</f>
        <v/>
      </c>
      <c r="B63" s="78">
        <f>IFERROR(__xludf.DUMMYFUNCTION("""COMPUTED_VALUE"""),"Project developer / Implementer")</f>
        <v/>
      </c>
    </row>
    <row r="64">
      <c r="A64" s="78">
        <f>IFERROR(__xludf.DUMMYFUNCTION("""COMPUTED_VALUE"""),"WWF-Brasil")</f>
        <v/>
      </c>
      <c r="B64" s="78">
        <f>IFERROR(__xludf.DUMMYFUNCTION("""COMPUTED_VALUE"""),"Policy influence / regulation")</f>
        <v/>
      </c>
    </row>
    <row r="65">
      <c r="A65" s="78">
        <f>IFERROR(__xludf.DUMMYFUNCTION("""COMPUTED_VALUE"""),"WRI Brasil")</f>
        <v/>
      </c>
      <c r="B65" s="78">
        <f>IFERROR(__xludf.DUMMYFUNCTION("""COMPUTED_VALUE"""),"Strategic partner")</f>
        <v/>
      </c>
    </row>
    <row r="66">
      <c r="A66" s="78">
        <f>IFERROR(__xludf.DUMMYFUNCTION("""COMPUTED_VALUE"""),"WRI Brasil")</f>
        <v/>
      </c>
      <c r="B66" s="78">
        <f>IFERROR(__xludf.DUMMYFUNCTION("""COMPUTED_VALUE"""),"Technical assistance / research")</f>
        <v/>
      </c>
    </row>
    <row r="67">
      <c r="A67" s="78">
        <f>IFERROR(__xludf.DUMMYFUNCTION("""COMPUTED_VALUE"""),"WRI Brasil")</f>
        <v/>
      </c>
      <c r="B67" s="78">
        <f>IFERROR(__xludf.DUMMYFUNCTION("""COMPUTED_VALUE"""),"Policy influence / regulation")</f>
        <v/>
      </c>
    </row>
    <row r="68">
      <c r="A68" s="78">
        <f>IFERROR(__xludf.DUMMYFUNCTION("""COMPUTED_VALUE"""),"Fundação SOS Mata Atlântica")</f>
        <v/>
      </c>
      <c r="B68" s="78">
        <f>IFERROR(__xludf.DUMMYFUNCTION("""COMPUTED_VALUE"""),"Policy influence / regulation")</f>
        <v/>
      </c>
    </row>
    <row r="69">
      <c r="A69" s="78">
        <f>IFERROR(__xludf.DUMMYFUNCTION("""COMPUTED_VALUE"""),"Fundação SOS Mata Atlântica")</f>
        <v/>
      </c>
      <c r="B69" s="78">
        <f>IFERROR(__xludf.DUMMYFUNCTION("""COMPUTED_VALUE"""),"Implementation capacity (delivery)")</f>
        <v/>
      </c>
    </row>
    <row r="70">
      <c r="A70" s="78">
        <f>IFERROR(__xludf.DUMMYFUNCTION("""COMPUTED_VALUE"""),"Empresa Brasileira de Pesquisa Agropecuária (Embrapa)")</f>
        <v/>
      </c>
      <c r="B70" s="78">
        <f>IFERROR(__xludf.DUMMYFUNCTION("""COMPUTED_VALUE"""),"Technical assistance / research")</f>
        <v/>
      </c>
    </row>
    <row r="71">
      <c r="A71" s="78">
        <f>IFERROR(__xludf.DUMMYFUNCTION("""COMPUTED_VALUE"""),"Empresa Brasileira de Pesquisa Agropecuária (Embrapa)")</f>
        <v/>
      </c>
      <c r="B71" s="78">
        <f>IFERROR(__xludf.DUMMYFUNCTION("""COMPUTED_VALUE"""),"Territorial anchor")</f>
        <v/>
      </c>
    </row>
    <row r="72">
      <c r="A72" s="78">
        <f>IFERROR(__xludf.DUMMYFUNCTION("""COMPUTED_VALUE"""),"Sistema S")</f>
        <v/>
      </c>
      <c r="B72" s="78">
        <f>IFERROR(__xludf.DUMMYFUNCTION("""COMPUTED_VALUE"""),"Implementation capacity (delivery)")</f>
        <v/>
      </c>
    </row>
    <row r="73">
      <c r="A73" s="78">
        <f>IFERROR(__xludf.DUMMYFUNCTION("""COMPUTED_VALUE"""),"Sistema S")</f>
        <v/>
      </c>
      <c r="B73" s="78">
        <f>IFERROR(__xludf.DUMMYFUNCTION("""COMPUTED_VALUE"""),"Technical assistance / research")</f>
        <v/>
      </c>
    </row>
    <row r="74">
      <c r="A74" s="78">
        <f>IFERROR(__xludf.DUMMYFUNCTION("""COMPUTED_VALUE"""),"Instituto Brasileiro do Meio Ambiente e dos Recursos Naturais Renováveis (Ibama)")</f>
        <v/>
      </c>
      <c r="B74" s="78">
        <f>IFERROR(__xludf.DUMMYFUNCTION("""COMPUTED_VALUE"""),"Policy influence / regulation")</f>
        <v/>
      </c>
    </row>
    <row r="75">
      <c r="A75" s="78">
        <f>IFERROR(__xludf.DUMMYFUNCTION("""COMPUTED_VALUE"""),"Instituto Brasileiro do Meio Ambiente e dos Recursos Naturais Renováveis (Ibama)")</f>
        <v/>
      </c>
      <c r="B75" s="78">
        <f>IFERROR(__xludf.DUMMYFUNCTION("""COMPUTED_VALUE"""),"Territorial anchor")</f>
        <v/>
      </c>
    </row>
    <row r="76">
      <c r="A76" s="78">
        <f>IFERROR(__xludf.DUMMYFUNCTION("""COMPUTED_VALUE"""),"Instituto Chico Mendes de Conservação da Biodiversidade (ICMBio)")</f>
        <v/>
      </c>
      <c r="B76" s="78">
        <f>IFERROR(__xludf.DUMMYFUNCTION("""COMPUTED_VALUE"""),"Policy influence / regulation")</f>
        <v/>
      </c>
    </row>
    <row r="77">
      <c r="A77" s="78">
        <f>IFERROR(__xludf.DUMMYFUNCTION("""COMPUTED_VALUE"""),"Instituto Chico Mendes de Conservação da Biodiversidade (ICMBio)")</f>
        <v/>
      </c>
      <c r="B77" s="78">
        <f>IFERROR(__xludf.DUMMYFUNCTION("""COMPUTED_VALUE"""),"Territorial anchor")</f>
        <v/>
      </c>
    </row>
    <row r="78">
      <c r="A78" s="78">
        <f>IFERROR(__xludf.DUMMYFUNCTION("""COMPUTED_VALUE"""),"Instituto do Homem e Meio Ambiente da Amazônia (Imazon)")</f>
        <v/>
      </c>
      <c r="B78" s="78">
        <f>IFERROR(__xludf.DUMMYFUNCTION("""COMPUTED_VALUE"""),"Technical assistance / research")</f>
        <v/>
      </c>
    </row>
    <row r="79">
      <c r="A79" s="78">
        <f>IFERROR(__xludf.DUMMYFUNCTION("""COMPUTED_VALUE"""),"Instituto do Homem e Meio Ambiente da Amazônia (Imazon)")</f>
        <v/>
      </c>
      <c r="B79" s="78">
        <f>IFERROR(__xludf.DUMMYFUNCTION("""COMPUTED_VALUE"""),"Data / MRV / platforms")</f>
        <v/>
      </c>
    </row>
    <row r="80">
      <c r="A80" s="78">
        <f>IFERROR(__xludf.DUMMYFUNCTION("""COMPUTED_VALUE"""),"Fundação Amazonas Sustentável (FAS)")</f>
        <v/>
      </c>
      <c r="B80" s="78">
        <f>IFERROR(__xludf.DUMMYFUNCTION("""COMPUTED_VALUE"""),"Project developer / Implementer")</f>
        <v/>
      </c>
    </row>
    <row r="81">
      <c r="A81" s="78">
        <f>IFERROR(__xludf.DUMMYFUNCTION("""COMPUTED_VALUE"""),"Fundação Amazonas Sustentável (FAS)")</f>
        <v/>
      </c>
      <c r="B81" s="78">
        <f>IFERROR(__xludf.DUMMYFUNCTION("""COMPUTED_VALUE"""),"Territorial anchor")</f>
        <v/>
      </c>
    </row>
    <row r="82">
      <c r="A82" s="78">
        <f>IFERROR(__xludf.DUMMYFUNCTION("""COMPUTED_VALUE"""),"Instituto de Manejo e Certificação Florestal e Agrícola (Imaflora)")</f>
        <v/>
      </c>
      <c r="B82" s="78">
        <f>IFERROR(__xludf.DUMMYFUNCTION("""COMPUTED_VALUE"""),"Technical assistance / research")</f>
        <v/>
      </c>
    </row>
    <row r="83">
      <c r="A83" s="78">
        <f>IFERROR(__xludf.DUMMYFUNCTION("""COMPUTED_VALUE"""),"Instituto de Manejo e Certificação Florestal e Agrícola (Imaflora)")</f>
        <v/>
      </c>
      <c r="B83" s="78">
        <f>IFERROR(__xludf.DUMMYFUNCTION("""COMPUTED_VALUE"""),"Data / MRV / platforms")</f>
        <v/>
      </c>
    </row>
    <row r="84">
      <c r="A84" s="78">
        <f>IFERROR(__xludf.DUMMYFUNCTION("""COMPUTED_VALUE"""),"Fundação Roberto Marinho")</f>
        <v/>
      </c>
      <c r="B84" s="78">
        <f>IFERROR(__xludf.DUMMYFUNCTION("""COMPUTED_VALUE"""),"Convenor/enablers")</f>
        <v/>
      </c>
    </row>
    <row r="85">
      <c r="A85" s="78">
        <f>IFERROR(__xludf.DUMMYFUNCTION("""COMPUTED_VALUE"""),"Fundação Roberto Marinho")</f>
        <v/>
      </c>
      <c r="B85" s="78">
        <f>IFERROR(__xludf.DUMMYFUNCTION("""COMPUTED_VALUE"""),"Implementation capacity (delivery)")</f>
        <v/>
      </c>
    </row>
    <row r="86">
      <c r="A86" s="78">
        <f>IFERROR(__xludf.DUMMYFUNCTION("""COMPUTED_VALUE"""),"Instituto de Pesquisa Econômica Aplicada (Ipea)")</f>
        <v/>
      </c>
      <c r="B86" s="78">
        <f>IFERROR(__xludf.DUMMYFUNCTION("""COMPUTED_VALUE"""),"Technical assistance / research")</f>
        <v/>
      </c>
    </row>
    <row r="87">
      <c r="A87" s="78">
        <f>IFERROR(__xludf.DUMMYFUNCTION("""COMPUTED_VALUE"""),"Instituto de Pesquisa Econômica Aplicada (Ipea)")</f>
        <v/>
      </c>
      <c r="B87" s="78">
        <f>IFERROR(__xludf.DUMMYFUNCTION("""COMPUTED_VALUE"""),"Policy influence / regulation")</f>
        <v/>
      </c>
    </row>
    <row r="88">
      <c r="A88" s="78">
        <f>IFERROR(__xludf.DUMMYFUNCTION("""COMPUTED_VALUE"""),"Escola Nacional de Administração Pública (ENAP)")</f>
        <v/>
      </c>
      <c r="B88" s="78">
        <f>IFERROR(__xludf.DUMMYFUNCTION("""COMPUTED_VALUE"""),"Technical assistance / research")</f>
        <v/>
      </c>
    </row>
    <row r="89">
      <c r="A89" s="78">
        <f>IFERROR(__xludf.DUMMYFUNCTION("""COMPUTED_VALUE"""),"Escola Nacional de Administração Pública (ENAP)")</f>
        <v/>
      </c>
      <c r="B89" s="78">
        <f>IFERROR(__xludf.DUMMYFUNCTION("""COMPUTED_VALUE"""),"Policy influence / regulation")</f>
        <v/>
      </c>
    </row>
    <row r="90">
      <c r="A90" s="78">
        <f>IFERROR(__xludf.DUMMYFUNCTION("""COMPUTED_VALUE"""),"Instituto Serzedello Corrêa (ISC/TCU)")</f>
        <v/>
      </c>
      <c r="B90" s="78">
        <f>IFERROR(__xludf.DUMMYFUNCTION("""COMPUTED_VALUE"""),"Technical assistance / research")</f>
        <v/>
      </c>
    </row>
    <row r="91">
      <c r="A91" s="78">
        <f>IFERROR(__xludf.DUMMYFUNCTION("""COMPUTED_VALUE"""),"Instituto Serzedello Corrêa (ISC/TCU)")</f>
        <v/>
      </c>
      <c r="B91" s="78">
        <f>IFERROR(__xludf.DUMMYFUNCTION("""COMPUTED_VALUE"""),"Policy influence / regulation")</f>
        <v/>
      </c>
    </row>
    <row r="92">
      <c r="A92" s="78">
        <f>IFERROR(__xludf.DUMMYFUNCTION("""COMPUTED_VALUE"""),"Vale S.A.")</f>
        <v/>
      </c>
      <c r="B92" s="78">
        <f>IFERROR(__xludf.DUMMYFUNCTION("""COMPUTED_VALUE"""),"Strategic partner")</f>
        <v/>
      </c>
    </row>
    <row r="93">
      <c r="A93" s="78">
        <f>IFERROR(__xludf.DUMMYFUNCTION("""COMPUTED_VALUE"""),"Vale S.A.")</f>
        <v/>
      </c>
      <c r="B93" s="78">
        <f>IFERROR(__xludf.DUMMYFUNCTION("""COMPUTED_VALUE"""),"Implementation capacity (delivery)")</f>
        <v/>
      </c>
    </row>
    <row r="94">
      <c r="A94" s="78">
        <f>IFERROR(__xludf.DUMMYFUNCTION("""COMPUTED_VALUE"""),"Suzano S.A.")</f>
        <v/>
      </c>
      <c r="B94" s="78">
        <f>IFERROR(__xludf.DUMMYFUNCTION("""COMPUTED_VALUE"""),"Strategic partner")</f>
        <v/>
      </c>
    </row>
    <row r="95">
      <c r="A95" s="78">
        <f>IFERROR(__xludf.DUMMYFUNCTION("""COMPUTED_VALUE"""),"Suzano S.A.")</f>
        <v/>
      </c>
      <c r="B95" s="78">
        <f>IFERROR(__xludf.DUMMYFUNCTION("""COMPUTED_VALUE"""),"Implementation capacity (delivery)")</f>
        <v/>
      </c>
    </row>
    <row r="96">
      <c r="A96" s="78">
        <f>IFERROR(__xludf.DUMMYFUNCTION("""COMPUTED_VALUE"""),"Banco da Amazônia S.A. (BASA)")</f>
        <v/>
      </c>
      <c r="B96" s="78">
        <f>IFERROR(__xludf.DUMMYFUNCTION("""COMPUTED_VALUE"""),"Capital provider / Financial intermediary")</f>
        <v/>
      </c>
    </row>
    <row r="97">
      <c r="A97" s="78">
        <f>IFERROR(__xludf.DUMMYFUNCTION("""COMPUTED_VALUE"""),"Banco da Amazônia S.A. (BASA)")</f>
        <v/>
      </c>
      <c r="B97" s="78">
        <f>IFERROR(__xludf.DUMMYFUNCTION("""COMPUTED_VALUE"""),"Territorial anchor")</f>
        <v/>
      </c>
    </row>
    <row r="98">
      <c r="A98" s="78">
        <f>IFERROR(__xludf.DUMMYFUNCTION("""COMPUTED_VALUE"""),"Instituto de Conservação e Desenvolvimento Sustentável da Amazônia (IDESAM)")</f>
        <v/>
      </c>
      <c r="B98" s="78">
        <f>IFERROR(__xludf.DUMMYFUNCTION("""COMPUTED_VALUE"""),"Project developer / Implementer")</f>
        <v/>
      </c>
    </row>
    <row r="99">
      <c r="A99" s="78">
        <f>IFERROR(__xludf.DUMMYFUNCTION("""COMPUTED_VALUE"""),"Instituto de Conservação e Desenvolvimento Sustentável da Amazônia (IDESAM)")</f>
        <v/>
      </c>
      <c r="B99" s="78">
        <f>IFERROR(__xludf.DUMMYFUNCTION("""COMPUTED_VALUE"""),"Technical assistance / research")</f>
        <v/>
      </c>
    </row>
    <row r="100">
      <c r="A100" s="78">
        <f>IFERROR(__xludf.DUMMYFUNCTION("""COMPUTED_VALUE"""),"Sitawi Finanças do Bem")</f>
        <v/>
      </c>
      <c r="B100" s="78">
        <f>IFERROR(__xludf.DUMMYFUNCTION("""COMPUTED_VALUE"""),"Capital provider / Financial intermediary")</f>
        <v/>
      </c>
    </row>
    <row r="101">
      <c r="A101" s="78">
        <f>IFERROR(__xludf.DUMMYFUNCTION("""COMPUTED_VALUE"""),"Sitawi Finanças do Bem")</f>
        <v/>
      </c>
      <c r="B101" s="78">
        <f>IFERROR(__xludf.DUMMYFUNCTION("""COMPUTED_VALUE"""),"Project developer / Implementer")</f>
        <v/>
      </c>
    </row>
    <row r="102">
      <c r="A102" s="78">
        <f>IFERROR(__xludf.DUMMYFUNCTION("""COMPUTED_VALUE"""),"Din4mo")</f>
        <v/>
      </c>
      <c r="B102" s="78">
        <f>IFERROR(__xludf.DUMMYFUNCTION("""COMPUTED_VALUE"""),"Capital provider / Financial intermediary")</f>
        <v/>
      </c>
    </row>
    <row r="103">
      <c r="A103" s="78">
        <f>IFERROR(__xludf.DUMMYFUNCTION("""COMPUTED_VALUE"""),"Artemisia")</f>
        <v/>
      </c>
      <c r="B103" s="78">
        <f>IFERROR(__xludf.DUMMYFUNCTION("""COMPUTED_VALUE"""),"Convenor/enablers")</f>
        <v/>
      </c>
    </row>
    <row r="104">
      <c r="A104" s="78">
        <f>IFERROR(__xludf.DUMMYFUNCTION("""COMPUTED_VALUE"""),"Artemisia")</f>
        <v/>
      </c>
      <c r="B104" s="78">
        <f>IFERROR(__xludf.DUMMYFUNCTION("""COMPUTED_VALUE"""),"Implementation capacity (delivery)")</f>
        <v/>
      </c>
    </row>
    <row r="105">
      <c r="A105" s="78">
        <f>IFERROR(__xludf.DUMMYFUNCTION("""COMPUTED_VALUE"""),"Instituto de Cidadania Empresarial (ICE)")</f>
        <v/>
      </c>
      <c r="B105" s="78">
        <f>IFERROR(__xludf.DUMMYFUNCTION("""COMPUTED_VALUE"""),"Convenor/enablers")</f>
        <v/>
      </c>
    </row>
    <row r="106">
      <c r="A106" s="78">
        <f>IFERROR(__xludf.DUMMYFUNCTION("""COMPUTED_VALUE"""),"Instituto de Cidadania Empresarial (ICE)")</f>
        <v/>
      </c>
      <c r="B106" s="78">
        <f>IFERROR(__xludf.DUMMYFUNCTION("""COMPUTED_VALUE"""),"Technical assistance / research")</f>
        <v/>
      </c>
    </row>
    <row r="107">
      <c r="A107" s="78">
        <f>IFERROR(__xludf.DUMMYFUNCTION("""COMPUTED_VALUE"""),"Impact Hub Network")</f>
        <v/>
      </c>
      <c r="B107" s="78">
        <f>IFERROR(__xludf.DUMMYFUNCTION("""COMPUTED_VALUE"""),"Convenor/enablers")</f>
        <v/>
      </c>
    </row>
    <row r="108">
      <c r="A108" s="78">
        <f>IFERROR(__xludf.DUMMYFUNCTION("""COMPUTED_VALUE"""),"Impact Hub Network")</f>
        <v/>
      </c>
      <c r="B108" s="78">
        <f>IFERROR(__xludf.DUMMYFUNCTION("""COMPUTED_VALUE"""),"Implementation capacity (delivery)")</f>
        <v/>
      </c>
    </row>
    <row r="109">
      <c r="A109" s="78">
        <f>IFERROR(__xludf.DUMMYFUNCTION("""COMPUTED_VALUE"""),"Instituto Conexões Sustentáveis (Conexsus)")</f>
        <v/>
      </c>
      <c r="B109" s="78">
        <f>IFERROR(__xludf.DUMMYFUNCTION("""COMPUTED_VALUE"""),"Capital provider / Financial intermediary")</f>
        <v/>
      </c>
    </row>
    <row r="110">
      <c r="A110" s="78">
        <f>IFERROR(__xludf.DUMMYFUNCTION("""COMPUTED_VALUE"""),"Instituto Conexões Sustentáveis (Conexsus)")</f>
        <v/>
      </c>
      <c r="B110" s="78">
        <f>IFERROR(__xludf.DUMMYFUNCTION("""COMPUTED_VALUE"""),"Implementation capacity (delivery)")</f>
        <v/>
      </c>
    </row>
    <row r="111">
      <c r="A111" s="78">
        <f>IFERROR(__xludf.DUMMYFUNCTION("""COMPUTED_VALUE"""),"Pipe.Social")</f>
        <v/>
      </c>
      <c r="B111" s="78">
        <f>IFERROR(__xludf.DUMMYFUNCTION("""COMPUTED_VALUE"""),"Data / MRV / platforms")</f>
        <v/>
      </c>
    </row>
    <row r="112">
      <c r="A112" s="78">
        <f>IFERROR(__xludf.DUMMYFUNCTION("""COMPUTED_VALUE"""),"Pipe.Social")</f>
        <v/>
      </c>
      <c r="B112" s="78">
        <f>IFERROR(__xludf.DUMMYFUNCTION("""COMPUTED_VALUE"""),"Convenor/enablers")</f>
        <v/>
      </c>
    </row>
    <row r="113">
      <c r="A113" s="78">
        <f>IFERROR(__xludf.DUMMYFUNCTION("""COMPUTED_VALUE"""),"Yunus Negócios Sociais (Brasil)")</f>
        <v/>
      </c>
      <c r="B113" s="78">
        <f>IFERROR(__xludf.DUMMYFUNCTION("""COMPUTED_VALUE"""),"Capital provider / Financial intermediary")</f>
        <v/>
      </c>
    </row>
    <row r="114">
      <c r="A114" s="78">
        <f>IFERROR(__xludf.DUMMYFUNCTION("""COMPUTED_VALUE"""),"Yunus Negócios Sociais (Brasil)")</f>
        <v/>
      </c>
      <c r="B114" s="78">
        <f>IFERROR(__xludf.DUMMYFUNCTION("""COMPUTED_VALUE"""),"Implementation capacity (delivery)")</f>
        <v/>
      </c>
    </row>
    <row r="115">
      <c r="A115" s="78">
        <f>IFERROR(__xludf.DUMMYFUNCTION("""COMPUTED_VALUE"""),"Instituto C&amp;A")</f>
        <v/>
      </c>
      <c r="B115" s="78">
        <f>IFERROR(__xludf.DUMMYFUNCTION("""COMPUTED_VALUE"""),"Funder")</f>
        <v/>
      </c>
    </row>
    <row r="116">
      <c r="A116" s="78">
        <f>IFERROR(__xludf.DUMMYFUNCTION("""COMPUTED_VALUE"""),"Instituto C&amp;A")</f>
        <v/>
      </c>
      <c r="B116" s="78">
        <f>IFERROR(__xludf.DUMMYFUNCTION("""COMPUTED_VALUE"""),"Strategic partner")</f>
        <v/>
      </c>
    </row>
    <row r="117">
      <c r="A117" s="78">
        <f>IFERROR(__xludf.DUMMYFUNCTION("""COMPUTED_VALUE"""),"Lundin Foundation")</f>
        <v/>
      </c>
      <c r="B117" s="78">
        <f>IFERROR(__xludf.DUMMYFUNCTION("""COMPUTED_VALUE"""),"Funder")</f>
        <v/>
      </c>
    </row>
    <row r="118">
      <c r="A118" s="78">
        <f>IFERROR(__xludf.DUMMYFUNCTION("""COMPUTED_VALUE"""),"Lundin Foundation")</f>
        <v/>
      </c>
      <c r="B118" s="78">
        <f>IFERROR(__xludf.DUMMYFUNCTION("""COMPUTED_VALUE"""),"Strategic partner")</f>
        <v/>
      </c>
    </row>
    <row r="119">
      <c r="A119" s="78">
        <f>IFERROR(__xludf.DUMMYFUNCTION("""COMPUTED_VALUE"""),"Aliança Empreendedora")</f>
        <v/>
      </c>
      <c r="B119" s="78">
        <f>IFERROR(__xludf.DUMMYFUNCTION("""COMPUTED_VALUE"""),"Implementation capacity (delivery)")</f>
        <v/>
      </c>
    </row>
    <row r="120">
      <c r="A120" s="78">
        <f>IFERROR(__xludf.DUMMYFUNCTION("""COMPUTED_VALUE"""),"Omidyar Network")</f>
        <v/>
      </c>
      <c r="B120" s="78">
        <f>IFERROR(__xludf.DUMMYFUNCTION("""COMPUTED_VALUE"""),"Funder")</f>
        <v/>
      </c>
    </row>
    <row r="121">
      <c r="A121" s="78">
        <f>IFERROR(__xludf.DUMMYFUNCTION("""COMPUTED_VALUE"""),"Omidyar Network")</f>
        <v/>
      </c>
      <c r="B121" s="78">
        <f>IFERROR(__xludf.DUMMYFUNCTION("""COMPUTED_VALUE"""),"Strategic partner")</f>
        <v/>
      </c>
    </row>
    <row r="122">
      <c r="A122" s="78">
        <f>IFERROR(__xludf.DUMMYFUNCTION("""COMPUTED_VALUE"""),"Fundação Grupo Boticário de Proteção à Natureza")</f>
        <v/>
      </c>
      <c r="B122" s="78">
        <f>IFERROR(__xludf.DUMMYFUNCTION("""COMPUTED_VALUE"""),"Funder")</f>
        <v/>
      </c>
    </row>
    <row r="123">
      <c r="A123" s="78">
        <f>IFERROR(__xludf.DUMMYFUNCTION("""COMPUTED_VALUE"""),"Fundação Grupo Boticário de Proteção à Natureza")</f>
        <v/>
      </c>
      <c r="B123" s="78">
        <f>IFERROR(__xludf.DUMMYFUNCTION("""COMPUTED_VALUE"""),"Project developer / Implementer")</f>
        <v/>
      </c>
    </row>
    <row r="124">
      <c r="A124" s="78">
        <f>IFERROR(__xludf.DUMMYFUNCTION("""COMPUTED_VALUE"""),"Natura")</f>
        <v/>
      </c>
      <c r="B124" s="78">
        <f>IFERROR(__xludf.DUMMYFUNCTION("""COMPUTED_VALUE"""),"Strategic partner")</f>
        <v/>
      </c>
    </row>
    <row r="125">
      <c r="A125" s="78">
        <f>IFERROR(__xludf.DUMMYFUNCTION("""COMPUTED_VALUE"""),"Natura")</f>
        <v/>
      </c>
      <c r="B125" s="78">
        <f>IFERROR(__xludf.DUMMYFUNCTION("""COMPUTED_VALUE"""),"Implementation capacity (delivery)")</f>
        <v/>
      </c>
    </row>
    <row r="126">
      <c r="A126" s="78">
        <f>IFERROR(__xludf.DUMMYFUNCTION("""COMPUTED_VALUE"""),"Programa das Nações Unidas para o Desenvolvimento (PNUD)")</f>
        <v/>
      </c>
      <c r="B126" s="78">
        <f>IFERROR(__xludf.DUMMYFUNCTION("""COMPUTED_VALUE"""),"Strategic partner")</f>
        <v/>
      </c>
    </row>
    <row r="127">
      <c r="A127" s="78">
        <f>IFERROR(__xludf.DUMMYFUNCTION("""COMPUTED_VALUE"""),"Programa das Nações Unidas para o Desenvolvimento (PNUD)")</f>
        <v/>
      </c>
      <c r="B127" s="78">
        <f>IFERROR(__xludf.DUMMYFUNCTION("""COMPUTED_VALUE"""),"Convenor/enablers")</f>
        <v/>
      </c>
    </row>
    <row r="128">
      <c r="A128" s="78">
        <f>IFERROR(__xludf.DUMMYFUNCTION("""COMPUTED_VALUE"""),"Programa das Nações Unidas para o Desenvolvimento (PNUD)")</f>
        <v/>
      </c>
      <c r="B128" s="78">
        <f>IFERROR(__xludf.DUMMYFUNCTION("""COMPUTED_VALUE"""),"Project developer / Implementer")</f>
        <v/>
      </c>
    </row>
    <row r="129">
      <c r="A129" s="78">
        <f>IFERROR(__xludf.DUMMYFUNCTION("""COMPUTED_VALUE"""),"Centro de Empreendedorismo da Amazônia (CEA)")</f>
        <v/>
      </c>
      <c r="B129" s="78">
        <f>IFERROR(__xludf.DUMMYFUNCTION("""COMPUTED_VALUE"""),"Technical assistance / research")</f>
        <v/>
      </c>
    </row>
    <row r="130">
      <c r="A130" s="78">
        <f>IFERROR(__xludf.DUMMYFUNCTION("""COMPUTED_VALUE"""),"Centro de Empreendedorismo da Amazônia (CEA)")</f>
        <v/>
      </c>
      <c r="B130" s="78">
        <f>IFERROR(__xludf.DUMMYFUNCTION("""COMPUTED_VALUE"""),"Implementation capacity (delivery)")</f>
        <v/>
      </c>
    </row>
    <row r="131">
      <c r="A131" s="78">
        <f>IFERROR(__xludf.DUMMYFUNCTION("""COMPUTED_VALUE"""),"Manioca")</f>
        <v/>
      </c>
      <c r="B131" s="78">
        <f>IFERROR(__xludf.DUMMYFUNCTION("""COMPUTED_VALUE"""),"Implementation capacity (delivery)")</f>
        <v/>
      </c>
    </row>
    <row r="132">
      <c r="A132" s="78">
        <f>IFERROR(__xludf.DUMMYFUNCTION("""COMPUTED_VALUE"""),"Instituto Votorantim")</f>
        <v/>
      </c>
      <c r="B132" s="78">
        <f>IFERROR(__xludf.DUMMYFUNCTION("""COMPUTED_VALUE"""),"Funder")</f>
        <v/>
      </c>
    </row>
    <row r="133">
      <c r="A133" s="78">
        <f>IFERROR(__xludf.DUMMYFUNCTION("""COMPUTED_VALUE"""),"Instituto Votorantim")</f>
        <v/>
      </c>
      <c r="B133" s="78">
        <f>IFERROR(__xludf.DUMMYFUNCTION("""COMPUTED_VALUE"""),"Strategic partner")</f>
        <v/>
      </c>
    </row>
    <row r="134">
      <c r="A134" s="78">
        <f>IFERROR(__xludf.DUMMYFUNCTION("""COMPUTED_VALUE"""),"Quintessa")</f>
        <v/>
      </c>
      <c r="B134" s="78">
        <f>IFERROR(__xludf.DUMMYFUNCTION("""COMPUTED_VALUE"""),"Implementation capacity (delivery)")</f>
        <v/>
      </c>
    </row>
    <row r="135">
      <c r="A135" s="78">
        <f>IFERROR(__xludf.DUMMYFUNCTION("""COMPUTED_VALUE"""),"Quintessa")</f>
        <v/>
      </c>
      <c r="B135" s="78">
        <f>IFERROR(__xludf.DUMMYFUNCTION("""COMPUTED_VALUE"""),"Convenor/enablers")</f>
        <v/>
      </c>
    </row>
    <row r="136">
      <c r="A136" s="78">
        <f>IFERROR(__xludf.DUMMYFUNCTION("""COMPUTED_VALUE"""),"De Mendes")</f>
        <v/>
      </c>
      <c r="B136" s="78">
        <f>IFERROR(__xludf.DUMMYFUNCTION("""COMPUTED_VALUE"""),"Implementation capacity (delivery)")</f>
        <v/>
      </c>
    </row>
    <row r="137">
      <c r="A137" s="78">
        <f>IFERROR(__xludf.DUMMYFUNCTION("""COMPUTED_VALUE"""),"Endeva")</f>
        <v/>
      </c>
      <c r="B137" s="78">
        <f>IFERROR(__xludf.DUMMYFUNCTION("""COMPUTED_VALUE"""),"Technical assistance / research")</f>
        <v/>
      </c>
    </row>
    <row r="138">
      <c r="A138" s="78">
        <f>IFERROR(__xludf.DUMMYFUNCTION("""COMPUTED_VALUE"""),"Insper")</f>
        <v/>
      </c>
      <c r="B138" s="78">
        <f>IFERROR(__xludf.DUMMYFUNCTION("""COMPUTED_VALUE"""),"Technical assistance / research")</f>
        <v/>
      </c>
    </row>
    <row r="139">
      <c r="A139" s="78">
        <f>IFERROR(__xludf.DUMMYFUNCTION("""COMPUTED_VALUE"""),"Positive Ventures")</f>
        <v/>
      </c>
      <c r="B139" s="78">
        <f>IFERROR(__xludf.DUMMYFUNCTION("""COMPUTED_VALUE"""),"Capital provider / Financial intermediary")</f>
        <v/>
      </c>
    </row>
    <row r="140">
      <c r="A140" s="78">
        <f>IFERROR(__xludf.DUMMYFUNCTION("""COMPUTED_VALUE"""),"BMW Foundation Herbert Quandt")</f>
        <v/>
      </c>
      <c r="B140" s="78">
        <f>IFERROR(__xludf.DUMMYFUNCTION("""COMPUTED_VALUE"""),"Funder")</f>
        <v/>
      </c>
    </row>
    <row r="141">
      <c r="A141" s="78">
        <f>IFERROR(__xludf.DUMMYFUNCTION("""COMPUTED_VALUE"""),"BMW Foundation Herbert Quandt")</f>
        <v/>
      </c>
      <c r="B141" s="78">
        <f>IFERROR(__xludf.DUMMYFUNCTION("""COMPUTED_VALUE"""),"Convenor/enablers")</f>
        <v/>
      </c>
    </row>
    <row r="142">
      <c r="A142" s="78">
        <f>IFERROR(__xludf.DUMMYFUNCTION("""COMPUTED_VALUE"""),"Ford Foundation")</f>
        <v/>
      </c>
      <c r="B142" s="78">
        <f>IFERROR(__xludf.DUMMYFUNCTION("""COMPUTED_VALUE"""),"Funder")</f>
        <v/>
      </c>
    </row>
    <row r="143">
      <c r="A143" s="78">
        <f>IFERROR(__xludf.DUMMYFUNCTION("""COMPUTED_VALUE"""),"Ford Foundation")</f>
        <v/>
      </c>
      <c r="B143" s="78">
        <f>IFERROR(__xludf.DUMMYFUNCTION("""COMPUTED_VALUE"""),"Strategic partner")</f>
        <v/>
      </c>
    </row>
    <row r="144">
      <c r="A144" s="78">
        <f>IFERROR(__xludf.DUMMYFUNCTION("""COMPUTED_VALUE"""),"Instituto Sabin")</f>
        <v/>
      </c>
      <c r="B144" s="78">
        <f>IFERROR(__xludf.DUMMYFUNCTION("""COMPUTED_VALUE"""),"Funder")</f>
        <v/>
      </c>
    </row>
    <row r="145">
      <c r="A145" s="78">
        <f>IFERROR(__xludf.DUMMYFUNCTION("""COMPUTED_VALUE"""),"Instituto Sabin")</f>
        <v/>
      </c>
      <c r="B145" s="78">
        <f>IFERROR(__xludf.DUMMYFUNCTION("""COMPUTED_VALUE"""),"Territorial anchor")</f>
        <v/>
      </c>
    </row>
    <row r="146">
      <c r="A146" s="78">
        <f>IFERROR(__xludf.DUMMYFUNCTION("""COMPUTED_VALUE"""),"Instituto Phi")</f>
        <v/>
      </c>
      <c r="B146" s="78">
        <f>IFERROR(__xludf.DUMMYFUNCTION("""COMPUTED_VALUE"""),"Project developer / Implementer")</f>
        <v/>
      </c>
    </row>
    <row r="147">
      <c r="A147" s="78">
        <f>IFERROR(__xludf.DUMMYFUNCTION("""COMPUTED_VALUE"""),"Instituto Phi")</f>
        <v/>
      </c>
      <c r="B147" s="78">
        <f>IFERROR(__xludf.DUMMYFUNCTION("""COMPUTED_VALUE"""),"Convenor/enablers")</f>
        <v/>
      </c>
    </row>
    <row r="148">
      <c r="A148" s="78">
        <f>IFERROR(__xludf.DUMMYFUNCTION("""COMPUTED_VALUE"""),"Instituto Phi")</f>
        <v/>
      </c>
      <c r="B148" s="78">
        <f>IFERROR(__xludf.DUMMYFUNCTION("""COMPUTED_VALUE"""),"Implementation capacity (delivery)")</f>
        <v/>
      </c>
    </row>
    <row r="149">
      <c r="A149" s="78">
        <f>IFERROR(__xludf.DUMMYFUNCTION("""COMPUTED_VALUE"""),"Deloitte")</f>
        <v/>
      </c>
      <c r="B149" s="78">
        <f>IFERROR(__xludf.DUMMYFUNCTION("""COMPUTED_VALUE"""),"Technical assistance / research")</f>
        <v/>
      </c>
    </row>
    <row r="150">
      <c r="A150" s="78">
        <f>IFERROR(__xludf.DUMMYFUNCTION("""COMPUTED_VALUE"""),"Deloitte")</f>
        <v/>
      </c>
      <c r="B150" s="78">
        <f>IFERROR(__xludf.DUMMYFUNCTION("""COMPUTED_VALUE"""),"Data / MRV / platforms")</f>
        <v/>
      </c>
    </row>
    <row r="151">
      <c r="A151" s="78">
        <f>IFERROR(__xludf.DUMMYFUNCTION("""COMPUTED_VALUE"""),"Centro de Estudos em Sustentabilidade da FGV (FGVces)")</f>
        <v/>
      </c>
      <c r="B151" s="78">
        <f>IFERROR(__xludf.DUMMYFUNCTION("""COMPUTED_VALUE"""),"Technical assistance / research")</f>
        <v/>
      </c>
    </row>
    <row r="152">
      <c r="A152" s="78">
        <f>IFERROR(__xludf.DUMMYFUNCTION("""COMPUTED_VALUE"""),"Centro de Estudos em Sustentabilidade da FGV (FGVces)")</f>
        <v/>
      </c>
      <c r="B152" s="78">
        <f>IFERROR(__xludf.DUMMYFUNCTION("""COMPUTED_VALUE"""),"Data / MRV / platforms")</f>
        <v/>
      </c>
    </row>
    <row r="153">
      <c r="A153" s="78">
        <f>IFERROR(__xludf.DUMMYFUNCTION("""COMPUTED_VALUE"""),"Fundação Dom Cabral (FDC)")</f>
        <v/>
      </c>
      <c r="B153" s="78">
        <f>IFERROR(__xludf.DUMMYFUNCTION("""COMPUTED_VALUE"""),"Technical assistance / research")</f>
        <v/>
      </c>
    </row>
    <row r="154">
      <c r="A154" s="78">
        <f>IFERROR(__xludf.DUMMYFUNCTION("""COMPUTED_VALUE"""),"Instituto Brasileiro de Governança Corporativa (IBGC)")</f>
        <v/>
      </c>
      <c r="B154" s="78">
        <f>IFERROR(__xludf.DUMMYFUNCTION("""COMPUTED_VALUE"""),"Policy influence / regulation")</f>
        <v/>
      </c>
    </row>
    <row r="155">
      <c r="A155" s="78">
        <f>IFERROR(__xludf.DUMMYFUNCTION("""COMPUTED_VALUE"""),"Instituto Brasileiro de Governança Corporativa (IBGC)")</f>
        <v/>
      </c>
      <c r="B155" s="78">
        <f>IFERROR(__xludf.DUMMYFUNCTION("""COMPUTED_VALUE"""),"Convenor/enablers")</f>
        <v/>
      </c>
    </row>
    <row r="156">
      <c r="A156" s="78">
        <f>IFERROR(__xludf.DUMMYFUNCTION("""COMPUTED_VALUE"""),"Escola Superior de Agricultura Luiz de Queiroz da USP (ESALQ/USP)")</f>
        <v/>
      </c>
      <c r="B156" s="78">
        <f>IFERROR(__xludf.DUMMYFUNCTION("""COMPUTED_VALUE"""),"Technical assistance / research")</f>
        <v/>
      </c>
    </row>
    <row r="157">
      <c r="A157" s="78">
        <f>IFERROR(__xludf.DUMMYFUNCTION("""COMPUTED_VALUE"""),"Bemtevi")</f>
        <v/>
      </c>
      <c r="B157" s="78">
        <f>IFERROR(__xludf.DUMMYFUNCTION("""COMPUTED_VALUE"""),"Capital provider / Financial intermediary")</f>
        <v/>
      </c>
    </row>
    <row r="158">
      <c r="A158" s="78">
        <f>IFERROR(__xludf.DUMMYFUNCTION("""COMPUTED_VALUE"""),"Climate and Land Use Alliance (CLUA)")</f>
        <v/>
      </c>
      <c r="B158" s="78">
        <f>IFERROR(__xludf.DUMMYFUNCTION("""COMPUTED_VALUE"""),"Funder")</f>
        <v/>
      </c>
    </row>
    <row r="159">
      <c r="A159" s="78">
        <f>IFERROR(__xludf.DUMMYFUNCTION("""COMPUTED_VALUE"""),"Climate and Land Use Alliance (CLUA)")</f>
        <v/>
      </c>
      <c r="B159" s="78">
        <f>IFERROR(__xludf.DUMMYFUNCTION("""COMPUTED_VALUE"""),"Strategic partner")</f>
        <v/>
      </c>
    </row>
    <row r="160">
      <c r="A160" s="78">
        <f>IFERROR(__xludf.DUMMYFUNCTION("""COMPUTED_VALUE"""),"AMAZ")</f>
        <v/>
      </c>
      <c r="B160" s="78">
        <f>IFERROR(__xludf.DUMMYFUNCTION("""COMPUTED_VALUE"""),"Capital provider / Financial intermediary")</f>
        <v/>
      </c>
    </row>
    <row r="161">
      <c r="A161" s="78">
        <f>IFERROR(__xludf.DUMMYFUNCTION("""COMPUTED_VALUE"""),"Mercado Livre")</f>
        <v/>
      </c>
      <c r="B161" s="78">
        <f>IFERROR(__xludf.DUMMYFUNCTION("""COMPUTED_VALUE"""),"Strategic partner")</f>
        <v/>
      </c>
    </row>
    <row r="162">
      <c r="A162" s="78">
        <f>IFERROR(__xludf.DUMMYFUNCTION("""COMPUTED_VALUE"""),"Mercado Livre")</f>
        <v/>
      </c>
      <c r="B162" s="78">
        <f>IFERROR(__xludf.DUMMYFUNCTION("""COMPUTED_VALUE"""),"Implementation capacity (delivery)")</f>
        <v/>
      </c>
    </row>
    <row r="163">
      <c r="A163" s="78">
        <f>IFERROR(__xludf.DUMMYFUNCTION("""COMPUTED_VALUE"""),"Amazon")</f>
        <v/>
      </c>
      <c r="B163" s="78">
        <f>IFERROR(__xludf.DUMMYFUNCTION("""COMPUTED_VALUE"""),"Strategic partner")</f>
        <v/>
      </c>
    </row>
    <row r="164">
      <c r="A164" s="78">
        <f>IFERROR(__xludf.DUMMYFUNCTION("""COMPUTED_VALUE"""),"Amazon")</f>
        <v/>
      </c>
      <c r="B164" s="78">
        <f>IFERROR(__xludf.DUMMYFUNCTION("""COMPUTED_VALUE"""),"Implementation capacity (delivery)")</f>
        <v/>
      </c>
    </row>
    <row r="165">
      <c r="A165" s="78">
        <f>IFERROR(__xludf.DUMMYFUNCTION("""COMPUTED_VALUE"""),"CocoaAction Brasil")</f>
        <v/>
      </c>
      <c r="B165" s="78">
        <f>IFERROR(__xludf.DUMMYFUNCTION("""COMPUTED_VALUE"""),"Convenor/enablers")</f>
        <v/>
      </c>
    </row>
    <row r="166">
      <c r="A166" s="78">
        <f>IFERROR(__xludf.DUMMYFUNCTION("""COMPUTED_VALUE"""),"CocoaAction Brasil")</f>
        <v/>
      </c>
      <c r="B166" s="78">
        <f>IFERROR(__xludf.DUMMYFUNCTION("""COMPUTED_VALUE"""),"Project developer / Implementer")</f>
        <v/>
      </c>
    </row>
    <row r="167">
      <c r="A167" s="78">
        <f>IFERROR(__xludf.DUMMYFUNCTION("""COMPUTED_VALUE"""),"Instituto de Pesquisas Ecológicas (IPÊ)")</f>
        <v/>
      </c>
      <c r="B167" s="78">
        <f>IFERROR(__xludf.DUMMYFUNCTION("""COMPUTED_VALUE"""),"Technical assistance / research")</f>
        <v/>
      </c>
    </row>
    <row r="168">
      <c r="A168" s="78">
        <f>IFERROR(__xludf.DUMMYFUNCTION("""COMPUTED_VALUE"""),"Instituto de Pesquisas Ecológicas (IPÊ)")</f>
        <v/>
      </c>
      <c r="B168" s="78">
        <f>IFERROR(__xludf.DUMMYFUNCTION("""COMPUTED_VALUE"""),"Project developer / Implementer")</f>
        <v/>
      </c>
    </row>
    <row r="169">
      <c r="A169" s="78">
        <f>IFERROR(__xludf.DUMMYFUNCTION("""COMPUTED_VALUE"""),"Comunitas")</f>
        <v/>
      </c>
      <c r="B169" s="78">
        <f>IFERROR(__xludf.DUMMYFUNCTION("""COMPUTED_VALUE"""),"Convenor/enablers")</f>
        <v/>
      </c>
    </row>
    <row r="170">
      <c r="A170" s="78">
        <f>IFERROR(__xludf.DUMMYFUNCTION("""COMPUTED_VALUE"""),"Comunitas")</f>
        <v/>
      </c>
      <c r="B170" s="78">
        <f>IFERROR(__xludf.DUMMYFUNCTION("""COMPUTED_VALUE"""),"Policy influence / regulation")</f>
        <v/>
      </c>
    </row>
    <row r="171">
      <c r="A171" s="78">
        <f>IFERROR(__xludf.DUMMYFUNCTION("""COMPUTED_VALUE"""),"Fundação Oswaldo Cruz (Fiocruz)")</f>
        <v/>
      </c>
      <c r="B171" s="78">
        <f>IFERROR(__xludf.DUMMYFUNCTION("""COMPUTED_VALUE"""),"Technical assistance / research")</f>
        <v/>
      </c>
    </row>
    <row r="172">
      <c r="A172" s="78">
        <f>IFERROR(__xludf.DUMMYFUNCTION("""COMPUTED_VALUE"""),"Fundação Oswaldo Cruz (Fiocruz)")</f>
        <v/>
      </c>
      <c r="B172" s="78">
        <f>IFERROR(__xludf.DUMMYFUNCTION("""COMPUTED_VALUE"""),"Territorial anchor")</f>
        <v/>
      </c>
    </row>
    <row r="173">
      <c r="A173" s="78">
        <f>IFERROR(__xludf.DUMMYFUNCTION("""COMPUTED_VALUE"""),"Universidade de Brasília (UnB)")</f>
        <v/>
      </c>
      <c r="B173" s="78">
        <f>IFERROR(__xludf.DUMMYFUNCTION("""COMPUTED_VALUE"""),"Technical assistance / research")</f>
        <v/>
      </c>
    </row>
    <row r="174">
      <c r="A174" s="78">
        <f>IFERROR(__xludf.DUMMYFUNCTION("""COMPUTED_VALUE"""),"Universidade Federal do Pará (UFPA)")</f>
        <v/>
      </c>
      <c r="B174" s="78">
        <f>IFERROR(__xludf.DUMMYFUNCTION("""COMPUTED_VALUE"""),"Technical assistance / research")</f>
        <v/>
      </c>
    </row>
    <row r="175">
      <c r="A175" s="78">
        <f>IFERROR(__xludf.DUMMYFUNCTION("""COMPUTED_VALUE"""),"Universidade Federal do Pará (UFPA)")</f>
        <v/>
      </c>
      <c r="B175" s="78">
        <f>IFERROR(__xludf.DUMMYFUNCTION("""COMPUTED_VALUE"""),"Territorial anchor")</f>
        <v/>
      </c>
    </row>
    <row r="176">
      <c r="A176" s="78">
        <f>IFERROR(__xludf.DUMMYFUNCTION("""COMPUTED_VALUE"""),"Universidade de São Paulo (USP)")</f>
        <v/>
      </c>
      <c r="B176" s="78">
        <f>IFERROR(__xludf.DUMMYFUNCTION("""COMPUTED_VALUE"""),"Technical assistance / research")</f>
        <v/>
      </c>
    </row>
    <row r="177">
      <c r="A177" s="78">
        <f>IFERROR(__xludf.DUMMYFUNCTION("""COMPUTED_VALUE"""),"Fundação Nacional dos Povos Indígenas (FUNAI)")</f>
        <v/>
      </c>
      <c r="B177" s="78">
        <f>IFERROR(__xludf.DUMMYFUNCTION("""COMPUTED_VALUE"""),"Policy influence / regulation")</f>
        <v/>
      </c>
    </row>
    <row r="178">
      <c r="A178" s="78">
        <f>IFERROR(__xludf.DUMMYFUNCTION("""COMPUTED_VALUE"""),"Fundação Nacional dos Povos Indígenas (FUNAI)")</f>
        <v/>
      </c>
      <c r="B178" s="78">
        <f>IFERROR(__xludf.DUMMYFUNCTION("""COMPUTED_VALUE"""),"Territorial anchor")</f>
        <v/>
      </c>
    </row>
    <row r="179">
      <c r="A179" s="78">
        <f>IFERROR(__xludf.DUMMYFUNCTION("""COMPUTED_VALUE"""),"Fundação Brasileira para o Desenvolvimento Sustentável (FBDS)")</f>
        <v/>
      </c>
      <c r="B179" s="78">
        <f>IFERROR(__xludf.DUMMYFUNCTION("""COMPUTED_VALUE"""),"Technical assistance / research")</f>
        <v/>
      </c>
    </row>
    <row r="180">
      <c r="A180" s="78">
        <f>IFERROR(__xludf.DUMMYFUNCTION("""COMPUTED_VALUE"""),"Fundação Brasileira para o Desenvolvimento Sustentável (FBDS)")</f>
        <v/>
      </c>
      <c r="B180" s="78">
        <f>IFERROR(__xludf.DUMMYFUNCTION("""COMPUTED_VALUE"""),"Strategic partner")</f>
        <v/>
      </c>
    </row>
    <row r="181">
      <c r="A181" s="78">
        <f>IFERROR(__xludf.DUMMYFUNCTION("""COMPUTED_VALUE"""),"Grupo Terra Nova")</f>
        <v/>
      </c>
      <c r="B181" s="78">
        <f>IFERROR(__xludf.DUMMYFUNCTION("""COMPUTED_VALUE"""),"Implementation capacity (delivery)")</f>
        <v/>
      </c>
    </row>
    <row r="182">
      <c r="A182" s="78">
        <f>IFERROR(__xludf.DUMMYFUNCTION("""COMPUTED_VALUE"""),"Grupo Aterpa")</f>
        <v/>
      </c>
      <c r="B182" s="78">
        <f>IFERROR(__xludf.DUMMYFUNCTION("""COMPUTED_VALUE"""),"Implementation capacity (delivery)")</f>
        <v/>
      </c>
    </row>
    <row r="183">
      <c r="A183" s="78">
        <f>IFERROR(__xludf.DUMMYFUNCTION("""COMPUTED_VALUE"""),"Observatório do Clima")</f>
        <v/>
      </c>
      <c r="B183" s="78">
        <f>IFERROR(__xludf.DUMMYFUNCTION("""COMPUTED_VALUE"""),"Policy influence / regulation")</f>
        <v/>
      </c>
    </row>
    <row r="184">
      <c r="A184" s="78">
        <f>IFERROR(__xludf.DUMMYFUNCTION("""COMPUTED_VALUE"""),"Observatório do Clima")</f>
        <v/>
      </c>
      <c r="B184" s="78">
        <f>IFERROR(__xludf.DUMMYFUNCTION("""COMPUTED_VALUE"""),"Convenor/enablers")</f>
        <v/>
      </c>
    </row>
    <row r="185">
      <c r="A185" s="78">
        <f>IFERROR(__xludf.DUMMYFUNCTION("""COMPUTED_VALUE"""),"United States Agency for International Development (USAID)")</f>
        <v/>
      </c>
      <c r="B185" s="78">
        <f>IFERROR(__xludf.DUMMYFUNCTION("""COMPUTED_VALUE"""),"Funder")</f>
        <v/>
      </c>
    </row>
    <row r="186">
      <c r="A186" s="78">
        <f>IFERROR(__xludf.DUMMYFUNCTION("""COMPUTED_VALUE"""),"United States Agency for International Development (USAID)")</f>
        <v/>
      </c>
      <c r="B186" s="78">
        <f>IFERROR(__xludf.DUMMYFUNCTION("""COMPUTED_VALUE"""),"Strategic partner")</f>
        <v/>
      </c>
    </row>
    <row r="187">
      <c r="A187" s="78">
        <f>IFERROR(__xludf.DUMMYFUNCTION("""COMPUTED_VALUE"""),"Gordon and Betty Moore Foundation")</f>
        <v/>
      </c>
      <c r="B187" s="78">
        <f>IFERROR(__xludf.DUMMYFUNCTION("""COMPUTED_VALUE"""),"Funder")</f>
        <v/>
      </c>
    </row>
    <row r="188">
      <c r="A188" s="78">
        <f>IFERROR(__xludf.DUMMYFUNCTION("""COMPUTED_VALUE"""),"Gordon and Betty Moore Foundation")</f>
        <v/>
      </c>
      <c r="B188" s="78">
        <f>IFERROR(__xludf.DUMMYFUNCTION("""COMPUTED_VALUE"""),"Strategic partner")</f>
        <v/>
      </c>
    </row>
    <row r="189">
      <c r="A189" s="78">
        <f>IFERROR(__xludf.DUMMYFUNCTION("""COMPUTED_VALUE"""),"Fundação Avina")</f>
        <v/>
      </c>
      <c r="B189" s="78">
        <f>IFERROR(__xludf.DUMMYFUNCTION("""COMPUTED_VALUE"""),"Funder")</f>
        <v/>
      </c>
    </row>
    <row r="190">
      <c r="A190" s="78">
        <f>IFERROR(__xludf.DUMMYFUNCTION("""COMPUTED_VALUE"""),"Fundação Avina")</f>
        <v/>
      </c>
      <c r="B190" s="78">
        <f>IFERROR(__xludf.DUMMYFUNCTION("""COMPUTED_VALUE"""),"Strategic partner")</f>
        <v/>
      </c>
    </row>
    <row r="191">
      <c r="A191" s="78">
        <f>IFERROR(__xludf.DUMMYFUNCTION("""COMPUTED_VALUE"""),"Fundação Avina")</f>
        <v/>
      </c>
      <c r="B191" s="78">
        <f>IFERROR(__xludf.DUMMYFUNCTION("""COMPUTED_VALUE"""),"Convenor/enablers")</f>
        <v/>
      </c>
    </row>
    <row r="192">
      <c r="A192" s="78">
        <f>IFERROR(__xludf.DUMMYFUNCTION("""COMPUTED_VALUE"""),"William and Flora Hewlett Foundation")</f>
        <v/>
      </c>
      <c r="B192" s="78">
        <f>IFERROR(__xludf.DUMMYFUNCTION("""COMPUTED_VALUE"""),"Funder")</f>
        <v/>
      </c>
    </row>
    <row r="193">
      <c r="A193" s="78">
        <f>IFERROR(__xludf.DUMMYFUNCTION("""COMPUTED_VALUE"""),"William and Flora Hewlett Foundation")</f>
        <v/>
      </c>
      <c r="B193" s="78">
        <f>IFERROR(__xludf.DUMMYFUNCTION("""COMPUTED_VALUE"""),"Strategic partner")</f>
        <v/>
      </c>
    </row>
    <row r="194">
      <c r="A194" s="78">
        <f>IFERROR(__xludf.DUMMYFUNCTION("""COMPUTED_VALUE"""),"ClimateWorks Foundation")</f>
        <v/>
      </c>
      <c r="B194" s="78">
        <f>IFERROR(__xludf.DUMMYFUNCTION("""COMPUTED_VALUE"""),"Funder")</f>
        <v/>
      </c>
    </row>
    <row r="195">
      <c r="A195" s="78">
        <f>IFERROR(__xludf.DUMMYFUNCTION("""COMPUTED_VALUE"""),"ClimateWorks Foundation")</f>
        <v/>
      </c>
      <c r="B195" s="78">
        <f>IFERROR(__xludf.DUMMYFUNCTION("""COMPUTED_VALUE"""),"Strategic partner")</f>
        <v/>
      </c>
    </row>
    <row r="196">
      <c r="A196" s="78">
        <f>IFERROR(__xludf.DUMMYFUNCTION("""COMPUTED_VALUE"""),"ClimateWorks Foundation")</f>
        <v/>
      </c>
      <c r="B196" s="78">
        <f>IFERROR(__xludf.DUMMYFUNCTION("""COMPUTED_VALUE"""),"Technical assistance / research")</f>
        <v/>
      </c>
    </row>
    <row r="197">
      <c r="A197" s="78">
        <f>IFERROR(__xludf.DUMMYFUNCTION("""COMPUTED_VALUE"""),"Children’s Investment Fund Foundation (CIFF)")</f>
        <v/>
      </c>
      <c r="B197" s="78">
        <f>IFERROR(__xludf.DUMMYFUNCTION("""COMPUTED_VALUE"""),"Funder")</f>
        <v/>
      </c>
    </row>
    <row r="198">
      <c r="A198" s="78">
        <f>IFERROR(__xludf.DUMMYFUNCTION("""COMPUTED_VALUE"""),"Children’s Investment Fund Foundation (CIFF)")</f>
        <v/>
      </c>
      <c r="B198" s="78">
        <f>IFERROR(__xludf.DUMMYFUNCTION("""COMPUTED_VALUE"""),"Strategic partner")</f>
        <v/>
      </c>
    </row>
    <row r="199">
      <c r="A199" s="78">
        <f>IFERROR(__xludf.DUMMYFUNCTION("""COMPUTED_VALUE"""),"Oak Foundation")</f>
        <v/>
      </c>
      <c r="B199" s="78">
        <f>IFERROR(__xludf.DUMMYFUNCTION("""COMPUTED_VALUE"""),"Funder")</f>
        <v/>
      </c>
    </row>
    <row r="200">
      <c r="A200" s="78">
        <f>IFERROR(__xludf.DUMMYFUNCTION("""COMPUTED_VALUE"""),"Oak Foundation")</f>
        <v/>
      </c>
      <c r="B200" s="78">
        <f>IFERROR(__xludf.DUMMYFUNCTION("""COMPUTED_VALUE"""),"Strategic partner")</f>
        <v/>
      </c>
    </row>
    <row r="201">
      <c r="A201" s="78">
        <f>IFERROR(__xludf.DUMMYFUNCTION("""COMPUTED_VALUE"""),"Ministério de Minas e Energia (MME)")</f>
        <v/>
      </c>
      <c r="B201" s="78">
        <f>IFERROR(__xludf.DUMMYFUNCTION("""COMPUTED_VALUE"""),"Policy influence / regulation")</f>
        <v/>
      </c>
    </row>
    <row r="202">
      <c r="A202" s="78">
        <f>IFERROR(__xludf.DUMMYFUNCTION("""COMPUTED_VALUE"""),"Empresa de Pesquisa Energética (EPE)")</f>
        <v/>
      </c>
      <c r="B202" s="78">
        <f>IFERROR(__xludf.DUMMYFUNCTION("""COMPUTED_VALUE"""),"Technical assistance / research")</f>
        <v/>
      </c>
    </row>
    <row r="203">
      <c r="A203" s="78">
        <f>IFERROR(__xludf.DUMMYFUNCTION("""COMPUTED_VALUE"""),"Empresa de Pesquisa Energética (EPE)")</f>
        <v/>
      </c>
      <c r="B203" s="78">
        <f>IFERROR(__xludf.DUMMYFUNCTION("""COMPUTED_VALUE"""),"Policy influence / regulation")</f>
        <v/>
      </c>
    </row>
    <row r="204">
      <c r="A204" s="78">
        <f>IFERROR(__xludf.DUMMYFUNCTION("""COMPUTED_VALUE"""),"Agência Nacional de Energia Elétrica (ANEEL)")</f>
        <v/>
      </c>
      <c r="B204" s="78">
        <f>IFERROR(__xludf.DUMMYFUNCTION("""COMPUTED_VALUE"""),"Policy influence / regulation")</f>
        <v/>
      </c>
    </row>
    <row r="205">
      <c r="A205" s="78">
        <f>IFERROR(__xludf.DUMMYFUNCTION("""COMPUTED_VALUE"""),"Operador Nacional do Sistema Elétrico (ONS)")</f>
        <v/>
      </c>
      <c r="B205" s="78">
        <f>IFERROR(__xludf.DUMMYFUNCTION("""COMPUTED_VALUE"""),"Policy influence / regulation")</f>
        <v/>
      </c>
    </row>
    <row r="206">
      <c r="A206" s="78">
        <f>IFERROR(__xludf.DUMMYFUNCTION("""COMPUTED_VALUE"""),"Operador Nacional do Sistema Elétrico (ONS)")</f>
        <v/>
      </c>
      <c r="B206" s="78">
        <f>IFERROR(__xludf.DUMMYFUNCTION("""COMPUTED_VALUE"""),"Data / MRV / platforms")</f>
        <v/>
      </c>
    </row>
    <row r="207">
      <c r="A207" s="78">
        <f>IFERROR(__xludf.DUMMYFUNCTION("""COMPUTED_VALUE"""),"Neoenergia")</f>
        <v/>
      </c>
      <c r="B207" s="78">
        <f>IFERROR(__xludf.DUMMYFUNCTION("""COMPUTED_VALUE"""),"Strategic partner")</f>
        <v/>
      </c>
    </row>
    <row r="208">
      <c r="A208" s="78">
        <f>IFERROR(__xludf.DUMMYFUNCTION("""COMPUTED_VALUE"""),"Neoenergia")</f>
        <v/>
      </c>
      <c r="B208" s="78">
        <f>IFERROR(__xludf.DUMMYFUNCTION("""COMPUTED_VALUE"""),"Implementation capacity (delivery)")</f>
        <v/>
      </c>
    </row>
    <row r="209">
      <c r="A209" s="78">
        <f>IFERROR(__xludf.DUMMYFUNCTION("""COMPUTED_VALUE"""),"CPFL Energia")</f>
        <v/>
      </c>
      <c r="B209" s="78">
        <f>IFERROR(__xludf.DUMMYFUNCTION("""COMPUTED_VALUE"""),"Strategic partner")</f>
        <v/>
      </c>
    </row>
    <row r="210">
      <c r="A210" s="78">
        <f>IFERROR(__xludf.DUMMYFUNCTION("""COMPUTED_VALUE"""),"CPFL Energia")</f>
        <v/>
      </c>
      <c r="B210" s="78">
        <f>IFERROR(__xludf.DUMMYFUNCTION("""COMPUTED_VALUE"""),"Implementation capacity (delivery)")</f>
        <v/>
      </c>
    </row>
    <row r="211">
      <c r="A211" s="78">
        <f>IFERROR(__xludf.DUMMYFUNCTION("""COMPUTED_VALUE"""),"Engie Brasil")</f>
        <v/>
      </c>
      <c r="B211" s="78">
        <f>IFERROR(__xludf.DUMMYFUNCTION("""COMPUTED_VALUE"""),"Strategic partner")</f>
        <v/>
      </c>
    </row>
    <row r="212">
      <c r="A212" s="78">
        <f>IFERROR(__xludf.DUMMYFUNCTION("""COMPUTED_VALUE"""),"Engie Brasil")</f>
        <v/>
      </c>
      <c r="B212" s="78">
        <f>IFERROR(__xludf.DUMMYFUNCTION("""COMPUTED_VALUE"""),"Implementation capacity (delivery)")</f>
        <v/>
      </c>
    </row>
    <row r="213">
      <c r="A213" s="78">
        <f>IFERROR(__xludf.DUMMYFUNCTION("""COMPUTED_VALUE"""),"EDP Brasil")</f>
        <v/>
      </c>
      <c r="B213" s="78">
        <f>IFERROR(__xludf.DUMMYFUNCTION("""COMPUTED_VALUE"""),"Strategic partner")</f>
        <v/>
      </c>
    </row>
    <row r="214">
      <c r="A214" s="78">
        <f>IFERROR(__xludf.DUMMYFUNCTION("""COMPUTED_VALUE"""),"EDP Brasil")</f>
        <v/>
      </c>
      <c r="B214" s="78">
        <f>IFERROR(__xludf.DUMMYFUNCTION("""COMPUTED_VALUE"""),"Implementation capacity (delivery)")</f>
        <v/>
      </c>
    </row>
    <row r="215">
      <c r="A215" s="78">
        <f>IFERROR(__xludf.DUMMYFUNCTION("""COMPUTED_VALUE"""),"Enel Brasil")</f>
        <v/>
      </c>
      <c r="B215" s="78">
        <f>IFERROR(__xludf.DUMMYFUNCTION("""COMPUTED_VALUE"""),"Strategic partner")</f>
        <v/>
      </c>
    </row>
    <row r="216">
      <c r="A216" s="78">
        <f>IFERROR(__xludf.DUMMYFUNCTION("""COMPUTED_VALUE"""),"Enel Brasil")</f>
        <v/>
      </c>
      <c r="B216" s="78">
        <f>IFERROR(__xludf.DUMMYFUNCTION("""COMPUTED_VALUE"""),"Implementation capacity (delivery)")</f>
        <v/>
      </c>
    </row>
    <row r="217">
      <c r="A217" s="78">
        <f>IFERROR(__xludf.DUMMYFUNCTION("""COMPUTED_VALUE"""),"Eletrobras")</f>
        <v/>
      </c>
      <c r="B217" s="78">
        <f>IFERROR(__xludf.DUMMYFUNCTION("""COMPUTED_VALUE"""),"Strategic partner")</f>
        <v/>
      </c>
    </row>
    <row r="218">
      <c r="A218" s="78">
        <f>IFERROR(__xludf.DUMMYFUNCTION("""COMPUTED_VALUE"""),"Eletrobras")</f>
        <v/>
      </c>
      <c r="B218" s="78">
        <f>IFERROR(__xludf.DUMMYFUNCTION("""COMPUTED_VALUE"""),"Implementation capacity (delivery)")</f>
        <v/>
      </c>
    </row>
    <row r="219">
      <c r="A219" s="78">
        <f>IFERROR(__xludf.DUMMYFUNCTION("""COMPUTED_VALUE"""),"Instituto de Energia e Meio Ambiente (IEMA)")</f>
        <v/>
      </c>
      <c r="B219" s="78">
        <f>IFERROR(__xludf.DUMMYFUNCTION("""COMPUTED_VALUE"""),"Technical assistance / research")</f>
        <v/>
      </c>
    </row>
    <row r="220">
      <c r="A220" s="78">
        <f>IFERROR(__xludf.DUMMYFUNCTION("""COMPUTED_VALUE"""),"Instituto de Energia e Meio Ambiente (IEMA)")</f>
        <v/>
      </c>
      <c r="B220" s="78">
        <f>IFERROR(__xludf.DUMMYFUNCTION("""COMPUTED_VALUE"""),"Policy influence / regulation")</f>
        <v/>
      </c>
    </row>
    <row r="221">
      <c r="A221" s="78">
        <f>IFERROR(__xludf.DUMMYFUNCTION("""COMPUTED_VALUE"""),"Instituto E+ Transição Energética (E+)")</f>
        <v/>
      </c>
      <c r="B221" s="78">
        <f>IFERROR(__xludf.DUMMYFUNCTION("""COMPUTED_VALUE"""),"Technical assistance / research")</f>
        <v/>
      </c>
    </row>
    <row r="222">
      <c r="A222" s="78">
        <f>IFERROR(__xludf.DUMMYFUNCTION("""COMPUTED_VALUE"""),"Instituto E+ Transição Energética (E+)")</f>
        <v/>
      </c>
      <c r="B222" s="78">
        <f>IFERROR(__xludf.DUMMYFUNCTION("""COMPUTED_VALUE"""),"Policy influence / regulation")</f>
        <v/>
      </c>
    </row>
    <row r="223">
      <c r="A223" s="78">
        <f>IFERROR(__xludf.DUMMYFUNCTION("""COMPUTED_VALUE"""),"European Climate Foundation (ECF)")</f>
        <v/>
      </c>
      <c r="B223" s="78">
        <f>IFERROR(__xludf.DUMMYFUNCTION("""COMPUTED_VALUE"""),"Funder")</f>
        <v/>
      </c>
    </row>
    <row r="224">
      <c r="A224" s="78">
        <f>IFERROR(__xludf.DUMMYFUNCTION("""COMPUTED_VALUE"""),"European Climate Foundation (ECF)")</f>
        <v/>
      </c>
      <c r="B224" s="78">
        <f>IFERROR(__xludf.DUMMYFUNCTION("""COMPUTED_VALUE"""),"Strategic partner")</f>
        <v/>
      </c>
    </row>
    <row r="225">
      <c r="A225" s="78">
        <f>IFERROR(__xludf.DUMMYFUNCTION("""COMPUTED_VALUE"""),"Quadrature Climate Foundation")</f>
        <v/>
      </c>
      <c r="B225" s="78">
        <f>IFERROR(__xludf.DUMMYFUNCTION("""COMPUTED_VALUE"""),"Funder")</f>
        <v/>
      </c>
    </row>
    <row r="226">
      <c r="A226" s="78">
        <f>IFERROR(__xludf.DUMMYFUNCTION("""COMPUTED_VALUE"""),"Quadrature Climate Foundation")</f>
        <v/>
      </c>
      <c r="B226" s="78">
        <f>IFERROR(__xludf.DUMMYFUNCTION("""COMPUTED_VALUE"""),"Strategic partner")</f>
        <v/>
      </c>
    </row>
    <row r="227">
      <c r="A227" s="78">
        <f>IFERROR(__xludf.DUMMYFUNCTION("""COMPUTED_VALUE"""),"Ministério das Cidades")</f>
        <v/>
      </c>
      <c r="B227" s="78">
        <f>IFERROR(__xludf.DUMMYFUNCTION("""COMPUTED_VALUE"""),"Policy influence / regulation")</f>
        <v/>
      </c>
    </row>
    <row r="228">
      <c r="A228" s="78">
        <f>IFERROR(__xludf.DUMMYFUNCTION("""COMPUTED_VALUE"""),"Ministério das Cidades")</f>
        <v/>
      </c>
      <c r="B228" s="78">
        <f>IFERROR(__xludf.DUMMYFUNCTION("""COMPUTED_VALUE"""),"Territorial anchor")</f>
        <v/>
      </c>
    </row>
    <row r="229">
      <c r="A229" s="78">
        <f>IFERROR(__xludf.DUMMYFUNCTION("""COMPUTED_VALUE"""),"Agência Nacional de Transportes Terrestres (ANTT)")</f>
        <v/>
      </c>
      <c r="B229" s="78">
        <f>IFERROR(__xludf.DUMMYFUNCTION("""COMPUTED_VALUE"""),"Policy influence / regulation")</f>
        <v/>
      </c>
    </row>
    <row r="230">
      <c r="A230" s="78">
        <f>IFERROR(__xludf.DUMMYFUNCTION("""COMPUTED_VALUE"""),"Agência Nacional de Transportes Aquaviários (ANTAQ)")</f>
        <v/>
      </c>
      <c r="B230" s="78">
        <f>IFERROR(__xludf.DUMMYFUNCTION("""COMPUTED_VALUE"""),"Policy influence / regulation")</f>
        <v/>
      </c>
    </row>
    <row r="231">
      <c r="A231" s="78">
        <f>IFERROR(__xludf.DUMMYFUNCTION("""COMPUTED_VALUE"""),"CCR S.A. (Grupo CCR)")</f>
        <v/>
      </c>
      <c r="B231" s="78">
        <f>IFERROR(__xludf.DUMMYFUNCTION("""COMPUTED_VALUE"""),"Strategic partner")</f>
        <v/>
      </c>
    </row>
    <row r="232">
      <c r="A232" s="78">
        <f>IFERROR(__xludf.DUMMYFUNCTION("""COMPUTED_VALUE"""),"CCR S.A. (Grupo CCR)")</f>
        <v/>
      </c>
      <c r="B232" s="78">
        <f>IFERROR(__xludf.DUMMYFUNCTION("""COMPUTED_VALUE"""),"Implementation capacity (delivery)")</f>
        <v/>
      </c>
    </row>
    <row r="233">
      <c r="A233" s="78">
        <f>IFERROR(__xludf.DUMMYFUNCTION("""COMPUTED_VALUE"""),"EcoRodovias")</f>
        <v/>
      </c>
      <c r="B233" s="78">
        <f>IFERROR(__xludf.DUMMYFUNCTION("""COMPUTED_VALUE"""),"Strategic partner")</f>
        <v/>
      </c>
    </row>
    <row r="234">
      <c r="A234" s="78">
        <f>IFERROR(__xludf.DUMMYFUNCTION("""COMPUTED_VALUE"""),"EcoRodovias")</f>
        <v/>
      </c>
      <c r="B234" s="78">
        <f>IFERROR(__xludf.DUMMYFUNCTION("""COMPUTED_VALUE"""),"Implementation capacity (delivery)")</f>
        <v/>
      </c>
    </row>
    <row r="235">
      <c r="A235" s="78">
        <f>IFERROR(__xludf.DUMMYFUNCTION("""COMPUTED_VALUE"""),"BYD Brasil")</f>
        <v/>
      </c>
      <c r="B235" s="78">
        <f>IFERROR(__xludf.DUMMYFUNCTION("""COMPUTED_VALUE"""),"Strategic partner")</f>
        <v/>
      </c>
    </row>
    <row r="236">
      <c r="A236" s="78">
        <f>IFERROR(__xludf.DUMMYFUNCTION("""COMPUTED_VALUE"""),"BYD Brasil")</f>
        <v/>
      </c>
      <c r="B236" s="78">
        <f>IFERROR(__xludf.DUMMYFUNCTION("""COMPUTED_VALUE"""),"Implementation capacity (delivery)")</f>
        <v/>
      </c>
    </row>
    <row r="237">
      <c r="A237" s="78">
        <f>IFERROR(__xludf.DUMMYFUNCTION("""COMPUTED_VALUE"""),"Volvo Buses Latin America")</f>
        <v/>
      </c>
      <c r="B237" s="78">
        <f>IFERROR(__xludf.DUMMYFUNCTION("""COMPUTED_VALUE"""),"Strategic partner")</f>
        <v/>
      </c>
    </row>
    <row r="238">
      <c r="A238" s="78">
        <f>IFERROR(__xludf.DUMMYFUNCTION("""COMPUTED_VALUE"""),"Volvo Buses Latin America")</f>
        <v/>
      </c>
      <c r="B238" s="78">
        <f>IFERROR(__xludf.DUMMYFUNCTION("""COMPUTED_VALUE"""),"Implementation capacity (delivery)")</f>
        <v/>
      </c>
    </row>
    <row r="239">
      <c r="A239" s="78">
        <f>IFERROR(__xludf.DUMMYFUNCTION("""COMPUTED_VALUE"""),"Mercedes-Benz Brasil")</f>
        <v/>
      </c>
      <c r="B239" s="78">
        <f>IFERROR(__xludf.DUMMYFUNCTION("""COMPUTED_VALUE"""),"Strategic partner")</f>
        <v/>
      </c>
    </row>
    <row r="240">
      <c r="A240" s="78">
        <f>IFERROR(__xludf.DUMMYFUNCTION("""COMPUTED_VALUE"""),"Mercedes-Benz Brasil")</f>
        <v/>
      </c>
      <c r="B240" s="78">
        <f>IFERROR(__xludf.DUMMYFUNCTION("""COMPUTED_VALUE"""),"Implementation capacity (delivery)")</f>
        <v/>
      </c>
    </row>
    <row r="241">
      <c r="A241" s="78">
        <f>IFERROR(__xludf.DUMMYFUNCTION("""COMPUTED_VALUE"""),"Instituto de Políticas de Transporte e Desenvolvimento (ITDP Brasil)")</f>
        <v/>
      </c>
      <c r="B241" s="78">
        <f>IFERROR(__xludf.DUMMYFUNCTION("""COMPUTED_VALUE"""),"Technical assistance / research")</f>
        <v/>
      </c>
    </row>
    <row r="242">
      <c r="A242" s="78">
        <f>IFERROR(__xludf.DUMMYFUNCTION("""COMPUTED_VALUE"""),"Instituto de Políticas de Transporte e Desenvolvimento (ITDP Brasil)")</f>
        <v/>
      </c>
      <c r="B242" s="78">
        <f>IFERROR(__xludf.DUMMYFUNCTION("""COMPUTED_VALUE"""),"Policy influence / regulation")</f>
        <v/>
      </c>
    </row>
    <row r="243">
      <c r="A243" s="78">
        <f>IFERROR(__xludf.DUMMYFUNCTION("""COMPUTED_VALUE"""),"Caixa Econômica Federal")</f>
        <v/>
      </c>
      <c r="B243" s="78">
        <f>IFERROR(__xludf.DUMMYFUNCTION("""COMPUTED_VALUE"""),"Capital provider / Financial intermediary")</f>
        <v/>
      </c>
    </row>
    <row r="244">
      <c r="A244" s="78">
        <f>IFERROR(__xludf.DUMMYFUNCTION("""COMPUTED_VALUE"""),"Caixa Econômica Federal")</f>
        <v/>
      </c>
      <c r="B244" s="78">
        <f>IFERROR(__xludf.DUMMYFUNCTION("""COMPUTED_VALUE"""),"Territorial anchor")</f>
        <v/>
      </c>
    </row>
    <row r="245">
      <c r="A245" s="78">
        <f>IFERROR(__xludf.DUMMYFUNCTION("""COMPUTED_VALUE"""),"MRV")</f>
        <v/>
      </c>
      <c r="B245" s="78">
        <f>IFERROR(__xludf.DUMMYFUNCTION("""COMPUTED_VALUE"""),"Implementation capacity (delivery)")</f>
        <v/>
      </c>
    </row>
    <row r="246">
      <c r="A246" s="78">
        <f>IFERROR(__xludf.DUMMYFUNCTION("""COMPUTED_VALUE"""),"Tenda")</f>
        <v/>
      </c>
      <c r="B246" s="78">
        <f>IFERROR(__xludf.DUMMYFUNCTION("""COMPUTED_VALUE"""),"Implementation capacity (delivery)")</f>
        <v/>
      </c>
    </row>
    <row r="247">
      <c r="A247" s="78">
        <f>IFERROR(__xludf.DUMMYFUNCTION("""COMPUTED_VALUE"""),"Cyrela")</f>
        <v/>
      </c>
      <c r="B247" s="78">
        <f>IFERROR(__xludf.DUMMYFUNCTION("""COMPUTED_VALUE"""),"Implementation capacity (delivery)")</f>
        <v/>
      </c>
    </row>
    <row r="248">
      <c r="A248" s="78">
        <f>IFERROR(__xludf.DUMMYFUNCTION("""COMPUTED_VALUE"""),"Votorantim Cimentos")</f>
        <v/>
      </c>
      <c r="B248" s="78">
        <f>IFERROR(__xludf.DUMMYFUNCTION("""COMPUTED_VALUE"""),"Implementation capacity (delivery)")</f>
        <v/>
      </c>
    </row>
    <row r="249">
      <c r="A249" s="78">
        <f>IFERROR(__xludf.DUMMYFUNCTION("""COMPUTED_VALUE"""),"InterCement")</f>
        <v/>
      </c>
      <c r="B249" s="78">
        <f>IFERROR(__xludf.DUMMYFUNCTION("""COMPUTED_VALUE"""),"Implementation capacity (delivery)")</f>
        <v/>
      </c>
    </row>
    <row r="250">
      <c r="A250" s="78">
        <f>IFERROR(__xludf.DUMMYFUNCTION("""COMPUTED_VALUE"""),"Green Building Council Brasil (GBC Brasil)")</f>
        <v/>
      </c>
      <c r="B250" s="78">
        <f>IFERROR(__xludf.DUMMYFUNCTION("""COMPUTED_VALUE"""),"Technical assistance / research")</f>
        <v/>
      </c>
    </row>
    <row r="251">
      <c r="A251" s="78">
        <f>IFERROR(__xludf.DUMMYFUNCTION("""COMPUTED_VALUE"""),"Green Building Council Brasil (GBC Brasil)")</f>
        <v/>
      </c>
      <c r="B251" s="78">
        <f>IFERROR(__xludf.DUMMYFUNCTION("""COMPUTED_VALUE"""),"Convenor/enablers")</f>
        <v/>
      </c>
    </row>
    <row r="252">
      <c r="A252" s="78">
        <f>IFERROR(__xludf.DUMMYFUNCTION("""COMPUTED_VALUE"""),"Ministério da Agricultura e Pecuária (MAPA)")</f>
        <v/>
      </c>
      <c r="B252" s="78">
        <f>IFERROR(__xludf.DUMMYFUNCTION("""COMPUTED_VALUE"""),"Policy influence / regulation")</f>
        <v/>
      </c>
    </row>
    <row r="253">
      <c r="A253" s="78">
        <f>IFERROR(__xludf.DUMMYFUNCTION("""COMPUTED_VALUE"""),"Instituto Nacional de Colonização e Reforma Agrária (INCRA)")</f>
        <v/>
      </c>
      <c r="B253" s="78">
        <f>IFERROR(__xludf.DUMMYFUNCTION("""COMPUTED_VALUE"""),"Policy influence / regulation")</f>
        <v/>
      </c>
    </row>
    <row r="254">
      <c r="A254" s="78">
        <f>IFERROR(__xludf.DUMMYFUNCTION("""COMPUTED_VALUE"""),"Instituto Nacional de Colonização e Reforma Agrária (INCRA)")</f>
        <v/>
      </c>
      <c r="B254" s="78">
        <f>IFERROR(__xludf.DUMMYFUNCTION("""COMPUTED_VALUE"""),"Territorial anchor")</f>
        <v/>
      </c>
    </row>
    <row r="255">
      <c r="A255" s="78">
        <f>IFERROR(__xludf.DUMMYFUNCTION("""COMPUTED_VALUE"""),"Agroicone")</f>
        <v/>
      </c>
      <c r="B255" s="78">
        <f>IFERROR(__xludf.DUMMYFUNCTION("""COMPUTED_VALUE"""),"Technical assistance / research")</f>
        <v/>
      </c>
    </row>
    <row r="256">
      <c r="A256" s="78">
        <f>IFERROR(__xludf.DUMMYFUNCTION("""COMPUTED_VALUE"""),"Agroicone")</f>
        <v/>
      </c>
      <c r="B256" s="78">
        <f>IFERROR(__xludf.DUMMYFUNCTION("""COMPUTED_VALUE"""),"Policy influence / regulation")</f>
        <v/>
      </c>
    </row>
    <row r="257">
      <c r="A257" s="78">
        <f>IFERROR(__xludf.DUMMYFUNCTION("""COMPUTED_VALUE"""),"JBS")</f>
        <v/>
      </c>
      <c r="B257" s="78">
        <f>IFERROR(__xludf.DUMMYFUNCTION("""COMPUTED_VALUE"""),"Strategic partner")</f>
        <v/>
      </c>
    </row>
    <row r="258">
      <c r="A258" s="78">
        <f>IFERROR(__xludf.DUMMYFUNCTION("""COMPUTED_VALUE"""),"JBS")</f>
        <v/>
      </c>
      <c r="B258" s="78">
        <f>IFERROR(__xludf.DUMMYFUNCTION("""COMPUTED_VALUE"""),"Implementation capacity (delivery)")</f>
        <v/>
      </c>
    </row>
    <row r="259">
      <c r="A259" s="78">
        <f>IFERROR(__xludf.DUMMYFUNCTION("""COMPUTED_VALUE"""),"Marfrig")</f>
        <v/>
      </c>
      <c r="B259" s="78">
        <f>IFERROR(__xludf.DUMMYFUNCTION("""COMPUTED_VALUE"""),"Strategic partner")</f>
        <v/>
      </c>
    </row>
    <row r="260">
      <c r="A260" s="78">
        <f>IFERROR(__xludf.DUMMYFUNCTION("""COMPUTED_VALUE"""),"Marfrig")</f>
        <v/>
      </c>
      <c r="B260" s="78">
        <f>IFERROR(__xludf.DUMMYFUNCTION("""COMPUTED_VALUE"""),"Implementation capacity (delivery)")</f>
        <v/>
      </c>
    </row>
    <row r="261">
      <c r="A261" s="78">
        <f>IFERROR(__xludf.DUMMYFUNCTION("""COMPUTED_VALUE"""),"Amaggi")</f>
        <v/>
      </c>
      <c r="B261" s="78">
        <f>IFERROR(__xludf.DUMMYFUNCTION("""COMPUTED_VALUE"""),"Strategic partner")</f>
        <v/>
      </c>
    </row>
    <row r="262">
      <c r="A262" s="78">
        <f>IFERROR(__xludf.DUMMYFUNCTION("""COMPUTED_VALUE"""),"Amaggi")</f>
        <v/>
      </c>
      <c r="B262" s="78">
        <f>IFERROR(__xludf.DUMMYFUNCTION("""COMPUTED_VALUE"""),"Implementation capacity (delivery)")</f>
        <v/>
      </c>
    </row>
    <row r="263">
      <c r="A263" s="78">
        <f>IFERROR(__xludf.DUMMYFUNCTION("""COMPUTED_VALUE"""),"SLC Agrícola")</f>
        <v/>
      </c>
      <c r="B263" s="78">
        <f>IFERROR(__xludf.DUMMYFUNCTION("""COMPUTED_VALUE"""),"Implementation capacity (delivery)")</f>
        <v/>
      </c>
    </row>
    <row r="264">
      <c r="A264" s="78">
        <f>IFERROR(__xludf.DUMMYFUNCTION("""COMPUTED_VALUE"""),"Instituto de Pesquisa Ambiental da Amazônia (IPAM)")</f>
        <v/>
      </c>
      <c r="B264" s="78">
        <f>IFERROR(__xludf.DUMMYFUNCTION("""COMPUTED_VALUE"""),"Technical assistance / research")</f>
        <v/>
      </c>
    </row>
    <row r="265">
      <c r="A265" s="78">
        <f>IFERROR(__xludf.DUMMYFUNCTION("""COMPUTED_VALUE"""),"Instituto de Pesquisa Ambiental da Amazônia (IPAM)")</f>
        <v/>
      </c>
      <c r="B265" s="78">
        <f>IFERROR(__xludf.DUMMYFUNCTION("""COMPUTED_VALUE"""),"Policy influence / regulation")</f>
        <v/>
      </c>
    </row>
    <row r="266">
      <c r="A266" s="78">
        <f>IFERROR(__xludf.DUMMYFUNCTION("""COMPUTED_VALUE"""),"Global Canopy")</f>
        <v/>
      </c>
      <c r="B266" s="78">
        <f>IFERROR(__xludf.DUMMYFUNCTION("""COMPUTED_VALUE"""),"Data / MRV / platforms")</f>
        <v/>
      </c>
    </row>
    <row r="267">
      <c r="A267" s="78">
        <f>IFERROR(__xludf.DUMMYFUNCTION("""COMPUTED_VALUE"""),"Global Canopy")</f>
        <v/>
      </c>
      <c r="B267" s="78">
        <f>IFERROR(__xludf.DUMMYFUNCTION("""COMPUTED_VALUE"""),"Policy influence / regulation")</f>
        <v/>
      </c>
    </row>
    <row r="268">
      <c r="A268" s="78">
        <f>IFERROR(__xludf.DUMMYFUNCTION("""COMPUTED_VALUE"""),"Good Energies Foundation")</f>
        <v/>
      </c>
      <c r="B268" s="78">
        <f>IFERROR(__xludf.DUMMYFUNCTION("""COMPUTED_VALUE"""),"Funder")</f>
        <v/>
      </c>
    </row>
    <row r="269">
      <c r="A269" s="78">
        <f>IFERROR(__xludf.DUMMYFUNCTION("""COMPUTED_VALUE"""),"Good Energies Foundation")</f>
        <v/>
      </c>
      <c r="B269" s="78">
        <f>IFERROR(__xludf.DUMMYFUNCTION("""COMPUTED_VALUE"""),"Strategic partner")</f>
        <v/>
      </c>
    </row>
    <row r="270">
      <c r="A270" s="78">
        <f>IFERROR(__xludf.DUMMYFUNCTION("""COMPUTED_VALUE"""),"Ministério do Desenvolvimento e Assistência Social, Família e Combate à Fome (MDS)")</f>
        <v/>
      </c>
      <c r="B270" s="78">
        <f>IFERROR(__xludf.DUMMYFUNCTION("""COMPUTED_VALUE"""),"Policy influence / regulation")</f>
        <v/>
      </c>
    </row>
    <row r="271">
      <c r="A271" s="78">
        <f>IFERROR(__xludf.DUMMYFUNCTION("""COMPUTED_VALUE"""),"Ministério do Desenvolvimento e Assistência Social, Família e Combate à Fome (MDS)")</f>
        <v/>
      </c>
      <c r="B271" s="78">
        <f>IFERROR(__xludf.DUMMYFUNCTION("""COMPUTED_VALUE"""),"Territorial anchor")</f>
        <v/>
      </c>
    </row>
    <row r="272">
      <c r="A272" s="78">
        <f>IFERROR(__xludf.DUMMYFUNCTION("""COMPUTED_VALUE"""),"Ministério da Saúde")</f>
        <v/>
      </c>
      <c r="B272" s="78">
        <f>IFERROR(__xludf.DUMMYFUNCTION("""COMPUTED_VALUE"""),"Policy influence / regulation")</f>
        <v/>
      </c>
    </row>
    <row r="273">
      <c r="A273" s="78">
        <f>IFERROR(__xludf.DUMMYFUNCTION("""COMPUTED_VALUE"""),"Conselho Nacional de Segurança Alimentar e Nutricional (CONSEA)")</f>
        <v/>
      </c>
      <c r="B273" s="78">
        <f>IFERROR(__xludf.DUMMYFUNCTION("""COMPUTED_VALUE"""),"Policy influence / regulation")</f>
        <v/>
      </c>
    </row>
    <row r="274">
      <c r="A274" s="78">
        <f>IFERROR(__xludf.DUMMYFUNCTION("""COMPUTED_VALUE"""),"Conselho Nacional de Segurança Alimentar e Nutricional (CONSEA)")</f>
        <v/>
      </c>
      <c r="B274" s="78">
        <f>IFERROR(__xludf.DUMMYFUNCTION("""COMPUTED_VALUE"""),"Community legitimacy / proximate leadership")</f>
        <v/>
      </c>
    </row>
    <row r="275">
      <c r="A275" s="78">
        <f>IFERROR(__xludf.DUMMYFUNCTION("""COMPUTED_VALUE"""),"Grupo Pão de Açúcar (GPA)")</f>
        <v/>
      </c>
      <c r="B275" s="78">
        <f>IFERROR(__xludf.DUMMYFUNCTION("""COMPUTED_VALUE"""),"Strategic partner")</f>
        <v/>
      </c>
    </row>
    <row r="276">
      <c r="A276" s="78">
        <f>IFERROR(__xludf.DUMMYFUNCTION("""COMPUTED_VALUE"""),"Grupo Pão de Açúcar (GPA)")</f>
        <v/>
      </c>
      <c r="B276" s="78">
        <f>IFERROR(__xludf.DUMMYFUNCTION("""COMPUTED_VALUE"""),"Implementation capacity (delivery)")</f>
        <v/>
      </c>
    </row>
    <row r="277">
      <c r="A277" s="78">
        <f>IFERROR(__xludf.DUMMYFUNCTION("""COMPUTED_VALUE"""),"Assaí Atacadista")</f>
        <v/>
      </c>
      <c r="B277" s="78">
        <f>IFERROR(__xludf.DUMMYFUNCTION("""COMPUTED_VALUE"""),"Strategic partner")</f>
        <v/>
      </c>
    </row>
    <row r="278">
      <c r="A278" s="78">
        <f>IFERROR(__xludf.DUMMYFUNCTION("""COMPUTED_VALUE"""),"Assaí Atacadista")</f>
        <v/>
      </c>
      <c r="B278" s="78">
        <f>IFERROR(__xludf.DUMMYFUNCTION("""COMPUTED_VALUE"""),"Implementation capacity (delivery)")</f>
        <v/>
      </c>
    </row>
    <row r="279">
      <c r="A279" s="78">
        <f>IFERROR(__xludf.DUMMYFUNCTION("""COMPUTED_VALUE"""),"Carrefour Brasil")</f>
        <v/>
      </c>
      <c r="B279" s="78">
        <f>IFERROR(__xludf.DUMMYFUNCTION("""COMPUTED_VALUE"""),"Strategic partner")</f>
        <v/>
      </c>
    </row>
    <row r="280">
      <c r="A280" s="78">
        <f>IFERROR(__xludf.DUMMYFUNCTION("""COMPUTED_VALUE"""),"Carrefour Brasil")</f>
        <v/>
      </c>
      <c r="B280" s="78">
        <f>IFERROR(__xludf.DUMMYFUNCTION("""COMPUTED_VALUE"""),"Implementation capacity (delivery)")</f>
        <v/>
      </c>
    </row>
    <row r="281">
      <c r="A281" s="78">
        <f>IFERROR(__xludf.DUMMYFUNCTION("""COMPUTED_VALUE"""),"Nestlé Brasil")</f>
        <v/>
      </c>
      <c r="B281" s="78">
        <f>IFERROR(__xludf.DUMMYFUNCTION("""COMPUTED_VALUE"""),"Strategic partner")</f>
        <v/>
      </c>
    </row>
    <row r="282">
      <c r="A282" s="78">
        <f>IFERROR(__xludf.DUMMYFUNCTION("""COMPUTED_VALUE"""),"Nestlé Brasil")</f>
        <v/>
      </c>
      <c r="B282" s="78">
        <f>IFERROR(__xludf.DUMMYFUNCTION("""COMPUTED_VALUE"""),"Implementation capacity (delivery)")</f>
        <v/>
      </c>
    </row>
    <row r="283">
      <c r="A283" s="78">
        <f>IFERROR(__xludf.DUMMYFUNCTION("""COMPUTED_VALUE"""),"Unilever Brasil")</f>
        <v/>
      </c>
      <c r="B283" s="78">
        <f>IFERROR(__xludf.DUMMYFUNCTION("""COMPUTED_VALUE"""),"Strategic partner")</f>
        <v/>
      </c>
    </row>
    <row r="284">
      <c r="A284" s="78">
        <f>IFERROR(__xludf.DUMMYFUNCTION("""COMPUTED_VALUE"""),"Unilever Brasil")</f>
        <v/>
      </c>
      <c r="B284" s="78">
        <f>IFERROR(__xludf.DUMMYFUNCTION("""COMPUTED_VALUE"""),"Implementation capacity (delivery)")</f>
        <v/>
      </c>
    </row>
    <row r="285">
      <c r="A285" s="78">
        <f>IFERROR(__xludf.DUMMYFUNCTION("""COMPUTED_VALUE"""),"Danone Brasil")</f>
        <v/>
      </c>
      <c r="B285" s="78">
        <f>IFERROR(__xludf.DUMMYFUNCTION("""COMPUTED_VALUE"""),"Strategic partner")</f>
        <v/>
      </c>
    </row>
    <row r="286">
      <c r="A286" s="78">
        <f>IFERROR(__xludf.DUMMYFUNCTION("""COMPUTED_VALUE"""),"Danone Brasil")</f>
        <v/>
      </c>
      <c r="B286" s="78">
        <f>IFERROR(__xludf.DUMMYFUNCTION("""COMPUTED_VALUE"""),"Implementation capacity (delivery)")</f>
        <v/>
      </c>
    </row>
    <row r="287">
      <c r="A287" s="78">
        <f>IFERROR(__xludf.DUMMYFUNCTION("""COMPUTED_VALUE"""),"Rede PENSSAN")</f>
        <v/>
      </c>
      <c r="B287" s="78">
        <f>IFERROR(__xludf.DUMMYFUNCTION("""COMPUTED_VALUE"""),"Technical assistance / research")</f>
        <v/>
      </c>
    </row>
    <row r="288">
      <c r="A288" s="78">
        <f>IFERROR(__xludf.DUMMYFUNCTION("""COMPUTED_VALUE"""),"Rede PENSSAN")</f>
        <v/>
      </c>
      <c r="B288" s="78">
        <f>IFERROR(__xludf.DUMMYFUNCTION("""COMPUTED_VALUE"""),"Data / MRV / platforms")</f>
        <v/>
      </c>
    </row>
    <row r="289">
      <c r="A289" s="78">
        <f>IFERROR(__xludf.DUMMYFUNCTION("""COMPUTED_VALUE"""),"Instituto Comida do Amanhã")</f>
        <v/>
      </c>
      <c r="B289" s="78">
        <f>IFERROR(__xludf.DUMMYFUNCTION("""COMPUTED_VALUE"""),"Project developer / Implementer")</f>
        <v/>
      </c>
    </row>
    <row r="290">
      <c r="A290" s="78">
        <f>IFERROR(__xludf.DUMMYFUNCTION("""COMPUTED_VALUE"""),"Instituto Comida do Amanhã")</f>
        <v/>
      </c>
      <c r="B290" s="78">
        <f>IFERROR(__xludf.DUMMYFUNCTION("""COMPUTED_VALUE"""),"Policy influence / regulation")</f>
        <v/>
      </c>
    </row>
    <row r="291">
      <c r="A291" s="78">
        <f>IFERROR(__xludf.DUMMYFUNCTION("""COMPUTED_VALUE"""),"EAT Foundation")</f>
        <v/>
      </c>
      <c r="B291" s="78">
        <f>IFERROR(__xludf.DUMMYFUNCTION("""COMPUTED_VALUE"""),"Technical assistance / research")</f>
        <v/>
      </c>
    </row>
    <row r="292">
      <c r="A292" s="78">
        <f>IFERROR(__xludf.DUMMYFUNCTION("""COMPUTED_VALUE"""),"EAT Foundation")</f>
        <v/>
      </c>
      <c r="B292" s="78">
        <f>IFERROR(__xludf.DUMMYFUNCTION("""COMPUTED_VALUE"""),"Strategic partner")</f>
        <v/>
      </c>
    </row>
    <row r="293">
      <c r="A293" s="78">
        <f>IFERROR(__xludf.DUMMYFUNCTION("""COMPUTED_VALUE"""),"Programa de Sistemas Alimentares da FAO no Brasil (FAO – Food Systems Programme)")</f>
        <v/>
      </c>
      <c r="B293" s="78">
        <f>IFERROR(__xludf.DUMMYFUNCTION("""COMPUTED_VALUE"""),"Strategic partner")</f>
        <v/>
      </c>
    </row>
    <row r="294">
      <c r="A294" s="78">
        <f>IFERROR(__xludf.DUMMYFUNCTION("""COMPUTED_VALUE"""),"Programa de Sistemas Alimentares da FAO no Brasil (FAO – Food Systems Programme)")</f>
        <v/>
      </c>
      <c r="B294" s="78">
        <f>IFERROR(__xludf.DUMMYFUNCTION("""COMPUTED_VALUE"""),"Convenor/enablers")</f>
        <v/>
      </c>
    </row>
    <row r="295">
      <c r="A295" s="78">
        <f>IFERROR(__xludf.DUMMYFUNCTION("""COMPUTED_VALUE"""),"Programa de Sistemas Alimentares da FAO no Brasil (FAO – Food Systems Programme)")</f>
        <v/>
      </c>
      <c r="B295" s="78">
        <f>IFERROR(__xludf.DUMMYFUNCTION("""COMPUTED_VALUE"""),"Technical assistance / research")</f>
        <v/>
      </c>
    </row>
    <row r="296">
      <c r="A296" s="78">
        <f>IFERROR(__xludf.DUMMYFUNCTION("""COMPUTED_VALUE"""),"Serviço Florestal Brasileiro (SFB)")</f>
        <v/>
      </c>
      <c r="B296" s="78">
        <f>IFERROR(__xludf.DUMMYFUNCTION("""COMPUTED_VALUE"""),"Policy influence / regulation")</f>
        <v/>
      </c>
    </row>
    <row r="297">
      <c r="A297" s="78">
        <f>IFERROR(__xludf.DUMMYFUNCTION("""COMPUTED_VALUE"""),"Serviço Florestal Brasileiro (SFB)")</f>
        <v/>
      </c>
      <c r="B297" s="78">
        <f>IFERROR(__xludf.DUMMYFUNCTION("""COMPUTED_VALUE"""),"Data / MRV / platforms")</f>
        <v/>
      </c>
    </row>
    <row r="298">
      <c r="A298" s="78">
        <f>IFERROR(__xludf.DUMMYFUNCTION("""COMPUTED_VALUE"""),"Klabin")</f>
        <v/>
      </c>
      <c r="B298" s="78">
        <f>IFERROR(__xludf.DUMMYFUNCTION("""COMPUTED_VALUE"""),"Strategic partner")</f>
        <v/>
      </c>
    </row>
    <row r="299">
      <c r="A299" s="78">
        <f>IFERROR(__xludf.DUMMYFUNCTION("""COMPUTED_VALUE"""),"Klabin")</f>
        <v/>
      </c>
      <c r="B299" s="78">
        <f>IFERROR(__xludf.DUMMYFUNCTION("""COMPUTED_VALUE"""),"Implementation capacity (delivery)")</f>
        <v/>
      </c>
    </row>
    <row r="300">
      <c r="A300" s="78">
        <f>IFERROR(__xludf.DUMMYFUNCTION("""COMPUTED_VALUE"""),"Bracell")</f>
        <v/>
      </c>
      <c r="B300" s="78">
        <f>IFERROR(__xludf.DUMMYFUNCTION("""COMPUTED_VALUE"""),"Implementation capacity (delivery)")</f>
        <v/>
      </c>
    </row>
    <row r="301">
      <c r="A301" s="78">
        <f>IFERROR(__xludf.DUMMYFUNCTION("""COMPUTED_VALUE"""),"Dexco")</f>
        <v/>
      </c>
      <c r="B301" s="78">
        <f>IFERROR(__xludf.DUMMYFUNCTION("""COMPUTED_VALUE"""),"Implementation capacity (delivery)")</f>
        <v/>
      </c>
    </row>
    <row r="302">
      <c r="A302" s="78">
        <f>IFERROR(__xludf.DUMMYFUNCTION("""COMPUTED_VALUE"""),"Suzano Ventures")</f>
        <v/>
      </c>
      <c r="B302" s="78">
        <f>IFERROR(__xludf.DUMMYFUNCTION("""COMPUTED_VALUE"""),"Capital provider / Financial intermediary")</f>
        <v/>
      </c>
    </row>
    <row r="303">
      <c r="A303" s="78">
        <f>IFERROR(__xludf.DUMMYFUNCTION("""COMPUTED_VALUE"""),"Rainforest Alliance")</f>
        <v/>
      </c>
      <c r="B303" s="78">
        <f>IFERROR(__xludf.DUMMYFUNCTION("""COMPUTED_VALUE"""),"Technical assistance / research")</f>
        <v/>
      </c>
    </row>
    <row r="304">
      <c r="A304" s="78">
        <f>IFERROR(__xludf.DUMMYFUNCTION("""COMPUTED_VALUE"""),"Rainforest Alliance")</f>
        <v/>
      </c>
      <c r="B304" s="78">
        <f>IFERROR(__xludf.DUMMYFUNCTION("""COMPUTED_VALUE"""),"Project developer / Implementer")</f>
        <v/>
      </c>
    </row>
    <row r="305">
      <c r="A305" s="78">
        <f>IFERROR(__xludf.DUMMYFUNCTION("""COMPUTED_VALUE"""),"Forest Trends")</f>
        <v/>
      </c>
      <c r="B305" s="78">
        <f>IFERROR(__xludf.DUMMYFUNCTION("""COMPUTED_VALUE"""),"Technical assistance / research")</f>
        <v/>
      </c>
    </row>
    <row r="306">
      <c r="A306" s="78">
        <f>IFERROR(__xludf.DUMMYFUNCTION("""COMPUTED_VALUE"""),"Forest Trends")</f>
        <v/>
      </c>
      <c r="B306" s="78">
        <f>IFERROR(__xludf.DUMMYFUNCTION("""COMPUTED_VALUE"""),"Policy influence / regulation")</f>
        <v/>
      </c>
    </row>
    <row r="307">
      <c r="A307" s="78">
        <f>IFERROR(__xludf.DUMMYFUNCTION("""COMPUTED_VALUE"""),"Earth Innovation Institute")</f>
        <v/>
      </c>
      <c r="B307" s="78">
        <f>IFERROR(__xludf.DUMMYFUNCTION("""COMPUTED_VALUE"""),"Technical assistance / research")</f>
        <v/>
      </c>
    </row>
    <row r="308">
      <c r="A308" s="78">
        <f>IFERROR(__xludf.DUMMYFUNCTION("""COMPUTED_VALUE"""),"Earth Innovation Institute")</f>
        <v/>
      </c>
      <c r="B308" s="78">
        <f>IFERROR(__xludf.DUMMYFUNCTION("""COMPUTED_VALUE"""),"Policy influence / regulation")</f>
        <v/>
      </c>
    </row>
    <row r="309">
      <c r="A309" s="78">
        <f>IFERROR(__xludf.DUMMYFUNCTION("""COMPUTED_VALUE"""),"Bezos Earth Fund")</f>
        <v/>
      </c>
      <c r="B309" s="78">
        <f>IFERROR(__xludf.DUMMYFUNCTION("""COMPUTED_VALUE"""),"Funder")</f>
        <v/>
      </c>
    </row>
    <row r="310">
      <c r="A310" s="78">
        <f>IFERROR(__xludf.DUMMYFUNCTION("""COMPUTED_VALUE"""),"Bezos Earth Fund")</f>
        <v/>
      </c>
      <c r="B310" s="78">
        <f>IFERROR(__xludf.DUMMYFUNCTION("""COMPUTED_VALUE"""),"Strategic partner")</f>
        <v/>
      </c>
    </row>
    <row r="311">
      <c r="A311" s="78">
        <f>IFERROR(__xludf.DUMMYFUNCTION("""COMPUTED_VALUE"""),"Bloomberg Philanthropies")</f>
        <v/>
      </c>
      <c r="B311" s="78">
        <f>IFERROR(__xludf.DUMMYFUNCTION("""COMPUTED_VALUE"""),"Funder")</f>
        <v/>
      </c>
    </row>
    <row r="312">
      <c r="A312" s="78">
        <f>IFERROR(__xludf.DUMMYFUNCTION("""COMPUTED_VALUE"""),"Bloomberg Philanthropies")</f>
        <v/>
      </c>
      <c r="B312" s="78">
        <f>IFERROR(__xludf.DUMMYFUNCTION("""COMPUTED_VALUE"""),"Strategic partner")</f>
        <v/>
      </c>
    </row>
    <row r="313">
      <c r="A313" s="78">
        <f>IFERROR(__xludf.DUMMYFUNCTION("""COMPUTED_VALUE"""),"Laudes Foundation")</f>
        <v/>
      </c>
      <c r="B313" s="78">
        <f>IFERROR(__xludf.DUMMYFUNCTION("""COMPUTED_VALUE"""),"Funder")</f>
        <v/>
      </c>
    </row>
    <row r="314">
      <c r="A314" s="78">
        <f>IFERROR(__xludf.DUMMYFUNCTION("""COMPUTED_VALUE"""),"Laudes Foundation")</f>
        <v/>
      </c>
      <c r="B314" s="78">
        <f>IFERROR(__xludf.DUMMYFUNCTION("""COMPUTED_VALUE"""),"Strategic partner")</f>
        <v/>
      </c>
    </row>
    <row r="315">
      <c r="A315" s="78">
        <f>IFERROR(__xludf.DUMMYFUNCTION("""COMPUTED_VALUE"""),"Skoll Foundation")</f>
        <v/>
      </c>
      <c r="B315" s="78">
        <f>IFERROR(__xludf.DUMMYFUNCTION("""COMPUTED_VALUE"""),"Funder")</f>
        <v/>
      </c>
    </row>
    <row r="316">
      <c r="A316" s="78">
        <f>IFERROR(__xludf.DUMMYFUNCTION("""COMPUTED_VALUE"""),"Skoll Foundation")</f>
        <v/>
      </c>
      <c r="B316" s="78">
        <f>IFERROR(__xludf.DUMMYFUNCTION("""COMPUTED_VALUE"""),"Strategic partner")</f>
        <v/>
      </c>
    </row>
    <row r="317">
      <c r="A317" s="78">
        <f>IFERROR(__xludf.DUMMYFUNCTION("""COMPUTED_VALUE"""),"Walton Family Foundation")</f>
        <v/>
      </c>
      <c r="B317" s="78">
        <f>IFERROR(__xludf.DUMMYFUNCTION("""COMPUTED_VALUE"""),"Funder")</f>
        <v/>
      </c>
    </row>
    <row r="318">
      <c r="A318" s="78">
        <f>IFERROR(__xludf.DUMMYFUNCTION("""COMPUTED_VALUE"""),"Walton Family Foundation")</f>
        <v/>
      </c>
      <c r="B318" s="78">
        <f>IFERROR(__xludf.DUMMYFUNCTION("""COMPUTED_VALUE"""),"Strategic partner")</f>
        <v/>
      </c>
    </row>
    <row r="319">
      <c r="A319" s="78">
        <f>IFERROR(__xludf.DUMMYFUNCTION("""COMPUTED_VALUE"""),"Blue Moon Fund")</f>
        <v/>
      </c>
      <c r="B319" s="78">
        <f>IFERROR(__xludf.DUMMYFUNCTION("""COMPUTED_VALUE"""),"Funder")</f>
        <v/>
      </c>
    </row>
    <row r="320">
      <c r="A320" s="78">
        <f>IFERROR(__xludf.DUMMYFUNCTION("""COMPUTED_VALUE"""),"Rainforest Trust")</f>
        <v/>
      </c>
      <c r="B320" s="78">
        <f>IFERROR(__xludf.DUMMYFUNCTION("""COMPUTED_VALUE"""),"Funder")</f>
        <v/>
      </c>
    </row>
    <row r="321">
      <c r="A321" s="78">
        <f>IFERROR(__xludf.DUMMYFUNCTION("""COMPUTED_VALUE"""),"Rainforest Trust")</f>
        <v/>
      </c>
      <c r="B321" s="78">
        <f>IFERROR(__xludf.DUMMYFUNCTION("""COMPUTED_VALUE"""),"Project developer / Implementer")</f>
        <v/>
      </c>
    </row>
    <row r="322">
      <c r="A322" s="78">
        <f>IFERROR(__xludf.DUMMYFUNCTION("""COMPUTED_VALUE"""),"John D. and Catherine T. MacArthur Foundation (MacArthur Foundation)")</f>
        <v/>
      </c>
      <c r="B322" s="78">
        <f>IFERROR(__xludf.DUMMYFUNCTION("""COMPUTED_VALUE"""),"Funder")</f>
        <v/>
      </c>
    </row>
    <row r="323">
      <c r="A323" s="78">
        <f>IFERROR(__xludf.DUMMYFUNCTION("""COMPUTED_VALUE"""),"John D. and Catherine T. MacArthur Foundation (MacArthur Foundation)")</f>
        <v/>
      </c>
      <c r="B323" s="78">
        <f>IFERROR(__xludf.DUMMYFUNCTION("""COMPUTED_VALUE"""),"Strategic partner")</f>
        <v/>
      </c>
    </row>
    <row r="324">
      <c r="A324" s="78">
        <f>IFERROR(__xludf.DUMMYFUNCTION("""COMPUTED_VALUE"""),"Rockefeller Brothers Fund")</f>
        <v/>
      </c>
      <c r="B324" s="78">
        <f>IFERROR(__xludf.DUMMYFUNCTION("""COMPUTED_VALUE"""),"Funder")</f>
        <v/>
      </c>
    </row>
    <row r="325">
      <c r="A325" s="78">
        <f>IFERROR(__xludf.DUMMYFUNCTION("""COMPUTED_VALUE"""),"Rockefeller Brothers Fund")</f>
        <v/>
      </c>
      <c r="B325" s="78">
        <f>IFERROR(__xludf.DUMMYFUNCTION("""COMPUTED_VALUE"""),"Strategic partner")</f>
        <v/>
      </c>
    </row>
    <row r="326">
      <c r="A326" s="78">
        <f>IFERROR(__xludf.DUMMYFUNCTION("""COMPUTED_VALUE"""),"Consórcio Nordeste")</f>
        <v/>
      </c>
      <c r="B326" s="78">
        <f>IFERROR(__xludf.DUMMYFUNCTION("""COMPUTED_VALUE"""),"Territorial anchor")</f>
        <v/>
      </c>
    </row>
    <row r="327">
      <c r="A327" s="78">
        <f>IFERROR(__xludf.DUMMYFUNCTION("""COMPUTED_VALUE"""),"Consórcio Nordeste")</f>
        <v/>
      </c>
      <c r="B327" s="78">
        <f>IFERROR(__xludf.DUMMYFUNCTION("""COMPUTED_VALUE"""),"Policy influence / regulation")</f>
        <v/>
      </c>
    </row>
    <row r="328">
      <c r="A328" s="78">
        <f>IFERROR(__xludf.DUMMYFUNCTION("""COMPUTED_VALUE"""),"Laboratório de Inovação Financeira (LAB/CVM)")</f>
        <v/>
      </c>
      <c r="B328" s="78">
        <f>IFERROR(__xludf.DUMMYFUNCTION("""COMPUTED_VALUE"""),"Convenor/enablers")</f>
        <v/>
      </c>
    </row>
    <row r="329">
      <c r="A329" s="78">
        <f>IFERROR(__xludf.DUMMYFUNCTION("""COMPUTED_VALUE"""),"Laboratório de Inovação Financeira (LAB/CVM)")</f>
        <v/>
      </c>
      <c r="B329" s="78">
        <f>IFERROR(__xludf.DUMMYFUNCTION("""COMPUTED_VALUE"""),"Policy influence / regulation")</f>
        <v/>
      </c>
    </row>
    <row r="330">
      <c r="A330" s="78">
        <f>IFERROR(__xludf.DUMMYFUNCTION("""COMPUTED_VALUE"""),"Conselho Empresarial Brasileiro para o Desenvolvimento Sustentável (CEBDS)")</f>
        <v/>
      </c>
      <c r="B330" s="78">
        <f>IFERROR(__xludf.DUMMYFUNCTION("""COMPUTED_VALUE"""),"Convenor/enablers")</f>
        <v/>
      </c>
    </row>
    <row r="331">
      <c r="A331" s="78">
        <f>IFERROR(__xludf.DUMMYFUNCTION("""COMPUTED_VALUE"""),"Conselho Empresarial Brasileiro para o Desenvolvimento Sustentável (CEBDS)")</f>
        <v/>
      </c>
      <c r="B331" s="78">
        <f>IFERROR(__xludf.DUMMYFUNCTION("""COMPUTED_VALUE"""),"Policy influence / regulation")</f>
        <v/>
      </c>
    </row>
    <row r="332">
      <c r="A332" s="78">
        <f>IFERROR(__xludf.DUMMYFUNCTION("""COMPUTED_VALUE"""),"Associação Brasileira de Desenvolvimento (ABDE)")</f>
        <v/>
      </c>
      <c r="B332" s="78">
        <f>IFERROR(__xludf.DUMMYFUNCTION("""COMPUTED_VALUE"""),"Convenor/enablers")</f>
        <v/>
      </c>
    </row>
    <row r="333">
      <c r="A333" s="78">
        <f>IFERROR(__xludf.DUMMYFUNCTION("""COMPUTED_VALUE"""),"Associação Brasileira de Desenvolvimento (ABDE)")</f>
        <v/>
      </c>
      <c r="B333" s="78">
        <f>IFERROR(__xludf.DUMMYFUNCTION("""COMPUTED_VALUE"""),"Capital provider / Financial intermediary")</f>
        <v/>
      </c>
    </row>
    <row r="334">
      <c r="A334" s="78">
        <f>IFERROR(__xludf.DUMMYFUNCTION("""COMPUTED_VALUE"""),"Climate Policy Initiative (CPI)")</f>
        <v/>
      </c>
      <c r="B334" s="78">
        <f>IFERROR(__xludf.DUMMYFUNCTION("""COMPUTED_VALUE"""),"Technical assistance / research")</f>
        <v/>
      </c>
    </row>
    <row r="335">
      <c r="A335" s="78">
        <f>IFERROR(__xludf.DUMMYFUNCTION("""COMPUTED_VALUE"""),"Climate Policy Initiative (CPI)")</f>
        <v/>
      </c>
      <c r="B335" s="78">
        <f>IFERROR(__xludf.DUMMYFUNCTION("""COMPUTED_VALUE"""),"Policy influence / regulation")</f>
        <v/>
      </c>
    </row>
    <row r="336">
      <c r="A336" s="78">
        <f>IFERROR(__xludf.DUMMYFUNCTION("""COMPUTED_VALUE"""),"Climate Finance Hub Brasil")</f>
        <v/>
      </c>
      <c r="B336" s="78">
        <f>IFERROR(__xludf.DUMMYFUNCTION("""COMPUTED_VALUE"""),"Technical assistance / research")</f>
        <v/>
      </c>
    </row>
    <row r="337">
      <c r="A337" s="78">
        <f>IFERROR(__xludf.DUMMYFUNCTION("""COMPUTED_VALUE"""),"Climate Finance Hub Brasil")</f>
        <v/>
      </c>
      <c r="B337" s="78">
        <f>IFERROR(__xludf.DUMMYFUNCTION("""COMPUTED_VALUE"""),"Convenor/enablers")</f>
        <v/>
      </c>
    </row>
    <row r="338">
      <c r="A338" s="78">
        <f>IFERROR(__xludf.DUMMYFUNCTION("""COMPUTED_VALUE"""),"Associação Brasileira de Energia Eólica (ABEEólica)")</f>
        <v/>
      </c>
      <c r="B338" s="78">
        <f>IFERROR(__xludf.DUMMYFUNCTION("""COMPUTED_VALUE"""),"Policy influence / regulation")</f>
        <v/>
      </c>
    </row>
    <row r="339">
      <c r="A339" s="78">
        <f>IFERROR(__xludf.DUMMYFUNCTION("""COMPUTED_VALUE"""),"Associação Brasileira de Energia Eólica (ABEEólica)")</f>
        <v/>
      </c>
      <c r="B339" s="78">
        <f>IFERROR(__xludf.DUMMYFUNCTION("""COMPUTED_VALUE"""),"Convenor/enablers")</f>
        <v/>
      </c>
    </row>
    <row r="340">
      <c r="A340" s="78">
        <f>IFERROR(__xludf.DUMMYFUNCTION("""COMPUTED_VALUE"""),"Associação Brasileira de Energia Solar Fotovoltaica (ABSolar)")</f>
        <v/>
      </c>
      <c r="B340" s="78">
        <f>IFERROR(__xludf.DUMMYFUNCTION("""COMPUTED_VALUE"""),"Policy influence / regulation")</f>
        <v/>
      </c>
    </row>
    <row r="341">
      <c r="A341" s="78">
        <f>IFERROR(__xludf.DUMMYFUNCTION("""COMPUTED_VALUE"""),"Associação Brasileira de Energia Solar Fotovoltaica (ABSolar)")</f>
        <v/>
      </c>
      <c r="B341" s="78">
        <f>IFERROR(__xludf.DUMMYFUNCTION("""COMPUTED_VALUE"""),"Convenor/enablers")</f>
        <v/>
      </c>
    </row>
    <row r="342">
      <c r="A342" s="78">
        <f>IFERROR(__xludf.DUMMYFUNCTION("""COMPUTED_VALUE"""),"Associação Brasileira do Biogás (ABiogás)")</f>
        <v/>
      </c>
      <c r="B342" s="78">
        <f>IFERROR(__xludf.DUMMYFUNCTION("""COMPUTED_VALUE"""),"Policy influence / regulation")</f>
        <v/>
      </c>
    </row>
    <row r="343">
      <c r="A343" s="78">
        <f>IFERROR(__xludf.DUMMYFUNCTION("""COMPUTED_VALUE"""),"Associação Brasileira do Biogás (ABiogás)")</f>
        <v/>
      </c>
      <c r="B343" s="78">
        <f>IFERROR(__xludf.DUMMYFUNCTION("""COMPUTED_VALUE"""),"Convenor/enablers")</f>
        <v/>
      </c>
    </row>
    <row r="344">
      <c r="A344" s="78">
        <f>IFERROR(__xludf.DUMMYFUNCTION("""COMPUTED_VALUE"""),"Associação Brasileira do Hidrogênio (ABH2)")</f>
        <v/>
      </c>
      <c r="B344" s="78">
        <f>IFERROR(__xludf.DUMMYFUNCTION("""COMPUTED_VALUE"""),"Policy influence / regulation")</f>
        <v/>
      </c>
    </row>
    <row r="345">
      <c r="A345" s="78">
        <f>IFERROR(__xludf.DUMMYFUNCTION("""COMPUTED_VALUE"""),"Associação Brasileira do Hidrogênio (ABH2)")</f>
        <v/>
      </c>
      <c r="B345" s="78">
        <f>IFERROR(__xludf.DUMMYFUNCTION("""COMPUTED_VALUE"""),"Convenor/enablers")</f>
        <v/>
      </c>
    </row>
    <row r="346">
      <c r="A346" s="78">
        <f>IFERROR(__xludf.DUMMYFUNCTION("""COMPUTED_VALUE"""),"Instituto Nacional de Eficiência Energética (INEE)")</f>
        <v/>
      </c>
      <c r="B346" s="78">
        <f>IFERROR(__xludf.DUMMYFUNCTION("""COMPUTED_VALUE"""),"Technical assistance / research")</f>
        <v/>
      </c>
    </row>
    <row r="347">
      <c r="A347" s="78">
        <f>IFERROR(__xludf.DUMMYFUNCTION("""COMPUTED_VALUE"""),"Superintendência do Desenvolvimento do Nordeste (SUDENE)")</f>
        <v/>
      </c>
      <c r="B347" s="78">
        <f>IFERROR(__xludf.DUMMYFUNCTION("""COMPUTED_VALUE"""),"Territorial anchor")</f>
        <v/>
      </c>
    </row>
    <row r="348">
      <c r="A348" s="78">
        <f>IFERROR(__xludf.DUMMYFUNCTION("""COMPUTED_VALUE"""),"Superintendência do Desenvolvimento do Nordeste (SUDENE)")</f>
        <v/>
      </c>
      <c r="B348" s="78">
        <f>IFERROR(__xludf.DUMMYFUNCTION("""COMPUTED_VALUE"""),"Policy influence / regulation")</f>
        <v/>
      </c>
    </row>
    <row r="349">
      <c r="A349" s="78">
        <f>IFERROR(__xludf.DUMMYFUNCTION("""COMPUTED_VALUE"""),"Associação Brasileira de Grandes Consumidores Industriais de Energia e de Consumidores Livres (ABRACE)")</f>
        <v/>
      </c>
      <c r="B349" s="78">
        <f>IFERROR(__xludf.DUMMYFUNCTION("""COMPUTED_VALUE"""),"Policy influence / regulation")</f>
        <v/>
      </c>
    </row>
    <row r="350">
      <c r="A350" s="78">
        <f>IFERROR(__xludf.DUMMYFUNCTION("""COMPUTED_VALUE"""),"Associação Brasileira de Grandes Consumidores Industriais de Energia e de Consumidores Livres (ABRACE)")</f>
        <v/>
      </c>
      <c r="B350" s="78">
        <f>IFERROR(__xludf.DUMMYFUNCTION("""COMPUTED_VALUE"""),"Convenor/enablers")</f>
        <v/>
      </c>
    </row>
    <row r="351">
      <c r="A351" s="78">
        <f>IFERROR(__xludf.DUMMYFUNCTION("""COMPUTED_VALUE"""),"Casa dos Ventos")</f>
        <v/>
      </c>
      <c r="B351" s="78">
        <f>IFERROR(__xludf.DUMMYFUNCTION("""COMPUTED_VALUE"""),"Implementation capacity (delivery)")</f>
        <v/>
      </c>
    </row>
    <row r="352">
      <c r="A352" s="78">
        <f>IFERROR(__xludf.DUMMYFUNCTION("""COMPUTED_VALUE"""),"Voltalia Energia do Brasil (Voltalia)")</f>
        <v/>
      </c>
      <c r="B352" s="78">
        <f>IFERROR(__xludf.DUMMYFUNCTION("""COMPUTED_VALUE"""),"Implementation capacity (delivery)")</f>
        <v/>
      </c>
    </row>
    <row r="353">
      <c r="A353" s="78">
        <f>IFERROR(__xludf.DUMMYFUNCTION("""COMPUTED_VALUE"""),"Brava Energia")</f>
        <v/>
      </c>
      <c r="B353" s="78">
        <f>IFERROR(__xludf.DUMMYFUNCTION("""COMPUTED_VALUE"""),"Implementation capacity (delivery)")</f>
        <v/>
      </c>
    </row>
    <row r="354">
      <c r="A354" s="78">
        <f>IFERROR(__xludf.DUMMYFUNCTION("""COMPUTED_VALUE"""),"Grupo Stellantis (Stellantis)")</f>
        <v/>
      </c>
      <c r="B354" s="78">
        <f>IFERROR(__xludf.DUMMYFUNCTION("""COMPUTED_VALUE"""),"Strategic partner")</f>
        <v/>
      </c>
    </row>
    <row r="355">
      <c r="A355" s="78">
        <f>IFERROR(__xludf.DUMMYFUNCTION("""COMPUTED_VALUE"""),"Grupo Stellantis (Stellantis)")</f>
        <v/>
      </c>
      <c r="B355" s="78">
        <f>IFERROR(__xludf.DUMMYFUNCTION("""COMPUTED_VALUE"""),"Implementation capacity (delivery)")</f>
        <v/>
      </c>
    </row>
    <row r="356">
      <c r="A356" s="78">
        <f>IFERROR(__xludf.DUMMYFUNCTION("""COMPUTED_VALUE"""),"Agência Brasileira de Promoção de Exportações e Investimentos (ApexBrasil)")</f>
        <v/>
      </c>
      <c r="B356" s="78">
        <f>IFERROR(__xludf.DUMMYFUNCTION("""COMPUTED_VALUE"""),"Convenor/enablers")</f>
        <v/>
      </c>
    </row>
    <row r="357">
      <c r="A357" s="78">
        <f>IFERROR(__xludf.DUMMYFUNCTION("""COMPUTED_VALUE"""),"Agência Brasileira de Promoção de Exportações e Investimentos (ApexBrasil)")</f>
        <v/>
      </c>
      <c r="B357" s="78">
        <f>IFERROR(__xludf.DUMMYFUNCTION("""COMPUTED_VALUE"""),"Policy influence / regulation")</f>
        <v/>
      </c>
    </row>
    <row r="358">
      <c r="A358" s="78">
        <f>IFERROR(__xludf.DUMMYFUNCTION("""COMPUTED_VALUE"""),"Complexo Industrial Portuário de Suape (Suape)")</f>
        <v/>
      </c>
      <c r="B358" s="78">
        <f>IFERROR(__xludf.DUMMYFUNCTION("""COMPUTED_VALUE"""),"Territorial anchor")</f>
        <v/>
      </c>
    </row>
    <row r="359">
      <c r="A359" s="78">
        <f>IFERROR(__xludf.DUMMYFUNCTION("""COMPUTED_VALUE"""),"Complexo Industrial Portuário de Suape (Suape)")</f>
        <v/>
      </c>
      <c r="B359" s="78">
        <f>IFERROR(__xludf.DUMMYFUNCTION("""COMPUTED_VALUE"""),"Implementation capacity (delivery)")</f>
        <v/>
      </c>
    </row>
    <row r="360">
      <c r="A360" s="78">
        <f>IFERROR(__xludf.DUMMYFUNCTION("""COMPUTED_VALUE"""),"Complexo do Pecém (CIPP S.A.)")</f>
        <v/>
      </c>
      <c r="B360" s="78">
        <f>IFERROR(__xludf.DUMMYFUNCTION("""COMPUTED_VALUE"""),"Territorial anchor")</f>
        <v/>
      </c>
    </row>
    <row r="361">
      <c r="A361" s="78">
        <f>IFERROR(__xludf.DUMMYFUNCTION("""COMPUTED_VALUE"""),"Complexo do Pecém (CIPP S.A.)")</f>
        <v/>
      </c>
      <c r="B361" s="78">
        <f>IFERROR(__xludf.DUMMYFUNCTION("""COMPUTED_VALUE"""),"Implementation capacity (delivery)")</f>
        <v/>
      </c>
    </row>
    <row r="362">
      <c r="A362" s="78">
        <f>IFERROR(__xludf.DUMMYFUNCTION("""COMPUTED_VALUE"""),"Hydrogen Council")</f>
        <v/>
      </c>
      <c r="B362" s="78">
        <f>IFERROR(__xludf.DUMMYFUNCTION("""COMPUTED_VALUE"""),"Convenor/enablers")</f>
        <v/>
      </c>
    </row>
    <row r="363">
      <c r="A363" s="78">
        <f>IFERROR(__xludf.DUMMYFUNCTION("""COMPUTED_VALUE"""),"Hydrogen Council")</f>
        <v/>
      </c>
      <c r="B363" s="78">
        <f>IFERROR(__xludf.DUMMYFUNCTION("""COMPUTED_VALUE"""),"Policy influence / regulation")</f>
        <v/>
      </c>
    </row>
    <row r="364">
      <c r="A364" s="78">
        <f>IFERROR(__xludf.DUMMYFUNCTION("""COMPUTED_VALUE"""),"World Energy Council")</f>
        <v/>
      </c>
      <c r="B364" s="78">
        <f>IFERROR(__xludf.DUMMYFUNCTION("""COMPUTED_VALUE"""),"Convenor/enablers")</f>
        <v/>
      </c>
    </row>
    <row r="365">
      <c r="A365" s="78">
        <f>IFERROR(__xludf.DUMMYFUNCTION("""COMPUTED_VALUE"""),"World Energy Council")</f>
        <v/>
      </c>
      <c r="B365" s="78">
        <f>IFERROR(__xludf.DUMMYFUNCTION("""COMPUTED_VALUE"""),"Technical assistance / research")</f>
        <v/>
      </c>
    </row>
    <row r="366">
      <c r="A366" s="78">
        <f>IFERROR(__xludf.DUMMYFUNCTION("""COMPUTED_VALUE"""),"Câmara Setorial de Energias Renováveis do Ceará (CS Renováveis/CE)")</f>
        <v/>
      </c>
      <c r="B366" s="78">
        <f>IFERROR(__xludf.DUMMYFUNCTION("""COMPUTED_VALUE"""),"Territorial anchor")</f>
        <v/>
      </c>
    </row>
    <row r="367">
      <c r="A367" s="78">
        <f>IFERROR(__xludf.DUMMYFUNCTION("""COMPUTED_VALUE"""),"Câmara Setorial de Energias Renováveis do Ceará (CS Renováveis/CE)")</f>
        <v/>
      </c>
      <c r="B367" s="78">
        <f>IFERROR(__xludf.DUMMYFUNCTION("""COMPUTED_VALUE"""),"Convenor/enablers")</f>
        <v/>
      </c>
    </row>
    <row r="368">
      <c r="A368" s="78">
        <f>IFERROR(__xludf.DUMMYFUNCTION("""COMPUTED_VALUE"""),"Glasgow Financial Alliance for Net Zero (GFANZ)")</f>
        <v/>
      </c>
      <c r="B368" s="78">
        <f>IFERROR(__xludf.DUMMYFUNCTION("""COMPUTED_VALUE"""),"Convenor/enablers")</f>
        <v/>
      </c>
    </row>
    <row r="369">
      <c r="A369" s="78">
        <f>IFERROR(__xludf.DUMMYFUNCTION("""COMPUTED_VALUE"""),"Glasgow Financial Alliance for Net Zero (GFANZ)")</f>
        <v/>
      </c>
      <c r="B369" s="78">
        <f>IFERROR(__xludf.DUMMYFUNCTION("""COMPUTED_VALUE"""),"Capital provider / Financial intermediary")</f>
        <v/>
      </c>
    </row>
    <row r="370">
      <c r="A370" s="78">
        <f>IFERROR(__xludf.DUMMYFUNCTION("""COMPUTED_VALUE"""),"Centro Brasileiro de Relações Internacionais (CEBRI)")</f>
        <v/>
      </c>
      <c r="B370" s="78">
        <f>IFERROR(__xludf.DUMMYFUNCTION("""COMPUTED_VALUE"""),"Technical assistance / research")</f>
        <v/>
      </c>
    </row>
    <row r="371">
      <c r="A371" s="78">
        <f>IFERROR(__xludf.DUMMYFUNCTION("""COMPUTED_VALUE"""),"Centro Brasileiro de Relações Internacionais (CEBRI)")</f>
        <v/>
      </c>
      <c r="B371" s="78">
        <f>IFERROR(__xludf.DUMMYFUNCTION("""COMPUTED_VALUE"""),"Policy influence / regulation")</f>
        <v/>
      </c>
    </row>
    <row r="372">
      <c r="A372" s="78">
        <f>IFERROR(__xludf.DUMMYFUNCTION("""COMPUTED_VALUE"""),"Future Climate")</f>
        <v/>
      </c>
      <c r="B372" s="78">
        <f>IFERROR(__xludf.DUMMYFUNCTION("""COMPUTED_VALUE"""),"Technical assistance / research")</f>
        <v/>
      </c>
    </row>
    <row r="373">
      <c r="A373" s="78">
        <f>IFERROR(__xludf.DUMMYFUNCTION("""COMPUTED_VALUE"""),"AS-PTA – Agricultura Familiar e Agroecologia (AS-PTA)")</f>
        <v/>
      </c>
      <c r="B373" s="78">
        <f>IFERROR(__xludf.DUMMYFUNCTION("""COMPUTED_VALUE"""),"Project developer / Implementer")</f>
        <v/>
      </c>
    </row>
    <row r="374">
      <c r="A374" s="78">
        <f>IFERROR(__xludf.DUMMYFUNCTION("""COMPUTED_VALUE"""),"AS-PTA – Agricultura Familiar e Agroecologia (AS-PTA)")</f>
        <v/>
      </c>
      <c r="B374" s="78">
        <f>IFERROR(__xludf.DUMMYFUNCTION("""COMPUTED_VALUE"""),"Community legitimacy / proximate leadership")</f>
        <v/>
      </c>
    </row>
    <row r="375">
      <c r="A375" s="78">
        <f>IFERROR(__xludf.DUMMYFUNCTION("""COMPUTED_VALUE"""),"Associação Brasileira das Entidades dos Mercados Financeiro e de Capitais (ANBIMA)")</f>
        <v/>
      </c>
      <c r="B375" s="78">
        <f>IFERROR(__xludf.DUMMYFUNCTION("""COMPUTED_VALUE"""),"Policy influence / regulation")</f>
        <v/>
      </c>
    </row>
    <row r="376">
      <c r="A376" s="78">
        <f>IFERROR(__xludf.DUMMYFUNCTION("""COMPUTED_VALUE"""),"Associação Brasileira das Entidades dos Mercados Financeiro e de Capitais (ANBIMA)")</f>
        <v/>
      </c>
      <c r="B376" s="78">
        <f>IFERROR(__xludf.DUMMYFUNCTION("""COMPUTED_VALUE"""),"Convenor/enablers")</f>
        <v/>
      </c>
    </row>
    <row r="377">
      <c r="A377" s="78">
        <f>IFERROR(__xludf.DUMMYFUNCTION("""COMPUTED_VALUE"""),"C40 Cities (C40)")</f>
        <v/>
      </c>
      <c r="B377" s="78">
        <f>IFERROR(__xludf.DUMMYFUNCTION("""COMPUTED_VALUE"""),"Strategic partner")</f>
        <v/>
      </c>
    </row>
    <row r="378">
      <c r="A378" s="78">
        <f>IFERROR(__xludf.DUMMYFUNCTION("""COMPUTED_VALUE"""),"C40 Cities (C40)")</f>
        <v/>
      </c>
      <c r="B378" s="78">
        <f>IFERROR(__xludf.DUMMYFUNCTION("""COMPUTED_VALUE"""),"Convenor/enablers")</f>
        <v/>
      </c>
    </row>
    <row r="379">
      <c r="A379" s="78">
        <f>IFERROR(__xludf.DUMMYFUNCTION("""COMPUTED_VALUE"""),"C40 Cities (C40)")</f>
        <v/>
      </c>
      <c r="B379" s="78">
        <f>IFERROR(__xludf.DUMMYFUNCTION("""COMPUTED_VALUE"""),"Territorial anchor")</f>
        <v/>
      </c>
    </row>
    <row r="380">
      <c r="A380" s="78">
        <f>IFERROR(__xludf.DUMMYFUNCTION("""COMPUTED_VALUE"""),"Programa das Nações Unidas para os Assentamentos Humanos (ONU-Habitat)")</f>
        <v/>
      </c>
      <c r="B380" s="78">
        <f>IFERROR(__xludf.DUMMYFUNCTION("""COMPUTED_VALUE"""),"Strategic partner")</f>
        <v/>
      </c>
    </row>
    <row r="381">
      <c r="A381" s="78">
        <f>IFERROR(__xludf.DUMMYFUNCTION("""COMPUTED_VALUE"""),"Programa das Nações Unidas para os Assentamentos Humanos (ONU-Habitat)")</f>
        <v/>
      </c>
      <c r="B381" s="78">
        <f>IFERROR(__xludf.DUMMYFUNCTION("""COMPUTED_VALUE"""),"Project developer / Implementer")</f>
        <v/>
      </c>
    </row>
    <row r="382">
      <c r="A382" s="78">
        <f>IFERROR(__xludf.DUMMYFUNCTION("""COMPUTED_VALUE"""),"Programa das Nações Unidas para os Assentamentos Humanos (ONU-Habitat)")</f>
        <v/>
      </c>
      <c r="B382" s="78">
        <f>IFERROR(__xludf.DUMMYFUNCTION("""COMPUTED_VALUE"""),"Technical assistance / research")</f>
        <v/>
      </c>
    </row>
    <row r="383">
      <c r="A383" s="78">
        <f>IFERROR(__xludf.DUMMYFUNCTION("""COMPUTED_VALUE"""),"Associação Nacional de Transportes Públicos (ANTP)")</f>
        <v/>
      </c>
      <c r="B383" s="78">
        <f>IFERROR(__xludf.DUMMYFUNCTION("""COMPUTED_VALUE"""),"Technical assistance / research")</f>
        <v/>
      </c>
    </row>
    <row r="384">
      <c r="A384" s="78">
        <f>IFERROR(__xludf.DUMMYFUNCTION("""COMPUTED_VALUE"""),"Associação Nacional de Transportes Públicos (ANTP)")</f>
        <v/>
      </c>
      <c r="B384" s="78">
        <f>IFERROR(__xludf.DUMMYFUNCTION("""COMPUTED_VALUE"""),"Convenor/enablers")</f>
        <v/>
      </c>
    </row>
    <row r="385">
      <c r="A385" s="78">
        <f>IFERROR(__xludf.DUMMYFUNCTION("""COMPUTED_VALUE"""),"Governos Locais pela Sustentabilidade (ICLEI)")</f>
        <v/>
      </c>
      <c r="B385" s="78">
        <f>IFERROR(__xludf.DUMMYFUNCTION("""COMPUTED_VALUE"""),"Strategic partner")</f>
        <v/>
      </c>
    </row>
    <row r="386">
      <c r="A386" s="78">
        <f>IFERROR(__xludf.DUMMYFUNCTION("""COMPUTED_VALUE"""),"Governos Locais pela Sustentabilidade (ICLEI)")</f>
        <v/>
      </c>
      <c r="B386" s="78">
        <f>IFERROR(__xludf.DUMMYFUNCTION("""COMPUTED_VALUE"""),"Convenor/enablers")</f>
        <v/>
      </c>
    </row>
    <row r="387">
      <c r="A387" s="78">
        <f>IFERROR(__xludf.DUMMYFUNCTION("""COMPUTED_VALUE"""),"Governos Locais pela Sustentabilidade (ICLEI)")</f>
        <v/>
      </c>
      <c r="B387" s="78">
        <f>IFERROR(__xludf.DUMMYFUNCTION("""COMPUTED_VALUE"""),"Territorial anchor")</f>
        <v/>
      </c>
    </row>
    <row r="388">
      <c r="A388" s="78">
        <f>IFERROR(__xludf.DUMMYFUNCTION("""COMPUTED_VALUE"""),"Programa das Nações Unidas para o Meio Ambiente (PNUMA)")</f>
        <v/>
      </c>
      <c r="B388" s="78">
        <f>IFERROR(__xludf.DUMMYFUNCTION("""COMPUTED_VALUE"""),"Strategic partner")</f>
        <v/>
      </c>
    </row>
    <row r="389">
      <c r="A389" s="78">
        <f>IFERROR(__xludf.DUMMYFUNCTION("""COMPUTED_VALUE"""),"Programa das Nações Unidas para o Meio Ambiente (PNUMA)")</f>
        <v/>
      </c>
      <c r="B389" s="78">
        <f>IFERROR(__xludf.DUMMYFUNCTION("""COMPUTED_VALUE"""),"Policy influence / regulation")</f>
        <v/>
      </c>
    </row>
    <row r="390">
      <c r="A390" s="78">
        <f>IFERROR(__xludf.DUMMYFUNCTION("""COMPUTED_VALUE"""),"Programa das Nações Unidas para o Meio Ambiente (PNUMA)")</f>
        <v/>
      </c>
      <c r="B390" s="78">
        <f>IFERROR(__xludf.DUMMYFUNCTION("""COMPUTED_VALUE"""),"Convenor/enablers")</f>
        <v/>
      </c>
    </row>
    <row r="391">
      <c r="A391" s="78">
        <f>IFERROR(__xludf.DUMMYFUNCTION("""COMPUTED_VALUE"""),"Associação Brasileira das Empresas de Serviços de Conservação de Energia (ABESCO)")</f>
        <v/>
      </c>
      <c r="B391" s="78">
        <f>IFERROR(__xludf.DUMMYFUNCTION("""COMPUTED_VALUE"""),"Convenor/enablers")</f>
        <v/>
      </c>
    </row>
    <row r="392">
      <c r="A392" s="78">
        <f>IFERROR(__xludf.DUMMYFUNCTION("""COMPUTED_VALUE"""),"Associação Brasileira das Empresas de Serviços de Conservação de Energia (ABESCO)")</f>
        <v/>
      </c>
      <c r="B392" s="78">
        <f>IFERROR(__xludf.DUMMYFUNCTION("""COMPUTED_VALUE"""),"Implementation capacity (delivery)")</f>
        <v/>
      </c>
    </row>
    <row r="393">
      <c r="A393" s="78">
        <f>IFERROR(__xludf.DUMMYFUNCTION("""COMPUTED_VALUE"""),"Associação Nacional das Empresas de Transportes Urbanos (NTU)")</f>
        <v/>
      </c>
      <c r="B393" s="78">
        <f>IFERROR(__xludf.DUMMYFUNCTION("""COMPUTED_VALUE"""),"Policy influence / regulation")</f>
        <v/>
      </c>
    </row>
    <row r="394">
      <c r="A394" s="78">
        <f>IFERROR(__xludf.DUMMYFUNCTION("""COMPUTED_VALUE"""),"Associação Nacional das Empresas de Transportes Urbanos (NTU)")</f>
        <v/>
      </c>
      <c r="B394" s="78">
        <f>IFERROR(__xludf.DUMMYFUNCTION("""COMPUTED_VALUE"""),"Convenor/enablers")</f>
        <v/>
      </c>
    </row>
    <row r="395">
      <c r="A395" s="78">
        <f>IFERROR(__xludf.DUMMYFUNCTION("""COMPUTED_VALUE"""),"Instituto Nacional de Pesquisas Espaciais (INPE)")</f>
        <v/>
      </c>
      <c r="B395" s="78">
        <f>IFERROR(__xludf.DUMMYFUNCTION("""COMPUTED_VALUE"""),"Technical assistance / research")</f>
        <v/>
      </c>
    </row>
    <row r="396">
      <c r="A396" s="78">
        <f>IFERROR(__xludf.DUMMYFUNCTION("""COMPUTED_VALUE"""),"Instituto Nacional de Pesquisas Espaciais (INPE)")</f>
        <v/>
      </c>
      <c r="B396" s="78">
        <f>IFERROR(__xludf.DUMMYFUNCTION("""COMPUTED_VALUE"""),"Data / MRV / platforms")</f>
        <v/>
      </c>
    </row>
    <row r="397">
      <c r="A397" s="78">
        <f>IFERROR(__xludf.DUMMYFUNCTION("""COMPUTED_VALUE"""),"Coalizão Brasil Clima, Florestas e Agricultura")</f>
        <v/>
      </c>
      <c r="B397" s="78">
        <f>IFERROR(__xludf.DUMMYFUNCTION("""COMPUTED_VALUE"""),"Convenor/enablers")</f>
        <v/>
      </c>
    </row>
    <row r="398">
      <c r="A398" s="78">
        <f>IFERROR(__xludf.DUMMYFUNCTION("""COMPUTED_VALUE"""),"Coalizão Brasil Clima, Florestas e Agricultura")</f>
        <v/>
      </c>
      <c r="B398" s="78">
        <f>IFERROR(__xludf.DUMMYFUNCTION("""COMPUTED_VALUE"""),"Policy influence / regulation")</f>
        <v/>
      </c>
    </row>
    <row r="399">
      <c r="A399" s="78">
        <f>IFERROR(__xludf.DUMMYFUNCTION("""COMPUTED_VALUE"""),"Sustainable Energy for All (SEforALL)")</f>
        <v/>
      </c>
      <c r="B399" s="78">
        <f>IFERROR(__xludf.DUMMYFUNCTION("""COMPUTED_VALUE"""),"Strategic partner")</f>
        <v/>
      </c>
    </row>
    <row r="400">
      <c r="A400" s="78">
        <f>IFERROR(__xludf.DUMMYFUNCTION("""COMPUTED_VALUE"""),"Sustainable Energy for All (SEforALL)")</f>
        <v/>
      </c>
      <c r="B400" s="78">
        <f>IFERROR(__xludf.DUMMYFUNCTION("""COMPUTED_VALUE"""),"Convenor/enablers")</f>
        <v/>
      </c>
    </row>
    <row r="401">
      <c r="A401" s="78">
        <f>IFERROR(__xludf.DUMMYFUNCTION("""COMPUTED_VALUE"""),"Global Covenant of Mayors for Climate &amp; Energy")</f>
        <v/>
      </c>
      <c r="B401" s="78">
        <f>IFERROR(__xludf.DUMMYFUNCTION("""COMPUTED_VALUE"""),"Convenor/enablers")</f>
        <v/>
      </c>
    </row>
    <row r="402">
      <c r="A402" s="78">
        <f>IFERROR(__xludf.DUMMYFUNCTION("""COMPUTED_VALUE"""),"Global Covenant of Mayors for Climate &amp; Energy")</f>
        <v/>
      </c>
      <c r="B402" s="78">
        <f>IFERROR(__xludf.DUMMYFUNCTION("""COMPUTED_VALUE"""),"Territorial anchor")</f>
        <v/>
      </c>
    </row>
    <row r="403">
      <c r="A403" s="78">
        <f>IFERROR(__xludf.DUMMYFUNCTION("""COMPUTED_VALUE"""),"Organização para a Cooperação e Desenvolvimento Econômico (OECD)")</f>
        <v/>
      </c>
      <c r="B403" s="78">
        <f>IFERROR(__xludf.DUMMYFUNCTION("""COMPUTED_VALUE"""),"Policy influence / regulation")</f>
        <v/>
      </c>
    </row>
    <row r="404">
      <c r="A404" s="78">
        <f>IFERROR(__xludf.DUMMYFUNCTION("""COMPUTED_VALUE"""),"Organização para a Cooperação e Desenvolvimento Econômico (OECD)")</f>
        <v/>
      </c>
      <c r="B404" s="78">
        <f>IFERROR(__xludf.DUMMYFUNCTION("""COMPUTED_VALUE"""),"Technical assistance / research")</f>
        <v/>
      </c>
    </row>
    <row r="405">
      <c r="A405" s="78">
        <f>IFERROR(__xludf.DUMMYFUNCTION("""COMPUTED_VALUE"""),"Centro Internacional de Pesquisa Florestal e Agroflorestal (CIFOR-ICRAF)")</f>
        <v/>
      </c>
      <c r="B405" s="78">
        <f>IFERROR(__xludf.DUMMYFUNCTION("""COMPUTED_VALUE"""),"Technical assistance / research")</f>
        <v/>
      </c>
    </row>
    <row r="406">
      <c r="A406" s="78">
        <f>IFERROR(__xludf.DUMMYFUNCTION("""COMPUTED_VALUE"""),"Centro Internacional de Pesquisa Florestal e Agroflorestal (CIFOR-ICRAF)")</f>
        <v/>
      </c>
      <c r="B406" s="78">
        <f>IFERROR(__xludf.DUMMYFUNCTION("""COMPUTED_VALUE"""),"Project developer / Implementer")</f>
        <v/>
      </c>
    </row>
    <row r="407">
      <c r="A407" s="78">
        <f>IFERROR(__xludf.DUMMYFUNCTION("""COMPUTED_VALUE"""),"Organização das Cooperativas Brasileiras (OCB)")</f>
        <v/>
      </c>
      <c r="B407" s="78">
        <f>IFERROR(__xludf.DUMMYFUNCTION("""COMPUTED_VALUE"""),"Convenor/enablers")</f>
        <v/>
      </c>
    </row>
    <row r="408">
      <c r="A408" s="78">
        <f>IFERROR(__xludf.DUMMYFUNCTION("""COMPUTED_VALUE"""),"Organização das Cooperativas Brasileiras (OCB)")</f>
        <v/>
      </c>
      <c r="B408" s="78">
        <f>IFERROR(__xludf.DUMMYFUNCTION("""COMPUTED_VALUE"""),"Community legitimacy / proximate leadership")</f>
        <v/>
      </c>
    </row>
    <row r="409">
      <c r="A409" s="78">
        <f>IFERROR(__xludf.DUMMYFUNCTION("""COMPUTED_VALUE"""),"Fundo Internacional de Desenvolvimento Agrícola (IFAD)")</f>
        <v/>
      </c>
      <c r="B409" s="78">
        <f>IFERROR(__xludf.DUMMYFUNCTION("""COMPUTED_VALUE"""),"Funder")</f>
        <v/>
      </c>
    </row>
    <row r="410">
      <c r="A410" s="78">
        <f>IFERROR(__xludf.DUMMYFUNCTION("""COMPUTED_VALUE"""),"Fundo Internacional de Desenvolvimento Agrícola (IFAD)")</f>
        <v/>
      </c>
      <c r="B410" s="78">
        <f>IFERROR(__xludf.DUMMYFUNCTION("""COMPUTED_VALUE"""),"Capital provider / Financial intermediary")</f>
        <v/>
      </c>
    </row>
    <row r="411">
      <c r="A411" s="78">
        <f>IFERROR(__xludf.DUMMYFUNCTION("""COMPUTED_VALUE"""),"Fundo Internacional de Desenvolvimento Agrícola (IFAD)")</f>
        <v/>
      </c>
      <c r="B411" s="78">
        <f>IFERROR(__xludf.DUMMYFUNCTION("""COMPUTED_VALUE"""),"Strategic partner")</f>
        <v/>
      </c>
    </row>
    <row r="412">
      <c r="A412" s="78">
        <f>IFERROR(__xludf.DUMMYFUNCTION("""COMPUTED_VALUE"""),"Wellcome Trust")</f>
        <v/>
      </c>
      <c r="B412" s="78">
        <f>IFERROR(__xludf.DUMMYFUNCTION("""COMPUTED_VALUE"""),"Funder")</f>
        <v/>
      </c>
    </row>
    <row r="413">
      <c r="A413" s="78">
        <f>IFERROR(__xludf.DUMMYFUNCTION("""COMPUTED_VALUE"""),"Wellcome Trust")</f>
        <v/>
      </c>
      <c r="B413" s="78">
        <f>IFERROR(__xludf.DUMMYFUNCTION("""COMPUTED_VALUE"""),"Technical assistance / research")</f>
        <v/>
      </c>
    </row>
    <row r="414">
      <c r="A414" s="78">
        <f>IFERROR(__xludf.DUMMYFUNCTION("""COMPUTED_VALUE"""),"Associação Caatinga")</f>
        <v/>
      </c>
      <c r="B414" s="78">
        <f>IFERROR(__xludf.DUMMYFUNCTION("""COMPUTED_VALUE"""),"Project developer / Implementer")</f>
        <v/>
      </c>
    </row>
    <row r="415">
      <c r="A415" s="78">
        <f>IFERROR(__xludf.DUMMYFUNCTION("""COMPUTED_VALUE"""),"Associação Caatinga")</f>
        <v/>
      </c>
      <c r="B415" s="78">
        <f>IFERROR(__xludf.DUMMYFUNCTION("""COMPUTED_VALUE"""),"Territorial anchor")</f>
        <v/>
      </c>
    </row>
    <row r="416">
      <c r="A416" s="78">
        <f>IFERROR(__xludf.DUMMYFUNCTION("""COMPUTED_VALUE"""),"Fundo Constitucional de Financiamento do Nordeste (FNE)")</f>
        <v/>
      </c>
      <c r="B416" s="78">
        <f>IFERROR(__xludf.DUMMYFUNCTION("""COMPUTED_VALUE"""),"Capital provider / Financial intermediary")</f>
        <v/>
      </c>
    </row>
    <row r="417">
      <c r="A417" s="78">
        <f>IFERROR(__xludf.DUMMYFUNCTION("""COMPUTED_VALUE"""),"Articulação Semiárido Brasileiro (ASA Brasil)")</f>
        <v/>
      </c>
      <c r="B417" s="78">
        <f>IFERROR(__xludf.DUMMYFUNCTION("""COMPUTED_VALUE"""),"Community legitimacy / proximate leadership")</f>
        <v/>
      </c>
    </row>
    <row r="418">
      <c r="A418" s="78">
        <f>IFERROR(__xludf.DUMMYFUNCTION("""COMPUTED_VALUE"""),"Articulação Semiárido Brasileiro (ASA Brasil)")</f>
        <v/>
      </c>
      <c r="B418" s="78">
        <f>IFERROR(__xludf.DUMMYFUNCTION("""COMPUTED_VALUE"""),"Implementation capacity (delivery)")</f>
        <v/>
      </c>
    </row>
    <row r="419">
      <c r="A419" s="78">
        <f>IFERROR(__xludf.DUMMYFUNCTION("""COMPUTED_VALUE"""),"Fundação Araripe")</f>
        <v/>
      </c>
      <c r="B419" s="78">
        <f>IFERROR(__xludf.DUMMYFUNCTION("""COMPUTED_VALUE"""),"Project developer / Implementer")</f>
        <v/>
      </c>
    </row>
    <row r="420">
      <c r="A420" s="78">
        <f>IFERROR(__xludf.DUMMYFUNCTION("""COMPUTED_VALUE"""),"Fundação Araripe")</f>
        <v/>
      </c>
      <c r="B420" s="78">
        <f>IFERROR(__xludf.DUMMYFUNCTION("""COMPUTED_VALUE"""),"Technical assistance / research")</f>
        <v/>
      </c>
    </row>
    <row r="421">
      <c r="A421" s="78">
        <f>IFERROR(__xludf.DUMMYFUNCTION("""COMPUTED_VALUE"""),"Centro de Manejo de Fauna da Caatinga (CEMAFauna)")</f>
        <v/>
      </c>
      <c r="B421" s="78">
        <f>IFERROR(__xludf.DUMMYFUNCTION("""COMPUTED_VALUE"""),"Technical assistance / research")</f>
        <v/>
      </c>
    </row>
    <row r="422">
      <c r="A422" s="78">
        <f>IFERROR(__xludf.DUMMYFUNCTION("""COMPUTED_VALUE"""),"Instituto Regional da Pequena Agropecuária Apropriada (IRPAA)")</f>
        <v/>
      </c>
      <c r="B422" s="78">
        <f>IFERROR(__xludf.DUMMYFUNCTION("""COMPUTED_VALUE"""),"Project developer / Implementer")</f>
        <v/>
      </c>
    </row>
    <row r="423">
      <c r="A423" s="78">
        <f>IFERROR(__xludf.DUMMYFUNCTION("""COMPUTED_VALUE"""),"Instituto Regional da Pequena Agropecuária Apropriada (IRPAA)")</f>
        <v/>
      </c>
      <c r="B423" s="78">
        <f>IFERROR(__xludf.DUMMYFUNCTION("""COMPUTED_VALUE"""),"Community legitimacy / proximate leadership")</f>
        <v/>
      </c>
    </row>
    <row r="424">
      <c r="A424" s="78">
        <f>IFERROR(__xludf.DUMMYFUNCTION("""COMPUTED_VALUE"""),"Global Energy Alliance for People and Planet (GEAPP)")</f>
        <v/>
      </c>
      <c r="B424" s="78">
        <f>IFERROR(__xludf.DUMMYFUNCTION("""COMPUTED_VALUE"""),"Strategic partner")</f>
        <v/>
      </c>
    </row>
    <row r="425">
      <c r="A425" s="78">
        <f>IFERROR(__xludf.DUMMYFUNCTION("""COMPUTED_VALUE"""),"Global Energy Alliance for People and Planet (GEAPP)")</f>
        <v/>
      </c>
      <c r="B425" s="78">
        <f>IFERROR(__xludf.DUMMYFUNCTION("""COMPUTED_VALUE"""),"Funder")</f>
        <v/>
      </c>
    </row>
    <row r="426">
      <c r="A426" s="78">
        <f>IFERROR(__xludf.DUMMYFUNCTION("""COMPUTED_VALUE"""),"Global Energy Alliance for People and Planet (GEAPP)")</f>
        <v/>
      </c>
      <c r="B426" s="78">
        <f>IFERROR(__xludf.DUMMYFUNCTION("""COMPUTED_VALUE"""),"Convenor/enablers")</f>
        <v/>
      </c>
    </row>
    <row r="427">
      <c r="A427" s="78">
        <f>IFERROR(__xludf.DUMMYFUNCTION("""COMPUTED_VALUE"""),"Banco Nacional de Desenvolvimento Econômico e Social (BNDES)")</f>
        <v/>
      </c>
      <c r="B427" s="78">
        <f>IFERROR(__xludf.DUMMYFUNCTION("""COMPUTED_VALUE"""),"Capital provider / Financial intermediary")</f>
        <v/>
      </c>
    </row>
    <row r="428">
      <c r="A428" s="78">
        <f>IFERROR(__xludf.DUMMYFUNCTION("""COMPUTED_VALUE"""),"Banco Nacional de Desenvolvimento Econômico e Social (BNDES)")</f>
        <v/>
      </c>
      <c r="B428" s="78">
        <f>IFERROR(__xludf.DUMMYFUNCTION("""COMPUTED_VALUE"""),"Territorial anchor")</f>
        <v/>
      </c>
    </row>
    <row r="429">
      <c r="A429" s="78">
        <f>IFERROR(__xludf.DUMMYFUNCTION("""COMPUTED_VALUE"""),"Banco Nacional de Desenvolvimento Econômico e Social (BNDES)")</f>
        <v/>
      </c>
      <c r="B429" s="78">
        <f>IFERROR(__xludf.DUMMYFUNCTION("""COMPUTED_VALUE"""),"Funder")</f>
        <v/>
      </c>
    </row>
    <row r="430">
      <c r="A430" s="78">
        <f>IFERROR(__xludf.DUMMYFUNCTION("""COMPUTED_VALUE"""),"Banco do Nordeste (BNB)")</f>
        <v/>
      </c>
      <c r="B430" s="78">
        <f>IFERROR(__xludf.DUMMYFUNCTION("""COMPUTED_VALUE"""),"Capital provider / Financial intermediary")</f>
        <v/>
      </c>
    </row>
    <row r="431">
      <c r="A431" s="78">
        <f>IFERROR(__xludf.DUMMYFUNCTION("""COMPUTED_VALUE"""),"Banco do Nordeste (BNB)")</f>
        <v/>
      </c>
      <c r="B431" s="78">
        <f>IFERROR(__xludf.DUMMYFUNCTION("""COMPUTED_VALUE"""),"Territorial anchor")</f>
        <v/>
      </c>
    </row>
    <row r="432">
      <c r="A432" s="78">
        <f>IFERROR(__xludf.DUMMYFUNCTION("""COMPUTED_VALUE"""),"Banco do Brasil (BB)")</f>
        <v/>
      </c>
      <c r="B432" s="78">
        <f>IFERROR(__xludf.DUMMYFUNCTION("""COMPUTED_VALUE"""),"Capital provider / Financial intermediary")</f>
        <v/>
      </c>
    </row>
    <row r="433">
      <c r="A433" s="78">
        <f>IFERROR(__xludf.DUMMYFUNCTION("""COMPUTED_VALUE"""),"Banco do Brasil (BB)")</f>
        <v/>
      </c>
      <c r="B433" s="78">
        <f>IFERROR(__xludf.DUMMYFUNCTION("""COMPUTED_VALUE"""),"Territorial anchor")</f>
        <v/>
      </c>
    </row>
    <row r="434">
      <c r="A434" s="78">
        <f>IFERROR(__xludf.DUMMYFUNCTION("""COMPUTED_VALUE"""),"Federação Brasileira de Bancos (Febraban)")</f>
        <v/>
      </c>
      <c r="B434" s="78">
        <f>IFERROR(__xludf.DUMMYFUNCTION("""COMPUTED_VALUE"""),"Convenor/enablers")</f>
        <v/>
      </c>
    </row>
    <row r="435">
      <c r="A435" s="78">
        <f>IFERROR(__xludf.DUMMYFUNCTION("""COMPUTED_VALUE"""),"Federação Brasileira de Bancos (Febraban)")</f>
        <v/>
      </c>
      <c r="B435" s="78">
        <f>IFERROR(__xludf.DUMMYFUNCTION("""COMPUTED_VALUE"""),"Policy influence / regulation")</f>
        <v/>
      </c>
    </row>
    <row r="436">
      <c r="A436" s="78">
        <f>IFERROR(__xludf.DUMMYFUNCTION("""COMPUTED_VALUE"""),"B3 – Brasil, Bolsa, Balcão (B3)")</f>
        <v/>
      </c>
      <c r="B436" s="78">
        <f>IFERROR(__xludf.DUMMYFUNCTION("""COMPUTED_VALUE"""),"Data / MRV / platforms")</f>
        <v/>
      </c>
    </row>
    <row r="437">
      <c r="A437" s="78">
        <f>IFERROR(__xludf.DUMMYFUNCTION("""COMPUTED_VALUE"""),"B3 – Brasil, Bolsa, Balcão (B3)")</f>
        <v/>
      </c>
      <c r="B437" s="78">
        <f>IFERROR(__xludf.DUMMYFUNCTION("""COMPUTED_VALUE"""),"Convenor/enablers")</f>
        <v/>
      </c>
    </row>
    <row r="438">
      <c r="A438" s="78">
        <f>IFERROR(__xludf.DUMMYFUNCTION("""COMPUTED_VALUE"""),"Câmara de Comercialização de Energia Elétrica (CCEE)")</f>
        <v/>
      </c>
      <c r="B438" s="78">
        <f>IFERROR(__xludf.DUMMYFUNCTION("""COMPUTED_VALUE"""),"Policy influence / regulation")</f>
        <v/>
      </c>
    </row>
    <row r="439">
      <c r="A439" s="78">
        <f>IFERROR(__xludf.DUMMYFUNCTION("""COMPUTED_VALUE"""),"Câmara de Comercialização de Energia Elétrica (CCEE)")</f>
        <v/>
      </c>
      <c r="B439" s="78">
        <f>IFERROR(__xludf.DUMMYFUNCTION("""COMPUTED_VALUE"""),"Data / MRV / platforms")</f>
        <v/>
      </c>
    </row>
    <row r="440">
      <c r="A440" s="78">
        <f>IFERROR(__xludf.DUMMYFUNCTION("""COMPUTED_VALUE"""),"Agência Nacional do Petróleo, Gás Natural e Biocombustíveis (ANP)")</f>
        <v/>
      </c>
      <c r="B440" s="78">
        <f>IFERROR(__xludf.DUMMYFUNCTION("""COMPUTED_VALUE"""),"Policy influence / regulation")</f>
        <v/>
      </c>
    </row>
    <row r="441">
      <c r="A441" s="78">
        <f>IFERROR(__xludf.DUMMYFUNCTION("""COMPUTED_VALUE"""),"Agência Nacional de Águas e Saneamento Básico (ANA)")</f>
        <v/>
      </c>
      <c r="B441" s="78">
        <f>IFERROR(__xludf.DUMMYFUNCTION("""COMPUTED_VALUE"""),"Policy influence / regulation")</f>
        <v/>
      </c>
    </row>
    <row r="442">
      <c r="A442" s="78">
        <f>IFERROR(__xludf.DUMMYFUNCTION("""COMPUTED_VALUE"""),"Agência Nacional de Águas e Saneamento Básico (ANA)")</f>
        <v/>
      </c>
      <c r="B442" s="78">
        <f>IFERROR(__xludf.DUMMYFUNCTION("""COMPUTED_VALUE"""),"Territorial anchor")</f>
        <v/>
      </c>
    </row>
    <row r="443">
      <c r="A443" s="78">
        <f>IFERROR(__xludf.DUMMYFUNCTION("""COMPUTED_VALUE"""),"MapBiomas (MapBiomas)")</f>
        <v/>
      </c>
      <c r="B443" s="78">
        <f>IFERROR(__xludf.DUMMYFUNCTION("""COMPUTED_VALUE"""),"Data / MRV / platforms")</f>
        <v/>
      </c>
    </row>
    <row r="444">
      <c r="A444" s="78">
        <f>IFERROR(__xludf.DUMMYFUNCTION("""COMPUTED_VALUE"""),"MapBiomas (MapBiomas)")</f>
        <v/>
      </c>
      <c r="B444" s="78">
        <f>IFERROR(__xludf.DUMMYFUNCTION("""COMPUTED_VALUE"""),"Technical assistance / research")</f>
        <v/>
      </c>
    </row>
    <row r="445">
      <c r="A445" s="78">
        <f>IFERROR(__xludf.DUMMYFUNCTION("""COMPUTED_VALUE"""),"Instituto Nacional do Semiárido (INSA)")</f>
        <v/>
      </c>
      <c r="B445" s="78">
        <f>IFERROR(__xludf.DUMMYFUNCTION("""COMPUTED_VALUE"""),"Technical assistance / research")</f>
        <v/>
      </c>
    </row>
    <row r="446">
      <c r="A446" s="78">
        <f>IFERROR(__xludf.DUMMYFUNCTION("""COMPUTED_VALUE"""),"Instituto Nacional do Semiárido (INSA)")</f>
        <v/>
      </c>
      <c r="B446" s="78">
        <f>IFERROR(__xludf.DUMMYFUNCTION("""COMPUTED_VALUE"""),"Territorial anchor")</f>
        <v/>
      </c>
    </row>
    <row r="447">
      <c r="A447" s="78">
        <f>IFERROR(__xludf.DUMMYFUNCTION("""COMPUTED_VALUE"""),"Instituto de Desenvolvimento Sustentável Mamirauá (IDSM)")</f>
        <v/>
      </c>
      <c r="B447" s="78">
        <f>IFERROR(__xludf.DUMMYFUNCTION("""COMPUTED_VALUE"""),"Technical assistance / research")</f>
        <v/>
      </c>
    </row>
    <row r="448">
      <c r="A448" s="78">
        <f>IFERROR(__xludf.DUMMYFUNCTION("""COMPUTED_VALUE"""),"Instituto de Desenvolvimento Sustentável Mamirauá (IDSM)")</f>
        <v/>
      </c>
      <c r="B448" s="78">
        <f>IFERROR(__xludf.DUMMYFUNCTION("""COMPUTED_VALUE"""),"Project developer / Implementer")</f>
        <v/>
      </c>
    </row>
    <row r="449">
      <c r="A449" s="78">
        <f>IFERROR(__xludf.DUMMYFUNCTION("""COMPUTED_VALUE"""),"Instituto Centro de Vida (ICV)")</f>
        <v/>
      </c>
      <c r="B449" s="78">
        <f>IFERROR(__xludf.DUMMYFUNCTION("""COMPUTED_VALUE"""),"Project developer / Implementer")</f>
        <v/>
      </c>
    </row>
    <row r="450">
      <c r="A450" s="78">
        <f>IFERROR(__xludf.DUMMYFUNCTION("""COMPUTED_VALUE"""),"Instituto Centro de Vida (ICV)")</f>
        <v/>
      </c>
      <c r="B450" s="78">
        <f>IFERROR(__xludf.DUMMYFUNCTION("""COMPUTED_VALUE"""),"Data / MRV / platforms")</f>
        <v/>
      </c>
    </row>
    <row r="451">
      <c r="A451" s="78">
        <f>IFERROR(__xludf.DUMMYFUNCTION("""COMPUTED_VALUE"""),"Instituto Internacional de Educação do Brasil (IEB)")</f>
        <v/>
      </c>
      <c r="B451" s="78">
        <f>IFERROR(__xludf.DUMMYFUNCTION("""COMPUTED_VALUE"""),"Project developer / Implementer")</f>
        <v/>
      </c>
    </row>
    <row r="452">
      <c r="A452" s="78">
        <f>IFERROR(__xludf.DUMMYFUNCTION("""COMPUTED_VALUE"""),"Instituto Internacional de Educação do Brasil (IEB)")</f>
        <v/>
      </c>
      <c r="B452" s="78">
        <f>IFERROR(__xludf.DUMMYFUNCTION("""COMPUTED_VALUE"""),"Technical assistance / research")</f>
        <v/>
      </c>
    </row>
    <row r="453">
      <c r="A453" s="78">
        <f>IFERROR(__xludf.DUMMYFUNCTION("""COMPUTED_VALUE"""),"Fundação Vitória Amazônica (FVA)")</f>
        <v/>
      </c>
      <c r="B453" s="78">
        <f>IFERROR(__xludf.DUMMYFUNCTION("""COMPUTED_VALUE"""),"Project developer / Implementer")</f>
        <v/>
      </c>
    </row>
    <row r="454">
      <c r="A454" s="78">
        <f>IFERROR(__xludf.DUMMYFUNCTION("""COMPUTED_VALUE"""),"Fundação Vitória Amazônica (FVA)")</f>
        <v/>
      </c>
      <c r="B454" s="78">
        <f>IFERROR(__xludf.DUMMYFUNCTION("""COMPUTED_VALUE"""),"Territorial anchor")</f>
        <v/>
      </c>
    </row>
    <row r="455">
      <c r="A455" s="78">
        <f>IFERROR(__xludf.DUMMYFUNCTION("""COMPUTED_VALUE"""),"Instituto Ouro Verde (IOV)")</f>
        <v/>
      </c>
      <c r="B455" s="78">
        <f>IFERROR(__xludf.DUMMYFUNCTION("""COMPUTED_VALUE"""),"Project developer / Implementer")</f>
        <v/>
      </c>
    </row>
    <row r="456">
      <c r="A456" s="78">
        <f>IFERROR(__xludf.DUMMYFUNCTION("""COMPUTED_VALUE"""),"Instituto Ouro Verde (IOV)")</f>
        <v/>
      </c>
      <c r="B456" s="78">
        <f>IFERROR(__xludf.DUMMYFUNCTION("""COMPUTED_VALUE"""),"Implementation capacity (delivery)")</f>
        <v/>
      </c>
    </row>
    <row r="457">
      <c r="A457" s="78">
        <f>IFERROR(__xludf.DUMMYFUNCTION("""COMPUTED_VALUE"""),"Instituto Sociedade, População e Natureza (ISPN)")</f>
        <v/>
      </c>
      <c r="B457" s="78">
        <f>IFERROR(__xludf.DUMMYFUNCTION("""COMPUTED_VALUE"""),"Funder")</f>
        <v/>
      </c>
    </row>
    <row r="458">
      <c r="A458" s="78">
        <f>IFERROR(__xludf.DUMMYFUNCTION("""COMPUTED_VALUE"""),"Instituto Sociedade, População e Natureza (ISPN)")</f>
        <v/>
      </c>
      <c r="B458" s="78">
        <f>IFERROR(__xludf.DUMMYFUNCTION("""COMPUTED_VALUE"""),"Project developer / Implementer")</f>
        <v/>
      </c>
    </row>
    <row r="459">
      <c r="A459" s="78">
        <f>IFERROR(__xludf.DUMMYFUNCTION("""COMPUTED_VALUE"""),"Rede Cerrado (Rede Cerrado)")</f>
        <v/>
      </c>
      <c r="B459" s="78">
        <f>IFERROR(__xludf.DUMMYFUNCTION("""COMPUTED_VALUE"""),"Community legitimacy / proximate leadership")</f>
        <v/>
      </c>
    </row>
    <row r="460">
      <c r="A460" s="78">
        <f>IFERROR(__xludf.DUMMYFUNCTION("""COMPUTED_VALUE"""),"Rede Cerrado (Rede Cerrado)")</f>
        <v/>
      </c>
      <c r="B460" s="78">
        <f>IFERROR(__xludf.DUMMYFUNCTION("""COMPUTED_VALUE"""),"Convenor/enablers")</f>
        <v/>
      </c>
    </row>
    <row r="461">
      <c r="A461" s="78">
        <f>IFERROR(__xludf.DUMMYFUNCTION("""COMPUTED_VALUE"""),"Associação Brasileira de Geração Distribuída (ABGD)")</f>
        <v/>
      </c>
      <c r="B461" s="78">
        <f>IFERROR(__xludf.DUMMYFUNCTION("""COMPUTED_VALUE"""),"Policy influence / regulation")</f>
        <v/>
      </c>
    </row>
    <row r="462">
      <c r="A462" s="78">
        <f>IFERROR(__xludf.DUMMYFUNCTION("""COMPUTED_VALUE"""),"Associação Brasileira de Geração Distribuída (ABGD)")</f>
        <v/>
      </c>
      <c r="B462" s="78">
        <f>IFERROR(__xludf.DUMMYFUNCTION("""COMPUTED_VALUE"""),"Convenor/enablers")</f>
        <v/>
      </c>
    </row>
    <row r="463">
      <c r="A463" s="78">
        <f>IFERROR(__xludf.DUMMYFUNCTION("""COMPUTED_VALUE"""),"Associação Brasileira do Veículo Elétrico (ABVE)")</f>
        <v/>
      </c>
      <c r="B463" s="78">
        <f>IFERROR(__xludf.DUMMYFUNCTION("""COMPUTED_VALUE"""),"Policy influence / regulation")</f>
        <v/>
      </c>
    </row>
    <row r="464">
      <c r="A464" s="78">
        <f>IFERROR(__xludf.DUMMYFUNCTION("""COMPUTED_VALUE"""),"Associação Brasileira do Veículo Elétrico (ABVE)")</f>
        <v/>
      </c>
      <c r="B464" s="78">
        <f>IFERROR(__xludf.DUMMYFUNCTION("""COMPUTED_VALUE"""),"Convenor/enablers")</f>
        <v/>
      </c>
    </row>
    <row r="465">
      <c r="A465" s="78">
        <f>IFERROR(__xludf.DUMMYFUNCTION("""COMPUTED_VALUE"""),"Confederação Nacional do Transporte (CNT)")</f>
        <v/>
      </c>
      <c r="B465" s="78">
        <f>IFERROR(__xludf.DUMMYFUNCTION("""COMPUTED_VALUE"""),"Policy influence / regulation")</f>
        <v/>
      </c>
    </row>
    <row r="466">
      <c r="A466" s="78">
        <f>IFERROR(__xludf.DUMMYFUNCTION("""COMPUTED_VALUE"""),"Confederação Nacional do Transporte (CNT)")</f>
        <v/>
      </c>
      <c r="B466" s="78">
        <f>IFERROR(__xludf.DUMMYFUNCTION("""COMPUTED_VALUE"""),"Convenor/enablers")</f>
        <v/>
      </c>
    </row>
    <row r="467">
      <c r="A467" s="78">
        <f>IFERROR(__xludf.DUMMYFUNCTION("""COMPUTED_VALUE"""),"Departamento Nacional de Infraestrutura de Transportes (DNIT)")</f>
        <v/>
      </c>
      <c r="B467" s="78">
        <f>IFERROR(__xludf.DUMMYFUNCTION("""COMPUTED_VALUE"""),"Policy influence / regulation")</f>
        <v/>
      </c>
    </row>
    <row r="468">
      <c r="A468" s="78">
        <f>IFERROR(__xludf.DUMMYFUNCTION("""COMPUTED_VALUE"""),"Departamento Nacional de Infraestrutura de Transportes (DNIT)")</f>
        <v/>
      </c>
      <c r="B468" s="78">
        <f>IFERROR(__xludf.DUMMYFUNCTION("""COMPUTED_VALUE"""),"Territorial anchor")</f>
        <v/>
      </c>
    </row>
    <row r="469">
      <c r="A469" s="78">
        <f>IFERROR(__xludf.DUMMYFUNCTION("""COMPUTED_VALUE"""),"Agência Nacional de Aviação Civil (ANAC)")</f>
        <v/>
      </c>
      <c r="B469" s="78">
        <f>IFERROR(__xludf.DUMMYFUNCTION("""COMPUTED_VALUE"""),"Policy influence / regulation")</f>
        <v/>
      </c>
    </row>
    <row r="470">
      <c r="A470" s="78">
        <f>IFERROR(__xludf.DUMMYFUNCTION("""COMPUTED_VALUE"""),"Associação Brasileira de Normas Técnicas (ABNT)")</f>
        <v/>
      </c>
      <c r="B470" s="78">
        <f>IFERROR(__xludf.DUMMYFUNCTION("""COMPUTED_VALUE"""),"Technical assistance / research")</f>
        <v/>
      </c>
    </row>
    <row r="471">
      <c r="A471" s="78">
        <f>IFERROR(__xludf.DUMMYFUNCTION("""COMPUTED_VALUE"""),"Associação Brasileira de Normas Técnicas (ABNT)")</f>
        <v/>
      </c>
      <c r="B471" s="78">
        <f>IFERROR(__xludf.DUMMYFUNCTION("""COMPUTED_VALUE"""),"Policy influence / regulation")</f>
        <v/>
      </c>
    </row>
    <row r="472">
      <c r="A472" s="78">
        <f>IFERROR(__xludf.DUMMYFUNCTION("""COMPUTED_VALUE"""),"Câmara Brasileira da Indústria da Construção (CBIC)")</f>
        <v/>
      </c>
      <c r="B472" s="78">
        <f>IFERROR(__xludf.DUMMYFUNCTION("""COMPUTED_VALUE"""),"Convenor/enablers")</f>
        <v/>
      </c>
    </row>
    <row r="473">
      <c r="A473" s="78">
        <f>IFERROR(__xludf.DUMMYFUNCTION("""COMPUTED_VALUE"""),"Câmara Brasileira da Indústria da Construção (CBIC)")</f>
        <v/>
      </c>
      <c r="B473" s="78">
        <f>IFERROR(__xludf.DUMMYFUNCTION("""COMPUTED_VALUE"""),"Policy influence / regulation")</f>
        <v/>
      </c>
    </row>
    <row r="474">
      <c r="A474" s="78">
        <f>IFERROR(__xludf.DUMMYFUNCTION("""COMPUTED_VALUE"""),"Conselho de Arquitetura e Urbanismo do Brasil (CAU/BR)")</f>
        <v/>
      </c>
      <c r="B474" s="78">
        <f>IFERROR(__xludf.DUMMYFUNCTION("""COMPUTED_VALUE"""),"Policy influence / regulation")</f>
        <v/>
      </c>
    </row>
    <row r="475">
      <c r="A475" s="78">
        <f>IFERROR(__xludf.DUMMYFUNCTION("""COMPUTED_VALUE"""),"Conselho de Arquitetura e Urbanismo do Brasil (CAU/BR)")</f>
        <v/>
      </c>
      <c r="B475" s="78">
        <f>IFERROR(__xludf.DUMMYFUNCTION("""COMPUTED_VALUE"""),"Technical assistance / research")</f>
        <v/>
      </c>
    </row>
    <row r="476">
      <c r="A476" s="78">
        <f>IFERROR(__xludf.DUMMYFUNCTION("""COMPUTED_VALUE"""),"Conselho Federal de Engenharia e Agronomia (Confea)")</f>
        <v/>
      </c>
      <c r="B476" s="78">
        <f>IFERROR(__xludf.DUMMYFUNCTION("""COMPUTED_VALUE"""),"Policy influence / regulation")</f>
        <v/>
      </c>
    </row>
    <row r="477">
      <c r="A477" s="78">
        <f>IFERROR(__xludf.DUMMYFUNCTION("""COMPUTED_VALUE"""),"Instituto Nacional de Metrologia, Qualidade e Tecnologia (Inmetro)")</f>
        <v/>
      </c>
      <c r="B477" s="78">
        <f>IFERROR(__xludf.DUMMYFUNCTION("""COMPUTED_VALUE"""),"Policy influence / regulation")</f>
        <v/>
      </c>
    </row>
    <row r="478">
      <c r="A478" s="78">
        <f>IFERROR(__xludf.DUMMYFUNCTION("""COMPUTED_VALUE"""),"Instituto Nacional de Metrologia, Qualidade e Tecnologia (Inmetro)")</f>
        <v/>
      </c>
      <c r="B478" s="78">
        <f>IFERROR(__xludf.DUMMYFUNCTION("""COMPUTED_VALUE"""),"Data / MRV / platforms")</f>
        <v/>
      </c>
    </row>
    <row r="479">
      <c r="A479" s="78">
        <f>IFERROR(__xludf.DUMMYFUNCTION("""COMPUTED_VALUE"""),"Serviço Brasileiro de Apoio às Micro e Pequenas Empresas (SEBRAE)")</f>
        <v/>
      </c>
      <c r="B479" s="78">
        <f>IFERROR(__xludf.DUMMYFUNCTION("""COMPUTED_VALUE"""),"Implementation capacity (delivery)")</f>
        <v/>
      </c>
    </row>
    <row r="480">
      <c r="A480" s="78">
        <f>IFERROR(__xludf.DUMMYFUNCTION("""COMPUTED_VALUE"""),"Serviço Brasileiro de Apoio às Micro e Pequenas Empresas (SEBRAE)")</f>
        <v/>
      </c>
      <c r="B480" s="78">
        <f>IFERROR(__xludf.DUMMYFUNCTION("""COMPUTED_VALUE"""),"Technical assistance / research")</f>
        <v/>
      </c>
    </row>
    <row r="481">
      <c r="A481" s="78">
        <f>IFERROR(__xludf.DUMMYFUNCTION("""COMPUTED_VALUE"""),"União Nacional de Cooperativas da Agricultura Familiar e Economia Solidária (Unicafes)")</f>
        <v/>
      </c>
      <c r="B481" s="78">
        <f>IFERROR(__xludf.DUMMYFUNCTION("""COMPUTED_VALUE"""),"Community legitimacy / proximate leadership")</f>
        <v/>
      </c>
    </row>
    <row r="482">
      <c r="A482" s="78">
        <f>IFERROR(__xludf.DUMMYFUNCTION("""COMPUTED_VALUE"""),"União Nacional de Cooperativas da Agricultura Familiar e Economia Solidária (Unicafes)")</f>
        <v/>
      </c>
      <c r="B482" s="78">
        <f>IFERROR(__xludf.DUMMYFUNCTION("""COMPUTED_VALUE"""),"Convenor/enablers")</f>
        <v/>
      </c>
    </row>
    <row r="483">
      <c r="A483" s="78">
        <f>IFERROR(__xludf.DUMMYFUNCTION("""COMPUTED_VALUE"""),"Infocos Agri-Agency")</f>
        <v/>
      </c>
      <c r="B483" s="78">
        <f>IFERROR(__xludf.DUMMYFUNCTION("""COMPUTED_VALUE"""),"Technical assistance / research")</f>
        <v/>
      </c>
    </row>
    <row r="484">
      <c r="A484" s="78">
        <f>IFERROR(__xludf.DUMMYFUNCTION("""COMPUTED_VALUE"""),"Instituto Democracia e Sustentabilidade (IDS)")</f>
        <v/>
      </c>
      <c r="B484" s="78">
        <f>IFERROR(__xludf.DUMMYFUNCTION("""COMPUTED_VALUE"""),"Policy influence / regulation")</f>
        <v/>
      </c>
    </row>
    <row r="485">
      <c r="A485" s="78">
        <f>IFERROR(__xludf.DUMMYFUNCTION("""COMPUTED_VALUE"""),"Instituto Democracia e Sustentabilidade (IDS)")</f>
        <v/>
      </c>
      <c r="B485" s="78">
        <f>IFERROR(__xludf.DUMMYFUNCTION("""COMPUTED_VALUE"""),"Technical assistance / research")</f>
        <v/>
      </c>
    </row>
    <row r="486">
      <c r="A486" s="78">
        <f>IFERROR(__xludf.DUMMYFUNCTION("""COMPUTED_VALUE"""),"Instituto Cidades Sustentáveis")</f>
        <v/>
      </c>
      <c r="B486" s="78">
        <f>IFERROR(__xludf.DUMMYFUNCTION("""COMPUTED_VALUE"""),"Project developer / Implementer")</f>
        <v/>
      </c>
    </row>
    <row r="487">
      <c r="A487" s="78">
        <f>IFERROR(__xludf.DUMMYFUNCTION("""COMPUTED_VALUE"""),"Instituto Cidades Sustentáveis")</f>
        <v/>
      </c>
      <c r="B487" s="78">
        <f>IFERROR(__xludf.DUMMYFUNCTION("""COMPUTED_VALUE"""),"Data / MRV / platforms")</f>
        <v/>
      </c>
    </row>
    <row r="488">
      <c r="A488" s="78">
        <f>IFERROR(__xludf.DUMMYFUNCTION("""COMPUTED_VALUE"""),"Rede Nossa São Paulo")</f>
        <v/>
      </c>
      <c r="B488" s="78">
        <f>IFERROR(__xludf.DUMMYFUNCTION("""COMPUTED_VALUE"""),"Policy influence / regulation")</f>
        <v/>
      </c>
    </row>
    <row r="489">
      <c r="A489" s="78">
        <f>IFERROR(__xludf.DUMMYFUNCTION("""COMPUTED_VALUE"""),"Rede Nossa São Paulo")</f>
        <v/>
      </c>
      <c r="B489" s="78">
        <f>IFERROR(__xludf.DUMMYFUNCTION("""COMPUTED_VALUE"""),"Community legitimacy / proximate leadership")</f>
        <v/>
      </c>
    </row>
    <row r="490">
      <c r="A490" s="78">
        <f>IFERROR(__xludf.DUMMYFUNCTION("""COMPUTED_VALUE"""),"Instituto Pólis")</f>
        <v/>
      </c>
      <c r="B490" s="78">
        <f>IFERROR(__xludf.DUMMYFUNCTION("""COMPUTED_VALUE"""),"Technical assistance / research")</f>
        <v/>
      </c>
    </row>
    <row r="491">
      <c r="A491" s="78">
        <f>IFERROR(__xludf.DUMMYFUNCTION("""COMPUTED_VALUE"""),"Instituto Pólis")</f>
        <v/>
      </c>
      <c r="B491" s="78">
        <f>IFERROR(__xludf.DUMMYFUNCTION("""COMPUTED_VALUE"""),"Policy influence / regulation")</f>
        <v/>
      </c>
    </row>
    <row r="492">
      <c r="A492" s="78">
        <f>IFERROR(__xludf.DUMMYFUNCTION("""COMPUTED_VALUE"""),"Instituto Escolhas")</f>
        <v/>
      </c>
      <c r="B492" s="78">
        <f>IFERROR(__xludf.DUMMYFUNCTION("""COMPUTED_VALUE"""),"Technical assistance / research")</f>
        <v/>
      </c>
    </row>
    <row r="493">
      <c r="A493" s="78">
        <f>IFERROR(__xludf.DUMMYFUNCTION("""COMPUTED_VALUE"""),"Instituto Escolhas")</f>
        <v/>
      </c>
      <c r="B493" s="78">
        <f>IFERROR(__xludf.DUMMYFUNCTION("""COMPUTED_VALUE"""),"Policy influence / regulation")</f>
        <v/>
      </c>
    </row>
    <row r="494">
      <c r="A494" s="78">
        <f>IFERROR(__xludf.DUMMYFUNCTION("""COMPUTED_VALUE"""),"Instituto de Estudos Socioeconômicos (INESC)")</f>
        <v/>
      </c>
      <c r="B494" s="78">
        <f>IFERROR(__xludf.DUMMYFUNCTION("""COMPUTED_VALUE"""),"Policy influence / regulation")</f>
        <v/>
      </c>
    </row>
    <row r="495">
      <c r="A495" s="78">
        <f>IFERROR(__xludf.DUMMYFUNCTION("""COMPUTED_VALUE"""),"Instituto de Estudos Socioeconômicos (INESC)")</f>
        <v/>
      </c>
      <c r="B495" s="78">
        <f>IFERROR(__xludf.DUMMYFUNCTION("""COMPUTED_VALUE"""),"Technical assistance / research")</f>
        <v/>
      </c>
    </row>
    <row r="496">
      <c r="A496" s="78">
        <f>IFERROR(__xludf.DUMMYFUNCTION("""COMPUTED_VALUE"""),"Instituto Brasileiro de Defesa do Consumidor (Idec)")</f>
        <v/>
      </c>
      <c r="B496" s="78">
        <f>IFERROR(__xludf.DUMMYFUNCTION("""COMPUTED_VALUE"""),"Policy influence / regulation")</f>
        <v/>
      </c>
    </row>
    <row r="497">
      <c r="A497" s="78">
        <f>IFERROR(__xludf.DUMMYFUNCTION("""COMPUTED_VALUE"""),"Instituto Brasileiro de Defesa do Consumidor (Idec)")</f>
        <v/>
      </c>
      <c r="B497" s="78">
        <f>IFERROR(__xludf.DUMMYFUNCTION("""COMPUTED_VALUE"""),"Community legitimacy / proximate leadership")</f>
        <v/>
      </c>
    </row>
    <row r="498">
      <c r="A498" s="78">
        <f>IFERROR(__xludf.DUMMYFUNCTION("""COMPUTED_VALUE"""),"Greenpeace Brasil")</f>
        <v/>
      </c>
      <c r="B498" s="78">
        <f>IFERROR(__xludf.DUMMYFUNCTION("""COMPUTED_VALUE"""),"Policy influence / regulation")</f>
        <v/>
      </c>
    </row>
    <row r="499">
      <c r="A499" s="78">
        <f>IFERROR(__xludf.DUMMYFUNCTION("""COMPUTED_VALUE"""),"Greenpeace Brasil")</f>
        <v/>
      </c>
      <c r="B499" s="78">
        <f>IFERROR(__xludf.DUMMYFUNCTION("""COMPUTED_VALUE"""),"Project developer / Implementer")</f>
        <v/>
      </c>
    </row>
    <row r="500">
      <c r="A500" s="78">
        <f>IFERROR(__xludf.DUMMYFUNCTION("""COMPUTED_VALUE"""),"Instituto Internacional Arayara (Arayara)")</f>
        <v/>
      </c>
      <c r="B500" s="78">
        <f>IFERROR(__xludf.DUMMYFUNCTION("""COMPUTED_VALUE"""),"Policy influence / regulation")</f>
        <v/>
      </c>
    </row>
    <row r="501">
      <c r="A501" s="78">
        <f>IFERROR(__xludf.DUMMYFUNCTION("""COMPUTED_VALUE"""),"Instituto Internacional Arayara (Arayara)")</f>
        <v/>
      </c>
      <c r="B501" s="78">
        <f>IFERROR(__xludf.DUMMYFUNCTION("""COMPUTED_VALUE"""),"Technical assistance / research")</f>
        <v/>
      </c>
    </row>
    <row r="502">
      <c r="A502" s="78">
        <f>IFERROR(__xludf.DUMMYFUNCTION("""COMPUTED_VALUE"""),"Rede Brasileira de Justiça Ambiental (RBJA)")</f>
        <v/>
      </c>
      <c r="B502" s="78">
        <f>IFERROR(__xludf.DUMMYFUNCTION("""COMPUTED_VALUE"""),"Policy influence / regulation")</f>
        <v/>
      </c>
    </row>
    <row r="503">
      <c r="A503" s="78">
        <f>IFERROR(__xludf.DUMMYFUNCTION("""COMPUTED_VALUE"""),"Rede Brasileira de Justiça Ambiental (RBJA)")</f>
        <v/>
      </c>
      <c r="B503" s="78">
        <f>IFERROR(__xludf.DUMMYFUNCTION("""COMPUTED_VALUE"""),"Community legitimacy / proximate leadership")</f>
        <v/>
      </c>
    </row>
    <row r="504">
      <c r="A504" s="78">
        <f>IFERROR(__xludf.DUMMYFUNCTION("""COMPUTED_VALUE"""),"Fundação Pró-Natureza (Funatura)")</f>
        <v/>
      </c>
      <c r="B504" s="78">
        <f>IFERROR(__xludf.DUMMYFUNCTION("""COMPUTED_VALUE"""),"Project developer / Implementer")</f>
        <v/>
      </c>
    </row>
    <row r="505">
      <c r="A505" s="78">
        <f>IFERROR(__xludf.DUMMYFUNCTION("""COMPUTED_VALUE"""),"Instituto Cerrados (IC)")</f>
        <v/>
      </c>
      <c r="B505" s="78">
        <f>IFERROR(__xludf.DUMMYFUNCTION("""COMPUTED_VALUE"""),"Project developer / Implementer")</f>
        <v/>
      </c>
    </row>
    <row r="506">
      <c r="A506" s="78">
        <f>IFERROR(__xludf.DUMMYFUNCTION("""COMPUTED_VALUE"""),"Instituto Cerrados (IC)")</f>
        <v/>
      </c>
      <c r="B506" s="78">
        <f>IFERROR(__xludf.DUMMYFUNCTION("""COMPUTED_VALUE"""),"Data / MRV / platforms")</f>
        <v/>
      </c>
    </row>
    <row r="507">
      <c r="A507" s="78">
        <f>IFERROR(__xludf.DUMMYFUNCTION("""COMPUTED_VALUE"""),"Operação Amazônia Nativa (OPAN)")</f>
        <v/>
      </c>
      <c r="B507" s="78">
        <f>IFERROR(__xludf.DUMMYFUNCTION("""COMPUTED_VALUE"""),"Project developer / Implementer")</f>
        <v/>
      </c>
    </row>
    <row r="508">
      <c r="A508" s="78">
        <f>IFERROR(__xludf.DUMMYFUNCTION("""COMPUTED_VALUE"""),"Operação Amazônia Nativa (OPAN)")</f>
        <v/>
      </c>
      <c r="B508" s="78">
        <f>IFERROR(__xludf.DUMMYFUNCTION("""COMPUTED_VALUE"""),"Community legitimacy / proximate leadership")</f>
        <v/>
      </c>
    </row>
    <row r="509">
      <c r="A509" s="78">
        <f>IFERROR(__xludf.DUMMYFUNCTION("""COMPUTED_VALUE"""),"Instituto Peabiru")</f>
        <v/>
      </c>
      <c r="B509" s="78">
        <f>IFERROR(__xludf.DUMMYFUNCTION("""COMPUTED_VALUE"""),"Project developer / Implementer")</f>
        <v/>
      </c>
    </row>
    <row r="510">
      <c r="A510" s="78">
        <f>IFERROR(__xludf.DUMMYFUNCTION("""COMPUTED_VALUE"""),"Instituto Peabiru")</f>
        <v/>
      </c>
      <c r="B510" s="78">
        <f>IFERROR(__xludf.DUMMYFUNCTION("""COMPUTED_VALUE"""),"Territorial anchor")</f>
        <v/>
      </c>
    </row>
    <row r="511">
      <c r="A511" s="78">
        <f>IFERROR(__xludf.DUMMYFUNCTION("""COMPUTED_VALUE"""),"Projeto Saúde e Alegria (PSA)")</f>
        <v/>
      </c>
      <c r="B511" s="78">
        <f>IFERROR(__xludf.DUMMYFUNCTION("""COMPUTED_VALUE"""),"Project developer / Implementer")</f>
        <v/>
      </c>
    </row>
    <row r="512">
      <c r="A512" s="78">
        <f>IFERROR(__xludf.DUMMYFUNCTION("""COMPUTED_VALUE"""),"Projeto Saúde e Alegria (PSA)")</f>
        <v/>
      </c>
      <c r="B512" s="78">
        <f>IFERROR(__xludf.DUMMYFUNCTION("""COMPUTED_VALUE"""),"Community legitimacy / proximate leadership")</f>
        <v/>
      </c>
    </row>
    <row r="513">
      <c r="A513" s="78">
        <f>IFERROR(__xludf.DUMMYFUNCTION("""COMPUTED_VALUE"""),"Articulação dos Povos Indígenas do Brasil (APIB)")</f>
        <v/>
      </c>
      <c r="B513" s="78">
        <f>IFERROR(__xludf.DUMMYFUNCTION("""COMPUTED_VALUE"""),"Community legitimacy / proximate leadership")</f>
        <v/>
      </c>
    </row>
    <row r="514">
      <c r="A514" s="78">
        <f>IFERROR(__xludf.DUMMYFUNCTION("""COMPUTED_VALUE"""),"Articulação dos Povos Indígenas do Brasil (APIB)")</f>
        <v/>
      </c>
      <c r="B514" s="78">
        <f>IFERROR(__xludf.DUMMYFUNCTION("""COMPUTED_VALUE"""),"Policy influence / regulation")</f>
        <v/>
      </c>
    </row>
    <row r="515">
      <c r="A515" s="78">
        <f>IFERROR(__xludf.DUMMYFUNCTION("""COMPUTED_VALUE"""),"Coordenação das Organizações Indígenas da Amazônia Brasileira (COIAB)")</f>
        <v/>
      </c>
      <c r="B515" s="78">
        <f>IFERROR(__xludf.DUMMYFUNCTION("""COMPUTED_VALUE"""),"Community legitimacy / proximate leadership")</f>
        <v/>
      </c>
    </row>
    <row r="516">
      <c r="A516" s="78">
        <f>IFERROR(__xludf.DUMMYFUNCTION("""COMPUTED_VALUE"""),"Coordenação das Organizações Indígenas da Amazônia Brasileira (COIAB)")</f>
        <v/>
      </c>
      <c r="B516" s="78">
        <f>IFERROR(__xludf.DUMMYFUNCTION("""COMPUTED_VALUE"""),"Territorial anchor")</f>
        <v/>
      </c>
    </row>
    <row r="517">
      <c r="A517" s="78">
        <f>IFERROR(__xludf.DUMMYFUNCTION("""COMPUTED_VALUE"""),"Conselho Indigenista Missionário (CIMI)")</f>
        <v/>
      </c>
      <c r="B517" s="78">
        <f>IFERROR(__xludf.DUMMYFUNCTION("""COMPUTED_VALUE"""),"Community legitimacy / proximate leadership")</f>
        <v/>
      </c>
    </row>
    <row r="518">
      <c r="A518" s="78">
        <f>IFERROR(__xludf.DUMMYFUNCTION("""COMPUTED_VALUE"""),"Conselho Indigenista Missionário (CIMI)")</f>
        <v/>
      </c>
      <c r="B518" s="78">
        <f>IFERROR(__xludf.DUMMYFUNCTION("""COMPUTED_VALUE"""),"Policy influence / regulation")</f>
        <v/>
      </c>
    </row>
    <row r="519">
      <c r="A519" s="78">
        <f>IFERROR(__xludf.DUMMYFUNCTION("""COMPUTED_VALUE"""),"Comissão Pastoral da Terra (CPT)")</f>
        <v/>
      </c>
      <c r="B519" s="78">
        <f>IFERROR(__xludf.DUMMYFUNCTION("""COMPUTED_VALUE"""),"Community legitimacy / proximate leadership")</f>
        <v/>
      </c>
    </row>
    <row r="520">
      <c r="A520" s="78">
        <f>IFERROR(__xludf.DUMMYFUNCTION("""COMPUTED_VALUE"""),"Comissão Pastoral da Terra (CPT)")</f>
        <v/>
      </c>
      <c r="B520" s="78">
        <f>IFERROR(__xludf.DUMMYFUNCTION("""COMPUTED_VALUE"""),"Policy influence / regulation")</f>
        <v/>
      </c>
    </row>
    <row r="521">
      <c r="A521" s="78">
        <f>IFERROR(__xludf.DUMMYFUNCTION("""COMPUTED_VALUE"""),"Conselho Nacional das Populações Extrativistas (CNS)")</f>
        <v/>
      </c>
      <c r="B521" s="78">
        <f>IFERROR(__xludf.DUMMYFUNCTION("""COMPUTED_VALUE"""),"Community legitimacy / proximate leadership")</f>
        <v/>
      </c>
    </row>
    <row r="522">
      <c r="A522" s="78">
        <f>IFERROR(__xludf.DUMMYFUNCTION("""COMPUTED_VALUE"""),"Conselho Nacional das Populações Extrativistas (CNS)")</f>
        <v/>
      </c>
      <c r="B522" s="78">
        <f>IFERROR(__xludf.DUMMYFUNCTION("""COMPUTED_VALUE"""),"Policy influence / regulation")</f>
        <v/>
      </c>
    </row>
    <row r="523">
      <c r="A523" s="78">
        <f>IFERROR(__xludf.DUMMYFUNCTION("""COMPUTED_VALUE"""),"Articulação Nacional de Agroecologia (ANA)")</f>
        <v/>
      </c>
      <c r="B523" s="78">
        <f>IFERROR(__xludf.DUMMYFUNCTION("""COMPUTED_VALUE"""),"Convenor/enablers")</f>
        <v/>
      </c>
    </row>
    <row r="524">
      <c r="A524" s="78">
        <f>IFERROR(__xludf.DUMMYFUNCTION("""COMPUTED_VALUE"""),"Articulação Nacional de Agroecologia (ANA)")</f>
        <v/>
      </c>
      <c r="B524" s="78">
        <f>IFERROR(__xludf.DUMMYFUNCTION("""COMPUTED_VALUE"""),"Community legitimacy / proximate leadership")</f>
        <v/>
      </c>
    </row>
    <row r="525">
      <c r="A525" s="78">
        <f>IFERROR(__xludf.DUMMYFUNCTION("""COMPUTED_VALUE"""),"Diaconia")</f>
        <v/>
      </c>
      <c r="B525" s="78">
        <f>IFERROR(__xludf.DUMMYFUNCTION("""COMPUTED_VALUE"""),"Project developer / Implementer")</f>
        <v/>
      </c>
    </row>
    <row r="526">
      <c r="A526" s="78">
        <f>IFERROR(__xludf.DUMMYFUNCTION("""COMPUTED_VALUE"""),"Diaconia")</f>
        <v/>
      </c>
      <c r="B526" s="78">
        <f>IFERROR(__xludf.DUMMYFUNCTION("""COMPUTED_VALUE"""),"Implementation capacity (delivery)")</f>
        <v/>
      </c>
    </row>
    <row r="527">
      <c r="A527" s="78">
        <f>IFERROR(__xludf.DUMMYFUNCTION("""COMPUTED_VALUE"""),"Cáritas Brasileira")</f>
        <v/>
      </c>
      <c r="B527" s="78">
        <f>IFERROR(__xludf.DUMMYFUNCTION("""COMPUTED_VALUE"""),"Project developer / Implementer")</f>
        <v/>
      </c>
    </row>
    <row r="528">
      <c r="A528" s="78">
        <f>IFERROR(__xludf.DUMMYFUNCTION("""COMPUTED_VALUE"""),"Cáritas Brasileira")</f>
        <v/>
      </c>
      <c r="B528" s="78">
        <f>IFERROR(__xludf.DUMMYFUNCTION("""COMPUTED_VALUE"""),"Implementation capacity (delivery)")</f>
        <v/>
      </c>
    </row>
    <row r="529">
      <c r="A529" s="78">
        <f>IFERROR(__xludf.DUMMYFUNCTION("""COMPUTED_VALUE"""),"Federação de Órgãos para Assistência Social e Educacional (FASE)")</f>
        <v/>
      </c>
      <c r="B529" s="78">
        <f>IFERROR(__xludf.DUMMYFUNCTION("""COMPUTED_VALUE"""),"Project developer / Implementer")</f>
        <v/>
      </c>
    </row>
    <row r="530">
      <c r="A530" s="78">
        <f>IFERROR(__xludf.DUMMYFUNCTION("""COMPUTED_VALUE"""),"Federação de Órgãos para Assistência Social e Educacional (FASE)")</f>
        <v/>
      </c>
      <c r="B530" s="78">
        <f>IFERROR(__xludf.DUMMYFUNCTION("""COMPUTED_VALUE"""),"Policy influence / regulation")</f>
        <v/>
      </c>
    </row>
    <row r="531">
      <c r="A531" s="78">
        <f>IFERROR(__xludf.DUMMYFUNCTION("""COMPUTED_VALUE"""),"Centro de Estudos do Trabalho e de Assessoria ao Trabalhador e à Trabalhadora (CETRA)")</f>
        <v/>
      </c>
      <c r="B531" s="78">
        <f>IFERROR(__xludf.DUMMYFUNCTION("""COMPUTED_VALUE"""),"Project developer / Implementer")</f>
        <v/>
      </c>
    </row>
    <row r="532">
      <c r="A532" s="78">
        <f>IFERROR(__xludf.DUMMYFUNCTION("""COMPUTED_VALUE"""),"Centro de Estudos do Trabalho e de Assessoria ao Trabalhador e à Trabalhadora (CETRA)")</f>
        <v/>
      </c>
      <c r="B532" s="78">
        <f>IFERROR(__xludf.DUMMYFUNCTION("""COMPUTED_VALUE"""),"Implementation capacity (delivery)")</f>
        <v/>
      </c>
    </row>
    <row r="533">
      <c r="A533" s="78">
        <f>IFERROR(__xludf.DUMMYFUNCTION("""COMPUTED_VALUE"""),"Centro de Desenvolvimento Agroecológico Sabiá (Centro Sabiá)")</f>
        <v/>
      </c>
      <c r="B533" s="78">
        <f>IFERROR(__xludf.DUMMYFUNCTION("""COMPUTED_VALUE"""),"Project developer / Implementer")</f>
        <v/>
      </c>
    </row>
    <row r="534">
      <c r="A534" s="78">
        <f>IFERROR(__xludf.DUMMYFUNCTION("""COMPUTED_VALUE"""),"Centro de Desenvolvimento Agroecológico Sabiá (Centro Sabiá)")</f>
        <v/>
      </c>
      <c r="B534" s="78">
        <f>IFERROR(__xludf.DUMMYFUNCTION("""COMPUTED_VALUE"""),"Implementation capacity (delivery)")</f>
        <v/>
      </c>
    </row>
    <row r="535">
      <c r="A535" s="78">
        <f>IFERROR(__xludf.DUMMYFUNCTION("""COMPUTED_VALUE"""),"Programa de Aplicação de Tecnologias Apropriadas às Comunidades (PATAC)")</f>
        <v/>
      </c>
      <c r="B535" s="78">
        <f>IFERROR(__xludf.DUMMYFUNCTION("""COMPUTED_VALUE"""),"Project developer / Implementer")</f>
        <v/>
      </c>
    </row>
    <row r="536">
      <c r="A536" s="78">
        <f>IFERROR(__xludf.DUMMYFUNCTION("""COMPUTED_VALUE"""),"Programa de Aplicação de Tecnologias Apropriadas às Comunidades (PATAC)")</f>
        <v/>
      </c>
      <c r="B536" s="78">
        <f>IFERROR(__xludf.DUMMYFUNCTION("""COMPUTED_VALUE"""),"Implementation capacity (delivery)")</f>
        <v/>
      </c>
    </row>
    <row r="537">
      <c r="A537" s="78">
        <f>IFERROR(__xludf.DUMMYFUNCTION("""COMPUTED_VALUE"""),"Instituto de Arquitetos do Brasil (IAB)")</f>
        <v/>
      </c>
      <c r="B537" s="78">
        <f>IFERROR(__xludf.DUMMYFUNCTION("""COMPUTED_VALUE"""),"Technical assistance / research")</f>
        <v/>
      </c>
    </row>
    <row r="538">
      <c r="A538" s="78">
        <f>IFERROR(__xludf.DUMMYFUNCTION("""COMPUTED_VALUE"""),"Instituto de Arquitetos do Brasil (IAB)")</f>
        <v/>
      </c>
      <c r="B538" s="78">
        <f>IFERROR(__xludf.DUMMYFUNCTION("""COMPUTED_VALUE"""),"Policy influence / regulation")</f>
        <v/>
      </c>
    </row>
    <row r="539">
      <c r="A539" s="78">
        <f>IFERROR(__xludf.DUMMYFUNCTION("""COMPUTED_VALUE"""),"Deutsche Gesellschaft für Internationale Zusammenarbeit (GIZ)")</f>
        <v/>
      </c>
      <c r="B539" s="78">
        <f>IFERROR(__xludf.DUMMYFUNCTION("""COMPUTED_VALUE"""),"Strategic partner")</f>
        <v/>
      </c>
    </row>
    <row r="540">
      <c r="A540" s="78">
        <f>IFERROR(__xludf.DUMMYFUNCTION("""COMPUTED_VALUE"""),"Deutsche Gesellschaft für Internationale Zusammenarbeit (GIZ)")</f>
        <v/>
      </c>
      <c r="B540" s="78">
        <f>IFERROR(__xludf.DUMMYFUNCTION("""COMPUTED_VALUE"""),"Technical assistance / research")</f>
        <v/>
      </c>
    </row>
    <row r="541">
      <c r="A541" s="78">
        <f>IFERROR(__xludf.DUMMYFUNCTION("""COMPUTED_VALUE"""),"Deutsche Gesellschaft für Internationale Zusammenarbeit (GIZ)")</f>
        <v/>
      </c>
      <c r="B541" s="78">
        <f>IFERROR(__xludf.DUMMYFUNCTION("""COMPUTED_VALUE"""),"Funder")</f>
        <v/>
      </c>
    </row>
    <row r="542">
      <c r="A542" s="78">
        <f>IFERROR(__xludf.DUMMYFUNCTION("""COMPUTED_VALUE"""),"Kreditanstalt für Wiederaufbau (KfW)")</f>
        <v/>
      </c>
      <c r="B542" s="78">
        <f>IFERROR(__xludf.DUMMYFUNCTION("""COMPUTED_VALUE"""),"Capital provider / Financial intermediary")</f>
        <v/>
      </c>
    </row>
    <row r="543">
      <c r="A543" s="78">
        <f>IFERROR(__xludf.DUMMYFUNCTION("""COMPUTED_VALUE"""),"Kreditanstalt für Wiederaufbau (KfW)")</f>
        <v/>
      </c>
      <c r="B543" s="78">
        <f>IFERROR(__xludf.DUMMYFUNCTION("""COMPUTED_VALUE"""),"Strategic partner")</f>
        <v/>
      </c>
    </row>
    <row r="544">
      <c r="A544" s="78">
        <f>IFERROR(__xludf.DUMMYFUNCTION("""COMPUTED_VALUE"""),"Deutsche Investitions- und Entwicklungsgesellschaft (DEG)")</f>
        <v/>
      </c>
      <c r="B544" s="78">
        <f>IFERROR(__xludf.DUMMYFUNCTION("""COMPUTED_VALUE"""),"Capital provider / Financial intermediary")</f>
        <v/>
      </c>
    </row>
    <row r="545">
      <c r="A545" s="78">
        <f>IFERROR(__xludf.DUMMYFUNCTION("""COMPUTED_VALUE"""),"Agência Francesa de Desenvolvimento (AFD)")</f>
        <v/>
      </c>
      <c r="B545" s="78">
        <f>IFERROR(__xludf.DUMMYFUNCTION("""COMPUTED_VALUE"""),"Capital provider / Financial intermediary")</f>
        <v/>
      </c>
    </row>
    <row r="546">
      <c r="A546" s="78">
        <f>IFERROR(__xludf.DUMMYFUNCTION("""COMPUTED_VALUE"""),"Agência Francesa de Desenvolvimento (AFD)")</f>
        <v/>
      </c>
      <c r="B546" s="78">
        <f>IFERROR(__xludf.DUMMYFUNCTION("""COMPUTED_VALUE"""),"Strategic partner")</f>
        <v/>
      </c>
    </row>
    <row r="547">
      <c r="A547" s="78">
        <f>IFERROR(__xludf.DUMMYFUNCTION("""COMPUTED_VALUE"""),"Proparco")</f>
        <v/>
      </c>
      <c r="B547" s="78">
        <f>IFERROR(__xludf.DUMMYFUNCTION("""COMPUTED_VALUE"""),"Capital provider / Financial intermediary")</f>
        <v/>
      </c>
    </row>
    <row r="548">
      <c r="A548" s="78">
        <f>IFERROR(__xludf.DUMMYFUNCTION("""COMPUTED_VALUE"""),"Expertise France")</f>
        <v/>
      </c>
      <c r="B548" s="78">
        <f>IFERROR(__xludf.DUMMYFUNCTION("""COMPUTED_VALUE"""),"Technical assistance / research")</f>
        <v/>
      </c>
    </row>
    <row r="549">
      <c r="A549" s="78">
        <f>IFERROR(__xludf.DUMMYFUNCTION("""COMPUTED_VALUE"""),"Expertise France")</f>
        <v/>
      </c>
      <c r="B549" s="78">
        <f>IFERROR(__xludf.DUMMYFUNCTION("""COMPUTED_VALUE"""),"Project developer / Implementer")</f>
        <v/>
      </c>
    </row>
    <row r="550">
      <c r="A550" s="78">
        <f>IFERROR(__xludf.DUMMYFUNCTION("""COMPUTED_VALUE"""),"Agência de Cooperação Internacional do Japão (JICA)")</f>
        <v/>
      </c>
      <c r="B550" s="78">
        <f>IFERROR(__xludf.DUMMYFUNCTION("""COMPUTED_VALUE"""),"Capital provider / Financial intermediary")</f>
        <v/>
      </c>
    </row>
    <row r="551">
      <c r="A551" s="78">
        <f>IFERROR(__xludf.DUMMYFUNCTION("""COMPUTED_VALUE"""),"Agência de Cooperação Internacional do Japão (JICA)")</f>
        <v/>
      </c>
      <c r="B551" s="78">
        <f>IFERROR(__xludf.DUMMYFUNCTION("""COMPUTED_VALUE"""),"Strategic partner")</f>
        <v/>
      </c>
    </row>
    <row r="552">
      <c r="A552" s="78">
        <f>IFERROR(__xludf.DUMMYFUNCTION("""COMPUTED_VALUE"""),"Agência de Cooperação Internacional da Coreia (KOICA)")</f>
        <v/>
      </c>
      <c r="B552" s="78">
        <f>IFERROR(__xludf.DUMMYFUNCTION("""COMPUTED_VALUE"""),"Funder")</f>
        <v/>
      </c>
    </row>
    <row r="553">
      <c r="A553" s="78">
        <f>IFERROR(__xludf.DUMMYFUNCTION("""COMPUTED_VALUE"""),"Agência de Cooperação Internacional da Coreia (KOICA)")</f>
        <v/>
      </c>
      <c r="B553" s="78">
        <f>IFERROR(__xludf.DUMMYFUNCTION("""COMPUTED_VALUE"""),"Project developer / Implementer")</f>
        <v/>
      </c>
    </row>
    <row r="554">
      <c r="A554" s="78">
        <f>IFERROR(__xludf.DUMMYFUNCTION("""COMPUTED_VALUE"""),"Agência Espanhola de Cooperação Internacional para o Desenvolvimento (AECID)")</f>
        <v/>
      </c>
      <c r="B554" s="78">
        <f>IFERROR(__xludf.DUMMYFUNCTION("""COMPUTED_VALUE"""),"Funder")</f>
        <v/>
      </c>
    </row>
    <row r="555">
      <c r="A555" s="78">
        <f>IFERROR(__xludf.DUMMYFUNCTION("""COMPUTED_VALUE"""),"Agência Espanhola de Cooperação Internacional para o Desenvolvimento (AECID)")</f>
        <v/>
      </c>
      <c r="B555" s="78">
        <f>IFERROR(__xludf.DUMMYFUNCTION("""COMPUTED_VALUE"""),"Project developer / Implementer")</f>
        <v/>
      </c>
    </row>
    <row r="556">
      <c r="A556" s="78">
        <f>IFERROR(__xludf.DUMMYFUNCTION("""COMPUTED_VALUE"""),"Agência Italiana de Cooperação para o Desenvolvimento (AICS)")</f>
        <v/>
      </c>
      <c r="B556" s="78">
        <f>IFERROR(__xludf.DUMMYFUNCTION("""COMPUTED_VALUE"""),"Funder")</f>
        <v/>
      </c>
    </row>
    <row r="557">
      <c r="A557" s="78">
        <f>IFERROR(__xludf.DUMMYFUNCTION("""COMPUTED_VALUE"""),"Agência Italiana de Cooperação para o Desenvolvimento (AICS)")</f>
        <v/>
      </c>
      <c r="B557" s="78">
        <f>IFERROR(__xludf.DUMMYFUNCTION("""COMPUTED_VALUE"""),"Project developer / Implementer")</f>
        <v/>
      </c>
    </row>
    <row r="558">
      <c r="A558" s="78">
        <f>IFERROR(__xludf.DUMMYFUNCTION("""COMPUTED_VALUE"""),"Agência Suíça para o Desenvolvimento e Cooperação (COSUDE)")</f>
        <v/>
      </c>
      <c r="B558" s="78">
        <f>IFERROR(__xludf.DUMMYFUNCTION("""COMPUTED_VALUE"""),"Funder")</f>
        <v/>
      </c>
    </row>
    <row r="559">
      <c r="A559" s="78">
        <f>IFERROR(__xludf.DUMMYFUNCTION("""COMPUTED_VALUE"""),"Agência Suíça para o Desenvolvimento e Cooperação (COSUDE)")</f>
        <v/>
      </c>
      <c r="B559" s="78">
        <f>IFERROR(__xludf.DUMMYFUNCTION("""COMPUTED_VALUE"""),"Strategic partner")</f>
        <v/>
      </c>
    </row>
    <row r="560">
      <c r="A560" s="78">
        <f>IFERROR(__xludf.DUMMYFUNCTION("""COMPUTED_VALUE"""),"Agência Sueca de Cooperação para o Desenvolvimento Internacional (Sida)")</f>
        <v/>
      </c>
      <c r="B560" s="78">
        <f>IFERROR(__xludf.DUMMYFUNCTION("""COMPUTED_VALUE"""),"Funder")</f>
        <v/>
      </c>
    </row>
    <row r="561">
      <c r="A561" s="78">
        <f>IFERROR(__xludf.DUMMYFUNCTION("""COMPUTED_VALUE"""),"Agência Sueca de Cooperação para o Desenvolvimento Internacional (Sida)")</f>
        <v/>
      </c>
      <c r="B561" s="78">
        <f>IFERROR(__xludf.DUMMYFUNCTION("""COMPUTED_VALUE"""),"Strategic partner")</f>
        <v/>
      </c>
    </row>
    <row r="562">
      <c r="A562" s="78">
        <f>IFERROR(__xludf.DUMMYFUNCTION("""COMPUTED_VALUE"""),"Agência Dinamarquesa para o Desenvolvimento Internacional (DANIDA)")</f>
        <v/>
      </c>
      <c r="B562" s="78">
        <f>IFERROR(__xludf.DUMMYFUNCTION("""COMPUTED_VALUE"""),"Funder")</f>
        <v/>
      </c>
    </row>
    <row r="563">
      <c r="A563" s="78">
        <f>IFERROR(__xludf.DUMMYFUNCTION("""COMPUTED_VALUE"""),"Agência Dinamarquesa para o Desenvolvimento Internacional (DANIDA)")</f>
        <v/>
      </c>
      <c r="B563" s="78">
        <f>IFERROR(__xludf.DUMMYFUNCTION("""COMPUTED_VALUE"""),"Strategic partner")</f>
        <v/>
      </c>
    </row>
    <row r="564">
      <c r="A564" s="78">
        <f>IFERROR(__xludf.DUMMYFUNCTION("""COMPUTED_VALUE"""),"Agência Norueguesa de Cooperação para o Desenvolvimento (Norad)")</f>
        <v/>
      </c>
      <c r="B564" s="78">
        <f>IFERROR(__xludf.DUMMYFUNCTION("""COMPUTED_VALUE"""),"Funder")</f>
        <v/>
      </c>
    </row>
    <row r="565">
      <c r="A565" s="78">
        <f>IFERROR(__xludf.DUMMYFUNCTION("""COMPUTED_VALUE"""),"Agência Norueguesa de Cooperação para o Desenvolvimento (Norad)")</f>
        <v/>
      </c>
      <c r="B565" s="78">
        <f>IFERROR(__xludf.DUMMYFUNCTION("""COMPUTED_VALUE"""),"Strategic partner")</f>
        <v/>
      </c>
    </row>
    <row r="566">
      <c r="A566" s="78">
        <f>IFERROR(__xludf.DUMMYFUNCTION("""COMPUTED_VALUE"""),"Iniciativa Internacional de Clima e Florestas da Noruega (NICFI)")</f>
        <v/>
      </c>
      <c r="B566" s="78">
        <f>IFERROR(__xludf.DUMMYFUNCTION("""COMPUTED_VALUE"""),"Funder")</f>
        <v/>
      </c>
    </row>
    <row r="567">
      <c r="A567" s="78">
        <f>IFERROR(__xludf.DUMMYFUNCTION("""COMPUTED_VALUE"""),"Iniciativa Internacional de Clima e Florestas da Noruega (NICFI)")</f>
        <v/>
      </c>
      <c r="B567" s="78">
        <f>IFERROR(__xludf.DUMMYFUNCTION("""COMPUTED_VALUE"""),"Strategic partner")</f>
        <v/>
      </c>
    </row>
    <row r="568">
      <c r="A568" s="78">
        <f>IFERROR(__xludf.DUMMYFUNCTION("""COMPUTED_VALUE"""),"Ministério das Relações Exteriores, Commonwealth e Desenvolvimento do Reino Unido (FCDO)")</f>
        <v/>
      </c>
      <c r="B568" s="78">
        <f>IFERROR(__xludf.DUMMYFUNCTION("""COMPUTED_VALUE"""),"Funder")</f>
        <v/>
      </c>
    </row>
    <row r="569">
      <c r="A569" s="78">
        <f>IFERROR(__xludf.DUMMYFUNCTION("""COMPUTED_VALUE"""),"Ministério das Relações Exteriores, Commonwealth e Desenvolvimento do Reino Unido (FCDO)")</f>
        <v/>
      </c>
      <c r="B569" s="78">
        <f>IFERROR(__xludf.DUMMYFUNCTION("""COMPUTED_VALUE"""),"Strategic partner")</f>
        <v/>
      </c>
    </row>
    <row r="570">
      <c r="A570" s="78">
        <f>IFERROR(__xludf.DUMMYFUNCTION("""COMPUTED_VALUE"""),"UK PACT")</f>
        <v/>
      </c>
      <c r="B570" s="78">
        <f>IFERROR(__xludf.DUMMYFUNCTION("""COMPUTED_VALUE"""),"Funder")</f>
        <v/>
      </c>
    </row>
    <row r="571">
      <c r="A571" s="78">
        <f>IFERROR(__xludf.DUMMYFUNCTION("""COMPUTED_VALUE"""),"UK PACT")</f>
        <v/>
      </c>
      <c r="B571" s="78">
        <f>IFERROR(__xludf.DUMMYFUNCTION("""COMPUTED_VALUE"""),"Technical assistance / research")</f>
        <v/>
      </c>
    </row>
    <row r="572">
      <c r="A572" s="78">
        <f>IFERROR(__xludf.DUMMYFUNCTION("""COMPUTED_VALUE"""),"Delegação da União Europeia no Brasil (UE)")</f>
        <v/>
      </c>
      <c r="B572" s="78">
        <f>IFERROR(__xludf.DUMMYFUNCTION("""COMPUTED_VALUE"""),"Policy influence / regulation")</f>
        <v/>
      </c>
    </row>
    <row r="573">
      <c r="A573" s="78">
        <f>IFERROR(__xludf.DUMMYFUNCTION("""COMPUTED_VALUE"""),"Delegação da União Europeia no Brasil (UE)")</f>
        <v/>
      </c>
      <c r="B573" s="78">
        <f>IFERROR(__xludf.DUMMYFUNCTION("""COMPUTED_VALUE"""),"Funder")</f>
        <v/>
      </c>
    </row>
    <row r="574">
      <c r="A574" s="78">
        <f>IFERROR(__xludf.DUMMYFUNCTION("""COMPUTED_VALUE"""),"Delegação da União Europeia no Brasil (UE)")</f>
        <v/>
      </c>
      <c r="B574" s="78">
        <f>IFERROR(__xludf.DUMMYFUNCTION("""COMPUTED_VALUE"""),"Strategic partner")</f>
        <v/>
      </c>
    </row>
    <row r="575">
      <c r="A575" s="78">
        <f>IFERROR(__xludf.DUMMYFUNCTION("""COMPUTED_VALUE"""),"Banco Europeu de Investimento (BEI)")</f>
        <v/>
      </c>
      <c r="B575" s="78">
        <f>IFERROR(__xludf.DUMMYFUNCTION("""COMPUTED_VALUE"""),"Capital provider / Financial intermediary")</f>
        <v/>
      </c>
    </row>
    <row r="576">
      <c r="A576" s="78">
        <f>IFERROR(__xludf.DUMMYFUNCTION("""COMPUTED_VALUE"""),"Banco Europeu de Investimento (BEI)")</f>
        <v/>
      </c>
      <c r="B576" s="78">
        <f>IFERROR(__xludf.DUMMYFUNCTION("""COMPUTED_VALUE"""),"Strategic partner")</f>
        <v/>
      </c>
    </row>
    <row r="577">
      <c r="A577" s="78">
        <f>IFERROR(__xludf.DUMMYFUNCTION("""COMPUTED_VALUE"""),"Lux-Development (LuxDev)")</f>
        <v/>
      </c>
      <c r="B577" s="78">
        <f>IFERROR(__xludf.DUMMYFUNCTION("""COMPUTED_VALUE"""),"Project developer / Implementer")</f>
        <v/>
      </c>
    </row>
    <row r="578">
      <c r="A578" s="78">
        <f>IFERROR(__xludf.DUMMYFUNCTION("""COMPUTED_VALUE"""),"Irish Aid (Irish Aid)")</f>
        <v/>
      </c>
      <c r="B578" s="78">
        <f>IFERROR(__xludf.DUMMYFUNCTION("""COMPUTED_VALUE"""),"Funder")</f>
        <v/>
      </c>
    </row>
    <row r="579">
      <c r="A579" s="78">
        <f>IFERROR(__xludf.DUMMYFUNCTION("""COMPUTED_VALUE"""),"Agência Austríaca de Desenvolvimento (ADA)")</f>
        <v/>
      </c>
      <c r="B579" s="78">
        <f>IFERROR(__xludf.DUMMYFUNCTION("""COMPUTED_VALUE"""),"Funder")</f>
        <v/>
      </c>
    </row>
    <row r="580">
      <c r="A580" s="78">
        <f>IFERROR(__xludf.DUMMYFUNCTION("""COMPUTED_VALUE"""),"Camões – Instituto da Cooperação e da Língua (Camões, I.P.)")</f>
        <v/>
      </c>
      <c r="B580" s="78">
        <f>IFERROR(__xludf.DUMMYFUNCTION("""COMPUTED_VALUE"""),"Funder")</f>
        <v/>
      </c>
    </row>
    <row r="581">
      <c r="A581" s="78">
        <f>IFERROR(__xludf.DUMMYFUNCTION("""COMPUTED_VALUE"""),"Camões – Instituto da Cooperação e da Língua (Camões, I.P.)")</f>
        <v/>
      </c>
      <c r="B581" s="78">
        <f>IFERROR(__xludf.DUMMYFUNCTION("""COMPUTED_VALUE"""),"Strategic partner")</f>
        <v/>
      </c>
    </row>
    <row r="582">
      <c r="A582" s="78">
        <f>IFERROR(__xludf.DUMMYFUNCTION("""COMPUTED_VALUE"""),"Misereor (Misereor)")</f>
        <v/>
      </c>
      <c r="B582" s="78">
        <f>IFERROR(__xludf.DUMMYFUNCTION("""COMPUTED_VALUE"""),"Funder")</f>
        <v/>
      </c>
    </row>
    <row r="583">
      <c r="A583" s="78">
        <f>IFERROR(__xludf.DUMMYFUNCTION("""COMPUTED_VALUE"""),"Misereor (Misereor)")</f>
        <v/>
      </c>
      <c r="B583" s="78">
        <f>IFERROR(__xludf.DUMMYFUNCTION("""COMPUTED_VALUE"""),"Strategic partner")</f>
        <v/>
      </c>
    </row>
    <row r="584">
      <c r="A584" s="78">
        <f>IFERROR(__xludf.DUMMYFUNCTION("""COMPUTED_VALUE"""),"Trias (Trias vzw)")</f>
        <v/>
      </c>
      <c r="B584" s="78">
        <f>IFERROR(__xludf.DUMMYFUNCTION("""COMPUTED_VALUE"""),"Project developer / Implementer")</f>
        <v/>
      </c>
    </row>
    <row r="585">
      <c r="A585" s="78">
        <f>IFERROR(__xludf.DUMMYFUNCTION("""COMPUTED_VALUE"""),"Trias (Trias vzw)")</f>
        <v/>
      </c>
      <c r="B585" s="78">
        <f>IFERROR(__xludf.DUMMYFUNCTION("""COMPUTED_VALUE"""),"Implementation capacity (delivery)")</f>
        <v/>
      </c>
    </row>
    <row r="586">
      <c r="A586" s="78">
        <f>IFERROR(__xludf.DUMMYFUNCTION("""COMPUTED_VALUE"""),"Brot für die Welt (Brot für die Welt)")</f>
        <v/>
      </c>
      <c r="B586" s="78">
        <f>IFERROR(__xludf.DUMMYFUNCTION("""COMPUTED_VALUE"""),"Funder")</f>
        <v/>
      </c>
    </row>
    <row r="587">
      <c r="A587" s="78">
        <f>IFERROR(__xludf.DUMMYFUNCTION("""COMPUTED_VALUE"""),"Brot für die Welt (Brot für die Welt)")</f>
        <v/>
      </c>
      <c r="B587" s="78">
        <f>IFERROR(__xludf.DUMMYFUNCTION("""COMPUTED_VALUE"""),"Strategic partner")</f>
        <v/>
      </c>
    </row>
    <row r="588">
      <c r="A588" s="78">
        <f>IFERROR(__xludf.DUMMYFUNCTION("""COMPUTED_VALUE"""),"Catholic Agency for Overseas Development (CAFOD)")</f>
        <v/>
      </c>
      <c r="B588" s="78">
        <f>IFERROR(__xludf.DUMMYFUNCTION("""COMPUTED_VALUE"""),"Funder")</f>
        <v/>
      </c>
    </row>
    <row r="589">
      <c r="A589" s="78">
        <f>IFERROR(__xludf.DUMMYFUNCTION("""COMPUTED_VALUE"""),"Catholic Agency for Overseas Development (CAFOD)")</f>
        <v/>
      </c>
      <c r="B589" s="78">
        <f>IFERROR(__xludf.DUMMYFUNCTION("""COMPUTED_VALUE"""),"Strategic partner")</f>
        <v/>
      </c>
    </row>
    <row r="590">
      <c r="A590" s="78">
        <f>IFERROR(__xludf.DUMMYFUNCTION("""COMPUTED_VALUE"""),"Fundação Heinrich Böll (Heinrich Böll Stiftung)")</f>
        <v/>
      </c>
      <c r="B590" s="78">
        <f>IFERROR(__xludf.DUMMYFUNCTION("""COMPUTED_VALUE"""),"Funder")</f>
        <v/>
      </c>
    </row>
    <row r="591">
      <c r="A591" s="78">
        <f>IFERROR(__xludf.DUMMYFUNCTION("""COMPUTED_VALUE"""),"Fundação Heinrich Böll (Heinrich Böll Stiftung)")</f>
        <v/>
      </c>
      <c r="B591" s="78">
        <f>IFERROR(__xludf.DUMMYFUNCTION("""COMPUTED_VALUE"""),"Technical assistance / research")</f>
        <v/>
      </c>
    </row>
    <row r="592">
      <c r="A592" s="78">
        <f>IFERROR(__xludf.DUMMYFUNCTION("""COMPUTED_VALUE"""),"Fundação Heinrich Böll (Heinrich Böll Stiftung)")</f>
        <v/>
      </c>
      <c r="B592" s="78">
        <f>IFERROR(__xludf.DUMMYFUNCTION("""COMPUTED_VALUE"""),"Policy influence / regulation")</f>
        <v/>
      </c>
    </row>
    <row r="593">
      <c r="A593" s="78">
        <f>IFERROR(__xludf.DUMMYFUNCTION("""COMPUTED_VALUE"""),"Fundação Friedrich Ebert (Friedrich-Ebert-Stiftung)")</f>
        <v/>
      </c>
      <c r="B593" s="78">
        <f>IFERROR(__xludf.DUMMYFUNCTION("""COMPUTED_VALUE"""),"Funder")</f>
        <v/>
      </c>
    </row>
    <row r="594">
      <c r="A594" s="78">
        <f>IFERROR(__xludf.DUMMYFUNCTION("""COMPUTED_VALUE"""),"Fundação Friedrich Ebert (Friedrich-Ebert-Stiftung)")</f>
        <v/>
      </c>
      <c r="B594" s="78">
        <f>IFERROR(__xludf.DUMMYFUNCTION("""COMPUTED_VALUE"""),"Technical assistance / research")</f>
        <v/>
      </c>
    </row>
    <row r="595">
      <c r="A595" s="78">
        <f>IFERROR(__xludf.DUMMYFUNCTION("""COMPUTED_VALUE"""),"Fundação Friedrich Ebert (Friedrich-Ebert-Stiftung)")</f>
        <v/>
      </c>
      <c r="B595" s="78">
        <f>IFERROR(__xludf.DUMMYFUNCTION("""COMPUTED_VALUE"""),"Policy influence / regulation")</f>
        <v/>
      </c>
    </row>
    <row r="596">
      <c r="A596" s="78">
        <f>IFERROR(__xludf.DUMMYFUNCTION("""COMPUTED_VALUE"""),"Fundação Konrad Adenauer (Konrad-Adenauer-Stiftung)")</f>
        <v/>
      </c>
      <c r="B596" s="78">
        <f>IFERROR(__xludf.DUMMYFUNCTION("""COMPUTED_VALUE"""),"Funder")</f>
        <v/>
      </c>
    </row>
    <row r="597">
      <c r="A597" s="78">
        <f>IFERROR(__xludf.DUMMYFUNCTION("""COMPUTED_VALUE"""),"Fundação Konrad Adenauer (Konrad-Adenauer-Stiftung)")</f>
        <v/>
      </c>
      <c r="B597" s="78">
        <f>IFERROR(__xludf.DUMMYFUNCTION("""COMPUTED_VALUE"""),"Technical assistance / research")</f>
        <v/>
      </c>
    </row>
    <row r="598">
      <c r="A598" s="78">
        <f>IFERROR(__xludf.DUMMYFUNCTION("""COMPUTED_VALUE"""),"Fundação Konrad Adenauer (Konrad-Adenauer-Stiftung)")</f>
        <v/>
      </c>
      <c r="B598" s="78">
        <f>IFERROR(__xludf.DUMMYFUNCTION("""COMPUTED_VALUE"""),"Policy influence / regulation")</f>
        <v/>
      </c>
    </row>
    <row r="599">
      <c r="A599" s="78">
        <f>IFERROR(__xludf.DUMMYFUNCTION("""COMPUTED_VALUE"""),"Fundação Rosa Luxemburgo (Rosa-Luxemburg-Stiftung)")</f>
        <v/>
      </c>
      <c r="B599" s="78">
        <f>IFERROR(__xludf.DUMMYFUNCTION("""COMPUTED_VALUE"""),"Funder")</f>
        <v/>
      </c>
    </row>
    <row r="600">
      <c r="A600" s="78">
        <f>IFERROR(__xludf.DUMMYFUNCTION("""COMPUTED_VALUE"""),"Fundação Rosa Luxemburgo (Rosa-Luxemburg-Stiftung)")</f>
        <v/>
      </c>
      <c r="B600" s="78">
        <f>IFERROR(__xludf.DUMMYFUNCTION("""COMPUTED_VALUE"""),"Technical assistance / research")</f>
        <v/>
      </c>
    </row>
    <row r="601">
      <c r="A601" s="78">
        <f>IFERROR(__xludf.DUMMYFUNCTION("""COMPUTED_VALUE"""),"Fundação Rosa Luxemburgo (Rosa-Luxemburg-Stiftung)")</f>
        <v/>
      </c>
      <c r="B601" s="78">
        <f>IFERROR(__xludf.DUMMYFUNCTION("""COMPUTED_VALUE"""),"Policy influence / regulation")</f>
        <v/>
      </c>
    </row>
    <row r="602">
      <c r="A602" s="78">
        <f>IFERROR(__xludf.DUMMYFUNCTION("""COMPUTED_VALUE"""),"Plan International Brasil (Plan International)")</f>
        <v/>
      </c>
      <c r="B602" s="78">
        <f>IFERROR(__xludf.DUMMYFUNCTION("""COMPUTED_VALUE"""),"Project developer / Implementer")</f>
        <v/>
      </c>
    </row>
    <row r="603">
      <c r="A603" s="78">
        <f>IFERROR(__xludf.DUMMYFUNCTION("""COMPUTED_VALUE"""),"Plan International Brasil (Plan International)")</f>
        <v/>
      </c>
      <c r="B603" s="78">
        <f>IFERROR(__xludf.DUMMYFUNCTION("""COMPUTED_VALUE"""),"Implementation capacity (delivery)")</f>
        <v/>
      </c>
    </row>
    <row r="604">
      <c r="A604" s="78">
        <f>IFERROR(__xludf.DUMMYFUNCTION("""COMPUTED_VALUE"""),"Save the Children Brasil (Save the Children)")</f>
        <v/>
      </c>
      <c r="B604" s="78">
        <f>IFERROR(__xludf.DUMMYFUNCTION("""COMPUTED_VALUE"""),"Project developer / Implementer")</f>
        <v/>
      </c>
    </row>
    <row r="605">
      <c r="A605" s="78">
        <f>IFERROR(__xludf.DUMMYFUNCTION("""COMPUTED_VALUE"""),"Save the Children Brasil (Save the Children)")</f>
        <v/>
      </c>
      <c r="B605" s="78">
        <f>IFERROR(__xludf.DUMMYFUNCTION("""COMPUTED_VALUE"""),"Implementation capacity (delivery)")</f>
        <v/>
      </c>
    </row>
    <row r="606">
      <c r="A606" s="78">
        <f>IFERROR(__xludf.DUMMYFUNCTION("""COMPUTED_VALUE"""),"Visão Mundial (Visão Mundial)")</f>
        <v/>
      </c>
      <c r="B606" s="78">
        <f>IFERROR(__xludf.DUMMYFUNCTION("""COMPUTED_VALUE"""),"Project developer / Implementer")</f>
        <v/>
      </c>
    </row>
    <row r="607">
      <c r="A607" s="78">
        <f>IFERROR(__xludf.DUMMYFUNCTION("""COMPUTED_VALUE"""),"Visão Mundial (Visão Mundial)")</f>
        <v/>
      </c>
      <c r="B607" s="78">
        <f>IFERROR(__xludf.DUMMYFUNCTION("""COMPUTED_VALUE"""),"Implementation capacity (delivery)")</f>
        <v/>
      </c>
    </row>
    <row r="608">
      <c r="A608" s="78">
        <f>IFERROR(__xludf.DUMMYFUNCTION("""COMPUTED_VALUE"""),"Movimento dos Trabalhadores Rurais Sem Terra (MST)")</f>
        <v/>
      </c>
      <c r="B608" s="78">
        <f>IFERROR(__xludf.DUMMYFUNCTION("""COMPUTED_VALUE"""),"Community legitimacy / proximate leadership")</f>
        <v/>
      </c>
    </row>
    <row r="609">
      <c r="A609" s="78">
        <f>IFERROR(__xludf.DUMMYFUNCTION("""COMPUTED_VALUE"""),"Movimento dos Trabalhadores Rurais Sem Terra (MST)")</f>
        <v/>
      </c>
      <c r="B609" s="78">
        <f>IFERROR(__xludf.DUMMYFUNCTION("""COMPUTED_VALUE"""),"Implementation capacity (delivery)")</f>
        <v/>
      </c>
    </row>
    <row r="610">
      <c r="A610" s="78">
        <f>IFERROR(__xludf.DUMMYFUNCTION("""COMPUTED_VALUE"""),"Movimento dos Trabalhadores Sem Teto (MTST)")</f>
        <v/>
      </c>
      <c r="B610" s="78">
        <f>IFERROR(__xludf.DUMMYFUNCTION("""COMPUTED_VALUE"""),"Community legitimacy / proximate leadership")</f>
        <v/>
      </c>
    </row>
    <row r="611">
      <c r="A611" s="78">
        <f>IFERROR(__xludf.DUMMYFUNCTION("""COMPUTED_VALUE"""),"Movimento dos Trabalhadores Sem Teto (MTST)")</f>
        <v/>
      </c>
      <c r="B611" s="78">
        <f>IFERROR(__xludf.DUMMYFUNCTION("""COMPUTED_VALUE"""),"Policy influence / regulation")</f>
        <v/>
      </c>
    </row>
    <row r="612">
      <c r="A612" s="78">
        <f>IFERROR(__xludf.DUMMYFUNCTION("""COMPUTED_VALUE"""),"Movimento dos Atingidos por Barragens (MAB)")</f>
        <v/>
      </c>
      <c r="B612" s="78">
        <f>IFERROR(__xludf.DUMMYFUNCTION("""COMPUTED_VALUE"""),"Community legitimacy / proximate leadership")</f>
        <v/>
      </c>
    </row>
    <row r="613">
      <c r="A613" s="78">
        <f>IFERROR(__xludf.DUMMYFUNCTION("""COMPUTED_VALUE"""),"Movimento dos Atingidos por Barragens (MAB)")</f>
        <v/>
      </c>
      <c r="B613" s="78">
        <f>IFERROR(__xludf.DUMMYFUNCTION("""COMPUTED_VALUE"""),"Policy influence / regulation")</f>
        <v/>
      </c>
    </row>
    <row r="614">
      <c r="A614" s="78">
        <f>IFERROR(__xludf.DUMMYFUNCTION("""COMPUTED_VALUE"""),"Movimento dos Pequenos Agricultores (MPA)")</f>
        <v/>
      </c>
      <c r="B614" s="78">
        <f>IFERROR(__xludf.DUMMYFUNCTION("""COMPUTED_VALUE"""),"Community legitimacy / proximate leadership")</f>
        <v/>
      </c>
    </row>
    <row r="615">
      <c r="A615" s="78">
        <f>IFERROR(__xludf.DUMMYFUNCTION("""COMPUTED_VALUE"""),"Movimento dos Pequenos Agricultores (MPA)")</f>
        <v/>
      </c>
      <c r="B615" s="78">
        <f>IFERROR(__xludf.DUMMYFUNCTION("""COMPUTED_VALUE"""),"Implementation capacity (delivery)")</f>
        <v/>
      </c>
    </row>
    <row r="616">
      <c r="A616" s="78">
        <f>IFERROR(__xludf.DUMMYFUNCTION("""COMPUTED_VALUE"""),"Movimento pela Soberania Popular na Mineração (MAM)")</f>
        <v/>
      </c>
      <c r="B616" s="78">
        <f>IFERROR(__xludf.DUMMYFUNCTION("""COMPUTED_VALUE"""),"Community legitimacy / proximate leadership")</f>
        <v/>
      </c>
    </row>
    <row r="617">
      <c r="A617" s="78">
        <f>IFERROR(__xludf.DUMMYFUNCTION("""COMPUTED_VALUE"""),"Movimento pela Soberania Popular na Mineração (MAM)")</f>
        <v/>
      </c>
      <c r="B617" s="78">
        <f>IFERROR(__xludf.DUMMYFUNCTION("""COMPUTED_VALUE"""),"Policy influence / regulation")</f>
        <v/>
      </c>
    </row>
    <row r="618">
      <c r="A618" s="78">
        <f>IFERROR(__xludf.DUMMYFUNCTION("""COMPUTED_VALUE"""),"Confederação Nacional dos Trabalhadores Rurais Agricultores e Agricultoras Familiares (CONTAG)")</f>
        <v/>
      </c>
      <c r="B618" s="78">
        <f>IFERROR(__xludf.DUMMYFUNCTION("""COMPUTED_VALUE"""),"Community legitimacy / proximate leadership")</f>
        <v/>
      </c>
    </row>
    <row r="619">
      <c r="A619" s="78">
        <f>IFERROR(__xludf.DUMMYFUNCTION("""COMPUTED_VALUE"""),"Confederação Nacional dos Trabalhadores Rurais Agricultores e Agricultoras Familiares (CONTAG)")</f>
        <v/>
      </c>
      <c r="B619" s="78">
        <f>IFERROR(__xludf.DUMMYFUNCTION("""COMPUTED_VALUE"""),"Convenor/enablers")</f>
        <v/>
      </c>
    </row>
    <row r="620">
      <c r="A620" s="78">
        <f>IFERROR(__xludf.DUMMYFUNCTION("""COMPUTED_VALUE"""),"Coordenação Nacional de Articulação das Comunidades Negras Rurais Quilombolas (CONAQ)")</f>
        <v/>
      </c>
      <c r="B620" s="78">
        <f>IFERROR(__xludf.DUMMYFUNCTION("""COMPUTED_VALUE"""),"Community legitimacy / proximate leadership")</f>
        <v/>
      </c>
    </row>
    <row r="621">
      <c r="A621" s="78">
        <f>IFERROR(__xludf.DUMMYFUNCTION("""COMPUTED_VALUE"""),"Coordenação Nacional de Articulação das Comunidades Negras Rurais Quilombolas (CONAQ)")</f>
        <v/>
      </c>
      <c r="B621" s="78">
        <f>IFERROR(__xludf.DUMMYFUNCTION("""COMPUTED_VALUE"""),"Policy influence / regulation")</f>
        <v/>
      </c>
    </row>
    <row r="622">
      <c r="A622" s="78">
        <f>IFERROR(__xludf.DUMMYFUNCTION("""COMPUTED_VALUE"""),"Movimento Negro Unificado (MNU)")</f>
        <v/>
      </c>
      <c r="B622" s="78">
        <f>IFERROR(__xludf.DUMMYFUNCTION("""COMPUTED_VALUE"""),"Community legitimacy / proximate leadership")</f>
        <v/>
      </c>
    </row>
    <row r="623">
      <c r="A623" s="78">
        <f>IFERROR(__xludf.DUMMYFUNCTION("""COMPUTED_VALUE"""),"Movimento Negro Unificado (MNU)")</f>
        <v/>
      </c>
      <c r="B623" s="78">
        <f>IFERROR(__xludf.DUMMYFUNCTION("""COMPUTED_VALUE"""),"Policy influence / regulation")</f>
        <v/>
      </c>
    </row>
    <row r="624">
      <c r="A624" s="78">
        <f>IFERROR(__xludf.DUMMYFUNCTION("""COMPUTED_VALUE"""),"Movimento de Mulheres Camponesas (MMC)")</f>
        <v/>
      </c>
      <c r="B624" s="78">
        <f>IFERROR(__xludf.DUMMYFUNCTION("""COMPUTED_VALUE"""),"Community legitimacy / proximate leadership")</f>
        <v/>
      </c>
    </row>
    <row r="625">
      <c r="A625" s="78">
        <f>IFERROR(__xludf.DUMMYFUNCTION("""COMPUTED_VALUE"""),"Movimento Interestadual das Quebradeiras de Coco Babaçu (MIQCB)")</f>
        <v/>
      </c>
      <c r="B625" s="78">
        <f>IFERROR(__xludf.DUMMYFUNCTION("""COMPUTED_VALUE"""),"Community legitimacy / proximate leadership")</f>
        <v/>
      </c>
    </row>
    <row r="626">
      <c r="A626" s="78">
        <f>IFERROR(__xludf.DUMMYFUNCTION("""COMPUTED_VALUE"""),"Movimento Interestadual das Quebradeiras de Coco Babaçu (MIQCB)")</f>
        <v/>
      </c>
      <c r="B626" s="78">
        <f>IFERROR(__xludf.DUMMYFUNCTION("""COMPUTED_VALUE"""),"Territorial anchor")</f>
        <v/>
      </c>
    </row>
    <row r="627">
      <c r="A627" s="78">
        <f>IFERROR(__xludf.DUMMYFUNCTION("""COMPUTED_VALUE"""),"Conselho Pastoral dos Pescadores (CPP)")</f>
        <v/>
      </c>
      <c r="B627" s="78">
        <f>IFERROR(__xludf.DUMMYFUNCTION("""COMPUTED_VALUE"""),"Community legitimacy / proximate leadership")</f>
        <v/>
      </c>
    </row>
    <row r="628">
      <c r="A628" s="78">
        <f>IFERROR(__xludf.DUMMYFUNCTION("""COMPUTED_VALUE"""),"Movimento Nacional de Catadores de Materiais Recicláveis (MNCR)")</f>
        <v/>
      </c>
      <c r="B628" s="78">
        <f>IFERROR(__xludf.DUMMYFUNCTION("""COMPUTED_VALUE"""),"Community legitimacy / proximate leadership")</f>
        <v/>
      </c>
    </row>
    <row r="629">
      <c r="A629" s="78">
        <f>IFERROR(__xludf.DUMMYFUNCTION("""COMPUTED_VALUE"""),"Movimento Nacional de Catadores de Materiais Recicláveis (MNCR)")</f>
        <v/>
      </c>
      <c r="B629" s="78">
        <f>IFERROR(__xludf.DUMMYFUNCTION("""COMPUTED_VALUE"""),"Implementation capacity (delivery)")</f>
        <v/>
      </c>
    </row>
    <row r="630">
      <c r="A630" s="78">
        <f>IFERROR(__xludf.DUMMYFUNCTION("""COMPUTED_VALUE"""),"Central de Movimentos Populares (CMP)")</f>
        <v/>
      </c>
      <c r="B630" s="78">
        <f>IFERROR(__xludf.DUMMYFUNCTION("""COMPUTED_VALUE"""),"Community legitimacy / proximate leadership")</f>
        <v/>
      </c>
    </row>
    <row r="631">
      <c r="A631" s="78">
        <f>IFERROR(__xludf.DUMMYFUNCTION("""COMPUTED_VALUE"""),"Central de Movimentos Populares (CMP)")</f>
        <v/>
      </c>
      <c r="B631" s="78">
        <f>IFERROR(__xludf.DUMMYFUNCTION("""COMPUTED_VALUE"""),"Policy influence / regulation")</f>
        <v/>
      </c>
    </row>
    <row r="632">
      <c r="A632" s="78">
        <f>IFERROR(__xludf.DUMMYFUNCTION("""COMPUTED_VALUE"""),"Articulação dos Povos Indígenas do Nordeste, Minas Gerais e Espírito Santo (APOINME)")</f>
        <v/>
      </c>
      <c r="B632" s="78">
        <f>IFERROR(__xludf.DUMMYFUNCTION("""COMPUTED_VALUE"""),"Community legitimacy / proximate leadership")</f>
        <v/>
      </c>
    </row>
    <row r="633">
      <c r="A633" s="78">
        <f>IFERROR(__xludf.DUMMYFUNCTION("""COMPUTED_VALUE"""),"Articulação dos Povos Indígenas do Nordeste, Minas Gerais e Espírito Santo (APOINME)")</f>
        <v/>
      </c>
      <c r="B633" s="78">
        <f>IFERROR(__xludf.DUMMYFUNCTION("""COMPUTED_VALUE"""),"Territorial anchor")</f>
        <v/>
      </c>
    </row>
    <row r="634">
      <c r="A634" s="78">
        <f>IFERROR(__xludf.DUMMYFUNCTION("""COMPUTED_VALUE"""),"Federação das Organizações Indígenas do Rio Negro (FOIRN)")</f>
        <v/>
      </c>
      <c r="B634" s="78">
        <f>IFERROR(__xludf.DUMMYFUNCTION("""COMPUTED_VALUE"""),"Community legitimacy / proximate leadership")</f>
        <v/>
      </c>
    </row>
    <row r="635">
      <c r="A635" s="78">
        <f>IFERROR(__xludf.DUMMYFUNCTION("""COMPUTED_VALUE"""),"Federação das Organizações Indígenas do Rio Negro (FOIRN)")</f>
        <v/>
      </c>
      <c r="B635" s="78">
        <f>IFERROR(__xludf.DUMMYFUNCTION("""COMPUTED_VALUE"""),"Territorial anchor")</f>
        <v/>
      </c>
    </row>
    <row r="636">
      <c r="A636" s="78">
        <f>IFERROR(__xludf.DUMMYFUNCTION("""COMPUTED_VALUE"""),"Conselho Indígena de Roraima (CIR)")</f>
        <v/>
      </c>
      <c r="B636" s="78">
        <f>IFERROR(__xludf.DUMMYFUNCTION("""COMPUTED_VALUE"""),"Community legitimacy / proximate leadership")</f>
        <v/>
      </c>
    </row>
    <row r="637">
      <c r="A637" s="78">
        <f>IFERROR(__xludf.DUMMYFUNCTION("""COMPUTED_VALUE"""),"Conselho Indígena de Roraima (CIR)")</f>
        <v/>
      </c>
      <c r="B637" s="78">
        <f>IFERROR(__xludf.DUMMYFUNCTION("""COMPUTED_VALUE"""),"Territorial anchor")</f>
        <v/>
      </c>
    </row>
    <row r="638">
      <c r="A638" s="78">
        <f>IFERROR(__xludf.DUMMYFUNCTION("""COMPUTED_VALUE"""),"Hutukara Associação Yanomami (HAY)")</f>
        <v/>
      </c>
      <c r="B638" s="78">
        <f>IFERROR(__xludf.DUMMYFUNCTION("""COMPUTED_VALUE"""),"Community legitimacy / proximate leadership")</f>
        <v/>
      </c>
    </row>
    <row r="639">
      <c r="A639" s="78">
        <f>IFERROR(__xludf.DUMMYFUNCTION("""COMPUTED_VALUE"""),"Hutukara Associação Yanomami (HAY)")</f>
        <v/>
      </c>
      <c r="B639" s="78">
        <f>IFERROR(__xludf.DUMMYFUNCTION("""COMPUTED_VALUE"""),"Territorial anchor")</f>
        <v/>
      </c>
    </row>
    <row r="640">
      <c r="A640" s="78">
        <f>IFERROR(__xludf.DUMMYFUNCTION("""COMPUTED_VALUE"""),"Movimento Xingu Vivo para Sempre")</f>
        <v/>
      </c>
      <c r="B640" s="78">
        <f>IFERROR(__xludf.DUMMYFUNCTION("""COMPUTED_VALUE"""),"Community legitimacy / proximate leadership")</f>
        <v/>
      </c>
    </row>
    <row r="641">
      <c r="A641" s="78">
        <f>IFERROR(__xludf.DUMMYFUNCTION("""COMPUTED_VALUE"""),"Movimento Xingu Vivo para Sempre")</f>
        <v/>
      </c>
      <c r="B641" s="78">
        <f>IFERROR(__xludf.DUMMYFUNCTION("""COMPUTED_VALUE"""),"Policy influence / regulation")</f>
        <v/>
      </c>
    </row>
    <row r="642">
      <c r="A642" s="78">
        <f>IFERROR(__xludf.DUMMYFUNCTION("""COMPUTED_VALUE"""),"Rede Xingu+ (Rede Xingu+)")</f>
        <v/>
      </c>
      <c r="B642" s="78">
        <f>IFERROR(__xludf.DUMMYFUNCTION("""COMPUTED_VALUE"""),"Convenor/enablers")</f>
        <v/>
      </c>
    </row>
    <row r="643">
      <c r="A643" s="78">
        <f>IFERROR(__xludf.DUMMYFUNCTION("""COMPUTED_VALUE"""),"Rede Xingu+ (Rede Xingu+)")</f>
        <v/>
      </c>
      <c r="B643" s="78">
        <f>IFERROR(__xludf.DUMMYFUNCTION("""COMPUTED_VALUE"""),"Community legitimacy / proximate leadership")</f>
        <v/>
      </c>
    </row>
    <row r="644">
      <c r="A644" s="78">
        <f>IFERROR(__xludf.DUMMYFUNCTION("""COMPUTED_VALUE"""),"Movimento Tapajós Vivo")</f>
        <v/>
      </c>
      <c r="B644" s="78">
        <f>IFERROR(__xludf.DUMMYFUNCTION("""COMPUTED_VALUE"""),"Community legitimacy / proximate leadership")</f>
        <v/>
      </c>
    </row>
    <row r="645">
      <c r="A645" s="78">
        <f>IFERROR(__xludf.DUMMYFUNCTION("""COMPUTED_VALUE"""),"Articulação Nacional de Economia Solidária (FBES)")</f>
        <v/>
      </c>
      <c r="B645" s="78">
        <f>IFERROR(__xludf.DUMMYFUNCTION("""COMPUTED_VALUE"""),"Convenor/enablers")</f>
        <v/>
      </c>
    </row>
    <row r="646">
      <c r="A646" s="78">
        <f>IFERROR(__xludf.DUMMYFUNCTION("""COMPUTED_VALUE"""),"Articulação Nacional de Economia Solidária (FBES)")</f>
        <v/>
      </c>
      <c r="B646" s="78">
        <f>IFERROR(__xludf.DUMMYFUNCTION("""COMPUTED_VALUE"""),"Implementation capacity (delivery)")</f>
        <v/>
      </c>
    </row>
    <row r="647">
      <c r="A647" s="78">
        <f>IFERROR(__xludf.DUMMYFUNCTION("""COMPUTED_VALUE"""),"Movimento Atingidos pelas Renováveis (MAR)")</f>
        <v/>
      </c>
      <c r="B647" s="78">
        <f>IFERROR(__xludf.DUMMYFUNCTION("""COMPUTED_VALUE"""),"Community legitimacy / proximate leadership")</f>
        <v/>
      </c>
    </row>
    <row r="648">
      <c r="A648" s="78">
        <f>IFERROR(__xludf.DUMMYFUNCTION("""COMPUTED_VALUE"""),"Movimento Atingidos pelas Renováveis (MAR)")</f>
        <v/>
      </c>
      <c r="B648" s="78">
        <f>IFERROR(__xludf.DUMMYFUNCTION("""COMPUTED_VALUE"""),"Policy influence / regulation")</f>
        <v/>
      </c>
    </row>
    <row r="649">
      <c r="A649" s="78">
        <f>IFERROR(__xludf.DUMMYFUNCTION("""COMPUTED_VALUE"""),"Seridó Vivo (Seridó Vivo)")</f>
        <v/>
      </c>
      <c r="B649" s="78">
        <f>IFERROR(__xludf.DUMMYFUNCTION("""COMPUTED_VALUE"""),"Community legitimacy / proximate leadership")</f>
        <v/>
      </c>
    </row>
    <row r="650">
      <c r="A650" s="78">
        <f>IFERROR(__xludf.DUMMYFUNCTION("""COMPUTED_VALUE"""),"Seridó Vivo (Seridó Vivo)")</f>
        <v/>
      </c>
      <c r="B650" s="78">
        <f>IFERROR(__xludf.DUMMYFUNCTION("""COMPUTED_VALUE"""),"Territorial anchor")</f>
        <v/>
      </c>
    </row>
    <row r="651">
      <c r="A651" s="78">
        <f>IFERROR(__xludf.DUMMYFUNCTION("""COMPUTED_VALUE"""),"Coalizão Energia Limpa (Coalizão Energia Limpa)")</f>
        <v/>
      </c>
      <c r="B651" s="78">
        <f>IFERROR(__xludf.DUMMYFUNCTION("""COMPUTED_VALUE"""),"Policy influence / regulation")</f>
        <v/>
      </c>
    </row>
    <row r="652">
      <c r="A652" s="78">
        <f>IFERROR(__xludf.DUMMYFUNCTION("""COMPUTED_VALUE"""),"Coalizão Energia Limpa (Coalizão Energia Limpa)")</f>
        <v/>
      </c>
      <c r="B652" s="78">
        <f>IFERROR(__xludf.DUMMYFUNCTION("""COMPUTED_VALUE"""),"Convenor/enablers")</f>
        <v/>
      </c>
    </row>
    <row r="653">
      <c r="A653" s="78">
        <f>IFERROR(__xludf.DUMMYFUNCTION("""COMPUTED_VALUE"""),"União Nacional de Catadoras e Catadores (Unicatadores)")</f>
        <v/>
      </c>
      <c r="B653" s="78">
        <f>IFERROR(__xludf.DUMMYFUNCTION("""COMPUTED_VALUE"""),"Implementation capacity (delivery)")</f>
        <v/>
      </c>
    </row>
    <row r="654">
      <c r="A654" s="78">
        <f>IFERROR(__xludf.DUMMYFUNCTION("""COMPUTED_VALUE"""),"União Nacional de Catadoras e Catadores (Unicatadores)")</f>
        <v/>
      </c>
      <c r="B654" s="78">
        <f>IFERROR(__xludf.DUMMYFUNCTION("""COMPUTED_VALUE"""),"Community legitimacy / proximate leadership")</f>
        <v/>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28"/>
  <sheetViews>
    <sheetView workbookViewId="0">
      <selection activeCell="A1" sqref="A1"/>
    </sheetView>
  </sheetViews>
  <sheetFormatPr baseColWidth="8" defaultColWidth="12.63" defaultRowHeight="15.75" customHeight="1"/>
  <cols>
    <col width="1.5" customWidth="1" style="84" min="1" max="1"/>
    <col width="48.13" customWidth="1" style="84" min="2" max="2"/>
    <col width="117.63" customWidth="1" style="84" min="3" max="3"/>
  </cols>
  <sheetData>
    <row r="1" ht="7.5" customHeight="1" s="84">
      <c r="A1" s="79" t="n"/>
      <c r="B1" s="79" t="n"/>
      <c r="C1" s="79" t="n"/>
      <c r="D1" s="79" t="n"/>
      <c r="E1" s="79" t="n"/>
      <c r="F1" s="79" t="n"/>
      <c r="G1" s="79" t="n"/>
      <c r="H1" s="79" t="n"/>
      <c r="I1" s="79" t="n"/>
      <c r="J1" s="79" t="n"/>
      <c r="K1" s="79" t="n"/>
      <c r="L1" s="79" t="n"/>
      <c r="M1" s="79" t="n"/>
      <c r="N1" s="79" t="n"/>
      <c r="O1" s="79" t="n"/>
      <c r="P1" s="79" t="n"/>
      <c r="Q1" s="79" t="n"/>
      <c r="R1" s="79" t="n"/>
      <c r="S1" s="79" t="n"/>
      <c r="T1" s="79" t="n"/>
      <c r="U1" s="79" t="n"/>
      <c r="V1" s="79" t="n"/>
      <c r="W1" s="79" t="n"/>
      <c r="X1" s="79" t="n"/>
      <c r="Y1" s="79" t="n"/>
      <c r="Z1" s="79" t="n"/>
    </row>
    <row r="2">
      <c r="A2" s="79" t="n"/>
      <c r="B2" s="80" t="inlineStr">
        <is>
          <t>Organization's sector</t>
        </is>
      </c>
      <c r="C2" s="80" t="inlineStr">
        <is>
          <t>Definition</t>
        </is>
      </c>
      <c r="D2" s="79" t="n"/>
      <c r="E2" s="79" t="n"/>
      <c r="F2" s="79" t="n"/>
      <c r="G2" s="79" t="n"/>
      <c r="H2" s="79" t="n"/>
      <c r="I2" s="79" t="n"/>
      <c r="J2" s="79" t="n"/>
      <c r="K2" s="79" t="n"/>
      <c r="L2" s="79" t="n"/>
      <c r="M2" s="79" t="n"/>
      <c r="N2" s="79" t="n"/>
      <c r="O2" s="79" t="n"/>
      <c r="P2" s="79" t="n"/>
      <c r="Q2" s="79" t="n"/>
      <c r="R2" s="79" t="n"/>
      <c r="S2" s="79" t="n"/>
      <c r="T2" s="79" t="n"/>
      <c r="U2" s="79" t="n"/>
      <c r="V2" s="79" t="n"/>
      <c r="W2" s="79" t="n"/>
      <c r="X2" s="79" t="n"/>
      <c r="Y2" s="79" t="n"/>
      <c r="Z2" s="79" t="n"/>
    </row>
    <row r="3">
      <c r="A3" s="79" t="n"/>
      <c r="B3" s="81" t="inlineStr">
        <is>
          <t>Private sector</t>
        </is>
      </c>
      <c r="C3" s="82" t="inlineStr">
        <is>
          <t>For-profit market actors (companies, holdings, operators, service providers). Contribute through investment, production and delivery, innovation, supply chains, and sector influence.</t>
        </is>
      </c>
      <c r="D3" s="79" t="n"/>
      <c r="E3" s="79" t="n"/>
      <c r="F3" s="79" t="n"/>
      <c r="G3" s="79" t="n"/>
      <c r="H3" s="79" t="n"/>
      <c r="I3" s="79" t="n"/>
      <c r="J3" s="79" t="n"/>
      <c r="K3" s="79" t="n"/>
      <c r="L3" s="79" t="n"/>
      <c r="M3" s="79" t="n"/>
      <c r="N3" s="79" t="n"/>
      <c r="O3" s="79" t="n"/>
      <c r="P3" s="79" t="n"/>
      <c r="Q3" s="79" t="n"/>
      <c r="R3" s="79" t="n"/>
      <c r="S3" s="79" t="n"/>
      <c r="T3" s="79" t="n"/>
      <c r="U3" s="79" t="n"/>
      <c r="V3" s="79" t="n"/>
      <c r="W3" s="79" t="n"/>
      <c r="X3" s="79" t="n"/>
      <c r="Y3" s="79" t="n"/>
      <c r="Z3" s="79" t="n"/>
    </row>
    <row r="4">
      <c r="A4" s="79" t="n"/>
      <c r="B4" s="81" t="inlineStr">
        <is>
          <t>Public sector</t>
        </is>
      </c>
      <c r="C4" s="82" t="inlineStr">
        <is>
          <t>State institutions (ministries, agencies, public authorities, public banks, public universities, etc.). Contribute through policymaking and implementation, regulation, enforcement, and delivery of public services and public investment.</t>
        </is>
      </c>
      <c r="D4" s="79" t="n"/>
      <c r="E4" s="79" t="n"/>
      <c r="F4" s="79" t="n"/>
      <c r="G4" s="79" t="n"/>
      <c r="H4" s="79" t="n"/>
      <c r="I4" s="79" t="n"/>
      <c r="J4" s="79" t="n"/>
      <c r="K4" s="79" t="n"/>
      <c r="L4" s="79" t="n"/>
      <c r="M4" s="79" t="n"/>
      <c r="N4" s="79" t="n"/>
      <c r="O4" s="79" t="n"/>
      <c r="P4" s="79" t="n"/>
      <c r="Q4" s="79" t="n"/>
      <c r="R4" s="79" t="n"/>
      <c r="S4" s="79" t="n"/>
      <c r="T4" s="79" t="n"/>
      <c r="U4" s="79" t="n"/>
      <c r="V4" s="79" t="n"/>
      <c r="W4" s="79" t="n"/>
      <c r="X4" s="79" t="n"/>
      <c r="Y4" s="79" t="n"/>
      <c r="Z4" s="79" t="n"/>
    </row>
    <row r="5">
      <c r="A5" s="79" t="n"/>
      <c r="B5" s="81" t="inlineStr">
        <is>
          <t>Non-profit organization</t>
        </is>
      </c>
      <c r="C5" s="82" t="inlineStr">
        <is>
          <t>Non-profit actors (NGOs, philanthropic foundations, institutes, civil society associations and networks). Contribute through advocacy, applied research, local implementation, philanthropy, and capacity building.</t>
        </is>
      </c>
      <c r="D5" s="79" t="n"/>
      <c r="E5" s="79" t="n"/>
      <c r="F5" s="79" t="n"/>
      <c r="G5" s="79" t="n"/>
      <c r="H5" s="79" t="n"/>
      <c r="I5" s="79" t="n"/>
      <c r="J5" s="79" t="n"/>
      <c r="K5" s="79" t="n"/>
      <c r="L5" s="79" t="n"/>
      <c r="M5" s="79" t="n"/>
      <c r="N5" s="79" t="n"/>
      <c r="O5" s="79" t="n"/>
      <c r="P5" s="79" t="n"/>
      <c r="Q5" s="79" t="n"/>
      <c r="R5" s="79" t="n"/>
      <c r="S5" s="79" t="n"/>
      <c r="T5" s="79" t="n"/>
      <c r="U5" s="79" t="n"/>
      <c r="V5" s="79" t="n"/>
      <c r="W5" s="79" t="n"/>
      <c r="X5" s="79" t="n"/>
      <c r="Y5" s="79" t="n"/>
      <c r="Z5" s="79" t="n"/>
    </row>
    <row r="6">
      <c r="A6" s="79" t="n"/>
      <c r="B6" s="81" t="inlineStr">
        <is>
          <t>Others</t>
        </is>
      </c>
      <c r="C6" s="82" t="inlineStr">
        <is>
          <t>Hybrid or cross-cutting arrangements that do not fit neatly into the categories above (e.g., grassroots networks, social movements, multi-stakeholder coalitions, sector platforms/consortia). Often contribute through coordination, convening, and provision of public goods (e.g., data, standards, collective agendas).</t>
        </is>
      </c>
      <c r="D6" s="79" t="n"/>
      <c r="E6" s="79" t="n"/>
      <c r="F6" s="79" t="n"/>
      <c r="G6" s="79" t="n"/>
      <c r="H6" s="79" t="n"/>
      <c r="I6" s="79" t="n"/>
      <c r="J6" s="79" t="n"/>
      <c r="K6" s="79" t="n"/>
      <c r="L6" s="79" t="n"/>
      <c r="M6" s="79" t="n"/>
      <c r="N6" s="79" t="n"/>
      <c r="O6" s="79" t="n"/>
      <c r="P6" s="79" t="n"/>
      <c r="Q6" s="79" t="n"/>
      <c r="R6" s="79" t="n"/>
      <c r="S6" s="79" t="n"/>
      <c r="T6" s="79" t="n"/>
      <c r="U6" s="79" t="n"/>
      <c r="V6" s="79" t="n"/>
      <c r="W6" s="79" t="n"/>
      <c r="X6" s="79" t="n"/>
      <c r="Y6" s="79" t="n"/>
      <c r="Z6" s="79" t="n"/>
    </row>
    <row r="7">
      <c r="A7" s="79" t="n"/>
      <c r="B7" s="80" t="inlineStr">
        <is>
          <t>Type of organization</t>
        </is>
      </c>
      <c r="C7" s="80" t="inlineStr">
        <is>
          <t>Definition</t>
        </is>
      </c>
      <c r="D7" s="79"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row>
    <row r="8">
      <c r="A8" s="79" t="n"/>
      <c r="B8" s="81" t="inlineStr">
        <is>
          <t>Federal Government</t>
        </is>
      </c>
      <c r="C8" s="82" t="inlineStr">
        <is>
          <t>Federal-level government bodies (ministries, secretariats, and attached entities). Set national strategies, policies and programs, and coordinate across levels of government.</t>
        </is>
      </c>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row>
    <row r="9">
      <c r="A9" s="79" t="n"/>
      <c r="B9" s="81" t="inlineStr">
        <is>
          <t>Private companies (large / leading)</t>
        </is>
      </c>
      <c r="C9" s="82" t="inlineStr">
        <is>
          <t>Large, leading companies (national or multinational). Have scale to invest, innovate, decarbonize operations, and shape supply chains and market standards.</t>
        </is>
      </c>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row>
    <row r="10">
      <c r="A10" s="79" t="n"/>
      <c r="B10" s="81" t="inlineStr">
        <is>
          <t>Private companies (SMEs / local enterprises)</t>
        </is>
      </c>
      <c r="C10" s="82" t="inlineStr">
        <is>
          <t>Small and medium-sized companies and local enterprises. Often implement and scale solutions in niches and territories, generating jobs and incremental innovation.</t>
        </is>
      </c>
      <c r="D10" s="79" t="n"/>
      <c r="E10" s="79" t="n"/>
      <c r="F10" s="79"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c r="A11" s="79" t="n"/>
      <c r="B11" s="81" t="inlineStr">
        <is>
          <t>NGOs</t>
        </is>
      </c>
      <c r="C11" s="82" t="inlineStr">
        <is>
          <t>Non-profit civil society organizations focused on advocacy, implementation and/or technical support across rights, climate, conservation, inclusion, services and public mobilization.</t>
        </is>
      </c>
      <c r="D11" s="79" t="n"/>
      <c r="E11" s="79" t="n"/>
      <c r="F11" s="79" t="n"/>
      <c r="G11" s="79" t="n"/>
      <c r="H11" s="79" t="n"/>
      <c r="I11" s="79" t="n"/>
      <c r="J11" s="79" t="n"/>
      <c r="K11" s="79" t="n"/>
      <c r="L11" s="79" t="n"/>
      <c r="M11" s="79" t="n"/>
      <c r="N11" s="79" t="n"/>
      <c r="O11" s="79" t="n"/>
      <c r="P11" s="79" t="n"/>
      <c r="Q11" s="79" t="n"/>
      <c r="R11" s="79" t="n"/>
      <c r="S11" s="79" t="n"/>
      <c r="T11" s="79" t="n"/>
      <c r="U11" s="79" t="n"/>
      <c r="V11" s="79" t="n"/>
      <c r="W11" s="79" t="n"/>
      <c r="X11" s="79" t="n"/>
      <c r="Y11" s="79" t="n"/>
      <c r="Z11" s="79" t="n"/>
    </row>
    <row r="12">
      <c r="A12" s="79" t="n"/>
      <c r="B12" s="81" t="inlineStr">
        <is>
          <t>Think tanks</t>
        </is>
      </c>
      <c r="C12" s="82" t="inlineStr">
        <is>
          <t>Organizations focused on policy-relevant analysis and applied research. Typically influence decisions and narratives through evidence, recommendations and convening (often with limited operational delivery).</t>
        </is>
      </c>
      <c r="D12" s="79" t="n"/>
      <c r="E12" s="79" t="n"/>
      <c r="F12" s="79" t="n"/>
      <c r="G12" s="79" t="n"/>
      <c r="H12" s="79" t="n"/>
      <c r="I12" s="79" t="n"/>
      <c r="J12" s="79" t="n"/>
      <c r="K12" s="79" t="n"/>
      <c r="L12" s="79" t="n"/>
      <c r="M12" s="79" t="n"/>
      <c r="N12" s="79" t="n"/>
      <c r="O12" s="79" t="n"/>
      <c r="P12" s="79" t="n"/>
      <c r="Q12" s="79" t="n"/>
      <c r="R12" s="79" t="n"/>
      <c r="S12" s="79" t="n"/>
      <c r="T12" s="79" t="n"/>
      <c r="U12" s="79" t="n"/>
      <c r="V12" s="79" t="n"/>
      <c r="W12" s="79" t="n"/>
      <c r="X12" s="79" t="n"/>
      <c r="Y12" s="79" t="n"/>
      <c r="Z12" s="79" t="n"/>
    </row>
    <row r="13">
      <c r="A13" s="79" t="n"/>
      <c r="B13" s="81" t="inlineStr">
        <is>
          <t>Social moviments</t>
        </is>
      </c>
      <c r="C13" s="82" t="inlineStr">
        <is>
          <t>Organized social movements (rural, urban or thematic). Influence change through mobilization, political pressure, rights defense, and agenda-setting.</t>
        </is>
      </c>
      <c r="D13" s="79" t="n"/>
      <c r="E13" s="79" t="n"/>
      <c r="F13" s="79" t="n"/>
      <c r="G13" s="79" t="n"/>
      <c r="H13" s="79" t="n"/>
      <c r="I13" s="79" t="n"/>
      <c r="J13" s="79" t="n"/>
      <c r="K13" s="79" t="n"/>
      <c r="L13" s="79" t="n"/>
      <c r="M13" s="79" t="n"/>
      <c r="N13" s="79" t="n"/>
      <c r="O13" s="79" t="n"/>
      <c r="P13" s="79" t="n"/>
      <c r="Q13" s="79" t="n"/>
      <c r="R13" s="79" t="n"/>
      <c r="S13" s="79" t="n"/>
      <c r="T13" s="79" t="n"/>
      <c r="U13" s="79" t="n"/>
      <c r="V13" s="79" t="n"/>
      <c r="W13" s="79" t="n"/>
      <c r="X13" s="79" t="n"/>
      <c r="Y13" s="79" t="n"/>
      <c r="Z13" s="79" t="n"/>
    </row>
    <row r="14">
      <c r="A14" s="79" t="n"/>
      <c r="B14" s="81" t="inlineStr">
        <is>
          <t>IFs</t>
        </is>
      </c>
      <c r="C14" s="82" t="inlineStr">
        <is>
          <t>Financial institutions (umbrella category when not specified—banks, DFIs, exchanges, market operators). Influence transition through lending/investment, risk management and financial product/instrument development.</t>
        </is>
      </c>
      <c r="D14" s="79" t="n"/>
      <c r="E14" s="79" t="n"/>
      <c r="F14" s="79"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row>
    <row r="15">
      <c r="A15" s="79" t="n"/>
      <c r="B15" s="81" t="inlineStr">
        <is>
          <t>Institutional Investors</t>
        </is>
      </c>
      <c r="C15" s="82" t="inlineStr">
        <is>
          <t>Institutional investors (asset managers, funds, holdings, insurers, pension funds, etc.). Influence transition via capital allocation, stewardship/engagement, governance and climate/nature risk management.</t>
        </is>
      </c>
      <c r="D15" s="79" t="n"/>
      <c r="E15" s="79" t="n"/>
      <c r="F15" s="79"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row>
    <row r="16">
      <c r="A16" s="79" t="n"/>
      <c r="B16" s="81" t="inlineStr">
        <is>
          <t>Philanthropy foundations</t>
        </is>
      </c>
      <c r="C16" s="82" t="inlineStr">
        <is>
          <t>Philanthropic foundations and grantmakers. Fund actors, networks and agendas; take early risk, build capacity, and catalyze innovation and coalitions.</t>
        </is>
      </c>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row>
    <row r="17">
      <c r="A17" s="79" t="n"/>
      <c r="B17" s="81" t="inlineStr">
        <is>
          <t>Academia</t>
        </is>
      </c>
      <c r="C17" s="82" t="inlineStr">
        <is>
          <t>Universities and higher-education institutions. Contribute through training, research, extension/outreach and technical-scientific support.</t>
        </is>
      </c>
      <c r="D17" s="79" t="n"/>
      <c r="E17" s="79" t="n"/>
      <c r="F17" s="79"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row>
    <row r="18">
      <c r="A18" s="79" t="n"/>
      <c r="B18" s="81" t="inlineStr">
        <is>
          <t>Research centers</t>
        </is>
      </c>
      <c r="C18" s="82" t="inlineStr">
        <is>
          <t>Research institutes and centers (public or non-profit). Produce applied science, data and technical solutions; often run monitoring and evaluation.</t>
        </is>
      </c>
      <c r="D18" s="79" t="n"/>
      <c r="E18" s="79" t="n"/>
      <c r="F18" s="79"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row>
    <row r="19">
      <c r="A19" s="79" t="n"/>
      <c r="B19" s="81" t="inlineStr">
        <is>
          <t>Multi-stakeholder initiatives</t>
        </is>
      </c>
      <c r="C19" s="82" t="inlineStr">
        <is>
          <t>Initiatives with shared governance across sectors (companies, government, civil society, finance). Coordinate commitments, shared agendas, standards and collaborative implementation.</t>
        </is>
      </c>
      <c r="D19" s="79" t="n"/>
      <c r="E19" s="79" t="n"/>
      <c r="F19" s="79"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row>
    <row r="20">
      <c r="A20" s="79" t="n"/>
      <c r="B20" s="81" t="inlineStr">
        <is>
          <t>Local implementers</t>
        </is>
      </c>
      <c r="C20" s="82" t="inlineStr">
        <is>
          <t>Organizations with direct territorial delivery (technical assistance, community projects, pilots and local scaling). Turn strategies into results on the ground and feed lessons back into policy.</t>
        </is>
      </c>
      <c r="D20" s="79" t="n"/>
      <c r="E20" s="79" t="n"/>
      <c r="F20" s="79"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row>
    <row r="21">
      <c r="A21" s="79" t="n"/>
      <c r="B21" s="81" t="inlineStr">
        <is>
          <t>Alliances</t>
        </is>
      </c>
      <c r="C21" s="82" t="inlineStr">
        <is>
          <t>Coalitions and coordination platforms (often lighter governance). Focus on alignment, advocacy and joint positioning among multiple actors.</t>
        </is>
      </c>
      <c r="D21" s="79" t="n"/>
      <c r="E21" s="79" t="n"/>
      <c r="F21" s="79"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row>
    <row r="22">
      <c r="A22" s="79" t="n"/>
      <c r="B22" s="81" t="inlineStr">
        <is>
          <t>Public agencies and regulators</t>
        </is>
      </c>
      <c r="C22" s="82" t="inlineStr">
        <is>
          <t>Public regulatory and oversight bodies. Set rules, license, monitor and enforce compliance; can induce standards and provide regulatory certainty.</t>
        </is>
      </c>
      <c r="D22" s="79" t="n"/>
      <c r="E22" s="79" t="n"/>
      <c r="F22" s="79"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row>
    <row r="23">
      <c r="A23" s="79" t="n"/>
      <c r="B23" s="81" t="inlineStr">
        <is>
          <t>Industry platforms and sectoral initiatives</t>
        </is>
      </c>
      <c r="C23" s="82" t="inlineStr">
        <is>
          <t>Sector associations, federations and industry platforms (including councils/chambers). Coordinate interests, technical standards and sector roadmaps for competitiveness and transition.</t>
        </is>
      </c>
      <c r="D23" s="79" t="n"/>
      <c r="E23" s="79" t="n"/>
      <c r="F23" s="79"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row>
    <row r="24">
      <c r="A24" s="79" t="n"/>
      <c r="B24" s="81" t="inlineStr">
        <is>
          <t>Commercial banks</t>
        </is>
      </c>
      <c r="C24" s="82" t="inlineStr">
        <is>
          <t>Commercial banks (public or private) focused on financial intermediation. Influence transition through credit, financial products and sector/territory risk management.</t>
        </is>
      </c>
      <c r="D24" s="79" t="n"/>
      <c r="E24" s="79" t="n"/>
      <c r="F24" s="79"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row>
    <row r="25">
      <c r="A25" s="79" t="n"/>
      <c r="B25" s="81" t="inlineStr">
        <is>
          <t>Development banks</t>
        </is>
      </c>
      <c r="C25" s="82" t="inlineStr">
        <is>
          <t>National or regional development banks with long-term mandates. Finance infrastructure and strategic sectors; often structure blended finance and de-risking mechanisms.</t>
        </is>
      </c>
      <c r="D25" s="79" t="n"/>
      <c r="E25" s="79" t="n"/>
      <c r="F25" s="79"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row>
    <row r="26">
      <c r="A26" s="79" t="n"/>
      <c r="B26" s="81" t="inlineStr">
        <is>
          <t>Multilateral development banks (MDBs)</t>
        </is>
      </c>
      <c r="C26" s="82" t="inlineStr">
        <is>
          <t>Multilateral development banks (e.g., IDB, World Bank Group, EIB). Provide finance and policy support, safeguards, technical assistance and de-risking instruments.</t>
        </is>
      </c>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row>
    <row r="27">
      <c r="A27" s="79" t="n"/>
      <c r="B27" s="81" t="inlineStr">
        <is>
          <t>Impact investors</t>
        </is>
      </c>
      <c r="C27" s="82" t="inlineStr">
        <is>
          <t>Impact investors (funds/vehicles) seeking financial return plus measurable socio-environmental impact. Often support innovative models and early/growth-stage scaling.</t>
        </is>
      </c>
      <c r="D27" s="79" t="n"/>
      <c r="E27" s="79" t="n"/>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row>
    <row r="28">
      <c r="A28" s="79" t="n"/>
      <c r="B28" s="81" t="inlineStr">
        <is>
          <t>Bilateral cooperation agencies</t>
        </is>
      </c>
      <c r="C28" s="82" t="inlineStr">
        <is>
          <t>Government bilateral cooperation agencies. Provide grants, technical assistance and (sometimes) concessional finance aligned with strategic agendas (climate, energy, cities, AFOLU, etc.).</t>
        </is>
      </c>
      <c r="D28" s="79" t="n"/>
      <c r="E28" s="79" t="n"/>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row>
    <row r="29">
      <c r="A29" s="79" t="n"/>
      <c r="B29" s="81" t="inlineStr">
        <is>
          <t>Grassroots networks</t>
        </is>
      </c>
      <c r="C29" s="82" t="inlineStr">
        <is>
          <t>Territorial/community-based networks and articulations. Connect local actors, coordinate collective action, and amplify territorial priorities and rights.</t>
        </is>
      </c>
      <c r="D29" s="79" t="n"/>
      <c r="E29" s="79" t="n"/>
      <c r="F29" s="79"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row>
    <row r="30">
      <c r="A30" s="79" t="n"/>
      <c r="B30" s="81" t="inlineStr">
        <is>
          <t>Multilateral organizations</t>
        </is>
      </c>
      <c r="C30" s="82" t="inlineStr">
        <is>
          <t>Multilateral organizations (UN system and others). Coordinate norms and programs, implement projects and support public policies and institutional capacity building.</t>
        </is>
      </c>
      <c r="D30" s="79" t="n"/>
      <c r="E30" s="79" t="n"/>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row>
    <row r="31">
      <c r="A31" s="79" t="n"/>
      <c r="B31" s="80" t="inlineStr">
        <is>
          <t>Primary impact area (sector of interest / Nexuses)</t>
        </is>
      </c>
      <c r="C31" s="80" t="inlineStr">
        <is>
          <t>Definition</t>
        </is>
      </c>
      <c r="D31" s="79" t="n"/>
      <c r="E31" s="79" t="n"/>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row>
    <row r="32">
      <c r="A32" s="79" t="n"/>
      <c r="B32" s="81" t="inlineStr">
        <is>
          <t xml:space="preserve">Energy </t>
        </is>
      </c>
      <c r="C32" s="82" t="inlineStr">
        <is>
          <t>primary activities relate to the production, distribution, regulation, financing, planning or use of energy, with a focus on the transition to low-carbon energy systems. This includes electricity generation, fuels, energy efficiency, electrification of end uses, energy infrastructure and associated public policies, as well as actors involved in innovation, financing or governance of the energy transition.</t>
        </is>
      </c>
      <c r="D32" s="79" t="n"/>
      <c r="E32" s="79" t="n"/>
      <c r="F32" s="79"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row>
    <row r="33">
      <c r="A33" s="79" t="n"/>
      <c r="B33" s="81" t="inlineStr">
        <is>
          <t xml:space="preserve">Transport </t>
        </is>
      </c>
      <c r="C33" s="82" t="inlineStr">
        <is>
          <t>involved in systems for the movement of people and goods, including urban mobility, logistics and transport infrastructure, and the transition to low-emission transport modes. This includes road, rail, waterborne and urban transport, as well as fleet electrification, alternative fuels, mobility planning, regulation, financing and integrated transport solutions.</t>
        </is>
      </c>
      <c r="D33" s="79" t="n"/>
      <c r="E33" s="79" t="n"/>
      <c r="F33" s="79"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row>
    <row r="34">
      <c r="A34" s="79" t="n"/>
      <c r="B34" s="81" t="inlineStr">
        <is>
          <t>Buildings</t>
        </is>
      </c>
      <c r="C34" s="82" t="inlineStr">
        <is>
          <t>activities relate to the built environment, including residential, commercial and public buildings. This includes construction, retrofit, building materials, energy and water efficiency, building-related urban planning, social housing, and policies, standards or financing mechanisms linked to construction and the environmental performance of buildings.</t>
        </is>
      </c>
      <c r="D34" s="79" t="n"/>
      <c r="E34" s="79" t="n"/>
      <c r="F34" s="79"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row>
    <row r="35">
      <c r="A35" s="79" t="n"/>
      <c r="B35" s="81" t="inlineStr">
        <is>
          <t xml:space="preserve">Land use, food and forest </t>
        </is>
      </c>
      <c r="C35" s="82" t="inlineStr">
        <is>
          <t>activities relate to land use and associated productive systems, including agriculture, forests, biodiversity and food systems. This includes conservation, restoration, forest management, agricultural production, agri-food value chains, food and nutrition security, bioeconomy, territorial governance, Indigenous Peoples and local communities, as well as public policies, financing mechanisms and initiatives linked to the sustainability of these systems.</t>
        </is>
      </c>
      <c r="D35" s="79" t="n"/>
      <c r="E35" s="79" t="n"/>
      <c r="F35" s="79"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row>
    <row r="36">
      <c r="A36" s="79" t="n"/>
      <c r="B36" s="83" t="inlineStr">
        <is>
          <t>Secondary impact area (indirect influence)</t>
        </is>
      </c>
      <c r="C36" s="80" t="inlineStr">
        <is>
          <t>Definition</t>
        </is>
      </c>
      <c r="D36" s="79" t="n"/>
      <c r="E36" s="79" t="n"/>
      <c r="F36" s="79"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row>
    <row r="37">
      <c r="A37" s="79" t="n"/>
      <c r="B37" s="81" t="inlineStr">
        <is>
          <t>NbS</t>
        </is>
      </c>
      <c r="C37" s="82" t="inlineStr">
        <is>
          <t>activities indirectly influence climate mitigation, adaptation or resilience through the protection, restoration or sustainable management of natural ecosystems. This includes solutions that use natural processes to address environmental and social challenges, such as ecosystem restoration, green infrastructure, watershed management and climate resilience initiatives.</t>
        </is>
      </c>
      <c r="D37" s="79" t="n"/>
      <c r="E37" s="79" t="n"/>
      <c r="F37" s="79"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row>
    <row r="38">
      <c r="A38" s="79" t="n"/>
      <c r="B38" s="81" t="inlineStr">
        <is>
          <t xml:space="preserve">Bioeconomy </t>
        </is>
      </c>
      <c r="C38" s="82" t="inlineStr">
        <is>
          <t>activities indirectly influence the transition through the sustainable use of biological resources to produce food, materials, energy or services. This includes value chains based on renewable biological inputs, bio-based products, forest and agricultural bioeconomy initiatives, and innovation models that link economic development with ecosystem stewardship.</t>
        </is>
      </c>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row>
    <row r="39">
      <c r="A39" s="79" t="n"/>
      <c r="B39" s="81" t="inlineStr">
        <is>
          <t xml:space="preserve">Renewable energy </t>
        </is>
      </c>
      <c r="C39" s="82" t="inlineStr">
        <is>
          <t>activities indirectly support or enable the generation, integration, financing or scaling of energy from renewable sources. This includes solar, wind, biomass, biogas and other renewable technologies, as well as supporting services such as project development, financing mechanisms, regulation and grid integration.</t>
        </is>
      </c>
      <c r="D39" s="79" t="n"/>
      <c r="E39" s="79" t="n"/>
      <c r="F39" s="79"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row>
    <row r="40">
      <c r="A40" s="79" t="n"/>
      <c r="B40" s="81" t="inlineStr">
        <is>
          <t>Waste management and solid waste</t>
        </is>
      </c>
      <c r="C40" s="82" t="inlineStr">
        <is>
          <t>activities indirectly influence environmental outcomes through the management, reduction, treatment or valorisation of solid waste. This includes collection, recycling, composting, waste-to-energy, circular economy initiatives, extended producer responsibility schemes and policies related to solid waste management.</t>
        </is>
      </c>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row>
    <row r="41">
      <c r="A41" s="79" t="n"/>
      <c r="B41" s="81" t="inlineStr">
        <is>
          <t xml:space="preserve">Low-carbon fuels </t>
        </is>
      </c>
      <c r="C41" s="82" t="inlineStr">
        <is>
          <t>activities indirectly influence the transition to low-emission energy and transport systems through the development, production, distribution or use of fuels with lower greenhouse gas intensity. This includes biofuels, sustainable aviation fuels, renewable gases and other alternative fuels supporting decarbonisation across sectors.</t>
        </is>
      </c>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row>
    <row r="42">
      <c r="A42" s="79" t="n"/>
      <c r="B42" s="81" t="inlineStr">
        <is>
          <t>Sustainable livestock</t>
        </is>
      </c>
      <c r="C42" s="82" t="inlineStr">
        <is>
          <t>activities indirectly influence land use, food systems and climate outcomes through livestock production systems that aim to reduce emissions, improve productivity, enhance animal welfare and promote sustainable land management. This includes practices, technologies, value chains and policies linked to lower-impact livestock systems.</t>
        </is>
      </c>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row>
    <row r="43">
      <c r="A43" s="79" t="n"/>
      <c r="B43" s="81" t="inlineStr">
        <is>
          <t xml:space="preserve">Eletric mobility </t>
        </is>
      </c>
      <c r="C43" s="82" t="inlineStr">
        <is>
          <t>activities indirectly support the transition to low-emission transport through the deployment, financing or enabling of electric mobility solutions. This includes electric vehicles, charging infrastructure, fleet transition services, supporting technologies, regulatory frameworks and market development for electric mobility.</t>
        </is>
      </c>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row>
    <row r="44">
      <c r="A44" s="79" t="n"/>
      <c r="B44" s="81" t="inlineStr">
        <is>
          <t xml:space="preserve">Water security </t>
        </is>
      </c>
      <c r="C44" s="82" t="inlineStr">
        <is>
          <t>activities indirectly influence the availability, quality and sustainable management of water resources. This includes watershed protection, water efficiency, water treatment and reuse, governance mechanisms, risk management related to water scarcity or flooding, and initiatives that support resilient water systems across sectors.</t>
        </is>
      </c>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row>
    <row r="45">
      <c r="A45" s="79" t="n"/>
      <c r="B45" s="83" t="inlineStr">
        <is>
          <t>Role within the ecosystem</t>
        </is>
      </c>
      <c r="C45" s="80" t="inlineStr">
        <is>
          <t>Definition</t>
        </is>
      </c>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row>
    <row r="46">
      <c r="A46" s="79" t="n"/>
      <c r="B46" s="81" t="inlineStr">
        <is>
          <t>Funder</t>
        </is>
      </c>
      <c r="C46" s="82" t="inlineStr">
        <is>
          <t>provide grant-based or philanthropic resources to support projects, programs, organisations or initiatives, without the primary expectation of financial return. This includes foundations and donors financing research, pilots, advocacy, capacity building or implementation activities.</t>
        </is>
      </c>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row>
    <row r="47">
      <c r="A47" s="79" t="n"/>
      <c r="B47" s="81" t="inlineStr">
        <is>
          <t xml:space="preserve">Capital provider / financial intermediary </t>
        </is>
      </c>
      <c r="C47" s="82" t="inlineStr">
        <is>
          <t>mobilise, manage or allocate financial resources with an expectation of financial return or capital preservation. This includes development banks, commercial banks, impact investors, funds and intermediaries that structure, blend or channel capital to projects and organisations.</t>
        </is>
      </c>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row>
    <row r="48">
      <c r="A48" s="79" t="n"/>
      <c r="B48" s="81" t="inlineStr">
        <is>
          <t>Convenor/enablers</t>
        </is>
      </c>
      <c r="C48" s="82" t="inlineStr">
        <is>
          <t>facilitate coordination, dialogue and collaboration among multiple actors within the ecosystem. This includes platforms, coalitions and organisations that enable alignment, knowledge exchange, partnership building or collective action.</t>
        </is>
      </c>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row>
    <row r="49">
      <c r="A49" s="79" t="n"/>
      <c r="B49" s="81" t="inlineStr">
        <is>
          <t xml:space="preserve">Project developer / Implementer </t>
        </is>
      </c>
      <c r="C49" s="82" t="inlineStr">
        <is>
          <t>design, structure and implement projects or initiatives on the ground. This includes organisations responsible for project origination, technical design, execution and management across sectors and territories.</t>
        </is>
      </c>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row>
    <row r="50">
      <c r="A50" s="79" t="n"/>
      <c r="B50" s="81" t="inlineStr">
        <is>
          <t>Policy influence / regulation</t>
        </is>
      </c>
      <c r="C50" s="82" t="inlineStr">
        <is>
          <t>shape, influence, design or enforce public policies, regulations or standards. This includes government bodies, regulatory agencies and organisations engaged in policy advocacy or regulatory processes.</t>
        </is>
      </c>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row>
    <row r="51">
      <c r="A51" s="79" t="n"/>
      <c r="B51" s="81" t="inlineStr">
        <is>
          <t xml:space="preserve">Strategic partner </t>
        </is>
      </c>
      <c r="C51" s="82" t="inlineStr">
        <is>
          <t>engage in long-term, strategic collaboration aligned with shared objectives, contributing complementary capabilities, resources or influence to advance systemic outcomes.</t>
        </is>
      </c>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row>
    <row r="52">
      <c r="A52" s="79" t="n"/>
      <c r="B52" s="81" t="inlineStr">
        <is>
          <t>Technical assistance / research</t>
        </is>
      </c>
      <c r="C52" s="82" t="inlineStr">
        <is>
          <t>provide technical expertise, analytical support, research, advisory services or capacity building. This includes academic institutions, think tanks, consultancies and specialised technical organisations.</t>
        </is>
      </c>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row>
    <row r="53">
      <c r="A53" s="79" t="n"/>
      <c r="B53" s="81" t="inlineStr">
        <is>
          <t>Implementation capacity (delivery)</t>
        </is>
      </c>
      <c r="C53" s="82" t="inlineStr">
        <is>
          <t>operational capacity to deliver projects, services or interventions at scale. This includes organisations with proven ability to execute activities, manage operations and achieve delivery outcomes in specific sectors or territories.</t>
        </is>
      </c>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row>
    <row r="54">
      <c r="A54" s="79" t="n"/>
      <c r="B54" s="81" t="inlineStr">
        <is>
          <t>Data / MRV / platforms</t>
        </is>
      </c>
      <c r="C54" s="82" t="inlineStr">
        <is>
          <t>generate, manage or provide data, monitoring, reporting and verification systems, digital platforms or analytical tools. This includes organisations supporting measurement, transparency, tracking and decision-making across projects or systems.</t>
        </is>
      </c>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row>
    <row r="55">
      <c r="A55" s="79" t="n"/>
      <c r="B55" s="81" t="inlineStr">
        <is>
          <t>Community legitimacy / proximate leadership</t>
        </is>
      </c>
      <c r="C55" s="82" t="inlineStr">
        <is>
          <t>hold social legitimacy and leadership within specific communities or territories. This includes community-based organisations, Indigenous Peoples, local leaders and groups that represent local interests and ensure contextual relevance and social acceptance.</t>
        </is>
      </c>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row>
    <row r="56">
      <c r="A56" s="79" t="n"/>
      <c r="B56" s="81" t="inlineStr">
        <is>
          <t>Territorial anchor (estados, cidades, consórcios, cooperativas)</t>
        </is>
      </c>
      <c r="C56" s="82" t="inlineStr">
        <is>
          <t>territorially rooted and act as institutional anchors within specific geographies. This includes subnational governments, municipal authorities, inter-municipal consortia, cooperatives and territorial entities that enable place-based coordination and implementation.</t>
        </is>
      </c>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row>
    <row r="57">
      <c r="A57" s="79" t="n"/>
      <c r="B57" s="83" t="inlineStr">
        <is>
          <t>Position in the value chain</t>
        </is>
      </c>
      <c r="C57" s="80" t="inlineStr">
        <is>
          <t>Definition</t>
        </is>
      </c>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row>
    <row r="58">
      <c r="A58" s="79" t="n"/>
      <c r="B58" s="81" t="inlineStr">
        <is>
          <t>Upstream – policies, planning, regulation, financing</t>
        </is>
      </c>
      <c r="C58" s="82" t="inlineStr">
        <is>
          <t>Refers to stakeholders operating at the early stages of the value chain, focused on setting direction, enabling conditions and resource allocation. This includes public policy design, strategic planning, regulatory frameworks, standard setting, financing mechanisms and decision-making processes that shape how systems and markets function.</t>
        </is>
      </c>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row>
    <row r="59">
      <c r="A59" s="79" t="n"/>
      <c r="B59" s="81" t="inlineStr">
        <is>
          <t>Midstream – infrastructure, system integration, platforms</t>
        </is>
      </c>
      <c r="C59" s="82" t="inlineStr">
        <is>
          <t>Refers to stakeholders operating at the intermediate stages of the value chain, responsible for developing, managing or integrating physical or digital infrastructure and systems. This includes infrastructure development, system integration, operational platforms, market coordination mechanisms and technical interfaces that connect upstream decisions to downstream use.</t>
        </is>
      </c>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row>
    <row r="60">
      <c r="A60" s="79" t="n"/>
      <c r="B60" s="81" t="inlineStr">
        <is>
          <t>Downstream – end use, services, consumers, communities</t>
        </is>
      </c>
      <c r="C60" s="82" t="inlineStr">
        <is>
          <t>Refers to stakeholders operating at the final stages of the value chain, directly linked to the delivery, use or consumption of products and services. This includes service providers, end users, consumers, communities and organisations involved in adoption, behavioural change, service delivery and local implementation.</t>
        </is>
      </c>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row>
    <row r="61">
      <c r="A61" s="79" t="n"/>
      <c r="B61" s="83" t="inlineStr">
        <is>
          <t>Potential partnership with IKF</t>
        </is>
      </c>
      <c r="C61" s="80" t="inlineStr">
        <is>
          <t>Definition</t>
        </is>
      </c>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row>
    <row r="62">
      <c r="A62" s="79" t="n"/>
      <c r="B62" s="81" t="inlineStr">
        <is>
          <t xml:space="preserve">Strategic partner </t>
        </is>
      </c>
      <c r="C62" s="82" t="inlineStr">
        <is>
          <t>may establish a long-term, strategic collaboration aligned with shared objectives, involving coordinated planning, complementary capabilities and sustained engagement across multiple initiatives or geographies.</t>
        </is>
      </c>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row>
    <row r="63">
      <c r="A63" s="79" t="n"/>
      <c r="B63" s="81" t="inlineStr">
        <is>
          <t xml:space="preserve">Grant recipient </t>
        </is>
      </c>
      <c r="C63" s="82" t="inlineStr">
        <is>
          <t>may receive grant-based funding from IKF to support specific projects, programs or activities aligned with IKF priorities, without an expectation of financial return.</t>
        </is>
      </c>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row>
    <row r="64">
      <c r="A64" s="79" t="n"/>
      <c r="B64" s="81" t="inlineStr">
        <is>
          <t xml:space="preserve">Co-funding partner </t>
        </is>
      </c>
      <c r="C64" s="82" t="inlineStr">
        <is>
          <t>jointly finance initiatives alongside IKF, pooling resources to support aligned objectives, programs or projects, while maintaining independent decision-making and accountability structures.</t>
        </is>
      </c>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row>
    <row r="65">
      <c r="A65" s="79" t="n"/>
      <c r="B65" s="81" t="inlineStr">
        <is>
          <t xml:space="preserve">Implementing partner </t>
        </is>
      </c>
      <c r="C65" s="82" t="inlineStr">
        <is>
          <t>may be responsible for executing projects or activities supported by IKF, including on-the-ground implementation, operational management and delivery of agreed outputs.</t>
        </is>
      </c>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row>
    <row r="66">
      <c r="A66" s="79" t="n"/>
      <c r="B66" s="81" t="inlineStr">
        <is>
          <t xml:space="preserve">Blended finance partner </t>
        </is>
      </c>
      <c r="C66" s="82" t="inlineStr">
        <is>
          <t>may collaborate with IKF to structure or deploy blended finance mechanisms, combining philanthropic capital with public or private finance to support scalable and financially sustainable solutions.</t>
        </is>
      </c>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row>
    <row r="67">
      <c r="A67" s="79" t="n"/>
      <c r="B67" s="81" t="inlineStr">
        <is>
          <t xml:space="preserve">Research and knowledge partner </t>
        </is>
      </c>
      <c r="C67" s="82" t="inlineStr">
        <is>
          <t>may collaborate with IKF to generate, analyse or synthesise knowledge, evidence and insights, including research, data analysis, learning agendas and dissemination activities.</t>
        </is>
      </c>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row>
    <row r="68">
      <c r="A68" s="79" t="n"/>
      <c r="B68" s="81" t="inlineStr">
        <is>
          <t>Capacity building partner</t>
        </is>
      </c>
      <c r="C68" s="82" t="inlineStr">
        <is>
          <t>may support IKF objectives through training, technical assistance, institutional strengthening or skills development for organisations, communities or public institutions.</t>
        </is>
      </c>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row>
    <row r="69">
      <c r="A69" s="79" t="n"/>
      <c r="B69" s="81" t="inlineStr">
        <is>
          <t>Coalition partner</t>
        </is>
      </c>
      <c r="C69" s="82" t="inlineStr">
        <is>
          <t>may collaborate with IKF within multi-actor coalitions, platforms or networks, contributing to collective action, alignment and coordination across the ecosystem.</t>
        </is>
      </c>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row>
    <row r="70">
      <c r="A70" s="79" t="n"/>
      <c r="B70" s="81" t="inlineStr">
        <is>
          <t>Policy dialogue partner</t>
        </is>
      </c>
      <c r="C70" s="82" t="inlineStr">
        <is>
          <t>may engage with IKF in structured dialogue related to public policy, regulatory frameworks or governance processes, supporting informed discussion, coordination or alignment with policy objectives.</t>
        </is>
      </c>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row>
    <row r="71">
      <c r="A71" s="79" t="n"/>
      <c r="B71" s="81" t="inlineStr">
        <is>
          <t>Exploratory engagement</t>
        </is>
      </c>
      <c r="C71" s="82" t="inlineStr">
        <is>
          <t>whom IKF may engage on an exploratory basis to better understand alignment, capabilities or relevance, without a predefined partnership model or commitment at the initial stage.</t>
        </is>
      </c>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row>
    <row r="72">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row>
    <row r="73">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row>
    <row r="74">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row>
    <row r="75">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row>
    <row r="76">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row>
    <row r="77">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row>
    <row r="78">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row>
    <row r="79">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row>
    <row r="80">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row>
    <row r="81">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row>
    <row r="82">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row>
    <row r="83">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row>
    <row r="84">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row>
    <row r="85">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row>
    <row r="86">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row>
    <row r="87">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row>
    <row r="88">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row>
    <row r="89">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row>
    <row r="90">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row>
    <row r="91">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row>
    <row r="92">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row>
    <row r="93">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row>
    <row r="94">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row>
    <row r="95">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row>
    <row r="96">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row>
    <row r="97">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row>
    <row r="98">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row>
    <row r="99">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row>
    <row r="100">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row>
    <row r="101">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row>
    <row r="102">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row>
    <row r="103">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row>
    <row r="104">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row>
    <row r="105">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row>
    <row r="106">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row>
    <row r="107">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row>
    <row r="108">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row>
    <row r="109">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row>
    <row r="110">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row>
    <row r="111">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row>
    <row r="112">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row>
    <row r="113">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row>
    <row r="114">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row>
    <row r="115">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row>
    <row r="116">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row>
    <row r="117">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row>
    <row r="118">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row>
    <row r="119">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row>
    <row r="120">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row>
    <row r="121">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row>
    <row r="122">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row>
    <row r="123">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row>
    <row r="124">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row>
    <row r="125">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row>
    <row r="126">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row>
    <row r="127">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row>
    <row r="128">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row>
    <row r="129">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row>
    <row r="130">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row>
    <row r="131">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row>
    <row r="132">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row>
    <row r="133">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row>
    <row r="134">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row>
    <row r="135">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row>
    <row r="136">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row>
    <row r="137">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row>
    <row r="138">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row>
    <row r="139">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row>
    <row r="140">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row>
    <row r="141">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row>
    <row r="142">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row>
    <row r="143">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row>
    <row r="144">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row>
    <row r="145">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row>
    <row r="146">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row>
    <row r="147">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row>
    <row r="148">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row>
    <row r="149">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row>
    <row r="150">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row>
    <row r="151">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row>
    <row r="152">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row>
    <row r="153">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row>
    <row r="154">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row>
    <row r="155">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row>
    <row r="156">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row>
    <row r="157">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row>
    <row r="158">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row>
    <row r="159">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row>
    <row r="160">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row>
    <row r="161">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row>
    <row r="162">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row>
    <row r="163">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row>
    <row r="164">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row>
    <row r="165">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row>
    <row r="166">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row>
    <row r="167">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row>
    <row r="168">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row>
    <row r="169">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row>
    <row r="170">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row>
    <row r="171">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row>
    <row r="172">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row>
    <row r="173">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row>
    <row r="174">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row>
    <row r="175">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row>
    <row r="176">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row>
    <row r="177">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row>
    <row r="178">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row>
    <row r="179">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row>
    <row r="180">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row>
    <row r="181">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row>
    <row r="182">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row>
    <row r="183">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row>
    <row r="184">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row>
    <row r="185">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row>
    <row r="186">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row>
    <row r="187">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row>
    <row r="188">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row>
    <row r="189">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row>
    <row r="190">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row>
    <row r="191">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row>
    <row r="192">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row>
    <row r="193">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row>
    <row r="194">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row>
    <row r="195">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row>
    <row r="196">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row>
    <row r="197">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row>
    <row r="198">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row>
    <row r="199">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row>
    <row r="200">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row>
    <row r="201">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row>
    <row r="202">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row>
    <row r="203">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row>
    <row r="204">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row>
    <row r="205">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row>
    <row r="206">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row>
    <row r="207">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row>
    <row r="208">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row>
    <row r="209">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row>
    <row r="210">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row>
    <row r="211">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row>
    <row r="212">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row>
    <row r="213">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row>
    <row r="214">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row>
    <row r="215">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row>
    <row r="216">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row>
    <row r="217">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row>
    <row r="218">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row>
    <row r="219">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row>
    <row r="220">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row>
    <row r="221">
      <c r="A221" s="79" t="n"/>
      <c r="B221" s="79" t="n"/>
      <c r="C221" s="79" t="n"/>
      <c r="D221" s="79" t="n"/>
      <c r="E221" s="79" t="n"/>
      <c r="F221" s="79" t="n"/>
      <c r="G221" s="79" t="n"/>
      <c r="H221" s="79" t="n"/>
      <c r="I221" s="79" t="n"/>
      <c r="J221" s="79" t="n"/>
      <c r="K221" s="79" t="n"/>
      <c r="L221" s="79" t="n"/>
      <c r="M221" s="79" t="n"/>
      <c r="N221" s="79" t="n"/>
      <c r="O221" s="79" t="n"/>
      <c r="P221" s="79" t="n"/>
      <c r="Q221" s="79" t="n"/>
      <c r="R221" s="79" t="n"/>
      <c r="S221" s="79" t="n"/>
      <c r="T221" s="79" t="n"/>
      <c r="U221" s="79" t="n"/>
      <c r="V221" s="79" t="n"/>
      <c r="W221" s="79" t="n"/>
      <c r="X221" s="79" t="n"/>
      <c r="Y221" s="79" t="n"/>
      <c r="Z221" s="79" t="n"/>
    </row>
    <row r="222">
      <c r="A222" s="79" t="n"/>
      <c r="B222" s="79" t="n"/>
      <c r="C222" s="79" t="n"/>
      <c r="D222" s="79" t="n"/>
      <c r="E222" s="79" t="n"/>
      <c r="F222" s="79" t="n"/>
      <c r="G222" s="79" t="n"/>
      <c r="H222" s="79" t="n"/>
      <c r="I222" s="79" t="n"/>
      <c r="J222" s="79" t="n"/>
      <c r="K222" s="79" t="n"/>
      <c r="L222" s="79" t="n"/>
      <c r="M222" s="79" t="n"/>
      <c r="N222" s="79" t="n"/>
      <c r="O222" s="79" t="n"/>
      <c r="P222" s="79" t="n"/>
      <c r="Q222" s="79" t="n"/>
      <c r="R222" s="79" t="n"/>
      <c r="S222" s="79" t="n"/>
      <c r="T222" s="79" t="n"/>
      <c r="U222" s="79" t="n"/>
      <c r="V222" s="79" t="n"/>
      <c r="W222" s="79" t="n"/>
      <c r="X222" s="79" t="n"/>
      <c r="Y222" s="79" t="n"/>
      <c r="Z222" s="79" t="n"/>
    </row>
    <row r="223">
      <c r="A223" s="79" t="n"/>
      <c r="B223" s="79" t="n"/>
      <c r="C223" s="79" t="n"/>
      <c r="D223" s="79" t="n"/>
      <c r="E223" s="79" t="n"/>
      <c r="F223" s="79" t="n"/>
      <c r="G223" s="79" t="n"/>
      <c r="H223" s="79" t="n"/>
      <c r="I223" s="79" t="n"/>
      <c r="J223" s="79" t="n"/>
      <c r="K223" s="79" t="n"/>
      <c r="L223" s="79" t="n"/>
      <c r="M223" s="79" t="n"/>
      <c r="N223" s="79" t="n"/>
      <c r="O223" s="79" t="n"/>
      <c r="P223" s="79" t="n"/>
      <c r="Q223" s="79" t="n"/>
      <c r="R223" s="79" t="n"/>
      <c r="S223" s="79" t="n"/>
      <c r="T223" s="79" t="n"/>
      <c r="U223" s="79" t="n"/>
      <c r="V223" s="79" t="n"/>
      <c r="W223" s="79" t="n"/>
      <c r="X223" s="79" t="n"/>
      <c r="Y223" s="79" t="n"/>
      <c r="Z223" s="79" t="n"/>
    </row>
    <row r="224">
      <c r="A224" s="79" t="n"/>
      <c r="B224" s="79" t="n"/>
      <c r="C224" s="79" t="n"/>
      <c r="D224" s="79" t="n"/>
      <c r="E224" s="79" t="n"/>
      <c r="F224" s="79" t="n"/>
      <c r="G224" s="79" t="n"/>
      <c r="H224" s="79" t="n"/>
      <c r="I224" s="79" t="n"/>
      <c r="J224" s="79" t="n"/>
      <c r="K224" s="79" t="n"/>
      <c r="L224" s="79" t="n"/>
      <c r="M224" s="79" t="n"/>
      <c r="N224" s="79" t="n"/>
      <c r="O224" s="79" t="n"/>
      <c r="P224" s="79" t="n"/>
      <c r="Q224" s="79" t="n"/>
      <c r="R224" s="79" t="n"/>
      <c r="S224" s="79" t="n"/>
      <c r="T224" s="79" t="n"/>
      <c r="U224" s="79" t="n"/>
      <c r="V224" s="79" t="n"/>
      <c r="W224" s="79" t="n"/>
      <c r="X224" s="79" t="n"/>
      <c r="Y224" s="79" t="n"/>
      <c r="Z224" s="79" t="n"/>
    </row>
    <row r="225">
      <c r="A225" s="79" t="n"/>
      <c r="B225" s="79" t="n"/>
      <c r="C225" s="79" t="n"/>
      <c r="D225" s="79" t="n"/>
      <c r="E225" s="79" t="n"/>
      <c r="F225" s="79" t="n"/>
      <c r="G225" s="79" t="n"/>
      <c r="H225" s="79" t="n"/>
      <c r="I225" s="79" t="n"/>
      <c r="J225" s="79" t="n"/>
      <c r="K225" s="79" t="n"/>
      <c r="L225" s="79" t="n"/>
      <c r="M225" s="79" t="n"/>
      <c r="N225" s="79" t="n"/>
      <c r="O225" s="79" t="n"/>
      <c r="P225" s="79" t="n"/>
      <c r="Q225" s="79" t="n"/>
      <c r="R225" s="79" t="n"/>
      <c r="S225" s="79" t="n"/>
      <c r="T225" s="79" t="n"/>
      <c r="U225" s="79" t="n"/>
      <c r="V225" s="79" t="n"/>
      <c r="W225" s="79" t="n"/>
      <c r="X225" s="79" t="n"/>
      <c r="Y225" s="79" t="n"/>
      <c r="Z225" s="79" t="n"/>
    </row>
    <row r="226">
      <c r="A226" s="79" t="n"/>
      <c r="B226" s="79" t="n"/>
      <c r="C226" s="79" t="n"/>
      <c r="D226" s="79" t="n"/>
      <c r="E226" s="79" t="n"/>
      <c r="F226" s="79" t="n"/>
      <c r="G226" s="79" t="n"/>
      <c r="H226" s="79" t="n"/>
      <c r="I226" s="79" t="n"/>
      <c r="J226" s="79" t="n"/>
      <c r="K226" s="79" t="n"/>
      <c r="L226" s="79" t="n"/>
      <c r="M226" s="79" t="n"/>
      <c r="N226" s="79" t="n"/>
      <c r="O226" s="79" t="n"/>
      <c r="P226" s="79" t="n"/>
      <c r="Q226" s="79" t="n"/>
      <c r="R226" s="79" t="n"/>
      <c r="S226" s="79" t="n"/>
      <c r="T226" s="79" t="n"/>
      <c r="U226" s="79" t="n"/>
      <c r="V226" s="79" t="n"/>
      <c r="W226" s="79" t="n"/>
      <c r="X226" s="79" t="n"/>
      <c r="Y226" s="79" t="n"/>
      <c r="Z226" s="79" t="n"/>
    </row>
    <row r="227">
      <c r="A227" s="79" t="n"/>
      <c r="B227" s="79" t="n"/>
      <c r="C227" s="79" t="n"/>
      <c r="D227" s="79" t="n"/>
      <c r="E227" s="79" t="n"/>
      <c r="F227" s="79" t="n"/>
      <c r="G227" s="79" t="n"/>
      <c r="H227" s="79" t="n"/>
      <c r="I227" s="79" t="n"/>
      <c r="J227" s="79" t="n"/>
      <c r="K227" s="79" t="n"/>
      <c r="L227" s="79" t="n"/>
      <c r="M227" s="79" t="n"/>
      <c r="N227" s="79" t="n"/>
      <c r="O227" s="79" t="n"/>
      <c r="P227" s="79" t="n"/>
      <c r="Q227" s="79" t="n"/>
      <c r="R227" s="79" t="n"/>
      <c r="S227" s="79" t="n"/>
      <c r="T227" s="79" t="n"/>
      <c r="U227" s="79" t="n"/>
      <c r="V227" s="79" t="n"/>
      <c r="W227" s="79" t="n"/>
      <c r="X227" s="79" t="n"/>
      <c r="Y227" s="79" t="n"/>
      <c r="Z227" s="79" t="n"/>
    </row>
    <row r="228">
      <c r="A228" s="79" t="n"/>
      <c r="B228" s="79" t="n"/>
      <c r="C228" s="79" t="n"/>
      <c r="D228" s="79" t="n"/>
      <c r="E228" s="79" t="n"/>
      <c r="F228" s="79" t="n"/>
      <c r="G228" s="79" t="n"/>
      <c r="H228" s="79" t="n"/>
      <c r="I228" s="79" t="n"/>
      <c r="J228" s="79" t="n"/>
      <c r="K228" s="79" t="n"/>
      <c r="L228" s="79" t="n"/>
      <c r="M228" s="79" t="n"/>
      <c r="N228" s="79" t="n"/>
      <c r="O228" s="79" t="n"/>
      <c r="P228" s="79" t="n"/>
      <c r="Q228" s="79" t="n"/>
      <c r="R228" s="79" t="n"/>
      <c r="S228" s="79" t="n"/>
      <c r="T228" s="79" t="n"/>
      <c r="U228" s="79" t="n"/>
      <c r="V228" s="79" t="n"/>
      <c r="W228" s="79" t="n"/>
      <c r="X228" s="79" t="n"/>
      <c r="Y228" s="79" t="n"/>
      <c r="Z228" s="79" t="n"/>
    </row>
    <row r="229">
      <c r="A229" s="79" t="n"/>
      <c r="B229" s="79" t="n"/>
      <c r="C229" s="79" t="n"/>
      <c r="D229" s="79" t="n"/>
      <c r="E229" s="79" t="n"/>
      <c r="F229" s="79" t="n"/>
      <c r="G229" s="79" t="n"/>
      <c r="H229" s="79" t="n"/>
      <c r="I229" s="79" t="n"/>
      <c r="J229" s="79" t="n"/>
      <c r="K229" s="79" t="n"/>
      <c r="L229" s="79" t="n"/>
      <c r="M229" s="79" t="n"/>
      <c r="N229" s="79" t="n"/>
      <c r="O229" s="79" t="n"/>
      <c r="P229" s="79" t="n"/>
      <c r="Q229" s="79" t="n"/>
      <c r="R229" s="79" t="n"/>
      <c r="S229" s="79" t="n"/>
      <c r="T229" s="79" t="n"/>
      <c r="U229" s="79" t="n"/>
      <c r="V229" s="79" t="n"/>
      <c r="W229" s="79" t="n"/>
      <c r="X229" s="79" t="n"/>
      <c r="Y229" s="79" t="n"/>
      <c r="Z229" s="79" t="n"/>
    </row>
    <row r="230">
      <c r="A230" s="79" t="n"/>
      <c r="B230" s="79" t="n"/>
      <c r="C230" s="79" t="n"/>
      <c r="D230" s="79" t="n"/>
      <c r="E230" s="79" t="n"/>
      <c r="F230" s="79" t="n"/>
      <c r="G230" s="79" t="n"/>
      <c r="H230" s="79" t="n"/>
      <c r="I230" s="79" t="n"/>
      <c r="J230" s="79" t="n"/>
      <c r="K230" s="79" t="n"/>
      <c r="L230" s="79" t="n"/>
      <c r="M230" s="79" t="n"/>
      <c r="N230" s="79" t="n"/>
      <c r="O230" s="79" t="n"/>
      <c r="P230" s="79" t="n"/>
      <c r="Q230" s="79" t="n"/>
      <c r="R230" s="79" t="n"/>
      <c r="S230" s="79" t="n"/>
      <c r="T230" s="79" t="n"/>
      <c r="U230" s="79" t="n"/>
      <c r="V230" s="79" t="n"/>
      <c r="W230" s="79" t="n"/>
      <c r="X230" s="79" t="n"/>
      <c r="Y230" s="79" t="n"/>
      <c r="Z230" s="79" t="n"/>
    </row>
    <row r="231">
      <c r="A231" s="79" t="n"/>
      <c r="B231" s="79" t="n"/>
      <c r="C231" s="79" t="n"/>
      <c r="D231" s="79" t="n"/>
      <c r="E231" s="79" t="n"/>
      <c r="F231" s="79" t="n"/>
      <c r="G231" s="79" t="n"/>
      <c r="H231" s="79" t="n"/>
      <c r="I231" s="79" t="n"/>
      <c r="J231" s="79" t="n"/>
      <c r="K231" s="79" t="n"/>
      <c r="L231" s="79" t="n"/>
      <c r="M231" s="79" t="n"/>
      <c r="N231" s="79" t="n"/>
      <c r="O231" s="79" t="n"/>
      <c r="P231" s="79" t="n"/>
      <c r="Q231" s="79" t="n"/>
      <c r="R231" s="79" t="n"/>
      <c r="S231" s="79" t="n"/>
      <c r="T231" s="79" t="n"/>
      <c r="U231" s="79" t="n"/>
      <c r="V231" s="79" t="n"/>
      <c r="W231" s="79" t="n"/>
      <c r="X231" s="79" t="n"/>
      <c r="Y231" s="79" t="n"/>
      <c r="Z231" s="79" t="n"/>
    </row>
    <row r="232">
      <c r="A232" s="79" t="n"/>
      <c r="B232" s="79" t="n"/>
      <c r="C232" s="79" t="n"/>
      <c r="D232" s="79" t="n"/>
      <c r="E232" s="79" t="n"/>
      <c r="F232" s="79" t="n"/>
      <c r="G232" s="79" t="n"/>
      <c r="H232" s="79" t="n"/>
      <c r="I232" s="79" t="n"/>
      <c r="J232" s="79" t="n"/>
      <c r="K232" s="79" t="n"/>
      <c r="L232" s="79" t="n"/>
      <c r="M232" s="79" t="n"/>
      <c r="N232" s="79" t="n"/>
      <c r="O232" s="79" t="n"/>
      <c r="P232" s="79" t="n"/>
      <c r="Q232" s="79" t="n"/>
      <c r="R232" s="79" t="n"/>
      <c r="S232" s="79" t="n"/>
      <c r="T232" s="79" t="n"/>
      <c r="U232" s="79" t="n"/>
      <c r="V232" s="79" t="n"/>
      <c r="W232" s="79" t="n"/>
      <c r="X232" s="79" t="n"/>
      <c r="Y232" s="79" t="n"/>
      <c r="Z232" s="79" t="n"/>
    </row>
    <row r="233">
      <c r="A233" s="79" t="n"/>
      <c r="B233" s="79" t="n"/>
      <c r="C233" s="79" t="n"/>
      <c r="D233" s="79" t="n"/>
      <c r="E233" s="79" t="n"/>
      <c r="F233" s="79" t="n"/>
      <c r="G233" s="79" t="n"/>
      <c r="H233" s="79" t="n"/>
      <c r="I233" s="79" t="n"/>
      <c r="J233" s="79" t="n"/>
      <c r="K233" s="79" t="n"/>
      <c r="L233" s="79" t="n"/>
      <c r="M233" s="79" t="n"/>
      <c r="N233" s="79" t="n"/>
      <c r="O233" s="79" t="n"/>
      <c r="P233" s="79" t="n"/>
      <c r="Q233" s="79" t="n"/>
      <c r="R233" s="79" t="n"/>
      <c r="S233" s="79" t="n"/>
      <c r="T233" s="79" t="n"/>
      <c r="U233" s="79" t="n"/>
      <c r="V233" s="79" t="n"/>
      <c r="W233" s="79" t="n"/>
      <c r="X233" s="79" t="n"/>
      <c r="Y233" s="79" t="n"/>
      <c r="Z233" s="79" t="n"/>
    </row>
    <row r="234">
      <c r="A234" s="79" t="n"/>
      <c r="B234" s="79" t="n"/>
      <c r="C234" s="79" t="n"/>
      <c r="D234" s="79" t="n"/>
      <c r="E234" s="79" t="n"/>
      <c r="F234" s="79" t="n"/>
      <c r="G234" s="79" t="n"/>
      <c r="H234" s="79" t="n"/>
      <c r="I234" s="79" t="n"/>
      <c r="J234" s="79" t="n"/>
      <c r="K234" s="79" t="n"/>
      <c r="L234" s="79" t="n"/>
      <c r="M234" s="79" t="n"/>
      <c r="N234" s="79" t="n"/>
      <c r="O234" s="79" t="n"/>
      <c r="P234" s="79" t="n"/>
      <c r="Q234" s="79" t="n"/>
      <c r="R234" s="79" t="n"/>
      <c r="S234" s="79" t="n"/>
      <c r="T234" s="79" t="n"/>
      <c r="U234" s="79" t="n"/>
      <c r="V234" s="79" t="n"/>
      <c r="W234" s="79" t="n"/>
      <c r="X234" s="79" t="n"/>
      <c r="Y234" s="79" t="n"/>
      <c r="Z234" s="79" t="n"/>
    </row>
    <row r="235">
      <c r="A235" s="79" t="n"/>
      <c r="B235" s="79" t="n"/>
      <c r="C235" s="79" t="n"/>
      <c r="D235" s="79" t="n"/>
      <c r="E235" s="79" t="n"/>
      <c r="F235" s="79" t="n"/>
      <c r="G235" s="79" t="n"/>
      <c r="H235" s="79" t="n"/>
      <c r="I235" s="79" t="n"/>
      <c r="J235" s="79" t="n"/>
      <c r="K235" s="79" t="n"/>
      <c r="L235" s="79" t="n"/>
      <c r="M235" s="79" t="n"/>
      <c r="N235" s="79" t="n"/>
      <c r="O235" s="79" t="n"/>
      <c r="P235" s="79" t="n"/>
      <c r="Q235" s="79" t="n"/>
      <c r="R235" s="79" t="n"/>
      <c r="S235" s="79" t="n"/>
      <c r="T235" s="79" t="n"/>
      <c r="U235" s="79" t="n"/>
      <c r="V235" s="79" t="n"/>
      <c r="W235" s="79" t="n"/>
      <c r="X235" s="79" t="n"/>
      <c r="Y235" s="79" t="n"/>
      <c r="Z235" s="79" t="n"/>
    </row>
    <row r="236">
      <c r="A236" s="79" t="n"/>
      <c r="B236" s="79" t="n"/>
      <c r="C236" s="79" t="n"/>
      <c r="D236" s="79" t="n"/>
      <c r="E236" s="79" t="n"/>
      <c r="F236" s="79" t="n"/>
      <c r="G236" s="79" t="n"/>
      <c r="H236" s="79" t="n"/>
      <c r="I236" s="79" t="n"/>
      <c r="J236" s="79" t="n"/>
      <c r="K236" s="79" t="n"/>
      <c r="L236" s="79" t="n"/>
      <c r="M236" s="79" t="n"/>
      <c r="N236" s="79" t="n"/>
      <c r="O236" s="79" t="n"/>
      <c r="P236" s="79" t="n"/>
      <c r="Q236" s="79" t="n"/>
      <c r="R236" s="79" t="n"/>
      <c r="S236" s="79" t="n"/>
      <c r="T236" s="79" t="n"/>
      <c r="U236" s="79" t="n"/>
      <c r="V236" s="79" t="n"/>
      <c r="W236" s="79" t="n"/>
      <c r="X236" s="79" t="n"/>
      <c r="Y236" s="79" t="n"/>
      <c r="Z236" s="79" t="n"/>
    </row>
    <row r="237">
      <c r="A237" s="79" t="n"/>
      <c r="B237" s="79" t="n"/>
      <c r="C237" s="79" t="n"/>
      <c r="D237" s="79" t="n"/>
      <c r="E237" s="79" t="n"/>
      <c r="F237" s="79" t="n"/>
      <c r="G237" s="79" t="n"/>
      <c r="H237" s="79" t="n"/>
      <c r="I237" s="79" t="n"/>
      <c r="J237" s="79" t="n"/>
      <c r="K237" s="79" t="n"/>
      <c r="L237" s="79" t="n"/>
      <c r="M237" s="79" t="n"/>
      <c r="N237" s="79" t="n"/>
      <c r="O237" s="79" t="n"/>
      <c r="P237" s="79" t="n"/>
      <c r="Q237" s="79" t="n"/>
      <c r="R237" s="79" t="n"/>
      <c r="S237" s="79" t="n"/>
      <c r="T237" s="79" t="n"/>
      <c r="U237" s="79" t="n"/>
      <c r="V237" s="79" t="n"/>
      <c r="W237" s="79" t="n"/>
      <c r="X237" s="79" t="n"/>
      <c r="Y237" s="79" t="n"/>
      <c r="Z237" s="79" t="n"/>
    </row>
    <row r="238">
      <c r="A238" s="79" t="n"/>
      <c r="B238" s="79" t="n"/>
      <c r="C238" s="79" t="n"/>
      <c r="D238" s="79" t="n"/>
      <c r="E238" s="79" t="n"/>
      <c r="F238" s="79" t="n"/>
      <c r="G238" s="79" t="n"/>
      <c r="H238" s="79" t="n"/>
      <c r="I238" s="79" t="n"/>
      <c r="J238" s="79" t="n"/>
      <c r="K238" s="79" t="n"/>
      <c r="L238" s="79" t="n"/>
      <c r="M238" s="79" t="n"/>
      <c r="N238" s="79" t="n"/>
      <c r="O238" s="79" t="n"/>
      <c r="P238" s="79" t="n"/>
      <c r="Q238" s="79" t="n"/>
      <c r="R238" s="79" t="n"/>
      <c r="S238" s="79" t="n"/>
      <c r="T238" s="79" t="n"/>
      <c r="U238" s="79" t="n"/>
      <c r="V238" s="79" t="n"/>
      <c r="W238" s="79" t="n"/>
      <c r="X238" s="79" t="n"/>
      <c r="Y238" s="79" t="n"/>
      <c r="Z238" s="79" t="n"/>
    </row>
    <row r="239">
      <c r="A239" s="79" t="n"/>
      <c r="B239" s="79" t="n"/>
      <c r="C239" s="79" t="n"/>
      <c r="D239" s="79" t="n"/>
      <c r="E239" s="79" t="n"/>
      <c r="F239" s="79" t="n"/>
      <c r="G239" s="79" t="n"/>
      <c r="H239" s="79" t="n"/>
      <c r="I239" s="79" t="n"/>
      <c r="J239" s="79" t="n"/>
      <c r="K239" s="79" t="n"/>
      <c r="L239" s="79" t="n"/>
      <c r="M239" s="79" t="n"/>
      <c r="N239" s="79" t="n"/>
      <c r="O239" s="79" t="n"/>
      <c r="P239" s="79" t="n"/>
      <c r="Q239" s="79" t="n"/>
      <c r="R239" s="79" t="n"/>
      <c r="S239" s="79" t="n"/>
      <c r="T239" s="79" t="n"/>
      <c r="U239" s="79" t="n"/>
      <c r="V239" s="79" t="n"/>
      <c r="W239" s="79" t="n"/>
      <c r="X239" s="79" t="n"/>
      <c r="Y239" s="79" t="n"/>
      <c r="Z239" s="79" t="n"/>
    </row>
    <row r="240">
      <c r="A240" s="79" t="n"/>
      <c r="B240" s="79" t="n"/>
      <c r="C240" s="79" t="n"/>
      <c r="D240" s="79" t="n"/>
      <c r="E240" s="79" t="n"/>
      <c r="F240" s="79" t="n"/>
      <c r="G240" s="79" t="n"/>
      <c r="H240" s="79" t="n"/>
      <c r="I240" s="79" t="n"/>
      <c r="J240" s="79" t="n"/>
      <c r="K240" s="79" t="n"/>
      <c r="L240" s="79" t="n"/>
      <c r="M240" s="79" t="n"/>
      <c r="N240" s="79" t="n"/>
      <c r="O240" s="79" t="n"/>
      <c r="P240" s="79" t="n"/>
      <c r="Q240" s="79" t="n"/>
      <c r="R240" s="79" t="n"/>
      <c r="S240" s="79" t="n"/>
      <c r="T240" s="79" t="n"/>
      <c r="U240" s="79" t="n"/>
      <c r="V240" s="79" t="n"/>
      <c r="W240" s="79" t="n"/>
      <c r="X240" s="79" t="n"/>
      <c r="Y240" s="79" t="n"/>
      <c r="Z240" s="79" t="n"/>
    </row>
    <row r="241">
      <c r="A241" s="79" t="n"/>
      <c r="B241" s="79" t="n"/>
      <c r="C241" s="79" t="n"/>
      <c r="D241" s="79" t="n"/>
      <c r="E241" s="79" t="n"/>
      <c r="F241" s="79" t="n"/>
      <c r="G241" s="79" t="n"/>
      <c r="H241" s="79" t="n"/>
      <c r="I241" s="79" t="n"/>
      <c r="J241" s="79" t="n"/>
      <c r="K241" s="79" t="n"/>
      <c r="L241" s="79" t="n"/>
      <c r="M241" s="79" t="n"/>
      <c r="N241" s="79" t="n"/>
      <c r="O241" s="79" t="n"/>
      <c r="P241" s="79" t="n"/>
      <c r="Q241" s="79" t="n"/>
      <c r="R241" s="79" t="n"/>
      <c r="S241" s="79" t="n"/>
      <c r="T241" s="79" t="n"/>
      <c r="U241" s="79" t="n"/>
      <c r="V241" s="79" t="n"/>
      <c r="W241" s="79" t="n"/>
      <c r="X241" s="79" t="n"/>
      <c r="Y241" s="79" t="n"/>
      <c r="Z241" s="79" t="n"/>
    </row>
    <row r="242">
      <c r="A242" s="79" t="n"/>
      <c r="B242" s="79" t="n"/>
      <c r="C242" s="79" t="n"/>
      <c r="D242" s="79" t="n"/>
      <c r="E242" s="79" t="n"/>
      <c r="F242" s="79" t="n"/>
      <c r="G242" s="79" t="n"/>
      <c r="H242" s="79" t="n"/>
      <c r="I242" s="79" t="n"/>
      <c r="J242" s="79" t="n"/>
      <c r="K242" s="79" t="n"/>
      <c r="L242" s="79" t="n"/>
      <c r="M242" s="79" t="n"/>
      <c r="N242" s="79" t="n"/>
      <c r="O242" s="79" t="n"/>
      <c r="P242" s="79" t="n"/>
      <c r="Q242" s="79" t="n"/>
      <c r="R242" s="79" t="n"/>
      <c r="S242" s="79" t="n"/>
      <c r="T242" s="79" t="n"/>
      <c r="U242" s="79" t="n"/>
      <c r="V242" s="79" t="n"/>
      <c r="W242" s="79" t="n"/>
      <c r="X242" s="79" t="n"/>
      <c r="Y242" s="79" t="n"/>
      <c r="Z242" s="79" t="n"/>
    </row>
    <row r="243">
      <c r="A243" s="79" t="n"/>
      <c r="B243" s="79" t="n"/>
      <c r="C243" s="79" t="n"/>
      <c r="D243" s="79" t="n"/>
      <c r="E243" s="79" t="n"/>
      <c r="F243" s="79" t="n"/>
      <c r="G243" s="79" t="n"/>
      <c r="H243" s="79" t="n"/>
      <c r="I243" s="79" t="n"/>
      <c r="J243" s="79" t="n"/>
      <c r="K243" s="79" t="n"/>
      <c r="L243" s="79" t="n"/>
      <c r="M243" s="79" t="n"/>
      <c r="N243" s="79" t="n"/>
      <c r="O243" s="79" t="n"/>
      <c r="P243" s="79" t="n"/>
      <c r="Q243" s="79" t="n"/>
      <c r="R243" s="79" t="n"/>
      <c r="S243" s="79" t="n"/>
      <c r="T243" s="79" t="n"/>
      <c r="U243" s="79" t="n"/>
      <c r="V243" s="79" t="n"/>
      <c r="W243" s="79" t="n"/>
      <c r="X243" s="79" t="n"/>
      <c r="Y243" s="79" t="n"/>
      <c r="Z243" s="79" t="n"/>
    </row>
    <row r="244">
      <c r="A244" s="79" t="n"/>
      <c r="B244" s="79" t="n"/>
      <c r="C244" s="79" t="n"/>
      <c r="D244" s="79" t="n"/>
      <c r="E244" s="79" t="n"/>
      <c r="F244" s="79" t="n"/>
      <c r="G244" s="79" t="n"/>
      <c r="H244" s="79" t="n"/>
      <c r="I244" s="79" t="n"/>
      <c r="J244" s="79" t="n"/>
      <c r="K244" s="79" t="n"/>
      <c r="L244" s="79" t="n"/>
      <c r="M244" s="79" t="n"/>
      <c r="N244" s="79" t="n"/>
      <c r="O244" s="79" t="n"/>
      <c r="P244" s="79" t="n"/>
      <c r="Q244" s="79" t="n"/>
      <c r="R244" s="79" t="n"/>
      <c r="S244" s="79" t="n"/>
      <c r="T244" s="79" t="n"/>
      <c r="U244" s="79" t="n"/>
      <c r="V244" s="79" t="n"/>
      <c r="W244" s="79" t="n"/>
      <c r="X244" s="79" t="n"/>
      <c r="Y244" s="79" t="n"/>
      <c r="Z244" s="79" t="n"/>
    </row>
    <row r="245">
      <c r="A245" s="79" t="n"/>
      <c r="B245" s="79" t="n"/>
      <c r="C245" s="79" t="n"/>
      <c r="D245" s="79" t="n"/>
      <c r="E245" s="79" t="n"/>
      <c r="F245" s="79" t="n"/>
      <c r="G245" s="79" t="n"/>
      <c r="H245" s="79" t="n"/>
      <c r="I245" s="79" t="n"/>
      <c r="J245" s="79" t="n"/>
      <c r="K245" s="79" t="n"/>
      <c r="L245" s="79" t="n"/>
      <c r="M245" s="79" t="n"/>
      <c r="N245" s="79" t="n"/>
      <c r="O245" s="79" t="n"/>
      <c r="P245" s="79" t="n"/>
      <c r="Q245" s="79" t="n"/>
      <c r="R245" s="79" t="n"/>
      <c r="S245" s="79" t="n"/>
      <c r="T245" s="79" t="n"/>
      <c r="U245" s="79" t="n"/>
      <c r="V245" s="79" t="n"/>
      <c r="W245" s="79" t="n"/>
      <c r="X245" s="79" t="n"/>
      <c r="Y245" s="79" t="n"/>
      <c r="Z245" s="79" t="n"/>
    </row>
    <row r="246">
      <c r="A246" s="79" t="n"/>
      <c r="B246" s="79" t="n"/>
      <c r="C246" s="79" t="n"/>
      <c r="D246" s="79" t="n"/>
      <c r="E246" s="79" t="n"/>
      <c r="F246" s="79" t="n"/>
      <c r="G246" s="79" t="n"/>
      <c r="H246" s="79" t="n"/>
      <c r="I246" s="79" t="n"/>
      <c r="J246" s="79" t="n"/>
      <c r="K246" s="79" t="n"/>
      <c r="L246" s="79" t="n"/>
      <c r="M246" s="79" t="n"/>
      <c r="N246" s="79" t="n"/>
      <c r="O246" s="79" t="n"/>
      <c r="P246" s="79" t="n"/>
      <c r="Q246" s="79" t="n"/>
      <c r="R246" s="79" t="n"/>
      <c r="S246" s="79" t="n"/>
      <c r="T246" s="79" t="n"/>
      <c r="U246" s="79" t="n"/>
      <c r="V246" s="79" t="n"/>
      <c r="W246" s="79" t="n"/>
      <c r="X246" s="79" t="n"/>
      <c r="Y246" s="79" t="n"/>
      <c r="Z246" s="79" t="n"/>
    </row>
    <row r="247">
      <c r="A247" s="79" t="n"/>
      <c r="B247" s="79" t="n"/>
      <c r="C247" s="79" t="n"/>
      <c r="D247" s="79" t="n"/>
      <c r="E247" s="79" t="n"/>
      <c r="F247" s="79" t="n"/>
      <c r="G247" s="79" t="n"/>
      <c r="H247" s="79" t="n"/>
      <c r="I247" s="79" t="n"/>
      <c r="J247" s="79" t="n"/>
      <c r="K247" s="79" t="n"/>
      <c r="L247" s="79" t="n"/>
      <c r="M247" s="79" t="n"/>
      <c r="N247" s="79" t="n"/>
      <c r="O247" s="79" t="n"/>
      <c r="P247" s="79" t="n"/>
      <c r="Q247" s="79" t="n"/>
      <c r="R247" s="79" t="n"/>
      <c r="S247" s="79" t="n"/>
      <c r="T247" s="79" t="n"/>
      <c r="U247" s="79" t="n"/>
      <c r="V247" s="79" t="n"/>
      <c r="W247" s="79" t="n"/>
      <c r="X247" s="79" t="n"/>
      <c r="Y247" s="79" t="n"/>
      <c r="Z247" s="79" t="n"/>
    </row>
    <row r="248">
      <c r="A248" s="79" t="n"/>
      <c r="B248" s="79" t="n"/>
      <c r="C248" s="79" t="n"/>
      <c r="D248" s="79" t="n"/>
      <c r="E248" s="79" t="n"/>
      <c r="F248" s="79" t="n"/>
      <c r="G248" s="79" t="n"/>
      <c r="H248" s="79" t="n"/>
      <c r="I248" s="79" t="n"/>
      <c r="J248" s="79" t="n"/>
      <c r="K248" s="79" t="n"/>
      <c r="L248" s="79" t="n"/>
      <c r="M248" s="79" t="n"/>
      <c r="N248" s="79" t="n"/>
      <c r="O248" s="79" t="n"/>
      <c r="P248" s="79" t="n"/>
      <c r="Q248" s="79" t="n"/>
      <c r="R248" s="79" t="n"/>
      <c r="S248" s="79" t="n"/>
      <c r="T248" s="79" t="n"/>
      <c r="U248" s="79" t="n"/>
      <c r="V248" s="79" t="n"/>
      <c r="W248" s="79" t="n"/>
      <c r="X248" s="79" t="n"/>
      <c r="Y248" s="79" t="n"/>
      <c r="Z248" s="79" t="n"/>
    </row>
    <row r="249">
      <c r="A249" s="79" t="n"/>
      <c r="B249" s="79" t="n"/>
      <c r="C249" s="79" t="n"/>
      <c r="D249" s="79" t="n"/>
      <c r="E249" s="79" t="n"/>
      <c r="F249" s="79" t="n"/>
      <c r="G249" s="79" t="n"/>
      <c r="H249" s="79" t="n"/>
      <c r="I249" s="79" t="n"/>
      <c r="J249" s="79" t="n"/>
      <c r="K249" s="79" t="n"/>
      <c r="L249" s="79" t="n"/>
      <c r="M249" s="79" t="n"/>
      <c r="N249" s="79" t="n"/>
      <c r="O249" s="79" t="n"/>
      <c r="P249" s="79" t="n"/>
      <c r="Q249" s="79" t="n"/>
      <c r="R249" s="79" t="n"/>
      <c r="S249" s="79" t="n"/>
      <c r="T249" s="79" t="n"/>
      <c r="U249" s="79" t="n"/>
      <c r="V249" s="79" t="n"/>
      <c r="W249" s="79" t="n"/>
      <c r="X249" s="79" t="n"/>
      <c r="Y249" s="79" t="n"/>
      <c r="Z249" s="79" t="n"/>
    </row>
    <row r="250">
      <c r="A250" s="79" t="n"/>
      <c r="B250" s="79" t="n"/>
      <c r="C250" s="79" t="n"/>
      <c r="D250" s="79" t="n"/>
      <c r="E250" s="79" t="n"/>
      <c r="F250" s="79" t="n"/>
      <c r="G250" s="79" t="n"/>
      <c r="H250" s="79" t="n"/>
      <c r="I250" s="79" t="n"/>
      <c r="J250" s="79" t="n"/>
      <c r="K250" s="79" t="n"/>
      <c r="L250" s="79" t="n"/>
      <c r="M250" s="79" t="n"/>
      <c r="N250" s="79" t="n"/>
      <c r="O250" s="79" t="n"/>
      <c r="P250" s="79" t="n"/>
      <c r="Q250" s="79" t="n"/>
      <c r="R250" s="79" t="n"/>
      <c r="S250" s="79" t="n"/>
      <c r="T250" s="79" t="n"/>
      <c r="U250" s="79" t="n"/>
      <c r="V250" s="79" t="n"/>
      <c r="W250" s="79" t="n"/>
      <c r="X250" s="79" t="n"/>
      <c r="Y250" s="79" t="n"/>
      <c r="Z250" s="79" t="n"/>
    </row>
    <row r="251">
      <c r="A251" s="79" t="n"/>
      <c r="B251" s="79" t="n"/>
      <c r="C251" s="79" t="n"/>
      <c r="D251" s="79" t="n"/>
      <c r="E251" s="79" t="n"/>
      <c r="F251" s="79" t="n"/>
      <c r="G251" s="79" t="n"/>
      <c r="H251" s="79" t="n"/>
      <c r="I251" s="79" t="n"/>
      <c r="J251" s="79" t="n"/>
      <c r="K251" s="79" t="n"/>
      <c r="L251" s="79" t="n"/>
      <c r="M251" s="79" t="n"/>
      <c r="N251" s="79" t="n"/>
      <c r="O251" s="79" t="n"/>
      <c r="P251" s="79" t="n"/>
      <c r="Q251" s="79" t="n"/>
      <c r="R251" s="79" t="n"/>
      <c r="S251" s="79" t="n"/>
      <c r="T251" s="79" t="n"/>
      <c r="U251" s="79" t="n"/>
      <c r="V251" s="79" t="n"/>
      <c r="W251" s="79" t="n"/>
      <c r="X251" s="79" t="n"/>
      <c r="Y251" s="79" t="n"/>
      <c r="Z251" s="79" t="n"/>
    </row>
    <row r="252">
      <c r="A252" s="79" t="n"/>
      <c r="B252" s="79" t="n"/>
      <c r="C252" s="79" t="n"/>
      <c r="D252" s="79" t="n"/>
      <c r="E252" s="79" t="n"/>
      <c r="F252" s="79" t="n"/>
      <c r="G252" s="79" t="n"/>
      <c r="H252" s="79" t="n"/>
      <c r="I252" s="79" t="n"/>
      <c r="J252" s="79" t="n"/>
      <c r="K252" s="79" t="n"/>
      <c r="L252" s="79" t="n"/>
      <c r="M252" s="79" t="n"/>
      <c r="N252" s="79" t="n"/>
      <c r="O252" s="79" t="n"/>
      <c r="P252" s="79" t="n"/>
      <c r="Q252" s="79" t="n"/>
      <c r="R252" s="79" t="n"/>
      <c r="S252" s="79" t="n"/>
      <c r="T252" s="79" t="n"/>
      <c r="U252" s="79" t="n"/>
      <c r="V252" s="79" t="n"/>
      <c r="W252" s="79" t="n"/>
      <c r="X252" s="79" t="n"/>
      <c r="Y252" s="79" t="n"/>
      <c r="Z252" s="79" t="n"/>
    </row>
    <row r="253">
      <c r="A253" s="79" t="n"/>
      <c r="B253" s="79" t="n"/>
      <c r="C253" s="79" t="n"/>
      <c r="D253" s="79" t="n"/>
      <c r="E253" s="79" t="n"/>
      <c r="F253" s="79" t="n"/>
      <c r="G253" s="79" t="n"/>
      <c r="H253" s="79" t="n"/>
      <c r="I253" s="79" t="n"/>
      <c r="J253" s="79" t="n"/>
      <c r="K253" s="79" t="n"/>
      <c r="L253" s="79" t="n"/>
      <c r="M253" s="79" t="n"/>
      <c r="N253" s="79" t="n"/>
      <c r="O253" s="79" t="n"/>
      <c r="P253" s="79" t="n"/>
      <c r="Q253" s="79" t="n"/>
      <c r="R253" s="79" t="n"/>
      <c r="S253" s="79" t="n"/>
      <c r="T253" s="79" t="n"/>
      <c r="U253" s="79" t="n"/>
      <c r="V253" s="79" t="n"/>
      <c r="W253" s="79" t="n"/>
      <c r="X253" s="79" t="n"/>
      <c r="Y253" s="79" t="n"/>
      <c r="Z253" s="79" t="n"/>
    </row>
    <row r="254">
      <c r="A254" s="79" t="n"/>
      <c r="B254" s="79" t="n"/>
      <c r="C254" s="79" t="n"/>
      <c r="D254" s="79" t="n"/>
      <c r="E254" s="79" t="n"/>
      <c r="F254" s="79" t="n"/>
      <c r="G254" s="79" t="n"/>
      <c r="H254" s="79" t="n"/>
      <c r="I254" s="79" t="n"/>
      <c r="J254" s="79" t="n"/>
      <c r="K254" s="79" t="n"/>
      <c r="L254" s="79" t="n"/>
      <c r="M254" s="79" t="n"/>
      <c r="N254" s="79" t="n"/>
      <c r="O254" s="79" t="n"/>
      <c r="P254" s="79" t="n"/>
      <c r="Q254" s="79" t="n"/>
      <c r="R254" s="79" t="n"/>
      <c r="S254" s="79" t="n"/>
      <c r="T254" s="79" t="n"/>
      <c r="U254" s="79" t="n"/>
      <c r="V254" s="79" t="n"/>
      <c r="W254" s="79" t="n"/>
      <c r="X254" s="79" t="n"/>
      <c r="Y254" s="79" t="n"/>
      <c r="Z254" s="79" t="n"/>
    </row>
    <row r="255">
      <c r="A255" s="79" t="n"/>
      <c r="B255" s="79" t="n"/>
      <c r="C255" s="79" t="n"/>
      <c r="D255" s="79" t="n"/>
      <c r="E255" s="79" t="n"/>
      <c r="F255" s="79" t="n"/>
      <c r="G255" s="79" t="n"/>
      <c r="H255" s="79" t="n"/>
      <c r="I255" s="79" t="n"/>
      <c r="J255" s="79" t="n"/>
      <c r="K255" s="79" t="n"/>
      <c r="L255" s="79" t="n"/>
      <c r="M255" s="79" t="n"/>
      <c r="N255" s="79" t="n"/>
      <c r="O255" s="79" t="n"/>
      <c r="P255" s="79" t="n"/>
      <c r="Q255" s="79" t="n"/>
      <c r="R255" s="79" t="n"/>
      <c r="S255" s="79" t="n"/>
      <c r="T255" s="79" t="n"/>
      <c r="U255" s="79" t="n"/>
      <c r="V255" s="79" t="n"/>
      <c r="W255" s="79" t="n"/>
      <c r="X255" s="79" t="n"/>
      <c r="Y255" s="79" t="n"/>
      <c r="Z255" s="79" t="n"/>
    </row>
    <row r="256">
      <c r="A256" s="79" t="n"/>
      <c r="B256" s="79" t="n"/>
      <c r="C256" s="79" t="n"/>
      <c r="D256" s="79" t="n"/>
      <c r="E256" s="79" t="n"/>
      <c r="F256" s="79" t="n"/>
      <c r="G256" s="79" t="n"/>
      <c r="H256" s="79" t="n"/>
      <c r="I256" s="79" t="n"/>
      <c r="J256" s="79" t="n"/>
      <c r="K256" s="79" t="n"/>
      <c r="L256" s="79" t="n"/>
      <c r="M256" s="79" t="n"/>
      <c r="N256" s="79" t="n"/>
      <c r="O256" s="79" t="n"/>
      <c r="P256" s="79" t="n"/>
      <c r="Q256" s="79" t="n"/>
      <c r="R256" s="79" t="n"/>
      <c r="S256" s="79" t="n"/>
      <c r="T256" s="79" t="n"/>
      <c r="U256" s="79" t="n"/>
      <c r="V256" s="79" t="n"/>
      <c r="W256" s="79" t="n"/>
      <c r="X256" s="79" t="n"/>
      <c r="Y256" s="79" t="n"/>
      <c r="Z256" s="79" t="n"/>
    </row>
    <row r="257">
      <c r="A257" s="79" t="n"/>
      <c r="B257" s="79" t="n"/>
      <c r="C257" s="79" t="n"/>
      <c r="D257" s="79" t="n"/>
      <c r="E257" s="79" t="n"/>
      <c r="F257" s="79" t="n"/>
      <c r="G257" s="79" t="n"/>
      <c r="H257" s="79" t="n"/>
      <c r="I257" s="79" t="n"/>
      <c r="J257" s="79" t="n"/>
      <c r="K257" s="79" t="n"/>
      <c r="L257" s="79" t="n"/>
      <c r="M257" s="79" t="n"/>
      <c r="N257" s="79" t="n"/>
      <c r="O257" s="79" t="n"/>
      <c r="P257" s="79" t="n"/>
      <c r="Q257" s="79" t="n"/>
      <c r="R257" s="79" t="n"/>
      <c r="S257" s="79" t="n"/>
      <c r="T257" s="79" t="n"/>
      <c r="U257" s="79" t="n"/>
      <c r="V257" s="79" t="n"/>
      <c r="W257" s="79" t="n"/>
      <c r="X257" s="79" t="n"/>
      <c r="Y257" s="79" t="n"/>
      <c r="Z257" s="79" t="n"/>
    </row>
    <row r="258">
      <c r="A258" s="79" t="n"/>
      <c r="B258" s="79" t="n"/>
      <c r="C258" s="79" t="n"/>
      <c r="D258" s="79" t="n"/>
      <c r="E258" s="79" t="n"/>
      <c r="F258" s="79" t="n"/>
      <c r="G258" s="79" t="n"/>
      <c r="H258" s="79" t="n"/>
      <c r="I258" s="79" t="n"/>
      <c r="J258" s="79" t="n"/>
      <c r="K258" s="79" t="n"/>
      <c r="L258" s="79" t="n"/>
      <c r="M258" s="79" t="n"/>
      <c r="N258" s="79" t="n"/>
      <c r="O258" s="79" t="n"/>
      <c r="P258" s="79" t="n"/>
      <c r="Q258" s="79" t="n"/>
      <c r="R258" s="79" t="n"/>
      <c r="S258" s="79" t="n"/>
      <c r="T258" s="79" t="n"/>
      <c r="U258" s="79" t="n"/>
      <c r="V258" s="79" t="n"/>
      <c r="W258" s="79" t="n"/>
      <c r="X258" s="79" t="n"/>
      <c r="Y258" s="79" t="n"/>
      <c r="Z258" s="79" t="n"/>
    </row>
    <row r="259">
      <c r="A259" s="79" t="n"/>
      <c r="B259" s="79" t="n"/>
      <c r="C259" s="79" t="n"/>
      <c r="D259" s="79" t="n"/>
      <c r="E259" s="79" t="n"/>
      <c r="F259" s="79" t="n"/>
      <c r="G259" s="79" t="n"/>
      <c r="H259" s="79" t="n"/>
      <c r="I259" s="79" t="n"/>
      <c r="J259" s="79" t="n"/>
      <c r="K259" s="79" t="n"/>
      <c r="L259" s="79" t="n"/>
      <c r="M259" s="79" t="n"/>
      <c r="N259" s="79" t="n"/>
      <c r="O259" s="79" t="n"/>
      <c r="P259" s="79" t="n"/>
      <c r="Q259" s="79" t="n"/>
      <c r="R259" s="79" t="n"/>
      <c r="S259" s="79" t="n"/>
      <c r="T259" s="79" t="n"/>
      <c r="U259" s="79" t="n"/>
      <c r="V259" s="79" t="n"/>
      <c r="W259" s="79" t="n"/>
      <c r="X259" s="79" t="n"/>
      <c r="Y259" s="79" t="n"/>
      <c r="Z259" s="79" t="n"/>
    </row>
    <row r="260">
      <c r="A260" s="79" t="n"/>
      <c r="B260" s="79" t="n"/>
      <c r="C260" s="79" t="n"/>
      <c r="D260" s="79" t="n"/>
      <c r="E260" s="79" t="n"/>
      <c r="F260" s="79" t="n"/>
      <c r="G260" s="79" t="n"/>
      <c r="H260" s="79" t="n"/>
      <c r="I260" s="79" t="n"/>
      <c r="J260" s="79" t="n"/>
      <c r="K260" s="79" t="n"/>
      <c r="L260" s="79" t="n"/>
      <c r="M260" s="79" t="n"/>
      <c r="N260" s="79" t="n"/>
      <c r="O260" s="79" t="n"/>
      <c r="P260" s="79" t="n"/>
      <c r="Q260" s="79" t="n"/>
      <c r="R260" s="79" t="n"/>
      <c r="S260" s="79" t="n"/>
      <c r="T260" s="79" t="n"/>
      <c r="U260" s="79" t="n"/>
      <c r="V260" s="79" t="n"/>
      <c r="W260" s="79" t="n"/>
      <c r="X260" s="79" t="n"/>
      <c r="Y260" s="79" t="n"/>
      <c r="Z260" s="79" t="n"/>
    </row>
    <row r="261">
      <c r="A261" s="79" t="n"/>
      <c r="B261" s="79" t="n"/>
      <c r="C261" s="79" t="n"/>
      <c r="D261" s="79" t="n"/>
      <c r="E261" s="79" t="n"/>
      <c r="F261" s="79" t="n"/>
      <c r="G261" s="79" t="n"/>
      <c r="H261" s="79" t="n"/>
      <c r="I261" s="79" t="n"/>
      <c r="J261" s="79" t="n"/>
      <c r="K261" s="79" t="n"/>
      <c r="L261" s="79" t="n"/>
      <c r="M261" s="79" t="n"/>
      <c r="N261" s="79" t="n"/>
      <c r="O261" s="79" t="n"/>
      <c r="P261" s="79" t="n"/>
      <c r="Q261" s="79" t="n"/>
      <c r="R261" s="79" t="n"/>
      <c r="S261" s="79" t="n"/>
      <c r="T261" s="79" t="n"/>
      <c r="U261" s="79" t="n"/>
      <c r="V261" s="79" t="n"/>
      <c r="W261" s="79" t="n"/>
      <c r="X261" s="79" t="n"/>
      <c r="Y261" s="79" t="n"/>
      <c r="Z261" s="79" t="n"/>
    </row>
    <row r="262">
      <c r="A262" s="79" t="n"/>
      <c r="B262" s="79" t="n"/>
      <c r="C262" s="79" t="n"/>
      <c r="D262" s="79" t="n"/>
      <c r="E262" s="79" t="n"/>
      <c r="F262" s="79" t="n"/>
      <c r="G262" s="79" t="n"/>
      <c r="H262" s="79" t="n"/>
      <c r="I262" s="79" t="n"/>
      <c r="J262" s="79" t="n"/>
      <c r="K262" s="79" t="n"/>
      <c r="L262" s="79" t="n"/>
      <c r="M262" s="79" t="n"/>
      <c r="N262" s="79" t="n"/>
      <c r="O262" s="79" t="n"/>
      <c r="P262" s="79" t="n"/>
      <c r="Q262" s="79" t="n"/>
      <c r="R262" s="79" t="n"/>
      <c r="S262" s="79" t="n"/>
      <c r="T262" s="79" t="n"/>
      <c r="U262" s="79" t="n"/>
      <c r="V262" s="79" t="n"/>
      <c r="W262" s="79" t="n"/>
      <c r="X262" s="79" t="n"/>
      <c r="Y262" s="79" t="n"/>
      <c r="Z262" s="79" t="n"/>
    </row>
    <row r="263">
      <c r="A263" s="79" t="n"/>
      <c r="B263" s="79" t="n"/>
      <c r="C263" s="79" t="n"/>
      <c r="D263" s="79" t="n"/>
      <c r="E263" s="79" t="n"/>
      <c r="F263" s="79" t="n"/>
      <c r="G263" s="79" t="n"/>
      <c r="H263" s="79" t="n"/>
      <c r="I263" s="79" t="n"/>
      <c r="J263" s="79" t="n"/>
      <c r="K263" s="79" t="n"/>
      <c r="L263" s="79" t="n"/>
      <c r="M263" s="79" t="n"/>
      <c r="N263" s="79" t="n"/>
      <c r="O263" s="79" t="n"/>
      <c r="P263" s="79" t="n"/>
      <c r="Q263" s="79" t="n"/>
      <c r="R263" s="79" t="n"/>
      <c r="S263" s="79" t="n"/>
      <c r="T263" s="79" t="n"/>
      <c r="U263" s="79" t="n"/>
      <c r="V263" s="79" t="n"/>
      <c r="W263" s="79" t="n"/>
      <c r="X263" s="79" t="n"/>
      <c r="Y263" s="79" t="n"/>
      <c r="Z263" s="79" t="n"/>
    </row>
    <row r="264">
      <c r="A264" s="79" t="n"/>
      <c r="B264" s="79" t="n"/>
      <c r="C264" s="79" t="n"/>
      <c r="D264" s="79" t="n"/>
      <c r="E264" s="79" t="n"/>
      <c r="F264" s="79" t="n"/>
      <c r="G264" s="79" t="n"/>
      <c r="H264" s="79" t="n"/>
      <c r="I264" s="79" t="n"/>
      <c r="J264" s="79" t="n"/>
      <c r="K264" s="79" t="n"/>
      <c r="L264" s="79" t="n"/>
      <c r="M264" s="79" t="n"/>
      <c r="N264" s="79" t="n"/>
      <c r="O264" s="79" t="n"/>
      <c r="P264" s="79" t="n"/>
      <c r="Q264" s="79" t="n"/>
      <c r="R264" s="79" t="n"/>
      <c r="S264" s="79" t="n"/>
      <c r="T264" s="79" t="n"/>
      <c r="U264" s="79" t="n"/>
      <c r="V264" s="79" t="n"/>
      <c r="W264" s="79" t="n"/>
      <c r="X264" s="79" t="n"/>
      <c r="Y264" s="79" t="n"/>
      <c r="Z264" s="79" t="n"/>
    </row>
    <row r="265">
      <c r="A265" s="79" t="n"/>
      <c r="B265" s="79" t="n"/>
      <c r="C265" s="79" t="n"/>
      <c r="D265" s="79" t="n"/>
      <c r="E265" s="79" t="n"/>
      <c r="F265" s="79" t="n"/>
      <c r="G265" s="79" t="n"/>
      <c r="H265" s="79" t="n"/>
      <c r="I265" s="79" t="n"/>
      <c r="J265" s="79" t="n"/>
      <c r="K265" s="79" t="n"/>
      <c r="L265" s="79" t="n"/>
      <c r="M265" s="79" t="n"/>
      <c r="N265" s="79" t="n"/>
      <c r="O265" s="79" t="n"/>
      <c r="P265" s="79" t="n"/>
      <c r="Q265" s="79" t="n"/>
      <c r="R265" s="79" t="n"/>
      <c r="S265" s="79" t="n"/>
      <c r="T265" s="79" t="n"/>
      <c r="U265" s="79" t="n"/>
      <c r="V265" s="79" t="n"/>
      <c r="W265" s="79" t="n"/>
      <c r="X265" s="79" t="n"/>
      <c r="Y265" s="79" t="n"/>
      <c r="Z265" s="79" t="n"/>
    </row>
    <row r="266">
      <c r="A266" s="79" t="n"/>
      <c r="B266" s="79" t="n"/>
      <c r="C266" s="79" t="n"/>
      <c r="D266" s="79" t="n"/>
      <c r="E266" s="79" t="n"/>
      <c r="F266" s="79" t="n"/>
      <c r="G266" s="79" t="n"/>
      <c r="H266" s="79" t="n"/>
      <c r="I266" s="79" t="n"/>
      <c r="J266" s="79" t="n"/>
      <c r="K266" s="79" t="n"/>
      <c r="L266" s="79" t="n"/>
      <c r="M266" s="79" t="n"/>
      <c r="N266" s="79" t="n"/>
      <c r="O266" s="79" t="n"/>
      <c r="P266" s="79" t="n"/>
      <c r="Q266" s="79" t="n"/>
      <c r="R266" s="79" t="n"/>
      <c r="S266" s="79" t="n"/>
      <c r="T266" s="79" t="n"/>
      <c r="U266" s="79" t="n"/>
      <c r="V266" s="79" t="n"/>
      <c r="W266" s="79" t="n"/>
      <c r="X266" s="79" t="n"/>
      <c r="Y266" s="79" t="n"/>
      <c r="Z266" s="79" t="n"/>
    </row>
    <row r="267">
      <c r="A267" s="79" t="n"/>
      <c r="B267" s="79" t="n"/>
      <c r="C267" s="79" t="n"/>
      <c r="D267" s="79" t="n"/>
      <c r="E267" s="79" t="n"/>
      <c r="F267" s="79" t="n"/>
      <c r="G267" s="79" t="n"/>
      <c r="H267" s="79" t="n"/>
      <c r="I267" s="79" t="n"/>
      <c r="J267" s="79" t="n"/>
      <c r="K267" s="79" t="n"/>
      <c r="L267" s="79" t="n"/>
      <c r="M267" s="79" t="n"/>
      <c r="N267" s="79" t="n"/>
      <c r="O267" s="79" t="n"/>
      <c r="P267" s="79" t="n"/>
      <c r="Q267" s="79" t="n"/>
      <c r="R267" s="79" t="n"/>
      <c r="S267" s="79" t="n"/>
      <c r="T267" s="79" t="n"/>
      <c r="U267" s="79" t="n"/>
      <c r="V267" s="79" t="n"/>
      <c r="W267" s="79" t="n"/>
      <c r="X267" s="79" t="n"/>
      <c r="Y267" s="79" t="n"/>
      <c r="Z267" s="79" t="n"/>
    </row>
    <row r="268">
      <c r="A268" s="79" t="n"/>
      <c r="B268" s="79" t="n"/>
      <c r="C268" s="79" t="n"/>
      <c r="D268" s="79" t="n"/>
      <c r="E268" s="79" t="n"/>
      <c r="F268" s="79" t="n"/>
      <c r="G268" s="79" t="n"/>
      <c r="H268" s="79" t="n"/>
      <c r="I268" s="79" t="n"/>
      <c r="J268" s="79" t="n"/>
      <c r="K268" s="79" t="n"/>
      <c r="L268" s="79" t="n"/>
      <c r="M268" s="79" t="n"/>
      <c r="N268" s="79" t="n"/>
      <c r="O268" s="79" t="n"/>
      <c r="P268" s="79" t="n"/>
      <c r="Q268" s="79" t="n"/>
      <c r="R268" s="79" t="n"/>
      <c r="S268" s="79" t="n"/>
      <c r="T268" s="79" t="n"/>
      <c r="U268" s="79" t="n"/>
      <c r="V268" s="79" t="n"/>
      <c r="W268" s="79" t="n"/>
      <c r="X268" s="79" t="n"/>
      <c r="Y268" s="79" t="n"/>
      <c r="Z268" s="79" t="n"/>
    </row>
    <row r="269">
      <c r="A269" s="79" t="n"/>
      <c r="B269" s="79" t="n"/>
      <c r="C269" s="79" t="n"/>
      <c r="D269" s="79" t="n"/>
      <c r="E269" s="79" t="n"/>
      <c r="F269" s="79" t="n"/>
      <c r="G269" s="79" t="n"/>
      <c r="H269" s="79" t="n"/>
      <c r="I269" s="79" t="n"/>
      <c r="J269" s="79" t="n"/>
      <c r="K269" s="79" t="n"/>
      <c r="L269" s="79" t="n"/>
      <c r="M269" s="79" t="n"/>
      <c r="N269" s="79" t="n"/>
      <c r="O269" s="79" t="n"/>
      <c r="P269" s="79" t="n"/>
      <c r="Q269" s="79" t="n"/>
      <c r="R269" s="79" t="n"/>
      <c r="S269" s="79" t="n"/>
      <c r="T269" s="79" t="n"/>
      <c r="U269" s="79" t="n"/>
      <c r="V269" s="79" t="n"/>
      <c r="W269" s="79" t="n"/>
      <c r="X269" s="79" t="n"/>
      <c r="Y269" s="79" t="n"/>
      <c r="Z269" s="79" t="n"/>
    </row>
    <row r="270">
      <c r="A270" s="79" t="n"/>
      <c r="B270" s="79" t="n"/>
      <c r="C270" s="79" t="n"/>
      <c r="D270" s="79" t="n"/>
      <c r="E270" s="79" t="n"/>
      <c r="F270" s="79" t="n"/>
      <c r="G270" s="79" t="n"/>
      <c r="H270" s="79" t="n"/>
      <c r="I270" s="79" t="n"/>
      <c r="J270" s="79" t="n"/>
      <c r="K270" s="79" t="n"/>
      <c r="L270" s="79" t="n"/>
      <c r="M270" s="79" t="n"/>
      <c r="N270" s="79" t="n"/>
      <c r="O270" s="79" t="n"/>
      <c r="P270" s="79" t="n"/>
      <c r="Q270" s="79" t="n"/>
      <c r="R270" s="79" t="n"/>
      <c r="S270" s="79" t="n"/>
      <c r="T270" s="79" t="n"/>
      <c r="U270" s="79" t="n"/>
      <c r="V270" s="79" t="n"/>
      <c r="W270" s="79" t="n"/>
      <c r="X270" s="79" t="n"/>
      <c r="Y270" s="79" t="n"/>
      <c r="Z270" s="79" t="n"/>
    </row>
    <row r="271">
      <c r="A271" s="79" t="n"/>
      <c r="B271" s="79" t="n"/>
      <c r="C271" s="79" t="n"/>
      <c r="D271" s="79" t="n"/>
      <c r="E271" s="79" t="n"/>
      <c r="F271" s="79" t="n"/>
      <c r="G271" s="79" t="n"/>
      <c r="H271" s="79" t="n"/>
      <c r="I271" s="79" t="n"/>
      <c r="J271" s="79" t="n"/>
      <c r="K271" s="79" t="n"/>
      <c r="L271" s="79" t="n"/>
      <c r="M271" s="79" t="n"/>
      <c r="N271" s="79" t="n"/>
      <c r="O271" s="79" t="n"/>
      <c r="P271" s="79" t="n"/>
      <c r="Q271" s="79" t="n"/>
      <c r="R271" s="79" t="n"/>
      <c r="S271" s="79" t="n"/>
      <c r="T271" s="79" t="n"/>
      <c r="U271" s="79" t="n"/>
      <c r="V271" s="79" t="n"/>
      <c r="W271" s="79" t="n"/>
      <c r="X271" s="79" t="n"/>
      <c r="Y271" s="79" t="n"/>
      <c r="Z271" s="79" t="n"/>
    </row>
    <row r="272">
      <c r="A272" s="79" t="n"/>
      <c r="B272" s="79" t="n"/>
      <c r="C272" s="79" t="n"/>
      <c r="D272" s="79" t="n"/>
      <c r="E272" s="79" t="n"/>
      <c r="F272" s="79" t="n"/>
      <c r="G272" s="79" t="n"/>
      <c r="H272" s="79" t="n"/>
      <c r="I272" s="79" t="n"/>
      <c r="J272" s="79" t="n"/>
      <c r="K272" s="79" t="n"/>
      <c r="L272" s="79" t="n"/>
      <c r="M272" s="79" t="n"/>
      <c r="N272" s="79" t="n"/>
      <c r="O272" s="79" t="n"/>
      <c r="P272" s="79" t="n"/>
      <c r="Q272" s="79" t="n"/>
      <c r="R272" s="79" t="n"/>
      <c r="S272" s="79" t="n"/>
      <c r="T272" s="79" t="n"/>
      <c r="U272" s="79" t="n"/>
      <c r="V272" s="79" t="n"/>
      <c r="W272" s="79" t="n"/>
      <c r="X272" s="79" t="n"/>
      <c r="Y272" s="79" t="n"/>
      <c r="Z272" s="79" t="n"/>
    </row>
    <row r="273">
      <c r="A273" s="79" t="n"/>
      <c r="B273" s="79" t="n"/>
      <c r="C273" s="79" t="n"/>
      <c r="D273" s="79" t="n"/>
      <c r="E273" s="79" t="n"/>
      <c r="F273" s="79" t="n"/>
      <c r="G273" s="79" t="n"/>
      <c r="H273" s="79" t="n"/>
      <c r="I273" s="79" t="n"/>
      <c r="J273" s="79" t="n"/>
      <c r="K273" s="79" t="n"/>
      <c r="L273" s="79" t="n"/>
      <c r="M273" s="79" t="n"/>
      <c r="N273" s="79" t="n"/>
      <c r="O273" s="79" t="n"/>
      <c r="P273" s="79" t="n"/>
      <c r="Q273" s="79" t="n"/>
      <c r="R273" s="79" t="n"/>
      <c r="S273" s="79" t="n"/>
      <c r="T273" s="79" t="n"/>
      <c r="U273" s="79" t="n"/>
      <c r="V273" s="79" t="n"/>
      <c r="W273" s="79" t="n"/>
      <c r="X273" s="79" t="n"/>
      <c r="Y273" s="79" t="n"/>
      <c r="Z273" s="79" t="n"/>
    </row>
    <row r="274">
      <c r="A274" s="79" t="n"/>
      <c r="B274" s="79" t="n"/>
      <c r="C274" s="79" t="n"/>
      <c r="D274" s="79" t="n"/>
      <c r="E274" s="79" t="n"/>
      <c r="F274" s="79" t="n"/>
      <c r="G274" s="79" t="n"/>
      <c r="H274" s="79" t="n"/>
      <c r="I274" s="79" t="n"/>
      <c r="J274" s="79" t="n"/>
      <c r="K274" s="79" t="n"/>
      <c r="L274" s="79" t="n"/>
      <c r="M274" s="79" t="n"/>
      <c r="N274" s="79" t="n"/>
      <c r="O274" s="79" t="n"/>
      <c r="P274" s="79" t="n"/>
      <c r="Q274" s="79" t="n"/>
      <c r="R274" s="79" t="n"/>
      <c r="S274" s="79" t="n"/>
      <c r="T274" s="79" t="n"/>
      <c r="U274" s="79" t="n"/>
      <c r="V274" s="79" t="n"/>
      <c r="W274" s="79" t="n"/>
      <c r="X274" s="79" t="n"/>
      <c r="Y274" s="79" t="n"/>
      <c r="Z274" s="79" t="n"/>
    </row>
    <row r="275">
      <c r="A275" s="79" t="n"/>
      <c r="B275" s="79" t="n"/>
      <c r="C275" s="79" t="n"/>
      <c r="D275" s="79" t="n"/>
      <c r="E275" s="79" t="n"/>
      <c r="F275" s="79" t="n"/>
      <c r="G275" s="79" t="n"/>
      <c r="H275" s="79" t="n"/>
      <c r="I275" s="79" t="n"/>
      <c r="J275" s="79" t="n"/>
      <c r="K275" s="79" t="n"/>
      <c r="L275" s="79" t="n"/>
      <c r="M275" s="79" t="n"/>
      <c r="N275" s="79" t="n"/>
      <c r="O275" s="79" t="n"/>
      <c r="P275" s="79" t="n"/>
      <c r="Q275" s="79" t="n"/>
      <c r="R275" s="79" t="n"/>
      <c r="S275" s="79" t="n"/>
      <c r="T275" s="79" t="n"/>
      <c r="U275" s="79" t="n"/>
      <c r="V275" s="79" t="n"/>
      <c r="W275" s="79" t="n"/>
      <c r="X275" s="79" t="n"/>
      <c r="Y275" s="79" t="n"/>
      <c r="Z275" s="79" t="n"/>
    </row>
    <row r="276">
      <c r="A276" s="79" t="n"/>
      <c r="B276" s="79" t="n"/>
      <c r="C276" s="79" t="n"/>
      <c r="D276" s="79" t="n"/>
      <c r="E276" s="79" t="n"/>
      <c r="F276" s="79" t="n"/>
      <c r="G276" s="79" t="n"/>
      <c r="H276" s="79" t="n"/>
      <c r="I276" s="79" t="n"/>
      <c r="J276" s="79" t="n"/>
      <c r="K276" s="79" t="n"/>
      <c r="L276" s="79" t="n"/>
      <c r="M276" s="79" t="n"/>
      <c r="N276" s="79" t="n"/>
      <c r="O276" s="79" t="n"/>
      <c r="P276" s="79" t="n"/>
      <c r="Q276" s="79" t="n"/>
      <c r="R276" s="79" t="n"/>
      <c r="S276" s="79" t="n"/>
      <c r="T276" s="79" t="n"/>
      <c r="U276" s="79" t="n"/>
      <c r="V276" s="79" t="n"/>
      <c r="W276" s="79" t="n"/>
      <c r="X276" s="79" t="n"/>
      <c r="Y276" s="79" t="n"/>
      <c r="Z276" s="79" t="n"/>
    </row>
    <row r="277">
      <c r="A277" s="79" t="n"/>
      <c r="B277" s="79" t="n"/>
      <c r="C277" s="79" t="n"/>
      <c r="D277" s="79" t="n"/>
      <c r="E277" s="79" t="n"/>
      <c r="F277" s="79" t="n"/>
      <c r="G277" s="79" t="n"/>
      <c r="H277" s="79" t="n"/>
      <c r="I277" s="79" t="n"/>
      <c r="J277" s="79" t="n"/>
      <c r="K277" s="79" t="n"/>
      <c r="L277" s="79" t="n"/>
      <c r="M277" s="79" t="n"/>
      <c r="N277" s="79" t="n"/>
      <c r="O277" s="79" t="n"/>
      <c r="P277" s="79" t="n"/>
      <c r="Q277" s="79" t="n"/>
      <c r="R277" s="79" t="n"/>
      <c r="S277" s="79" t="n"/>
      <c r="T277" s="79" t="n"/>
      <c r="U277" s="79" t="n"/>
      <c r="V277" s="79" t="n"/>
      <c r="W277" s="79" t="n"/>
      <c r="X277" s="79" t="n"/>
      <c r="Y277" s="79" t="n"/>
      <c r="Z277" s="79" t="n"/>
    </row>
    <row r="278">
      <c r="A278" s="79" t="n"/>
      <c r="B278" s="79" t="n"/>
      <c r="C278" s="79" t="n"/>
      <c r="D278" s="79" t="n"/>
      <c r="E278" s="79" t="n"/>
      <c r="F278" s="79" t="n"/>
      <c r="G278" s="79" t="n"/>
      <c r="H278" s="79" t="n"/>
      <c r="I278" s="79" t="n"/>
      <c r="J278" s="79" t="n"/>
      <c r="K278" s="79" t="n"/>
      <c r="L278" s="79" t="n"/>
      <c r="M278" s="79" t="n"/>
      <c r="N278" s="79" t="n"/>
      <c r="O278" s="79" t="n"/>
      <c r="P278" s="79" t="n"/>
      <c r="Q278" s="79" t="n"/>
      <c r="R278" s="79" t="n"/>
      <c r="S278" s="79" t="n"/>
      <c r="T278" s="79" t="n"/>
      <c r="U278" s="79" t="n"/>
      <c r="V278" s="79" t="n"/>
      <c r="W278" s="79" t="n"/>
      <c r="X278" s="79" t="n"/>
      <c r="Y278" s="79" t="n"/>
      <c r="Z278" s="79" t="n"/>
    </row>
    <row r="279">
      <c r="A279" s="79" t="n"/>
      <c r="B279" s="79" t="n"/>
      <c r="C279" s="79" t="n"/>
      <c r="D279" s="79" t="n"/>
      <c r="E279" s="79" t="n"/>
      <c r="F279" s="79" t="n"/>
      <c r="G279" s="79" t="n"/>
      <c r="H279" s="79" t="n"/>
      <c r="I279" s="79" t="n"/>
      <c r="J279" s="79" t="n"/>
      <c r="K279" s="79" t="n"/>
      <c r="L279" s="79" t="n"/>
      <c r="M279" s="79" t="n"/>
      <c r="N279" s="79" t="n"/>
      <c r="O279" s="79" t="n"/>
      <c r="P279" s="79" t="n"/>
      <c r="Q279" s="79" t="n"/>
      <c r="R279" s="79" t="n"/>
      <c r="S279" s="79" t="n"/>
      <c r="T279" s="79" t="n"/>
      <c r="U279" s="79" t="n"/>
      <c r="V279" s="79" t="n"/>
      <c r="W279" s="79" t="n"/>
      <c r="X279" s="79" t="n"/>
      <c r="Y279" s="79" t="n"/>
      <c r="Z279" s="79" t="n"/>
    </row>
    <row r="280">
      <c r="A280" s="79" t="n"/>
      <c r="B280" s="79" t="n"/>
      <c r="C280" s="79" t="n"/>
      <c r="D280" s="79" t="n"/>
      <c r="E280" s="79" t="n"/>
      <c r="F280" s="79" t="n"/>
      <c r="G280" s="79" t="n"/>
      <c r="H280" s="79" t="n"/>
      <c r="I280" s="79" t="n"/>
      <c r="J280" s="79" t="n"/>
      <c r="K280" s="79" t="n"/>
      <c r="L280" s="79" t="n"/>
      <c r="M280" s="79" t="n"/>
      <c r="N280" s="79" t="n"/>
      <c r="O280" s="79" t="n"/>
      <c r="P280" s="79" t="n"/>
      <c r="Q280" s="79" t="n"/>
      <c r="R280" s="79" t="n"/>
      <c r="S280" s="79" t="n"/>
      <c r="T280" s="79" t="n"/>
      <c r="U280" s="79" t="n"/>
      <c r="V280" s="79" t="n"/>
      <c r="W280" s="79" t="n"/>
      <c r="X280" s="79" t="n"/>
      <c r="Y280" s="79" t="n"/>
      <c r="Z280" s="79" t="n"/>
    </row>
    <row r="281">
      <c r="A281" s="79" t="n"/>
      <c r="B281" s="79" t="n"/>
      <c r="C281" s="79" t="n"/>
      <c r="D281" s="79" t="n"/>
      <c r="E281" s="79" t="n"/>
      <c r="F281" s="79" t="n"/>
      <c r="G281" s="79" t="n"/>
      <c r="H281" s="79" t="n"/>
      <c r="I281" s="79" t="n"/>
      <c r="J281" s="79" t="n"/>
      <c r="K281" s="79" t="n"/>
      <c r="L281" s="79" t="n"/>
      <c r="M281" s="79" t="n"/>
      <c r="N281" s="79" t="n"/>
      <c r="O281" s="79" t="n"/>
      <c r="P281" s="79" t="n"/>
      <c r="Q281" s="79" t="n"/>
      <c r="R281" s="79" t="n"/>
      <c r="S281" s="79" t="n"/>
      <c r="T281" s="79" t="n"/>
      <c r="U281" s="79" t="n"/>
      <c r="V281" s="79" t="n"/>
      <c r="W281" s="79" t="n"/>
      <c r="X281" s="79" t="n"/>
      <c r="Y281" s="79" t="n"/>
      <c r="Z281" s="79" t="n"/>
    </row>
    <row r="282">
      <c r="A282" s="79" t="n"/>
      <c r="B282" s="79" t="n"/>
      <c r="C282" s="79" t="n"/>
      <c r="D282" s="79" t="n"/>
      <c r="E282" s="79" t="n"/>
      <c r="F282" s="79" t="n"/>
      <c r="G282" s="79" t="n"/>
      <c r="H282" s="79" t="n"/>
      <c r="I282" s="79" t="n"/>
      <c r="J282" s="79" t="n"/>
      <c r="K282" s="79" t="n"/>
      <c r="L282" s="79" t="n"/>
      <c r="M282" s="79" t="n"/>
      <c r="N282" s="79" t="n"/>
      <c r="O282" s="79" t="n"/>
      <c r="P282" s="79" t="n"/>
      <c r="Q282" s="79" t="n"/>
      <c r="R282" s="79" t="n"/>
      <c r="S282" s="79" t="n"/>
      <c r="T282" s="79" t="n"/>
      <c r="U282" s="79" t="n"/>
      <c r="V282" s="79" t="n"/>
      <c r="W282" s="79" t="n"/>
      <c r="X282" s="79" t="n"/>
      <c r="Y282" s="79" t="n"/>
      <c r="Z282" s="79" t="n"/>
    </row>
    <row r="283">
      <c r="A283" s="79" t="n"/>
      <c r="B283" s="79" t="n"/>
      <c r="C283" s="79" t="n"/>
      <c r="D283" s="79" t="n"/>
      <c r="E283" s="79" t="n"/>
      <c r="F283" s="79" t="n"/>
      <c r="G283" s="79" t="n"/>
      <c r="H283" s="79" t="n"/>
      <c r="I283" s="79" t="n"/>
      <c r="J283" s="79" t="n"/>
      <c r="K283" s="79" t="n"/>
      <c r="L283" s="79" t="n"/>
      <c r="M283" s="79" t="n"/>
      <c r="N283" s="79" t="n"/>
      <c r="O283" s="79" t="n"/>
      <c r="P283" s="79" t="n"/>
      <c r="Q283" s="79" t="n"/>
      <c r="R283" s="79" t="n"/>
      <c r="S283" s="79" t="n"/>
      <c r="T283" s="79" t="n"/>
      <c r="U283" s="79" t="n"/>
      <c r="V283" s="79" t="n"/>
      <c r="W283" s="79" t="n"/>
      <c r="X283" s="79" t="n"/>
      <c r="Y283" s="79" t="n"/>
      <c r="Z283" s="79" t="n"/>
    </row>
    <row r="284">
      <c r="A284" s="79" t="n"/>
      <c r="B284" s="79" t="n"/>
      <c r="C284" s="79" t="n"/>
      <c r="D284" s="79" t="n"/>
      <c r="E284" s="79" t="n"/>
      <c r="F284" s="79" t="n"/>
      <c r="G284" s="79" t="n"/>
      <c r="H284" s="79" t="n"/>
      <c r="I284" s="79" t="n"/>
      <c r="J284" s="79" t="n"/>
      <c r="K284" s="79" t="n"/>
      <c r="L284" s="79" t="n"/>
      <c r="M284" s="79" t="n"/>
      <c r="N284" s="79" t="n"/>
      <c r="O284" s="79" t="n"/>
      <c r="P284" s="79" t="n"/>
      <c r="Q284" s="79" t="n"/>
      <c r="R284" s="79" t="n"/>
      <c r="S284" s="79" t="n"/>
      <c r="T284" s="79" t="n"/>
      <c r="U284" s="79" t="n"/>
      <c r="V284" s="79" t="n"/>
      <c r="W284" s="79" t="n"/>
      <c r="X284" s="79" t="n"/>
      <c r="Y284" s="79" t="n"/>
      <c r="Z284" s="79" t="n"/>
    </row>
    <row r="285">
      <c r="A285" s="79" t="n"/>
      <c r="B285" s="79" t="n"/>
      <c r="C285" s="79" t="n"/>
      <c r="D285" s="79" t="n"/>
      <c r="E285" s="79" t="n"/>
      <c r="F285" s="79" t="n"/>
      <c r="G285" s="79" t="n"/>
      <c r="H285" s="79" t="n"/>
      <c r="I285" s="79" t="n"/>
      <c r="J285" s="79" t="n"/>
      <c r="K285" s="79" t="n"/>
      <c r="L285" s="79" t="n"/>
      <c r="M285" s="79" t="n"/>
      <c r="N285" s="79" t="n"/>
      <c r="O285" s="79" t="n"/>
      <c r="P285" s="79" t="n"/>
      <c r="Q285" s="79" t="n"/>
      <c r="R285" s="79" t="n"/>
      <c r="S285" s="79" t="n"/>
      <c r="T285" s="79" t="n"/>
      <c r="U285" s="79" t="n"/>
      <c r="V285" s="79" t="n"/>
      <c r="W285" s="79" t="n"/>
      <c r="X285" s="79" t="n"/>
      <c r="Y285" s="79" t="n"/>
      <c r="Z285" s="79" t="n"/>
    </row>
    <row r="286">
      <c r="A286" s="79" t="n"/>
      <c r="B286" s="79" t="n"/>
      <c r="C286" s="79" t="n"/>
      <c r="D286" s="79" t="n"/>
      <c r="E286" s="79" t="n"/>
      <c r="F286" s="79" t="n"/>
      <c r="G286" s="79" t="n"/>
      <c r="H286" s="79" t="n"/>
      <c r="I286" s="79" t="n"/>
      <c r="J286" s="79" t="n"/>
      <c r="K286" s="79" t="n"/>
      <c r="L286" s="79" t="n"/>
      <c r="M286" s="79" t="n"/>
      <c r="N286" s="79" t="n"/>
      <c r="O286" s="79" t="n"/>
      <c r="P286" s="79" t="n"/>
      <c r="Q286" s="79" t="n"/>
      <c r="R286" s="79" t="n"/>
      <c r="S286" s="79" t="n"/>
      <c r="T286" s="79" t="n"/>
      <c r="U286" s="79" t="n"/>
      <c r="V286" s="79" t="n"/>
      <c r="W286" s="79" t="n"/>
      <c r="X286" s="79" t="n"/>
      <c r="Y286" s="79" t="n"/>
      <c r="Z286" s="79" t="n"/>
    </row>
    <row r="287">
      <c r="A287" s="79" t="n"/>
      <c r="B287" s="79" t="n"/>
      <c r="C287" s="79" t="n"/>
      <c r="D287" s="79" t="n"/>
      <c r="E287" s="79" t="n"/>
      <c r="F287" s="79" t="n"/>
      <c r="G287" s="79" t="n"/>
      <c r="H287" s="79" t="n"/>
      <c r="I287" s="79" t="n"/>
      <c r="J287" s="79" t="n"/>
      <c r="K287" s="79" t="n"/>
      <c r="L287" s="79" t="n"/>
      <c r="M287" s="79" t="n"/>
      <c r="N287" s="79" t="n"/>
      <c r="O287" s="79" t="n"/>
      <c r="P287" s="79" t="n"/>
      <c r="Q287" s="79" t="n"/>
      <c r="R287" s="79" t="n"/>
      <c r="S287" s="79" t="n"/>
      <c r="T287" s="79" t="n"/>
      <c r="U287" s="79" t="n"/>
      <c r="V287" s="79" t="n"/>
      <c r="W287" s="79" t="n"/>
      <c r="X287" s="79" t="n"/>
      <c r="Y287" s="79" t="n"/>
      <c r="Z287" s="79" t="n"/>
    </row>
    <row r="288">
      <c r="A288" s="79" t="n"/>
      <c r="B288" s="79" t="n"/>
      <c r="C288" s="79" t="n"/>
      <c r="D288" s="79" t="n"/>
      <c r="E288" s="79" t="n"/>
      <c r="F288" s="79" t="n"/>
      <c r="G288" s="79" t="n"/>
      <c r="H288" s="79" t="n"/>
      <c r="I288" s="79" t="n"/>
      <c r="J288" s="79" t="n"/>
      <c r="K288" s="79" t="n"/>
      <c r="L288" s="79" t="n"/>
      <c r="M288" s="79" t="n"/>
      <c r="N288" s="79" t="n"/>
      <c r="O288" s="79" t="n"/>
      <c r="P288" s="79" t="n"/>
      <c r="Q288" s="79" t="n"/>
      <c r="R288" s="79" t="n"/>
      <c r="S288" s="79" t="n"/>
      <c r="T288" s="79" t="n"/>
      <c r="U288" s="79" t="n"/>
      <c r="V288" s="79" t="n"/>
      <c r="W288" s="79" t="n"/>
      <c r="X288" s="79" t="n"/>
      <c r="Y288" s="79" t="n"/>
      <c r="Z288" s="79" t="n"/>
    </row>
    <row r="289">
      <c r="A289" s="79" t="n"/>
      <c r="B289" s="79" t="n"/>
      <c r="C289" s="79" t="n"/>
      <c r="D289" s="79" t="n"/>
      <c r="E289" s="79" t="n"/>
      <c r="F289" s="79" t="n"/>
      <c r="G289" s="79" t="n"/>
      <c r="H289" s="79" t="n"/>
      <c r="I289" s="79" t="n"/>
      <c r="J289" s="79" t="n"/>
      <c r="K289" s="79" t="n"/>
      <c r="L289" s="79" t="n"/>
      <c r="M289" s="79" t="n"/>
      <c r="N289" s="79" t="n"/>
      <c r="O289" s="79" t="n"/>
      <c r="P289" s="79" t="n"/>
      <c r="Q289" s="79" t="n"/>
      <c r="R289" s="79" t="n"/>
      <c r="S289" s="79" t="n"/>
      <c r="T289" s="79" t="n"/>
      <c r="U289" s="79" t="n"/>
      <c r="V289" s="79" t="n"/>
      <c r="W289" s="79" t="n"/>
      <c r="X289" s="79" t="n"/>
      <c r="Y289" s="79" t="n"/>
      <c r="Z289" s="79" t="n"/>
    </row>
    <row r="290">
      <c r="A290" s="79" t="n"/>
      <c r="B290" s="79" t="n"/>
      <c r="C290" s="79" t="n"/>
      <c r="D290" s="79" t="n"/>
      <c r="E290" s="79" t="n"/>
      <c r="F290" s="79" t="n"/>
      <c r="G290" s="79" t="n"/>
      <c r="H290" s="79" t="n"/>
      <c r="I290" s="79" t="n"/>
      <c r="J290" s="79" t="n"/>
      <c r="K290" s="79" t="n"/>
      <c r="L290" s="79" t="n"/>
      <c r="M290" s="79" t="n"/>
      <c r="N290" s="79" t="n"/>
      <c r="O290" s="79" t="n"/>
      <c r="P290" s="79" t="n"/>
      <c r="Q290" s="79" t="n"/>
      <c r="R290" s="79" t="n"/>
      <c r="S290" s="79" t="n"/>
      <c r="T290" s="79" t="n"/>
      <c r="U290" s="79" t="n"/>
      <c r="V290" s="79" t="n"/>
      <c r="W290" s="79" t="n"/>
      <c r="X290" s="79" t="n"/>
      <c r="Y290" s="79" t="n"/>
      <c r="Z290" s="79" t="n"/>
    </row>
    <row r="291">
      <c r="A291" s="79" t="n"/>
      <c r="B291" s="79" t="n"/>
      <c r="C291" s="79" t="n"/>
      <c r="D291" s="79" t="n"/>
      <c r="E291" s="79" t="n"/>
      <c r="F291" s="79" t="n"/>
      <c r="G291" s="79" t="n"/>
      <c r="H291" s="79" t="n"/>
      <c r="I291" s="79" t="n"/>
      <c r="J291" s="79" t="n"/>
      <c r="K291" s="79" t="n"/>
      <c r="L291" s="79" t="n"/>
      <c r="M291" s="79" t="n"/>
      <c r="N291" s="79" t="n"/>
      <c r="O291" s="79" t="n"/>
      <c r="P291" s="79" t="n"/>
      <c r="Q291" s="79" t="n"/>
      <c r="R291" s="79" t="n"/>
      <c r="S291" s="79" t="n"/>
      <c r="T291" s="79" t="n"/>
      <c r="U291" s="79" t="n"/>
      <c r="V291" s="79" t="n"/>
      <c r="W291" s="79" t="n"/>
      <c r="X291" s="79" t="n"/>
      <c r="Y291" s="79" t="n"/>
      <c r="Z291" s="79" t="n"/>
    </row>
    <row r="292">
      <c r="A292" s="79" t="n"/>
      <c r="B292" s="79" t="n"/>
      <c r="C292" s="79" t="n"/>
      <c r="D292" s="79" t="n"/>
      <c r="E292" s="79" t="n"/>
      <c r="F292" s="79" t="n"/>
      <c r="G292" s="79" t="n"/>
      <c r="H292" s="79" t="n"/>
      <c r="I292" s="79" t="n"/>
      <c r="J292" s="79" t="n"/>
      <c r="K292" s="79" t="n"/>
      <c r="L292" s="79" t="n"/>
      <c r="M292" s="79" t="n"/>
      <c r="N292" s="79" t="n"/>
      <c r="O292" s="79" t="n"/>
      <c r="P292" s="79" t="n"/>
      <c r="Q292" s="79" t="n"/>
      <c r="R292" s="79" t="n"/>
      <c r="S292" s="79" t="n"/>
      <c r="T292" s="79" t="n"/>
      <c r="U292" s="79" t="n"/>
      <c r="V292" s="79" t="n"/>
      <c r="W292" s="79" t="n"/>
      <c r="X292" s="79" t="n"/>
      <c r="Y292" s="79" t="n"/>
      <c r="Z292" s="79" t="n"/>
    </row>
    <row r="293">
      <c r="A293" s="79" t="n"/>
      <c r="B293" s="79" t="n"/>
      <c r="C293" s="79" t="n"/>
      <c r="D293" s="79" t="n"/>
      <c r="E293" s="79" t="n"/>
      <c r="F293" s="79" t="n"/>
      <c r="G293" s="79" t="n"/>
      <c r="H293" s="79" t="n"/>
      <c r="I293" s="79" t="n"/>
      <c r="J293" s="79" t="n"/>
      <c r="K293" s="79" t="n"/>
      <c r="L293" s="79" t="n"/>
      <c r="M293" s="79" t="n"/>
      <c r="N293" s="79" t="n"/>
      <c r="O293" s="79" t="n"/>
      <c r="P293" s="79" t="n"/>
      <c r="Q293" s="79" t="n"/>
      <c r="R293" s="79" t="n"/>
      <c r="S293" s="79" t="n"/>
      <c r="T293" s="79" t="n"/>
      <c r="U293" s="79" t="n"/>
      <c r="V293" s="79" t="n"/>
      <c r="W293" s="79" t="n"/>
      <c r="X293" s="79" t="n"/>
      <c r="Y293" s="79" t="n"/>
      <c r="Z293" s="79" t="n"/>
    </row>
    <row r="294">
      <c r="A294" s="79" t="n"/>
      <c r="B294" s="79" t="n"/>
      <c r="C294" s="79" t="n"/>
      <c r="D294" s="79" t="n"/>
      <c r="E294" s="79" t="n"/>
      <c r="F294" s="79" t="n"/>
      <c r="G294" s="79" t="n"/>
      <c r="H294" s="79" t="n"/>
      <c r="I294" s="79" t="n"/>
      <c r="J294" s="79" t="n"/>
      <c r="K294" s="79" t="n"/>
      <c r="L294" s="79" t="n"/>
      <c r="M294" s="79" t="n"/>
      <c r="N294" s="79" t="n"/>
      <c r="O294" s="79" t="n"/>
      <c r="P294" s="79" t="n"/>
      <c r="Q294" s="79" t="n"/>
      <c r="R294" s="79" t="n"/>
      <c r="S294" s="79" t="n"/>
      <c r="T294" s="79" t="n"/>
      <c r="U294" s="79" t="n"/>
      <c r="V294" s="79" t="n"/>
      <c r="W294" s="79" t="n"/>
      <c r="X294" s="79" t="n"/>
      <c r="Y294" s="79" t="n"/>
      <c r="Z294" s="79" t="n"/>
    </row>
    <row r="295">
      <c r="A295" s="79" t="n"/>
      <c r="B295" s="79" t="n"/>
      <c r="C295" s="79" t="n"/>
      <c r="D295" s="79" t="n"/>
      <c r="E295" s="79" t="n"/>
      <c r="F295" s="79" t="n"/>
      <c r="G295" s="79" t="n"/>
      <c r="H295" s="79" t="n"/>
      <c r="I295" s="79" t="n"/>
      <c r="J295" s="79" t="n"/>
      <c r="K295" s="79" t="n"/>
      <c r="L295" s="79" t="n"/>
      <c r="M295" s="79" t="n"/>
      <c r="N295" s="79" t="n"/>
      <c r="O295" s="79" t="n"/>
      <c r="P295" s="79" t="n"/>
      <c r="Q295" s="79" t="n"/>
      <c r="R295" s="79" t="n"/>
      <c r="S295" s="79" t="n"/>
      <c r="T295" s="79" t="n"/>
      <c r="U295" s="79" t="n"/>
      <c r="V295" s="79" t="n"/>
      <c r="W295" s="79" t="n"/>
      <c r="X295" s="79" t="n"/>
      <c r="Y295" s="79" t="n"/>
      <c r="Z295" s="79" t="n"/>
    </row>
    <row r="296">
      <c r="A296" s="79" t="n"/>
      <c r="B296" s="79" t="n"/>
      <c r="C296" s="79" t="n"/>
      <c r="D296" s="79" t="n"/>
      <c r="E296" s="79" t="n"/>
      <c r="F296" s="79" t="n"/>
      <c r="G296" s="79" t="n"/>
      <c r="H296" s="79" t="n"/>
      <c r="I296" s="79" t="n"/>
      <c r="J296" s="79" t="n"/>
      <c r="K296" s="79" t="n"/>
      <c r="L296" s="79" t="n"/>
      <c r="M296" s="79" t="n"/>
      <c r="N296" s="79" t="n"/>
      <c r="O296" s="79" t="n"/>
      <c r="P296" s="79" t="n"/>
      <c r="Q296" s="79" t="n"/>
      <c r="R296" s="79" t="n"/>
      <c r="S296" s="79" t="n"/>
      <c r="T296" s="79" t="n"/>
      <c r="U296" s="79" t="n"/>
      <c r="V296" s="79" t="n"/>
      <c r="W296" s="79" t="n"/>
      <c r="X296" s="79" t="n"/>
      <c r="Y296" s="79" t="n"/>
      <c r="Z296" s="79" t="n"/>
    </row>
    <row r="297">
      <c r="A297" s="79" t="n"/>
      <c r="B297" s="79" t="n"/>
      <c r="C297" s="79" t="n"/>
      <c r="D297" s="79" t="n"/>
      <c r="E297" s="79" t="n"/>
      <c r="F297" s="79" t="n"/>
      <c r="G297" s="79" t="n"/>
      <c r="H297" s="79" t="n"/>
      <c r="I297" s="79" t="n"/>
      <c r="J297" s="79" t="n"/>
      <c r="K297" s="79" t="n"/>
      <c r="L297" s="79" t="n"/>
      <c r="M297" s="79" t="n"/>
      <c r="N297" s="79" t="n"/>
      <c r="O297" s="79" t="n"/>
      <c r="P297" s="79" t="n"/>
      <c r="Q297" s="79" t="n"/>
      <c r="R297" s="79" t="n"/>
      <c r="S297" s="79" t="n"/>
      <c r="T297" s="79" t="n"/>
      <c r="U297" s="79" t="n"/>
      <c r="V297" s="79" t="n"/>
      <c r="W297" s="79" t="n"/>
      <c r="X297" s="79" t="n"/>
      <c r="Y297" s="79" t="n"/>
      <c r="Z297" s="79" t="n"/>
    </row>
    <row r="298">
      <c r="A298" s="79" t="n"/>
      <c r="B298" s="79" t="n"/>
      <c r="C298" s="79" t="n"/>
      <c r="D298" s="79" t="n"/>
      <c r="E298" s="79" t="n"/>
      <c r="F298" s="79" t="n"/>
      <c r="G298" s="79" t="n"/>
      <c r="H298" s="79" t="n"/>
      <c r="I298" s="79" t="n"/>
      <c r="J298" s="79" t="n"/>
      <c r="K298" s="79" t="n"/>
      <c r="L298" s="79" t="n"/>
      <c r="M298" s="79" t="n"/>
      <c r="N298" s="79" t="n"/>
      <c r="O298" s="79" t="n"/>
      <c r="P298" s="79" t="n"/>
      <c r="Q298" s="79" t="n"/>
      <c r="R298" s="79" t="n"/>
      <c r="S298" s="79" t="n"/>
      <c r="T298" s="79" t="n"/>
      <c r="U298" s="79" t="n"/>
      <c r="V298" s="79" t="n"/>
      <c r="W298" s="79" t="n"/>
      <c r="X298" s="79" t="n"/>
      <c r="Y298" s="79" t="n"/>
      <c r="Z298" s="79" t="n"/>
    </row>
    <row r="299">
      <c r="A299" s="79" t="n"/>
      <c r="B299" s="79" t="n"/>
      <c r="C299" s="79" t="n"/>
      <c r="D299" s="79" t="n"/>
      <c r="E299" s="79" t="n"/>
      <c r="F299" s="79" t="n"/>
      <c r="G299" s="79" t="n"/>
      <c r="H299" s="79" t="n"/>
      <c r="I299" s="79" t="n"/>
      <c r="J299" s="79" t="n"/>
      <c r="K299" s="79" t="n"/>
      <c r="L299" s="79" t="n"/>
      <c r="M299" s="79" t="n"/>
      <c r="N299" s="79" t="n"/>
      <c r="O299" s="79" t="n"/>
      <c r="P299" s="79" t="n"/>
      <c r="Q299" s="79" t="n"/>
      <c r="R299" s="79" t="n"/>
      <c r="S299" s="79" t="n"/>
      <c r="T299" s="79" t="n"/>
      <c r="U299" s="79" t="n"/>
      <c r="V299" s="79" t="n"/>
      <c r="W299" s="79" t="n"/>
      <c r="X299" s="79" t="n"/>
      <c r="Y299" s="79" t="n"/>
      <c r="Z299" s="79" t="n"/>
    </row>
    <row r="300">
      <c r="A300" s="79" t="n"/>
      <c r="B300" s="79" t="n"/>
      <c r="C300" s="79" t="n"/>
      <c r="D300" s="79" t="n"/>
      <c r="E300" s="79" t="n"/>
      <c r="F300" s="79" t="n"/>
      <c r="G300" s="79" t="n"/>
      <c r="H300" s="79" t="n"/>
      <c r="I300" s="79" t="n"/>
      <c r="J300" s="79" t="n"/>
      <c r="K300" s="79" t="n"/>
      <c r="L300" s="79" t="n"/>
      <c r="M300" s="79" t="n"/>
      <c r="N300" s="79" t="n"/>
      <c r="O300" s="79" t="n"/>
      <c r="P300" s="79" t="n"/>
      <c r="Q300" s="79" t="n"/>
      <c r="R300" s="79" t="n"/>
      <c r="S300" s="79" t="n"/>
      <c r="T300" s="79" t="n"/>
      <c r="U300" s="79" t="n"/>
      <c r="V300" s="79" t="n"/>
      <c r="W300" s="79" t="n"/>
      <c r="X300" s="79" t="n"/>
      <c r="Y300" s="79" t="n"/>
      <c r="Z300" s="79" t="n"/>
    </row>
    <row r="301">
      <c r="A301" s="79" t="n"/>
      <c r="B301" s="79" t="n"/>
      <c r="C301" s="79" t="n"/>
      <c r="D301" s="79" t="n"/>
      <c r="E301" s="79" t="n"/>
      <c r="F301" s="79" t="n"/>
      <c r="G301" s="79" t="n"/>
      <c r="H301" s="79" t="n"/>
      <c r="I301" s="79" t="n"/>
      <c r="J301" s="79" t="n"/>
      <c r="K301" s="79" t="n"/>
      <c r="L301" s="79" t="n"/>
      <c r="M301" s="79" t="n"/>
      <c r="N301" s="79" t="n"/>
      <c r="O301" s="79" t="n"/>
      <c r="P301" s="79" t="n"/>
      <c r="Q301" s="79" t="n"/>
      <c r="R301" s="79" t="n"/>
      <c r="S301" s="79" t="n"/>
      <c r="T301" s="79" t="n"/>
      <c r="U301" s="79" t="n"/>
      <c r="V301" s="79" t="n"/>
      <c r="W301" s="79" t="n"/>
      <c r="X301" s="79" t="n"/>
      <c r="Y301" s="79" t="n"/>
      <c r="Z301" s="79" t="n"/>
    </row>
    <row r="302">
      <c r="A302" s="79" t="n"/>
      <c r="B302" s="79" t="n"/>
      <c r="C302" s="79" t="n"/>
      <c r="D302" s="79" t="n"/>
      <c r="E302" s="79" t="n"/>
      <c r="F302" s="79" t="n"/>
      <c r="G302" s="79" t="n"/>
      <c r="H302" s="79" t="n"/>
      <c r="I302" s="79" t="n"/>
      <c r="J302" s="79" t="n"/>
      <c r="K302" s="79" t="n"/>
      <c r="L302" s="79" t="n"/>
      <c r="M302" s="79" t="n"/>
      <c r="N302" s="79" t="n"/>
      <c r="O302" s="79" t="n"/>
      <c r="P302" s="79" t="n"/>
      <c r="Q302" s="79" t="n"/>
      <c r="R302" s="79" t="n"/>
      <c r="S302" s="79" t="n"/>
      <c r="T302" s="79" t="n"/>
      <c r="U302" s="79" t="n"/>
      <c r="V302" s="79" t="n"/>
      <c r="W302" s="79" t="n"/>
      <c r="X302" s="79" t="n"/>
      <c r="Y302" s="79" t="n"/>
      <c r="Z302" s="79" t="n"/>
    </row>
    <row r="303">
      <c r="A303" s="79" t="n"/>
      <c r="B303" s="79" t="n"/>
      <c r="C303" s="79" t="n"/>
      <c r="D303" s="79" t="n"/>
      <c r="E303" s="79" t="n"/>
      <c r="F303" s="79" t="n"/>
      <c r="G303" s="79" t="n"/>
      <c r="H303" s="79" t="n"/>
      <c r="I303" s="79" t="n"/>
      <c r="J303" s="79" t="n"/>
      <c r="K303" s="79" t="n"/>
      <c r="L303" s="79" t="n"/>
      <c r="M303" s="79" t="n"/>
      <c r="N303" s="79" t="n"/>
      <c r="O303" s="79" t="n"/>
      <c r="P303" s="79" t="n"/>
      <c r="Q303" s="79" t="n"/>
      <c r="R303" s="79" t="n"/>
      <c r="S303" s="79" t="n"/>
      <c r="T303" s="79" t="n"/>
      <c r="U303" s="79" t="n"/>
      <c r="V303" s="79" t="n"/>
      <c r="W303" s="79" t="n"/>
      <c r="X303" s="79" t="n"/>
      <c r="Y303" s="79" t="n"/>
      <c r="Z303" s="79" t="n"/>
    </row>
    <row r="304">
      <c r="A304" s="79" t="n"/>
      <c r="B304" s="79" t="n"/>
      <c r="C304" s="79" t="n"/>
      <c r="D304" s="79" t="n"/>
      <c r="E304" s="79" t="n"/>
      <c r="F304" s="79" t="n"/>
      <c r="G304" s="79" t="n"/>
      <c r="H304" s="79" t="n"/>
      <c r="I304" s="79" t="n"/>
      <c r="J304" s="79" t="n"/>
      <c r="K304" s="79" t="n"/>
      <c r="L304" s="79" t="n"/>
      <c r="M304" s="79" t="n"/>
      <c r="N304" s="79" t="n"/>
      <c r="O304" s="79" t="n"/>
      <c r="P304" s="79" t="n"/>
      <c r="Q304" s="79" t="n"/>
      <c r="R304" s="79" t="n"/>
      <c r="S304" s="79" t="n"/>
      <c r="T304" s="79" t="n"/>
      <c r="U304" s="79" t="n"/>
      <c r="V304" s="79" t="n"/>
      <c r="W304" s="79" t="n"/>
      <c r="X304" s="79" t="n"/>
      <c r="Y304" s="79" t="n"/>
      <c r="Z304" s="79" t="n"/>
    </row>
    <row r="305">
      <c r="A305" s="79" t="n"/>
      <c r="B305" s="79" t="n"/>
      <c r="C305" s="79" t="n"/>
      <c r="D305" s="79" t="n"/>
      <c r="E305" s="79" t="n"/>
      <c r="F305" s="79" t="n"/>
      <c r="G305" s="79" t="n"/>
      <c r="H305" s="79" t="n"/>
      <c r="I305" s="79" t="n"/>
      <c r="J305" s="79" t="n"/>
      <c r="K305" s="79" t="n"/>
      <c r="L305" s="79" t="n"/>
      <c r="M305" s="79" t="n"/>
      <c r="N305" s="79" t="n"/>
      <c r="O305" s="79" t="n"/>
      <c r="P305" s="79" t="n"/>
      <c r="Q305" s="79" t="n"/>
      <c r="R305" s="79" t="n"/>
      <c r="S305" s="79" t="n"/>
      <c r="T305" s="79" t="n"/>
      <c r="U305" s="79" t="n"/>
      <c r="V305" s="79" t="n"/>
      <c r="W305" s="79" t="n"/>
      <c r="X305" s="79" t="n"/>
      <c r="Y305" s="79" t="n"/>
      <c r="Z305" s="79" t="n"/>
    </row>
    <row r="306">
      <c r="A306" s="79" t="n"/>
      <c r="B306" s="79" t="n"/>
      <c r="C306" s="79" t="n"/>
      <c r="D306" s="79" t="n"/>
      <c r="E306" s="79" t="n"/>
      <c r="F306" s="79" t="n"/>
      <c r="G306" s="79" t="n"/>
      <c r="H306" s="79" t="n"/>
      <c r="I306" s="79" t="n"/>
      <c r="J306" s="79" t="n"/>
      <c r="K306" s="79" t="n"/>
      <c r="L306" s="79" t="n"/>
      <c r="M306" s="79" t="n"/>
      <c r="N306" s="79" t="n"/>
      <c r="O306" s="79" t="n"/>
      <c r="P306" s="79" t="n"/>
      <c r="Q306" s="79" t="n"/>
      <c r="R306" s="79" t="n"/>
      <c r="S306" s="79" t="n"/>
      <c r="T306" s="79" t="n"/>
      <c r="U306" s="79" t="n"/>
      <c r="V306" s="79" t="n"/>
      <c r="W306" s="79" t="n"/>
      <c r="X306" s="79" t="n"/>
      <c r="Y306" s="79" t="n"/>
      <c r="Z306" s="79" t="n"/>
    </row>
    <row r="307">
      <c r="A307" s="79" t="n"/>
      <c r="B307" s="79" t="n"/>
      <c r="C307" s="79" t="n"/>
      <c r="D307" s="79" t="n"/>
      <c r="E307" s="79" t="n"/>
      <c r="F307" s="79" t="n"/>
      <c r="G307" s="79" t="n"/>
      <c r="H307" s="79" t="n"/>
      <c r="I307" s="79" t="n"/>
      <c r="J307" s="79" t="n"/>
      <c r="K307" s="79" t="n"/>
      <c r="L307" s="79" t="n"/>
      <c r="M307" s="79" t="n"/>
      <c r="N307" s="79" t="n"/>
      <c r="O307" s="79" t="n"/>
      <c r="P307" s="79" t="n"/>
      <c r="Q307" s="79" t="n"/>
      <c r="R307" s="79" t="n"/>
      <c r="S307" s="79" t="n"/>
      <c r="T307" s="79" t="n"/>
      <c r="U307" s="79" t="n"/>
      <c r="V307" s="79" t="n"/>
      <c r="W307" s="79" t="n"/>
      <c r="X307" s="79" t="n"/>
      <c r="Y307" s="79" t="n"/>
      <c r="Z307" s="79" t="n"/>
    </row>
    <row r="308">
      <c r="A308" s="79" t="n"/>
      <c r="B308" s="79" t="n"/>
      <c r="C308" s="79" t="n"/>
      <c r="D308" s="79" t="n"/>
      <c r="E308" s="79" t="n"/>
      <c r="F308" s="79" t="n"/>
      <c r="G308" s="79" t="n"/>
      <c r="H308" s="79" t="n"/>
      <c r="I308" s="79" t="n"/>
      <c r="J308" s="79" t="n"/>
      <c r="K308" s="79" t="n"/>
      <c r="L308" s="79" t="n"/>
      <c r="M308" s="79" t="n"/>
      <c r="N308" s="79" t="n"/>
      <c r="O308" s="79" t="n"/>
      <c r="P308" s="79" t="n"/>
      <c r="Q308" s="79" t="n"/>
      <c r="R308" s="79" t="n"/>
      <c r="S308" s="79" t="n"/>
      <c r="T308" s="79" t="n"/>
      <c r="U308" s="79" t="n"/>
      <c r="V308" s="79" t="n"/>
      <c r="W308" s="79" t="n"/>
      <c r="X308" s="79" t="n"/>
      <c r="Y308" s="79" t="n"/>
      <c r="Z308" s="79" t="n"/>
    </row>
    <row r="309">
      <c r="A309" s="79" t="n"/>
      <c r="B309" s="79" t="n"/>
      <c r="C309" s="79" t="n"/>
      <c r="D309" s="79" t="n"/>
      <c r="E309" s="79" t="n"/>
      <c r="F309" s="79" t="n"/>
      <c r="G309" s="79" t="n"/>
      <c r="H309" s="79" t="n"/>
      <c r="I309" s="79" t="n"/>
      <c r="J309" s="79" t="n"/>
      <c r="K309" s="79" t="n"/>
      <c r="L309" s="79" t="n"/>
      <c r="M309" s="79" t="n"/>
      <c r="N309" s="79" t="n"/>
      <c r="O309" s="79" t="n"/>
      <c r="P309" s="79" t="n"/>
      <c r="Q309" s="79" t="n"/>
      <c r="R309" s="79" t="n"/>
      <c r="S309" s="79" t="n"/>
      <c r="T309" s="79" t="n"/>
      <c r="U309" s="79" t="n"/>
      <c r="V309" s="79" t="n"/>
      <c r="W309" s="79" t="n"/>
      <c r="X309" s="79" t="n"/>
      <c r="Y309" s="79" t="n"/>
      <c r="Z309" s="79" t="n"/>
    </row>
    <row r="310">
      <c r="A310" s="79" t="n"/>
      <c r="B310" s="79" t="n"/>
      <c r="C310" s="79" t="n"/>
      <c r="D310" s="79" t="n"/>
      <c r="E310" s="79" t="n"/>
      <c r="F310" s="79" t="n"/>
      <c r="G310" s="79" t="n"/>
      <c r="H310" s="79" t="n"/>
      <c r="I310" s="79" t="n"/>
      <c r="J310" s="79" t="n"/>
      <c r="K310" s="79" t="n"/>
      <c r="L310" s="79" t="n"/>
      <c r="M310" s="79" t="n"/>
      <c r="N310" s="79" t="n"/>
      <c r="O310" s="79" t="n"/>
      <c r="P310" s="79" t="n"/>
      <c r="Q310" s="79" t="n"/>
      <c r="R310" s="79" t="n"/>
      <c r="S310" s="79" t="n"/>
      <c r="T310" s="79" t="n"/>
      <c r="U310" s="79" t="n"/>
      <c r="V310" s="79" t="n"/>
      <c r="W310" s="79" t="n"/>
      <c r="X310" s="79" t="n"/>
      <c r="Y310" s="79" t="n"/>
      <c r="Z310" s="79" t="n"/>
    </row>
    <row r="311">
      <c r="A311" s="79" t="n"/>
      <c r="B311" s="79" t="n"/>
      <c r="C311" s="79" t="n"/>
      <c r="D311" s="79" t="n"/>
      <c r="E311" s="79" t="n"/>
      <c r="F311" s="79" t="n"/>
      <c r="G311" s="79" t="n"/>
      <c r="H311" s="79" t="n"/>
      <c r="I311" s="79" t="n"/>
      <c r="J311" s="79" t="n"/>
      <c r="K311" s="79" t="n"/>
      <c r="L311" s="79" t="n"/>
      <c r="M311" s="79" t="n"/>
      <c r="N311" s="79" t="n"/>
      <c r="O311" s="79" t="n"/>
      <c r="P311" s="79" t="n"/>
      <c r="Q311" s="79" t="n"/>
      <c r="R311" s="79" t="n"/>
      <c r="S311" s="79" t="n"/>
      <c r="T311" s="79" t="n"/>
      <c r="U311" s="79" t="n"/>
      <c r="V311" s="79" t="n"/>
      <c r="W311" s="79" t="n"/>
      <c r="X311" s="79" t="n"/>
      <c r="Y311" s="79" t="n"/>
      <c r="Z311" s="79" t="n"/>
    </row>
    <row r="312">
      <c r="A312" s="79" t="n"/>
      <c r="B312" s="79" t="n"/>
      <c r="C312" s="79" t="n"/>
      <c r="D312" s="79" t="n"/>
      <c r="E312" s="79" t="n"/>
      <c r="F312" s="79" t="n"/>
      <c r="G312" s="79" t="n"/>
      <c r="H312" s="79" t="n"/>
      <c r="I312" s="79" t="n"/>
      <c r="J312" s="79" t="n"/>
      <c r="K312" s="79" t="n"/>
      <c r="L312" s="79" t="n"/>
      <c r="M312" s="79" t="n"/>
      <c r="N312" s="79" t="n"/>
      <c r="O312" s="79" t="n"/>
      <c r="P312" s="79" t="n"/>
      <c r="Q312" s="79" t="n"/>
      <c r="R312" s="79" t="n"/>
      <c r="S312" s="79" t="n"/>
      <c r="T312" s="79" t="n"/>
      <c r="U312" s="79" t="n"/>
      <c r="V312" s="79" t="n"/>
      <c r="W312" s="79" t="n"/>
      <c r="X312" s="79" t="n"/>
      <c r="Y312" s="79" t="n"/>
      <c r="Z312" s="79" t="n"/>
    </row>
    <row r="313">
      <c r="A313" s="79" t="n"/>
      <c r="B313" s="79" t="n"/>
      <c r="C313" s="79" t="n"/>
      <c r="D313" s="79" t="n"/>
      <c r="E313" s="79" t="n"/>
      <c r="F313" s="79" t="n"/>
      <c r="G313" s="79" t="n"/>
      <c r="H313" s="79" t="n"/>
      <c r="I313" s="79" t="n"/>
      <c r="J313" s="79" t="n"/>
      <c r="K313" s="79" t="n"/>
      <c r="L313" s="79" t="n"/>
      <c r="M313" s="79" t="n"/>
      <c r="N313" s="79" t="n"/>
      <c r="O313" s="79" t="n"/>
      <c r="P313" s="79" t="n"/>
      <c r="Q313" s="79" t="n"/>
      <c r="R313" s="79" t="n"/>
      <c r="S313" s="79" t="n"/>
      <c r="T313" s="79" t="n"/>
      <c r="U313" s="79" t="n"/>
      <c r="V313" s="79" t="n"/>
      <c r="W313" s="79" t="n"/>
      <c r="X313" s="79" t="n"/>
      <c r="Y313" s="79" t="n"/>
      <c r="Z313" s="79" t="n"/>
    </row>
    <row r="314">
      <c r="A314" s="79" t="n"/>
      <c r="B314" s="79" t="n"/>
      <c r="C314" s="79" t="n"/>
      <c r="D314" s="79" t="n"/>
      <c r="E314" s="79" t="n"/>
      <c r="F314" s="79" t="n"/>
      <c r="G314" s="79" t="n"/>
      <c r="H314" s="79" t="n"/>
      <c r="I314" s="79" t="n"/>
      <c r="J314" s="79" t="n"/>
      <c r="K314" s="79" t="n"/>
      <c r="L314" s="79" t="n"/>
      <c r="M314" s="79" t="n"/>
      <c r="N314" s="79" t="n"/>
      <c r="O314" s="79" t="n"/>
      <c r="P314" s="79" t="n"/>
      <c r="Q314" s="79" t="n"/>
      <c r="R314" s="79" t="n"/>
      <c r="S314" s="79" t="n"/>
      <c r="T314" s="79" t="n"/>
      <c r="U314" s="79" t="n"/>
      <c r="V314" s="79" t="n"/>
      <c r="W314" s="79" t="n"/>
      <c r="X314" s="79" t="n"/>
      <c r="Y314" s="79" t="n"/>
      <c r="Z314" s="79" t="n"/>
    </row>
    <row r="315">
      <c r="A315" s="79" t="n"/>
      <c r="B315" s="79" t="n"/>
      <c r="C315" s="79" t="n"/>
      <c r="D315" s="79" t="n"/>
      <c r="E315" s="79" t="n"/>
      <c r="F315" s="79" t="n"/>
      <c r="G315" s="79" t="n"/>
      <c r="H315" s="79" t="n"/>
      <c r="I315" s="79" t="n"/>
      <c r="J315" s="79" t="n"/>
      <c r="K315" s="79" t="n"/>
      <c r="L315" s="79" t="n"/>
      <c r="M315" s="79" t="n"/>
      <c r="N315" s="79" t="n"/>
      <c r="O315" s="79" t="n"/>
      <c r="P315" s="79" t="n"/>
      <c r="Q315" s="79" t="n"/>
      <c r="R315" s="79" t="n"/>
      <c r="S315" s="79" t="n"/>
      <c r="T315" s="79" t="n"/>
      <c r="U315" s="79" t="n"/>
      <c r="V315" s="79" t="n"/>
      <c r="W315" s="79" t="n"/>
      <c r="X315" s="79" t="n"/>
      <c r="Y315" s="79" t="n"/>
      <c r="Z315" s="79" t="n"/>
    </row>
    <row r="316">
      <c r="A316" s="79" t="n"/>
      <c r="B316" s="79" t="n"/>
      <c r="C316" s="79" t="n"/>
      <c r="D316" s="79" t="n"/>
      <c r="E316" s="79" t="n"/>
      <c r="F316" s="79" t="n"/>
      <c r="G316" s="79" t="n"/>
      <c r="H316" s="79" t="n"/>
      <c r="I316" s="79" t="n"/>
      <c r="J316" s="79" t="n"/>
      <c r="K316" s="79" t="n"/>
      <c r="L316" s="79" t="n"/>
      <c r="M316" s="79" t="n"/>
      <c r="N316" s="79" t="n"/>
      <c r="O316" s="79" t="n"/>
      <c r="P316" s="79" t="n"/>
      <c r="Q316" s="79" t="n"/>
      <c r="R316" s="79" t="n"/>
      <c r="S316" s="79" t="n"/>
      <c r="T316" s="79" t="n"/>
      <c r="U316" s="79" t="n"/>
      <c r="V316" s="79" t="n"/>
      <c r="W316" s="79" t="n"/>
      <c r="X316" s="79" t="n"/>
      <c r="Y316" s="79" t="n"/>
      <c r="Z316" s="79" t="n"/>
    </row>
    <row r="317">
      <c r="A317" s="79" t="n"/>
      <c r="B317" s="79" t="n"/>
      <c r="C317" s="79" t="n"/>
      <c r="D317" s="79" t="n"/>
      <c r="E317" s="79" t="n"/>
      <c r="F317" s="79" t="n"/>
      <c r="G317" s="79" t="n"/>
      <c r="H317" s="79" t="n"/>
      <c r="I317" s="79" t="n"/>
      <c r="J317" s="79" t="n"/>
      <c r="K317" s="79" t="n"/>
      <c r="L317" s="79" t="n"/>
      <c r="M317" s="79" t="n"/>
      <c r="N317" s="79" t="n"/>
      <c r="O317" s="79" t="n"/>
      <c r="P317" s="79" t="n"/>
      <c r="Q317" s="79" t="n"/>
      <c r="R317" s="79" t="n"/>
      <c r="S317" s="79" t="n"/>
      <c r="T317" s="79" t="n"/>
      <c r="U317" s="79" t="n"/>
      <c r="V317" s="79" t="n"/>
      <c r="W317" s="79" t="n"/>
      <c r="X317" s="79" t="n"/>
      <c r="Y317" s="79" t="n"/>
      <c r="Z317" s="79" t="n"/>
    </row>
    <row r="318">
      <c r="A318" s="79" t="n"/>
      <c r="B318" s="79" t="n"/>
      <c r="C318" s="79" t="n"/>
      <c r="D318" s="79" t="n"/>
      <c r="E318" s="79" t="n"/>
      <c r="F318" s="79" t="n"/>
      <c r="G318" s="79" t="n"/>
      <c r="H318" s="79" t="n"/>
      <c r="I318" s="79" t="n"/>
      <c r="J318" s="79" t="n"/>
      <c r="K318" s="79" t="n"/>
      <c r="L318" s="79" t="n"/>
      <c r="M318" s="79" t="n"/>
      <c r="N318" s="79" t="n"/>
      <c r="O318" s="79" t="n"/>
      <c r="P318" s="79" t="n"/>
      <c r="Q318" s="79" t="n"/>
      <c r="R318" s="79" t="n"/>
      <c r="S318" s="79" t="n"/>
      <c r="T318" s="79" t="n"/>
      <c r="U318" s="79" t="n"/>
      <c r="V318" s="79" t="n"/>
      <c r="W318" s="79" t="n"/>
      <c r="X318" s="79" t="n"/>
      <c r="Y318" s="79" t="n"/>
      <c r="Z318" s="79" t="n"/>
    </row>
    <row r="319">
      <c r="A319" s="79" t="n"/>
      <c r="B319" s="79" t="n"/>
      <c r="C319" s="79" t="n"/>
      <c r="D319" s="79" t="n"/>
      <c r="E319" s="79" t="n"/>
      <c r="F319" s="79" t="n"/>
      <c r="G319" s="79" t="n"/>
      <c r="H319" s="79" t="n"/>
      <c r="I319" s="79" t="n"/>
      <c r="J319" s="79" t="n"/>
      <c r="K319" s="79" t="n"/>
      <c r="L319" s="79" t="n"/>
      <c r="M319" s="79" t="n"/>
      <c r="N319" s="79" t="n"/>
      <c r="O319" s="79" t="n"/>
      <c r="P319" s="79" t="n"/>
      <c r="Q319" s="79" t="n"/>
      <c r="R319" s="79" t="n"/>
      <c r="S319" s="79" t="n"/>
      <c r="T319" s="79" t="n"/>
      <c r="U319" s="79" t="n"/>
      <c r="V319" s="79" t="n"/>
      <c r="W319" s="79" t="n"/>
      <c r="X319" s="79" t="n"/>
      <c r="Y319" s="79" t="n"/>
      <c r="Z319" s="79" t="n"/>
    </row>
    <row r="320">
      <c r="A320" s="79" t="n"/>
      <c r="B320" s="79" t="n"/>
      <c r="C320" s="79" t="n"/>
      <c r="D320" s="79" t="n"/>
      <c r="E320" s="79" t="n"/>
      <c r="F320" s="79" t="n"/>
      <c r="G320" s="79" t="n"/>
      <c r="H320" s="79" t="n"/>
      <c r="I320" s="79" t="n"/>
      <c r="J320" s="79" t="n"/>
      <c r="K320" s="79" t="n"/>
      <c r="L320" s="79" t="n"/>
      <c r="M320" s="79" t="n"/>
      <c r="N320" s="79" t="n"/>
      <c r="O320" s="79" t="n"/>
      <c r="P320" s="79" t="n"/>
      <c r="Q320" s="79" t="n"/>
      <c r="R320" s="79" t="n"/>
      <c r="S320" s="79" t="n"/>
      <c r="T320" s="79" t="n"/>
      <c r="U320" s="79" t="n"/>
      <c r="V320" s="79" t="n"/>
      <c r="W320" s="79" t="n"/>
      <c r="X320" s="79" t="n"/>
      <c r="Y320" s="79" t="n"/>
      <c r="Z320" s="79" t="n"/>
    </row>
    <row r="321">
      <c r="A321" s="79" t="n"/>
      <c r="B321" s="79" t="n"/>
      <c r="C321" s="79" t="n"/>
      <c r="D321" s="79" t="n"/>
      <c r="E321" s="79" t="n"/>
      <c r="F321" s="79" t="n"/>
      <c r="G321" s="79" t="n"/>
      <c r="H321" s="79" t="n"/>
      <c r="I321" s="79" t="n"/>
      <c r="J321" s="79" t="n"/>
      <c r="K321" s="79" t="n"/>
      <c r="L321" s="79" t="n"/>
      <c r="M321" s="79" t="n"/>
      <c r="N321" s="79" t="n"/>
      <c r="O321" s="79" t="n"/>
      <c r="P321" s="79" t="n"/>
      <c r="Q321" s="79" t="n"/>
      <c r="R321" s="79" t="n"/>
      <c r="S321" s="79" t="n"/>
      <c r="T321" s="79" t="n"/>
      <c r="U321" s="79" t="n"/>
      <c r="V321" s="79" t="n"/>
      <c r="W321" s="79" t="n"/>
      <c r="X321" s="79" t="n"/>
      <c r="Y321" s="79" t="n"/>
      <c r="Z321" s="79" t="n"/>
    </row>
    <row r="322">
      <c r="A322" s="79" t="n"/>
      <c r="B322" s="79" t="n"/>
      <c r="C322" s="79" t="n"/>
      <c r="D322" s="79" t="n"/>
      <c r="E322" s="79" t="n"/>
      <c r="F322" s="79" t="n"/>
      <c r="G322" s="79" t="n"/>
      <c r="H322" s="79" t="n"/>
      <c r="I322" s="79" t="n"/>
      <c r="J322" s="79" t="n"/>
      <c r="K322" s="79" t="n"/>
      <c r="L322" s="79" t="n"/>
      <c r="M322" s="79" t="n"/>
      <c r="N322" s="79" t="n"/>
      <c r="O322" s="79" t="n"/>
      <c r="P322" s="79" t="n"/>
      <c r="Q322" s="79" t="n"/>
      <c r="R322" s="79" t="n"/>
      <c r="S322" s="79" t="n"/>
      <c r="T322" s="79" t="n"/>
      <c r="U322" s="79" t="n"/>
      <c r="V322" s="79" t="n"/>
      <c r="W322" s="79" t="n"/>
      <c r="X322" s="79" t="n"/>
      <c r="Y322" s="79" t="n"/>
      <c r="Z322" s="79" t="n"/>
    </row>
    <row r="323">
      <c r="A323" s="79" t="n"/>
      <c r="B323" s="79" t="n"/>
      <c r="C323" s="79" t="n"/>
      <c r="D323" s="79" t="n"/>
      <c r="E323" s="79" t="n"/>
      <c r="F323" s="79" t="n"/>
      <c r="G323" s="79" t="n"/>
      <c r="H323" s="79" t="n"/>
      <c r="I323" s="79" t="n"/>
      <c r="J323" s="79" t="n"/>
      <c r="K323" s="79" t="n"/>
      <c r="L323" s="79" t="n"/>
      <c r="M323" s="79" t="n"/>
      <c r="N323" s="79" t="n"/>
      <c r="O323" s="79" t="n"/>
      <c r="P323" s="79" t="n"/>
      <c r="Q323" s="79" t="n"/>
      <c r="R323" s="79" t="n"/>
      <c r="S323" s="79" t="n"/>
      <c r="T323" s="79" t="n"/>
      <c r="U323" s="79" t="n"/>
      <c r="V323" s="79" t="n"/>
      <c r="W323" s="79" t="n"/>
      <c r="X323" s="79" t="n"/>
      <c r="Y323" s="79" t="n"/>
      <c r="Z323" s="79" t="n"/>
    </row>
    <row r="324">
      <c r="A324" s="79" t="n"/>
      <c r="B324" s="79" t="n"/>
      <c r="C324" s="79" t="n"/>
      <c r="D324" s="79" t="n"/>
      <c r="E324" s="79" t="n"/>
      <c r="F324" s="79" t="n"/>
      <c r="G324" s="79" t="n"/>
      <c r="H324" s="79" t="n"/>
      <c r="I324" s="79" t="n"/>
      <c r="J324" s="79" t="n"/>
      <c r="K324" s="79" t="n"/>
      <c r="L324" s="79" t="n"/>
      <c r="M324" s="79" t="n"/>
      <c r="N324" s="79" t="n"/>
      <c r="O324" s="79" t="n"/>
      <c r="P324" s="79" t="n"/>
      <c r="Q324" s="79" t="n"/>
      <c r="R324" s="79" t="n"/>
      <c r="S324" s="79" t="n"/>
      <c r="T324" s="79" t="n"/>
      <c r="U324" s="79" t="n"/>
      <c r="V324" s="79" t="n"/>
      <c r="W324" s="79" t="n"/>
      <c r="X324" s="79" t="n"/>
      <c r="Y324" s="79" t="n"/>
      <c r="Z324" s="79" t="n"/>
    </row>
    <row r="325">
      <c r="A325" s="79" t="n"/>
      <c r="B325" s="79" t="n"/>
      <c r="C325" s="79" t="n"/>
      <c r="D325" s="79" t="n"/>
      <c r="E325" s="79" t="n"/>
      <c r="F325" s="79" t="n"/>
      <c r="G325" s="79" t="n"/>
      <c r="H325" s="79" t="n"/>
      <c r="I325" s="79" t="n"/>
      <c r="J325" s="79" t="n"/>
      <c r="K325" s="79" t="n"/>
      <c r="L325" s="79" t="n"/>
      <c r="M325" s="79" t="n"/>
      <c r="N325" s="79" t="n"/>
      <c r="O325" s="79" t="n"/>
      <c r="P325" s="79" t="n"/>
      <c r="Q325" s="79" t="n"/>
      <c r="R325" s="79" t="n"/>
      <c r="S325" s="79" t="n"/>
      <c r="T325" s="79" t="n"/>
      <c r="U325" s="79" t="n"/>
      <c r="V325" s="79" t="n"/>
      <c r="W325" s="79" t="n"/>
      <c r="X325" s="79" t="n"/>
      <c r="Y325" s="79" t="n"/>
      <c r="Z325" s="79" t="n"/>
    </row>
    <row r="326">
      <c r="A326" s="79" t="n"/>
      <c r="B326" s="79" t="n"/>
      <c r="C326" s="79" t="n"/>
      <c r="D326" s="79" t="n"/>
      <c r="E326" s="79" t="n"/>
      <c r="F326" s="79" t="n"/>
      <c r="G326" s="79" t="n"/>
      <c r="H326" s="79" t="n"/>
      <c r="I326" s="79" t="n"/>
      <c r="J326" s="79" t="n"/>
      <c r="K326" s="79" t="n"/>
      <c r="L326" s="79" t="n"/>
      <c r="M326" s="79" t="n"/>
      <c r="N326" s="79" t="n"/>
      <c r="O326" s="79" t="n"/>
      <c r="P326" s="79" t="n"/>
      <c r="Q326" s="79" t="n"/>
      <c r="R326" s="79" t="n"/>
      <c r="S326" s="79" t="n"/>
      <c r="T326" s="79" t="n"/>
      <c r="U326" s="79" t="n"/>
      <c r="V326" s="79" t="n"/>
      <c r="W326" s="79" t="n"/>
      <c r="X326" s="79" t="n"/>
      <c r="Y326" s="79" t="n"/>
      <c r="Z326" s="79" t="n"/>
    </row>
    <row r="327">
      <c r="A327" s="79" t="n"/>
      <c r="B327" s="79" t="n"/>
      <c r="C327" s="79" t="n"/>
      <c r="D327" s="79" t="n"/>
      <c r="E327" s="79" t="n"/>
      <c r="F327" s="79" t="n"/>
      <c r="G327" s="79" t="n"/>
      <c r="H327" s="79" t="n"/>
      <c r="I327" s="79" t="n"/>
      <c r="J327" s="79" t="n"/>
      <c r="K327" s="79" t="n"/>
      <c r="L327" s="79" t="n"/>
      <c r="M327" s="79" t="n"/>
      <c r="N327" s="79" t="n"/>
      <c r="O327" s="79" t="n"/>
      <c r="P327" s="79" t="n"/>
      <c r="Q327" s="79" t="n"/>
      <c r="R327" s="79" t="n"/>
      <c r="S327" s="79" t="n"/>
      <c r="T327" s="79" t="n"/>
      <c r="U327" s="79" t="n"/>
      <c r="V327" s="79" t="n"/>
      <c r="W327" s="79" t="n"/>
      <c r="X327" s="79" t="n"/>
      <c r="Y327" s="79" t="n"/>
      <c r="Z327" s="79" t="n"/>
    </row>
    <row r="328">
      <c r="A328" s="79" t="n"/>
      <c r="B328" s="79" t="n"/>
      <c r="C328" s="79" t="n"/>
      <c r="D328" s="79" t="n"/>
      <c r="E328" s="79" t="n"/>
      <c r="F328" s="79" t="n"/>
      <c r="G328" s="79" t="n"/>
      <c r="H328" s="79" t="n"/>
      <c r="I328" s="79" t="n"/>
      <c r="J328" s="79" t="n"/>
      <c r="K328" s="79" t="n"/>
      <c r="L328" s="79" t="n"/>
      <c r="M328" s="79" t="n"/>
      <c r="N328" s="79" t="n"/>
      <c r="O328" s="79" t="n"/>
      <c r="P328" s="79" t="n"/>
      <c r="Q328" s="79" t="n"/>
      <c r="R328" s="79" t="n"/>
      <c r="S328" s="79" t="n"/>
      <c r="T328" s="79" t="n"/>
      <c r="U328" s="79" t="n"/>
      <c r="V328" s="79" t="n"/>
      <c r="W328" s="79" t="n"/>
      <c r="X328" s="79" t="n"/>
      <c r="Y328" s="79" t="n"/>
      <c r="Z328" s="79" t="n"/>
    </row>
    <row r="329">
      <c r="A329" s="79" t="n"/>
      <c r="B329" s="79" t="n"/>
      <c r="C329" s="79" t="n"/>
      <c r="D329" s="79" t="n"/>
      <c r="E329" s="79" t="n"/>
      <c r="F329" s="79" t="n"/>
      <c r="G329" s="79" t="n"/>
      <c r="H329" s="79" t="n"/>
      <c r="I329" s="79" t="n"/>
      <c r="J329" s="79" t="n"/>
      <c r="K329" s="79" t="n"/>
      <c r="L329" s="79" t="n"/>
      <c r="M329" s="79" t="n"/>
      <c r="N329" s="79" t="n"/>
      <c r="O329" s="79" t="n"/>
      <c r="P329" s="79" t="n"/>
      <c r="Q329" s="79" t="n"/>
      <c r="R329" s="79" t="n"/>
      <c r="S329" s="79" t="n"/>
      <c r="T329" s="79" t="n"/>
      <c r="U329" s="79" t="n"/>
      <c r="V329" s="79" t="n"/>
      <c r="W329" s="79" t="n"/>
      <c r="X329" s="79" t="n"/>
      <c r="Y329" s="79" t="n"/>
      <c r="Z329" s="79" t="n"/>
    </row>
    <row r="330">
      <c r="A330" s="79" t="n"/>
      <c r="B330" s="79" t="n"/>
      <c r="C330" s="79" t="n"/>
      <c r="D330" s="79" t="n"/>
      <c r="E330" s="79" t="n"/>
      <c r="F330" s="79" t="n"/>
      <c r="G330" s="79" t="n"/>
      <c r="H330" s="79" t="n"/>
      <c r="I330" s="79" t="n"/>
      <c r="J330" s="79" t="n"/>
      <c r="K330" s="79" t="n"/>
      <c r="L330" s="79" t="n"/>
      <c r="M330" s="79" t="n"/>
      <c r="N330" s="79" t="n"/>
      <c r="O330" s="79" t="n"/>
      <c r="P330" s="79" t="n"/>
      <c r="Q330" s="79" t="n"/>
      <c r="R330" s="79" t="n"/>
      <c r="S330" s="79" t="n"/>
      <c r="T330" s="79" t="n"/>
      <c r="U330" s="79" t="n"/>
      <c r="V330" s="79" t="n"/>
      <c r="W330" s="79" t="n"/>
      <c r="X330" s="79" t="n"/>
      <c r="Y330" s="79" t="n"/>
      <c r="Z330" s="79" t="n"/>
    </row>
    <row r="331">
      <c r="A331" s="79" t="n"/>
      <c r="B331" s="79" t="n"/>
      <c r="C331" s="79" t="n"/>
      <c r="D331" s="79" t="n"/>
      <c r="E331" s="79" t="n"/>
      <c r="F331" s="79" t="n"/>
      <c r="G331" s="79" t="n"/>
      <c r="H331" s="79" t="n"/>
      <c r="I331" s="79" t="n"/>
      <c r="J331" s="79" t="n"/>
      <c r="K331" s="79" t="n"/>
      <c r="L331" s="79" t="n"/>
      <c r="M331" s="79" t="n"/>
      <c r="N331" s="79" t="n"/>
      <c r="O331" s="79" t="n"/>
      <c r="P331" s="79" t="n"/>
      <c r="Q331" s="79" t="n"/>
      <c r="R331" s="79" t="n"/>
      <c r="S331" s="79" t="n"/>
      <c r="T331" s="79" t="n"/>
      <c r="U331" s="79" t="n"/>
      <c r="V331" s="79" t="n"/>
      <c r="W331" s="79" t="n"/>
      <c r="X331" s="79" t="n"/>
      <c r="Y331" s="79" t="n"/>
      <c r="Z331" s="79" t="n"/>
    </row>
    <row r="332">
      <c r="A332" s="79" t="n"/>
      <c r="B332" s="79" t="n"/>
      <c r="C332" s="79" t="n"/>
      <c r="D332" s="79" t="n"/>
      <c r="E332" s="79" t="n"/>
      <c r="F332" s="79" t="n"/>
      <c r="G332" s="79" t="n"/>
      <c r="H332" s="79" t="n"/>
      <c r="I332" s="79" t="n"/>
      <c r="J332" s="79" t="n"/>
      <c r="K332" s="79" t="n"/>
      <c r="L332" s="79" t="n"/>
      <c r="M332" s="79" t="n"/>
      <c r="N332" s="79" t="n"/>
      <c r="O332" s="79" t="n"/>
      <c r="P332" s="79" t="n"/>
      <c r="Q332" s="79" t="n"/>
      <c r="R332" s="79" t="n"/>
      <c r="S332" s="79" t="n"/>
      <c r="T332" s="79" t="n"/>
      <c r="U332" s="79" t="n"/>
      <c r="V332" s="79" t="n"/>
      <c r="W332" s="79" t="n"/>
      <c r="X332" s="79" t="n"/>
      <c r="Y332" s="79" t="n"/>
      <c r="Z332" s="79" t="n"/>
    </row>
    <row r="333">
      <c r="A333" s="79" t="n"/>
      <c r="B333" s="79" t="n"/>
      <c r="C333" s="79" t="n"/>
      <c r="D333" s="79" t="n"/>
      <c r="E333" s="79" t="n"/>
      <c r="F333" s="79" t="n"/>
      <c r="G333" s="79" t="n"/>
      <c r="H333" s="79" t="n"/>
      <c r="I333" s="79" t="n"/>
      <c r="J333" s="79" t="n"/>
      <c r="K333" s="79" t="n"/>
      <c r="L333" s="79" t="n"/>
      <c r="M333" s="79" t="n"/>
      <c r="N333" s="79" t="n"/>
      <c r="O333" s="79" t="n"/>
      <c r="P333" s="79" t="n"/>
      <c r="Q333" s="79" t="n"/>
      <c r="R333" s="79" t="n"/>
      <c r="S333" s="79" t="n"/>
      <c r="T333" s="79" t="n"/>
      <c r="U333" s="79" t="n"/>
      <c r="V333" s="79" t="n"/>
      <c r="W333" s="79" t="n"/>
      <c r="X333" s="79" t="n"/>
      <c r="Y333" s="79" t="n"/>
      <c r="Z333" s="79" t="n"/>
    </row>
    <row r="334">
      <c r="A334" s="79" t="n"/>
      <c r="B334" s="79" t="n"/>
      <c r="C334" s="79" t="n"/>
      <c r="D334" s="79" t="n"/>
      <c r="E334" s="79" t="n"/>
      <c r="F334" s="79" t="n"/>
      <c r="G334" s="79" t="n"/>
      <c r="H334" s="79" t="n"/>
      <c r="I334" s="79" t="n"/>
      <c r="J334" s="79" t="n"/>
      <c r="K334" s="79" t="n"/>
      <c r="L334" s="79" t="n"/>
      <c r="M334" s="79" t="n"/>
      <c r="N334" s="79" t="n"/>
      <c r="O334" s="79" t="n"/>
      <c r="P334" s="79" t="n"/>
      <c r="Q334" s="79" t="n"/>
      <c r="R334" s="79" t="n"/>
      <c r="S334" s="79" t="n"/>
      <c r="T334" s="79" t="n"/>
      <c r="U334" s="79" t="n"/>
      <c r="V334" s="79" t="n"/>
      <c r="W334" s="79" t="n"/>
      <c r="X334" s="79" t="n"/>
      <c r="Y334" s="79" t="n"/>
      <c r="Z334" s="79" t="n"/>
    </row>
    <row r="335">
      <c r="A335" s="79" t="n"/>
      <c r="B335" s="79" t="n"/>
      <c r="C335" s="79" t="n"/>
      <c r="D335" s="79" t="n"/>
      <c r="E335" s="79" t="n"/>
      <c r="F335" s="79" t="n"/>
      <c r="G335" s="79" t="n"/>
      <c r="H335" s="79" t="n"/>
      <c r="I335" s="79" t="n"/>
      <c r="J335" s="79" t="n"/>
      <c r="K335" s="79" t="n"/>
      <c r="L335" s="79" t="n"/>
      <c r="M335" s="79" t="n"/>
      <c r="N335" s="79" t="n"/>
      <c r="O335" s="79" t="n"/>
      <c r="P335" s="79" t="n"/>
      <c r="Q335" s="79" t="n"/>
      <c r="R335" s="79" t="n"/>
      <c r="S335" s="79" t="n"/>
      <c r="T335" s="79" t="n"/>
      <c r="U335" s="79" t="n"/>
      <c r="V335" s="79" t="n"/>
      <c r="W335" s="79" t="n"/>
      <c r="X335" s="79" t="n"/>
      <c r="Y335" s="79" t="n"/>
      <c r="Z335" s="79" t="n"/>
    </row>
    <row r="336">
      <c r="A336" s="79" t="n"/>
      <c r="B336" s="79" t="n"/>
      <c r="C336" s="79" t="n"/>
      <c r="D336" s="79" t="n"/>
      <c r="E336" s="79" t="n"/>
      <c r="F336" s="79" t="n"/>
      <c r="G336" s="79" t="n"/>
      <c r="H336" s="79" t="n"/>
      <c r="I336" s="79" t="n"/>
      <c r="J336" s="79" t="n"/>
      <c r="K336" s="79" t="n"/>
      <c r="L336" s="79" t="n"/>
      <c r="M336" s="79" t="n"/>
      <c r="N336" s="79" t="n"/>
      <c r="O336" s="79" t="n"/>
      <c r="P336" s="79" t="n"/>
      <c r="Q336" s="79" t="n"/>
      <c r="R336" s="79" t="n"/>
      <c r="S336" s="79" t="n"/>
      <c r="T336" s="79" t="n"/>
      <c r="U336" s="79" t="n"/>
      <c r="V336" s="79" t="n"/>
      <c r="W336" s="79" t="n"/>
      <c r="X336" s="79" t="n"/>
      <c r="Y336" s="79" t="n"/>
      <c r="Z336" s="79" t="n"/>
    </row>
    <row r="337">
      <c r="A337" s="79" t="n"/>
      <c r="B337" s="79" t="n"/>
      <c r="C337" s="79" t="n"/>
      <c r="D337" s="79" t="n"/>
      <c r="E337" s="79" t="n"/>
      <c r="F337" s="79" t="n"/>
      <c r="G337" s="79" t="n"/>
      <c r="H337" s="79" t="n"/>
      <c r="I337" s="79" t="n"/>
      <c r="J337" s="79" t="n"/>
      <c r="K337" s="79" t="n"/>
      <c r="L337" s="79" t="n"/>
      <c r="M337" s="79" t="n"/>
      <c r="N337" s="79" t="n"/>
      <c r="O337" s="79" t="n"/>
      <c r="P337" s="79" t="n"/>
      <c r="Q337" s="79" t="n"/>
      <c r="R337" s="79" t="n"/>
      <c r="S337" s="79" t="n"/>
      <c r="T337" s="79" t="n"/>
      <c r="U337" s="79" t="n"/>
      <c r="V337" s="79" t="n"/>
      <c r="W337" s="79" t="n"/>
      <c r="X337" s="79" t="n"/>
      <c r="Y337" s="79" t="n"/>
      <c r="Z337" s="79" t="n"/>
    </row>
    <row r="338">
      <c r="A338" s="79" t="n"/>
      <c r="B338" s="79" t="n"/>
      <c r="C338" s="79" t="n"/>
      <c r="D338" s="79" t="n"/>
      <c r="E338" s="79" t="n"/>
      <c r="F338" s="79" t="n"/>
      <c r="G338" s="79" t="n"/>
      <c r="H338" s="79" t="n"/>
      <c r="I338" s="79" t="n"/>
      <c r="J338" s="79" t="n"/>
      <c r="K338" s="79" t="n"/>
      <c r="L338" s="79" t="n"/>
      <c r="M338" s="79" t="n"/>
      <c r="N338" s="79" t="n"/>
      <c r="O338" s="79" t="n"/>
      <c r="P338" s="79" t="n"/>
      <c r="Q338" s="79" t="n"/>
      <c r="R338" s="79" t="n"/>
      <c r="S338" s="79" t="n"/>
      <c r="T338" s="79" t="n"/>
      <c r="U338" s="79" t="n"/>
      <c r="V338" s="79" t="n"/>
      <c r="W338" s="79" t="n"/>
      <c r="X338" s="79" t="n"/>
      <c r="Y338" s="79" t="n"/>
      <c r="Z338" s="79" t="n"/>
    </row>
    <row r="339">
      <c r="A339" s="79" t="n"/>
      <c r="B339" s="79" t="n"/>
      <c r="C339" s="79" t="n"/>
      <c r="D339" s="79" t="n"/>
      <c r="E339" s="79" t="n"/>
      <c r="F339" s="79" t="n"/>
      <c r="G339" s="79" t="n"/>
      <c r="H339" s="79" t="n"/>
      <c r="I339" s="79" t="n"/>
      <c r="J339" s="79" t="n"/>
      <c r="K339" s="79" t="n"/>
      <c r="L339" s="79" t="n"/>
      <c r="M339" s="79" t="n"/>
      <c r="N339" s="79" t="n"/>
      <c r="O339" s="79" t="n"/>
      <c r="P339" s="79" t="n"/>
      <c r="Q339" s="79" t="n"/>
      <c r="R339" s="79" t="n"/>
      <c r="S339" s="79" t="n"/>
      <c r="T339" s="79" t="n"/>
      <c r="U339" s="79" t="n"/>
      <c r="V339" s="79" t="n"/>
      <c r="W339" s="79" t="n"/>
      <c r="X339" s="79" t="n"/>
      <c r="Y339" s="79" t="n"/>
      <c r="Z339" s="79" t="n"/>
    </row>
    <row r="340">
      <c r="A340" s="79" t="n"/>
      <c r="B340" s="79" t="n"/>
      <c r="C340" s="79" t="n"/>
      <c r="D340" s="79" t="n"/>
      <c r="E340" s="79" t="n"/>
      <c r="F340" s="79" t="n"/>
      <c r="G340" s="79" t="n"/>
      <c r="H340" s="79" t="n"/>
      <c r="I340" s="79" t="n"/>
      <c r="J340" s="79" t="n"/>
      <c r="K340" s="79" t="n"/>
      <c r="L340" s="79" t="n"/>
      <c r="M340" s="79" t="n"/>
      <c r="N340" s="79" t="n"/>
      <c r="O340" s="79" t="n"/>
      <c r="P340" s="79" t="n"/>
      <c r="Q340" s="79" t="n"/>
      <c r="R340" s="79" t="n"/>
      <c r="S340" s="79" t="n"/>
      <c r="T340" s="79" t="n"/>
      <c r="U340" s="79" t="n"/>
      <c r="V340" s="79" t="n"/>
      <c r="W340" s="79" t="n"/>
      <c r="X340" s="79" t="n"/>
      <c r="Y340" s="79" t="n"/>
      <c r="Z340" s="79" t="n"/>
    </row>
    <row r="341">
      <c r="A341" s="79" t="n"/>
      <c r="B341" s="79" t="n"/>
      <c r="C341" s="79" t="n"/>
      <c r="D341" s="79" t="n"/>
      <c r="E341" s="79" t="n"/>
      <c r="F341" s="79" t="n"/>
      <c r="G341" s="79" t="n"/>
      <c r="H341" s="79" t="n"/>
      <c r="I341" s="79" t="n"/>
      <c r="J341" s="79" t="n"/>
      <c r="K341" s="79" t="n"/>
      <c r="L341" s="79" t="n"/>
      <c r="M341" s="79" t="n"/>
      <c r="N341" s="79" t="n"/>
      <c r="O341" s="79" t="n"/>
      <c r="P341" s="79" t="n"/>
      <c r="Q341" s="79" t="n"/>
      <c r="R341" s="79" t="n"/>
      <c r="S341" s="79" t="n"/>
      <c r="T341" s="79" t="n"/>
      <c r="U341" s="79" t="n"/>
      <c r="V341" s="79" t="n"/>
      <c r="W341" s="79" t="n"/>
      <c r="X341" s="79" t="n"/>
      <c r="Y341" s="79" t="n"/>
      <c r="Z341" s="79" t="n"/>
    </row>
    <row r="342">
      <c r="A342" s="79" t="n"/>
      <c r="B342" s="79" t="n"/>
      <c r="C342" s="79" t="n"/>
      <c r="D342" s="79" t="n"/>
      <c r="E342" s="79" t="n"/>
      <c r="F342" s="79" t="n"/>
      <c r="G342" s="79" t="n"/>
      <c r="H342" s="79" t="n"/>
      <c r="I342" s="79" t="n"/>
      <c r="J342" s="79" t="n"/>
      <c r="K342" s="79" t="n"/>
      <c r="L342" s="79" t="n"/>
      <c r="M342" s="79" t="n"/>
      <c r="N342" s="79" t="n"/>
      <c r="O342" s="79" t="n"/>
      <c r="P342" s="79" t="n"/>
      <c r="Q342" s="79" t="n"/>
      <c r="R342" s="79" t="n"/>
      <c r="S342" s="79" t="n"/>
      <c r="T342" s="79" t="n"/>
      <c r="U342" s="79" t="n"/>
      <c r="V342" s="79" t="n"/>
      <c r="W342" s="79" t="n"/>
      <c r="X342" s="79" t="n"/>
      <c r="Y342" s="79" t="n"/>
      <c r="Z342" s="79" t="n"/>
    </row>
    <row r="343">
      <c r="A343" s="79" t="n"/>
      <c r="B343" s="79" t="n"/>
      <c r="C343" s="79" t="n"/>
      <c r="D343" s="79" t="n"/>
      <c r="E343" s="79" t="n"/>
      <c r="F343" s="79" t="n"/>
      <c r="G343" s="79" t="n"/>
      <c r="H343" s="79" t="n"/>
      <c r="I343" s="79" t="n"/>
      <c r="J343" s="79" t="n"/>
      <c r="K343" s="79" t="n"/>
      <c r="L343" s="79" t="n"/>
      <c r="M343" s="79" t="n"/>
      <c r="N343" s="79" t="n"/>
      <c r="O343" s="79" t="n"/>
      <c r="P343" s="79" t="n"/>
      <c r="Q343" s="79" t="n"/>
      <c r="R343" s="79" t="n"/>
      <c r="S343" s="79" t="n"/>
      <c r="T343" s="79" t="n"/>
      <c r="U343" s="79" t="n"/>
      <c r="V343" s="79" t="n"/>
      <c r="W343" s="79" t="n"/>
      <c r="X343" s="79" t="n"/>
      <c r="Y343" s="79" t="n"/>
      <c r="Z343" s="79" t="n"/>
    </row>
    <row r="344">
      <c r="A344" s="79" t="n"/>
      <c r="B344" s="79" t="n"/>
      <c r="C344" s="79" t="n"/>
      <c r="D344" s="79" t="n"/>
      <c r="E344" s="79" t="n"/>
      <c r="F344" s="79" t="n"/>
      <c r="G344" s="79" t="n"/>
      <c r="H344" s="79" t="n"/>
      <c r="I344" s="79" t="n"/>
      <c r="J344" s="79" t="n"/>
      <c r="K344" s="79" t="n"/>
      <c r="L344" s="79" t="n"/>
      <c r="M344" s="79" t="n"/>
      <c r="N344" s="79" t="n"/>
      <c r="O344" s="79" t="n"/>
      <c r="P344" s="79" t="n"/>
      <c r="Q344" s="79" t="n"/>
      <c r="R344" s="79" t="n"/>
      <c r="S344" s="79" t="n"/>
      <c r="T344" s="79" t="n"/>
      <c r="U344" s="79" t="n"/>
      <c r="V344" s="79" t="n"/>
      <c r="W344" s="79" t="n"/>
      <c r="X344" s="79" t="n"/>
      <c r="Y344" s="79" t="n"/>
      <c r="Z344" s="79" t="n"/>
    </row>
    <row r="345">
      <c r="A345" s="79" t="n"/>
      <c r="B345" s="79" t="n"/>
      <c r="C345" s="79" t="n"/>
      <c r="D345" s="79" t="n"/>
      <c r="E345" s="79" t="n"/>
      <c r="F345" s="79" t="n"/>
      <c r="G345" s="79" t="n"/>
      <c r="H345" s="79" t="n"/>
      <c r="I345" s="79" t="n"/>
      <c r="J345" s="79" t="n"/>
      <c r="K345" s="79" t="n"/>
      <c r="L345" s="79" t="n"/>
      <c r="M345" s="79" t="n"/>
      <c r="N345" s="79" t="n"/>
      <c r="O345" s="79" t="n"/>
      <c r="P345" s="79" t="n"/>
      <c r="Q345" s="79" t="n"/>
      <c r="R345" s="79" t="n"/>
      <c r="S345" s="79" t="n"/>
      <c r="T345" s="79" t="n"/>
      <c r="U345" s="79" t="n"/>
      <c r="V345" s="79" t="n"/>
      <c r="W345" s="79" t="n"/>
      <c r="X345" s="79" t="n"/>
      <c r="Y345" s="79" t="n"/>
      <c r="Z345" s="79" t="n"/>
    </row>
    <row r="346">
      <c r="A346" s="79" t="n"/>
      <c r="B346" s="79" t="n"/>
      <c r="C346" s="79" t="n"/>
      <c r="D346" s="79" t="n"/>
      <c r="E346" s="79" t="n"/>
      <c r="F346" s="79" t="n"/>
      <c r="G346" s="79" t="n"/>
      <c r="H346" s="79" t="n"/>
      <c r="I346" s="79" t="n"/>
      <c r="J346" s="79" t="n"/>
      <c r="K346" s="79" t="n"/>
      <c r="L346" s="79" t="n"/>
      <c r="M346" s="79" t="n"/>
      <c r="N346" s="79" t="n"/>
      <c r="O346" s="79" t="n"/>
      <c r="P346" s="79" t="n"/>
      <c r="Q346" s="79" t="n"/>
      <c r="R346" s="79" t="n"/>
      <c r="S346" s="79" t="n"/>
      <c r="T346" s="79" t="n"/>
      <c r="U346" s="79" t="n"/>
      <c r="V346" s="79" t="n"/>
      <c r="W346" s="79" t="n"/>
      <c r="X346" s="79" t="n"/>
      <c r="Y346" s="79" t="n"/>
      <c r="Z346" s="79" t="n"/>
    </row>
    <row r="347">
      <c r="A347" s="79" t="n"/>
      <c r="B347" s="79" t="n"/>
      <c r="C347" s="79" t="n"/>
      <c r="D347" s="79" t="n"/>
      <c r="E347" s="79" t="n"/>
      <c r="F347" s="79" t="n"/>
      <c r="G347" s="79" t="n"/>
      <c r="H347" s="79" t="n"/>
      <c r="I347" s="79" t="n"/>
      <c r="J347" s="79" t="n"/>
      <c r="K347" s="79" t="n"/>
      <c r="L347" s="79" t="n"/>
      <c r="M347" s="79" t="n"/>
      <c r="N347" s="79" t="n"/>
      <c r="O347" s="79" t="n"/>
      <c r="P347" s="79" t="n"/>
      <c r="Q347" s="79" t="n"/>
      <c r="R347" s="79" t="n"/>
      <c r="S347" s="79" t="n"/>
      <c r="T347" s="79" t="n"/>
      <c r="U347" s="79" t="n"/>
      <c r="V347" s="79" t="n"/>
      <c r="W347" s="79" t="n"/>
      <c r="X347" s="79" t="n"/>
      <c r="Y347" s="79" t="n"/>
      <c r="Z347" s="79" t="n"/>
    </row>
    <row r="348">
      <c r="A348" s="79" t="n"/>
      <c r="B348" s="79" t="n"/>
      <c r="C348" s="79" t="n"/>
      <c r="D348" s="79" t="n"/>
      <c r="E348" s="79" t="n"/>
      <c r="F348" s="79" t="n"/>
      <c r="G348" s="79" t="n"/>
      <c r="H348" s="79" t="n"/>
      <c r="I348" s="79" t="n"/>
      <c r="J348" s="79" t="n"/>
      <c r="K348" s="79" t="n"/>
      <c r="L348" s="79" t="n"/>
      <c r="M348" s="79" t="n"/>
      <c r="N348" s="79" t="n"/>
      <c r="O348" s="79" t="n"/>
      <c r="P348" s="79" t="n"/>
      <c r="Q348" s="79" t="n"/>
      <c r="R348" s="79" t="n"/>
      <c r="S348" s="79" t="n"/>
      <c r="T348" s="79" t="n"/>
      <c r="U348" s="79" t="n"/>
      <c r="V348" s="79" t="n"/>
      <c r="W348" s="79" t="n"/>
      <c r="X348" s="79" t="n"/>
      <c r="Y348" s="79" t="n"/>
      <c r="Z348" s="79" t="n"/>
    </row>
    <row r="349">
      <c r="A349" s="79" t="n"/>
      <c r="B349" s="79" t="n"/>
      <c r="C349" s="79" t="n"/>
      <c r="D349" s="79" t="n"/>
      <c r="E349" s="79" t="n"/>
      <c r="F349" s="79" t="n"/>
      <c r="G349" s="79" t="n"/>
      <c r="H349" s="79" t="n"/>
      <c r="I349" s="79" t="n"/>
      <c r="J349" s="79" t="n"/>
      <c r="K349" s="79" t="n"/>
      <c r="L349" s="79" t="n"/>
      <c r="M349" s="79" t="n"/>
      <c r="N349" s="79" t="n"/>
      <c r="O349" s="79" t="n"/>
      <c r="P349" s="79" t="n"/>
      <c r="Q349" s="79" t="n"/>
      <c r="R349" s="79" t="n"/>
      <c r="S349" s="79" t="n"/>
      <c r="T349" s="79" t="n"/>
      <c r="U349" s="79" t="n"/>
      <c r="V349" s="79" t="n"/>
      <c r="W349" s="79" t="n"/>
      <c r="X349" s="79" t="n"/>
      <c r="Y349" s="79" t="n"/>
      <c r="Z349" s="79" t="n"/>
    </row>
    <row r="350">
      <c r="A350" s="79" t="n"/>
      <c r="B350" s="79" t="n"/>
      <c r="C350" s="79" t="n"/>
      <c r="D350" s="79" t="n"/>
      <c r="E350" s="79" t="n"/>
      <c r="F350" s="79" t="n"/>
      <c r="G350" s="79" t="n"/>
      <c r="H350" s="79" t="n"/>
      <c r="I350" s="79" t="n"/>
      <c r="J350" s="79" t="n"/>
      <c r="K350" s="79" t="n"/>
      <c r="L350" s="79" t="n"/>
      <c r="M350" s="79" t="n"/>
      <c r="N350" s="79" t="n"/>
      <c r="O350" s="79" t="n"/>
      <c r="P350" s="79" t="n"/>
      <c r="Q350" s="79" t="n"/>
      <c r="R350" s="79" t="n"/>
      <c r="S350" s="79" t="n"/>
      <c r="T350" s="79" t="n"/>
      <c r="U350" s="79" t="n"/>
      <c r="V350" s="79" t="n"/>
      <c r="W350" s="79" t="n"/>
      <c r="X350" s="79" t="n"/>
      <c r="Y350" s="79" t="n"/>
      <c r="Z350" s="79" t="n"/>
    </row>
    <row r="351">
      <c r="A351" s="79" t="n"/>
      <c r="B351" s="79" t="n"/>
      <c r="C351" s="79" t="n"/>
      <c r="D351" s="79" t="n"/>
      <c r="E351" s="79" t="n"/>
      <c r="F351" s="79" t="n"/>
      <c r="G351" s="79" t="n"/>
      <c r="H351" s="79" t="n"/>
      <c r="I351" s="79" t="n"/>
      <c r="J351" s="79" t="n"/>
      <c r="K351" s="79" t="n"/>
      <c r="L351" s="79" t="n"/>
      <c r="M351" s="79" t="n"/>
      <c r="N351" s="79" t="n"/>
      <c r="O351" s="79" t="n"/>
      <c r="P351" s="79" t="n"/>
      <c r="Q351" s="79" t="n"/>
      <c r="R351" s="79" t="n"/>
      <c r="S351" s="79" t="n"/>
      <c r="T351" s="79" t="n"/>
      <c r="U351" s="79" t="n"/>
      <c r="V351" s="79" t="n"/>
      <c r="W351" s="79" t="n"/>
      <c r="X351" s="79" t="n"/>
      <c r="Y351" s="79" t="n"/>
      <c r="Z351" s="79" t="n"/>
    </row>
    <row r="352">
      <c r="A352" s="79" t="n"/>
      <c r="B352" s="79" t="n"/>
      <c r="C352" s="79" t="n"/>
      <c r="D352" s="79" t="n"/>
      <c r="E352" s="79" t="n"/>
      <c r="F352" s="79" t="n"/>
      <c r="G352" s="79" t="n"/>
      <c r="H352" s="79" t="n"/>
      <c r="I352" s="79" t="n"/>
      <c r="J352" s="79" t="n"/>
      <c r="K352" s="79" t="n"/>
      <c r="L352" s="79" t="n"/>
      <c r="M352" s="79" t="n"/>
      <c r="N352" s="79" t="n"/>
      <c r="O352" s="79" t="n"/>
      <c r="P352" s="79" t="n"/>
      <c r="Q352" s="79" t="n"/>
      <c r="R352" s="79" t="n"/>
      <c r="S352" s="79" t="n"/>
      <c r="T352" s="79" t="n"/>
      <c r="U352" s="79" t="n"/>
      <c r="V352" s="79" t="n"/>
      <c r="W352" s="79" t="n"/>
      <c r="X352" s="79" t="n"/>
      <c r="Y352" s="79" t="n"/>
      <c r="Z352" s="79" t="n"/>
    </row>
    <row r="353">
      <c r="A353" s="79" t="n"/>
      <c r="B353" s="79" t="n"/>
      <c r="C353" s="79" t="n"/>
      <c r="D353" s="79" t="n"/>
      <c r="E353" s="79" t="n"/>
      <c r="F353" s="79" t="n"/>
      <c r="G353" s="79" t="n"/>
      <c r="H353" s="79" t="n"/>
      <c r="I353" s="79" t="n"/>
      <c r="J353" s="79" t="n"/>
      <c r="K353" s="79" t="n"/>
      <c r="L353" s="79" t="n"/>
      <c r="M353" s="79" t="n"/>
      <c r="N353" s="79" t="n"/>
      <c r="O353" s="79" t="n"/>
      <c r="P353" s="79" t="n"/>
      <c r="Q353" s="79" t="n"/>
      <c r="R353" s="79" t="n"/>
      <c r="S353" s="79" t="n"/>
      <c r="T353" s="79" t="n"/>
      <c r="U353" s="79" t="n"/>
      <c r="V353" s="79" t="n"/>
      <c r="W353" s="79" t="n"/>
      <c r="X353" s="79" t="n"/>
      <c r="Y353" s="79" t="n"/>
      <c r="Z353" s="79" t="n"/>
    </row>
    <row r="354">
      <c r="A354" s="79" t="n"/>
      <c r="B354" s="79" t="n"/>
      <c r="C354" s="79" t="n"/>
      <c r="D354" s="79" t="n"/>
      <c r="E354" s="79" t="n"/>
      <c r="F354" s="79" t="n"/>
      <c r="G354" s="79" t="n"/>
      <c r="H354" s="79" t="n"/>
      <c r="I354" s="79" t="n"/>
      <c r="J354" s="79" t="n"/>
      <c r="K354" s="79" t="n"/>
      <c r="L354" s="79" t="n"/>
      <c r="M354" s="79" t="n"/>
      <c r="N354" s="79" t="n"/>
      <c r="O354" s="79" t="n"/>
      <c r="P354" s="79" t="n"/>
      <c r="Q354" s="79" t="n"/>
      <c r="R354" s="79" t="n"/>
      <c r="S354" s="79" t="n"/>
      <c r="T354" s="79" t="n"/>
      <c r="U354" s="79" t="n"/>
      <c r="V354" s="79" t="n"/>
      <c r="W354" s="79" t="n"/>
      <c r="X354" s="79" t="n"/>
      <c r="Y354" s="79" t="n"/>
      <c r="Z354" s="79" t="n"/>
    </row>
    <row r="355">
      <c r="A355" s="79" t="n"/>
      <c r="B355" s="79" t="n"/>
      <c r="C355" s="79" t="n"/>
      <c r="D355" s="79" t="n"/>
      <c r="E355" s="79" t="n"/>
      <c r="F355" s="79" t="n"/>
      <c r="G355" s="79" t="n"/>
      <c r="H355" s="79" t="n"/>
      <c r="I355" s="79" t="n"/>
      <c r="J355" s="79" t="n"/>
      <c r="K355" s="79" t="n"/>
      <c r="L355" s="79" t="n"/>
      <c r="M355" s="79" t="n"/>
      <c r="N355" s="79" t="n"/>
      <c r="O355" s="79" t="n"/>
      <c r="P355" s="79" t="n"/>
      <c r="Q355" s="79" t="n"/>
      <c r="R355" s="79" t="n"/>
      <c r="S355" s="79" t="n"/>
      <c r="T355" s="79" t="n"/>
      <c r="U355" s="79" t="n"/>
      <c r="V355" s="79" t="n"/>
      <c r="W355" s="79" t="n"/>
      <c r="X355" s="79" t="n"/>
      <c r="Y355" s="79" t="n"/>
      <c r="Z355" s="79" t="n"/>
    </row>
    <row r="356">
      <c r="A356" s="79" t="n"/>
      <c r="B356" s="79" t="n"/>
      <c r="C356" s="79" t="n"/>
      <c r="D356" s="79" t="n"/>
      <c r="E356" s="79" t="n"/>
      <c r="F356" s="79" t="n"/>
      <c r="G356" s="79" t="n"/>
      <c r="H356" s="79" t="n"/>
      <c r="I356" s="79" t="n"/>
      <c r="J356" s="79" t="n"/>
      <c r="K356" s="79" t="n"/>
      <c r="L356" s="79" t="n"/>
      <c r="M356" s="79" t="n"/>
      <c r="N356" s="79" t="n"/>
      <c r="O356" s="79" t="n"/>
      <c r="P356" s="79" t="n"/>
      <c r="Q356" s="79" t="n"/>
      <c r="R356" s="79" t="n"/>
      <c r="S356" s="79" t="n"/>
      <c r="T356" s="79" t="n"/>
      <c r="U356" s="79" t="n"/>
      <c r="V356" s="79" t="n"/>
      <c r="W356" s="79" t="n"/>
      <c r="X356" s="79" t="n"/>
      <c r="Y356" s="79" t="n"/>
      <c r="Z356" s="79" t="n"/>
    </row>
    <row r="357">
      <c r="A357" s="79" t="n"/>
      <c r="B357" s="79" t="n"/>
      <c r="C357" s="79" t="n"/>
      <c r="D357" s="79" t="n"/>
      <c r="E357" s="79" t="n"/>
      <c r="F357" s="79" t="n"/>
      <c r="G357" s="79" t="n"/>
      <c r="H357" s="79" t="n"/>
      <c r="I357" s="79" t="n"/>
      <c r="J357" s="79" t="n"/>
      <c r="K357" s="79" t="n"/>
      <c r="L357" s="79" t="n"/>
      <c r="M357" s="79" t="n"/>
      <c r="N357" s="79" t="n"/>
      <c r="O357" s="79" t="n"/>
      <c r="P357" s="79" t="n"/>
      <c r="Q357" s="79" t="n"/>
      <c r="R357" s="79" t="n"/>
      <c r="S357" s="79" t="n"/>
      <c r="T357" s="79" t="n"/>
      <c r="U357" s="79" t="n"/>
      <c r="V357" s="79" t="n"/>
      <c r="W357" s="79" t="n"/>
      <c r="X357" s="79" t="n"/>
      <c r="Y357" s="79" t="n"/>
      <c r="Z357" s="79" t="n"/>
    </row>
    <row r="358">
      <c r="A358" s="79" t="n"/>
      <c r="B358" s="79" t="n"/>
      <c r="C358" s="79" t="n"/>
      <c r="D358" s="79" t="n"/>
      <c r="E358" s="79" t="n"/>
      <c r="F358" s="79" t="n"/>
      <c r="G358" s="79" t="n"/>
      <c r="H358" s="79" t="n"/>
      <c r="I358" s="79" t="n"/>
      <c r="J358" s="79" t="n"/>
      <c r="K358" s="79" t="n"/>
      <c r="L358" s="79" t="n"/>
      <c r="M358" s="79" t="n"/>
      <c r="N358" s="79" t="n"/>
      <c r="O358" s="79" t="n"/>
      <c r="P358" s="79" t="n"/>
      <c r="Q358" s="79" t="n"/>
      <c r="R358" s="79" t="n"/>
      <c r="S358" s="79" t="n"/>
      <c r="T358" s="79" t="n"/>
      <c r="U358" s="79" t="n"/>
      <c r="V358" s="79" t="n"/>
      <c r="W358" s="79" t="n"/>
      <c r="X358" s="79" t="n"/>
      <c r="Y358" s="79" t="n"/>
      <c r="Z358" s="79" t="n"/>
    </row>
    <row r="359">
      <c r="A359" s="79" t="n"/>
      <c r="B359" s="79" t="n"/>
      <c r="C359" s="79" t="n"/>
      <c r="D359" s="79" t="n"/>
      <c r="E359" s="79" t="n"/>
      <c r="F359" s="79" t="n"/>
      <c r="G359" s="79" t="n"/>
      <c r="H359" s="79" t="n"/>
      <c r="I359" s="79" t="n"/>
      <c r="J359" s="79" t="n"/>
      <c r="K359" s="79" t="n"/>
      <c r="L359" s="79" t="n"/>
      <c r="M359" s="79" t="n"/>
      <c r="N359" s="79" t="n"/>
      <c r="O359" s="79" t="n"/>
      <c r="P359" s="79" t="n"/>
      <c r="Q359" s="79" t="n"/>
      <c r="R359" s="79" t="n"/>
      <c r="S359" s="79" t="n"/>
      <c r="T359" s="79" t="n"/>
      <c r="U359" s="79" t="n"/>
      <c r="V359" s="79" t="n"/>
      <c r="W359" s="79" t="n"/>
      <c r="X359" s="79" t="n"/>
      <c r="Y359" s="79" t="n"/>
      <c r="Z359" s="79" t="n"/>
    </row>
    <row r="360">
      <c r="A360" s="79" t="n"/>
      <c r="B360" s="79" t="n"/>
      <c r="C360" s="79" t="n"/>
      <c r="D360" s="79" t="n"/>
      <c r="E360" s="79" t="n"/>
      <c r="F360" s="79" t="n"/>
      <c r="G360" s="79" t="n"/>
      <c r="H360" s="79" t="n"/>
      <c r="I360" s="79" t="n"/>
      <c r="J360" s="79" t="n"/>
      <c r="K360" s="79" t="n"/>
      <c r="L360" s="79" t="n"/>
      <c r="M360" s="79" t="n"/>
      <c r="N360" s="79" t="n"/>
      <c r="O360" s="79" t="n"/>
      <c r="P360" s="79" t="n"/>
      <c r="Q360" s="79" t="n"/>
      <c r="R360" s="79" t="n"/>
      <c r="S360" s="79" t="n"/>
      <c r="T360" s="79" t="n"/>
      <c r="U360" s="79" t="n"/>
      <c r="V360" s="79" t="n"/>
      <c r="W360" s="79" t="n"/>
      <c r="X360" s="79" t="n"/>
      <c r="Y360" s="79" t="n"/>
      <c r="Z360" s="79" t="n"/>
    </row>
    <row r="361">
      <c r="A361" s="79" t="n"/>
      <c r="B361" s="79" t="n"/>
      <c r="C361" s="79" t="n"/>
      <c r="D361" s="79" t="n"/>
      <c r="E361" s="79" t="n"/>
      <c r="F361" s="79" t="n"/>
      <c r="G361" s="79" t="n"/>
      <c r="H361" s="79" t="n"/>
      <c r="I361" s="79" t="n"/>
      <c r="J361" s="79" t="n"/>
      <c r="K361" s="79" t="n"/>
      <c r="L361" s="79" t="n"/>
      <c r="M361" s="79" t="n"/>
      <c r="N361" s="79" t="n"/>
      <c r="O361" s="79" t="n"/>
      <c r="P361" s="79" t="n"/>
      <c r="Q361" s="79" t="n"/>
      <c r="R361" s="79" t="n"/>
      <c r="S361" s="79" t="n"/>
      <c r="T361" s="79" t="n"/>
      <c r="U361" s="79" t="n"/>
      <c r="V361" s="79" t="n"/>
      <c r="W361" s="79" t="n"/>
      <c r="X361" s="79" t="n"/>
      <c r="Y361" s="79" t="n"/>
      <c r="Z361" s="79" t="n"/>
    </row>
    <row r="362">
      <c r="A362" s="79" t="n"/>
      <c r="B362" s="79" t="n"/>
      <c r="C362" s="79" t="n"/>
      <c r="D362" s="79" t="n"/>
      <c r="E362" s="79" t="n"/>
      <c r="F362" s="79" t="n"/>
      <c r="G362" s="79" t="n"/>
      <c r="H362" s="79" t="n"/>
      <c r="I362" s="79" t="n"/>
      <c r="J362" s="79" t="n"/>
      <c r="K362" s="79" t="n"/>
      <c r="L362" s="79" t="n"/>
      <c r="M362" s="79" t="n"/>
      <c r="N362" s="79" t="n"/>
      <c r="O362" s="79" t="n"/>
      <c r="P362" s="79" t="n"/>
      <c r="Q362" s="79" t="n"/>
      <c r="R362" s="79" t="n"/>
      <c r="S362" s="79" t="n"/>
      <c r="T362" s="79" t="n"/>
      <c r="U362" s="79" t="n"/>
      <c r="V362" s="79" t="n"/>
      <c r="W362" s="79" t="n"/>
      <c r="X362" s="79" t="n"/>
      <c r="Y362" s="79" t="n"/>
      <c r="Z362" s="79" t="n"/>
    </row>
    <row r="363">
      <c r="A363" s="79" t="n"/>
      <c r="B363" s="79" t="n"/>
      <c r="C363" s="79" t="n"/>
      <c r="D363" s="79" t="n"/>
      <c r="E363" s="79" t="n"/>
      <c r="F363" s="79" t="n"/>
      <c r="G363" s="79" t="n"/>
      <c r="H363" s="79" t="n"/>
      <c r="I363" s="79" t="n"/>
      <c r="J363" s="79" t="n"/>
      <c r="K363" s="79" t="n"/>
      <c r="L363" s="79" t="n"/>
      <c r="M363" s="79" t="n"/>
      <c r="N363" s="79" t="n"/>
      <c r="O363" s="79" t="n"/>
      <c r="P363" s="79" t="n"/>
      <c r="Q363" s="79" t="n"/>
      <c r="R363" s="79" t="n"/>
      <c r="S363" s="79" t="n"/>
      <c r="T363" s="79" t="n"/>
      <c r="U363" s="79" t="n"/>
      <c r="V363" s="79" t="n"/>
      <c r="W363" s="79" t="n"/>
      <c r="X363" s="79" t="n"/>
      <c r="Y363" s="79" t="n"/>
      <c r="Z363" s="79" t="n"/>
    </row>
    <row r="364">
      <c r="A364" s="79" t="n"/>
      <c r="B364" s="79" t="n"/>
      <c r="C364" s="79" t="n"/>
      <c r="D364" s="79" t="n"/>
      <c r="E364" s="79" t="n"/>
      <c r="F364" s="79" t="n"/>
      <c r="G364" s="79" t="n"/>
      <c r="H364" s="79" t="n"/>
      <c r="I364" s="79" t="n"/>
      <c r="J364" s="79" t="n"/>
      <c r="K364" s="79" t="n"/>
      <c r="L364" s="79" t="n"/>
      <c r="M364" s="79" t="n"/>
      <c r="N364" s="79" t="n"/>
      <c r="O364" s="79" t="n"/>
      <c r="P364" s="79" t="n"/>
      <c r="Q364" s="79" t="n"/>
      <c r="R364" s="79" t="n"/>
      <c r="S364" s="79" t="n"/>
      <c r="T364" s="79" t="n"/>
      <c r="U364" s="79" t="n"/>
      <c r="V364" s="79" t="n"/>
      <c r="W364" s="79" t="n"/>
      <c r="X364" s="79" t="n"/>
      <c r="Y364" s="79" t="n"/>
      <c r="Z364" s="79" t="n"/>
    </row>
    <row r="365">
      <c r="A365" s="79" t="n"/>
      <c r="B365" s="79" t="n"/>
      <c r="C365" s="79" t="n"/>
      <c r="D365" s="79" t="n"/>
      <c r="E365" s="79" t="n"/>
      <c r="F365" s="79" t="n"/>
      <c r="G365" s="79" t="n"/>
      <c r="H365" s="79" t="n"/>
      <c r="I365" s="79" t="n"/>
      <c r="J365" s="79" t="n"/>
      <c r="K365" s="79" t="n"/>
      <c r="L365" s="79" t="n"/>
      <c r="M365" s="79" t="n"/>
      <c r="N365" s="79" t="n"/>
      <c r="O365" s="79" t="n"/>
      <c r="P365" s="79" t="n"/>
      <c r="Q365" s="79" t="n"/>
      <c r="R365" s="79" t="n"/>
      <c r="S365" s="79" t="n"/>
      <c r="T365" s="79" t="n"/>
      <c r="U365" s="79" t="n"/>
      <c r="V365" s="79" t="n"/>
      <c r="W365" s="79" t="n"/>
      <c r="X365" s="79" t="n"/>
      <c r="Y365" s="79" t="n"/>
      <c r="Z365" s="79" t="n"/>
    </row>
    <row r="366">
      <c r="A366" s="79" t="n"/>
      <c r="B366" s="79" t="n"/>
      <c r="C366" s="79" t="n"/>
      <c r="D366" s="79" t="n"/>
      <c r="E366" s="79" t="n"/>
      <c r="F366" s="79" t="n"/>
      <c r="G366" s="79" t="n"/>
      <c r="H366" s="79" t="n"/>
      <c r="I366" s="79" t="n"/>
      <c r="J366" s="79" t="n"/>
      <c r="K366" s="79" t="n"/>
      <c r="L366" s="79" t="n"/>
      <c r="M366" s="79" t="n"/>
      <c r="N366" s="79" t="n"/>
      <c r="O366" s="79" t="n"/>
      <c r="P366" s="79" t="n"/>
      <c r="Q366" s="79" t="n"/>
      <c r="R366" s="79" t="n"/>
      <c r="S366" s="79" t="n"/>
      <c r="T366" s="79" t="n"/>
      <c r="U366" s="79" t="n"/>
      <c r="V366" s="79" t="n"/>
      <c r="W366" s="79" t="n"/>
      <c r="X366" s="79" t="n"/>
      <c r="Y366" s="79" t="n"/>
      <c r="Z366" s="79" t="n"/>
    </row>
    <row r="367">
      <c r="A367" s="79" t="n"/>
      <c r="B367" s="79" t="n"/>
      <c r="C367" s="79" t="n"/>
      <c r="D367" s="79" t="n"/>
      <c r="E367" s="79" t="n"/>
      <c r="F367" s="79" t="n"/>
      <c r="G367" s="79" t="n"/>
      <c r="H367" s="79" t="n"/>
      <c r="I367" s="79" t="n"/>
      <c r="J367" s="79" t="n"/>
      <c r="K367" s="79" t="n"/>
      <c r="L367" s="79" t="n"/>
      <c r="M367" s="79" t="n"/>
      <c r="N367" s="79" t="n"/>
      <c r="O367" s="79" t="n"/>
      <c r="P367" s="79" t="n"/>
      <c r="Q367" s="79" t="n"/>
      <c r="R367" s="79" t="n"/>
      <c r="S367" s="79" t="n"/>
      <c r="T367" s="79" t="n"/>
      <c r="U367" s="79" t="n"/>
      <c r="V367" s="79" t="n"/>
      <c r="W367" s="79" t="n"/>
      <c r="X367" s="79" t="n"/>
      <c r="Y367" s="79" t="n"/>
      <c r="Z367" s="79" t="n"/>
    </row>
    <row r="368">
      <c r="A368" s="79" t="n"/>
      <c r="B368" s="79" t="n"/>
      <c r="C368" s="79" t="n"/>
      <c r="D368" s="79" t="n"/>
      <c r="E368" s="79" t="n"/>
      <c r="F368" s="79" t="n"/>
      <c r="G368" s="79" t="n"/>
      <c r="H368" s="79" t="n"/>
      <c r="I368" s="79" t="n"/>
      <c r="J368" s="79" t="n"/>
      <c r="K368" s="79" t="n"/>
      <c r="L368" s="79" t="n"/>
      <c r="M368" s="79" t="n"/>
      <c r="N368" s="79" t="n"/>
      <c r="O368" s="79" t="n"/>
      <c r="P368" s="79" t="n"/>
      <c r="Q368" s="79" t="n"/>
      <c r="R368" s="79" t="n"/>
      <c r="S368" s="79" t="n"/>
      <c r="T368" s="79" t="n"/>
      <c r="U368" s="79" t="n"/>
      <c r="V368" s="79" t="n"/>
      <c r="W368" s="79" t="n"/>
      <c r="X368" s="79" t="n"/>
      <c r="Y368" s="79" t="n"/>
      <c r="Z368" s="79" t="n"/>
    </row>
    <row r="369">
      <c r="A369" s="79" t="n"/>
      <c r="B369" s="79" t="n"/>
      <c r="C369" s="79" t="n"/>
      <c r="D369" s="79" t="n"/>
      <c r="E369" s="79" t="n"/>
      <c r="F369" s="79" t="n"/>
      <c r="G369" s="79" t="n"/>
      <c r="H369" s="79" t="n"/>
      <c r="I369" s="79" t="n"/>
      <c r="J369" s="79" t="n"/>
      <c r="K369" s="79" t="n"/>
      <c r="L369" s="79" t="n"/>
      <c r="M369" s="79" t="n"/>
      <c r="N369" s="79" t="n"/>
      <c r="O369" s="79" t="n"/>
      <c r="P369" s="79" t="n"/>
      <c r="Q369" s="79" t="n"/>
      <c r="R369" s="79" t="n"/>
      <c r="S369" s="79" t="n"/>
      <c r="T369" s="79" t="n"/>
      <c r="U369" s="79" t="n"/>
      <c r="V369" s="79" t="n"/>
      <c r="W369" s="79" t="n"/>
      <c r="X369" s="79" t="n"/>
      <c r="Y369" s="79" t="n"/>
      <c r="Z369" s="79" t="n"/>
    </row>
    <row r="370">
      <c r="A370" s="79" t="n"/>
      <c r="B370" s="79" t="n"/>
      <c r="C370" s="79" t="n"/>
      <c r="D370" s="79" t="n"/>
      <c r="E370" s="79" t="n"/>
      <c r="F370" s="79" t="n"/>
      <c r="G370" s="79" t="n"/>
      <c r="H370" s="79" t="n"/>
      <c r="I370" s="79" t="n"/>
      <c r="J370" s="79" t="n"/>
      <c r="K370" s="79" t="n"/>
      <c r="L370" s="79" t="n"/>
      <c r="M370" s="79" t="n"/>
      <c r="N370" s="79" t="n"/>
      <c r="O370" s="79" t="n"/>
      <c r="P370" s="79" t="n"/>
      <c r="Q370" s="79" t="n"/>
      <c r="R370" s="79" t="n"/>
      <c r="S370" s="79" t="n"/>
      <c r="T370" s="79" t="n"/>
      <c r="U370" s="79" t="n"/>
      <c r="V370" s="79" t="n"/>
      <c r="W370" s="79" t="n"/>
      <c r="X370" s="79" t="n"/>
      <c r="Y370" s="79" t="n"/>
      <c r="Z370" s="79" t="n"/>
    </row>
    <row r="371">
      <c r="A371" s="79" t="n"/>
      <c r="B371" s="79" t="n"/>
      <c r="C371" s="79" t="n"/>
      <c r="D371" s="79" t="n"/>
      <c r="E371" s="79" t="n"/>
      <c r="F371" s="79" t="n"/>
      <c r="G371" s="79" t="n"/>
      <c r="H371" s="79" t="n"/>
      <c r="I371" s="79" t="n"/>
      <c r="J371" s="79" t="n"/>
      <c r="K371" s="79" t="n"/>
      <c r="L371" s="79" t="n"/>
      <c r="M371" s="79" t="n"/>
      <c r="N371" s="79" t="n"/>
      <c r="O371" s="79" t="n"/>
      <c r="P371" s="79" t="n"/>
      <c r="Q371" s="79" t="n"/>
      <c r="R371" s="79" t="n"/>
      <c r="S371" s="79" t="n"/>
      <c r="T371" s="79" t="n"/>
      <c r="U371" s="79" t="n"/>
      <c r="V371" s="79" t="n"/>
      <c r="W371" s="79" t="n"/>
      <c r="X371" s="79" t="n"/>
      <c r="Y371" s="79" t="n"/>
      <c r="Z371" s="79" t="n"/>
    </row>
    <row r="372">
      <c r="A372" s="79" t="n"/>
      <c r="B372" s="79" t="n"/>
      <c r="C372" s="79" t="n"/>
      <c r="D372" s="79" t="n"/>
      <c r="E372" s="79" t="n"/>
      <c r="F372" s="79" t="n"/>
      <c r="G372" s="79" t="n"/>
      <c r="H372" s="79" t="n"/>
      <c r="I372" s="79" t="n"/>
      <c r="J372" s="79" t="n"/>
      <c r="K372" s="79" t="n"/>
      <c r="L372" s="79" t="n"/>
      <c r="M372" s="79" t="n"/>
      <c r="N372" s="79" t="n"/>
      <c r="O372" s="79" t="n"/>
      <c r="P372" s="79" t="n"/>
      <c r="Q372" s="79" t="n"/>
      <c r="R372" s="79" t="n"/>
      <c r="S372" s="79" t="n"/>
      <c r="T372" s="79" t="n"/>
      <c r="U372" s="79" t="n"/>
      <c r="V372" s="79" t="n"/>
      <c r="W372" s="79" t="n"/>
      <c r="X372" s="79" t="n"/>
      <c r="Y372" s="79" t="n"/>
      <c r="Z372" s="79" t="n"/>
    </row>
    <row r="373">
      <c r="A373" s="79" t="n"/>
      <c r="B373" s="79" t="n"/>
      <c r="C373" s="79" t="n"/>
      <c r="D373" s="79" t="n"/>
      <c r="E373" s="79" t="n"/>
      <c r="F373" s="79" t="n"/>
      <c r="G373" s="79" t="n"/>
      <c r="H373" s="79" t="n"/>
      <c r="I373" s="79" t="n"/>
      <c r="J373" s="79" t="n"/>
      <c r="K373" s="79" t="n"/>
      <c r="L373" s="79" t="n"/>
      <c r="M373" s="79" t="n"/>
      <c r="N373" s="79" t="n"/>
      <c r="O373" s="79" t="n"/>
      <c r="P373" s="79" t="n"/>
      <c r="Q373" s="79" t="n"/>
      <c r="R373" s="79" t="n"/>
      <c r="S373" s="79" t="n"/>
      <c r="T373" s="79" t="n"/>
      <c r="U373" s="79" t="n"/>
      <c r="V373" s="79" t="n"/>
      <c r="W373" s="79" t="n"/>
      <c r="X373" s="79" t="n"/>
      <c r="Y373" s="79" t="n"/>
      <c r="Z373" s="79" t="n"/>
    </row>
    <row r="374">
      <c r="A374" s="79" t="n"/>
      <c r="B374" s="79" t="n"/>
      <c r="C374" s="79" t="n"/>
      <c r="D374" s="79" t="n"/>
      <c r="E374" s="79" t="n"/>
      <c r="F374" s="79" t="n"/>
      <c r="G374" s="79" t="n"/>
      <c r="H374" s="79" t="n"/>
      <c r="I374" s="79" t="n"/>
      <c r="J374" s="79" t="n"/>
      <c r="K374" s="79" t="n"/>
      <c r="L374" s="79" t="n"/>
      <c r="M374" s="79" t="n"/>
      <c r="N374" s="79" t="n"/>
      <c r="O374" s="79" t="n"/>
      <c r="P374" s="79" t="n"/>
      <c r="Q374" s="79" t="n"/>
      <c r="R374" s="79" t="n"/>
      <c r="S374" s="79" t="n"/>
      <c r="T374" s="79" t="n"/>
      <c r="U374" s="79" t="n"/>
      <c r="V374" s="79" t="n"/>
      <c r="W374" s="79" t="n"/>
      <c r="X374" s="79" t="n"/>
      <c r="Y374" s="79" t="n"/>
      <c r="Z374" s="79" t="n"/>
    </row>
    <row r="375">
      <c r="A375" s="79" t="n"/>
      <c r="B375" s="79" t="n"/>
      <c r="C375" s="79" t="n"/>
      <c r="D375" s="79" t="n"/>
      <c r="E375" s="79" t="n"/>
      <c r="F375" s="79" t="n"/>
      <c r="G375" s="79" t="n"/>
      <c r="H375" s="79" t="n"/>
      <c r="I375" s="79" t="n"/>
      <c r="J375" s="79" t="n"/>
      <c r="K375" s="79" t="n"/>
      <c r="L375" s="79" t="n"/>
      <c r="M375" s="79" t="n"/>
      <c r="N375" s="79" t="n"/>
      <c r="O375" s="79" t="n"/>
      <c r="P375" s="79" t="n"/>
      <c r="Q375" s="79" t="n"/>
      <c r="R375" s="79" t="n"/>
      <c r="S375" s="79" t="n"/>
      <c r="T375" s="79" t="n"/>
      <c r="U375" s="79" t="n"/>
      <c r="V375" s="79" t="n"/>
      <c r="W375" s="79" t="n"/>
      <c r="X375" s="79" t="n"/>
      <c r="Y375" s="79" t="n"/>
      <c r="Z375" s="79" t="n"/>
    </row>
    <row r="376">
      <c r="A376" s="79" t="n"/>
      <c r="B376" s="79" t="n"/>
      <c r="C376" s="79" t="n"/>
      <c r="D376" s="79" t="n"/>
      <c r="E376" s="79" t="n"/>
      <c r="F376" s="79" t="n"/>
      <c r="G376" s="79" t="n"/>
      <c r="H376" s="79" t="n"/>
      <c r="I376" s="79" t="n"/>
      <c r="J376" s="79" t="n"/>
      <c r="K376" s="79" t="n"/>
      <c r="L376" s="79" t="n"/>
      <c r="M376" s="79" t="n"/>
      <c r="N376" s="79" t="n"/>
      <c r="O376" s="79" t="n"/>
      <c r="P376" s="79" t="n"/>
      <c r="Q376" s="79" t="n"/>
      <c r="R376" s="79" t="n"/>
      <c r="S376" s="79" t="n"/>
      <c r="T376" s="79" t="n"/>
      <c r="U376" s="79" t="n"/>
      <c r="V376" s="79" t="n"/>
      <c r="W376" s="79" t="n"/>
      <c r="X376" s="79" t="n"/>
      <c r="Y376" s="79" t="n"/>
      <c r="Z376" s="79" t="n"/>
    </row>
    <row r="377">
      <c r="A377" s="79" t="n"/>
      <c r="B377" s="79" t="n"/>
      <c r="C377" s="79" t="n"/>
      <c r="D377" s="79" t="n"/>
      <c r="E377" s="79" t="n"/>
      <c r="F377" s="79" t="n"/>
      <c r="G377" s="79" t="n"/>
      <c r="H377" s="79" t="n"/>
      <c r="I377" s="79" t="n"/>
      <c r="J377" s="79" t="n"/>
      <c r="K377" s="79" t="n"/>
      <c r="L377" s="79" t="n"/>
      <c r="M377" s="79" t="n"/>
      <c r="N377" s="79" t="n"/>
      <c r="O377" s="79" t="n"/>
      <c r="P377" s="79" t="n"/>
      <c r="Q377" s="79" t="n"/>
      <c r="R377" s="79" t="n"/>
      <c r="S377" s="79" t="n"/>
      <c r="T377" s="79" t="n"/>
      <c r="U377" s="79" t="n"/>
      <c r="V377" s="79" t="n"/>
      <c r="W377" s="79" t="n"/>
      <c r="X377" s="79" t="n"/>
      <c r="Y377" s="79" t="n"/>
      <c r="Z377" s="79" t="n"/>
    </row>
    <row r="378">
      <c r="A378" s="79" t="n"/>
      <c r="B378" s="79" t="n"/>
      <c r="C378" s="79" t="n"/>
      <c r="D378" s="79" t="n"/>
      <c r="E378" s="79" t="n"/>
      <c r="F378" s="79" t="n"/>
      <c r="G378" s="79" t="n"/>
      <c r="H378" s="79" t="n"/>
      <c r="I378" s="79" t="n"/>
      <c r="J378" s="79" t="n"/>
      <c r="K378" s="79" t="n"/>
      <c r="L378" s="79" t="n"/>
      <c r="M378" s="79" t="n"/>
      <c r="N378" s="79" t="n"/>
      <c r="O378" s="79" t="n"/>
      <c r="P378" s="79" t="n"/>
      <c r="Q378" s="79" t="n"/>
      <c r="R378" s="79" t="n"/>
      <c r="S378" s="79" t="n"/>
      <c r="T378" s="79" t="n"/>
      <c r="U378" s="79" t="n"/>
      <c r="V378" s="79" t="n"/>
      <c r="W378" s="79" t="n"/>
      <c r="X378" s="79" t="n"/>
      <c r="Y378" s="79" t="n"/>
      <c r="Z378" s="79" t="n"/>
    </row>
    <row r="379">
      <c r="A379" s="79" t="n"/>
      <c r="B379" s="79" t="n"/>
      <c r="C379" s="79" t="n"/>
      <c r="D379" s="79" t="n"/>
      <c r="E379" s="79" t="n"/>
      <c r="F379" s="79" t="n"/>
      <c r="G379" s="79" t="n"/>
      <c r="H379" s="79" t="n"/>
      <c r="I379" s="79" t="n"/>
      <c r="J379" s="79" t="n"/>
      <c r="K379" s="79" t="n"/>
      <c r="L379" s="79" t="n"/>
      <c r="M379" s="79" t="n"/>
      <c r="N379" s="79" t="n"/>
      <c r="O379" s="79" t="n"/>
      <c r="P379" s="79" t="n"/>
      <c r="Q379" s="79" t="n"/>
      <c r="R379" s="79" t="n"/>
      <c r="S379" s="79" t="n"/>
      <c r="T379" s="79" t="n"/>
      <c r="U379" s="79" t="n"/>
      <c r="V379" s="79" t="n"/>
      <c r="W379" s="79" t="n"/>
      <c r="X379" s="79" t="n"/>
      <c r="Y379" s="79" t="n"/>
      <c r="Z379" s="79" t="n"/>
    </row>
    <row r="380">
      <c r="A380" s="79" t="n"/>
      <c r="B380" s="79" t="n"/>
      <c r="C380" s="79" t="n"/>
      <c r="D380" s="79" t="n"/>
      <c r="E380" s="79" t="n"/>
      <c r="F380" s="79" t="n"/>
      <c r="G380" s="79" t="n"/>
      <c r="H380" s="79" t="n"/>
      <c r="I380" s="79" t="n"/>
      <c r="J380" s="79" t="n"/>
      <c r="K380" s="79" t="n"/>
      <c r="L380" s="79" t="n"/>
      <c r="M380" s="79" t="n"/>
      <c r="N380" s="79" t="n"/>
      <c r="O380" s="79" t="n"/>
      <c r="P380" s="79" t="n"/>
      <c r="Q380" s="79" t="n"/>
      <c r="R380" s="79" t="n"/>
      <c r="S380" s="79" t="n"/>
      <c r="T380" s="79" t="n"/>
      <c r="U380" s="79" t="n"/>
      <c r="V380" s="79" t="n"/>
      <c r="W380" s="79" t="n"/>
      <c r="X380" s="79" t="n"/>
      <c r="Y380" s="79" t="n"/>
      <c r="Z380" s="79" t="n"/>
    </row>
    <row r="381">
      <c r="A381" s="79" t="n"/>
      <c r="B381" s="79" t="n"/>
      <c r="C381" s="79" t="n"/>
      <c r="D381" s="79" t="n"/>
      <c r="E381" s="79" t="n"/>
      <c r="F381" s="79" t="n"/>
      <c r="G381" s="79" t="n"/>
      <c r="H381" s="79" t="n"/>
      <c r="I381" s="79" t="n"/>
      <c r="J381" s="79" t="n"/>
      <c r="K381" s="79" t="n"/>
      <c r="L381" s="79" t="n"/>
      <c r="M381" s="79" t="n"/>
      <c r="N381" s="79" t="n"/>
      <c r="O381" s="79" t="n"/>
      <c r="P381" s="79" t="n"/>
      <c r="Q381" s="79" t="n"/>
      <c r="R381" s="79" t="n"/>
      <c r="S381" s="79" t="n"/>
      <c r="T381" s="79" t="n"/>
      <c r="U381" s="79" t="n"/>
      <c r="V381" s="79" t="n"/>
      <c r="W381" s="79" t="n"/>
      <c r="X381" s="79" t="n"/>
      <c r="Y381" s="79" t="n"/>
      <c r="Z381" s="79" t="n"/>
    </row>
    <row r="382">
      <c r="A382" s="79" t="n"/>
      <c r="B382" s="79" t="n"/>
      <c r="C382" s="79" t="n"/>
      <c r="D382" s="79" t="n"/>
      <c r="E382" s="79" t="n"/>
      <c r="F382" s="79" t="n"/>
      <c r="G382" s="79" t="n"/>
      <c r="H382" s="79" t="n"/>
      <c r="I382" s="79" t="n"/>
      <c r="J382" s="79" t="n"/>
      <c r="K382" s="79" t="n"/>
      <c r="L382" s="79" t="n"/>
      <c r="M382" s="79" t="n"/>
      <c r="N382" s="79" t="n"/>
      <c r="O382" s="79" t="n"/>
      <c r="P382" s="79" t="n"/>
      <c r="Q382" s="79" t="n"/>
      <c r="R382" s="79" t="n"/>
      <c r="S382" s="79" t="n"/>
      <c r="T382" s="79" t="n"/>
      <c r="U382" s="79" t="n"/>
      <c r="V382" s="79" t="n"/>
      <c r="W382" s="79" t="n"/>
      <c r="X382" s="79" t="n"/>
      <c r="Y382" s="79" t="n"/>
      <c r="Z382" s="79" t="n"/>
    </row>
    <row r="383">
      <c r="A383" s="79" t="n"/>
      <c r="B383" s="79" t="n"/>
      <c r="C383" s="79" t="n"/>
      <c r="D383" s="79" t="n"/>
      <c r="E383" s="79" t="n"/>
      <c r="F383" s="79" t="n"/>
      <c r="G383" s="79" t="n"/>
      <c r="H383" s="79" t="n"/>
      <c r="I383" s="79" t="n"/>
      <c r="J383" s="79" t="n"/>
      <c r="K383" s="79" t="n"/>
      <c r="L383" s="79" t="n"/>
      <c r="M383" s="79" t="n"/>
      <c r="N383" s="79" t="n"/>
      <c r="O383" s="79" t="n"/>
      <c r="P383" s="79" t="n"/>
      <c r="Q383" s="79" t="n"/>
      <c r="R383" s="79" t="n"/>
      <c r="S383" s="79" t="n"/>
      <c r="T383" s="79" t="n"/>
      <c r="U383" s="79" t="n"/>
      <c r="V383" s="79" t="n"/>
      <c r="W383" s="79" t="n"/>
      <c r="X383" s="79" t="n"/>
      <c r="Y383" s="79" t="n"/>
      <c r="Z383" s="79" t="n"/>
    </row>
    <row r="384">
      <c r="A384" s="79" t="n"/>
      <c r="B384" s="79" t="n"/>
      <c r="C384" s="79" t="n"/>
      <c r="D384" s="79" t="n"/>
      <c r="E384" s="79" t="n"/>
      <c r="F384" s="79" t="n"/>
      <c r="G384" s="79" t="n"/>
      <c r="H384" s="79" t="n"/>
      <c r="I384" s="79" t="n"/>
      <c r="J384" s="79" t="n"/>
      <c r="K384" s="79" t="n"/>
      <c r="L384" s="79" t="n"/>
      <c r="M384" s="79" t="n"/>
      <c r="N384" s="79" t="n"/>
      <c r="O384" s="79" t="n"/>
      <c r="P384" s="79" t="n"/>
      <c r="Q384" s="79" t="n"/>
      <c r="R384" s="79" t="n"/>
      <c r="S384" s="79" t="n"/>
      <c r="T384" s="79" t="n"/>
      <c r="U384" s="79" t="n"/>
      <c r="V384" s="79" t="n"/>
      <c r="W384" s="79" t="n"/>
      <c r="X384" s="79" t="n"/>
      <c r="Y384" s="79" t="n"/>
      <c r="Z384" s="79" t="n"/>
    </row>
    <row r="385">
      <c r="A385" s="79" t="n"/>
      <c r="B385" s="79" t="n"/>
      <c r="C385" s="79" t="n"/>
      <c r="D385" s="79" t="n"/>
      <c r="E385" s="79" t="n"/>
      <c r="F385" s="79" t="n"/>
      <c r="G385" s="79" t="n"/>
      <c r="H385" s="79" t="n"/>
      <c r="I385" s="79" t="n"/>
      <c r="J385" s="79" t="n"/>
      <c r="K385" s="79" t="n"/>
      <c r="L385" s="79" t="n"/>
      <c r="M385" s="79" t="n"/>
      <c r="N385" s="79" t="n"/>
      <c r="O385" s="79" t="n"/>
      <c r="P385" s="79" t="n"/>
      <c r="Q385" s="79" t="n"/>
      <c r="R385" s="79" t="n"/>
      <c r="S385" s="79" t="n"/>
      <c r="T385" s="79" t="n"/>
      <c r="U385" s="79" t="n"/>
      <c r="V385" s="79" t="n"/>
      <c r="W385" s="79" t="n"/>
      <c r="X385" s="79" t="n"/>
      <c r="Y385" s="79" t="n"/>
      <c r="Z385" s="79" t="n"/>
    </row>
    <row r="386">
      <c r="A386" s="79" t="n"/>
      <c r="B386" s="79" t="n"/>
      <c r="C386" s="79" t="n"/>
      <c r="D386" s="79" t="n"/>
      <c r="E386" s="79" t="n"/>
      <c r="F386" s="79" t="n"/>
      <c r="G386" s="79" t="n"/>
      <c r="H386" s="79" t="n"/>
      <c r="I386" s="79" t="n"/>
      <c r="J386" s="79" t="n"/>
      <c r="K386" s="79" t="n"/>
      <c r="L386" s="79" t="n"/>
      <c r="M386" s="79" t="n"/>
      <c r="N386" s="79" t="n"/>
      <c r="O386" s="79" t="n"/>
      <c r="P386" s="79" t="n"/>
      <c r="Q386" s="79" t="n"/>
      <c r="R386" s="79" t="n"/>
      <c r="S386" s="79" t="n"/>
      <c r="T386" s="79" t="n"/>
      <c r="U386" s="79" t="n"/>
      <c r="V386" s="79" t="n"/>
      <c r="W386" s="79" t="n"/>
      <c r="X386" s="79" t="n"/>
      <c r="Y386" s="79" t="n"/>
      <c r="Z386" s="79" t="n"/>
    </row>
    <row r="387">
      <c r="A387" s="79" t="n"/>
      <c r="B387" s="79" t="n"/>
      <c r="C387" s="79" t="n"/>
      <c r="D387" s="79" t="n"/>
      <c r="E387" s="79" t="n"/>
      <c r="F387" s="79" t="n"/>
      <c r="G387" s="79" t="n"/>
      <c r="H387" s="79" t="n"/>
      <c r="I387" s="79" t="n"/>
      <c r="J387" s="79" t="n"/>
      <c r="K387" s="79" t="n"/>
      <c r="L387" s="79" t="n"/>
      <c r="M387" s="79" t="n"/>
      <c r="N387" s="79" t="n"/>
      <c r="O387" s="79" t="n"/>
      <c r="P387" s="79" t="n"/>
      <c r="Q387" s="79" t="n"/>
      <c r="R387" s="79" t="n"/>
      <c r="S387" s="79" t="n"/>
      <c r="T387" s="79" t="n"/>
      <c r="U387" s="79" t="n"/>
      <c r="V387" s="79" t="n"/>
      <c r="W387" s="79" t="n"/>
      <c r="X387" s="79" t="n"/>
      <c r="Y387" s="79" t="n"/>
      <c r="Z387" s="79" t="n"/>
    </row>
    <row r="388">
      <c r="A388" s="79" t="n"/>
      <c r="B388" s="79" t="n"/>
      <c r="C388" s="79" t="n"/>
      <c r="D388" s="79" t="n"/>
      <c r="E388" s="79" t="n"/>
      <c r="F388" s="79" t="n"/>
      <c r="G388" s="79" t="n"/>
      <c r="H388" s="79" t="n"/>
      <c r="I388" s="79" t="n"/>
      <c r="J388" s="79" t="n"/>
      <c r="K388" s="79" t="n"/>
      <c r="L388" s="79" t="n"/>
      <c r="M388" s="79" t="n"/>
      <c r="N388" s="79" t="n"/>
      <c r="O388" s="79" t="n"/>
      <c r="P388" s="79" t="n"/>
      <c r="Q388" s="79" t="n"/>
      <c r="R388" s="79" t="n"/>
      <c r="S388" s="79" t="n"/>
      <c r="T388" s="79" t="n"/>
      <c r="U388" s="79" t="n"/>
      <c r="V388" s="79" t="n"/>
      <c r="W388" s="79" t="n"/>
      <c r="X388" s="79" t="n"/>
      <c r="Y388" s="79" t="n"/>
      <c r="Z388" s="79" t="n"/>
    </row>
    <row r="389">
      <c r="A389" s="79" t="n"/>
      <c r="B389" s="79" t="n"/>
      <c r="C389" s="79" t="n"/>
      <c r="D389" s="79" t="n"/>
      <c r="E389" s="79" t="n"/>
      <c r="F389" s="79" t="n"/>
      <c r="G389" s="79" t="n"/>
      <c r="H389" s="79" t="n"/>
      <c r="I389" s="79" t="n"/>
      <c r="J389" s="79" t="n"/>
      <c r="K389" s="79" t="n"/>
      <c r="L389" s="79" t="n"/>
      <c r="M389" s="79" t="n"/>
      <c r="N389" s="79" t="n"/>
      <c r="O389" s="79" t="n"/>
      <c r="P389" s="79" t="n"/>
      <c r="Q389" s="79" t="n"/>
      <c r="R389" s="79" t="n"/>
      <c r="S389" s="79" t="n"/>
      <c r="T389" s="79" t="n"/>
      <c r="U389" s="79" t="n"/>
      <c r="V389" s="79" t="n"/>
      <c r="W389" s="79" t="n"/>
      <c r="X389" s="79" t="n"/>
      <c r="Y389" s="79" t="n"/>
      <c r="Z389" s="79" t="n"/>
    </row>
    <row r="390">
      <c r="A390" s="79" t="n"/>
      <c r="B390" s="79" t="n"/>
      <c r="C390" s="79" t="n"/>
      <c r="D390" s="79" t="n"/>
      <c r="E390" s="79" t="n"/>
      <c r="F390" s="79" t="n"/>
      <c r="G390" s="79" t="n"/>
      <c r="H390" s="79" t="n"/>
      <c r="I390" s="79" t="n"/>
      <c r="J390" s="79" t="n"/>
      <c r="K390" s="79" t="n"/>
      <c r="L390" s="79" t="n"/>
      <c r="M390" s="79" t="n"/>
      <c r="N390" s="79" t="n"/>
      <c r="O390" s="79" t="n"/>
      <c r="P390" s="79" t="n"/>
      <c r="Q390" s="79" t="n"/>
      <c r="R390" s="79" t="n"/>
      <c r="S390" s="79" t="n"/>
      <c r="T390" s="79" t="n"/>
      <c r="U390" s="79" t="n"/>
      <c r="V390" s="79" t="n"/>
      <c r="W390" s="79" t="n"/>
      <c r="X390" s="79" t="n"/>
      <c r="Y390" s="79" t="n"/>
      <c r="Z390" s="79" t="n"/>
    </row>
    <row r="391">
      <c r="A391" s="79" t="n"/>
      <c r="B391" s="79" t="n"/>
      <c r="C391" s="79" t="n"/>
      <c r="D391" s="79" t="n"/>
      <c r="E391" s="79" t="n"/>
      <c r="F391" s="79" t="n"/>
      <c r="G391" s="79" t="n"/>
      <c r="H391" s="79" t="n"/>
      <c r="I391" s="79" t="n"/>
      <c r="J391" s="79" t="n"/>
      <c r="K391" s="79" t="n"/>
      <c r="L391" s="79" t="n"/>
      <c r="M391" s="79" t="n"/>
      <c r="N391" s="79" t="n"/>
      <c r="O391" s="79" t="n"/>
      <c r="P391" s="79" t="n"/>
      <c r="Q391" s="79" t="n"/>
      <c r="R391" s="79" t="n"/>
      <c r="S391" s="79" t="n"/>
      <c r="T391" s="79" t="n"/>
      <c r="U391" s="79" t="n"/>
      <c r="V391" s="79" t="n"/>
      <c r="W391" s="79" t="n"/>
      <c r="X391" s="79" t="n"/>
      <c r="Y391" s="79" t="n"/>
      <c r="Z391" s="79" t="n"/>
    </row>
    <row r="392">
      <c r="A392" s="79" t="n"/>
      <c r="B392" s="79" t="n"/>
      <c r="C392" s="79" t="n"/>
      <c r="D392" s="79" t="n"/>
      <c r="E392" s="79" t="n"/>
      <c r="F392" s="79" t="n"/>
      <c r="G392" s="79" t="n"/>
      <c r="H392" s="79" t="n"/>
      <c r="I392" s="79" t="n"/>
      <c r="J392" s="79" t="n"/>
      <c r="K392" s="79" t="n"/>
      <c r="L392" s="79" t="n"/>
      <c r="M392" s="79" t="n"/>
      <c r="N392" s="79" t="n"/>
      <c r="O392" s="79" t="n"/>
      <c r="P392" s="79" t="n"/>
      <c r="Q392" s="79" t="n"/>
      <c r="R392" s="79" t="n"/>
      <c r="S392" s="79" t="n"/>
      <c r="T392" s="79" t="n"/>
      <c r="U392" s="79" t="n"/>
      <c r="V392" s="79" t="n"/>
      <c r="W392" s="79" t="n"/>
      <c r="X392" s="79" t="n"/>
      <c r="Y392" s="79" t="n"/>
      <c r="Z392" s="79" t="n"/>
    </row>
    <row r="393">
      <c r="A393" s="79" t="n"/>
      <c r="B393" s="79" t="n"/>
      <c r="C393" s="79" t="n"/>
      <c r="D393" s="79" t="n"/>
      <c r="E393" s="79" t="n"/>
      <c r="F393" s="79" t="n"/>
      <c r="G393" s="79" t="n"/>
      <c r="H393" s="79" t="n"/>
      <c r="I393" s="79" t="n"/>
      <c r="J393" s="79" t="n"/>
      <c r="K393" s="79" t="n"/>
      <c r="L393" s="79" t="n"/>
      <c r="M393" s="79" t="n"/>
      <c r="N393" s="79" t="n"/>
      <c r="O393" s="79" t="n"/>
      <c r="P393" s="79" t="n"/>
      <c r="Q393" s="79" t="n"/>
      <c r="R393" s="79" t="n"/>
      <c r="S393" s="79" t="n"/>
      <c r="T393" s="79" t="n"/>
      <c r="U393" s="79" t="n"/>
      <c r="V393" s="79" t="n"/>
      <c r="W393" s="79" t="n"/>
      <c r="X393" s="79" t="n"/>
      <c r="Y393" s="79" t="n"/>
      <c r="Z393" s="79" t="n"/>
    </row>
    <row r="394">
      <c r="A394" s="79" t="n"/>
      <c r="B394" s="79" t="n"/>
      <c r="C394" s="79" t="n"/>
      <c r="D394" s="79" t="n"/>
      <c r="E394" s="79" t="n"/>
      <c r="F394" s="79" t="n"/>
      <c r="G394" s="79" t="n"/>
      <c r="H394" s="79" t="n"/>
      <c r="I394" s="79" t="n"/>
      <c r="J394" s="79" t="n"/>
      <c r="K394" s="79" t="n"/>
      <c r="L394" s="79" t="n"/>
      <c r="M394" s="79" t="n"/>
      <c r="N394" s="79" t="n"/>
      <c r="O394" s="79" t="n"/>
      <c r="P394" s="79" t="n"/>
      <c r="Q394" s="79" t="n"/>
      <c r="R394" s="79" t="n"/>
      <c r="S394" s="79" t="n"/>
      <c r="T394" s="79" t="n"/>
      <c r="U394" s="79" t="n"/>
      <c r="V394" s="79" t="n"/>
      <c r="W394" s="79" t="n"/>
      <c r="X394" s="79" t="n"/>
      <c r="Y394" s="79" t="n"/>
      <c r="Z394" s="79" t="n"/>
    </row>
    <row r="395">
      <c r="A395" s="79" t="n"/>
      <c r="B395" s="79" t="n"/>
      <c r="C395" s="79" t="n"/>
      <c r="D395" s="79" t="n"/>
      <c r="E395" s="79" t="n"/>
      <c r="F395" s="79" t="n"/>
      <c r="G395" s="79" t="n"/>
      <c r="H395" s="79" t="n"/>
      <c r="I395" s="79" t="n"/>
      <c r="J395" s="79" t="n"/>
      <c r="K395" s="79" t="n"/>
      <c r="L395" s="79" t="n"/>
      <c r="M395" s="79" t="n"/>
      <c r="N395" s="79" t="n"/>
      <c r="O395" s="79" t="n"/>
      <c r="P395" s="79" t="n"/>
      <c r="Q395" s="79" t="n"/>
      <c r="R395" s="79" t="n"/>
      <c r="S395" s="79" t="n"/>
      <c r="T395" s="79" t="n"/>
      <c r="U395" s="79" t="n"/>
      <c r="V395" s="79" t="n"/>
      <c r="W395" s="79" t="n"/>
      <c r="X395" s="79" t="n"/>
      <c r="Y395" s="79" t="n"/>
      <c r="Z395" s="79" t="n"/>
    </row>
    <row r="396">
      <c r="A396" s="79" t="n"/>
      <c r="B396" s="79" t="n"/>
      <c r="C396" s="79" t="n"/>
      <c r="D396" s="79" t="n"/>
      <c r="E396" s="79" t="n"/>
      <c r="F396" s="79" t="n"/>
      <c r="G396" s="79" t="n"/>
      <c r="H396" s="79" t="n"/>
      <c r="I396" s="79" t="n"/>
      <c r="J396" s="79" t="n"/>
      <c r="K396" s="79" t="n"/>
      <c r="L396" s="79" t="n"/>
      <c r="M396" s="79" t="n"/>
      <c r="N396" s="79" t="n"/>
      <c r="O396" s="79" t="n"/>
      <c r="P396" s="79" t="n"/>
      <c r="Q396" s="79" t="n"/>
      <c r="R396" s="79" t="n"/>
      <c r="S396" s="79" t="n"/>
      <c r="T396" s="79" t="n"/>
      <c r="U396" s="79" t="n"/>
      <c r="V396" s="79" t="n"/>
      <c r="W396" s="79" t="n"/>
      <c r="X396" s="79" t="n"/>
      <c r="Y396" s="79" t="n"/>
      <c r="Z396" s="79" t="n"/>
    </row>
    <row r="397">
      <c r="A397" s="79" t="n"/>
      <c r="B397" s="79" t="n"/>
      <c r="C397" s="79" t="n"/>
      <c r="D397" s="79" t="n"/>
      <c r="E397" s="79" t="n"/>
      <c r="F397" s="79" t="n"/>
      <c r="G397" s="79" t="n"/>
      <c r="H397" s="79" t="n"/>
      <c r="I397" s="79" t="n"/>
      <c r="J397" s="79" t="n"/>
      <c r="K397" s="79" t="n"/>
      <c r="L397" s="79" t="n"/>
      <c r="M397" s="79" t="n"/>
      <c r="N397" s="79" t="n"/>
      <c r="O397" s="79" t="n"/>
      <c r="P397" s="79" t="n"/>
      <c r="Q397" s="79" t="n"/>
      <c r="R397" s="79" t="n"/>
      <c r="S397" s="79" t="n"/>
      <c r="T397" s="79" t="n"/>
      <c r="U397" s="79" t="n"/>
      <c r="V397" s="79" t="n"/>
      <c r="W397" s="79" t="n"/>
      <c r="X397" s="79" t="n"/>
      <c r="Y397" s="79" t="n"/>
      <c r="Z397" s="79" t="n"/>
    </row>
    <row r="398">
      <c r="A398" s="79" t="n"/>
      <c r="B398" s="79" t="n"/>
      <c r="C398" s="79" t="n"/>
      <c r="D398" s="79" t="n"/>
      <c r="E398" s="79" t="n"/>
      <c r="F398" s="79" t="n"/>
      <c r="G398" s="79" t="n"/>
      <c r="H398" s="79" t="n"/>
      <c r="I398" s="79" t="n"/>
      <c r="J398" s="79" t="n"/>
      <c r="K398" s="79" t="n"/>
      <c r="L398" s="79" t="n"/>
      <c r="M398" s="79" t="n"/>
      <c r="N398" s="79" t="n"/>
      <c r="O398" s="79" t="n"/>
      <c r="P398" s="79" t="n"/>
      <c r="Q398" s="79" t="n"/>
      <c r="R398" s="79" t="n"/>
      <c r="S398" s="79" t="n"/>
      <c r="T398" s="79" t="n"/>
      <c r="U398" s="79" t="n"/>
      <c r="V398" s="79" t="n"/>
      <c r="W398" s="79" t="n"/>
      <c r="X398" s="79" t="n"/>
      <c r="Y398" s="79" t="n"/>
      <c r="Z398" s="79" t="n"/>
    </row>
    <row r="399">
      <c r="A399" s="79" t="n"/>
      <c r="B399" s="79" t="n"/>
      <c r="C399" s="79" t="n"/>
      <c r="D399" s="79" t="n"/>
      <c r="E399" s="79" t="n"/>
      <c r="F399" s="79" t="n"/>
      <c r="G399" s="79" t="n"/>
      <c r="H399" s="79" t="n"/>
      <c r="I399" s="79" t="n"/>
      <c r="J399" s="79" t="n"/>
      <c r="K399" s="79" t="n"/>
      <c r="L399" s="79" t="n"/>
      <c r="M399" s="79" t="n"/>
      <c r="N399" s="79" t="n"/>
      <c r="O399" s="79" t="n"/>
      <c r="P399" s="79" t="n"/>
      <c r="Q399" s="79" t="n"/>
      <c r="R399" s="79" t="n"/>
      <c r="S399" s="79" t="n"/>
      <c r="T399" s="79" t="n"/>
      <c r="U399" s="79" t="n"/>
      <c r="V399" s="79" t="n"/>
      <c r="W399" s="79" t="n"/>
      <c r="X399" s="79" t="n"/>
      <c r="Y399" s="79" t="n"/>
      <c r="Z399" s="79" t="n"/>
    </row>
    <row r="400">
      <c r="A400" s="79" t="n"/>
      <c r="B400" s="79" t="n"/>
      <c r="C400" s="79" t="n"/>
      <c r="D400" s="79" t="n"/>
      <c r="E400" s="79" t="n"/>
      <c r="F400" s="79" t="n"/>
      <c r="G400" s="79" t="n"/>
      <c r="H400" s="79" t="n"/>
      <c r="I400" s="79" t="n"/>
      <c r="J400" s="79" t="n"/>
      <c r="K400" s="79" t="n"/>
      <c r="L400" s="79" t="n"/>
      <c r="M400" s="79" t="n"/>
      <c r="N400" s="79" t="n"/>
      <c r="O400" s="79" t="n"/>
      <c r="P400" s="79" t="n"/>
      <c r="Q400" s="79" t="n"/>
      <c r="R400" s="79" t="n"/>
      <c r="S400" s="79" t="n"/>
      <c r="T400" s="79" t="n"/>
      <c r="U400" s="79" t="n"/>
      <c r="V400" s="79" t="n"/>
      <c r="W400" s="79" t="n"/>
      <c r="X400" s="79" t="n"/>
      <c r="Y400" s="79" t="n"/>
      <c r="Z400" s="79" t="n"/>
    </row>
    <row r="401">
      <c r="A401" s="79" t="n"/>
      <c r="B401" s="79" t="n"/>
      <c r="C401" s="79" t="n"/>
      <c r="D401" s="79" t="n"/>
      <c r="E401" s="79" t="n"/>
      <c r="F401" s="79" t="n"/>
      <c r="G401" s="79" t="n"/>
      <c r="H401" s="79" t="n"/>
      <c r="I401" s="79" t="n"/>
      <c r="J401" s="79" t="n"/>
      <c r="K401" s="79" t="n"/>
      <c r="L401" s="79" t="n"/>
      <c r="M401" s="79" t="n"/>
      <c r="N401" s="79" t="n"/>
      <c r="O401" s="79" t="n"/>
      <c r="P401" s="79" t="n"/>
      <c r="Q401" s="79" t="n"/>
      <c r="R401" s="79" t="n"/>
      <c r="S401" s="79" t="n"/>
      <c r="T401" s="79" t="n"/>
      <c r="U401" s="79" t="n"/>
      <c r="V401" s="79" t="n"/>
      <c r="W401" s="79" t="n"/>
      <c r="X401" s="79" t="n"/>
      <c r="Y401" s="79" t="n"/>
      <c r="Z401" s="79" t="n"/>
    </row>
    <row r="402">
      <c r="A402" s="79" t="n"/>
      <c r="B402" s="79" t="n"/>
      <c r="C402" s="79" t="n"/>
      <c r="D402" s="79" t="n"/>
      <c r="E402" s="79" t="n"/>
      <c r="F402" s="79" t="n"/>
      <c r="G402" s="79" t="n"/>
      <c r="H402" s="79" t="n"/>
      <c r="I402" s="79" t="n"/>
      <c r="J402" s="79" t="n"/>
      <c r="K402" s="79" t="n"/>
      <c r="L402" s="79" t="n"/>
      <c r="M402" s="79" t="n"/>
      <c r="N402" s="79" t="n"/>
      <c r="O402" s="79" t="n"/>
      <c r="P402" s="79" t="n"/>
      <c r="Q402" s="79" t="n"/>
      <c r="R402" s="79" t="n"/>
      <c r="S402" s="79" t="n"/>
      <c r="T402" s="79" t="n"/>
      <c r="U402" s="79" t="n"/>
      <c r="V402" s="79" t="n"/>
      <c r="W402" s="79" t="n"/>
      <c r="X402" s="79" t="n"/>
      <c r="Y402" s="79" t="n"/>
      <c r="Z402" s="79" t="n"/>
    </row>
    <row r="403">
      <c r="A403" s="79" t="n"/>
      <c r="B403" s="79" t="n"/>
      <c r="C403" s="79" t="n"/>
      <c r="D403" s="79" t="n"/>
      <c r="E403" s="79" t="n"/>
      <c r="F403" s="79" t="n"/>
      <c r="G403" s="79" t="n"/>
      <c r="H403" s="79" t="n"/>
      <c r="I403" s="79" t="n"/>
      <c r="J403" s="79" t="n"/>
      <c r="K403" s="79" t="n"/>
      <c r="L403" s="79" t="n"/>
      <c r="M403" s="79" t="n"/>
      <c r="N403" s="79" t="n"/>
      <c r="O403" s="79" t="n"/>
      <c r="P403" s="79" t="n"/>
      <c r="Q403" s="79" t="n"/>
      <c r="R403" s="79" t="n"/>
      <c r="S403" s="79" t="n"/>
      <c r="T403" s="79" t="n"/>
      <c r="U403" s="79" t="n"/>
      <c r="V403" s="79" t="n"/>
      <c r="W403" s="79" t="n"/>
      <c r="X403" s="79" t="n"/>
      <c r="Y403" s="79" t="n"/>
      <c r="Z403" s="79" t="n"/>
    </row>
    <row r="404">
      <c r="A404" s="79" t="n"/>
      <c r="B404" s="79" t="n"/>
      <c r="C404" s="79" t="n"/>
      <c r="D404" s="79" t="n"/>
      <c r="E404" s="79" t="n"/>
      <c r="F404" s="79" t="n"/>
      <c r="G404" s="79" t="n"/>
      <c r="H404" s="79" t="n"/>
      <c r="I404" s="79" t="n"/>
      <c r="J404" s="79" t="n"/>
      <c r="K404" s="79" t="n"/>
      <c r="L404" s="79" t="n"/>
      <c r="M404" s="79" t="n"/>
      <c r="N404" s="79" t="n"/>
      <c r="O404" s="79" t="n"/>
      <c r="P404" s="79" t="n"/>
      <c r="Q404" s="79" t="n"/>
      <c r="R404" s="79" t="n"/>
      <c r="S404" s="79" t="n"/>
      <c r="T404" s="79" t="n"/>
      <c r="U404" s="79" t="n"/>
      <c r="V404" s="79" t="n"/>
      <c r="W404" s="79" t="n"/>
      <c r="X404" s="79" t="n"/>
      <c r="Y404" s="79" t="n"/>
      <c r="Z404" s="79" t="n"/>
    </row>
    <row r="405">
      <c r="A405" s="79" t="n"/>
      <c r="B405" s="79" t="n"/>
      <c r="C405" s="79" t="n"/>
      <c r="D405" s="79" t="n"/>
      <c r="E405" s="79" t="n"/>
      <c r="F405" s="79" t="n"/>
      <c r="G405" s="79" t="n"/>
      <c r="H405" s="79" t="n"/>
      <c r="I405" s="79" t="n"/>
      <c r="J405" s="79" t="n"/>
      <c r="K405" s="79" t="n"/>
      <c r="L405" s="79" t="n"/>
      <c r="M405" s="79" t="n"/>
      <c r="N405" s="79" t="n"/>
      <c r="O405" s="79" t="n"/>
      <c r="P405" s="79" t="n"/>
      <c r="Q405" s="79" t="n"/>
      <c r="R405" s="79" t="n"/>
      <c r="S405" s="79" t="n"/>
      <c r="T405" s="79" t="n"/>
      <c r="U405" s="79" t="n"/>
      <c r="V405" s="79" t="n"/>
      <c r="W405" s="79" t="n"/>
      <c r="X405" s="79" t="n"/>
      <c r="Y405" s="79" t="n"/>
      <c r="Z405" s="79" t="n"/>
    </row>
    <row r="406">
      <c r="A406" s="79" t="n"/>
      <c r="B406" s="79" t="n"/>
      <c r="C406" s="79" t="n"/>
      <c r="D406" s="79" t="n"/>
      <c r="E406" s="79" t="n"/>
      <c r="F406" s="79" t="n"/>
      <c r="G406" s="79" t="n"/>
      <c r="H406" s="79" t="n"/>
      <c r="I406" s="79" t="n"/>
      <c r="J406" s="79" t="n"/>
      <c r="K406" s="79" t="n"/>
      <c r="L406" s="79" t="n"/>
      <c r="M406" s="79" t="n"/>
      <c r="N406" s="79" t="n"/>
      <c r="O406" s="79" t="n"/>
      <c r="P406" s="79" t="n"/>
      <c r="Q406" s="79" t="n"/>
      <c r="R406" s="79" t="n"/>
      <c r="S406" s="79" t="n"/>
      <c r="T406" s="79" t="n"/>
      <c r="U406" s="79" t="n"/>
      <c r="V406" s="79" t="n"/>
      <c r="W406" s="79" t="n"/>
      <c r="X406" s="79" t="n"/>
      <c r="Y406" s="79" t="n"/>
      <c r="Z406" s="79" t="n"/>
    </row>
    <row r="407">
      <c r="A407" s="79" t="n"/>
      <c r="B407" s="79" t="n"/>
      <c r="C407" s="79" t="n"/>
      <c r="D407" s="79" t="n"/>
      <c r="E407" s="79" t="n"/>
      <c r="F407" s="79" t="n"/>
      <c r="G407" s="79" t="n"/>
      <c r="H407" s="79" t="n"/>
      <c r="I407" s="79" t="n"/>
      <c r="J407" s="79" t="n"/>
      <c r="K407" s="79" t="n"/>
      <c r="L407" s="79" t="n"/>
      <c r="M407" s="79" t="n"/>
      <c r="N407" s="79" t="n"/>
      <c r="O407" s="79" t="n"/>
      <c r="P407" s="79" t="n"/>
      <c r="Q407" s="79" t="n"/>
      <c r="R407" s="79" t="n"/>
      <c r="S407" s="79" t="n"/>
      <c r="T407" s="79" t="n"/>
      <c r="U407" s="79" t="n"/>
      <c r="V407" s="79" t="n"/>
      <c r="W407" s="79" t="n"/>
      <c r="X407" s="79" t="n"/>
      <c r="Y407" s="79" t="n"/>
      <c r="Z407" s="79" t="n"/>
    </row>
    <row r="408">
      <c r="A408" s="79" t="n"/>
      <c r="B408" s="79" t="n"/>
      <c r="C408" s="79" t="n"/>
      <c r="D408" s="79" t="n"/>
      <c r="E408" s="79" t="n"/>
      <c r="F408" s="79" t="n"/>
      <c r="G408" s="79" t="n"/>
      <c r="H408" s="79" t="n"/>
      <c r="I408" s="79" t="n"/>
      <c r="J408" s="79" t="n"/>
      <c r="K408" s="79" t="n"/>
      <c r="L408" s="79" t="n"/>
      <c r="M408" s="79" t="n"/>
      <c r="N408" s="79" t="n"/>
      <c r="O408" s="79" t="n"/>
      <c r="P408" s="79" t="n"/>
      <c r="Q408" s="79" t="n"/>
      <c r="R408" s="79" t="n"/>
      <c r="S408" s="79" t="n"/>
      <c r="T408" s="79" t="n"/>
      <c r="U408" s="79" t="n"/>
      <c r="V408" s="79" t="n"/>
      <c r="W408" s="79" t="n"/>
      <c r="X408" s="79" t="n"/>
      <c r="Y408" s="79" t="n"/>
      <c r="Z408" s="79" t="n"/>
    </row>
    <row r="409">
      <c r="A409" s="79" t="n"/>
      <c r="B409" s="79" t="n"/>
      <c r="C409" s="79" t="n"/>
      <c r="D409" s="79" t="n"/>
      <c r="E409" s="79" t="n"/>
      <c r="F409" s="79" t="n"/>
      <c r="G409" s="79" t="n"/>
      <c r="H409" s="79" t="n"/>
      <c r="I409" s="79" t="n"/>
      <c r="J409" s="79" t="n"/>
      <c r="K409" s="79" t="n"/>
      <c r="L409" s="79" t="n"/>
      <c r="M409" s="79" t="n"/>
      <c r="N409" s="79" t="n"/>
      <c r="O409" s="79" t="n"/>
      <c r="P409" s="79" t="n"/>
      <c r="Q409" s="79" t="n"/>
      <c r="R409" s="79" t="n"/>
      <c r="S409" s="79" t="n"/>
      <c r="T409" s="79" t="n"/>
      <c r="U409" s="79" t="n"/>
      <c r="V409" s="79" t="n"/>
      <c r="W409" s="79" t="n"/>
      <c r="X409" s="79" t="n"/>
      <c r="Y409" s="79" t="n"/>
      <c r="Z409" s="79" t="n"/>
    </row>
    <row r="410">
      <c r="A410" s="79" t="n"/>
      <c r="B410" s="79" t="n"/>
      <c r="C410" s="79" t="n"/>
      <c r="D410" s="79" t="n"/>
      <c r="E410" s="79" t="n"/>
      <c r="F410" s="79" t="n"/>
      <c r="G410" s="79" t="n"/>
      <c r="H410" s="79" t="n"/>
      <c r="I410" s="79" t="n"/>
      <c r="J410" s="79" t="n"/>
      <c r="K410" s="79" t="n"/>
      <c r="L410" s="79" t="n"/>
      <c r="M410" s="79" t="n"/>
      <c r="N410" s="79" t="n"/>
      <c r="O410" s="79" t="n"/>
      <c r="P410" s="79" t="n"/>
      <c r="Q410" s="79" t="n"/>
      <c r="R410" s="79" t="n"/>
      <c r="S410" s="79" t="n"/>
      <c r="T410" s="79" t="n"/>
      <c r="U410" s="79" t="n"/>
      <c r="V410" s="79" t="n"/>
      <c r="W410" s="79" t="n"/>
      <c r="X410" s="79" t="n"/>
      <c r="Y410" s="79" t="n"/>
      <c r="Z410" s="79" t="n"/>
    </row>
    <row r="411">
      <c r="A411" s="79" t="n"/>
      <c r="B411" s="79" t="n"/>
      <c r="C411" s="79" t="n"/>
      <c r="D411" s="79" t="n"/>
      <c r="E411" s="79" t="n"/>
      <c r="F411" s="79" t="n"/>
      <c r="G411" s="79" t="n"/>
      <c r="H411" s="79" t="n"/>
      <c r="I411" s="79" t="n"/>
      <c r="J411" s="79" t="n"/>
      <c r="K411" s="79" t="n"/>
      <c r="L411" s="79" t="n"/>
      <c r="M411" s="79" t="n"/>
      <c r="N411" s="79" t="n"/>
      <c r="O411" s="79" t="n"/>
      <c r="P411" s="79" t="n"/>
      <c r="Q411" s="79" t="n"/>
      <c r="R411" s="79" t="n"/>
      <c r="S411" s="79" t="n"/>
      <c r="T411" s="79" t="n"/>
      <c r="U411" s="79" t="n"/>
      <c r="V411" s="79" t="n"/>
      <c r="W411" s="79" t="n"/>
      <c r="X411" s="79" t="n"/>
      <c r="Y411" s="79" t="n"/>
      <c r="Z411" s="79" t="n"/>
    </row>
    <row r="412">
      <c r="A412" s="79" t="n"/>
      <c r="B412" s="79" t="n"/>
      <c r="C412" s="79" t="n"/>
      <c r="D412" s="79" t="n"/>
      <c r="E412" s="79" t="n"/>
      <c r="F412" s="79" t="n"/>
      <c r="G412" s="79" t="n"/>
      <c r="H412" s="79" t="n"/>
      <c r="I412" s="79" t="n"/>
      <c r="J412" s="79" t="n"/>
      <c r="K412" s="79" t="n"/>
      <c r="L412" s="79" t="n"/>
      <c r="M412" s="79" t="n"/>
      <c r="N412" s="79" t="n"/>
      <c r="O412" s="79" t="n"/>
      <c r="P412" s="79" t="n"/>
      <c r="Q412" s="79" t="n"/>
      <c r="R412" s="79" t="n"/>
      <c r="S412" s="79" t="n"/>
      <c r="T412" s="79" t="n"/>
      <c r="U412" s="79" t="n"/>
      <c r="V412" s="79" t="n"/>
      <c r="W412" s="79" t="n"/>
      <c r="X412" s="79" t="n"/>
      <c r="Y412" s="79" t="n"/>
      <c r="Z412" s="79" t="n"/>
    </row>
    <row r="413">
      <c r="A413" s="79" t="n"/>
      <c r="B413" s="79" t="n"/>
      <c r="C413" s="79" t="n"/>
      <c r="D413" s="79" t="n"/>
      <c r="E413" s="79" t="n"/>
      <c r="F413" s="79" t="n"/>
      <c r="G413" s="79" t="n"/>
      <c r="H413" s="79" t="n"/>
      <c r="I413" s="79" t="n"/>
      <c r="J413" s="79" t="n"/>
      <c r="K413" s="79" t="n"/>
      <c r="L413" s="79" t="n"/>
      <c r="M413" s="79" t="n"/>
      <c r="N413" s="79" t="n"/>
      <c r="O413" s="79" t="n"/>
      <c r="P413" s="79" t="n"/>
      <c r="Q413" s="79" t="n"/>
      <c r="R413" s="79" t="n"/>
      <c r="S413" s="79" t="n"/>
      <c r="T413" s="79" t="n"/>
      <c r="U413" s="79" t="n"/>
      <c r="V413" s="79" t="n"/>
      <c r="W413" s="79" t="n"/>
      <c r="X413" s="79" t="n"/>
      <c r="Y413" s="79" t="n"/>
      <c r="Z413" s="79" t="n"/>
    </row>
    <row r="414">
      <c r="A414" s="79" t="n"/>
      <c r="B414" s="79" t="n"/>
      <c r="C414" s="79" t="n"/>
      <c r="D414" s="79" t="n"/>
      <c r="E414" s="79" t="n"/>
      <c r="F414" s="79" t="n"/>
      <c r="G414" s="79" t="n"/>
      <c r="H414" s="79" t="n"/>
      <c r="I414" s="79" t="n"/>
      <c r="J414" s="79" t="n"/>
      <c r="K414" s="79" t="n"/>
      <c r="L414" s="79" t="n"/>
      <c r="M414" s="79" t="n"/>
      <c r="N414" s="79" t="n"/>
      <c r="O414" s="79" t="n"/>
      <c r="P414" s="79" t="n"/>
      <c r="Q414" s="79" t="n"/>
      <c r="R414" s="79" t="n"/>
      <c r="S414" s="79" t="n"/>
      <c r="T414" s="79" t="n"/>
      <c r="U414" s="79" t="n"/>
      <c r="V414" s="79" t="n"/>
      <c r="W414" s="79" t="n"/>
      <c r="X414" s="79" t="n"/>
      <c r="Y414" s="79" t="n"/>
      <c r="Z414" s="79" t="n"/>
    </row>
    <row r="415">
      <c r="A415" s="79" t="n"/>
      <c r="B415" s="79" t="n"/>
      <c r="C415" s="79" t="n"/>
      <c r="D415" s="79" t="n"/>
      <c r="E415" s="79" t="n"/>
      <c r="F415" s="79" t="n"/>
      <c r="G415" s="79" t="n"/>
      <c r="H415" s="79" t="n"/>
      <c r="I415" s="79" t="n"/>
      <c r="J415" s="79" t="n"/>
      <c r="K415" s="79" t="n"/>
      <c r="L415" s="79" t="n"/>
      <c r="M415" s="79" t="n"/>
      <c r="N415" s="79" t="n"/>
      <c r="O415" s="79" t="n"/>
      <c r="P415" s="79" t="n"/>
      <c r="Q415" s="79" t="n"/>
      <c r="R415" s="79" t="n"/>
      <c r="S415" s="79" t="n"/>
      <c r="T415" s="79" t="n"/>
      <c r="U415" s="79" t="n"/>
      <c r="V415" s="79" t="n"/>
      <c r="W415" s="79" t="n"/>
      <c r="X415" s="79" t="n"/>
      <c r="Y415" s="79" t="n"/>
      <c r="Z415" s="79" t="n"/>
    </row>
    <row r="416">
      <c r="A416" s="79" t="n"/>
      <c r="B416" s="79" t="n"/>
      <c r="C416" s="79" t="n"/>
      <c r="D416" s="79" t="n"/>
      <c r="E416" s="79" t="n"/>
      <c r="F416" s="79" t="n"/>
      <c r="G416" s="79" t="n"/>
      <c r="H416" s="79" t="n"/>
      <c r="I416" s="79" t="n"/>
      <c r="J416" s="79" t="n"/>
      <c r="K416" s="79" t="n"/>
      <c r="L416" s="79" t="n"/>
      <c r="M416" s="79" t="n"/>
      <c r="N416" s="79" t="n"/>
      <c r="O416" s="79" t="n"/>
      <c r="P416" s="79" t="n"/>
      <c r="Q416" s="79" t="n"/>
      <c r="R416" s="79" t="n"/>
      <c r="S416" s="79" t="n"/>
      <c r="T416" s="79" t="n"/>
      <c r="U416" s="79" t="n"/>
      <c r="V416" s="79" t="n"/>
      <c r="W416" s="79" t="n"/>
      <c r="X416" s="79" t="n"/>
      <c r="Y416" s="79" t="n"/>
      <c r="Z416" s="79" t="n"/>
    </row>
    <row r="417">
      <c r="A417" s="79" t="n"/>
      <c r="B417" s="79" t="n"/>
      <c r="C417" s="79" t="n"/>
      <c r="D417" s="79" t="n"/>
      <c r="E417" s="79" t="n"/>
      <c r="F417" s="79" t="n"/>
      <c r="G417" s="79" t="n"/>
      <c r="H417" s="79" t="n"/>
      <c r="I417" s="79" t="n"/>
      <c r="J417" s="79" t="n"/>
      <c r="K417" s="79" t="n"/>
      <c r="L417" s="79" t="n"/>
      <c r="M417" s="79" t="n"/>
      <c r="N417" s="79" t="n"/>
      <c r="O417" s="79" t="n"/>
      <c r="P417" s="79" t="n"/>
      <c r="Q417" s="79" t="n"/>
      <c r="R417" s="79" t="n"/>
      <c r="S417" s="79" t="n"/>
      <c r="T417" s="79" t="n"/>
      <c r="U417" s="79" t="n"/>
      <c r="V417" s="79" t="n"/>
      <c r="W417" s="79" t="n"/>
      <c r="X417" s="79" t="n"/>
      <c r="Y417" s="79" t="n"/>
      <c r="Z417" s="79" t="n"/>
    </row>
    <row r="418">
      <c r="A418" s="79" t="n"/>
      <c r="B418" s="79" t="n"/>
      <c r="C418" s="79" t="n"/>
      <c r="D418" s="79" t="n"/>
      <c r="E418" s="79" t="n"/>
      <c r="F418" s="79" t="n"/>
      <c r="G418" s="79" t="n"/>
      <c r="H418" s="79" t="n"/>
      <c r="I418" s="79" t="n"/>
      <c r="J418" s="79" t="n"/>
      <c r="K418" s="79" t="n"/>
      <c r="L418" s="79" t="n"/>
      <c r="M418" s="79" t="n"/>
      <c r="N418" s="79" t="n"/>
      <c r="O418" s="79" t="n"/>
      <c r="P418" s="79" t="n"/>
      <c r="Q418" s="79" t="n"/>
      <c r="R418" s="79" t="n"/>
      <c r="S418" s="79" t="n"/>
      <c r="T418" s="79" t="n"/>
      <c r="U418" s="79" t="n"/>
      <c r="V418" s="79" t="n"/>
      <c r="W418" s="79" t="n"/>
      <c r="X418" s="79" t="n"/>
      <c r="Y418" s="79" t="n"/>
      <c r="Z418" s="79" t="n"/>
    </row>
    <row r="419">
      <c r="A419" s="79" t="n"/>
      <c r="B419" s="79" t="n"/>
      <c r="C419" s="79" t="n"/>
      <c r="D419" s="79" t="n"/>
      <c r="E419" s="79" t="n"/>
      <c r="F419" s="79" t="n"/>
      <c r="G419" s="79" t="n"/>
      <c r="H419" s="79" t="n"/>
      <c r="I419" s="79" t="n"/>
      <c r="J419" s="79" t="n"/>
      <c r="K419" s="79" t="n"/>
      <c r="L419" s="79" t="n"/>
      <c r="M419" s="79" t="n"/>
      <c r="N419" s="79" t="n"/>
      <c r="O419" s="79" t="n"/>
      <c r="P419" s="79" t="n"/>
      <c r="Q419" s="79" t="n"/>
      <c r="R419" s="79" t="n"/>
      <c r="S419" s="79" t="n"/>
      <c r="T419" s="79" t="n"/>
      <c r="U419" s="79" t="n"/>
      <c r="V419" s="79" t="n"/>
      <c r="W419" s="79" t="n"/>
      <c r="X419" s="79" t="n"/>
      <c r="Y419" s="79" t="n"/>
      <c r="Z419" s="79" t="n"/>
    </row>
    <row r="420">
      <c r="A420" s="79" t="n"/>
      <c r="B420" s="79" t="n"/>
      <c r="C420" s="79" t="n"/>
      <c r="D420" s="79" t="n"/>
      <c r="E420" s="79" t="n"/>
      <c r="F420" s="79" t="n"/>
      <c r="G420" s="79" t="n"/>
      <c r="H420" s="79" t="n"/>
      <c r="I420" s="79" t="n"/>
      <c r="J420" s="79" t="n"/>
      <c r="K420" s="79" t="n"/>
      <c r="L420" s="79" t="n"/>
      <c r="M420" s="79" t="n"/>
      <c r="N420" s="79" t="n"/>
      <c r="O420" s="79" t="n"/>
      <c r="P420" s="79" t="n"/>
      <c r="Q420" s="79" t="n"/>
      <c r="R420" s="79" t="n"/>
      <c r="S420" s="79" t="n"/>
      <c r="T420" s="79" t="n"/>
      <c r="U420" s="79" t="n"/>
      <c r="V420" s="79" t="n"/>
      <c r="W420" s="79" t="n"/>
      <c r="X420" s="79" t="n"/>
      <c r="Y420" s="79" t="n"/>
      <c r="Z420" s="79" t="n"/>
    </row>
    <row r="421">
      <c r="A421" s="79" t="n"/>
      <c r="B421" s="79" t="n"/>
      <c r="C421" s="79" t="n"/>
      <c r="D421" s="79" t="n"/>
      <c r="E421" s="79" t="n"/>
      <c r="F421" s="79" t="n"/>
      <c r="G421" s="79" t="n"/>
      <c r="H421" s="79" t="n"/>
      <c r="I421" s="79" t="n"/>
      <c r="J421" s="79" t="n"/>
      <c r="K421" s="79" t="n"/>
      <c r="L421" s="79" t="n"/>
      <c r="M421" s="79" t="n"/>
      <c r="N421" s="79" t="n"/>
      <c r="O421" s="79" t="n"/>
      <c r="P421" s="79" t="n"/>
      <c r="Q421" s="79" t="n"/>
      <c r="R421" s="79" t="n"/>
      <c r="S421" s="79" t="n"/>
      <c r="T421" s="79" t="n"/>
      <c r="U421" s="79" t="n"/>
      <c r="V421" s="79" t="n"/>
      <c r="W421" s="79" t="n"/>
      <c r="X421" s="79" t="n"/>
      <c r="Y421" s="79" t="n"/>
      <c r="Z421" s="79" t="n"/>
    </row>
    <row r="422">
      <c r="A422" s="79" t="n"/>
      <c r="B422" s="79" t="n"/>
      <c r="C422" s="79" t="n"/>
      <c r="D422" s="79" t="n"/>
      <c r="E422" s="79" t="n"/>
      <c r="F422" s="79" t="n"/>
      <c r="G422" s="79" t="n"/>
      <c r="H422" s="79" t="n"/>
      <c r="I422" s="79" t="n"/>
      <c r="J422" s="79" t="n"/>
      <c r="K422" s="79" t="n"/>
      <c r="L422" s="79" t="n"/>
      <c r="M422" s="79" t="n"/>
      <c r="N422" s="79" t="n"/>
      <c r="O422" s="79" t="n"/>
      <c r="P422" s="79" t="n"/>
      <c r="Q422" s="79" t="n"/>
      <c r="R422" s="79" t="n"/>
      <c r="S422" s="79" t="n"/>
      <c r="T422" s="79" t="n"/>
      <c r="U422" s="79" t="n"/>
      <c r="V422" s="79" t="n"/>
      <c r="W422" s="79" t="n"/>
      <c r="X422" s="79" t="n"/>
      <c r="Y422" s="79" t="n"/>
      <c r="Z422" s="79" t="n"/>
    </row>
    <row r="423">
      <c r="A423" s="79" t="n"/>
      <c r="B423" s="79" t="n"/>
      <c r="C423" s="79" t="n"/>
      <c r="D423" s="79" t="n"/>
      <c r="E423" s="79" t="n"/>
      <c r="F423" s="79" t="n"/>
      <c r="G423" s="79" t="n"/>
      <c r="H423" s="79" t="n"/>
      <c r="I423" s="79" t="n"/>
      <c r="J423" s="79" t="n"/>
      <c r="K423" s="79" t="n"/>
      <c r="L423" s="79" t="n"/>
      <c r="M423" s="79" t="n"/>
      <c r="N423" s="79" t="n"/>
      <c r="O423" s="79" t="n"/>
      <c r="P423" s="79" t="n"/>
      <c r="Q423" s="79" t="n"/>
      <c r="R423" s="79" t="n"/>
      <c r="S423" s="79" t="n"/>
      <c r="T423" s="79" t="n"/>
      <c r="U423" s="79" t="n"/>
      <c r="V423" s="79" t="n"/>
      <c r="W423" s="79" t="n"/>
      <c r="X423" s="79" t="n"/>
      <c r="Y423" s="79" t="n"/>
      <c r="Z423" s="79" t="n"/>
    </row>
    <row r="424">
      <c r="A424" s="79" t="n"/>
      <c r="B424" s="79" t="n"/>
      <c r="C424" s="79" t="n"/>
      <c r="D424" s="79" t="n"/>
      <c r="E424" s="79" t="n"/>
      <c r="F424" s="79" t="n"/>
      <c r="G424" s="79" t="n"/>
      <c r="H424" s="79" t="n"/>
      <c r="I424" s="79" t="n"/>
      <c r="J424" s="79" t="n"/>
      <c r="K424" s="79" t="n"/>
      <c r="L424" s="79" t="n"/>
      <c r="M424" s="79" t="n"/>
      <c r="N424" s="79" t="n"/>
      <c r="O424" s="79" t="n"/>
      <c r="P424" s="79" t="n"/>
      <c r="Q424" s="79" t="n"/>
      <c r="R424" s="79" t="n"/>
      <c r="S424" s="79" t="n"/>
      <c r="T424" s="79" t="n"/>
      <c r="U424" s="79" t="n"/>
      <c r="V424" s="79" t="n"/>
      <c r="W424" s="79" t="n"/>
      <c r="X424" s="79" t="n"/>
      <c r="Y424" s="79" t="n"/>
      <c r="Z424" s="79" t="n"/>
    </row>
    <row r="425">
      <c r="A425" s="79" t="n"/>
      <c r="B425" s="79" t="n"/>
      <c r="C425" s="79" t="n"/>
      <c r="D425" s="79" t="n"/>
      <c r="E425" s="79" t="n"/>
      <c r="F425" s="79" t="n"/>
      <c r="G425" s="79" t="n"/>
      <c r="H425" s="79" t="n"/>
      <c r="I425" s="79" t="n"/>
      <c r="J425" s="79" t="n"/>
      <c r="K425" s="79" t="n"/>
      <c r="L425" s="79" t="n"/>
      <c r="M425" s="79" t="n"/>
      <c r="N425" s="79" t="n"/>
      <c r="O425" s="79" t="n"/>
      <c r="P425" s="79" t="n"/>
      <c r="Q425" s="79" t="n"/>
      <c r="R425" s="79" t="n"/>
      <c r="S425" s="79" t="n"/>
      <c r="T425" s="79" t="n"/>
      <c r="U425" s="79" t="n"/>
      <c r="V425" s="79" t="n"/>
      <c r="W425" s="79" t="n"/>
      <c r="X425" s="79" t="n"/>
      <c r="Y425" s="79" t="n"/>
      <c r="Z425" s="79" t="n"/>
    </row>
    <row r="426">
      <c r="A426" s="79" t="n"/>
      <c r="B426" s="79" t="n"/>
      <c r="C426" s="79" t="n"/>
      <c r="D426" s="79" t="n"/>
      <c r="E426" s="79" t="n"/>
      <c r="F426" s="79" t="n"/>
      <c r="G426" s="79" t="n"/>
      <c r="H426" s="79" t="n"/>
      <c r="I426" s="79" t="n"/>
      <c r="J426" s="79" t="n"/>
      <c r="K426" s="79" t="n"/>
      <c r="L426" s="79" t="n"/>
      <c r="M426" s="79" t="n"/>
      <c r="N426" s="79" t="n"/>
      <c r="O426" s="79" t="n"/>
      <c r="P426" s="79" t="n"/>
      <c r="Q426" s="79" t="n"/>
      <c r="R426" s="79" t="n"/>
      <c r="S426" s="79" t="n"/>
      <c r="T426" s="79" t="n"/>
      <c r="U426" s="79" t="n"/>
      <c r="V426" s="79" t="n"/>
      <c r="W426" s="79" t="n"/>
      <c r="X426" s="79" t="n"/>
      <c r="Y426" s="79" t="n"/>
      <c r="Z426" s="79" t="n"/>
    </row>
    <row r="427">
      <c r="A427" s="79" t="n"/>
      <c r="B427" s="79" t="n"/>
      <c r="C427" s="79" t="n"/>
      <c r="D427" s="79" t="n"/>
      <c r="E427" s="79" t="n"/>
      <c r="F427" s="79" t="n"/>
      <c r="G427" s="79" t="n"/>
      <c r="H427" s="79" t="n"/>
      <c r="I427" s="79" t="n"/>
      <c r="J427" s="79" t="n"/>
      <c r="K427" s="79" t="n"/>
      <c r="L427" s="79" t="n"/>
      <c r="M427" s="79" t="n"/>
      <c r="N427" s="79" t="n"/>
      <c r="O427" s="79" t="n"/>
      <c r="P427" s="79" t="n"/>
      <c r="Q427" s="79" t="n"/>
      <c r="R427" s="79" t="n"/>
      <c r="S427" s="79" t="n"/>
      <c r="T427" s="79" t="n"/>
      <c r="U427" s="79" t="n"/>
      <c r="V427" s="79" t="n"/>
      <c r="W427" s="79" t="n"/>
      <c r="X427" s="79" t="n"/>
      <c r="Y427" s="79" t="n"/>
      <c r="Z427" s="79" t="n"/>
    </row>
    <row r="428">
      <c r="A428" s="79" t="n"/>
      <c r="B428" s="79" t="n"/>
      <c r="C428" s="79" t="n"/>
      <c r="D428" s="79" t="n"/>
      <c r="E428" s="79" t="n"/>
      <c r="F428" s="79" t="n"/>
      <c r="G428" s="79" t="n"/>
      <c r="H428" s="79" t="n"/>
      <c r="I428" s="79" t="n"/>
      <c r="J428" s="79" t="n"/>
      <c r="K428" s="79" t="n"/>
      <c r="L428" s="79" t="n"/>
      <c r="M428" s="79" t="n"/>
      <c r="N428" s="79" t="n"/>
      <c r="O428" s="79" t="n"/>
      <c r="P428" s="79" t="n"/>
      <c r="Q428" s="79" t="n"/>
      <c r="R428" s="79" t="n"/>
      <c r="S428" s="79" t="n"/>
      <c r="T428" s="79" t="n"/>
      <c r="U428" s="79" t="n"/>
      <c r="V428" s="79" t="n"/>
      <c r="W428" s="79" t="n"/>
      <c r="X428" s="79" t="n"/>
      <c r="Y428" s="79" t="n"/>
      <c r="Z428" s="79" t="n"/>
    </row>
    <row r="429">
      <c r="A429" s="79" t="n"/>
      <c r="B429" s="79" t="n"/>
      <c r="C429" s="79" t="n"/>
      <c r="D429" s="79" t="n"/>
      <c r="E429" s="79" t="n"/>
      <c r="F429" s="79" t="n"/>
      <c r="G429" s="79" t="n"/>
      <c r="H429" s="79" t="n"/>
      <c r="I429" s="79" t="n"/>
      <c r="J429" s="79" t="n"/>
      <c r="K429" s="79" t="n"/>
      <c r="L429" s="79" t="n"/>
      <c r="M429" s="79" t="n"/>
      <c r="N429" s="79" t="n"/>
      <c r="O429" s="79" t="n"/>
      <c r="P429" s="79" t="n"/>
      <c r="Q429" s="79" t="n"/>
      <c r="R429" s="79" t="n"/>
      <c r="S429" s="79" t="n"/>
      <c r="T429" s="79" t="n"/>
      <c r="U429" s="79" t="n"/>
      <c r="V429" s="79" t="n"/>
      <c r="W429" s="79" t="n"/>
      <c r="X429" s="79" t="n"/>
      <c r="Y429" s="79" t="n"/>
      <c r="Z429" s="79" t="n"/>
    </row>
    <row r="430">
      <c r="A430" s="79" t="n"/>
      <c r="B430" s="79" t="n"/>
      <c r="C430" s="79" t="n"/>
      <c r="D430" s="79" t="n"/>
      <c r="E430" s="79" t="n"/>
      <c r="F430" s="79" t="n"/>
      <c r="G430" s="79" t="n"/>
      <c r="H430" s="79" t="n"/>
      <c r="I430" s="79" t="n"/>
      <c r="J430" s="79" t="n"/>
      <c r="K430" s="79" t="n"/>
      <c r="L430" s="79" t="n"/>
      <c r="M430" s="79" t="n"/>
      <c r="N430" s="79" t="n"/>
      <c r="O430" s="79" t="n"/>
      <c r="P430" s="79" t="n"/>
      <c r="Q430" s="79" t="n"/>
      <c r="R430" s="79" t="n"/>
      <c r="S430" s="79" t="n"/>
      <c r="T430" s="79" t="n"/>
      <c r="U430" s="79" t="n"/>
      <c r="V430" s="79" t="n"/>
      <c r="W430" s="79" t="n"/>
      <c r="X430" s="79" t="n"/>
      <c r="Y430" s="79" t="n"/>
      <c r="Z430" s="79" t="n"/>
    </row>
    <row r="431">
      <c r="A431" s="79" t="n"/>
      <c r="B431" s="79" t="n"/>
      <c r="C431" s="79" t="n"/>
      <c r="D431" s="79" t="n"/>
      <c r="E431" s="79" t="n"/>
      <c r="F431" s="79" t="n"/>
      <c r="G431" s="79" t="n"/>
      <c r="H431" s="79" t="n"/>
      <c r="I431" s="79" t="n"/>
      <c r="J431" s="79" t="n"/>
      <c r="K431" s="79" t="n"/>
      <c r="L431" s="79" t="n"/>
      <c r="M431" s="79" t="n"/>
      <c r="N431" s="79" t="n"/>
      <c r="O431" s="79" t="n"/>
      <c r="P431" s="79" t="n"/>
      <c r="Q431" s="79" t="n"/>
      <c r="R431" s="79" t="n"/>
      <c r="S431" s="79" t="n"/>
      <c r="T431" s="79" t="n"/>
      <c r="U431" s="79" t="n"/>
      <c r="V431" s="79" t="n"/>
      <c r="W431" s="79" t="n"/>
      <c r="X431" s="79" t="n"/>
      <c r="Y431" s="79" t="n"/>
      <c r="Z431" s="79" t="n"/>
    </row>
    <row r="432">
      <c r="A432" s="79" t="n"/>
      <c r="B432" s="79" t="n"/>
      <c r="C432" s="79" t="n"/>
      <c r="D432" s="79" t="n"/>
      <c r="E432" s="79" t="n"/>
      <c r="F432" s="79" t="n"/>
      <c r="G432" s="79" t="n"/>
      <c r="H432" s="79" t="n"/>
      <c r="I432" s="79" t="n"/>
      <c r="J432" s="79" t="n"/>
      <c r="K432" s="79" t="n"/>
      <c r="L432" s="79" t="n"/>
      <c r="M432" s="79" t="n"/>
      <c r="N432" s="79" t="n"/>
      <c r="O432" s="79" t="n"/>
      <c r="P432" s="79" t="n"/>
      <c r="Q432" s="79" t="n"/>
      <c r="R432" s="79" t="n"/>
      <c r="S432" s="79" t="n"/>
      <c r="T432" s="79" t="n"/>
      <c r="U432" s="79" t="n"/>
      <c r="V432" s="79" t="n"/>
      <c r="W432" s="79" t="n"/>
      <c r="X432" s="79" t="n"/>
      <c r="Y432" s="79" t="n"/>
      <c r="Z432" s="79" t="n"/>
    </row>
    <row r="433">
      <c r="A433" s="79" t="n"/>
      <c r="B433" s="79" t="n"/>
      <c r="C433" s="79" t="n"/>
      <c r="D433" s="79" t="n"/>
      <c r="E433" s="79" t="n"/>
      <c r="F433" s="79" t="n"/>
      <c r="G433" s="79" t="n"/>
      <c r="H433" s="79" t="n"/>
      <c r="I433" s="79" t="n"/>
      <c r="J433" s="79" t="n"/>
      <c r="K433" s="79" t="n"/>
      <c r="L433" s="79" t="n"/>
      <c r="M433" s="79" t="n"/>
      <c r="N433" s="79" t="n"/>
      <c r="O433" s="79" t="n"/>
      <c r="P433" s="79" t="n"/>
      <c r="Q433" s="79" t="n"/>
      <c r="R433" s="79" t="n"/>
      <c r="S433" s="79" t="n"/>
      <c r="T433" s="79" t="n"/>
      <c r="U433" s="79" t="n"/>
      <c r="V433" s="79" t="n"/>
      <c r="W433" s="79" t="n"/>
      <c r="X433" s="79" t="n"/>
      <c r="Y433" s="79" t="n"/>
      <c r="Z433" s="79" t="n"/>
    </row>
    <row r="434">
      <c r="A434" s="79" t="n"/>
      <c r="B434" s="79" t="n"/>
      <c r="C434" s="79" t="n"/>
      <c r="D434" s="79" t="n"/>
      <c r="E434" s="79" t="n"/>
      <c r="F434" s="79" t="n"/>
      <c r="G434" s="79" t="n"/>
      <c r="H434" s="79" t="n"/>
      <c r="I434" s="79" t="n"/>
      <c r="J434" s="79" t="n"/>
      <c r="K434" s="79" t="n"/>
      <c r="L434" s="79" t="n"/>
      <c r="M434" s="79" t="n"/>
      <c r="N434" s="79" t="n"/>
      <c r="O434" s="79" t="n"/>
      <c r="P434" s="79" t="n"/>
      <c r="Q434" s="79" t="n"/>
      <c r="R434" s="79" t="n"/>
      <c r="S434" s="79" t="n"/>
      <c r="T434" s="79" t="n"/>
      <c r="U434" s="79" t="n"/>
      <c r="V434" s="79" t="n"/>
      <c r="W434" s="79" t="n"/>
      <c r="X434" s="79" t="n"/>
      <c r="Y434" s="79" t="n"/>
      <c r="Z434" s="79" t="n"/>
    </row>
    <row r="435">
      <c r="A435" s="79" t="n"/>
      <c r="B435" s="79" t="n"/>
      <c r="C435" s="79" t="n"/>
      <c r="D435" s="79" t="n"/>
      <c r="E435" s="79" t="n"/>
      <c r="F435" s="79" t="n"/>
      <c r="G435" s="79" t="n"/>
      <c r="H435" s="79" t="n"/>
      <c r="I435" s="79" t="n"/>
      <c r="J435" s="79" t="n"/>
      <c r="K435" s="79" t="n"/>
      <c r="L435" s="79" t="n"/>
      <c r="M435" s="79" t="n"/>
      <c r="N435" s="79" t="n"/>
      <c r="O435" s="79" t="n"/>
      <c r="P435" s="79" t="n"/>
      <c r="Q435" s="79" t="n"/>
      <c r="R435" s="79" t="n"/>
      <c r="S435" s="79" t="n"/>
      <c r="T435" s="79" t="n"/>
      <c r="U435" s="79" t="n"/>
      <c r="V435" s="79" t="n"/>
      <c r="W435" s="79" t="n"/>
      <c r="X435" s="79" t="n"/>
      <c r="Y435" s="79" t="n"/>
      <c r="Z435" s="79" t="n"/>
    </row>
    <row r="436">
      <c r="A436" s="79" t="n"/>
      <c r="B436" s="79" t="n"/>
      <c r="C436" s="79" t="n"/>
      <c r="D436" s="79" t="n"/>
      <c r="E436" s="79" t="n"/>
      <c r="F436" s="79" t="n"/>
      <c r="G436" s="79" t="n"/>
      <c r="H436" s="79" t="n"/>
      <c r="I436" s="79" t="n"/>
      <c r="J436" s="79" t="n"/>
      <c r="K436" s="79" t="n"/>
      <c r="L436" s="79" t="n"/>
      <c r="M436" s="79" t="n"/>
      <c r="N436" s="79" t="n"/>
      <c r="O436" s="79" t="n"/>
      <c r="P436" s="79" t="n"/>
      <c r="Q436" s="79" t="n"/>
      <c r="R436" s="79" t="n"/>
      <c r="S436" s="79" t="n"/>
      <c r="T436" s="79" t="n"/>
      <c r="U436" s="79" t="n"/>
      <c r="V436" s="79" t="n"/>
      <c r="W436" s="79" t="n"/>
      <c r="X436" s="79" t="n"/>
      <c r="Y436" s="79" t="n"/>
      <c r="Z436" s="79" t="n"/>
    </row>
    <row r="437">
      <c r="A437" s="79" t="n"/>
      <c r="B437" s="79" t="n"/>
      <c r="C437" s="79" t="n"/>
      <c r="D437" s="79" t="n"/>
      <c r="E437" s="79" t="n"/>
      <c r="F437" s="79" t="n"/>
      <c r="G437" s="79" t="n"/>
      <c r="H437" s="79" t="n"/>
      <c r="I437" s="79" t="n"/>
      <c r="J437" s="79" t="n"/>
      <c r="K437" s="79" t="n"/>
      <c r="L437" s="79" t="n"/>
      <c r="M437" s="79" t="n"/>
      <c r="N437" s="79" t="n"/>
      <c r="O437" s="79" t="n"/>
      <c r="P437" s="79" t="n"/>
      <c r="Q437" s="79" t="n"/>
      <c r="R437" s="79" t="n"/>
      <c r="S437" s="79" t="n"/>
      <c r="T437" s="79" t="n"/>
      <c r="U437" s="79" t="n"/>
      <c r="V437" s="79" t="n"/>
      <c r="W437" s="79" t="n"/>
      <c r="X437" s="79" t="n"/>
      <c r="Y437" s="79" t="n"/>
      <c r="Z437" s="79" t="n"/>
    </row>
    <row r="438">
      <c r="A438" s="79" t="n"/>
      <c r="B438" s="79" t="n"/>
      <c r="C438" s="79" t="n"/>
      <c r="D438" s="79" t="n"/>
      <c r="E438" s="79" t="n"/>
      <c r="F438" s="79" t="n"/>
      <c r="G438" s="79" t="n"/>
      <c r="H438" s="79" t="n"/>
      <c r="I438" s="79" t="n"/>
      <c r="J438" s="79" t="n"/>
      <c r="K438" s="79" t="n"/>
      <c r="L438" s="79" t="n"/>
      <c r="M438" s="79" t="n"/>
      <c r="N438" s="79" t="n"/>
      <c r="O438" s="79" t="n"/>
      <c r="P438" s="79" t="n"/>
      <c r="Q438" s="79" t="n"/>
      <c r="R438" s="79" t="n"/>
      <c r="S438" s="79" t="n"/>
      <c r="T438" s="79" t="n"/>
      <c r="U438" s="79" t="n"/>
      <c r="V438" s="79" t="n"/>
      <c r="W438" s="79" t="n"/>
      <c r="X438" s="79" t="n"/>
      <c r="Y438" s="79" t="n"/>
      <c r="Z438" s="79" t="n"/>
    </row>
    <row r="439">
      <c r="A439" s="79" t="n"/>
      <c r="B439" s="79" t="n"/>
      <c r="C439" s="79" t="n"/>
      <c r="D439" s="79" t="n"/>
      <c r="E439" s="79" t="n"/>
      <c r="F439" s="79" t="n"/>
      <c r="G439" s="79" t="n"/>
      <c r="H439" s="79" t="n"/>
      <c r="I439" s="79" t="n"/>
      <c r="J439" s="79" t="n"/>
      <c r="K439" s="79" t="n"/>
      <c r="L439" s="79" t="n"/>
      <c r="M439" s="79" t="n"/>
      <c r="N439" s="79" t="n"/>
      <c r="O439" s="79" t="n"/>
      <c r="P439" s="79" t="n"/>
      <c r="Q439" s="79" t="n"/>
      <c r="R439" s="79" t="n"/>
      <c r="S439" s="79" t="n"/>
      <c r="T439" s="79" t="n"/>
      <c r="U439" s="79" t="n"/>
      <c r="V439" s="79" t="n"/>
      <c r="W439" s="79" t="n"/>
      <c r="X439" s="79" t="n"/>
      <c r="Y439" s="79" t="n"/>
      <c r="Z439" s="79" t="n"/>
    </row>
    <row r="440">
      <c r="A440" s="79" t="n"/>
      <c r="B440" s="79" t="n"/>
      <c r="C440" s="79" t="n"/>
      <c r="D440" s="79" t="n"/>
      <c r="E440" s="79" t="n"/>
      <c r="F440" s="79" t="n"/>
      <c r="G440" s="79" t="n"/>
      <c r="H440" s="79" t="n"/>
      <c r="I440" s="79" t="n"/>
      <c r="J440" s="79" t="n"/>
      <c r="K440" s="79" t="n"/>
      <c r="L440" s="79" t="n"/>
      <c r="M440" s="79" t="n"/>
      <c r="N440" s="79" t="n"/>
      <c r="O440" s="79" t="n"/>
      <c r="P440" s="79" t="n"/>
      <c r="Q440" s="79" t="n"/>
      <c r="R440" s="79" t="n"/>
      <c r="S440" s="79" t="n"/>
      <c r="T440" s="79" t="n"/>
      <c r="U440" s="79" t="n"/>
      <c r="V440" s="79" t="n"/>
      <c r="W440" s="79" t="n"/>
      <c r="X440" s="79" t="n"/>
      <c r="Y440" s="79" t="n"/>
      <c r="Z440" s="79" t="n"/>
    </row>
    <row r="441">
      <c r="A441" s="79" t="n"/>
      <c r="B441" s="79" t="n"/>
      <c r="C441" s="79" t="n"/>
      <c r="D441" s="79" t="n"/>
      <c r="E441" s="79" t="n"/>
      <c r="F441" s="79" t="n"/>
      <c r="G441" s="79" t="n"/>
      <c r="H441" s="79" t="n"/>
      <c r="I441" s="79" t="n"/>
      <c r="J441" s="79" t="n"/>
      <c r="K441" s="79" t="n"/>
      <c r="L441" s="79" t="n"/>
      <c r="M441" s="79" t="n"/>
      <c r="N441" s="79" t="n"/>
      <c r="O441" s="79" t="n"/>
      <c r="P441" s="79" t="n"/>
      <c r="Q441" s="79" t="n"/>
      <c r="R441" s="79" t="n"/>
      <c r="S441" s="79" t="n"/>
      <c r="T441" s="79" t="n"/>
      <c r="U441" s="79" t="n"/>
      <c r="V441" s="79" t="n"/>
      <c r="W441" s="79" t="n"/>
      <c r="X441" s="79" t="n"/>
      <c r="Y441" s="79" t="n"/>
      <c r="Z441" s="79" t="n"/>
    </row>
    <row r="442">
      <c r="A442" s="79" t="n"/>
      <c r="B442" s="79" t="n"/>
      <c r="C442" s="79" t="n"/>
      <c r="D442" s="79" t="n"/>
      <c r="E442" s="79" t="n"/>
      <c r="F442" s="79" t="n"/>
      <c r="G442" s="79" t="n"/>
      <c r="H442" s="79" t="n"/>
      <c r="I442" s="79" t="n"/>
      <c r="J442" s="79" t="n"/>
      <c r="K442" s="79" t="n"/>
      <c r="L442" s="79" t="n"/>
      <c r="M442" s="79" t="n"/>
      <c r="N442" s="79" t="n"/>
      <c r="O442" s="79" t="n"/>
      <c r="P442" s="79" t="n"/>
      <c r="Q442" s="79" t="n"/>
      <c r="R442" s="79" t="n"/>
      <c r="S442" s="79" t="n"/>
      <c r="T442" s="79" t="n"/>
      <c r="U442" s="79" t="n"/>
      <c r="V442" s="79" t="n"/>
      <c r="W442" s="79" t="n"/>
      <c r="X442" s="79" t="n"/>
      <c r="Y442" s="79" t="n"/>
      <c r="Z442" s="79" t="n"/>
    </row>
    <row r="443">
      <c r="A443" s="79" t="n"/>
      <c r="B443" s="79" t="n"/>
      <c r="C443" s="79" t="n"/>
      <c r="D443" s="79" t="n"/>
      <c r="E443" s="79" t="n"/>
      <c r="F443" s="79" t="n"/>
      <c r="G443" s="79" t="n"/>
      <c r="H443" s="79" t="n"/>
      <c r="I443" s="79" t="n"/>
      <c r="J443" s="79" t="n"/>
      <c r="K443" s="79" t="n"/>
      <c r="L443" s="79" t="n"/>
      <c r="M443" s="79" t="n"/>
      <c r="N443" s="79" t="n"/>
      <c r="O443" s="79" t="n"/>
      <c r="P443" s="79" t="n"/>
      <c r="Q443" s="79" t="n"/>
      <c r="R443" s="79" t="n"/>
      <c r="S443" s="79" t="n"/>
      <c r="T443" s="79" t="n"/>
      <c r="U443" s="79" t="n"/>
      <c r="V443" s="79" t="n"/>
      <c r="W443" s="79" t="n"/>
      <c r="X443" s="79" t="n"/>
      <c r="Y443" s="79" t="n"/>
      <c r="Z443" s="79" t="n"/>
    </row>
    <row r="444">
      <c r="A444" s="79" t="n"/>
      <c r="B444" s="79" t="n"/>
      <c r="C444" s="79" t="n"/>
      <c r="D444" s="79" t="n"/>
      <c r="E444" s="79" t="n"/>
      <c r="F444" s="79" t="n"/>
      <c r="G444" s="79" t="n"/>
      <c r="H444" s="79" t="n"/>
      <c r="I444" s="79" t="n"/>
      <c r="J444" s="79" t="n"/>
      <c r="K444" s="79" t="n"/>
      <c r="L444" s="79" t="n"/>
      <c r="M444" s="79" t="n"/>
      <c r="N444" s="79" t="n"/>
      <c r="O444" s="79" t="n"/>
      <c r="P444" s="79" t="n"/>
      <c r="Q444" s="79" t="n"/>
      <c r="R444" s="79" t="n"/>
      <c r="S444" s="79" t="n"/>
      <c r="T444" s="79" t="n"/>
      <c r="U444" s="79" t="n"/>
      <c r="V444" s="79" t="n"/>
      <c r="W444" s="79" t="n"/>
      <c r="X444" s="79" t="n"/>
      <c r="Y444" s="79" t="n"/>
      <c r="Z444" s="79" t="n"/>
    </row>
    <row r="445">
      <c r="A445" s="79" t="n"/>
      <c r="B445" s="79" t="n"/>
      <c r="C445" s="79" t="n"/>
      <c r="D445" s="79" t="n"/>
      <c r="E445" s="79" t="n"/>
      <c r="F445" s="79" t="n"/>
      <c r="G445" s="79" t="n"/>
      <c r="H445" s="79" t="n"/>
      <c r="I445" s="79" t="n"/>
      <c r="J445" s="79" t="n"/>
      <c r="K445" s="79" t="n"/>
      <c r="L445" s="79" t="n"/>
      <c r="M445" s="79" t="n"/>
      <c r="N445" s="79" t="n"/>
      <c r="O445" s="79" t="n"/>
      <c r="P445" s="79" t="n"/>
      <c r="Q445" s="79" t="n"/>
      <c r="R445" s="79" t="n"/>
      <c r="S445" s="79" t="n"/>
      <c r="T445" s="79" t="n"/>
      <c r="U445" s="79" t="n"/>
      <c r="V445" s="79" t="n"/>
      <c r="W445" s="79" t="n"/>
      <c r="X445" s="79" t="n"/>
      <c r="Y445" s="79" t="n"/>
      <c r="Z445" s="79" t="n"/>
    </row>
    <row r="446">
      <c r="A446" s="79" t="n"/>
      <c r="B446" s="79" t="n"/>
      <c r="C446" s="79" t="n"/>
      <c r="D446" s="79" t="n"/>
      <c r="E446" s="79" t="n"/>
      <c r="F446" s="79" t="n"/>
      <c r="G446" s="79" t="n"/>
      <c r="H446" s="79" t="n"/>
      <c r="I446" s="79" t="n"/>
      <c r="J446" s="79" t="n"/>
      <c r="K446" s="79" t="n"/>
      <c r="L446" s="79" t="n"/>
      <c r="M446" s="79" t="n"/>
      <c r="N446" s="79" t="n"/>
      <c r="O446" s="79" t="n"/>
      <c r="P446" s="79" t="n"/>
      <c r="Q446" s="79" t="n"/>
      <c r="R446" s="79" t="n"/>
      <c r="S446" s="79" t="n"/>
      <c r="T446" s="79" t="n"/>
      <c r="U446" s="79" t="n"/>
      <c r="V446" s="79" t="n"/>
      <c r="W446" s="79" t="n"/>
      <c r="X446" s="79" t="n"/>
      <c r="Y446" s="79" t="n"/>
      <c r="Z446" s="79" t="n"/>
    </row>
    <row r="447">
      <c r="A447" s="79" t="n"/>
      <c r="B447" s="79" t="n"/>
      <c r="C447" s="79" t="n"/>
      <c r="D447" s="79" t="n"/>
      <c r="E447" s="79" t="n"/>
      <c r="F447" s="79" t="n"/>
      <c r="G447" s="79" t="n"/>
      <c r="H447" s="79" t="n"/>
      <c r="I447" s="79" t="n"/>
      <c r="J447" s="79" t="n"/>
      <c r="K447" s="79" t="n"/>
      <c r="L447" s="79" t="n"/>
      <c r="M447" s="79" t="n"/>
      <c r="N447" s="79" t="n"/>
      <c r="O447" s="79" t="n"/>
      <c r="P447" s="79" t="n"/>
      <c r="Q447" s="79" t="n"/>
      <c r="R447" s="79" t="n"/>
      <c r="S447" s="79" t="n"/>
      <c r="T447" s="79" t="n"/>
      <c r="U447" s="79" t="n"/>
      <c r="V447" s="79" t="n"/>
      <c r="W447" s="79" t="n"/>
      <c r="X447" s="79" t="n"/>
      <c r="Y447" s="79" t="n"/>
      <c r="Z447" s="79" t="n"/>
    </row>
    <row r="448">
      <c r="A448" s="79" t="n"/>
      <c r="B448" s="79" t="n"/>
      <c r="C448" s="79" t="n"/>
      <c r="D448" s="79" t="n"/>
      <c r="E448" s="79" t="n"/>
      <c r="F448" s="79" t="n"/>
      <c r="G448" s="79" t="n"/>
      <c r="H448" s="79" t="n"/>
      <c r="I448" s="79" t="n"/>
      <c r="J448" s="79" t="n"/>
      <c r="K448" s="79" t="n"/>
      <c r="L448" s="79" t="n"/>
      <c r="M448" s="79" t="n"/>
      <c r="N448" s="79" t="n"/>
      <c r="O448" s="79" t="n"/>
      <c r="P448" s="79" t="n"/>
      <c r="Q448" s="79" t="n"/>
      <c r="R448" s="79" t="n"/>
      <c r="S448" s="79" t="n"/>
      <c r="T448" s="79" t="n"/>
      <c r="U448" s="79" t="n"/>
      <c r="V448" s="79" t="n"/>
      <c r="W448" s="79" t="n"/>
      <c r="X448" s="79" t="n"/>
      <c r="Y448" s="79" t="n"/>
      <c r="Z448" s="79" t="n"/>
    </row>
    <row r="449">
      <c r="A449" s="79" t="n"/>
      <c r="B449" s="79" t="n"/>
      <c r="C449" s="79" t="n"/>
      <c r="D449" s="79" t="n"/>
      <c r="E449" s="79" t="n"/>
      <c r="F449" s="79" t="n"/>
      <c r="G449" s="79" t="n"/>
      <c r="H449" s="79" t="n"/>
      <c r="I449" s="79" t="n"/>
      <c r="J449" s="79" t="n"/>
      <c r="K449" s="79" t="n"/>
      <c r="L449" s="79" t="n"/>
      <c r="M449" s="79" t="n"/>
      <c r="N449" s="79" t="n"/>
      <c r="O449" s="79" t="n"/>
      <c r="P449" s="79" t="n"/>
      <c r="Q449" s="79" t="n"/>
      <c r="R449" s="79" t="n"/>
      <c r="S449" s="79" t="n"/>
      <c r="T449" s="79" t="n"/>
      <c r="U449" s="79" t="n"/>
      <c r="V449" s="79" t="n"/>
      <c r="W449" s="79" t="n"/>
      <c r="X449" s="79" t="n"/>
      <c r="Y449" s="79" t="n"/>
      <c r="Z449" s="79" t="n"/>
    </row>
    <row r="450">
      <c r="A450" s="79" t="n"/>
      <c r="B450" s="79" t="n"/>
      <c r="C450" s="79" t="n"/>
      <c r="D450" s="79" t="n"/>
      <c r="E450" s="79" t="n"/>
      <c r="F450" s="79" t="n"/>
      <c r="G450" s="79" t="n"/>
      <c r="H450" s="79" t="n"/>
      <c r="I450" s="79" t="n"/>
      <c r="J450" s="79" t="n"/>
      <c r="K450" s="79" t="n"/>
      <c r="L450" s="79" t="n"/>
      <c r="M450" s="79" t="n"/>
      <c r="N450" s="79" t="n"/>
      <c r="O450" s="79" t="n"/>
      <c r="P450" s="79" t="n"/>
      <c r="Q450" s="79" t="n"/>
      <c r="R450" s="79" t="n"/>
      <c r="S450" s="79" t="n"/>
      <c r="T450" s="79" t="n"/>
      <c r="U450" s="79" t="n"/>
      <c r="V450" s="79" t="n"/>
      <c r="W450" s="79" t="n"/>
      <c r="X450" s="79" t="n"/>
      <c r="Y450" s="79" t="n"/>
      <c r="Z450" s="79" t="n"/>
    </row>
    <row r="451">
      <c r="A451" s="79" t="n"/>
      <c r="B451" s="79" t="n"/>
      <c r="C451" s="79" t="n"/>
      <c r="D451" s="79" t="n"/>
      <c r="E451" s="79" t="n"/>
      <c r="F451" s="79" t="n"/>
      <c r="G451" s="79" t="n"/>
      <c r="H451" s="79" t="n"/>
      <c r="I451" s="79" t="n"/>
      <c r="J451" s="79" t="n"/>
      <c r="K451" s="79" t="n"/>
      <c r="L451" s="79" t="n"/>
      <c r="M451" s="79" t="n"/>
      <c r="N451" s="79" t="n"/>
      <c r="O451" s="79" t="n"/>
      <c r="P451" s="79" t="n"/>
      <c r="Q451" s="79" t="n"/>
      <c r="R451" s="79" t="n"/>
      <c r="S451" s="79" t="n"/>
      <c r="T451" s="79" t="n"/>
      <c r="U451" s="79" t="n"/>
      <c r="V451" s="79" t="n"/>
      <c r="W451" s="79" t="n"/>
      <c r="X451" s="79" t="n"/>
      <c r="Y451" s="79" t="n"/>
      <c r="Z451" s="79" t="n"/>
    </row>
    <row r="452">
      <c r="A452" s="79" t="n"/>
      <c r="B452" s="79" t="n"/>
      <c r="C452" s="79" t="n"/>
      <c r="D452" s="79" t="n"/>
      <c r="E452" s="79" t="n"/>
      <c r="F452" s="79" t="n"/>
      <c r="G452" s="79" t="n"/>
      <c r="H452" s="79" t="n"/>
      <c r="I452" s="79" t="n"/>
      <c r="J452" s="79" t="n"/>
      <c r="K452" s="79" t="n"/>
      <c r="L452" s="79" t="n"/>
      <c r="M452" s="79" t="n"/>
      <c r="N452" s="79" t="n"/>
      <c r="O452" s="79" t="n"/>
      <c r="P452" s="79" t="n"/>
      <c r="Q452" s="79" t="n"/>
      <c r="R452" s="79" t="n"/>
      <c r="S452" s="79" t="n"/>
      <c r="T452" s="79" t="n"/>
      <c r="U452" s="79" t="n"/>
      <c r="V452" s="79" t="n"/>
      <c r="W452" s="79" t="n"/>
      <c r="X452" s="79" t="n"/>
      <c r="Y452" s="79" t="n"/>
      <c r="Z452" s="79" t="n"/>
    </row>
    <row r="453">
      <c r="A453" s="79" t="n"/>
      <c r="B453" s="79" t="n"/>
      <c r="C453" s="79" t="n"/>
      <c r="D453" s="79" t="n"/>
      <c r="E453" s="79" t="n"/>
      <c r="F453" s="79" t="n"/>
      <c r="G453" s="79" t="n"/>
      <c r="H453" s="79" t="n"/>
      <c r="I453" s="79" t="n"/>
      <c r="J453" s="79" t="n"/>
      <c r="K453" s="79" t="n"/>
      <c r="L453" s="79" t="n"/>
      <c r="M453" s="79" t="n"/>
      <c r="N453" s="79" t="n"/>
      <c r="O453" s="79" t="n"/>
      <c r="P453" s="79" t="n"/>
      <c r="Q453" s="79" t="n"/>
      <c r="R453" s="79" t="n"/>
      <c r="S453" s="79" t="n"/>
      <c r="T453" s="79" t="n"/>
      <c r="U453" s="79" t="n"/>
      <c r="V453" s="79" t="n"/>
      <c r="W453" s="79" t="n"/>
      <c r="X453" s="79" t="n"/>
      <c r="Y453" s="79" t="n"/>
      <c r="Z453" s="79" t="n"/>
    </row>
    <row r="454">
      <c r="A454" s="79" t="n"/>
      <c r="B454" s="79" t="n"/>
      <c r="C454" s="79" t="n"/>
      <c r="D454" s="79" t="n"/>
      <c r="E454" s="79" t="n"/>
      <c r="F454" s="79" t="n"/>
      <c r="G454" s="79" t="n"/>
      <c r="H454" s="79" t="n"/>
      <c r="I454" s="79" t="n"/>
      <c r="J454" s="79" t="n"/>
      <c r="K454" s="79" t="n"/>
      <c r="L454" s="79" t="n"/>
      <c r="M454" s="79" t="n"/>
      <c r="N454" s="79" t="n"/>
      <c r="O454" s="79" t="n"/>
      <c r="P454" s="79" t="n"/>
      <c r="Q454" s="79" t="n"/>
      <c r="R454" s="79" t="n"/>
      <c r="S454" s="79" t="n"/>
      <c r="T454" s="79" t="n"/>
      <c r="U454" s="79" t="n"/>
      <c r="V454" s="79" t="n"/>
      <c r="W454" s="79" t="n"/>
      <c r="X454" s="79" t="n"/>
      <c r="Y454" s="79" t="n"/>
      <c r="Z454" s="79" t="n"/>
    </row>
    <row r="455">
      <c r="A455" s="79" t="n"/>
      <c r="B455" s="79" t="n"/>
      <c r="C455" s="79" t="n"/>
      <c r="D455" s="79" t="n"/>
      <c r="E455" s="79" t="n"/>
      <c r="F455" s="79" t="n"/>
      <c r="G455" s="79" t="n"/>
      <c r="H455" s="79" t="n"/>
      <c r="I455" s="79" t="n"/>
      <c r="J455" s="79" t="n"/>
      <c r="K455" s="79" t="n"/>
      <c r="L455" s="79" t="n"/>
      <c r="M455" s="79" t="n"/>
      <c r="N455" s="79" t="n"/>
      <c r="O455" s="79" t="n"/>
      <c r="P455" s="79" t="n"/>
      <c r="Q455" s="79" t="n"/>
      <c r="R455" s="79" t="n"/>
      <c r="S455" s="79" t="n"/>
      <c r="T455" s="79" t="n"/>
      <c r="U455" s="79" t="n"/>
      <c r="V455" s="79" t="n"/>
      <c r="W455" s="79" t="n"/>
      <c r="X455" s="79" t="n"/>
      <c r="Y455" s="79" t="n"/>
      <c r="Z455" s="79" t="n"/>
    </row>
    <row r="456">
      <c r="A456" s="79" t="n"/>
      <c r="B456" s="79" t="n"/>
      <c r="C456" s="79" t="n"/>
      <c r="D456" s="79" t="n"/>
      <c r="E456" s="79" t="n"/>
      <c r="F456" s="79" t="n"/>
      <c r="G456" s="79" t="n"/>
      <c r="H456" s="79" t="n"/>
      <c r="I456" s="79" t="n"/>
      <c r="J456" s="79" t="n"/>
      <c r="K456" s="79" t="n"/>
      <c r="L456" s="79" t="n"/>
      <c r="M456" s="79" t="n"/>
      <c r="N456" s="79" t="n"/>
      <c r="O456" s="79" t="n"/>
      <c r="P456" s="79" t="n"/>
      <c r="Q456" s="79" t="n"/>
      <c r="R456" s="79" t="n"/>
      <c r="S456" s="79" t="n"/>
      <c r="T456" s="79" t="n"/>
      <c r="U456" s="79" t="n"/>
      <c r="V456" s="79" t="n"/>
      <c r="W456" s="79" t="n"/>
      <c r="X456" s="79" t="n"/>
      <c r="Y456" s="79" t="n"/>
      <c r="Z456" s="79" t="n"/>
    </row>
    <row r="457">
      <c r="A457" s="79" t="n"/>
      <c r="B457" s="79" t="n"/>
      <c r="C457" s="79" t="n"/>
      <c r="D457" s="79" t="n"/>
      <c r="E457" s="79" t="n"/>
      <c r="F457" s="79" t="n"/>
      <c r="G457" s="79" t="n"/>
      <c r="H457" s="79" t="n"/>
      <c r="I457" s="79" t="n"/>
      <c r="J457" s="79" t="n"/>
      <c r="K457" s="79" t="n"/>
      <c r="L457" s="79" t="n"/>
      <c r="M457" s="79" t="n"/>
      <c r="N457" s="79" t="n"/>
      <c r="O457" s="79" t="n"/>
      <c r="P457" s="79" t="n"/>
      <c r="Q457" s="79" t="n"/>
      <c r="R457" s="79" t="n"/>
      <c r="S457" s="79" t="n"/>
      <c r="T457" s="79" t="n"/>
      <c r="U457" s="79" t="n"/>
      <c r="V457" s="79" t="n"/>
      <c r="W457" s="79" t="n"/>
      <c r="X457" s="79" t="n"/>
      <c r="Y457" s="79" t="n"/>
      <c r="Z457" s="79" t="n"/>
    </row>
    <row r="458">
      <c r="A458" s="79" t="n"/>
      <c r="B458" s="79" t="n"/>
      <c r="C458" s="79" t="n"/>
      <c r="D458" s="79" t="n"/>
      <c r="E458" s="79" t="n"/>
      <c r="F458" s="79" t="n"/>
      <c r="G458" s="79" t="n"/>
      <c r="H458" s="79" t="n"/>
      <c r="I458" s="79" t="n"/>
      <c r="J458" s="79" t="n"/>
      <c r="K458" s="79" t="n"/>
      <c r="L458" s="79" t="n"/>
      <c r="M458" s="79" t="n"/>
      <c r="N458" s="79" t="n"/>
      <c r="O458" s="79" t="n"/>
      <c r="P458" s="79" t="n"/>
      <c r="Q458" s="79" t="n"/>
      <c r="R458" s="79" t="n"/>
      <c r="S458" s="79" t="n"/>
      <c r="T458" s="79" t="n"/>
      <c r="U458" s="79" t="n"/>
      <c r="V458" s="79" t="n"/>
      <c r="W458" s="79" t="n"/>
      <c r="X458" s="79" t="n"/>
      <c r="Y458" s="79" t="n"/>
      <c r="Z458" s="79" t="n"/>
    </row>
    <row r="459">
      <c r="A459" s="79" t="n"/>
      <c r="B459" s="79" t="n"/>
      <c r="C459" s="79" t="n"/>
      <c r="D459" s="79" t="n"/>
      <c r="E459" s="79" t="n"/>
      <c r="F459" s="79" t="n"/>
      <c r="G459" s="79" t="n"/>
      <c r="H459" s="79" t="n"/>
      <c r="I459" s="79" t="n"/>
      <c r="J459" s="79" t="n"/>
      <c r="K459" s="79" t="n"/>
      <c r="L459" s="79" t="n"/>
      <c r="M459" s="79" t="n"/>
      <c r="N459" s="79" t="n"/>
      <c r="O459" s="79" t="n"/>
      <c r="P459" s="79" t="n"/>
      <c r="Q459" s="79" t="n"/>
      <c r="R459" s="79" t="n"/>
      <c r="S459" s="79" t="n"/>
      <c r="T459" s="79" t="n"/>
      <c r="U459" s="79" t="n"/>
      <c r="V459" s="79" t="n"/>
      <c r="W459" s="79" t="n"/>
      <c r="X459" s="79" t="n"/>
      <c r="Y459" s="79" t="n"/>
      <c r="Z459" s="79" t="n"/>
    </row>
    <row r="460">
      <c r="A460" s="79" t="n"/>
      <c r="B460" s="79" t="n"/>
      <c r="C460" s="79" t="n"/>
      <c r="D460" s="79" t="n"/>
      <c r="E460" s="79" t="n"/>
      <c r="F460" s="79" t="n"/>
      <c r="G460" s="79" t="n"/>
      <c r="H460" s="79" t="n"/>
      <c r="I460" s="79" t="n"/>
      <c r="J460" s="79" t="n"/>
      <c r="K460" s="79" t="n"/>
      <c r="L460" s="79" t="n"/>
      <c r="M460" s="79" t="n"/>
      <c r="N460" s="79" t="n"/>
      <c r="O460" s="79" t="n"/>
      <c r="P460" s="79" t="n"/>
      <c r="Q460" s="79" t="n"/>
      <c r="R460" s="79" t="n"/>
      <c r="S460" s="79" t="n"/>
      <c r="T460" s="79" t="n"/>
      <c r="U460" s="79" t="n"/>
      <c r="V460" s="79" t="n"/>
      <c r="W460" s="79" t="n"/>
      <c r="X460" s="79" t="n"/>
      <c r="Y460" s="79" t="n"/>
      <c r="Z460" s="79" t="n"/>
    </row>
    <row r="461">
      <c r="A461" s="79" t="n"/>
      <c r="B461" s="79" t="n"/>
      <c r="C461" s="79" t="n"/>
      <c r="D461" s="79" t="n"/>
      <c r="E461" s="79" t="n"/>
      <c r="F461" s="79" t="n"/>
      <c r="G461" s="79" t="n"/>
      <c r="H461" s="79" t="n"/>
      <c r="I461" s="79" t="n"/>
      <c r="J461" s="79" t="n"/>
      <c r="K461" s="79" t="n"/>
      <c r="L461" s="79" t="n"/>
      <c r="M461" s="79" t="n"/>
      <c r="N461" s="79" t="n"/>
      <c r="O461" s="79" t="n"/>
      <c r="P461" s="79" t="n"/>
      <c r="Q461" s="79" t="n"/>
      <c r="R461" s="79" t="n"/>
      <c r="S461" s="79" t="n"/>
      <c r="T461" s="79" t="n"/>
      <c r="U461" s="79" t="n"/>
      <c r="V461" s="79" t="n"/>
      <c r="W461" s="79" t="n"/>
      <c r="X461" s="79" t="n"/>
      <c r="Y461" s="79" t="n"/>
      <c r="Z461" s="79" t="n"/>
    </row>
    <row r="462">
      <c r="A462" s="79" t="n"/>
      <c r="B462" s="79" t="n"/>
      <c r="C462" s="79" t="n"/>
      <c r="D462" s="79" t="n"/>
      <c r="E462" s="79" t="n"/>
      <c r="F462" s="79" t="n"/>
      <c r="G462" s="79" t="n"/>
      <c r="H462" s="79" t="n"/>
      <c r="I462" s="79" t="n"/>
      <c r="J462" s="79" t="n"/>
      <c r="K462" s="79" t="n"/>
      <c r="L462" s="79" t="n"/>
      <c r="M462" s="79" t="n"/>
      <c r="N462" s="79" t="n"/>
      <c r="O462" s="79" t="n"/>
      <c r="P462" s="79" t="n"/>
      <c r="Q462" s="79" t="n"/>
      <c r="R462" s="79" t="n"/>
      <c r="S462" s="79" t="n"/>
      <c r="T462" s="79" t="n"/>
      <c r="U462" s="79" t="n"/>
      <c r="V462" s="79" t="n"/>
      <c r="W462" s="79" t="n"/>
      <c r="X462" s="79" t="n"/>
      <c r="Y462" s="79" t="n"/>
      <c r="Z462" s="79" t="n"/>
    </row>
    <row r="463">
      <c r="A463" s="79" t="n"/>
      <c r="B463" s="79" t="n"/>
      <c r="C463" s="79" t="n"/>
      <c r="D463" s="79" t="n"/>
      <c r="E463" s="79" t="n"/>
      <c r="F463" s="79" t="n"/>
      <c r="G463" s="79" t="n"/>
      <c r="H463" s="79" t="n"/>
      <c r="I463" s="79" t="n"/>
      <c r="J463" s="79" t="n"/>
      <c r="K463" s="79" t="n"/>
      <c r="L463" s="79" t="n"/>
      <c r="M463" s="79" t="n"/>
      <c r="N463" s="79" t="n"/>
      <c r="O463" s="79" t="n"/>
      <c r="P463" s="79" t="n"/>
      <c r="Q463" s="79" t="n"/>
      <c r="R463" s="79" t="n"/>
      <c r="S463" s="79" t="n"/>
      <c r="T463" s="79" t="n"/>
      <c r="U463" s="79" t="n"/>
      <c r="V463" s="79" t="n"/>
      <c r="W463" s="79" t="n"/>
      <c r="X463" s="79" t="n"/>
      <c r="Y463" s="79" t="n"/>
      <c r="Z463" s="79" t="n"/>
    </row>
    <row r="464">
      <c r="A464" s="79" t="n"/>
      <c r="B464" s="79" t="n"/>
      <c r="C464" s="79" t="n"/>
      <c r="D464" s="79" t="n"/>
      <c r="E464" s="79" t="n"/>
      <c r="F464" s="79" t="n"/>
      <c r="G464" s="79" t="n"/>
      <c r="H464" s="79" t="n"/>
      <c r="I464" s="79" t="n"/>
      <c r="J464" s="79" t="n"/>
      <c r="K464" s="79" t="n"/>
      <c r="L464" s="79" t="n"/>
      <c r="M464" s="79" t="n"/>
      <c r="N464" s="79" t="n"/>
      <c r="O464" s="79" t="n"/>
      <c r="P464" s="79" t="n"/>
      <c r="Q464" s="79" t="n"/>
      <c r="R464" s="79" t="n"/>
      <c r="S464" s="79" t="n"/>
      <c r="T464" s="79" t="n"/>
      <c r="U464" s="79" t="n"/>
      <c r="V464" s="79" t="n"/>
      <c r="W464" s="79" t="n"/>
      <c r="X464" s="79" t="n"/>
      <c r="Y464" s="79" t="n"/>
      <c r="Z464" s="79" t="n"/>
    </row>
    <row r="465">
      <c r="A465" s="79" t="n"/>
      <c r="B465" s="79" t="n"/>
      <c r="C465" s="79" t="n"/>
      <c r="D465" s="79" t="n"/>
      <c r="E465" s="79" t="n"/>
      <c r="F465" s="79" t="n"/>
      <c r="G465" s="79" t="n"/>
      <c r="H465" s="79" t="n"/>
      <c r="I465" s="79" t="n"/>
      <c r="J465" s="79" t="n"/>
      <c r="K465" s="79" t="n"/>
      <c r="L465" s="79" t="n"/>
      <c r="M465" s="79" t="n"/>
      <c r="N465" s="79" t="n"/>
      <c r="O465" s="79" t="n"/>
      <c r="P465" s="79" t="n"/>
      <c r="Q465" s="79" t="n"/>
      <c r="R465" s="79" t="n"/>
      <c r="S465" s="79" t="n"/>
      <c r="T465" s="79" t="n"/>
      <c r="U465" s="79" t="n"/>
      <c r="V465" s="79" t="n"/>
      <c r="W465" s="79" t="n"/>
      <c r="X465" s="79" t="n"/>
      <c r="Y465" s="79" t="n"/>
      <c r="Z465" s="79" t="n"/>
    </row>
    <row r="466">
      <c r="A466" s="79" t="n"/>
      <c r="B466" s="79" t="n"/>
      <c r="C466" s="79" t="n"/>
      <c r="D466" s="79" t="n"/>
      <c r="E466" s="79" t="n"/>
      <c r="F466" s="79" t="n"/>
      <c r="G466" s="79" t="n"/>
      <c r="H466" s="79" t="n"/>
      <c r="I466" s="79" t="n"/>
      <c r="J466" s="79" t="n"/>
      <c r="K466" s="79" t="n"/>
      <c r="L466" s="79" t="n"/>
      <c r="M466" s="79" t="n"/>
      <c r="N466" s="79" t="n"/>
      <c r="O466" s="79" t="n"/>
      <c r="P466" s="79" t="n"/>
      <c r="Q466" s="79" t="n"/>
      <c r="R466" s="79" t="n"/>
      <c r="S466" s="79" t="n"/>
      <c r="T466" s="79" t="n"/>
      <c r="U466" s="79" t="n"/>
      <c r="V466" s="79" t="n"/>
      <c r="W466" s="79" t="n"/>
      <c r="X466" s="79" t="n"/>
      <c r="Y466" s="79" t="n"/>
      <c r="Z466" s="79" t="n"/>
    </row>
    <row r="467">
      <c r="A467" s="79" t="n"/>
      <c r="B467" s="79" t="n"/>
      <c r="C467" s="79" t="n"/>
      <c r="D467" s="79" t="n"/>
      <c r="E467" s="79" t="n"/>
      <c r="F467" s="79" t="n"/>
      <c r="G467" s="79" t="n"/>
      <c r="H467" s="79" t="n"/>
      <c r="I467" s="79" t="n"/>
      <c r="J467" s="79" t="n"/>
      <c r="K467" s="79" t="n"/>
      <c r="L467" s="79" t="n"/>
      <c r="M467" s="79" t="n"/>
      <c r="N467" s="79" t="n"/>
      <c r="O467" s="79" t="n"/>
      <c r="P467" s="79" t="n"/>
      <c r="Q467" s="79" t="n"/>
      <c r="R467" s="79" t="n"/>
      <c r="S467" s="79" t="n"/>
      <c r="T467" s="79" t="n"/>
      <c r="U467" s="79" t="n"/>
      <c r="V467" s="79" t="n"/>
      <c r="W467" s="79" t="n"/>
      <c r="X467" s="79" t="n"/>
      <c r="Y467" s="79" t="n"/>
      <c r="Z467" s="79" t="n"/>
    </row>
    <row r="468">
      <c r="A468" s="79" t="n"/>
      <c r="B468" s="79" t="n"/>
      <c r="C468" s="79" t="n"/>
      <c r="D468" s="79" t="n"/>
      <c r="E468" s="79" t="n"/>
      <c r="F468" s="79" t="n"/>
      <c r="G468" s="79" t="n"/>
      <c r="H468" s="79" t="n"/>
      <c r="I468" s="79" t="n"/>
      <c r="J468" s="79" t="n"/>
      <c r="K468" s="79" t="n"/>
      <c r="L468" s="79" t="n"/>
      <c r="M468" s="79" t="n"/>
      <c r="N468" s="79" t="n"/>
      <c r="O468" s="79" t="n"/>
      <c r="P468" s="79" t="n"/>
      <c r="Q468" s="79" t="n"/>
      <c r="R468" s="79" t="n"/>
      <c r="S468" s="79" t="n"/>
      <c r="T468" s="79" t="n"/>
      <c r="U468" s="79" t="n"/>
      <c r="V468" s="79" t="n"/>
      <c r="W468" s="79" t="n"/>
      <c r="X468" s="79" t="n"/>
      <c r="Y468" s="79" t="n"/>
      <c r="Z468" s="79" t="n"/>
    </row>
    <row r="469">
      <c r="A469" s="79" t="n"/>
      <c r="B469" s="79" t="n"/>
      <c r="C469" s="79" t="n"/>
      <c r="D469" s="79" t="n"/>
      <c r="E469" s="79" t="n"/>
      <c r="F469" s="79" t="n"/>
      <c r="G469" s="79" t="n"/>
      <c r="H469" s="79" t="n"/>
      <c r="I469" s="79" t="n"/>
      <c r="J469" s="79" t="n"/>
      <c r="K469" s="79" t="n"/>
      <c r="L469" s="79" t="n"/>
      <c r="M469" s="79" t="n"/>
      <c r="N469" s="79" t="n"/>
      <c r="O469" s="79" t="n"/>
      <c r="P469" s="79" t="n"/>
      <c r="Q469" s="79" t="n"/>
      <c r="R469" s="79" t="n"/>
      <c r="S469" s="79" t="n"/>
      <c r="T469" s="79" t="n"/>
      <c r="U469" s="79" t="n"/>
      <c r="V469" s="79" t="n"/>
      <c r="W469" s="79" t="n"/>
      <c r="X469" s="79" t="n"/>
      <c r="Y469" s="79" t="n"/>
      <c r="Z469" s="79" t="n"/>
    </row>
    <row r="470">
      <c r="A470" s="79" t="n"/>
      <c r="B470" s="79" t="n"/>
      <c r="C470" s="79" t="n"/>
      <c r="D470" s="79" t="n"/>
      <c r="E470" s="79" t="n"/>
      <c r="F470" s="79" t="n"/>
      <c r="G470" s="79" t="n"/>
      <c r="H470" s="79" t="n"/>
      <c r="I470" s="79" t="n"/>
      <c r="J470" s="79" t="n"/>
      <c r="K470" s="79" t="n"/>
      <c r="L470" s="79" t="n"/>
      <c r="M470" s="79" t="n"/>
      <c r="N470" s="79" t="n"/>
      <c r="O470" s="79" t="n"/>
      <c r="P470" s="79" t="n"/>
      <c r="Q470" s="79" t="n"/>
      <c r="R470" s="79" t="n"/>
      <c r="S470" s="79" t="n"/>
      <c r="T470" s="79" t="n"/>
      <c r="U470" s="79" t="n"/>
      <c r="V470" s="79" t="n"/>
      <c r="W470" s="79" t="n"/>
      <c r="X470" s="79" t="n"/>
      <c r="Y470" s="79" t="n"/>
      <c r="Z470" s="79" t="n"/>
    </row>
    <row r="471">
      <c r="A471" s="79" t="n"/>
      <c r="B471" s="79" t="n"/>
      <c r="C471" s="79" t="n"/>
      <c r="D471" s="79" t="n"/>
      <c r="E471" s="79" t="n"/>
      <c r="F471" s="79" t="n"/>
      <c r="G471" s="79" t="n"/>
      <c r="H471" s="79" t="n"/>
      <c r="I471" s="79" t="n"/>
      <c r="J471" s="79" t="n"/>
      <c r="K471" s="79" t="n"/>
      <c r="L471" s="79" t="n"/>
      <c r="M471" s="79" t="n"/>
      <c r="N471" s="79" t="n"/>
      <c r="O471" s="79" t="n"/>
      <c r="P471" s="79" t="n"/>
      <c r="Q471" s="79" t="n"/>
      <c r="R471" s="79" t="n"/>
      <c r="S471" s="79" t="n"/>
      <c r="T471" s="79" t="n"/>
      <c r="U471" s="79" t="n"/>
      <c r="V471" s="79" t="n"/>
      <c r="W471" s="79" t="n"/>
      <c r="X471" s="79" t="n"/>
      <c r="Y471" s="79" t="n"/>
      <c r="Z471" s="79" t="n"/>
    </row>
    <row r="472">
      <c r="A472" s="79" t="n"/>
      <c r="B472" s="79" t="n"/>
      <c r="C472" s="79" t="n"/>
      <c r="D472" s="79" t="n"/>
      <c r="E472" s="79" t="n"/>
      <c r="F472" s="79" t="n"/>
      <c r="G472" s="79" t="n"/>
      <c r="H472" s="79" t="n"/>
      <c r="I472" s="79" t="n"/>
      <c r="J472" s="79" t="n"/>
      <c r="K472" s="79" t="n"/>
      <c r="L472" s="79" t="n"/>
      <c r="M472" s="79" t="n"/>
      <c r="N472" s="79" t="n"/>
      <c r="O472" s="79" t="n"/>
      <c r="P472" s="79" t="n"/>
      <c r="Q472" s="79" t="n"/>
      <c r="R472" s="79" t="n"/>
      <c r="S472" s="79" t="n"/>
      <c r="T472" s="79" t="n"/>
      <c r="U472" s="79" t="n"/>
      <c r="V472" s="79" t="n"/>
      <c r="W472" s="79" t="n"/>
      <c r="X472" s="79" t="n"/>
      <c r="Y472" s="79" t="n"/>
      <c r="Z472" s="79" t="n"/>
    </row>
    <row r="473">
      <c r="A473" s="79" t="n"/>
      <c r="B473" s="79" t="n"/>
      <c r="C473" s="79" t="n"/>
      <c r="D473" s="79" t="n"/>
      <c r="E473" s="79" t="n"/>
      <c r="F473" s="79" t="n"/>
      <c r="G473" s="79" t="n"/>
      <c r="H473" s="79" t="n"/>
      <c r="I473" s="79" t="n"/>
      <c r="J473" s="79" t="n"/>
      <c r="K473" s="79" t="n"/>
      <c r="L473" s="79" t="n"/>
      <c r="M473" s="79" t="n"/>
      <c r="N473" s="79" t="n"/>
      <c r="O473" s="79" t="n"/>
      <c r="P473" s="79" t="n"/>
      <c r="Q473" s="79" t="n"/>
      <c r="R473" s="79" t="n"/>
      <c r="S473" s="79" t="n"/>
      <c r="T473" s="79" t="n"/>
      <c r="U473" s="79" t="n"/>
      <c r="V473" s="79" t="n"/>
      <c r="W473" s="79" t="n"/>
      <c r="X473" s="79" t="n"/>
      <c r="Y473" s="79" t="n"/>
      <c r="Z473" s="79" t="n"/>
    </row>
    <row r="474">
      <c r="A474" s="79" t="n"/>
      <c r="B474" s="79" t="n"/>
      <c r="C474" s="79" t="n"/>
      <c r="D474" s="79" t="n"/>
      <c r="E474" s="79" t="n"/>
      <c r="F474" s="79" t="n"/>
      <c r="G474" s="79" t="n"/>
      <c r="H474" s="79" t="n"/>
      <c r="I474" s="79" t="n"/>
      <c r="J474" s="79" t="n"/>
      <c r="K474" s="79" t="n"/>
      <c r="L474" s="79" t="n"/>
      <c r="M474" s="79" t="n"/>
      <c r="N474" s="79" t="n"/>
      <c r="O474" s="79" t="n"/>
      <c r="P474" s="79" t="n"/>
      <c r="Q474" s="79" t="n"/>
      <c r="R474" s="79" t="n"/>
      <c r="S474" s="79" t="n"/>
      <c r="T474" s="79" t="n"/>
      <c r="U474" s="79" t="n"/>
      <c r="V474" s="79" t="n"/>
      <c r="W474" s="79" t="n"/>
      <c r="X474" s="79" t="n"/>
      <c r="Y474" s="79" t="n"/>
      <c r="Z474" s="79" t="n"/>
    </row>
    <row r="475">
      <c r="A475" s="79" t="n"/>
      <c r="B475" s="79" t="n"/>
      <c r="C475" s="79" t="n"/>
      <c r="D475" s="79" t="n"/>
      <c r="E475" s="79" t="n"/>
      <c r="F475" s="79" t="n"/>
      <c r="G475" s="79" t="n"/>
      <c r="H475" s="79" t="n"/>
      <c r="I475" s="79" t="n"/>
      <c r="J475" s="79" t="n"/>
      <c r="K475" s="79" t="n"/>
      <c r="L475" s="79" t="n"/>
      <c r="M475" s="79" t="n"/>
      <c r="N475" s="79" t="n"/>
      <c r="O475" s="79" t="n"/>
      <c r="P475" s="79" t="n"/>
      <c r="Q475" s="79" t="n"/>
      <c r="R475" s="79" t="n"/>
      <c r="S475" s="79" t="n"/>
      <c r="T475" s="79" t="n"/>
      <c r="U475" s="79" t="n"/>
      <c r="V475" s="79" t="n"/>
      <c r="W475" s="79" t="n"/>
      <c r="X475" s="79" t="n"/>
      <c r="Y475" s="79" t="n"/>
      <c r="Z475" s="79" t="n"/>
    </row>
    <row r="476">
      <c r="A476" s="79" t="n"/>
      <c r="B476" s="79" t="n"/>
      <c r="C476" s="79" t="n"/>
      <c r="D476" s="79" t="n"/>
      <c r="E476" s="79" t="n"/>
      <c r="F476" s="79" t="n"/>
      <c r="G476" s="79" t="n"/>
      <c r="H476" s="79" t="n"/>
      <c r="I476" s="79" t="n"/>
      <c r="J476" s="79" t="n"/>
      <c r="K476" s="79" t="n"/>
      <c r="L476" s="79" t="n"/>
      <c r="M476" s="79" t="n"/>
      <c r="N476" s="79" t="n"/>
      <c r="O476" s="79" t="n"/>
      <c r="P476" s="79" t="n"/>
      <c r="Q476" s="79" t="n"/>
      <c r="R476" s="79" t="n"/>
      <c r="S476" s="79" t="n"/>
      <c r="T476" s="79" t="n"/>
      <c r="U476" s="79" t="n"/>
      <c r="V476" s="79" t="n"/>
      <c r="W476" s="79" t="n"/>
      <c r="X476" s="79" t="n"/>
      <c r="Y476" s="79" t="n"/>
      <c r="Z476" s="79" t="n"/>
    </row>
    <row r="477">
      <c r="A477" s="79" t="n"/>
      <c r="B477" s="79" t="n"/>
      <c r="C477" s="79" t="n"/>
      <c r="D477" s="79" t="n"/>
      <c r="E477" s="79" t="n"/>
      <c r="F477" s="79" t="n"/>
      <c r="G477" s="79" t="n"/>
      <c r="H477" s="79" t="n"/>
      <c r="I477" s="79" t="n"/>
      <c r="J477" s="79" t="n"/>
      <c r="K477" s="79" t="n"/>
      <c r="L477" s="79" t="n"/>
      <c r="M477" s="79" t="n"/>
      <c r="N477" s="79" t="n"/>
      <c r="O477" s="79" t="n"/>
      <c r="P477" s="79" t="n"/>
      <c r="Q477" s="79" t="n"/>
      <c r="R477" s="79" t="n"/>
      <c r="S477" s="79" t="n"/>
      <c r="T477" s="79" t="n"/>
      <c r="U477" s="79" t="n"/>
      <c r="V477" s="79" t="n"/>
      <c r="W477" s="79" t="n"/>
      <c r="X477" s="79" t="n"/>
      <c r="Y477" s="79" t="n"/>
      <c r="Z477" s="79" t="n"/>
    </row>
    <row r="478">
      <c r="A478" s="79" t="n"/>
      <c r="B478" s="79" t="n"/>
      <c r="C478" s="79" t="n"/>
      <c r="D478" s="79" t="n"/>
      <c r="E478" s="79" t="n"/>
      <c r="F478" s="79" t="n"/>
      <c r="G478" s="79" t="n"/>
      <c r="H478" s="79" t="n"/>
      <c r="I478" s="79" t="n"/>
      <c r="J478" s="79" t="n"/>
      <c r="K478" s="79" t="n"/>
      <c r="L478" s="79" t="n"/>
      <c r="M478" s="79" t="n"/>
      <c r="N478" s="79" t="n"/>
      <c r="O478" s="79" t="n"/>
      <c r="P478" s="79" t="n"/>
      <c r="Q478" s="79" t="n"/>
      <c r="R478" s="79" t="n"/>
      <c r="S478" s="79" t="n"/>
      <c r="T478" s="79" t="n"/>
      <c r="U478" s="79" t="n"/>
      <c r="V478" s="79" t="n"/>
      <c r="W478" s="79" t="n"/>
      <c r="X478" s="79" t="n"/>
      <c r="Y478" s="79" t="n"/>
      <c r="Z478" s="79" t="n"/>
    </row>
    <row r="479">
      <c r="A479" s="79" t="n"/>
      <c r="B479" s="79" t="n"/>
      <c r="C479" s="79" t="n"/>
      <c r="D479" s="79" t="n"/>
      <c r="E479" s="79" t="n"/>
      <c r="F479" s="79" t="n"/>
      <c r="G479" s="79" t="n"/>
      <c r="H479" s="79" t="n"/>
      <c r="I479" s="79" t="n"/>
      <c r="J479" s="79" t="n"/>
      <c r="K479" s="79" t="n"/>
      <c r="L479" s="79" t="n"/>
      <c r="M479" s="79" t="n"/>
      <c r="N479" s="79" t="n"/>
      <c r="O479" s="79" t="n"/>
      <c r="P479" s="79" t="n"/>
      <c r="Q479" s="79" t="n"/>
      <c r="R479" s="79" t="n"/>
      <c r="S479" s="79" t="n"/>
      <c r="T479" s="79" t="n"/>
      <c r="U479" s="79" t="n"/>
      <c r="V479" s="79" t="n"/>
      <c r="W479" s="79" t="n"/>
      <c r="X479" s="79" t="n"/>
      <c r="Y479" s="79" t="n"/>
      <c r="Z479" s="79" t="n"/>
    </row>
    <row r="480">
      <c r="A480" s="79" t="n"/>
      <c r="B480" s="79" t="n"/>
      <c r="C480" s="79" t="n"/>
      <c r="D480" s="79" t="n"/>
      <c r="E480" s="79" t="n"/>
      <c r="F480" s="79" t="n"/>
      <c r="G480" s="79" t="n"/>
      <c r="H480" s="79" t="n"/>
      <c r="I480" s="79" t="n"/>
      <c r="J480" s="79" t="n"/>
      <c r="K480" s="79" t="n"/>
      <c r="L480" s="79" t="n"/>
      <c r="M480" s="79" t="n"/>
      <c r="N480" s="79" t="n"/>
      <c r="O480" s="79" t="n"/>
      <c r="P480" s="79" t="n"/>
      <c r="Q480" s="79" t="n"/>
      <c r="R480" s="79" t="n"/>
      <c r="S480" s="79" t="n"/>
      <c r="T480" s="79" t="n"/>
      <c r="U480" s="79" t="n"/>
      <c r="V480" s="79" t="n"/>
      <c r="W480" s="79" t="n"/>
      <c r="X480" s="79" t="n"/>
      <c r="Y480" s="79" t="n"/>
      <c r="Z480" s="79" t="n"/>
    </row>
    <row r="481">
      <c r="A481" s="79" t="n"/>
      <c r="B481" s="79" t="n"/>
      <c r="C481" s="79" t="n"/>
      <c r="D481" s="79" t="n"/>
      <c r="E481" s="79" t="n"/>
      <c r="F481" s="79" t="n"/>
      <c r="G481" s="79" t="n"/>
      <c r="H481" s="79" t="n"/>
      <c r="I481" s="79" t="n"/>
      <c r="J481" s="79" t="n"/>
      <c r="K481" s="79" t="n"/>
      <c r="L481" s="79" t="n"/>
      <c r="M481" s="79" t="n"/>
      <c r="N481" s="79" t="n"/>
      <c r="O481" s="79" t="n"/>
      <c r="P481" s="79" t="n"/>
      <c r="Q481" s="79" t="n"/>
      <c r="R481" s="79" t="n"/>
      <c r="S481" s="79" t="n"/>
      <c r="T481" s="79" t="n"/>
      <c r="U481" s="79" t="n"/>
      <c r="V481" s="79" t="n"/>
      <c r="W481" s="79" t="n"/>
      <c r="X481" s="79" t="n"/>
      <c r="Y481" s="79" t="n"/>
      <c r="Z481" s="79" t="n"/>
    </row>
    <row r="482">
      <c r="A482" s="79" t="n"/>
      <c r="B482" s="79" t="n"/>
      <c r="C482" s="79" t="n"/>
      <c r="D482" s="79" t="n"/>
      <c r="E482" s="79" t="n"/>
      <c r="F482" s="79" t="n"/>
      <c r="G482" s="79" t="n"/>
      <c r="H482" s="79" t="n"/>
      <c r="I482" s="79" t="n"/>
      <c r="J482" s="79" t="n"/>
      <c r="K482" s="79" t="n"/>
      <c r="L482" s="79" t="n"/>
      <c r="M482" s="79" t="n"/>
      <c r="N482" s="79" t="n"/>
      <c r="O482" s="79" t="n"/>
      <c r="P482" s="79" t="n"/>
      <c r="Q482" s="79" t="n"/>
      <c r="R482" s="79" t="n"/>
      <c r="S482" s="79" t="n"/>
      <c r="T482" s="79" t="n"/>
      <c r="U482" s="79" t="n"/>
      <c r="V482" s="79" t="n"/>
      <c r="W482" s="79" t="n"/>
      <c r="X482" s="79" t="n"/>
      <c r="Y482" s="79" t="n"/>
      <c r="Z482" s="79" t="n"/>
    </row>
    <row r="483">
      <c r="A483" s="79" t="n"/>
      <c r="B483" s="79" t="n"/>
      <c r="C483" s="79" t="n"/>
      <c r="D483" s="79" t="n"/>
      <c r="E483" s="79" t="n"/>
      <c r="F483" s="79" t="n"/>
      <c r="G483" s="79" t="n"/>
      <c r="H483" s="79" t="n"/>
      <c r="I483" s="79" t="n"/>
      <c r="J483" s="79" t="n"/>
      <c r="K483" s="79" t="n"/>
      <c r="L483" s="79" t="n"/>
      <c r="M483" s="79" t="n"/>
      <c r="N483" s="79" t="n"/>
      <c r="O483" s="79" t="n"/>
      <c r="P483" s="79" t="n"/>
      <c r="Q483" s="79" t="n"/>
      <c r="R483" s="79" t="n"/>
      <c r="S483" s="79" t="n"/>
      <c r="T483" s="79" t="n"/>
      <c r="U483" s="79" t="n"/>
      <c r="V483" s="79" t="n"/>
      <c r="W483" s="79" t="n"/>
      <c r="X483" s="79" t="n"/>
      <c r="Y483" s="79" t="n"/>
      <c r="Z483" s="79" t="n"/>
    </row>
    <row r="484">
      <c r="A484" s="79" t="n"/>
      <c r="B484" s="79" t="n"/>
      <c r="C484" s="79" t="n"/>
      <c r="D484" s="79" t="n"/>
      <c r="E484" s="79" t="n"/>
      <c r="F484" s="79" t="n"/>
      <c r="G484" s="79" t="n"/>
      <c r="H484" s="79" t="n"/>
      <c r="I484" s="79" t="n"/>
      <c r="J484" s="79" t="n"/>
      <c r="K484" s="79" t="n"/>
      <c r="L484" s="79" t="n"/>
      <c r="M484" s="79" t="n"/>
      <c r="N484" s="79" t="n"/>
      <c r="O484" s="79" t="n"/>
      <c r="P484" s="79" t="n"/>
      <c r="Q484" s="79" t="n"/>
      <c r="R484" s="79" t="n"/>
      <c r="S484" s="79" t="n"/>
      <c r="T484" s="79" t="n"/>
      <c r="U484" s="79" t="n"/>
      <c r="V484" s="79" t="n"/>
      <c r="W484" s="79" t="n"/>
      <c r="X484" s="79" t="n"/>
      <c r="Y484" s="79" t="n"/>
      <c r="Z484" s="79" t="n"/>
    </row>
    <row r="485">
      <c r="A485" s="79" t="n"/>
      <c r="B485" s="79" t="n"/>
      <c r="C485" s="79" t="n"/>
      <c r="D485" s="79" t="n"/>
      <c r="E485" s="79" t="n"/>
      <c r="F485" s="79" t="n"/>
      <c r="G485" s="79" t="n"/>
      <c r="H485" s="79" t="n"/>
      <c r="I485" s="79" t="n"/>
      <c r="J485" s="79" t="n"/>
      <c r="K485" s="79" t="n"/>
      <c r="L485" s="79" t="n"/>
      <c r="M485" s="79" t="n"/>
      <c r="N485" s="79" t="n"/>
      <c r="O485" s="79" t="n"/>
      <c r="P485" s="79" t="n"/>
      <c r="Q485" s="79" t="n"/>
      <c r="R485" s="79" t="n"/>
      <c r="S485" s="79" t="n"/>
      <c r="T485" s="79" t="n"/>
      <c r="U485" s="79" t="n"/>
      <c r="V485" s="79" t="n"/>
      <c r="W485" s="79" t="n"/>
      <c r="X485" s="79" t="n"/>
      <c r="Y485" s="79" t="n"/>
      <c r="Z485" s="79" t="n"/>
    </row>
    <row r="486">
      <c r="A486" s="79" t="n"/>
      <c r="B486" s="79" t="n"/>
      <c r="C486" s="79" t="n"/>
      <c r="D486" s="79" t="n"/>
      <c r="E486" s="79" t="n"/>
      <c r="F486" s="79" t="n"/>
      <c r="G486" s="79" t="n"/>
      <c r="H486" s="79" t="n"/>
      <c r="I486" s="79" t="n"/>
      <c r="J486" s="79" t="n"/>
      <c r="K486" s="79" t="n"/>
      <c r="L486" s="79" t="n"/>
      <c r="M486" s="79" t="n"/>
      <c r="N486" s="79" t="n"/>
      <c r="O486" s="79" t="n"/>
      <c r="P486" s="79" t="n"/>
      <c r="Q486" s="79" t="n"/>
      <c r="R486" s="79" t="n"/>
      <c r="S486" s="79" t="n"/>
      <c r="T486" s="79" t="n"/>
      <c r="U486" s="79" t="n"/>
      <c r="V486" s="79" t="n"/>
      <c r="W486" s="79" t="n"/>
      <c r="X486" s="79" t="n"/>
      <c r="Y486" s="79" t="n"/>
      <c r="Z486" s="79" t="n"/>
    </row>
    <row r="487">
      <c r="A487" s="79" t="n"/>
      <c r="B487" s="79" t="n"/>
      <c r="C487" s="79" t="n"/>
      <c r="D487" s="79" t="n"/>
      <c r="E487" s="79" t="n"/>
      <c r="F487" s="79" t="n"/>
      <c r="G487" s="79" t="n"/>
      <c r="H487" s="79" t="n"/>
      <c r="I487" s="79" t="n"/>
      <c r="J487" s="79" t="n"/>
      <c r="K487" s="79" t="n"/>
      <c r="L487" s="79" t="n"/>
      <c r="M487" s="79" t="n"/>
      <c r="N487" s="79" t="n"/>
      <c r="O487" s="79" t="n"/>
      <c r="P487" s="79" t="n"/>
      <c r="Q487" s="79" t="n"/>
      <c r="R487" s="79" t="n"/>
      <c r="S487" s="79" t="n"/>
      <c r="T487" s="79" t="n"/>
      <c r="U487" s="79" t="n"/>
      <c r="V487" s="79" t="n"/>
      <c r="W487" s="79" t="n"/>
      <c r="X487" s="79" t="n"/>
      <c r="Y487" s="79" t="n"/>
      <c r="Z487" s="79" t="n"/>
    </row>
    <row r="488">
      <c r="A488" s="79" t="n"/>
      <c r="B488" s="79" t="n"/>
      <c r="C488" s="79" t="n"/>
      <c r="D488" s="79" t="n"/>
      <c r="E488" s="79" t="n"/>
      <c r="F488" s="79" t="n"/>
      <c r="G488" s="79" t="n"/>
      <c r="H488" s="79" t="n"/>
      <c r="I488" s="79" t="n"/>
      <c r="J488" s="79" t="n"/>
      <c r="K488" s="79" t="n"/>
      <c r="L488" s="79" t="n"/>
      <c r="M488" s="79" t="n"/>
      <c r="N488" s="79" t="n"/>
      <c r="O488" s="79" t="n"/>
      <c r="P488" s="79" t="n"/>
      <c r="Q488" s="79" t="n"/>
      <c r="R488" s="79" t="n"/>
      <c r="S488" s="79" t="n"/>
      <c r="T488" s="79" t="n"/>
      <c r="U488" s="79" t="n"/>
      <c r="V488" s="79" t="n"/>
      <c r="W488" s="79" t="n"/>
      <c r="X488" s="79" t="n"/>
      <c r="Y488" s="79" t="n"/>
      <c r="Z488" s="79" t="n"/>
    </row>
    <row r="489">
      <c r="A489" s="79" t="n"/>
      <c r="B489" s="79" t="n"/>
      <c r="C489" s="79" t="n"/>
      <c r="D489" s="79" t="n"/>
      <c r="E489" s="79" t="n"/>
      <c r="F489" s="79" t="n"/>
      <c r="G489" s="79" t="n"/>
      <c r="H489" s="79" t="n"/>
      <c r="I489" s="79" t="n"/>
      <c r="J489" s="79" t="n"/>
      <c r="K489" s="79" t="n"/>
      <c r="L489" s="79" t="n"/>
      <c r="M489" s="79" t="n"/>
      <c r="N489" s="79" t="n"/>
      <c r="O489" s="79" t="n"/>
      <c r="P489" s="79" t="n"/>
      <c r="Q489" s="79" t="n"/>
      <c r="R489" s="79" t="n"/>
      <c r="S489" s="79" t="n"/>
      <c r="T489" s="79" t="n"/>
      <c r="U489" s="79" t="n"/>
      <c r="V489" s="79" t="n"/>
      <c r="W489" s="79" t="n"/>
      <c r="X489" s="79" t="n"/>
      <c r="Y489" s="79" t="n"/>
      <c r="Z489" s="79" t="n"/>
    </row>
    <row r="490">
      <c r="A490" s="79" t="n"/>
      <c r="B490" s="79" t="n"/>
      <c r="C490" s="79" t="n"/>
      <c r="D490" s="79" t="n"/>
      <c r="E490" s="79" t="n"/>
      <c r="F490" s="79" t="n"/>
      <c r="G490" s="79" t="n"/>
      <c r="H490" s="79" t="n"/>
      <c r="I490" s="79" t="n"/>
      <c r="J490" s="79" t="n"/>
      <c r="K490" s="79" t="n"/>
      <c r="L490" s="79" t="n"/>
      <c r="M490" s="79" t="n"/>
      <c r="N490" s="79" t="n"/>
      <c r="O490" s="79" t="n"/>
      <c r="P490" s="79" t="n"/>
      <c r="Q490" s="79" t="n"/>
      <c r="R490" s="79" t="n"/>
      <c r="S490" s="79" t="n"/>
      <c r="T490" s="79" t="n"/>
      <c r="U490" s="79" t="n"/>
      <c r="V490" s="79" t="n"/>
      <c r="W490" s="79" t="n"/>
      <c r="X490" s="79" t="n"/>
      <c r="Y490" s="79" t="n"/>
      <c r="Z490" s="79" t="n"/>
    </row>
    <row r="491">
      <c r="A491" s="79" t="n"/>
      <c r="B491" s="79" t="n"/>
      <c r="C491" s="79" t="n"/>
      <c r="D491" s="79" t="n"/>
      <c r="E491" s="79" t="n"/>
      <c r="F491" s="79" t="n"/>
      <c r="G491" s="79" t="n"/>
      <c r="H491" s="79" t="n"/>
      <c r="I491" s="79" t="n"/>
      <c r="J491" s="79" t="n"/>
      <c r="K491" s="79" t="n"/>
      <c r="L491" s="79" t="n"/>
      <c r="M491" s="79" t="n"/>
      <c r="N491" s="79" t="n"/>
      <c r="O491" s="79" t="n"/>
      <c r="P491" s="79" t="n"/>
      <c r="Q491" s="79" t="n"/>
      <c r="R491" s="79" t="n"/>
      <c r="S491" s="79" t="n"/>
      <c r="T491" s="79" t="n"/>
      <c r="U491" s="79" t="n"/>
      <c r="V491" s="79" t="n"/>
      <c r="W491" s="79" t="n"/>
      <c r="X491" s="79" t="n"/>
      <c r="Y491" s="79" t="n"/>
      <c r="Z491" s="79" t="n"/>
    </row>
    <row r="492">
      <c r="A492" s="79" t="n"/>
      <c r="B492" s="79" t="n"/>
      <c r="C492" s="79" t="n"/>
      <c r="D492" s="79" t="n"/>
      <c r="E492" s="79" t="n"/>
      <c r="F492" s="79" t="n"/>
      <c r="G492" s="79" t="n"/>
      <c r="H492" s="79" t="n"/>
      <c r="I492" s="79" t="n"/>
      <c r="J492" s="79" t="n"/>
      <c r="K492" s="79" t="n"/>
      <c r="L492" s="79" t="n"/>
      <c r="M492" s="79" t="n"/>
      <c r="N492" s="79" t="n"/>
      <c r="O492" s="79" t="n"/>
      <c r="P492" s="79" t="n"/>
      <c r="Q492" s="79" t="n"/>
      <c r="R492" s="79" t="n"/>
      <c r="S492" s="79" t="n"/>
      <c r="T492" s="79" t="n"/>
      <c r="U492" s="79" t="n"/>
      <c r="V492" s="79" t="n"/>
      <c r="W492" s="79" t="n"/>
      <c r="X492" s="79" t="n"/>
      <c r="Y492" s="79" t="n"/>
      <c r="Z492" s="79" t="n"/>
    </row>
    <row r="493">
      <c r="A493" s="79" t="n"/>
      <c r="B493" s="79" t="n"/>
      <c r="C493" s="79" t="n"/>
      <c r="D493" s="79" t="n"/>
      <c r="E493" s="79" t="n"/>
      <c r="F493" s="79" t="n"/>
      <c r="G493" s="79" t="n"/>
      <c r="H493" s="79" t="n"/>
      <c r="I493" s="79" t="n"/>
      <c r="J493" s="79" t="n"/>
      <c r="K493" s="79" t="n"/>
      <c r="L493" s="79" t="n"/>
      <c r="M493" s="79" t="n"/>
      <c r="N493" s="79" t="n"/>
      <c r="O493" s="79" t="n"/>
      <c r="P493" s="79" t="n"/>
      <c r="Q493" s="79" t="n"/>
      <c r="R493" s="79" t="n"/>
      <c r="S493" s="79" t="n"/>
      <c r="T493" s="79" t="n"/>
      <c r="U493" s="79" t="n"/>
      <c r="V493" s="79" t="n"/>
      <c r="W493" s="79" t="n"/>
      <c r="X493" s="79" t="n"/>
      <c r="Y493" s="79" t="n"/>
      <c r="Z493" s="79" t="n"/>
    </row>
    <row r="494">
      <c r="A494" s="79" t="n"/>
      <c r="B494" s="79" t="n"/>
      <c r="C494" s="79" t="n"/>
      <c r="D494" s="79" t="n"/>
      <c r="E494" s="79" t="n"/>
      <c r="F494" s="79" t="n"/>
      <c r="G494" s="79" t="n"/>
      <c r="H494" s="79" t="n"/>
      <c r="I494" s="79" t="n"/>
      <c r="J494" s="79" t="n"/>
      <c r="K494" s="79" t="n"/>
      <c r="L494" s="79" t="n"/>
      <c r="M494" s="79" t="n"/>
      <c r="N494" s="79" t="n"/>
      <c r="O494" s="79" t="n"/>
      <c r="P494" s="79" t="n"/>
      <c r="Q494" s="79" t="n"/>
      <c r="R494" s="79" t="n"/>
      <c r="S494" s="79" t="n"/>
      <c r="T494" s="79" t="n"/>
      <c r="U494" s="79" t="n"/>
      <c r="V494" s="79" t="n"/>
      <c r="W494" s="79" t="n"/>
      <c r="X494" s="79" t="n"/>
      <c r="Y494" s="79" t="n"/>
      <c r="Z494" s="79" t="n"/>
    </row>
    <row r="495">
      <c r="A495" s="79" t="n"/>
      <c r="B495" s="79" t="n"/>
      <c r="C495" s="79" t="n"/>
      <c r="D495" s="79" t="n"/>
      <c r="E495" s="79" t="n"/>
      <c r="F495" s="79" t="n"/>
      <c r="G495" s="79" t="n"/>
      <c r="H495" s="79" t="n"/>
      <c r="I495" s="79" t="n"/>
      <c r="J495" s="79" t="n"/>
      <c r="K495" s="79" t="n"/>
      <c r="L495" s="79" t="n"/>
      <c r="M495" s="79" t="n"/>
      <c r="N495" s="79" t="n"/>
      <c r="O495" s="79" t="n"/>
      <c r="P495" s="79" t="n"/>
      <c r="Q495" s="79" t="n"/>
      <c r="R495" s="79" t="n"/>
      <c r="S495" s="79" t="n"/>
      <c r="T495" s="79" t="n"/>
      <c r="U495" s="79" t="n"/>
      <c r="V495" s="79" t="n"/>
      <c r="W495" s="79" t="n"/>
      <c r="X495" s="79" t="n"/>
      <c r="Y495" s="79" t="n"/>
      <c r="Z495" s="79" t="n"/>
    </row>
    <row r="496">
      <c r="A496" s="79" t="n"/>
      <c r="B496" s="79" t="n"/>
      <c r="C496" s="79" t="n"/>
      <c r="D496" s="79" t="n"/>
      <c r="E496" s="79" t="n"/>
      <c r="F496" s="79" t="n"/>
      <c r="G496" s="79" t="n"/>
      <c r="H496" s="79" t="n"/>
      <c r="I496" s="79" t="n"/>
      <c r="J496" s="79" t="n"/>
      <c r="K496" s="79" t="n"/>
      <c r="L496" s="79" t="n"/>
      <c r="M496" s="79" t="n"/>
      <c r="N496" s="79" t="n"/>
      <c r="O496" s="79" t="n"/>
      <c r="P496" s="79" t="n"/>
      <c r="Q496" s="79" t="n"/>
      <c r="R496" s="79" t="n"/>
      <c r="S496" s="79" t="n"/>
      <c r="T496" s="79" t="n"/>
      <c r="U496" s="79" t="n"/>
      <c r="V496" s="79" t="n"/>
      <c r="W496" s="79" t="n"/>
      <c r="X496" s="79" t="n"/>
      <c r="Y496" s="79" t="n"/>
      <c r="Z496" s="79" t="n"/>
    </row>
    <row r="497">
      <c r="A497" s="79" t="n"/>
      <c r="B497" s="79" t="n"/>
      <c r="C497" s="79" t="n"/>
      <c r="D497" s="79" t="n"/>
      <c r="E497" s="79" t="n"/>
      <c r="F497" s="79" t="n"/>
      <c r="G497" s="79" t="n"/>
      <c r="H497" s="79" t="n"/>
      <c r="I497" s="79" t="n"/>
      <c r="J497" s="79" t="n"/>
      <c r="K497" s="79" t="n"/>
      <c r="L497" s="79" t="n"/>
      <c r="M497" s="79" t="n"/>
      <c r="N497" s="79" t="n"/>
      <c r="O497" s="79" t="n"/>
      <c r="P497" s="79" t="n"/>
      <c r="Q497" s="79" t="n"/>
      <c r="R497" s="79" t="n"/>
      <c r="S497" s="79" t="n"/>
      <c r="T497" s="79" t="n"/>
      <c r="U497" s="79" t="n"/>
      <c r="V497" s="79" t="n"/>
      <c r="W497" s="79" t="n"/>
      <c r="X497" s="79" t="n"/>
      <c r="Y497" s="79" t="n"/>
      <c r="Z497" s="79" t="n"/>
    </row>
    <row r="498">
      <c r="A498" s="79" t="n"/>
      <c r="B498" s="79" t="n"/>
      <c r="C498" s="79" t="n"/>
      <c r="D498" s="79" t="n"/>
      <c r="E498" s="79" t="n"/>
      <c r="F498" s="79" t="n"/>
      <c r="G498" s="79" t="n"/>
      <c r="H498" s="79" t="n"/>
      <c r="I498" s="79" t="n"/>
      <c r="J498" s="79" t="n"/>
      <c r="K498" s="79" t="n"/>
      <c r="L498" s="79" t="n"/>
      <c r="M498" s="79" t="n"/>
      <c r="N498" s="79" t="n"/>
      <c r="O498" s="79" t="n"/>
      <c r="P498" s="79" t="n"/>
      <c r="Q498" s="79" t="n"/>
      <c r="R498" s="79" t="n"/>
      <c r="S498" s="79" t="n"/>
      <c r="T498" s="79" t="n"/>
      <c r="U498" s="79" t="n"/>
      <c r="V498" s="79" t="n"/>
      <c r="W498" s="79" t="n"/>
      <c r="X498" s="79" t="n"/>
      <c r="Y498" s="79" t="n"/>
      <c r="Z498" s="79" t="n"/>
    </row>
    <row r="499">
      <c r="A499" s="79" t="n"/>
      <c r="B499" s="79" t="n"/>
      <c r="C499" s="79" t="n"/>
      <c r="D499" s="79" t="n"/>
      <c r="E499" s="79" t="n"/>
      <c r="F499" s="79" t="n"/>
      <c r="G499" s="79" t="n"/>
      <c r="H499" s="79" t="n"/>
      <c r="I499" s="79" t="n"/>
      <c r="J499" s="79" t="n"/>
      <c r="K499" s="79" t="n"/>
      <c r="L499" s="79" t="n"/>
      <c r="M499" s="79" t="n"/>
      <c r="N499" s="79" t="n"/>
      <c r="O499" s="79" t="n"/>
      <c r="P499" s="79" t="n"/>
      <c r="Q499" s="79" t="n"/>
      <c r="R499" s="79" t="n"/>
      <c r="S499" s="79" t="n"/>
      <c r="T499" s="79" t="n"/>
      <c r="U499" s="79" t="n"/>
      <c r="V499" s="79" t="n"/>
      <c r="W499" s="79" t="n"/>
      <c r="X499" s="79" t="n"/>
      <c r="Y499" s="79" t="n"/>
      <c r="Z499" s="79" t="n"/>
    </row>
    <row r="500">
      <c r="A500" s="79" t="n"/>
      <c r="B500" s="79" t="n"/>
      <c r="C500" s="79" t="n"/>
      <c r="D500" s="79" t="n"/>
      <c r="E500" s="79" t="n"/>
      <c r="F500" s="79" t="n"/>
      <c r="G500" s="79" t="n"/>
      <c r="H500" s="79" t="n"/>
      <c r="I500" s="79" t="n"/>
      <c r="J500" s="79" t="n"/>
      <c r="K500" s="79" t="n"/>
      <c r="L500" s="79" t="n"/>
      <c r="M500" s="79" t="n"/>
      <c r="N500" s="79" t="n"/>
      <c r="O500" s="79" t="n"/>
      <c r="P500" s="79" t="n"/>
      <c r="Q500" s="79" t="n"/>
      <c r="R500" s="79" t="n"/>
      <c r="S500" s="79" t="n"/>
      <c r="T500" s="79" t="n"/>
      <c r="U500" s="79" t="n"/>
      <c r="V500" s="79" t="n"/>
      <c r="W500" s="79" t="n"/>
      <c r="X500" s="79" t="n"/>
      <c r="Y500" s="79" t="n"/>
      <c r="Z500" s="79" t="n"/>
    </row>
    <row r="501">
      <c r="A501" s="79" t="n"/>
      <c r="B501" s="79" t="n"/>
      <c r="C501" s="79" t="n"/>
      <c r="D501" s="79" t="n"/>
      <c r="E501" s="79" t="n"/>
      <c r="F501" s="79" t="n"/>
      <c r="G501" s="79" t="n"/>
      <c r="H501" s="79" t="n"/>
      <c r="I501" s="79" t="n"/>
      <c r="J501" s="79" t="n"/>
      <c r="K501" s="79" t="n"/>
      <c r="L501" s="79" t="n"/>
      <c r="M501" s="79" t="n"/>
      <c r="N501" s="79" t="n"/>
      <c r="O501" s="79" t="n"/>
      <c r="P501" s="79" t="n"/>
      <c r="Q501" s="79" t="n"/>
      <c r="R501" s="79" t="n"/>
      <c r="S501" s="79" t="n"/>
      <c r="T501" s="79" t="n"/>
      <c r="U501" s="79" t="n"/>
      <c r="V501" s="79" t="n"/>
      <c r="W501" s="79" t="n"/>
      <c r="X501" s="79" t="n"/>
      <c r="Y501" s="79" t="n"/>
      <c r="Z501" s="79" t="n"/>
    </row>
    <row r="502">
      <c r="A502" s="79" t="n"/>
      <c r="B502" s="79" t="n"/>
      <c r="C502" s="79" t="n"/>
      <c r="D502" s="79" t="n"/>
      <c r="E502" s="79" t="n"/>
      <c r="F502" s="79" t="n"/>
      <c r="G502" s="79" t="n"/>
      <c r="H502" s="79" t="n"/>
      <c r="I502" s="79" t="n"/>
      <c r="J502" s="79" t="n"/>
      <c r="K502" s="79" t="n"/>
      <c r="L502" s="79" t="n"/>
      <c r="M502" s="79" t="n"/>
      <c r="N502" s="79" t="n"/>
      <c r="O502" s="79" t="n"/>
      <c r="P502" s="79" t="n"/>
      <c r="Q502" s="79" t="n"/>
      <c r="R502" s="79" t="n"/>
      <c r="S502" s="79" t="n"/>
      <c r="T502" s="79" t="n"/>
      <c r="U502" s="79" t="n"/>
      <c r="V502" s="79" t="n"/>
      <c r="W502" s="79" t="n"/>
      <c r="X502" s="79" t="n"/>
      <c r="Y502" s="79" t="n"/>
      <c r="Z502" s="79" t="n"/>
    </row>
    <row r="503">
      <c r="A503" s="79" t="n"/>
      <c r="B503" s="79" t="n"/>
      <c r="C503" s="79" t="n"/>
      <c r="D503" s="79" t="n"/>
      <c r="E503" s="79" t="n"/>
      <c r="F503" s="79" t="n"/>
      <c r="G503" s="79" t="n"/>
      <c r="H503" s="79" t="n"/>
      <c r="I503" s="79" t="n"/>
      <c r="J503" s="79" t="n"/>
      <c r="K503" s="79" t="n"/>
      <c r="L503" s="79" t="n"/>
      <c r="M503" s="79" t="n"/>
      <c r="N503" s="79" t="n"/>
      <c r="O503" s="79" t="n"/>
      <c r="P503" s="79" t="n"/>
      <c r="Q503" s="79" t="n"/>
      <c r="R503" s="79" t="n"/>
      <c r="S503" s="79" t="n"/>
      <c r="T503" s="79" t="n"/>
      <c r="U503" s="79" t="n"/>
      <c r="V503" s="79" t="n"/>
      <c r="W503" s="79" t="n"/>
      <c r="X503" s="79" t="n"/>
      <c r="Y503" s="79" t="n"/>
      <c r="Z503" s="79" t="n"/>
    </row>
    <row r="504">
      <c r="A504" s="79" t="n"/>
      <c r="B504" s="79" t="n"/>
      <c r="C504" s="79" t="n"/>
      <c r="D504" s="79" t="n"/>
      <c r="E504" s="79" t="n"/>
      <c r="F504" s="79" t="n"/>
      <c r="G504" s="79" t="n"/>
      <c r="H504" s="79" t="n"/>
      <c r="I504" s="79" t="n"/>
      <c r="J504" s="79" t="n"/>
      <c r="K504" s="79" t="n"/>
      <c r="L504" s="79" t="n"/>
      <c r="M504" s="79" t="n"/>
      <c r="N504" s="79" t="n"/>
      <c r="O504" s="79" t="n"/>
      <c r="P504" s="79" t="n"/>
      <c r="Q504" s="79" t="n"/>
      <c r="R504" s="79" t="n"/>
      <c r="S504" s="79" t="n"/>
      <c r="T504" s="79" t="n"/>
      <c r="U504" s="79" t="n"/>
      <c r="V504" s="79" t="n"/>
      <c r="W504" s="79" t="n"/>
      <c r="X504" s="79" t="n"/>
      <c r="Y504" s="79" t="n"/>
      <c r="Z504" s="79" t="n"/>
    </row>
    <row r="505">
      <c r="A505" s="79" t="n"/>
      <c r="B505" s="79" t="n"/>
      <c r="C505" s="79" t="n"/>
      <c r="D505" s="79" t="n"/>
      <c r="E505" s="79" t="n"/>
      <c r="F505" s="79" t="n"/>
      <c r="G505" s="79" t="n"/>
      <c r="H505" s="79" t="n"/>
      <c r="I505" s="79" t="n"/>
      <c r="J505" s="79" t="n"/>
      <c r="K505" s="79" t="n"/>
      <c r="L505" s="79" t="n"/>
      <c r="M505" s="79" t="n"/>
      <c r="N505" s="79" t="n"/>
      <c r="O505" s="79" t="n"/>
      <c r="P505" s="79" t="n"/>
      <c r="Q505" s="79" t="n"/>
      <c r="R505" s="79" t="n"/>
      <c r="S505" s="79" t="n"/>
      <c r="T505" s="79" t="n"/>
      <c r="U505" s="79" t="n"/>
      <c r="V505" s="79" t="n"/>
      <c r="W505" s="79" t="n"/>
      <c r="X505" s="79" t="n"/>
      <c r="Y505" s="79" t="n"/>
      <c r="Z505" s="79" t="n"/>
    </row>
    <row r="506">
      <c r="A506" s="79" t="n"/>
      <c r="B506" s="79" t="n"/>
      <c r="C506" s="79" t="n"/>
      <c r="D506" s="79" t="n"/>
      <c r="E506" s="79" t="n"/>
      <c r="F506" s="79" t="n"/>
      <c r="G506" s="79" t="n"/>
      <c r="H506" s="79" t="n"/>
      <c r="I506" s="79" t="n"/>
      <c r="J506" s="79" t="n"/>
      <c r="K506" s="79" t="n"/>
      <c r="L506" s="79" t="n"/>
      <c r="M506" s="79" t="n"/>
      <c r="N506" s="79" t="n"/>
      <c r="O506" s="79" t="n"/>
      <c r="P506" s="79" t="n"/>
      <c r="Q506" s="79" t="n"/>
      <c r="R506" s="79" t="n"/>
      <c r="S506" s="79" t="n"/>
      <c r="T506" s="79" t="n"/>
      <c r="U506" s="79" t="n"/>
      <c r="V506" s="79" t="n"/>
      <c r="W506" s="79" t="n"/>
      <c r="X506" s="79" t="n"/>
      <c r="Y506" s="79" t="n"/>
      <c r="Z506" s="79" t="n"/>
    </row>
    <row r="507">
      <c r="A507" s="79" t="n"/>
      <c r="B507" s="79" t="n"/>
      <c r="C507" s="79" t="n"/>
      <c r="D507" s="79" t="n"/>
      <c r="E507" s="79" t="n"/>
      <c r="F507" s="79" t="n"/>
      <c r="G507" s="79" t="n"/>
      <c r="H507" s="79" t="n"/>
      <c r="I507" s="79" t="n"/>
      <c r="J507" s="79" t="n"/>
      <c r="K507" s="79" t="n"/>
      <c r="L507" s="79" t="n"/>
      <c r="M507" s="79" t="n"/>
      <c r="N507" s="79" t="n"/>
      <c r="O507" s="79" t="n"/>
      <c r="P507" s="79" t="n"/>
      <c r="Q507" s="79" t="n"/>
      <c r="R507" s="79" t="n"/>
      <c r="S507" s="79" t="n"/>
      <c r="T507" s="79" t="n"/>
      <c r="U507" s="79" t="n"/>
      <c r="V507" s="79" t="n"/>
      <c r="W507" s="79" t="n"/>
      <c r="X507" s="79" t="n"/>
      <c r="Y507" s="79" t="n"/>
      <c r="Z507" s="79" t="n"/>
    </row>
    <row r="508">
      <c r="A508" s="79" t="n"/>
      <c r="B508" s="79" t="n"/>
      <c r="C508" s="79" t="n"/>
      <c r="D508" s="79" t="n"/>
      <c r="E508" s="79" t="n"/>
      <c r="F508" s="79" t="n"/>
      <c r="G508" s="79" t="n"/>
      <c r="H508" s="79" t="n"/>
      <c r="I508" s="79" t="n"/>
      <c r="J508" s="79" t="n"/>
      <c r="K508" s="79" t="n"/>
      <c r="L508" s="79" t="n"/>
      <c r="M508" s="79" t="n"/>
      <c r="N508" s="79" t="n"/>
      <c r="O508" s="79" t="n"/>
      <c r="P508" s="79" t="n"/>
      <c r="Q508" s="79" t="n"/>
      <c r="R508" s="79" t="n"/>
      <c r="S508" s="79" t="n"/>
      <c r="T508" s="79" t="n"/>
      <c r="U508" s="79" t="n"/>
      <c r="V508" s="79" t="n"/>
      <c r="W508" s="79" t="n"/>
      <c r="X508" s="79" t="n"/>
      <c r="Y508" s="79" t="n"/>
      <c r="Z508" s="79" t="n"/>
    </row>
    <row r="509">
      <c r="A509" s="79" t="n"/>
      <c r="B509" s="79" t="n"/>
      <c r="C509" s="79" t="n"/>
      <c r="D509" s="79" t="n"/>
      <c r="E509" s="79" t="n"/>
      <c r="F509" s="79" t="n"/>
      <c r="G509" s="79" t="n"/>
      <c r="H509" s="79" t="n"/>
      <c r="I509" s="79" t="n"/>
      <c r="J509" s="79" t="n"/>
      <c r="K509" s="79" t="n"/>
      <c r="L509" s="79" t="n"/>
      <c r="M509" s="79" t="n"/>
      <c r="N509" s="79" t="n"/>
      <c r="O509" s="79" t="n"/>
      <c r="P509" s="79" t="n"/>
      <c r="Q509" s="79" t="n"/>
      <c r="R509" s="79" t="n"/>
      <c r="S509" s="79" t="n"/>
      <c r="T509" s="79" t="n"/>
      <c r="U509" s="79" t="n"/>
      <c r="V509" s="79" t="n"/>
      <c r="W509" s="79" t="n"/>
      <c r="X509" s="79" t="n"/>
      <c r="Y509" s="79" t="n"/>
      <c r="Z509" s="79" t="n"/>
    </row>
    <row r="510">
      <c r="A510" s="79" t="n"/>
      <c r="B510" s="79" t="n"/>
      <c r="C510" s="79" t="n"/>
      <c r="D510" s="79" t="n"/>
      <c r="E510" s="79" t="n"/>
      <c r="F510" s="79" t="n"/>
      <c r="G510" s="79" t="n"/>
      <c r="H510" s="79" t="n"/>
      <c r="I510" s="79" t="n"/>
      <c r="J510" s="79" t="n"/>
      <c r="K510" s="79" t="n"/>
      <c r="L510" s="79" t="n"/>
      <c r="M510" s="79" t="n"/>
      <c r="N510" s="79" t="n"/>
      <c r="O510" s="79" t="n"/>
      <c r="P510" s="79" t="n"/>
      <c r="Q510" s="79" t="n"/>
      <c r="R510" s="79" t="n"/>
      <c r="S510" s="79" t="n"/>
      <c r="T510" s="79" t="n"/>
      <c r="U510" s="79" t="n"/>
      <c r="V510" s="79" t="n"/>
      <c r="W510" s="79" t="n"/>
      <c r="X510" s="79" t="n"/>
      <c r="Y510" s="79" t="n"/>
      <c r="Z510" s="79" t="n"/>
    </row>
    <row r="511">
      <c r="A511" s="79" t="n"/>
      <c r="B511" s="79" t="n"/>
      <c r="C511" s="79" t="n"/>
      <c r="D511" s="79" t="n"/>
      <c r="E511" s="79" t="n"/>
      <c r="F511" s="79" t="n"/>
      <c r="G511" s="79" t="n"/>
      <c r="H511" s="79" t="n"/>
      <c r="I511" s="79" t="n"/>
      <c r="J511" s="79" t="n"/>
      <c r="K511" s="79" t="n"/>
      <c r="L511" s="79" t="n"/>
      <c r="M511" s="79" t="n"/>
      <c r="N511" s="79" t="n"/>
      <c r="O511" s="79" t="n"/>
      <c r="P511" s="79" t="n"/>
      <c r="Q511" s="79" t="n"/>
      <c r="R511" s="79" t="n"/>
      <c r="S511" s="79" t="n"/>
      <c r="T511" s="79" t="n"/>
      <c r="U511" s="79" t="n"/>
      <c r="V511" s="79" t="n"/>
      <c r="W511" s="79" t="n"/>
      <c r="X511" s="79" t="n"/>
      <c r="Y511" s="79" t="n"/>
      <c r="Z511" s="79" t="n"/>
    </row>
    <row r="512">
      <c r="A512" s="79" t="n"/>
      <c r="B512" s="79" t="n"/>
      <c r="C512" s="79" t="n"/>
      <c r="D512" s="79" t="n"/>
      <c r="E512" s="79" t="n"/>
      <c r="F512" s="79" t="n"/>
      <c r="G512" s="79" t="n"/>
      <c r="H512" s="79" t="n"/>
      <c r="I512" s="79" t="n"/>
      <c r="J512" s="79" t="n"/>
      <c r="K512" s="79" t="n"/>
      <c r="L512" s="79" t="n"/>
      <c r="M512" s="79" t="n"/>
      <c r="N512" s="79" t="n"/>
      <c r="O512" s="79" t="n"/>
      <c r="P512" s="79" t="n"/>
      <c r="Q512" s="79" t="n"/>
      <c r="R512" s="79" t="n"/>
      <c r="S512" s="79" t="n"/>
      <c r="T512" s="79" t="n"/>
      <c r="U512" s="79" t="n"/>
      <c r="V512" s="79" t="n"/>
      <c r="W512" s="79" t="n"/>
      <c r="X512" s="79" t="n"/>
      <c r="Y512" s="79" t="n"/>
      <c r="Z512" s="79" t="n"/>
    </row>
    <row r="513">
      <c r="A513" s="79" t="n"/>
      <c r="B513" s="79" t="n"/>
      <c r="C513" s="79" t="n"/>
      <c r="D513" s="79" t="n"/>
      <c r="E513" s="79" t="n"/>
      <c r="F513" s="79" t="n"/>
      <c r="G513" s="79" t="n"/>
      <c r="H513" s="79" t="n"/>
      <c r="I513" s="79" t="n"/>
      <c r="J513" s="79" t="n"/>
      <c r="K513" s="79" t="n"/>
      <c r="L513" s="79" t="n"/>
      <c r="M513" s="79" t="n"/>
      <c r="N513" s="79" t="n"/>
      <c r="O513" s="79" t="n"/>
      <c r="P513" s="79" t="n"/>
      <c r="Q513" s="79" t="n"/>
      <c r="R513" s="79" t="n"/>
      <c r="S513" s="79" t="n"/>
      <c r="T513" s="79" t="n"/>
      <c r="U513" s="79" t="n"/>
      <c r="V513" s="79" t="n"/>
      <c r="W513" s="79" t="n"/>
      <c r="X513" s="79" t="n"/>
      <c r="Y513" s="79" t="n"/>
      <c r="Z513" s="79" t="n"/>
    </row>
    <row r="514">
      <c r="A514" s="79" t="n"/>
      <c r="B514" s="79" t="n"/>
      <c r="C514" s="79" t="n"/>
      <c r="D514" s="79" t="n"/>
      <c r="E514" s="79" t="n"/>
      <c r="F514" s="79" t="n"/>
      <c r="G514" s="79" t="n"/>
      <c r="H514" s="79" t="n"/>
      <c r="I514" s="79" t="n"/>
      <c r="J514" s="79" t="n"/>
      <c r="K514" s="79" t="n"/>
      <c r="L514" s="79" t="n"/>
      <c r="M514" s="79" t="n"/>
      <c r="N514" s="79" t="n"/>
      <c r="O514" s="79" t="n"/>
      <c r="P514" s="79" t="n"/>
      <c r="Q514" s="79" t="n"/>
      <c r="R514" s="79" t="n"/>
      <c r="S514" s="79" t="n"/>
      <c r="T514" s="79" t="n"/>
      <c r="U514" s="79" t="n"/>
      <c r="V514" s="79" t="n"/>
      <c r="W514" s="79" t="n"/>
      <c r="X514" s="79" t="n"/>
      <c r="Y514" s="79" t="n"/>
      <c r="Z514" s="79" t="n"/>
    </row>
    <row r="515">
      <c r="A515" s="79" t="n"/>
      <c r="B515" s="79" t="n"/>
      <c r="C515" s="79" t="n"/>
      <c r="D515" s="79" t="n"/>
      <c r="E515" s="79" t="n"/>
      <c r="F515" s="79" t="n"/>
      <c r="G515" s="79" t="n"/>
      <c r="H515" s="79" t="n"/>
      <c r="I515" s="79" t="n"/>
      <c r="J515" s="79" t="n"/>
      <c r="K515" s="79" t="n"/>
      <c r="L515" s="79" t="n"/>
      <c r="M515" s="79" t="n"/>
      <c r="N515" s="79" t="n"/>
      <c r="O515" s="79" t="n"/>
      <c r="P515" s="79" t="n"/>
      <c r="Q515" s="79" t="n"/>
      <c r="R515" s="79" t="n"/>
      <c r="S515" s="79" t="n"/>
      <c r="T515" s="79" t="n"/>
      <c r="U515" s="79" t="n"/>
      <c r="V515" s="79" t="n"/>
      <c r="W515" s="79" t="n"/>
      <c r="X515" s="79" t="n"/>
      <c r="Y515" s="79" t="n"/>
      <c r="Z515" s="79" t="n"/>
    </row>
    <row r="516">
      <c r="A516" s="79" t="n"/>
      <c r="B516" s="79" t="n"/>
      <c r="C516" s="79" t="n"/>
      <c r="D516" s="79" t="n"/>
      <c r="E516" s="79" t="n"/>
      <c r="F516" s="79" t="n"/>
      <c r="G516" s="79" t="n"/>
      <c r="H516" s="79" t="n"/>
      <c r="I516" s="79" t="n"/>
      <c r="J516" s="79" t="n"/>
      <c r="K516" s="79" t="n"/>
      <c r="L516" s="79" t="n"/>
      <c r="M516" s="79" t="n"/>
      <c r="N516" s="79" t="n"/>
      <c r="O516" s="79" t="n"/>
      <c r="P516" s="79" t="n"/>
      <c r="Q516" s="79" t="n"/>
      <c r="R516" s="79" t="n"/>
      <c r="S516" s="79" t="n"/>
      <c r="T516" s="79" t="n"/>
      <c r="U516" s="79" t="n"/>
      <c r="V516" s="79" t="n"/>
      <c r="W516" s="79" t="n"/>
      <c r="X516" s="79" t="n"/>
      <c r="Y516" s="79" t="n"/>
      <c r="Z516" s="79" t="n"/>
    </row>
    <row r="517">
      <c r="A517" s="79" t="n"/>
      <c r="B517" s="79" t="n"/>
      <c r="C517" s="79" t="n"/>
      <c r="D517" s="79" t="n"/>
      <c r="E517" s="79" t="n"/>
      <c r="F517" s="79" t="n"/>
      <c r="G517" s="79" t="n"/>
      <c r="H517" s="79" t="n"/>
      <c r="I517" s="79" t="n"/>
      <c r="J517" s="79" t="n"/>
      <c r="K517" s="79" t="n"/>
      <c r="L517" s="79" t="n"/>
      <c r="M517" s="79" t="n"/>
      <c r="N517" s="79" t="n"/>
      <c r="O517" s="79" t="n"/>
      <c r="P517" s="79" t="n"/>
      <c r="Q517" s="79" t="n"/>
      <c r="R517" s="79" t="n"/>
      <c r="S517" s="79" t="n"/>
      <c r="T517" s="79" t="n"/>
      <c r="U517" s="79" t="n"/>
      <c r="V517" s="79" t="n"/>
      <c r="W517" s="79" t="n"/>
      <c r="X517" s="79" t="n"/>
      <c r="Y517" s="79" t="n"/>
      <c r="Z517" s="79" t="n"/>
    </row>
    <row r="518">
      <c r="A518" s="79" t="n"/>
      <c r="B518" s="79" t="n"/>
      <c r="C518" s="79" t="n"/>
      <c r="D518" s="79" t="n"/>
      <c r="E518" s="79" t="n"/>
      <c r="F518" s="79" t="n"/>
      <c r="G518" s="79" t="n"/>
      <c r="H518" s="79" t="n"/>
      <c r="I518" s="79" t="n"/>
      <c r="J518" s="79" t="n"/>
      <c r="K518" s="79" t="n"/>
      <c r="L518" s="79" t="n"/>
      <c r="M518" s="79" t="n"/>
      <c r="N518" s="79" t="n"/>
      <c r="O518" s="79" t="n"/>
      <c r="P518" s="79" t="n"/>
      <c r="Q518" s="79" t="n"/>
      <c r="R518" s="79" t="n"/>
      <c r="S518" s="79" t="n"/>
      <c r="T518" s="79" t="n"/>
      <c r="U518" s="79" t="n"/>
      <c r="V518" s="79" t="n"/>
      <c r="W518" s="79" t="n"/>
      <c r="X518" s="79" t="n"/>
      <c r="Y518" s="79" t="n"/>
      <c r="Z518" s="79" t="n"/>
    </row>
    <row r="519">
      <c r="A519" s="79" t="n"/>
      <c r="B519" s="79" t="n"/>
      <c r="C519" s="79" t="n"/>
      <c r="D519" s="79" t="n"/>
      <c r="E519" s="79" t="n"/>
      <c r="F519" s="79" t="n"/>
      <c r="G519" s="79" t="n"/>
      <c r="H519" s="79" t="n"/>
      <c r="I519" s="79" t="n"/>
      <c r="J519" s="79" t="n"/>
      <c r="K519" s="79" t="n"/>
      <c r="L519" s="79" t="n"/>
      <c r="M519" s="79" t="n"/>
      <c r="N519" s="79" t="n"/>
      <c r="O519" s="79" t="n"/>
      <c r="P519" s="79" t="n"/>
      <c r="Q519" s="79" t="n"/>
      <c r="R519" s="79" t="n"/>
      <c r="S519" s="79" t="n"/>
      <c r="T519" s="79" t="n"/>
      <c r="U519" s="79" t="n"/>
      <c r="V519" s="79" t="n"/>
      <c r="W519" s="79" t="n"/>
      <c r="X519" s="79" t="n"/>
      <c r="Y519" s="79" t="n"/>
      <c r="Z519" s="79" t="n"/>
    </row>
    <row r="520">
      <c r="A520" s="79" t="n"/>
      <c r="B520" s="79" t="n"/>
      <c r="C520" s="79" t="n"/>
      <c r="D520" s="79" t="n"/>
      <c r="E520" s="79" t="n"/>
      <c r="F520" s="79" t="n"/>
      <c r="G520" s="79" t="n"/>
      <c r="H520" s="79" t="n"/>
      <c r="I520" s="79" t="n"/>
      <c r="J520" s="79" t="n"/>
      <c r="K520" s="79" t="n"/>
      <c r="L520" s="79" t="n"/>
      <c r="M520" s="79" t="n"/>
      <c r="N520" s="79" t="n"/>
      <c r="O520" s="79" t="n"/>
      <c r="P520" s="79" t="n"/>
      <c r="Q520" s="79" t="n"/>
      <c r="R520" s="79" t="n"/>
      <c r="S520" s="79" t="n"/>
      <c r="T520" s="79" t="n"/>
      <c r="U520" s="79" t="n"/>
      <c r="V520" s="79" t="n"/>
      <c r="W520" s="79" t="n"/>
      <c r="X520" s="79" t="n"/>
      <c r="Y520" s="79" t="n"/>
      <c r="Z520" s="79" t="n"/>
    </row>
    <row r="521">
      <c r="A521" s="79" t="n"/>
      <c r="B521" s="79" t="n"/>
      <c r="C521" s="79" t="n"/>
      <c r="D521" s="79" t="n"/>
      <c r="E521" s="79" t="n"/>
      <c r="F521" s="79" t="n"/>
      <c r="G521" s="79" t="n"/>
      <c r="H521" s="79" t="n"/>
      <c r="I521" s="79" t="n"/>
      <c r="J521" s="79" t="n"/>
      <c r="K521" s="79" t="n"/>
      <c r="L521" s="79" t="n"/>
      <c r="M521" s="79" t="n"/>
      <c r="N521" s="79" t="n"/>
      <c r="O521" s="79" t="n"/>
      <c r="P521" s="79" t="n"/>
      <c r="Q521" s="79" t="n"/>
      <c r="R521" s="79" t="n"/>
      <c r="S521" s="79" t="n"/>
      <c r="T521" s="79" t="n"/>
      <c r="U521" s="79" t="n"/>
      <c r="V521" s="79" t="n"/>
      <c r="W521" s="79" t="n"/>
      <c r="X521" s="79" t="n"/>
      <c r="Y521" s="79" t="n"/>
      <c r="Z521" s="79" t="n"/>
    </row>
    <row r="522">
      <c r="A522" s="79" t="n"/>
      <c r="B522" s="79" t="n"/>
      <c r="C522" s="79" t="n"/>
      <c r="D522" s="79" t="n"/>
      <c r="E522" s="79" t="n"/>
      <c r="F522" s="79" t="n"/>
      <c r="G522" s="79" t="n"/>
      <c r="H522" s="79" t="n"/>
      <c r="I522" s="79" t="n"/>
      <c r="J522" s="79" t="n"/>
      <c r="K522" s="79" t="n"/>
      <c r="L522" s="79" t="n"/>
      <c r="M522" s="79" t="n"/>
      <c r="N522" s="79" t="n"/>
      <c r="O522" s="79" t="n"/>
      <c r="P522" s="79" t="n"/>
      <c r="Q522" s="79" t="n"/>
      <c r="R522" s="79" t="n"/>
      <c r="S522" s="79" t="n"/>
      <c r="T522" s="79" t="n"/>
      <c r="U522" s="79" t="n"/>
      <c r="V522" s="79" t="n"/>
      <c r="W522" s="79" t="n"/>
      <c r="X522" s="79" t="n"/>
      <c r="Y522" s="79" t="n"/>
      <c r="Z522" s="79" t="n"/>
    </row>
    <row r="523">
      <c r="A523" s="79" t="n"/>
      <c r="B523" s="79" t="n"/>
      <c r="C523" s="79" t="n"/>
      <c r="D523" s="79" t="n"/>
      <c r="E523" s="79" t="n"/>
      <c r="F523" s="79" t="n"/>
      <c r="G523" s="79" t="n"/>
      <c r="H523" s="79" t="n"/>
      <c r="I523" s="79" t="n"/>
      <c r="J523" s="79" t="n"/>
      <c r="K523" s="79" t="n"/>
      <c r="L523" s="79" t="n"/>
      <c r="M523" s="79" t="n"/>
      <c r="N523" s="79" t="n"/>
      <c r="O523" s="79" t="n"/>
      <c r="P523" s="79" t="n"/>
      <c r="Q523" s="79" t="n"/>
      <c r="R523" s="79" t="n"/>
      <c r="S523" s="79" t="n"/>
      <c r="T523" s="79" t="n"/>
      <c r="U523" s="79" t="n"/>
      <c r="V523" s="79" t="n"/>
      <c r="W523" s="79" t="n"/>
      <c r="X523" s="79" t="n"/>
      <c r="Y523" s="79" t="n"/>
      <c r="Z523" s="79" t="n"/>
    </row>
    <row r="524">
      <c r="A524" s="79" t="n"/>
      <c r="B524" s="79" t="n"/>
      <c r="C524" s="79" t="n"/>
      <c r="D524" s="79" t="n"/>
      <c r="E524" s="79" t="n"/>
      <c r="F524" s="79" t="n"/>
      <c r="G524" s="79" t="n"/>
      <c r="H524" s="79" t="n"/>
      <c r="I524" s="79" t="n"/>
      <c r="J524" s="79" t="n"/>
      <c r="K524" s="79" t="n"/>
      <c r="L524" s="79" t="n"/>
      <c r="M524" s="79" t="n"/>
      <c r="N524" s="79" t="n"/>
      <c r="O524" s="79" t="n"/>
      <c r="P524" s="79" t="n"/>
      <c r="Q524" s="79" t="n"/>
      <c r="R524" s="79" t="n"/>
      <c r="S524" s="79" t="n"/>
      <c r="T524" s="79" t="n"/>
      <c r="U524" s="79" t="n"/>
      <c r="V524" s="79" t="n"/>
      <c r="W524" s="79" t="n"/>
      <c r="X524" s="79" t="n"/>
      <c r="Y524" s="79" t="n"/>
      <c r="Z524" s="79" t="n"/>
    </row>
    <row r="525">
      <c r="A525" s="79" t="n"/>
      <c r="B525" s="79" t="n"/>
      <c r="C525" s="79" t="n"/>
      <c r="D525" s="79" t="n"/>
      <c r="E525" s="79" t="n"/>
      <c r="F525" s="79" t="n"/>
      <c r="G525" s="79" t="n"/>
      <c r="H525" s="79" t="n"/>
      <c r="I525" s="79" t="n"/>
      <c r="J525" s="79" t="n"/>
      <c r="K525" s="79" t="n"/>
      <c r="L525" s="79" t="n"/>
      <c r="M525" s="79" t="n"/>
      <c r="N525" s="79" t="n"/>
      <c r="O525" s="79" t="n"/>
      <c r="P525" s="79" t="n"/>
      <c r="Q525" s="79" t="n"/>
      <c r="R525" s="79" t="n"/>
      <c r="S525" s="79" t="n"/>
      <c r="T525" s="79" t="n"/>
      <c r="U525" s="79" t="n"/>
      <c r="V525" s="79" t="n"/>
      <c r="W525" s="79" t="n"/>
      <c r="X525" s="79" t="n"/>
      <c r="Y525" s="79" t="n"/>
      <c r="Z525" s="79" t="n"/>
    </row>
    <row r="526">
      <c r="A526" s="79" t="n"/>
      <c r="B526" s="79" t="n"/>
      <c r="C526" s="79" t="n"/>
      <c r="D526" s="79" t="n"/>
      <c r="E526" s="79" t="n"/>
      <c r="F526" s="79" t="n"/>
      <c r="G526" s="79" t="n"/>
      <c r="H526" s="79" t="n"/>
      <c r="I526" s="79" t="n"/>
      <c r="J526" s="79" t="n"/>
      <c r="K526" s="79" t="n"/>
      <c r="L526" s="79" t="n"/>
      <c r="M526" s="79" t="n"/>
      <c r="N526" s="79" t="n"/>
      <c r="O526" s="79" t="n"/>
      <c r="P526" s="79" t="n"/>
      <c r="Q526" s="79" t="n"/>
      <c r="R526" s="79" t="n"/>
      <c r="S526" s="79" t="n"/>
      <c r="T526" s="79" t="n"/>
      <c r="U526" s="79" t="n"/>
      <c r="V526" s="79" t="n"/>
      <c r="W526" s="79" t="n"/>
      <c r="X526" s="79" t="n"/>
      <c r="Y526" s="79" t="n"/>
      <c r="Z526" s="79" t="n"/>
    </row>
    <row r="527">
      <c r="A527" s="79" t="n"/>
      <c r="B527" s="79" t="n"/>
      <c r="C527" s="79" t="n"/>
      <c r="D527" s="79" t="n"/>
      <c r="E527" s="79" t="n"/>
      <c r="F527" s="79" t="n"/>
      <c r="G527" s="79" t="n"/>
      <c r="H527" s="79" t="n"/>
      <c r="I527" s="79" t="n"/>
      <c r="J527" s="79" t="n"/>
      <c r="K527" s="79" t="n"/>
      <c r="L527" s="79" t="n"/>
      <c r="M527" s="79" t="n"/>
      <c r="N527" s="79" t="n"/>
      <c r="O527" s="79" t="n"/>
      <c r="P527" s="79" t="n"/>
      <c r="Q527" s="79" t="n"/>
      <c r="R527" s="79" t="n"/>
      <c r="S527" s="79" t="n"/>
      <c r="T527" s="79" t="n"/>
      <c r="U527" s="79" t="n"/>
      <c r="V527" s="79" t="n"/>
      <c r="W527" s="79" t="n"/>
      <c r="X527" s="79" t="n"/>
      <c r="Y527" s="79" t="n"/>
      <c r="Z527" s="79" t="n"/>
    </row>
    <row r="528">
      <c r="A528" s="79" t="n"/>
      <c r="B528" s="79" t="n"/>
      <c r="C528" s="79" t="n"/>
      <c r="D528" s="79" t="n"/>
      <c r="E528" s="79" t="n"/>
      <c r="F528" s="79" t="n"/>
      <c r="G528" s="79" t="n"/>
      <c r="H528" s="79" t="n"/>
      <c r="I528" s="79" t="n"/>
      <c r="J528" s="79" t="n"/>
      <c r="K528" s="79" t="n"/>
      <c r="L528" s="79" t="n"/>
      <c r="M528" s="79" t="n"/>
      <c r="N528" s="79" t="n"/>
      <c r="O528" s="79" t="n"/>
      <c r="P528" s="79" t="n"/>
      <c r="Q528" s="79" t="n"/>
      <c r="R528" s="79" t="n"/>
      <c r="S528" s="79" t="n"/>
      <c r="T528" s="79" t="n"/>
      <c r="U528" s="79" t="n"/>
      <c r="V528" s="79" t="n"/>
      <c r="W528" s="79" t="n"/>
      <c r="X528" s="79" t="n"/>
      <c r="Y528" s="79" t="n"/>
      <c r="Z528" s="79" t="n"/>
    </row>
    <row r="529">
      <c r="A529" s="79" t="n"/>
      <c r="B529" s="79" t="n"/>
      <c r="C529" s="79" t="n"/>
      <c r="D529" s="79" t="n"/>
      <c r="E529" s="79" t="n"/>
      <c r="F529" s="79" t="n"/>
      <c r="G529" s="79" t="n"/>
      <c r="H529" s="79" t="n"/>
      <c r="I529" s="79" t="n"/>
      <c r="J529" s="79" t="n"/>
      <c r="K529" s="79" t="n"/>
      <c r="L529" s="79" t="n"/>
      <c r="M529" s="79" t="n"/>
      <c r="N529" s="79" t="n"/>
      <c r="O529" s="79" t="n"/>
      <c r="P529" s="79" t="n"/>
      <c r="Q529" s="79" t="n"/>
      <c r="R529" s="79" t="n"/>
      <c r="S529" s="79" t="n"/>
      <c r="T529" s="79" t="n"/>
      <c r="U529" s="79" t="n"/>
      <c r="V529" s="79" t="n"/>
      <c r="W529" s="79" t="n"/>
      <c r="X529" s="79" t="n"/>
      <c r="Y529" s="79" t="n"/>
      <c r="Z529" s="79" t="n"/>
    </row>
    <row r="530">
      <c r="A530" s="79" t="n"/>
      <c r="B530" s="79" t="n"/>
      <c r="C530" s="79" t="n"/>
      <c r="D530" s="79" t="n"/>
      <c r="E530" s="79" t="n"/>
      <c r="F530" s="79" t="n"/>
      <c r="G530" s="79" t="n"/>
      <c r="H530" s="79" t="n"/>
      <c r="I530" s="79" t="n"/>
      <c r="J530" s="79" t="n"/>
      <c r="K530" s="79" t="n"/>
      <c r="L530" s="79" t="n"/>
      <c r="M530" s="79" t="n"/>
      <c r="N530" s="79" t="n"/>
      <c r="O530" s="79" t="n"/>
      <c r="P530" s="79" t="n"/>
      <c r="Q530" s="79" t="n"/>
      <c r="R530" s="79" t="n"/>
      <c r="S530" s="79" t="n"/>
      <c r="T530" s="79" t="n"/>
      <c r="U530" s="79" t="n"/>
      <c r="V530" s="79" t="n"/>
      <c r="W530" s="79" t="n"/>
      <c r="X530" s="79" t="n"/>
      <c r="Y530" s="79" t="n"/>
      <c r="Z530" s="79" t="n"/>
    </row>
    <row r="531">
      <c r="A531" s="79" t="n"/>
      <c r="B531" s="79" t="n"/>
      <c r="C531" s="79" t="n"/>
      <c r="D531" s="79" t="n"/>
      <c r="E531" s="79" t="n"/>
      <c r="F531" s="79" t="n"/>
      <c r="G531" s="79" t="n"/>
      <c r="H531" s="79" t="n"/>
      <c r="I531" s="79" t="n"/>
      <c r="J531" s="79" t="n"/>
      <c r="K531" s="79" t="n"/>
      <c r="L531" s="79" t="n"/>
      <c r="M531" s="79" t="n"/>
      <c r="N531" s="79" t="n"/>
      <c r="O531" s="79" t="n"/>
      <c r="P531" s="79" t="n"/>
      <c r="Q531" s="79" t="n"/>
      <c r="R531" s="79" t="n"/>
      <c r="S531" s="79" t="n"/>
      <c r="T531" s="79" t="n"/>
      <c r="U531" s="79" t="n"/>
      <c r="V531" s="79" t="n"/>
      <c r="W531" s="79" t="n"/>
      <c r="X531" s="79" t="n"/>
      <c r="Y531" s="79" t="n"/>
      <c r="Z531" s="79" t="n"/>
    </row>
    <row r="532">
      <c r="A532" s="79" t="n"/>
      <c r="B532" s="79" t="n"/>
      <c r="C532" s="79" t="n"/>
      <c r="D532" s="79" t="n"/>
      <c r="E532" s="79" t="n"/>
      <c r="F532" s="79" t="n"/>
      <c r="G532" s="79" t="n"/>
      <c r="H532" s="79" t="n"/>
      <c r="I532" s="79" t="n"/>
      <c r="J532" s="79" t="n"/>
      <c r="K532" s="79" t="n"/>
      <c r="L532" s="79" t="n"/>
      <c r="M532" s="79" t="n"/>
      <c r="N532" s="79" t="n"/>
      <c r="O532" s="79" t="n"/>
      <c r="P532" s="79" t="n"/>
      <c r="Q532" s="79" t="n"/>
      <c r="R532" s="79" t="n"/>
      <c r="S532" s="79" t="n"/>
      <c r="T532" s="79" t="n"/>
      <c r="U532" s="79" t="n"/>
      <c r="V532" s="79" t="n"/>
      <c r="W532" s="79" t="n"/>
      <c r="X532" s="79" t="n"/>
      <c r="Y532" s="79" t="n"/>
      <c r="Z532" s="79" t="n"/>
    </row>
    <row r="533">
      <c r="A533" s="79" t="n"/>
      <c r="B533" s="79" t="n"/>
      <c r="C533" s="79" t="n"/>
      <c r="D533" s="79" t="n"/>
      <c r="E533" s="79" t="n"/>
      <c r="F533" s="79" t="n"/>
      <c r="G533" s="79" t="n"/>
      <c r="H533" s="79" t="n"/>
      <c r="I533" s="79" t="n"/>
      <c r="J533" s="79" t="n"/>
      <c r="K533" s="79" t="n"/>
      <c r="L533" s="79" t="n"/>
      <c r="M533" s="79" t="n"/>
      <c r="N533" s="79" t="n"/>
      <c r="O533" s="79" t="n"/>
      <c r="P533" s="79" t="n"/>
      <c r="Q533" s="79" t="n"/>
      <c r="R533" s="79" t="n"/>
      <c r="S533" s="79" t="n"/>
      <c r="T533" s="79" t="n"/>
      <c r="U533" s="79" t="n"/>
      <c r="V533" s="79" t="n"/>
      <c r="W533" s="79" t="n"/>
      <c r="X533" s="79" t="n"/>
      <c r="Y533" s="79" t="n"/>
      <c r="Z533" s="79" t="n"/>
    </row>
    <row r="534">
      <c r="A534" s="79" t="n"/>
      <c r="B534" s="79" t="n"/>
      <c r="C534" s="79" t="n"/>
      <c r="D534" s="79" t="n"/>
      <c r="E534" s="79" t="n"/>
      <c r="F534" s="79" t="n"/>
      <c r="G534" s="79" t="n"/>
      <c r="H534" s="79" t="n"/>
      <c r="I534" s="79" t="n"/>
      <c r="J534" s="79" t="n"/>
      <c r="K534" s="79" t="n"/>
      <c r="L534" s="79" t="n"/>
      <c r="M534" s="79" t="n"/>
      <c r="N534" s="79" t="n"/>
      <c r="O534" s="79" t="n"/>
      <c r="P534" s="79" t="n"/>
      <c r="Q534" s="79" t="n"/>
      <c r="R534" s="79" t="n"/>
      <c r="S534" s="79" t="n"/>
      <c r="T534" s="79" t="n"/>
      <c r="U534" s="79" t="n"/>
      <c r="V534" s="79" t="n"/>
      <c r="W534" s="79" t="n"/>
      <c r="X534" s="79" t="n"/>
      <c r="Y534" s="79" t="n"/>
      <c r="Z534" s="79" t="n"/>
    </row>
    <row r="535">
      <c r="A535" s="79" t="n"/>
      <c r="B535" s="79" t="n"/>
      <c r="C535" s="79" t="n"/>
      <c r="D535" s="79" t="n"/>
      <c r="E535" s="79" t="n"/>
      <c r="F535" s="79" t="n"/>
      <c r="G535" s="79" t="n"/>
      <c r="H535" s="79" t="n"/>
      <c r="I535" s="79" t="n"/>
      <c r="J535" s="79" t="n"/>
      <c r="K535" s="79" t="n"/>
      <c r="L535" s="79" t="n"/>
      <c r="M535" s="79" t="n"/>
      <c r="N535" s="79" t="n"/>
      <c r="O535" s="79" t="n"/>
      <c r="P535" s="79" t="n"/>
      <c r="Q535" s="79" t="n"/>
      <c r="R535" s="79" t="n"/>
      <c r="S535" s="79" t="n"/>
      <c r="T535" s="79" t="n"/>
      <c r="U535" s="79" t="n"/>
      <c r="V535" s="79" t="n"/>
      <c r="W535" s="79" t="n"/>
      <c r="X535" s="79" t="n"/>
      <c r="Y535" s="79" t="n"/>
      <c r="Z535" s="79" t="n"/>
    </row>
    <row r="536">
      <c r="A536" s="79" t="n"/>
      <c r="B536" s="79" t="n"/>
      <c r="C536" s="79" t="n"/>
      <c r="D536" s="79" t="n"/>
      <c r="E536" s="79" t="n"/>
      <c r="F536" s="79" t="n"/>
      <c r="G536" s="79" t="n"/>
      <c r="H536" s="79" t="n"/>
      <c r="I536" s="79" t="n"/>
      <c r="J536" s="79" t="n"/>
      <c r="K536" s="79" t="n"/>
      <c r="L536" s="79" t="n"/>
      <c r="M536" s="79" t="n"/>
      <c r="N536" s="79" t="n"/>
      <c r="O536" s="79" t="n"/>
      <c r="P536" s="79" t="n"/>
      <c r="Q536" s="79" t="n"/>
      <c r="R536" s="79" t="n"/>
      <c r="S536" s="79" t="n"/>
      <c r="T536" s="79" t="n"/>
      <c r="U536" s="79" t="n"/>
      <c r="V536" s="79" t="n"/>
      <c r="W536" s="79" t="n"/>
      <c r="X536" s="79" t="n"/>
      <c r="Y536" s="79" t="n"/>
      <c r="Z536" s="79" t="n"/>
    </row>
    <row r="537">
      <c r="A537" s="79" t="n"/>
      <c r="B537" s="79" t="n"/>
      <c r="C537" s="79" t="n"/>
      <c r="D537" s="79" t="n"/>
      <c r="E537" s="79" t="n"/>
      <c r="F537" s="79" t="n"/>
      <c r="G537" s="79" t="n"/>
      <c r="H537" s="79" t="n"/>
      <c r="I537" s="79" t="n"/>
      <c r="J537" s="79" t="n"/>
      <c r="K537" s="79" t="n"/>
      <c r="L537" s="79" t="n"/>
      <c r="M537" s="79" t="n"/>
      <c r="N537" s="79" t="n"/>
      <c r="O537" s="79" t="n"/>
      <c r="P537" s="79" t="n"/>
      <c r="Q537" s="79" t="n"/>
      <c r="R537" s="79" t="n"/>
      <c r="S537" s="79" t="n"/>
      <c r="T537" s="79" t="n"/>
      <c r="U537" s="79" t="n"/>
      <c r="V537" s="79" t="n"/>
      <c r="W537" s="79" t="n"/>
      <c r="X537" s="79" t="n"/>
      <c r="Y537" s="79" t="n"/>
      <c r="Z537" s="79" t="n"/>
    </row>
    <row r="538">
      <c r="A538" s="79" t="n"/>
      <c r="B538" s="79" t="n"/>
      <c r="C538" s="79" t="n"/>
      <c r="D538" s="79" t="n"/>
      <c r="E538" s="79" t="n"/>
      <c r="F538" s="79" t="n"/>
      <c r="G538" s="79" t="n"/>
      <c r="H538" s="79" t="n"/>
      <c r="I538" s="79" t="n"/>
      <c r="J538" s="79" t="n"/>
      <c r="K538" s="79" t="n"/>
      <c r="L538" s="79" t="n"/>
      <c r="M538" s="79" t="n"/>
      <c r="N538" s="79" t="n"/>
      <c r="O538" s="79" t="n"/>
      <c r="P538" s="79" t="n"/>
      <c r="Q538" s="79" t="n"/>
      <c r="R538" s="79" t="n"/>
      <c r="S538" s="79" t="n"/>
      <c r="T538" s="79" t="n"/>
      <c r="U538" s="79" t="n"/>
      <c r="V538" s="79" t="n"/>
      <c r="W538" s="79" t="n"/>
      <c r="X538" s="79" t="n"/>
      <c r="Y538" s="79" t="n"/>
      <c r="Z538" s="79" t="n"/>
    </row>
    <row r="539">
      <c r="A539" s="79" t="n"/>
      <c r="B539" s="79" t="n"/>
      <c r="C539" s="79" t="n"/>
      <c r="D539" s="79" t="n"/>
      <c r="E539" s="79" t="n"/>
      <c r="F539" s="79" t="n"/>
      <c r="G539" s="79" t="n"/>
      <c r="H539" s="79" t="n"/>
      <c r="I539" s="79" t="n"/>
      <c r="J539" s="79" t="n"/>
      <c r="K539" s="79" t="n"/>
      <c r="L539" s="79" t="n"/>
      <c r="M539" s="79" t="n"/>
      <c r="N539" s="79" t="n"/>
      <c r="O539" s="79" t="n"/>
      <c r="P539" s="79" t="n"/>
      <c r="Q539" s="79" t="n"/>
      <c r="R539" s="79" t="n"/>
      <c r="S539" s="79" t="n"/>
      <c r="T539" s="79" t="n"/>
      <c r="U539" s="79" t="n"/>
      <c r="V539" s="79" t="n"/>
      <c r="W539" s="79" t="n"/>
      <c r="X539" s="79" t="n"/>
      <c r="Y539" s="79" t="n"/>
      <c r="Z539" s="79" t="n"/>
    </row>
    <row r="540">
      <c r="A540" s="79" t="n"/>
      <c r="B540" s="79" t="n"/>
      <c r="C540" s="79" t="n"/>
      <c r="D540" s="79" t="n"/>
      <c r="E540" s="79" t="n"/>
      <c r="F540" s="79" t="n"/>
      <c r="G540" s="79" t="n"/>
      <c r="H540" s="79" t="n"/>
      <c r="I540" s="79" t="n"/>
      <c r="J540" s="79" t="n"/>
      <c r="K540" s="79" t="n"/>
      <c r="L540" s="79" t="n"/>
      <c r="M540" s="79" t="n"/>
      <c r="N540" s="79" t="n"/>
      <c r="O540" s="79" t="n"/>
      <c r="P540" s="79" t="n"/>
      <c r="Q540" s="79" t="n"/>
      <c r="R540" s="79" t="n"/>
      <c r="S540" s="79" t="n"/>
      <c r="T540" s="79" t="n"/>
      <c r="U540" s="79" t="n"/>
      <c r="V540" s="79" t="n"/>
      <c r="W540" s="79" t="n"/>
      <c r="X540" s="79" t="n"/>
      <c r="Y540" s="79" t="n"/>
      <c r="Z540" s="79" t="n"/>
    </row>
    <row r="541">
      <c r="A541" s="79" t="n"/>
      <c r="B541" s="79" t="n"/>
      <c r="C541" s="79" t="n"/>
      <c r="D541" s="79" t="n"/>
      <c r="E541" s="79" t="n"/>
      <c r="F541" s="79" t="n"/>
      <c r="G541" s="79" t="n"/>
      <c r="H541" s="79" t="n"/>
      <c r="I541" s="79" t="n"/>
      <c r="J541" s="79" t="n"/>
      <c r="K541" s="79" t="n"/>
      <c r="L541" s="79" t="n"/>
      <c r="M541" s="79" t="n"/>
      <c r="N541" s="79" t="n"/>
      <c r="O541" s="79" t="n"/>
      <c r="P541" s="79" t="n"/>
      <c r="Q541" s="79" t="n"/>
      <c r="R541" s="79" t="n"/>
      <c r="S541" s="79" t="n"/>
      <c r="T541" s="79" t="n"/>
      <c r="U541" s="79" t="n"/>
      <c r="V541" s="79" t="n"/>
      <c r="W541" s="79" t="n"/>
      <c r="X541" s="79" t="n"/>
      <c r="Y541" s="79" t="n"/>
      <c r="Z541" s="79" t="n"/>
    </row>
    <row r="542">
      <c r="A542" s="79" t="n"/>
      <c r="B542" s="79" t="n"/>
      <c r="C542" s="79" t="n"/>
      <c r="D542" s="79" t="n"/>
      <c r="E542" s="79" t="n"/>
      <c r="F542" s="79" t="n"/>
      <c r="G542" s="79" t="n"/>
      <c r="H542" s="79" t="n"/>
      <c r="I542" s="79" t="n"/>
      <c r="J542" s="79" t="n"/>
      <c r="K542" s="79" t="n"/>
      <c r="L542" s="79" t="n"/>
      <c r="M542" s="79" t="n"/>
      <c r="N542" s="79" t="n"/>
      <c r="O542" s="79" t="n"/>
      <c r="P542" s="79" t="n"/>
      <c r="Q542" s="79" t="n"/>
      <c r="R542" s="79" t="n"/>
      <c r="S542" s="79" t="n"/>
      <c r="T542" s="79" t="n"/>
      <c r="U542" s="79" t="n"/>
      <c r="V542" s="79" t="n"/>
      <c r="W542" s="79" t="n"/>
      <c r="X542" s="79" t="n"/>
      <c r="Y542" s="79" t="n"/>
      <c r="Z542" s="79" t="n"/>
    </row>
    <row r="543">
      <c r="A543" s="79" t="n"/>
      <c r="B543" s="79" t="n"/>
      <c r="C543" s="79" t="n"/>
      <c r="D543" s="79" t="n"/>
      <c r="E543" s="79" t="n"/>
      <c r="F543" s="79" t="n"/>
      <c r="G543" s="79" t="n"/>
      <c r="H543" s="79" t="n"/>
      <c r="I543" s="79" t="n"/>
      <c r="J543" s="79" t="n"/>
      <c r="K543" s="79" t="n"/>
      <c r="L543" s="79" t="n"/>
      <c r="M543" s="79" t="n"/>
      <c r="N543" s="79" t="n"/>
      <c r="O543" s="79" t="n"/>
      <c r="P543" s="79" t="n"/>
      <c r="Q543" s="79" t="n"/>
      <c r="R543" s="79" t="n"/>
      <c r="S543" s="79" t="n"/>
      <c r="T543" s="79" t="n"/>
      <c r="U543" s="79" t="n"/>
      <c r="V543" s="79" t="n"/>
      <c r="W543" s="79" t="n"/>
      <c r="X543" s="79" t="n"/>
      <c r="Y543" s="79" t="n"/>
      <c r="Z543" s="79" t="n"/>
    </row>
    <row r="544">
      <c r="A544" s="79" t="n"/>
      <c r="B544" s="79" t="n"/>
      <c r="C544" s="79" t="n"/>
      <c r="D544" s="79" t="n"/>
      <c r="E544" s="79" t="n"/>
      <c r="F544" s="79" t="n"/>
      <c r="G544" s="79" t="n"/>
      <c r="H544" s="79" t="n"/>
      <c r="I544" s="79" t="n"/>
      <c r="J544" s="79" t="n"/>
      <c r="K544" s="79" t="n"/>
      <c r="L544" s="79" t="n"/>
      <c r="M544" s="79" t="n"/>
      <c r="N544" s="79" t="n"/>
      <c r="O544" s="79" t="n"/>
      <c r="P544" s="79" t="n"/>
      <c r="Q544" s="79" t="n"/>
      <c r="R544" s="79" t="n"/>
      <c r="S544" s="79" t="n"/>
      <c r="T544" s="79" t="n"/>
      <c r="U544" s="79" t="n"/>
      <c r="V544" s="79" t="n"/>
      <c r="W544" s="79" t="n"/>
      <c r="X544" s="79" t="n"/>
      <c r="Y544" s="79" t="n"/>
      <c r="Z544" s="79" t="n"/>
    </row>
    <row r="545">
      <c r="A545" s="79" t="n"/>
      <c r="B545" s="79" t="n"/>
      <c r="C545" s="79" t="n"/>
      <c r="D545" s="79" t="n"/>
      <c r="E545" s="79" t="n"/>
      <c r="F545" s="79" t="n"/>
      <c r="G545" s="79" t="n"/>
      <c r="H545" s="79" t="n"/>
      <c r="I545" s="79" t="n"/>
      <c r="J545" s="79" t="n"/>
      <c r="K545" s="79" t="n"/>
      <c r="L545" s="79" t="n"/>
      <c r="M545" s="79" t="n"/>
      <c r="N545" s="79" t="n"/>
      <c r="O545" s="79" t="n"/>
      <c r="P545" s="79" t="n"/>
      <c r="Q545" s="79" t="n"/>
      <c r="R545" s="79" t="n"/>
      <c r="S545" s="79" t="n"/>
      <c r="T545" s="79" t="n"/>
      <c r="U545" s="79" t="n"/>
      <c r="V545" s="79" t="n"/>
      <c r="W545" s="79" t="n"/>
      <c r="X545" s="79" t="n"/>
      <c r="Y545" s="79" t="n"/>
      <c r="Z545" s="79" t="n"/>
    </row>
    <row r="546">
      <c r="A546" s="79" t="n"/>
      <c r="B546" s="79" t="n"/>
      <c r="C546" s="79" t="n"/>
      <c r="D546" s="79" t="n"/>
      <c r="E546" s="79" t="n"/>
      <c r="F546" s="79" t="n"/>
      <c r="G546" s="79" t="n"/>
      <c r="H546" s="79" t="n"/>
      <c r="I546" s="79" t="n"/>
      <c r="J546" s="79" t="n"/>
      <c r="K546" s="79" t="n"/>
      <c r="L546" s="79" t="n"/>
      <c r="M546" s="79" t="n"/>
      <c r="N546" s="79" t="n"/>
      <c r="O546" s="79" t="n"/>
      <c r="P546" s="79" t="n"/>
      <c r="Q546" s="79" t="n"/>
      <c r="R546" s="79" t="n"/>
      <c r="S546" s="79" t="n"/>
      <c r="T546" s="79" t="n"/>
      <c r="U546" s="79" t="n"/>
      <c r="V546" s="79" t="n"/>
      <c r="W546" s="79" t="n"/>
      <c r="X546" s="79" t="n"/>
      <c r="Y546" s="79" t="n"/>
      <c r="Z546" s="79" t="n"/>
    </row>
    <row r="547">
      <c r="A547" s="79" t="n"/>
      <c r="B547" s="79" t="n"/>
      <c r="C547" s="79" t="n"/>
      <c r="D547" s="79" t="n"/>
      <c r="E547" s="79" t="n"/>
      <c r="F547" s="79" t="n"/>
      <c r="G547" s="79" t="n"/>
      <c r="H547" s="79" t="n"/>
      <c r="I547" s="79" t="n"/>
      <c r="J547" s="79" t="n"/>
      <c r="K547" s="79" t="n"/>
      <c r="L547" s="79" t="n"/>
      <c r="M547" s="79" t="n"/>
      <c r="N547" s="79" t="n"/>
      <c r="O547" s="79" t="n"/>
      <c r="P547" s="79" t="n"/>
      <c r="Q547" s="79" t="n"/>
      <c r="R547" s="79" t="n"/>
      <c r="S547" s="79" t="n"/>
      <c r="T547" s="79" t="n"/>
      <c r="U547" s="79" t="n"/>
      <c r="V547" s="79" t="n"/>
      <c r="W547" s="79" t="n"/>
      <c r="X547" s="79" t="n"/>
      <c r="Y547" s="79" t="n"/>
      <c r="Z547" s="79" t="n"/>
    </row>
    <row r="548">
      <c r="A548" s="79" t="n"/>
      <c r="B548" s="79" t="n"/>
      <c r="C548" s="79" t="n"/>
      <c r="D548" s="79" t="n"/>
      <c r="E548" s="79" t="n"/>
      <c r="F548" s="79" t="n"/>
      <c r="G548" s="79" t="n"/>
      <c r="H548" s="79" t="n"/>
      <c r="I548" s="79" t="n"/>
      <c r="J548" s="79" t="n"/>
      <c r="K548" s="79" t="n"/>
      <c r="L548" s="79" t="n"/>
      <c r="M548" s="79" t="n"/>
      <c r="N548" s="79" t="n"/>
      <c r="O548" s="79" t="n"/>
      <c r="P548" s="79" t="n"/>
      <c r="Q548" s="79" t="n"/>
      <c r="R548" s="79" t="n"/>
      <c r="S548" s="79" t="n"/>
      <c r="T548" s="79" t="n"/>
      <c r="U548" s="79" t="n"/>
      <c r="V548" s="79" t="n"/>
      <c r="W548" s="79" t="n"/>
      <c r="X548" s="79" t="n"/>
      <c r="Y548" s="79" t="n"/>
      <c r="Z548" s="79" t="n"/>
    </row>
    <row r="549">
      <c r="A549" s="79" t="n"/>
      <c r="B549" s="79" t="n"/>
      <c r="C549" s="79" t="n"/>
      <c r="D549" s="79" t="n"/>
      <c r="E549" s="79" t="n"/>
      <c r="F549" s="79" t="n"/>
      <c r="G549" s="79" t="n"/>
      <c r="H549" s="79" t="n"/>
      <c r="I549" s="79" t="n"/>
      <c r="J549" s="79" t="n"/>
      <c r="K549" s="79" t="n"/>
      <c r="L549" s="79" t="n"/>
      <c r="M549" s="79" t="n"/>
      <c r="N549" s="79" t="n"/>
      <c r="O549" s="79" t="n"/>
      <c r="P549" s="79" t="n"/>
      <c r="Q549" s="79" t="n"/>
      <c r="R549" s="79" t="n"/>
      <c r="S549" s="79" t="n"/>
      <c r="T549" s="79" t="n"/>
      <c r="U549" s="79" t="n"/>
      <c r="V549" s="79" t="n"/>
      <c r="W549" s="79" t="n"/>
      <c r="X549" s="79" t="n"/>
      <c r="Y549" s="79" t="n"/>
      <c r="Z549" s="79" t="n"/>
    </row>
    <row r="550">
      <c r="A550" s="79" t="n"/>
      <c r="B550" s="79" t="n"/>
      <c r="C550" s="79" t="n"/>
      <c r="D550" s="79" t="n"/>
      <c r="E550" s="79" t="n"/>
      <c r="F550" s="79" t="n"/>
      <c r="G550" s="79" t="n"/>
      <c r="H550" s="79" t="n"/>
      <c r="I550" s="79" t="n"/>
      <c r="J550" s="79" t="n"/>
      <c r="K550" s="79" t="n"/>
      <c r="L550" s="79" t="n"/>
      <c r="M550" s="79" t="n"/>
      <c r="N550" s="79" t="n"/>
      <c r="O550" s="79" t="n"/>
      <c r="P550" s="79" t="n"/>
      <c r="Q550" s="79" t="n"/>
      <c r="R550" s="79" t="n"/>
      <c r="S550" s="79" t="n"/>
      <c r="T550" s="79" t="n"/>
      <c r="U550" s="79" t="n"/>
      <c r="V550" s="79" t="n"/>
      <c r="W550" s="79" t="n"/>
      <c r="X550" s="79" t="n"/>
      <c r="Y550" s="79" t="n"/>
      <c r="Z550" s="79" t="n"/>
    </row>
    <row r="551">
      <c r="A551" s="79" t="n"/>
      <c r="B551" s="79" t="n"/>
      <c r="C551" s="79" t="n"/>
      <c r="D551" s="79" t="n"/>
      <c r="E551" s="79" t="n"/>
      <c r="F551" s="79" t="n"/>
      <c r="G551" s="79" t="n"/>
      <c r="H551" s="79" t="n"/>
      <c r="I551" s="79" t="n"/>
      <c r="J551" s="79" t="n"/>
      <c r="K551" s="79" t="n"/>
      <c r="L551" s="79" t="n"/>
      <c r="M551" s="79" t="n"/>
      <c r="N551" s="79" t="n"/>
      <c r="O551" s="79" t="n"/>
      <c r="P551" s="79" t="n"/>
      <c r="Q551" s="79" t="n"/>
      <c r="R551" s="79" t="n"/>
      <c r="S551" s="79" t="n"/>
      <c r="T551" s="79" t="n"/>
      <c r="U551" s="79" t="n"/>
      <c r="V551" s="79" t="n"/>
      <c r="W551" s="79" t="n"/>
      <c r="X551" s="79" t="n"/>
      <c r="Y551" s="79" t="n"/>
      <c r="Z551" s="79" t="n"/>
    </row>
    <row r="552">
      <c r="A552" s="79" t="n"/>
      <c r="B552" s="79" t="n"/>
      <c r="C552" s="79" t="n"/>
      <c r="D552" s="79" t="n"/>
      <c r="E552" s="79" t="n"/>
      <c r="F552" s="79" t="n"/>
      <c r="G552" s="79" t="n"/>
      <c r="H552" s="79" t="n"/>
      <c r="I552" s="79" t="n"/>
      <c r="J552" s="79" t="n"/>
      <c r="K552" s="79" t="n"/>
      <c r="L552" s="79" t="n"/>
      <c r="M552" s="79" t="n"/>
      <c r="N552" s="79" t="n"/>
      <c r="O552" s="79" t="n"/>
      <c r="P552" s="79" t="n"/>
      <c r="Q552" s="79" t="n"/>
      <c r="R552" s="79" t="n"/>
      <c r="S552" s="79" t="n"/>
      <c r="T552" s="79" t="n"/>
      <c r="U552" s="79" t="n"/>
      <c r="V552" s="79" t="n"/>
      <c r="W552" s="79" t="n"/>
      <c r="X552" s="79" t="n"/>
      <c r="Y552" s="79" t="n"/>
      <c r="Z552" s="79" t="n"/>
    </row>
    <row r="553">
      <c r="A553" s="79" t="n"/>
      <c r="B553" s="79" t="n"/>
      <c r="C553" s="79" t="n"/>
      <c r="D553" s="79" t="n"/>
      <c r="E553" s="79" t="n"/>
      <c r="F553" s="79" t="n"/>
      <c r="G553" s="79" t="n"/>
      <c r="H553" s="79" t="n"/>
      <c r="I553" s="79" t="n"/>
      <c r="J553" s="79" t="n"/>
      <c r="K553" s="79" t="n"/>
      <c r="L553" s="79" t="n"/>
      <c r="M553" s="79" t="n"/>
      <c r="N553" s="79" t="n"/>
      <c r="O553" s="79" t="n"/>
      <c r="P553" s="79" t="n"/>
      <c r="Q553" s="79" t="n"/>
      <c r="R553" s="79" t="n"/>
      <c r="S553" s="79" t="n"/>
      <c r="T553" s="79" t="n"/>
      <c r="U553" s="79" t="n"/>
      <c r="V553" s="79" t="n"/>
      <c r="W553" s="79" t="n"/>
      <c r="X553" s="79" t="n"/>
      <c r="Y553" s="79" t="n"/>
      <c r="Z553" s="79" t="n"/>
    </row>
    <row r="554">
      <c r="A554" s="79" t="n"/>
      <c r="B554" s="79" t="n"/>
      <c r="C554" s="79" t="n"/>
      <c r="D554" s="79" t="n"/>
      <c r="E554" s="79" t="n"/>
      <c r="F554" s="79" t="n"/>
      <c r="G554" s="79" t="n"/>
      <c r="H554" s="79" t="n"/>
      <c r="I554" s="79" t="n"/>
      <c r="J554" s="79" t="n"/>
      <c r="K554" s="79" t="n"/>
      <c r="L554" s="79" t="n"/>
      <c r="M554" s="79" t="n"/>
      <c r="N554" s="79" t="n"/>
      <c r="O554" s="79" t="n"/>
      <c r="P554" s="79" t="n"/>
      <c r="Q554" s="79" t="n"/>
      <c r="R554" s="79" t="n"/>
      <c r="S554" s="79" t="n"/>
      <c r="T554" s="79" t="n"/>
      <c r="U554" s="79" t="n"/>
      <c r="V554" s="79" t="n"/>
      <c r="W554" s="79" t="n"/>
      <c r="X554" s="79" t="n"/>
      <c r="Y554" s="79" t="n"/>
      <c r="Z554" s="79" t="n"/>
    </row>
    <row r="555">
      <c r="A555" s="79" t="n"/>
      <c r="B555" s="79" t="n"/>
      <c r="C555" s="79" t="n"/>
      <c r="D555" s="79" t="n"/>
      <c r="E555" s="79" t="n"/>
      <c r="F555" s="79" t="n"/>
      <c r="G555" s="79" t="n"/>
      <c r="H555" s="79" t="n"/>
      <c r="I555" s="79" t="n"/>
      <c r="J555" s="79" t="n"/>
      <c r="K555" s="79" t="n"/>
      <c r="L555" s="79" t="n"/>
      <c r="M555" s="79" t="n"/>
      <c r="N555" s="79" t="n"/>
      <c r="O555" s="79" t="n"/>
      <c r="P555" s="79" t="n"/>
      <c r="Q555" s="79" t="n"/>
      <c r="R555" s="79" t="n"/>
      <c r="S555" s="79" t="n"/>
      <c r="T555" s="79" t="n"/>
      <c r="U555" s="79" t="n"/>
      <c r="V555" s="79" t="n"/>
      <c r="W555" s="79" t="n"/>
      <c r="X555" s="79" t="n"/>
      <c r="Y555" s="79" t="n"/>
      <c r="Z555" s="79" t="n"/>
    </row>
    <row r="556">
      <c r="A556" s="79" t="n"/>
      <c r="B556" s="79" t="n"/>
      <c r="C556" s="79" t="n"/>
      <c r="D556" s="79" t="n"/>
      <c r="E556" s="79" t="n"/>
      <c r="F556" s="79" t="n"/>
      <c r="G556" s="79" t="n"/>
      <c r="H556" s="79" t="n"/>
      <c r="I556" s="79" t="n"/>
      <c r="J556" s="79" t="n"/>
      <c r="K556" s="79" t="n"/>
      <c r="L556" s="79" t="n"/>
      <c r="M556" s="79" t="n"/>
      <c r="N556" s="79" t="n"/>
      <c r="O556" s="79" t="n"/>
      <c r="P556" s="79" t="n"/>
      <c r="Q556" s="79" t="n"/>
      <c r="R556" s="79" t="n"/>
      <c r="S556" s="79" t="n"/>
      <c r="T556" s="79" t="n"/>
      <c r="U556" s="79" t="n"/>
      <c r="V556" s="79" t="n"/>
      <c r="W556" s="79" t="n"/>
      <c r="X556" s="79" t="n"/>
      <c r="Y556" s="79" t="n"/>
      <c r="Z556" s="79" t="n"/>
    </row>
    <row r="557">
      <c r="A557" s="79" t="n"/>
      <c r="B557" s="79" t="n"/>
      <c r="C557" s="79" t="n"/>
      <c r="D557" s="79" t="n"/>
      <c r="E557" s="79" t="n"/>
      <c r="F557" s="79" t="n"/>
      <c r="G557" s="79" t="n"/>
      <c r="H557" s="79" t="n"/>
      <c r="I557" s="79" t="n"/>
      <c r="J557" s="79" t="n"/>
      <c r="K557" s="79" t="n"/>
      <c r="L557" s="79" t="n"/>
      <c r="M557" s="79" t="n"/>
      <c r="N557" s="79" t="n"/>
      <c r="O557" s="79" t="n"/>
      <c r="P557" s="79" t="n"/>
      <c r="Q557" s="79" t="n"/>
      <c r="R557" s="79" t="n"/>
      <c r="S557" s="79" t="n"/>
      <c r="T557" s="79" t="n"/>
      <c r="U557" s="79" t="n"/>
      <c r="V557" s="79" t="n"/>
      <c r="W557" s="79" t="n"/>
      <c r="X557" s="79" t="n"/>
      <c r="Y557" s="79" t="n"/>
      <c r="Z557" s="79" t="n"/>
    </row>
    <row r="558">
      <c r="A558" s="79" t="n"/>
      <c r="B558" s="79" t="n"/>
      <c r="C558" s="79" t="n"/>
      <c r="D558" s="79" t="n"/>
      <c r="E558" s="79" t="n"/>
      <c r="F558" s="79" t="n"/>
      <c r="G558" s="79" t="n"/>
      <c r="H558" s="79" t="n"/>
      <c r="I558" s="79" t="n"/>
      <c r="J558" s="79" t="n"/>
      <c r="K558" s="79" t="n"/>
      <c r="L558" s="79" t="n"/>
      <c r="M558" s="79" t="n"/>
      <c r="N558" s="79" t="n"/>
      <c r="O558" s="79" t="n"/>
      <c r="P558" s="79" t="n"/>
      <c r="Q558" s="79" t="n"/>
      <c r="R558" s="79" t="n"/>
      <c r="S558" s="79" t="n"/>
      <c r="T558" s="79" t="n"/>
      <c r="U558" s="79" t="n"/>
      <c r="V558" s="79" t="n"/>
      <c r="W558" s="79" t="n"/>
      <c r="X558" s="79" t="n"/>
      <c r="Y558" s="79" t="n"/>
      <c r="Z558" s="79" t="n"/>
    </row>
    <row r="559">
      <c r="A559" s="79" t="n"/>
      <c r="B559" s="79" t="n"/>
      <c r="C559" s="79" t="n"/>
      <c r="D559" s="79" t="n"/>
      <c r="E559" s="79" t="n"/>
      <c r="F559" s="79" t="n"/>
      <c r="G559" s="79" t="n"/>
      <c r="H559" s="79" t="n"/>
      <c r="I559" s="79" t="n"/>
      <c r="J559" s="79" t="n"/>
      <c r="K559" s="79" t="n"/>
      <c r="L559" s="79" t="n"/>
      <c r="M559" s="79" t="n"/>
      <c r="N559" s="79" t="n"/>
      <c r="O559" s="79" t="n"/>
      <c r="P559" s="79" t="n"/>
      <c r="Q559" s="79" t="n"/>
      <c r="R559" s="79" t="n"/>
      <c r="S559" s="79" t="n"/>
      <c r="T559" s="79" t="n"/>
      <c r="U559" s="79" t="n"/>
      <c r="V559" s="79" t="n"/>
      <c r="W559" s="79" t="n"/>
      <c r="X559" s="79" t="n"/>
      <c r="Y559" s="79" t="n"/>
      <c r="Z559" s="79" t="n"/>
    </row>
    <row r="560">
      <c r="A560" s="79" t="n"/>
      <c r="B560" s="79" t="n"/>
      <c r="C560" s="79" t="n"/>
      <c r="D560" s="79" t="n"/>
      <c r="E560" s="79" t="n"/>
      <c r="F560" s="79" t="n"/>
      <c r="G560" s="79" t="n"/>
      <c r="H560" s="79" t="n"/>
      <c r="I560" s="79" t="n"/>
      <c r="J560" s="79" t="n"/>
      <c r="K560" s="79" t="n"/>
      <c r="L560" s="79" t="n"/>
      <c r="M560" s="79" t="n"/>
      <c r="N560" s="79" t="n"/>
      <c r="O560" s="79" t="n"/>
      <c r="P560" s="79" t="n"/>
      <c r="Q560" s="79" t="n"/>
      <c r="R560" s="79" t="n"/>
      <c r="S560" s="79" t="n"/>
      <c r="T560" s="79" t="n"/>
      <c r="U560" s="79" t="n"/>
      <c r="V560" s="79" t="n"/>
      <c r="W560" s="79" t="n"/>
      <c r="X560" s="79" t="n"/>
      <c r="Y560" s="79" t="n"/>
      <c r="Z560" s="79" t="n"/>
    </row>
    <row r="561">
      <c r="A561" s="79" t="n"/>
      <c r="B561" s="79" t="n"/>
      <c r="C561" s="79" t="n"/>
      <c r="D561" s="79" t="n"/>
      <c r="E561" s="79" t="n"/>
      <c r="F561" s="79" t="n"/>
      <c r="G561" s="79" t="n"/>
      <c r="H561" s="79" t="n"/>
      <c r="I561" s="79" t="n"/>
      <c r="J561" s="79" t="n"/>
      <c r="K561" s="79" t="n"/>
      <c r="L561" s="79" t="n"/>
      <c r="M561" s="79" t="n"/>
      <c r="N561" s="79" t="n"/>
      <c r="O561" s="79" t="n"/>
      <c r="P561" s="79" t="n"/>
      <c r="Q561" s="79" t="n"/>
      <c r="R561" s="79" t="n"/>
      <c r="S561" s="79" t="n"/>
      <c r="T561" s="79" t="n"/>
      <c r="U561" s="79" t="n"/>
      <c r="V561" s="79" t="n"/>
      <c r="W561" s="79" t="n"/>
      <c r="X561" s="79" t="n"/>
      <c r="Y561" s="79" t="n"/>
      <c r="Z561" s="79" t="n"/>
    </row>
    <row r="562">
      <c r="A562" s="79" t="n"/>
      <c r="B562" s="79" t="n"/>
      <c r="C562" s="79" t="n"/>
      <c r="D562" s="79" t="n"/>
      <c r="E562" s="79" t="n"/>
      <c r="F562" s="79" t="n"/>
      <c r="G562" s="79" t="n"/>
      <c r="H562" s="79" t="n"/>
      <c r="I562" s="79" t="n"/>
      <c r="J562" s="79" t="n"/>
      <c r="K562" s="79" t="n"/>
      <c r="L562" s="79" t="n"/>
      <c r="M562" s="79" t="n"/>
      <c r="N562" s="79" t="n"/>
      <c r="O562" s="79" t="n"/>
      <c r="P562" s="79" t="n"/>
      <c r="Q562" s="79" t="n"/>
      <c r="R562" s="79" t="n"/>
      <c r="S562" s="79" t="n"/>
      <c r="T562" s="79" t="n"/>
      <c r="U562" s="79" t="n"/>
      <c r="V562" s="79" t="n"/>
      <c r="W562" s="79" t="n"/>
      <c r="X562" s="79" t="n"/>
      <c r="Y562" s="79" t="n"/>
      <c r="Z562" s="79" t="n"/>
    </row>
    <row r="563">
      <c r="A563" s="79" t="n"/>
      <c r="B563" s="79" t="n"/>
      <c r="C563" s="79" t="n"/>
      <c r="D563" s="79" t="n"/>
      <c r="E563" s="79" t="n"/>
      <c r="F563" s="79" t="n"/>
      <c r="G563" s="79" t="n"/>
      <c r="H563" s="79" t="n"/>
      <c r="I563" s="79" t="n"/>
      <c r="J563" s="79" t="n"/>
      <c r="K563" s="79" t="n"/>
      <c r="L563" s="79" t="n"/>
      <c r="M563" s="79" t="n"/>
      <c r="N563" s="79" t="n"/>
      <c r="O563" s="79" t="n"/>
      <c r="P563" s="79" t="n"/>
      <c r="Q563" s="79" t="n"/>
      <c r="R563" s="79" t="n"/>
      <c r="S563" s="79" t="n"/>
      <c r="T563" s="79" t="n"/>
      <c r="U563" s="79" t="n"/>
      <c r="V563" s="79" t="n"/>
      <c r="W563" s="79" t="n"/>
      <c r="X563" s="79" t="n"/>
      <c r="Y563" s="79" t="n"/>
      <c r="Z563" s="79" t="n"/>
    </row>
    <row r="564">
      <c r="A564" s="79" t="n"/>
      <c r="B564" s="79" t="n"/>
      <c r="C564" s="79" t="n"/>
      <c r="D564" s="79" t="n"/>
      <c r="E564" s="79" t="n"/>
      <c r="F564" s="79" t="n"/>
      <c r="G564" s="79" t="n"/>
      <c r="H564" s="79" t="n"/>
      <c r="I564" s="79" t="n"/>
      <c r="J564" s="79" t="n"/>
      <c r="K564" s="79" t="n"/>
      <c r="L564" s="79" t="n"/>
      <c r="M564" s="79" t="n"/>
      <c r="N564" s="79" t="n"/>
      <c r="O564" s="79" t="n"/>
      <c r="P564" s="79" t="n"/>
      <c r="Q564" s="79" t="n"/>
      <c r="R564" s="79" t="n"/>
      <c r="S564" s="79" t="n"/>
      <c r="T564" s="79" t="n"/>
      <c r="U564" s="79" t="n"/>
      <c r="V564" s="79" t="n"/>
      <c r="W564" s="79" t="n"/>
      <c r="X564" s="79" t="n"/>
      <c r="Y564" s="79" t="n"/>
      <c r="Z564" s="79" t="n"/>
    </row>
    <row r="565">
      <c r="A565" s="79" t="n"/>
      <c r="B565" s="79" t="n"/>
      <c r="C565" s="79" t="n"/>
      <c r="D565" s="79" t="n"/>
      <c r="E565" s="79" t="n"/>
      <c r="F565" s="79" t="n"/>
      <c r="G565" s="79" t="n"/>
      <c r="H565" s="79" t="n"/>
      <c r="I565" s="79" t="n"/>
      <c r="J565" s="79" t="n"/>
      <c r="K565" s="79" t="n"/>
      <c r="L565" s="79" t="n"/>
      <c r="M565" s="79" t="n"/>
      <c r="N565" s="79" t="n"/>
      <c r="O565" s="79" t="n"/>
      <c r="P565" s="79" t="n"/>
      <c r="Q565" s="79" t="n"/>
      <c r="R565" s="79" t="n"/>
      <c r="S565" s="79" t="n"/>
      <c r="T565" s="79" t="n"/>
      <c r="U565" s="79" t="n"/>
      <c r="V565" s="79" t="n"/>
      <c r="W565" s="79" t="n"/>
      <c r="X565" s="79" t="n"/>
      <c r="Y565" s="79" t="n"/>
      <c r="Z565" s="79" t="n"/>
    </row>
    <row r="566">
      <c r="A566" s="79" t="n"/>
      <c r="B566" s="79" t="n"/>
      <c r="C566" s="79" t="n"/>
      <c r="D566" s="79" t="n"/>
      <c r="E566" s="79" t="n"/>
      <c r="F566" s="79" t="n"/>
      <c r="G566" s="79" t="n"/>
      <c r="H566" s="79" t="n"/>
      <c r="I566" s="79" t="n"/>
      <c r="J566" s="79" t="n"/>
      <c r="K566" s="79" t="n"/>
      <c r="L566" s="79" t="n"/>
      <c r="M566" s="79" t="n"/>
      <c r="N566" s="79" t="n"/>
      <c r="O566" s="79" t="n"/>
      <c r="P566" s="79" t="n"/>
      <c r="Q566" s="79" t="n"/>
      <c r="R566" s="79" t="n"/>
      <c r="S566" s="79" t="n"/>
      <c r="T566" s="79" t="n"/>
      <c r="U566" s="79" t="n"/>
      <c r="V566" s="79" t="n"/>
      <c r="W566" s="79" t="n"/>
      <c r="X566" s="79" t="n"/>
      <c r="Y566" s="79" t="n"/>
      <c r="Z566" s="79" t="n"/>
    </row>
    <row r="567">
      <c r="A567" s="79" t="n"/>
      <c r="B567" s="79" t="n"/>
      <c r="C567" s="79" t="n"/>
      <c r="D567" s="79" t="n"/>
      <c r="E567" s="79" t="n"/>
      <c r="F567" s="79" t="n"/>
      <c r="G567" s="79" t="n"/>
      <c r="H567" s="79" t="n"/>
      <c r="I567" s="79" t="n"/>
      <c r="J567" s="79" t="n"/>
      <c r="K567" s="79" t="n"/>
      <c r="L567" s="79" t="n"/>
      <c r="M567" s="79" t="n"/>
      <c r="N567" s="79" t="n"/>
      <c r="O567" s="79" t="n"/>
      <c r="P567" s="79" t="n"/>
      <c r="Q567" s="79" t="n"/>
      <c r="R567" s="79" t="n"/>
      <c r="S567" s="79" t="n"/>
      <c r="T567" s="79" t="n"/>
      <c r="U567" s="79" t="n"/>
      <c r="V567" s="79" t="n"/>
      <c r="W567" s="79" t="n"/>
      <c r="X567" s="79" t="n"/>
      <c r="Y567" s="79" t="n"/>
      <c r="Z567" s="79" t="n"/>
    </row>
    <row r="568">
      <c r="A568" s="79" t="n"/>
      <c r="B568" s="79" t="n"/>
      <c r="C568" s="79" t="n"/>
      <c r="D568" s="79" t="n"/>
      <c r="E568" s="79" t="n"/>
      <c r="F568" s="79" t="n"/>
      <c r="G568" s="79" t="n"/>
      <c r="H568" s="79" t="n"/>
      <c r="I568" s="79" t="n"/>
      <c r="J568" s="79" t="n"/>
      <c r="K568" s="79" t="n"/>
      <c r="L568" s="79" t="n"/>
      <c r="M568" s="79" t="n"/>
      <c r="N568" s="79" t="n"/>
      <c r="O568" s="79" t="n"/>
      <c r="P568" s="79" t="n"/>
      <c r="Q568" s="79" t="n"/>
      <c r="R568" s="79" t="n"/>
      <c r="S568" s="79" t="n"/>
      <c r="T568" s="79" t="n"/>
      <c r="U568" s="79" t="n"/>
      <c r="V568" s="79" t="n"/>
      <c r="W568" s="79" t="n"/>
      <c r="X568" s="79" t="n"/>
      <c r="Y568" s="79" t="n"/>
      <c r="Z568" s="79" t="n"/>
    </row>
    <row r="569">
      <c r="A569" s="79" t="n"/>
      <c r="B569" s="79" t="n"/>
      <c r="C569" s="79" t="n"/>
      <c r="D569" s="79" t="n"/>
      <c r="E569" s="79" t="n"/>
      <c r="F569" s="79" t="n"/>
      <c r="G569" s="79" t="n"/>
      <c r="H569" s="79" t="n"/>
      <c r="I569" s="79" t="n"/>
      <c r="J569" s="79" t="n"/>
      <c r="K569" s="79" t="n"/>
      <c r="L569" s="79" t="n"/>
      <c r="M569" s="79" t="n"/>
      <c r="N569" s="79" t="n"/>
      <c r="O569" s="79" t="n"/>
      <c r="P569" s="79" t="n"/>
      <c r="Q569" s="79" t="n"/>
      <c r="R569" s="79" t="n"/>
      <c r="S569" s="79" t="n"/>
      <c r="T569" s="79" t="n"/>
      <c r="U569" s="79" t="n"/>
      <c r="V569" s="79" t="n"/>
      <c r="W569" s="79" t="n"/>
      <c r="X569" s="79" t="n"/>
      <c r="Y569" s="79" t="n"/>
      <c r="Z569" s="79" t="n"/>
    </row>
    <row r="570">
      <c r="A570" s="79" t="n"/>
      <c r="B570" s="79" t="n"/>
      <c r="C570" s="79" t="n"/>
      <c r="D570" s="79" t="n"/>
      <c r="E570" s="79" t="n"/>
      <c r="F570" s="79" t="n"/>
      <c r="G570" s="79" t="n"/>
      <c r="H570" s="79" t="n"/>
      <c r="I570" s="79" t="n"/>
      <c r="J570" s="79" t="n"/>
      <c r="K570" s="79" t="n"/>
      <c r="L570" s="79" t="n"/>
      <c r="M570" s="79" t="n"/>
      <c r="N570" s="79" t="n"/>
      <c r="O570" s="79" t="n"/>
      <c r="P570" s="79" t="n"/>
      <c r="Q570" s="79" t="n"/>
      <c r="R570" s="79" t="n"/>
      <c r="S570" s="79" t="n"/>
      <c r="T570" s="79" t="n"/>
      <c r="U570" s="79" t="n"/>
      <c r="V570" s="79" t="n"/>
      <c r="W570" s="79" t="n"/>
      <c r="X570" s="79" t="n"/>
      <c r="Y570" s="79" t="n"/>
      <c r="Z570" s="79" t="n"/>
    </row>
    <row r="571">
      <c r="A571" s="79" t="n"/>
      <c r="B571" s="79" t="n"/>
      <c r="C571" s="79" t="n"/>
      <c r="D571" s="79" t="n"/>
      <c r="E571" s="79" t="n"/>
      <c r="F571" s="79" t="n"/>
      <c r="G571" s="79" t="n"/>
      <c r="H571" s="79" t="n"/>
      <c r="I571" s="79" t="n"/>
      <c r="J571" s="79" t="n"/>
      <c r="K571" s="79" t="n"/>
      <c r="L571" s="79" t="n"/>
      <c r="M571" s="79" t="n"/>
      <c r="N571" s="79" t="n"/>
      <c r="O571" s="79" t="n"/>
      <c r="P571" s="79" t="n"/>
      <c r="Q571" s="79" t="n"/>
      <c r="R571" s="79" t="n"/>
      <c r="S571" s="79" t="n"/>
      <c r="T571" s="79" t="n"/>
      <c r="U571" s="79" t="n"/>
      <c r="V571" s="79" t="n"/>
      <c r="W571" s="79" t="n"/>
      <c r="X571" s="79" t="n"/>
      <c r="Y571" s="79" t="n"/>
      <c r="Z571" s="79" t="n"/>
    </row>
    <row r="572">
      <c r="A572" s="79" t="n"/>
      <c r="B572" s="79" t="n"/>
      <c r="C572" s="79" t="n"/>
      <c r="D572" s="79" t="n"/>
      <c r="E572" s="79" t="n"/>
      <c r="F572" s="79" t="n"/>
      <c r="G572" s="79" t="n"/>
      <c r="H572" s="79" t="n"/>
      <c r="I572" s="79" t="n"/>
      <c r="J572" s="79" t="n"/>
      <c r="K572" s="79" t="n"/>
      <c r="L572" s="79" t="n"/>
      <c r="M572" s="79" t="n"/>
      <c r="N572" s="79" t="n"/>
      <c r="O572" s="79" t="n"/>
      <c r="P572" s="79" t="n"/>
      <c r="Q572" s="79" t="n"/>
      <c r="R572" s="79" t="n"/>
      <c r="S572" s="79" t="n"/>
      <c r="T572" s="79" t="n"/>
      <c r="U572" s="79" t="n"/>
      <c r="V572" s="79" t="n"/>
      <c r="W572" s="79" t="n"/>
      <c r="X572" s="79" t="n"/>
      <c r="Y572" s="79" t="n"/>
      <c r="Z572" s="79" t="n"/>
    </row>
    <row r="573">
      <c r="A573" s="79" t="n"/>
      <c r="B573" s="79" t="n"/>
      <c r="C573" s="79" t="n"/>
      <c r="D573" s="79" t="n"/>
      <c r="E573" s="79" t="n"/>
      <c r="F573" s="79" t="n"/>
      <c r="G573" s="79" t="n"/>
      <c r="H573" s="79" t="n"/>
      <c r="I573" s="79" t="n"/>
      <c r="J573" s="79" t="n"/>
      <c r="K573" s="79" t="n"/>
      <c r="L573" s="79" t="n"/>
      <c r="M573" s="79" t="n"/>
      <c r="N573" s="79" t="n"/>
      <c r="O573" s="79" t="n"/>
      <c r="P573" s="79" t="n"/>
      <c r="Q573" s="79" t="n"/>
      <c r="R573" s="79" t="n"/>
      <c r="S573" s="79" t="n"/>
      <c r="T573" s="79" t="n"/>
      <c r="U573" s="79" t="n"/>
      <c r="V573" s="79" t="n"/>
      <c r="W573" s="79" t="n"/>
      <c r="X573" s="79" t="n"/>
      <c r="Y573" s="79" t="n"/>
      <c r="Z573" s="79" t="n"/>
    </row>
    <row r="574">
      <c r="A574" s="79" t="n"/>
      <c r="B574" s="79" t="n"/>
      <c r="C574" s="79" t="n"/>
      <c r="D574" s="79" t="n"/>
      <c r="E574" s="79" t="n"/>
      <c r="F574" s="79" t="n"/>
      <c r="G574" s="79" t="n"/>
      <c r="H574" s="79" t="n"/>
      <c r="I574" s="79" t="n"/>
      <c r="J574" s="79" t="n"/>
      <c r="K574" s="79" t="n"/>
      <c r="L574" s="79" t="n"/>
      <c r="M574" s="79" t="n"/>
      <c r="N574" s="79" t="n"/>
      <c r="O574" s="79" t="n"/>
      <c r="P574" s="79" t="n"/>
      <c r="Q574" s="79" t="n"/>
      <c r="R574" s="79" t="n"/>
      <c r="S574" s="79" t="n"/>
      <c r="T574" s="79" t="n"/>
      <c r="U574" s="79" t="n"/>
      <c r="V574" s="79" t="n"/>
      <c r="W574" s="79" t="n"/>
      <c r="X574" s="79" t="n"/>
      <c r="Y574" s="79" t="n"/>
      <c r="Z574" s="79" t="n"/>
    </row>
    <row r="575">
      <c r="A575" s="79" t="n"/>
      <c r="B575" s="79" t="n"/>
      <c r="C575" s="79" t="n"/>
      <c r="D575" s="79" t="n"/>
      <c r="E575" s="79" t="n"/>
      <c r="F575" s="79" t="n"/>
      <c r="G575" s="79" t="n"/>
      <c r="H575" s="79" t="n"/>
      <c r="I575" s="79" t="n"/>
      <c r="J575" s="79" t="n"/>
      <c r="K575" s="79" t="n"/>
      <c r="L575" s="79" t="n"/>
      <c r="M575" s="79" t="n"/>
      <c r="N575" s="79" t="n"/>
      <c r="O575" s="79" t="n"/>
      <c r="P575" s="79" t="n"/>
      <c r="Q575" s="79" t="n"/>
      <c r="R575" s="79" t="n"/>
      <c r="S575" s="79" t="n"/>
      <c r="T575" s="79" t="n"/>
      <c r="U575" s="79" t="n"/>
      <c r="V575" s="79" t="n"/>
      <c r="W575" s="79" t="n"/>
      <c r="X575" s="79" t="n"/>
      <c r="Y575" s="79" t="n"/>
      <c r="Z575" s="79" t="n"/>
    </row>
    <row r="576">
      <c r="A576" s="79" t="n"/>
      <c r="B576" s="79" t="n"/>
      <c r="C576" s="79" t="n"/>
      <c r="D576" s="79" t="n"/>
      <c r="E576" s="79" t="n"/>
      <c r="F576" s="79" t="n"/>
      <c r="G576" s="79" t="n"/>
      <c r="H576" s="79" t="n"/>
      <c r="I576" s="79" t="n"/>
      <c r="J576" s="79" t="n"/>
      <c r="K576" s="79" t="n"/>
      <c r="L576" s="79" t="n"/>
      <c r="M576" s="79" t="n"/>
      <c r="N576" s="79" t="n"/>
      <c r="O576" s="79" t="n"/>
      <c r="P576" s="79" t="n"/>
      <c r="Q576" s="79" t="n"/>
      <c r="R576" s="79" t="n"/>
      <c r="S576" s="79" t="n"/>
      <c r="T576" s="79" t="n"/>
      <c r="U576" s="79" t="n"/>
      <c r="V576" s="79" t="n"/>
      <c r="W576" s="79" t="n"/>
      <c r="X576" s="79" t="n"/>
      <c r="Y576" s="79" t="n"/>
      <c r="Z576" s="79" t="n"/>
    </row>
    <row r="577">
      <c r="A577" s="79" t="n"/>
      <c r="B577" s="79" t="n"/>
      <c r="C577" s="79" t="n"/>
      <c r="D577" s="79" t="n"/>
      <c r="E577" s="79" t="n"/>
      <c r="F577" s="79" t="n"/>
      <c r="G577" s="79" t="n"/>
      <c r="H577" s="79" t="n"/>
      <c r="I577" s="79" t="n"/>
      <c r="J577" s="79" t="n"/>
      <c r="K577" s="79" t="n"/>
      <c r="L577" s="79" t="n"/>
      <c r="M577" s="79" t="n"/>
      <c r="N577" s="79" t="n"/>
      <c r="O577" s="79" t="n"/>
      <c r="P577" s="79" t="n"/>
      <c r="Q577" s="79" t="n"/>
      <c r="R577" s="79" t="n"/>
      <c r="S577" s="79" t="n"/>
      <c r="T577" s="79" t="n"/>
      <c r="U577" s="79" t="n"/>
      <c r="V577" s="79" t="n"/>
      <c r="W577" s="79" t="n"/>
      <c r="X577" s="79" t="n"/>
      <c r="Y577" s="79" t="n"/>
      <c r="Z577" s="79" t="n"/>
    </row>
    <row r="578">
      <c r="A578" s="79" t="n"/>
      <c r="B578" s="79" t="n"/>
      <c r="C578" s="79" t="n"/>
      <c r="D578" s="79" t="n"/>
      <c r="E578" s="79" t="n"/>
      <c r="F578" s="79" t="n"/>
      <c r="G578" s="79" t="n"/>
      <c r="H578" s="79" t="n"/>
      <c r="I578" s="79" t="n"/>
      <c r="J578" s="79" t="n"/>
      <c r="K578" s="79" t="n"/>
      <c r="L578" s="79" t="n"/>
      <c r="M578" s="79" t="n"/>
      <c r="N578" s="79" t="n"/>
      <c r="O578" s="79" t="n"/>
      <c r="P578" s="79" t="n"/>
      <c r="Q578" s="79" t="n"/>
      <c r="R578" s="79" t="n"/>
      <c r="S578" s="79" t="n"/>
      <c r="T578" s="79" t="n"/>
      <c r="U578" s="79" t="n"/>
      <c r="V578" s="79" t="n"/>
      <c r="W578" s="79" t="n"/>
      <c r="X578" s="79" t="n"/>
      <c r="Y578" s="79" t="n"/>
      <c r="Z578" s="79" t="n"/>
    </row>
    <row r="579">
      <c r="A579" s="79" t="n"/>
      <c r="B579" s="79" t="n"/>
      <c r="C579" s="79" t="n"/>
      <c r="D579" s="79" t="n"/>
      <c r="E579" s="79" t="n"/>
      <c r="F579" s="79" t="n"/>
      <c r="G579" s="79" t="n"/>
      <c r="H579" s="79" t="n"/>
      <c r="I579" s="79" t="n"/>
      <c r="J579" s="79" t="n"/>
      <c r="K579" s="79" t="n"/>
      <c r="L579" s="79" t="n"/>
      <c r="M579" s="79" t="n"/>
      <c r="N579" s="79" t="n"/>
      <c r="O579" s="79" t="n"/>
      <c r="P579" s="79" t="n"/>
      <c r="Q579" s="79" t="n"/>
      <c r="R579" s="79" t="n"/>
      <c r="S579" s="79" t="n"/>
      <c r="T579" s="79" t="n"/>
      <c r="U579" s="79" t="n"/>
      <c r="V579" s="79" t="n"/>
      <c r="W579" s="79" t="n"/>
      <c r="X579" s="79" t="n"/>
      <c r="Y579" s="79" t="n"/>
      <c r="Z579" s="79" t="n"/>
    </row>
    <row r="580">
      <c r="A580" s="79" t="n"/>
      <c r="B580" s="79" t="n"/>
      <c r="C580" s="79" t="n"/>
      <c r="D580" s="79" t="n"/>
      <c r="E580" s="79" t="n"/>
      <c r="F580" s="79" t="n"/>
      <c r="G580" s="79" t="n"/>
      <c r="H580" s="79" t="n"/>
      <c r="I580" s="79" t="n"/>
      <c r="J580" s="79" t="n"/>
      <c r="K580" s="79" t="n"/>
      <c r="L580" s="79" t="n"/>
      <c r="M580" s="79" t="n"/>
      <c r="N580" s="79" t="n"/>
      <c r="O580" s="79" t="n"/>
      <c r="P580" s="79" t="n"/>
      <c r="Q580" s="79" t="n"/>
      <c r="R580" s="79" t="n"/>
      <c r="S580" s="79" t="n"/>
      <c r="T580" s="79" t="n"/>
      <c r="U580" s="79" t="n"/>
      <c r="V580" s="79" t="n"/>
      <c r="W580" s="79" t="n"/>
      <c r="X580" s="79" t="n"/>
      <c r="Y580" s="79" t="n"/>
      <c r="Z580" s="79" t="n"/>
    </row>
    <row r="581">
      <c r="A581" s="79" t="n"/>
      <c r="B581" s="79" t="n"/>
      <c r="C581" s="79" t="n"/>
      <c r="D581" s="79" t="n"/>
      <c r="E581" s="79" t="n"/>
      <c r="F581" s="79" t="n"/>
      <c r="G581" s="79" t="n"/>
      <c r="H581" s="79" t="n"/>
      <c r="I581" s="79" t="n"/>
      <c r="J581" s="79" t="n"/>
      <c r="K581" s="79" t="n"/>
      <c r="L581" s="79" t="n"/>
      <c r="M581" s="79" t="n"/>
      <c r="N581" s="79" t="n"/>
      <c r="O581" s="79" t="n"/>
      <c r="P581" s="79" t="n"/>
      <c r="Q581" s="79" t="n"/>
      <c r="R581" s="79" t="n"/>
      <c r="S581" s="79" t="n"/>
      <c r="T581" s="79" t="n"/>
      <c r="U581" s="79" t="n"/>
      <c r="V581" s="79" t="n"/>
      <c r="W581" s="79" t="n"/>
      <c r="X581" s="79" t="n"/>
      <c r="Y581" s="79" t="n"/>
      <c r="Z581" s="79" t="n"/>
    </row>
    <row r="582">
      <c r="A582" s="79" t="n"/>
      <c r="B582" s="79" t="n"/>
      <c r="C582" s="79" t="n"/>
      <c r="D582" s="79" t="n"/>
      <c r="E582" s="79" t="n"/>
      <c r="F582" s="79" t="n"/>
      <c r="G582" s="79" t="n"/>
      <c r="H582" s="79" t="n"/>
      <c r="I582" s="79" t="n"/>
      <c r="J582" s="79" t="n"/>
      <c r="K582" s="79" t="n"/>
      <c r="L582" s="79" t="n"/>
      <c r="M582" s="79" t="n"/>
      <c r="N582" s="79" t="n"/>
      <c r="O582" s="79" t="n"/>
      <c r="P582" s="79" t="n"/>
      <c r="Q582" s="79" t="n"/>
      <c r="R582" s="79" t="n"/>
      <c r="S582" s="79" t="n"/>
      <c r="T582" s="79" t="n"/>
      <c r="U582" s="79" t="n"/>
      <c r="V582" s="79" t="n"/>
      <c r="W582" s="79" t="n"/>
      <c r="X582" s="79" t="n"/>
      <c r="Y582" s="79" t="n"/>
      <c r="Z582" s="79" t="n"/>
    </row>
    <row r="583">
      <c r="A583" s="79" t="n"/>
      <c r="B583" s="79" t="n"/>
      <c r="C583" s="79" t="n"/>
      <c r="D583" s="79" t="n"/>
      <c r="E583" s="79" t="n"/>
      <c r="F583" s="79" t="n"/>
      <c r="G583" s="79" t="n"/>
      <c r="H583" s="79" t="n"/>
      <c r="I583" s="79" t="n"/>
      <c r="J583" s="79" t="n"/>
      <c r="K583" s="79" t="n"/>
      <c r="L583" s="79" t="n"/>
      <c r="M583" s="79" t="n"/>
      <c r="N583" s="79" t="n"/>
      <c r="O583" s="79" t="n"/>
      <c r="P583" s="79" t="n"/>
      <c r="Q583" s="79" t="n"/>
      <c r="R583" s="79" t="n"/>
      <c r="S583" s="79" t="n"/>
      <c r="T583" s="79" t="n"/>
      <c r="U583" s="79" t="n"/>
      <c r="V583" s="79" t="n"/>
      <c r="W583" s="79" t="n"/>
      <c r="X583" s="79" t="n"/>
      <c r="Y583" s="79" t="n"/>
      <c r="Z583" s="79" t="n"/>
    </row>
    <row r="584">
      <c r="A584" s="79" t="n"/>
      <c r="B584" s="79" t="n"/>
      <c r="C584" s="79" t="n"/>
      <c r="D584" s="79" t="n"/>
      <c r="E584" s="79" t="n"/>
      <c r="F584" s="79" t="n"/>
      <c r="G584" s="79" t="n"/>
      <c r="H584" s="79" t="n"/>
      <c r="I584" s="79" t="n"/>
      <c r="J584" s="79" t="n"/>
      <c r="K584" s="79" t="n"/>
      <c r="L584" s="79" t="n"/>
      <c r="M584" s="79" t="n"/>
      <c r="N584" s="79" t="n"/>
      <c r="O584" s="79" t="n"/>
      <c r="P584" s="79" t="n"/>
      <c r="Q584" s="79" t="n"/>
      <c r="R584" s="79" t="n"/>
      <c r="S584" s="79" t="n"/>
      <c r="T584" s="79" t="n"/>
      <c r="U584" s="79" t="n"/>
      <c r="V584" s="79" t="n"/>
      <c r="W584" s="79" t="n"/>
      <c r="X584" s="79" t="n"/>
      <c r="Y584" s="79" t="n"/>
      <c r="Z584" s="79" t="n"/>
    </row>
    <row r="585">
      <c r="A585" s="79" t="n"/>
      <c r="B585" s="79" t="n"/>
      <c r="C585" s="79" t="n"/>
      <c r="D585" s="79" t="n"/>
      <c r="E585" s="79" t="n"/>
      <c r="F585" s="79" t="n"/>
      <c r="G585" s="79" t="n"/>
      <c r="H585" s="79" t="n"/>
      <c r="I585" s="79" t="n"/>
      <c r="J585" s="79" t="n"/>
      <c r="K585" s="79" t="n"/>
      <c r="L585" s="79" t="n"/>
      <c r="M585" s="79" t="n"/>
      <c r="N585" s="79" t="n"/>
      <c r="O585" s="79" t="n"/>
      <c r="P585" s="79" t="n"/>
      <c r="Q585" s="79" t="n"/>
      <c r="R585" s="79" t="n"/>
      <c r="S585" s="79" t="n"/>
      <c r="T585" s="79" t="n"/>
      <c r="U585" s="79" t="n"/>
      <c r="V585" s="79" t="n"/>
      <c r="W585" s="79" t="n"/>
      <c r="X585" s="79" t="n"/>
      <c r="Y585" s="79" t="n"/>
      <c r="Z585" s="79" t="n"/>
    </row>
    <row r="586">
      <c r="A586" s="79" t="n"/>
      <c r="B586" s="79" t="n"/>
      <c r="C586" s="79" t="n"/>
      <c r="D586" s="79" t="n"/>
      <c r="E586" s="79" t="n"/>
      <c r="F586" s="79" t="n"/>
      <c r="G586" s="79" t="n"/>
      <c r="H586" s="79" t="n"/>
      <c r="I586" s="79" t="n"/>
      <c r="J586" s="79" t="n"/>
      <c r="K586" s="79" t="n"/>
      <c r="L586" s="79" t="n"/>
      <c r="M586" s="79" t="n"/>
      <c r="N586" s="79" t="n"/>
      <c r="O586" s="79" t="n"/>
      <c r="P586" s="79" t="n"/>
      <c r="Q586" s="79" t="n"/>
      <c r="R586" s="79" t="n"/>
      <c r="S586" s="79" t="n"/>
      <c r="T586" s="79" t="n"/>
      <c r="U586" s="79" t="n"/>
      <c r="V586" s="79" t="n"/>
      <c r="W586" s="79" t="n"/>
      <c r="X586" s="79" t="n"/>
      <c r="Y586" s="79" t="n"/>
      <c r="Z586" s="79" t="n"/>
    </row>
    <row r="587">
      <c r="A587" s="79" t="n"/>
      <c r="B587" s="79" t="n"/>
      <c r="C587" s="79" t="n"/>
      <c r="D587" s="79" t="n"/>
      <c r="E587" s="79" t="n"/>
      <c r="F587" s="79" t="n"/>
      <c r="G587" s="79" t="n"/>
      <c r="H587" s="79" t="n"/>
      <c r="I587" s="79" t="n"/>
      <c r="J587" s="79" t="n"/>
      <c r="K587" s="79" t="n"/>
      <c r="L587" s="79" t="n"/>
      <c r="M587" s="79" t="n"/>
      <c r="N587" s="79" t="n"/>
      <c r="O587" s="79" t="n"/>
      <c r="P587" s="79" t="n"/>
      <c r="Q587" s="79" t="n"/>
      <c r="R587" s="79" t="n"/>
      <c r="S587" s="79" t="n"/>
      <c r="T587" s="79" t="n"/>
      <c r="U587" s="79" t="n"/>
      <c r="V587" s="79" t="n"/>
      <c r="W587" s="79" t="n"/>
      <c r="X587" s="79" t="n"/>
      <c r="Y587" s="79" t="n"/>
      <c r="Z587" s="79" t="n"/>
    </row>
    <row r="588">
      <c r="A588" s="79" t="n"/>
      <c r="B588" s="79" t="n"/>
      <c r="C588" s="79" t="n"/>
      <c r="D588" s="79" t="n"/>
      <c r="E588" s="79" t="n"/>
      <c r="F588" s="79" t="n"/>
      <c r="G588" s="79" t="n"/>
      <c r="H588" s="79" t="n"/>
      <c r="I588" s="79" t="n"/>
      <c r="J588" s="79" t="n"/>
      <c r="K588" s="79" t="n"/>
      <c r="L588" s="79" t="n"/>
      <c r="M588" s="79" t="n"/>
      <c r="N588" s="79" t="n"/>
      <c r="O588" s="79" t="n"/>
      <c r="P588" s="79" t="n"/>
      <c r="Q588" s="79" t="n"/>
      <c r="R588" s="79" t="n"/>
      <c r="S588" s="79" t="n"/>
      <c r="T588" s="79" t="n"/>
      <c r="U588" s="79" t="n"/>
      <c r="V588" s="79" t="n"/>
      <c r="W588" s="79" t="n"/>
      <c r="X588" s="79" t="n"/>
      <c r="Y588" s="79" t="n"/>
      <c r="Z588" s="79" t="n"/>
    </row>
    <row r="589">
      <c r="A589" s="79" t="n"/>
      <c r="B589" s="79" t="n"/>
      <c r="C589" s="79" t="n"/>
      <c r="D589" s="79" t="n"/>
      <c r="E589" s="79" t="n"/>
      <c r="F589" s="79" t="n"/>
      <c r="G589" s="79" t="n"/>
      <c r="H589" s="79" t="n"/>
      <c r="I589" s="79" t="n"/>
      <c r="J589" s="79" t="n"/>
      <c r="K589" s="79" t="n"/>
      <c r="L589" s="79" t="n"/>
      <c r="M589" s="79" t="n"/>
      <c r="N589" s="79" t="n"/>
      <c r="O589" s="79" t="n"/>
      <c r="P589" s="79" t="n"/>
      <c r="Q589" s="79" t="n"/>
      <c r="R589" s="79" t="n"/>
      <c r="S589" s="79" t="n"/>
      <c r="T589" s="79" t="n"/>
      <c r="U589" s="79" t="n"/>
      <c r="V589" s="79" t="n"/>
      <c r="W589" s="79" t="n"/>
      <c r="X589" s="79" t="n"/>
      <c r="Y589" s="79" t="n"/>
      <c r="Z589" s="79" t="n"/>
    </row>
    <row r="590">
      <c r="A590" s="79" t="n"/>
      <c r="B590" s="79" t="n"/>
      <c r="C590" s="79" t="n"/>
      <c r="D590" s="79" t="n"/>
      <c r="E590" s="79" t="n"/>
      <c r="F590" s="79" t="n"/>
      <c r="G590" s="79" t="n"/>
      <c r="H590" s="79" t="n"/>
      <c r="I590" s="79" t="n"/>
      <c r="J590" s="79" t="n"/>
      <c r="K590" s="79" t="n"/>
      <c r="L590" s="79" t="n"/>
      <c r="M590" s="79" t="n"/>
      <c r="N590" s="79" t="n"/>
      <c r="O590" s="79" t="n"/>
      <c r="P590" s="79" t="n"/>
      <c r="Q590" s="79" t="n"/>
      <c r="R590" s="79" t="n"/>
      <c r="S590" s="79" t="n"/>
      <c r="T590" s="79" t="n"/>
      <c r="U590" s="79" t="n"/>
      <c r="V590" s="79" t="n"/>
      <c r="W590" s="79" t="n"/>
      <c r="X590" s="79" t="n"/>
      <c r="Y590" s="79" t="n"/>
      <c r="Z590" s="79" t="n"/>
    </row>
    <row r="591">
      <c r="A591" s="79" t="n"/>
      <c r="B591" s="79" t="n"/>
      <c r="C591" s="79" t="n"/>
      <c r="D591" s="79" t="n"/>
      <c r="E591" s="79" t="n"/>
      <c r="F591" s="79" t="n"/>
      <c r="G591" s="79" t="n"/>
      <c r="H591" s="79" t="n"/>
      <c r="I591" s="79" t="n"/>
      <c r="J591" s="79" t="n"/>
      <c r="K591" s="79" t="n"/>
      <c r="L591" s="79" t="n"/>
      <c r="M591" s="79" t="n"/>
      <c r="N591" s="79" t="n"/>
      <c r="O591" s="79" t="n"/>
      <c r="P591" s="79" t="n"/>
      <c r="Q591" s="79" t="n"/>
      <c r="R591" s="79" t="n"/>
      <c r="S591" s="79" t="n"/>
      <c r="T591" s="79" t="n"/>
      <c r="U591" s="79" t="n"/>
      <c r="V591" s="79" t="n"/>
      <c r="W591" s="79" t="n"/>
      <c r="X591" s="79" t="n"/>
      <c r="Y591" s="79" t="n"/>
      <c r="Z591" s="79" t="n"/>
    </row>
    <row r="592">
      <c r="A592" s="79" t="n"/>
      <c r="B592" s="79" t="n"/>
      <c r="C592" s="79" t="n"/>
      <c r="D592" s="79" t="n"/>
      <c r="E592" s="79" t="n"/>
      <c r="F592" s="79" t="n"/>
      <c r="G592" s="79" t="n"/>
      <c r="H592" s="79" t="n"/>
      <c r="I592" s="79" t="n"/>
      <c r="J592" s="79" t="n"/>
      <c r="K592" s="79" t="n"/>
      <c r="L592" s="79" t="n"/>
      <c r="M592" s="79" t="n"/>
      <c r="N592" s="79" t="n"/>
      <c r="O592" s="79" t="n"/>
      <c r="P592" s="79" t="n"/>
      <c r="Q592" s="79" t="n"/>
      <c r="R592" s="79" t="n"/>
      <c r="S592" s="79" t="n"/>
      <c r="T592" s="79" t="n"/>
      <c r="U592" s="79" t="n"/>
      <c r="V592" s="79" t="n"/>
      <c r="W592" s="79" t="n"/>
      <c r="X592" s="79" t="n"/>
      <c r="Y592" s="79" t="n"/>
      <c r="Z592" s="79" t="n"/>
    </row>
    <row r="593">
      <c r="A593" s="79" t="n"/>
      <c r="B593" s="79" t="n"/>
      <c r="C593" s="79" t="n"/>
      <c r="D593" s="79" t="n"/>
      <c r="E593" s="79" t="n"/>
      <c r="F593" s="79" t="n"/>
      <c r="G593" s="79" t="n"/>
      <c r="H593" s="79" t="n"/>
      <c r="I593" s="79" t="n"/>
      <c r="J593" s="79" t="n"/>
      <c r="K593" s="79" t="n"/>
      <c r="L593" s="79" t="n"/>
      <c r="M593" s="79" t="n"/>
      <c r="N593" s="79" t="n"/>
      <c r="O593" s="79" t="n"/>
      <c r="P593" s="79" t="n"/>
      <c r="Q593" s="79" t="n"/>
      <c r="R593" s="79" t="n"/>
      <c r="S593" s="79" t="n"/>
      <c r="T593" s="79" t="n"/>
      <c r="U593" s="79" t="n"/>
      <c r="V593" s="79" t="n"/>
      <c r="W593" s="79" t="n"/>
      <c r="X593" s="79" t="n"/>
      <c r="Y593" s="79" t="n"/>
      <c r="Z593" s="79" t="n"/>
    </row>
    <row r="594">
      <c r="A594" s="79" t="n"/>
      <c r="B594" s="79" t="n"/>
      <c r="C594" s="79" t="n"/>
      <c r="D594" s="79" t="n"/>
      <c r="E594" s="79" t="n"/>
      <c r="F594" s="79" t="n"/>
      <c r="G594" s="79" t="n"/>
      <c r="H594" s="79" t="n"/>
      <c r="I594" s="79" t="n"/>
      <c r="J594" s="79" t="n"/>
      <c r="K594" s="79" t="n"/>
      <c r="L594" s="79" t="n"/>
      <c r="M594" s="79" t="n"/>
      <c r="N594" s="79" t="n"/>
      <c r="O594" s="79" t="n"/>
      <c r="P594" s="79" t="n"/>
      <c r="Q594" s="79" t="n"/>
      <c r="R594" s="79" t="n"/>
      <c r="S594" s="79" t="n"/>
      <c r="T594" s="79" t="n"/>
      <c r="U594" s="79" t="n"/>
      <c r="V594" s="79" t="n"/>
      <c r="W594" s="79" t="n"/>
      <c r="X594" s="79" t="n"/>
      <c r="Y594" s="79" t="n"/>
      <c r="Z594" s="79" t="n"/>
    </row>
    <row r="595">
      <c r="A595" s="79" t="n"/>
      <c r="B595" s="79" t="n"/>
      <c r="C595" s="79" t="n"/>
      <c r="D595" s="79" t="n"/>
      <c r="E595" s="79" t="n"/>
      <c r="F595" s="79" t="n"/>
      <c r="G595" s="79" t="n"/>
      <c r="H595" s="79" t="n"/>
      <c r="I595" s="79" t="n"/>
      <c r="J595" s="79" t="n"/>
      <c r="K595" s="79" t="n"/>
      <c r="L595" s="79" t="n"/>
      <c r="M595" s="79" t="n"/>
      <c r="N595" s="79" t="n"/>
      <c r="O595" s="79" t="n"/>
      <c r="P595" s="79" t="n"/>
      <c r="Q595" s="79" t="n"/>
      <c r="R595" s="79" t="n"/>
      <c r="S595" s="79" t="n"/>
      <c r="T595" s="79" t="n"/>
      <c r="U595" s="79" t="n"/>
      <c r="V595" s="79" t="n"/>
      <c r="W595" s="79" t="n"/>
      <c r="X595" s="79" t="n"/>
      <c r="Y595" s="79" t="n"/>
      <c r="Z595" s="79" t="n"/>
    </row>
    <row r="596">
      <c r="A596" s="79" t="n"/>
      <c r="B596" s="79" t="n"/>
      <c r="C596" s="79" t="n"/>
      <c r="D596" s="79" t="n"/>
      <c r="E596" s="79" t="n"/>
      <c r="F596" s="79" t="n"/>
      <c r="G596" s="79" t="n"/>
      <c r="H596" s="79" t="n"/>
      <c r="I596" s="79" t="n"/>
      <c r="J596" s="79" t="n"/>
      <c r="K596" s="79" t="n"/>
      <c r="L596" s="79" t="n"/>
      <c r="M596" s="79" t="n"/>
      <c r="N596" s="79" t="n"/>
      <c r="O596" s="79" t="n"/>
      <c r="P596" s="79" t="n"/>
      <c r="Q596" s="79" t="n"/>
      <c r="R596" s="79" t="n"/>
      <c r="S596" s="79" t="n"/>
      <c r="T596" s="79" t="n"/>
      <c r="U596" s="79" t="n"/>
      <c r="V596" s="79" t="n"/>
      <c r="W596" s="79" t="n"/>
      <c r="X596" s="79" t="n"/>
      <c r="Y596" s="79" t="n"/>
      <c r="Z596" s="79" t="n"/>
    </row>
    <row r="597">
      <c r="A597" s="79" t="n"/>
      <c r="B597" s="79" t="n"/>
      <c r="C597" s="79" t="n"/>
      <c r="D597" s="79" t="n"/>
      <c r="E597" s="79" t="n"/>
      <c r="F597" s="79" t="n"/>
      <c r="G597" s="79" t="n"/>
      <c r="H597" s="79" t="n"/>
      <c r="I597" s="79" t="n"/>
      <c r="J597" s="79" t="n"/>
      <c r="K597" s="79" t="n"/>
      <c r="L597" s="79" t="n"/>
      <c r="M597" s="79" t="n"/>
      <c r="N597" s="79" t="n"/>
      <c r="O597" s="79" t="n"/>
      <c r="P597" s="79" t="n"/>
      <c r="Q597" s="79" t="n"/>
      <c r="R597" s="79" t="n"/>
      <c r="S597" s="79" t="n"/>
      <c r="T597" s="79" t="n"/>
      <c r="U597" s="79" t="n"/>
      <c r="V597" s="79" t="n"/>
      <c r="W597" s="79" t="n"/>
      <c r="X597" s="79" t="n"/>
      <c r="Y597" s="79" t="n"/>
      <c r="Z597" s="79" t="n"/>
    </row>
    <row r="598">
      <c r="A598" s="79" t="n"/>
      <c r="B598" s="79" t="n"/>
      <c r="C598" s="79" t="n"/>
      <c r="D598" s="79" t="n"/>
      <c r="E598" s="79" t="n"/>
      <c r="F598" s="79" t="n"/>
      <c r="G598" s="79" t="n"/>
      <c r="H598" s="79" t="n"/>
      <c r="I598" s="79" t="n"/>
      <c r="J598" s="79" t="n"/>
      <c r="K598" s="79" t="n"/>
      <c r="L598" s="79" t="n"/>
      <c r="M598" s="79" t="n"/>
      <c r="N598" s="79" t="n"/>
      <c r="O598" s="79" t="n"/>
      <c r="P598" s="79" t="n"/>
      <c r="Q598" s="79" t="n"/>
      <c r="R598" s="79" t="n"/>
      <c r="S598" s="79" t="n"/>
      <c r="T598" s="79" t="n"/>
      <c r="U598" s="79" t="n"/>
      <c r="V598" s="79" t="n"/>
      <c r="W598" s="79" t="n"/>
      <c r="X598" s="79" t="n"/>
      <c r="Y598" s="79" t="n"/>
      <c r="Z598" s="79" t="n"/>
    </row>
    <row r="599">
      <c r="A599" s="79" t="n"/>
      <c r="B599" s="79" t="n"/>
      <c r="C599" s="79" t="n"/>
      <c r="D599" s="79" t="n"/>
      <c r="E599" s="79" t="n"/>
      <c r="F599" s="79" t="n"/>
      <c r="G599" s="79" t="n"/>
      <c r="H599" s="79" t="n"/>
      <c r="I599" s="79" t="n"/>
      <c r="J599" s="79" t="n"/>
      <c r="K599" s="79" t="n"/>
      <c r="L599" s="79" t="n"/>
      <c r="M599" s="79" t="n"/>
      <c r="N599" s="79" t="n"/>
      <c r="O599" s="79" t="n"/>
      <c r="P599" s="79" t="n"/>
      <c r="Q599" s="79" t="n"/>
      <c r="R599" s="79" t="n"/>
      <c r="S599" s="79" t="n"/>
      <c r="T599" s="79" t="n"/>
      <c r="U599" s="79" t="n"/>
      <c r="V599" s="79" t="n"/>
      <c r="W599" s="79" t="n"/>
      <c r="X599" s="79" t="n"/>
      <c r="Y599" s="79" t="n"/>
      <c r="Z599" s="79" t="n"/>
    </row>
    <row r="600">
      <c r="A600" s="79" t="n"/>
      <c r="B600" s="79" t="n"/>
      <c r="C600" s="79" t="n"/>
      <c r="D600" s="79" t="n"/>
      <c r="E600" s="79" t="n"/>
      <c r="F600" s="79" t="n"/>
      <c r="G600" s="79" t="n"/>
      <c r="H600" s="79" t="n"/>
      <c r="I600" s="79" t="n"/>
      <c r="J600" s="79" t="n"/>
      <c r="K600" s="79" t="n"/>
      <c r="L600" s="79" t="n"/>
      <c r="M600" s="79" t="n"/>
      <c r="N600" s="79" t="n"/>
      <c r="O600" s="79" t="n"/>
      <c r="P600" s="79" t="n"/>
      <c r="Q600" s="79" t="n"/>
      <c r="R600" s="79" t="n"/>
      <c r="S600" s="79" t="n"/>
      <c r="T600" s="79" t="n"/>
      <c r="U600" s="79" t="n"/>
      <c r="V600" s="79" t="n"/>
      <c r="W600" s="79" t="n"/>
      <c r="X600" s="79" t="n"/>
      <c r="Y600" s="79" t="n"/>
      <c r="Z600" s="79" t="n"/>
    </row>
    <row r="601">
      <c r="A601" s="79" t="n"/>
      <c r="B601" s="79" t="n"/>
      <c r="C601" s="79" t="n"/>
      <c r="D601" s="79" t="n"/>
      <c r="E601" s="79" t="n"/>
      <c r="F601" s="79" t="n"/>
      <c r="G601" s="79" t="n"/>
      <c r="H601" s="79" t="n"/>
      <c r="I601" s="79" t="n"/>
      <c r="J601" s="79" t="n"/>
      <c r="K601" s="79" t="n"/>
      <c r="L601" s="79" t="n"/>
      <c r="M601" s="79" t="n"/>
      <c r="N601" s="79" t="n"/>
      <c r="O601" s="79" t="n"/>
      <c r="P601" s="79" t="n"/>
      <c r="Q601" s="79" t="n"/>
      <c r="R601" s="79" t="n"/>
      <c r="S601" s="79" t="n"/>
      <c r="T601" s="79" t="n"/>
      <c r="U601" s="79" t="n"/>
      <c r="V601" s="79" t="n"/>
      <c r="W601" s="79" t="n"/>
      <c r="X601" s="79" t="n"/>
      <c r="Y601" s="79" t="n"/>
      <c r="Z601" s="79" t="n"/>
    </row>
    <row r="602">
      <c r="A602" s="79" t="n"/>
      <c r="B602" s="79" t="n"/>
      <c r="C602" s="79" t="n"/>
      <c r="D602" s="79" t="n"/>
      <c r="E602" s="79" t="n"/>
      <c r="F602" s="79" t="n"/>
      <c r="G602" s="79" t="n"/>
      <c r="H602" s="79" t="n"/>
      <c r="I602" s="79" t="n"/>
      <c r="J602" s="79" t="n"/>
      <c r="K602" s="79" t="n"/>
      <c r="L602" s="79" t="n"/>
      <c r="M602" s="79" t="n"/>
      <c r="N602" s="79" t="n"/>
      <c r="O602" s="79" t="n"/>
      <c r="P602" s="79" t="n"/>
      <c r="Q602" s="79" t="n"/>
      <c r="R602" s="79" t="n"/>
      <c r="S602" s="79" t="n"/>
      <c r="T602" s="79" t="n"/>
      <c r="U602" s="79" t="n"/>
      <c r="V602" s="79" t="n"/>
      <c r="W602" s="79" t="n"/>
      <c r="X602" s="79" t="n"/>
      <c r="Y602" s="79" t="n"/>
      <c r="Z602" s="79" t="n"/>
    </row>
    <row r="603">
      <c r="A603" s="79" t="n"/>
      <c r="B603" s="79" t="n"/>
      <c r="C603" s="79" t="n"/>
      <c r="D603" s="79" t="n"/>
      <c r="E603" s="79" t="n"/>
      <c r="F603" s="79" t="n"/>
      <c r="G603" s="79" t="n"/>
      <c r="H603" s="79" t="n"/>
      <c r="I603" s="79" t="n"/>
      <c r="J603" s="79" t="n"/>
      <c r="K603" s="79" t="n"/>
      <c r="L603" s="79" t="n"/>
      <c r="M603" s="79" t="n"/>
      <c r="N603" s="79" t="n"/>
      <c r="O603" s="79" t="n"/>
      <c r="P603" s="79" t="n"/>
      <c r="Q603" s="79" t="n"/>
      <c r="R603" s="79" t="n"/>
      <c r="S603" s="79" t="n"/>
      <c r="T603" s="79" t="n"/>
      <c r="U603" s="79" t="n"/>
      <c r="V603" s="79" t="n"/>
      <c r="W603" s="79" t="n"/>
      <c r="X603" s="79" t="n"/>
      <c r="Y603" s="79" t="n"/>
      <c r="Z603" s="79" t="n"/>
    </row>
    <row r="604">
      <c r="A604" s="79" t="n"/>
      <c r="B604" s="79" t="n"/>
      <c r="C604" s="79" t="n"/>
      <c r="D604" s="79" t="n"/>
      <c r="E604" s="79" t="n"/>
      <c r="F604" s="79" t="n"/>
      <c r="G604" s="79" t="n"/>
      <c r="H604" s="79" t="n"/>
      <c r="I604" s="79" t="n"/>
      <c r="J604" s="79" t="n"/>
      <c r="K604" s="79" t="n"/>
      <c r="L604" s="79" t="n"/>
      <c r="M604" s="79" t="n"/>
      <c r="N604" s="79" t="n"/>
      <c r="O604" s="79" t="n"/>
      <c r="P604" s="79" t="n"/>
      <c r="Q604" s="79" t="n"/>
      <c r="R604" s="79" t="n"/>
      <c r="S604" s="79" t="n"/>
      <c r="T604" s="79" t="n"/>
      <c r="U604" s="79" t="n"/>
      <c r="V604" s="79" t="n"/>
      <c r="W604" s="79" t="n"/>
      <c r="X604" s="79" t="n"/>
      <c r="Y604" s="79" t="n"/>
      <c r="Z604" s="79" t="n"/>
    </row>
    <row r="605">
      <c r="A605" s="79" t="n"/>
      <c r="B605" s="79" t="n"/>
      <c r="C605" s="79" t="n"/>
      <c r="D605" s="79" t="n"/>
      <c r="E605" s="79" t="n"/>
      <c r="F605" s="79" t="n"/>
      <c r="G605" s="79" t="n"/>
      <c r="H605" s="79" t="n"/>
      <c r="I605" s="79" t="n"/>
      <c r="J605" s="79" t="n"/>
      <c r="K605" s="79" t="n"/>
      <c r="L605" s="79" t="n"/>
      <c r="M605" s="79" t="n"/>
      <c r="N605" s="79" t="n"/>
      <c r="O605" s="79" t="n"/>
      <c r="P605" s="79" t="n"/>
      <c r="Q605" s="79" t="n"/>
      <c r="R605" s="79" t="n"/>
      <c r="S605" s="79" t="n"/>
      <c r="T605" s="79" t="n"/>
      <c r="U605" s="79" t="n"/>
      <c r="V605" s="79" t="n"/>
      <c r="W605" s="79" t="n"/>
      <c r="X605" s="79" t="n"/>
      <c r="Y605" s="79" t="n"/>
      <c r="Z605" s="79" t="n"/>
    </row>
    <row r="606">
      <c r="A606" s="79" t="n"/>
      <c r="B606" s="79" t="n"/>
      <c r="C606" s="79" t="n"/>
      <c r="D606" s="79" t="n"/>
      <c r="E606" s="79" t="n"/>
      <c r="F606" s="79" t="n"/>
      <c r="G606" s="79" t="n"/>
      <c r="H606" s="79" t="n"/>
      <c r="I606" s="79" t="n"/>
      <c r="J606" s="79" t="n"/>
      <c r="K606" s="79" t="n"/>
      <c r="L606" s="79" t="n"/>
      <c r="M606" s="79" t="n"/>
      <c r="N606" s="79" t="n"/>
      <c r="O606" s="79" t="n"/>
      <c r="P606" s="79" t="n"/>
      <c r="Q606" s="79" t="n"/>
      <c r="R606" s="79" t="n"/>
      <c r="S606" s="79" t="n"/>
      <c r="T606" s="79" t="n"/>
      <c r="U606" s="79" t="n"/>
      <c r="V606" s="79" t="n"/>
      <c r="W606" s="79" t="n"/>
      <c r="X606" s="79" t="n"/>
      <c r="Y606" s="79" t="n"/>
      <c r="Z606" s="79" t="n"/>
    </row>
    <row r="607">
      <c r="A607" s="79" t="n"/>
      <c r="B607" s="79" t="n"/>
      <c r="C607" s="79" t="n"/>
      <c r="D607" s="79" t="n"/>
      <c r="E607" s="79" t="n"/>
      <c r="F607" s="79" t="n"/>
      <c r="G607" s="79" t="n"/>
      <c r="H607" s="79" t="n"/>
      <c r="I607" s="79" t="n"/>
      <c r="J607" s="79" t="n"/>
      <c r="K607" s="79" t="n"/>
      <c r="L607" s="79" t="n"/>
      <c r="M607" s="79" t="n"/>
      <c r="N607" s="79" t="n"/>
      <c r="O607" s="79" t="n"/>
      <c r="P607" s="79" t="n"/>
      <c r="Q607" s="79" t="n"/>
      <c r="R607" s="79" t="n"/>
      <c r="S607" s="79" t="n"/>
      <c r="T607" s="79" t="n"/>
      <c r="U607" s="79" t="n"/>
      <c r="V607" s="79" t="n"/>
      <c r="W607" s="79" t="n"/>
      <c r="X607" s="79" t="n"/>
      <c r="Y607" s="79" t="n"/>
      <c r="Z607" s="79" t="n"/>
    </row>
    <row r="608">
      <c r="A608" s="79" t="n"/>
      <c r="B608" s="79" t="n"/>
      <c r="C608" s="79" t="n"/>
      <c r="D608" s="79" t="n"/>
      <c r="E608" s="79" t="n"/>
      <c r="F608" s="79" t="n"/>
      <c r="G608" s="79" t="n"/>
      <c r="H608" s="79" t="n"/>
      <c r="I608" s="79" t="n"/>
      <c r="J608" s="79" t="n"/>
      <c r="K608" s="79" t="n"/>
      <c r="L608" s="79" t="n"/>
      <c r="M608" s="79" t="n"/>
      <c r="N608" s="79" t="n"/>
      <c r="O608" s="79" t="n"/>
      <c r="P608" s="79" t="n"/>
      <c r="Q608" s="79" t="n"/>
      <c r="R608" s="79" t="n"/>
      <c r="S608" s="79" t="n"/>
      <c r="T608" s="79" t="n"/>
      <c r="U608" s="79" t="n"/>
      <c r="V608" s="79" t="n"/>
      <c r="W608" s="79" t="n"/>
      <c r="X608" s="79" t="n"/>
      <c r="Y608" s="79" t="n"/>
      <c r="Z608" s="79" t="n"/>
    </row>
    <row r="609">
      <c r="A609" s="79" t="n"/>
      <c r="B609" s="79" t="n"/>
      <c r="C609" s="79" t="n"/>
      <c r="D609" s="79" t="n"/>
      <c r="E609" s="79" t="n"/>
      <c r="F609" s="79" t="n"/>
      <c r="G609" s="79" t="n"/>
      <c r="H609" s="79" t="n"/>
      <c r="I609" s="79" t="n"/>
      <c r="J609" s="79" t="n"/>
      <c r="K609" s="79" t="n"/>
      <c r="L609" s="79" t="n"/>
      <c r="M609" s="79" t="n"/>
      <c r="N609" s="79" t="n"/>
      <c r="O609" s="79" t="n"/>
      <c r="P609" s="79" t="n"/>
      <c r="Q609" s="79" t="n"/>
      <c r="R609" s="79" t="n"/>
      <c r="S609" s="79" t="n"/>
      <c r="T609" s="79" t="n"/>
      <c r="U609" s="79" t="n"/>
      <c r="V609" s="79" t="n"/>
      <c r="W609" s="79" t="n"/>
      <c r="X609" s="79" t="n"/>
      <c r="Y609" s="79" t="n"/>
      <c r="Z609" s="79" t="n"/>
    </row>
    <row r="610">
      <c r="A610" s="79" t="n"/>
      <c r="B610" s="79" t="n"/>
      <c r="C610" s="79" t="n"/>
      <c r="D610" s="79" t="n"/>
      <c r="E610" s="79" t="n"/>
      <c r="F610" s="79" t="n"/>
      <c r="G610" s="79" t="n"/>
      <c r="H610" s="79" t="n"/>
      <c r="I610" s="79" t="n"/>
      <c r="J610" s="79" t="n"/>
      <c r="K610" s="79" t="n"/>
      <c r="L610" s="79" t="n"/>
      <c r="M610" s="79" t="n"/>
      <c r="N610" s="79" t="n"/>
      <c r="O610" s="79" t="n"/>
      <c r="P610" s="79" t="n"/>
      <c r="Q610" s="79" t="n"/>
      <c r="R610" s="79" t="n"/>
      <c r="S610" s="79" t="n"/>
      <c r="T610" s="79" t="n"/>
      <c r="U610" s="79" t="n"/>
      <c r="V610" s="79" t="n"/>
      <c r="W610" s="79" t="n"/>
      <c r="X610" s="79" t="n"/>
      <c r="Y610" s="79" t="n"/>
      <c r="Z610" s="79" t="n"/>
    </row>
    <row r="611">
      <c r="A611" s="79" t="n"/>
      <c r="B611" s="79" t="n"/>
      <c r="C611" s="79" t="n"/>
      <c r="D611" s="79" t="n"/>
      <c r="E611" s="79" t="n"/>
      <c r="F611" s="79" t="n"/>
      <c r="G611" s="79" t="n"/>
      <c r="H611" s="79" t="n"/>
      <c r="I611" s="79" t="n"/>
      <c r="J611" s="79" t="n"/>
      <c r="K611" s="79" t="n"/>
      <c r="L611" s="79" t="n"/>
      <c r="M611" s="79" t="n"/>
      <c r="N611" s="79" t="n"/>
      <c r="O611" s="79" t="n"/>
      <c r="P611" s="79" t="n"/>
      <c r="Q611" s="79" t="n"/>
      <c r="R611" s="79" t="n"/>
      <c r="S611" s="79" t="n"/>
      <c r="T611" s="79" t="n"/>
      <c r="U611" s="79" t="n"/>
      <c r="V611" s="79" t="n"/>
      <c r="W611" s="79" t="n"/>
      <c r="X611" s="79" t="n"/>
      <c r="Y611" s="79" t="n"/>
      <c r="Z611" s="79" t="n"/>
    </row>
    <row r="612">
      <c r="A612" s="79" t="n"/>
      <c r="B612" s="79" t="n"/>
      <c r="C612" s="79" t="n"/>
      <c r="D612" s="79" t="n"/>
      <c r="E612" s="79" t="n"/>
      <c r="F612" s="79" t="n"/>
      <c r="G612" s="79" t="n"/>
      <c r="H612" s="79" t="n"/>
      <c r="I612" s="79" t="n"/>
      <c r="J612" s="79" t="n"/>
      <c r="K612" s="79" t="n"/>
      <c r="L612" s="79" t="n"/>
      <c r="M612" s="79" t="n"/>
      <c r="N612" s="79" t="n"/>
      <c r="O612" s="79" t="n"/>
      <c r="P612" s="79" t="n"/>
      <c r="Q612" s="79" t="n"/>
      <c r="R612" s="79" t="n"/>
      <c r="S612" s="79" t="n"/>
      <c r="T612" s="79" t="n"/>
      <c r="U612" s="79" t="n"/>
      <c r="V612" s="79" t="n"/>
      <c r="W612" s="79" t="n"/>
      <c r="X612" s="79" t="n"/>
      <c r="Y612" s="79" t="n"/>
      <c r="Z612" s="79" t="n"/>
    </row>
    <row r="613">
      <c r="A613" s="79" t="n"/>
      <c r="B613" s="79" t="n"/>
      <c r="C613" s="79" t="n"/>
      <c r="D613" s="79" t="n"/>
      <c r="E613" s="79" t="n"/>
      <c r="F613" s="79" t="n"/>
      <c r="G613" s="79" t="n"/>
      <c r="H613" s="79" t="n"/>
      <c r="I613" s="79" t="n"/>
      <c r="J613" s="79" t="n"/>
      <c r="K613" s="79" t="n"/>
      <c r="L613" s="79" t="n"/>
      <c r="M613" s="79" t="n"/>
      <c r="N613" s="79" t="n"/>
      <c r="O613" s="79" t="n"/>
      <c r="P613" s="79" t="n"/>
      <c r="Q613" s="79" t="n"/>
      <c r="R613" s="79" t="n"/>
      <c r="S613" s="79" t="n"/>
      <c r="T613" s="79" t="n"/>
      <c r="U613" s="79" t="n"/>
      <c r="V613" s="79" t="n"/>
      <c r="W613" s="79" t="n"/>
      <c r="X613" s="79" t="n"/>
      <c r="Y613" s="79" t="n"/>
      <c r="Z613" s="79" t="n"/>
    </row>
    <row r="614">
      <c r="A614" s="79" t="n"/>
      <c r="B614" s="79" t="n"/>
      <c r="C614" s="79" t="n"/>
      <c r="D614" s="79" t="n"/>
      <c r="E614" s="79" t="n"/>
      <c r="F614" s="79" t="n"/>
      <c r="G614" s="79" t="n"/>
      <c r="H614" s="79" t="n"/>
      <c r="I614" s="79" t="n"/>
      <c r="J614" s="79" t="n"/>
      <c r="K614" s="79" t="n"/>
      <c r="L614" s="79" t="n"/>
      <c r="M614" s="79" t="n"/>
      <c r="N614" s="79" t="n"/>
      <c r="O614" s="79" t="n"/>
      <c r="P614" s="79" t="n"/>
      <c r="Q614" s="79" t="n"/>
      <c r="R614" s="79" t="n"/>
      <c r="S614" s="79" t="n"/>
      <c r="T614" s="79" t="n"/>
      <c r="U614" s="79" t="n"/>
      <c r="V614" s="79" t="n"/>
      <c r="W614" s="79" t="n"/>
      <c r="X614" s="79" t="n"/>
      <c r="Y614" s="79" t="n"/>
      <c r="Z614" s="79" t="n"/>
    </row>
    <row r="615">
      <c r="A615" s="79" t="n"/>
      <c r="B615" s="79" t="n"/>
      <c r="C615" s="79" t="n"/>
      <c r="D615" s="79" t="n"/>
      <c r="E615" s="79" t="n"/>
      <c r="F615" s="79" t="n"/>
      <c r="G615" s="79" t="n"/>
      <c r="H615" s="79" t="n"/>
      <c r="I615" s="79" t="n"/>
      <c r="J615" s="79" t="n"/>
      <c r="K615" s="79" t="n"/>
      <c r="L615" s="79" t="n"/>
      <c r="M615" s="79" t="n"/>
      <c r="N615" s="79" t="n"/>
      <c r="O615" s="79" t="n"/>
      <c r="P615" s="79" t="n"/>
      <c r="Q615" s="79" t="n"/>
      <c r="R615" s="79" t="n"/>
      <c r="S615" s="79" t="n"/>
      <c r="T615" s="79" t="n"/>
      <c r="U615" s="79" t="n"/>
      <c r="V615" s="79" t="n"/>
      <c r="W615" s="79" t="n"/>
      <c r="X615" s="79" t="n"/>
      <c r="Y615" s="79" t="n"/>
      <c r="Z615" s="79" t="n"/>
    </row>
    <row r="616">
      <c r="A616" s="79" t="n"/>
      <c r="B616" s="79" t="n"/>
      <c r="C616" s="79" t="n"/>
      <c r="D616" s="79" t="n"/>
      <c r="E616" s="79" t="n"/>
      <c r="F616" s="79" t="n"/>
      <c r="G616" s="79" t="n"/>
      <c r="H616" s="79" t="n"/>
      <c r="I616" s="79" t="n"/>
      <c r="J616" s="79" t="n"/>
      <c r="K616" s="79" t="n"/>
      <c r="L616" s="79" t="n"/>
      <c r="M616" s="79" t="n"/>
      <c r="N616" s="79" t="n"/>
      <c r="O616" s="79" t="n"/>
      <c r="P616" s="79" t="n"/>
      <c r="Q616" s="79" t="n"/>
      <c r="R616" s="79" t="n"/>
      <c r="S616" s="79" t="n"/>
      <c r="T616" s="79" t="n"/>
      <c r="U616" s="79" t="n"/>
      <c r="V616" s="79" t="n"/>
      <c r="W616" s="79" t="n"/>
      <c r="X616" s="79" t="n"/>
      <c r="Y616" s="79" t="n"/>
      <c r="Z616" s="79" t="n"/>
    </row>
    <row r="617">
      <c r="A617" s="79" t="n"/>
      <c r="B617" s="79" t="n"/>
      <c r="C617" s="79" t="n"/>
      <c r="D617" s="79" t="n"/>
      <c r="E617" s="79" t="n"/>
      <c r="F617" s="79" t="n"/>
      <c r="G617" s="79" t="n"/>
      <c r="H617" s="79" t="n"/>
      <c r="I617" s="79" t="n"/>
      <c r="J617" s="79" t="n"/>
      <c r="K617" s="79" t="n"/>
      <c r="L617" s="79" t="n"/>
      <c r="M617" s="79" t="n"/>
      <c r="N617" s="79" t="n"/>
      <c r="O617" s="79" t="n"/>
      <c r="P617" s="79" t="n"/>
      <c r="Q617" s="79" t="n"/>
      <c r="R617" s="79" t="n"/>
      <c r="S617" s="79" t="n"/>
      <c r="T617" s="79" t="n"/>
      <c r="U617" s="79" t="n"/>
      <c r="V617" s="79" t="n"/>
      <c r="W617" s="79" t="n"/>
      <c r="X617" s="79" t="n"/>
      <c r="Y617" s="79" t="n"/>
      <c r="Z617" s="79" t="n"/>
    </row>
    <row r="618">
      <c r="A618" s="79" t="n"/>
      <c r="B618" s="79" t="n"/>
      <c r="C618" s="79" t="n"/>
      <c r="D618" s="79" t="n"/>
      <c r="E618" s="79" t="n"/>
      <c r="F618" s="79" t="n"/>
      <c r="G618" s="79" t="n"/>
      <c r="H618" s="79" t="n"/>
      <c r="I618" s="79" t="n"/>
      <c r="J618" s="79" t="n"/>
      <c r="K618" s="79" t="n"/>
      <c r="L618" s="79" t="n"/>
      <c r="M618" s="79" t="n"/>
      <c r="N618" s="79" t="n"/>
      <c r="O618" s="79" t="n"/>
      <c r="P618" s="79" t="n"/>
      <c r="Q618" s="79" t="n"/>
      <c r="R618" s="79" t="n"/>
      <c r="S618" s="79" t="n"/>
      <c r="T618" s="79" t="n"/>
      <c r="U618" s="79" t="n"/>
      <c r="V618" s="79" t="n"/>
      <c r="W618" s="79" t="n"/>
      <c r="X618" s="79" t="n"/>
      <c r="Y618" s="79" t="n"/>
      <c r="Z618" s="79" t="n"/>
    </row>
    <row r="619">
      <c r="A619" s="79" t="n"/>
      <c r="B619" s="79" t="n"/>
      <c r="C619" s="79" t="n"/>
      <c r="D619" s="79" t="n"/>
      <c r="E619" s="79" t="n"/>
      <c r="F619" s="79" t="n"/>
      <c r="G619" s="79" t="n"/>
      <c r="H619" s="79" t="n"/>
      <c r="I619" s="79" t="n"/>
      <c r="J619" s="79" t="n"/>
      <c r="K619" s="79" t="n"/>
      <c r="L619" s="79" t="n"/>
      <c r="M619" s="79" t="n"/>
      <c r="N619" s="79" t="n"/>
      <c r="O619" s="79" t="n"/>
      <c r="P619" s="79" t="n"/>
      <c r="Q619" s="79" t="n"/>
      <c r="R619" s="79" t="n"/>
      <c r="S619" s="79" t="n"/>
      <c r="T619" s="79" t="n"/>
      <c r="U619" s="79" t="n"/>
      <c r="V619" s="79" t="n"/>
      <c r="W619" s="79" t="n"/>
      <c r="X619" s="79" t="n"/>
      <c r="Y619" s="79" t="n"/>
      <c r="Z619" s="79" t="n"/>
    </row>
    <row r="620">
      <c r="A620" s="79" t="n"/>
      <c r="B620" s="79" t="n"/>
      <c r="C620" s="79" t="n"/>
      <c r="D620" s="79" t="n"/>
      <c r="E620" s="79" t="n"/>
      <c r="F620" s="79" t="n"/>
      <c r="G620" s="79" t="n"/>
      <c r="H620" s="79" t="n"/>
      <c r="I620" s="79" t="n"/>
      <c r="J620" s="79" t="n"/>
      <c r="K620" s="79" t="n"/>
      <c r="L620" s="79" t="n"/>
      <c r="M620" s="79" t="n"/>
      <c r="N620" s="79" t="n"/>
      <c r="O620" s="79" t="n"/>
      <c r="P620" s="79" t="n"/>
      <c r="Q620" s="79" t="n"/>
      <c r="R620" s="79" t="n"/>
      <c r="S620" s="79" t="n"/>
      <c r="T620" s="79" t="n"/>
      <c r="U620" s="79" t="n"/>
      <c r="V620" s="79" t="n"/>
      <c r="W620" s="79" t="n"/>
      <c r="X620" s="79" t="n"/>
      <c r="Y620" s="79" t="n"/>
      <c r="Z620" s="79" t="n"/>
    </row>
    <row r="621">
      <c r="A621" s="79" t="n"/>
      <c r="B621" s="79" t="n"/>
      <c r="C621" s="79" t="n"/>
      <c r="D621" s="79" t="n"/>
      <c r="E621" s="79" t="n"/>
      <c r="F621" s="79" t="n"/>
      <c r="G621" s="79" t="n"/>
      <c r="H621" s="79" t="n"/>
      <c r="I621" s="79" t="n"/>
      <c r="J621" s="79" t="n"/>
      <c r="K621" s="79" t="n"/>
      <c r="L621" s="79" t="n"/>
      <c r="M621" s="79" t="n"/>
      <c r="N621" s="79" t="n"/>
      <c r="O621" s="79" t="n"/>
      <c r="P621" s="79" t="n"/>
      <c r="Q621" s="79" t="n"/>
      <c r="R621" s="79" t="n"/>
      <c r="S621" s="79" t="n"/>
      <c r="T621" s="79" t="n"/>
      <c r="U621" s="79" t="n"/>
      <c r="V621" s="79" t="n"/>
      <c r="W621" s="79" t="n"/>
      <c r="X621" s="79" t="n"/>
      <c r="Y621" s="79" t="n"/>
      <c r="Z621" s="79" t="n"/>
    </row>
    <row r="622">
      <c r="A622" s="79" t="n"/>
      <c r="B622" s="79" t="n"/>
      <c r="C622" s="79" t="n"/>
      <c r="D622" s="79" t="n"/>
      <c r="E622" s="79" t="n"/>
      <c r="F622" s="79" t="n"/>
      <c r="G622" s="79" t="n"/>
      <c r="H622" s="79" t="n"/>
      <c r="I622" s="79" t="n"/>
      <c r="J622" s="79" t="n"/>
      <c r="K622" s="79" t="n"/>
      <c r="L622" s="79" t="n"/>
      <c r="M622" s="79" t="n"/>
      <c r="N622" s="79" t="n"/>
      <c r="O622" s="79" t="n"/>
      <c r="P622" s="79" t="n"/>
      <c r="Q622" s="79" t="n"/>
      <c r="R622" s="79" t="n"/>
      <c r="S622" s="79" t="n"/>
      <c r="T622" s="79" t="n"/>
      <c r="U622" s="79" t="n"/>
      <c r="V622" s="79" t="n"/>
      <c r="W622" s="79" t="n"/>
      <c r="X622" s="79" t="n"/>
      <c r="Y622" s="79" t="n"/>
      <c r="Z622" s="79" t="n"/>
    </row>
    <row r="623">
      <c r="A623" s="79" t="n"/>
      <c r="B623" s="79" t="n"/>
      <c r="C623" s="79" t="n"/>
      <c r="D623" s="79" t="n"/>
      <c r="E623" s="79" t="n"/>
      <c r="F623" s="79" t="n"/>
      <c r="G623" s="79" t="n"/>
      <c r="H623" s="79" t="n"/>
      <c r="I623" s="79" t="n"/>
      <c r="J623" s="79" t="n"/>
      <c r="K623" s="79" t="n"/>
      <c r="L623" s="79" t="n"/>
      <c r="M623" s="79" t="n"/>
      <c r="N623" s="79" t="n"/>
      <c r="O623" s="79" t="n"/>
      <c r="P623" s="79" t="n"/>
      <c r="Q623" s="79" t="n"/>
      <c r="R623" s="79" t="n"/>
      <c r="S623" s="79" t="n"/>
      <c r="T623" s="79" t="n"/>
      <c r="U623" s="79" t="n"/>
      <c r="V623" s="79" t="n"/>
      <c r="W623" s="79" t="n"/>
      <c r="X623" s="79" t="n"/>
      <c r="Y623" s="79" t="n"/>
      <c r="Z623" s="79" t="n"/>
    </row>
    <row r="624">
      <c r="A624" s="79" t="n"/>
      <c r="B624" s="79" t="n"/>
      <c r="C624" s="79" t="n"/>
      <c r="D624" s="79" t="n"/>
      <c r="E624" s="79" t="n"/>
      <c r="F624" s="79" t="n"/>
      <c r="G624" s="79" t="n"/>
      <c r="H624" s="79" t="n"/>
      <c r="I624" s="79" t="n"/>
      <c r="J624" s="79" t="n"/>
      <c r="K624" s="79" t="n"/>
      <c r="L624" s="79" t="n"/>
      <c r="M624" s="79" t="n"/>
      <c r="N624" s="79" t="n"/>
      <c r="O624" s="79" t="n"/>
      <c r="P624" s="79" t="n"/>
      <c r="Q624" s="79" t="n"/>
      <c r="R624" s="79" t="n"/>
      <c r="S624" s="79" t="n"/>
      <c r="T624" s="79" t="n"/>
      <c r="U624" s="79" t="n"/>
      <c r="V624" s="79" t="n"/>
      <c r="W624" s="79" t="n"/>
      <c r="X624" s="79" t="n"/>
      <c r="Y624" s="79" t="n"/>
      <c r="Z624" s="79" t="n"/>
    </row>
    <row r="625">
      <c r="A625" s="79" t="n"/>
      <c r="B625" s="79" t="n"/>
      <c r="C625" s="79" t="n"/>
      <c r="D625" s="79" t="n"/>
      <c r="E625" s="79" t="n"/>
      <c r="F625" s="79" t="n"/>
      <c r="G625" s="79" t="n"/>
      <c r="H625" s="79" t="n"/>
      <c r="I625" s="79" t="n"/>
      <c r="J625" s="79" t="n"/>
      <c r="K625" s="79" t="n"/>
      <c r="L625" s="79" t="n"/>
      <c r="M625" s="79" t="n"/>
      <c r="N625" s="79" t="n"/>
      <c r="O625" s="79" t="n"/>
      <c r="P625" s="79" t="n"/>
      <c r="Q625" s="79" t="n"/>
      <c r="R625" s="79" t="n"/>
      <c r="S625" s="79" t="n"/>
      <c r="T625" s="79" t="n"/>
      <c r="U625" s="79" t="n"/>
      <c r="V625" s="79" t="n"/>
      <c r="W625" s="79" t="n"/>
      <c r="X625" s="79" t="n"/>
      <c r="Y625" s="79" t="n"/>
      <c r="Z625" s="79" t="n"/>
    </row>
    <row r="626">
      <c r="A626" s="79" t="n"/>
      <c r="B626" s="79" t="n"/>
      <c r="C626" s="79" t="n"/>
      <c r="D626" s="79" t="n"/>
      <c r="E626" s="79" t="n"/>
      <c r="F626" s="79" t="n"/>
      <c r="G626" s="79" t="n"/>
      <c r="H626" s="79" t="n"/>
      <c r="I626" s="79" t="n"/>
      <c r="J626" s="79" t="n"/>
      <c r="K626" s="79" t="n"/>
      <c r="L626" s="79" t="n"/>
      <c r="M626" s="79" t="n"/>
      <c r="N626" s="79" t="n"/>
      <c r="O626" s="79" t="n"/>
      <c r="P626" s="79" t="n"/>
      <c r="Q626" s="79" t="n"/>
      <c r="R626" s="79" t="n"/>
      <c r="S626" s="79" t="n"/>
      <c r="T626" s="79" t="n"/>
      <c r="U626" s="79" t="n"/>
      <c r="V626" s="79" t="n"/>
      <c r="W626" s="79" t="n"/>
      <c r="X626" s="79" t="n"/>
      <c r="Y626" s="79" t="n"/>
      <c r="Z626" s="79" t="n"/>
    </row>
    <row r="627">
      <c r="A627" s="79" t="n"/>
      <c r="B627" s="79" t="n"/>
      <c r="C627" s="79" t="n"/>
      <c r="D627" s="79" t="n"/>
      <c r="E627" s="79" t="n"/>
      <c r="F627" s="79" t="n"/>
      <c r="G627" s="79" t="n"/>
      <c r="H627" s="79" t="n"/>
      <c r="I627" s="79" t="n"/>
      <c r="J627" s="79" t="n"/>
      <c r="K627" s="79" t="n"/>
      <c r="L627" s="79" t="n"/>
      <c r="M627" s="79" t="n"/>
      <c r="N627" s="79" t="n"/>
      <c r="O627" s="79" t="n"/>
      <c r="P627" s="79" t="n"/>
      <c r="Q627" s="79" t="n"/>
      <c r="R627" s="79" t="n"/>
      <c r="S627" s="79" t="n"/>
      <c r="T627" s="79" t="n"/>
      <c r="U627" s="79" t="n"/>
      <c r="V627" s="79" t="n"/>
      <c r="W627" s="79" t="n"/>
      <c r="X627" s="79" t="n"/>
      <c r="Y627" s="79" t="n"/>
      <c r="Z627" s="79" t="n"/>
    </row>
    <row r="628">
      <c r="A628" s="79" t="n"/>
      <c r="B628" s="79" t="n"/>
      <c r="C628" s="79" t="n"/>
      <c r="D628" s="79" t="n"/>
      <c r="E628" s="79" t="n"/>
      <c r="F628" s="79" t="n"/>
      <c r="G628" s="79" t="n"/>
      <c r="H628" s="79" t="n"/>
      <c r="I628" s="79" t="n"/>
      <c r="J628" s="79" t="n"/>
      <c r="K628" s="79" t="n"/>
      <c r="L628" s="79" t="n"/>
      <c r="M628" s="79" t="n"/>
      <c r="N628" s="79" t="n"/>
      <c r="O628" s="79" t="n"/>
      <c r="P628" s="79" t="n"/>
      <c r="Q628" s="79" t="n"/>
      <c r="R628" s="79" t="n"/>
      <c r="S628" s="79" t="n"/>
      <c r="T628" s="79" t="n"/>
      <c r="U628" s="79" t="n"/>
      <c r="V628" s="79" t="n"/>
      <c r="W628" s="79" t="n"/>
      <c r="X628" s="79" t="n"/>
      <c r="Y628" s="79" t="n"/>
      <c r="Z628" s="79" t="n"/>
    </row>
    <row r="629">
      <c r="A629" s="79" t="n"/>
      <c r="B629" s="79" t="n"/>
      <c r="C629" s="79" t="n"/>
      <c r="D629" s="79" t="n"/>
      <c r="E629" s="79" t="n"/>
      <c r="F629" s="79" t="n"/>
      <c r="G629" s="79" t="n"/>
      <c r="H629" s="79" t="n"/>
      <c r="I629" s="79" t="n"/>
      <c r="J629" s="79" t="n"/>
      <c r="K629" s="79" t="n"/>
      <c r="L629" s="79" t="n"/>
      <c r="M629" s="79" t="n"/>
      <c r="N629" s="79" t="n"/>
      <c r="O629" s="79" t="n"/>
      <c r="P629" s="79" t="n"/>
      <c r="Q629" s="79" t="n"/>
      <c r="R629" s="79" t="n"/>
      <c r="S629" s="79" t="n"/>
      <c r="T629" s="79" t="n"/>
      <c r="U629" s="79" t="n"/>
      <c r="V629" s="79" t="n"/>
      <c r="W629" s="79" t="n"/>
      <c r="X629" s="79" t="n"/>
      <c r="Y629" s="79" t="n"/>
      <c r="Z629" s="79" t="n"/>
    </row>
    <row r="630">
      <c r="A630" s="79" t="n"/>
      <c r="B630" s="79" t="n"/>
      <c r="C630" s="79" t="n"/>
      <c r="D630" s="79" t="n"/>
      <c r="E630" s="79" t="n"/>
      <c r="F630" s="79" t="n"/>
      <c r="G630" s="79" t="n"/>
      <c r="H630" s="79" t="n"/>
      <c r="I630" s="79" t="n"/>
      <c r="J630" s="79" t="n"/>
      <c r="K630" s="79" t="n"/>
      <c r="L630" s="79" t="n"/>
      <c r="M630" s="79" t="n"/>
      <c r="N630" s="79" t="n"/>
      <c r="O630" s="79" t="n"/>
      <c r="P630" s="79" t="n"/>
      <c r="Q630" s="79" t="n"/>
      <c r="R630" s="79" t="n"/>
      <c r="S630" s="79" t="n"/>
      <c r="T630" s="79" t="n"/>
      <c r="U630" s="79" t="n"/>
      <c r="V630" s="79" t="n"/>
      <c r="W630" s="79" t="n"/>
      <c r="X630" s="79" t="n"/>
      <c r="Y630" s="79" t="n"/>
      <c r="Z630" s="79" t="n"/>
    </row>
    <row r="631">
      <c r="A631" s="79" t="n"/>
      <c r="B631" s="79" t="n"/>
      <c r="C631" s="79" t="n"/>
      <c r="D631" s="79" t="n"/>
      <c r="E631" s="79" t="n"/>
      <c r="F631" s="79" t="n"/>
      <c r="G631" s="79" t="n"/>
      <c r="H631" s="79" t="n"/>
      <c r="I631" s="79" t="n"/>
      <c r="J631" s="79" t="n"/>
      <c r="K631" s="79" t="n"/>
      <c r="L631" s="79" t="n"/>
      <c r="M631" s="79" t="n"/>
      <c r="N631" s="79" t="n"/>
      <c r="O631" s="79" t="n"/>
      <c r="P631" s="79" t="n"/>
      <c r="Q631" s="79" t="n"/>
      <c r="R631" s="79" t="n"/>
      <c r="S631" s="79" t="n"/>
      <c r="T631" s="79" t="n"/>
      <c r="U631" s="79" t="n"/>
      <c r="V631" s="79" t="n"/>
      <c r="W631" s="79" t="n"/>
      <c r="X631" s="79" t="n"/>
      <c r="Y631" s="79" t="n"/>
      <c r="Z631" s="79" t="n"/>
    </row>
    <row r="632">
      <c r="A632" s="79" t="n"/>
      <c r="B632" s="79" t="n"/>
      <c r="C632" s="79" t="n"/>
      <c r="D632" s="79" t="n"/>
      <c r="E632" s="79" t="n"/>
      <c r="F632" s="79" t="n"/>
      <c r="G632" s="79" t="n"/>
      <c r="H632" s="79" t="n"/>
      <c r="I632" s="79" t="n"/>
      <c r="J632" s="79" t="n"/>
      <c r="K632" s="79" t="n"/>
      <c r="L632" s="79" t="n"/>
      <c r="M632" s="79" t="n"/>
      <c r="N632" s="79" t="n"/>
      <c r="O632" s="79" t="n"/>
      <c r="P632" s="79" t="n"/>
      <c r="Q632" s="79" t="n"/>
      <c r="R632" s="79" t="n"/>
      <c r="S632" s="79" t="n"/>
      <c r="T632" s="79" t="n"/>
      <c r="U632" s="79" t="n"/>
      <c r="V632" s="79" t="n"/>
      <c r="W632" s="79" t="n"/>
      <c r="X632" s="79" t="n"/>
      <c r="Y632" s="79" t="n"/>
      <c r="Z632" s="79" t="n"/>
    </row>
    <row r="633">
      <c r="A633" s="79" t="n"/>
      <c r="B633" s="79" t="n"/>
      <c r="C633" s="79" t="n"/>
      <c r="D633" s="79" t="n"/>
      <c r="E633" s="79" t="n"/>
      <c r="F633" s="79" t="n"/>
      <c r="G633" s="79" t="n"/>
      <c r="H633" s="79" t="n"/>
      <c r="I633" s="79" t="n"/>
      <c r="J633" s="79" t="n"/>
      <c r="K633" s="79" t="n"/>
      <c r="L633" s="79" t="n"/>
      <c r="M633" s="79" t="n"/>
      <c r="N633" s="79" t="n"/>
      <c r="O633" s="79" t="n"/>
      <c r="P633" s="79" t="n"/>
      <c r="Q633" s="79" t="n"/>
      <c r="R633" s="79" t="n"/>
      <c r="S633" s="79" t="n"/>
      <c r="T633" s="79" t="n"/>
      <c r="U633" s="79" t="n"/>
      <c r="V633" s="79" t="n"/>
      <c r="W633" s="79" t="n"/>
      <c r="X633" s="79" t="n"/>
      <c r="Y633" s="79" t="n"/>
      <c r="Z633" s="79" t="n"/>
    </row>
    <row r="634">
      <c r="A634" s="79" t="n"/>
      <c r="B634" s="79" t="n"/>
      <c r="C634" s="79" t="n"/>
      <c r="D634" s="79" t="n"/>
      <c r="E634" s="79" t="n"/>
      <c r="F634" s="79" t="n"/>
      <c r="G634" s="79" t="n"/>
      <c r="H634" s="79" t="n"/>
      <c r="I634" s="79" t="n"/>
      <c r="J634" s="79" t="n"/>
      <c r="K634" s="79" t="n"/>
      <c r="L634" s="79" t="n"/>
      <c r="M634" s="79" t="n"/>
      <c r="N634" s="79" t="n"/>
      <c r="O634" s="79" t="n"/>
      <c r="P634" s="79" t="n"/>
      <c r="Q634" s="79" t="n"/>
      <c r="R634" s="79" t="n"/>
      <c r="S634" s="79" t="n"/>
      <c r="T634" s="79" t="n"/>
      <c r="U634" s="79" t="n"/>
      <c r="V634" s="79" t="n"/>
      <c r="W634" s="79" t="n"/>
      <c r="X634" s="79" t="n"/>
      <c r="Y634" s="79" t="n"/>
      <c r="Z634" s="79" t="n"/>
    </row>
    <row r="635">
      <c r="A635" s="79" t="n"/>
      <c r="B635" s="79" t="n"/>
      <c r="C635" s="79" t="n"/>
      <c r="D635" s="79" t="n"/>
      <c r="E635" s="79" t="n"/>
      <c r="F635" s="79" t="n"/>
      <c r="G635" s="79" t="n"/>
      <c r="H635" s="79" t="n"/>
      <c r="I635" s="79" t="n"/>
      <c r="J635" s="79" t="n"/>
      <c r="K635" s="79" t="n"/>
      <c r="L635" s="79" t="n"/>
      <c r="M635" s="79" t="n"/>
      <c r="N635" s="79" t="n"/>
      <c r="O635" s="79" t="n"/>
      <c r="P635" s="79" t="n"/>
      <c r="Q635" s="79" t="n"/>
      <c r="R635" s="79" t="n"/>
      <c r="S635" s="79" t="n"/>
      <c r="T635" s="79" t="n"/>
      <c r="U635" s="79" t="n"/>
      <c r="V635" s="79" t="n"/>
      <c r="W635" s="79" t="n"/>
      <c r="X635" s="79" t="n"/>
      <c r="Y635" s="79" t="n"/>
      <c r="Z635" s="79" t="n"/>
    </row>
    <row r="636">
      <c r="A636" s="79" t="n"/>
      <c r="B636" s="79" t="n"/>
      <c r="C636" s="79" t="n"/>
      <c r="D636" s="79" t="n"/>
      <c r="E636" s="79" t="n"/>
      <c r="F636" s="79" t="n"/>
      <c r="G636" s="79" t="n"/>
      <c r="H636" s="79" t="n"/>
      <c r="I636" s="79" t="n"/>
      <c r="J636" s="79" t="n"/>
      <c r="K636" s="79" t="n"/>
      <c r="L636" s="79" t="n"/>
      <c r="M636" s="79" t="n"/>
      <c r="N636" s="79" t="n"/>
      <c r="O636" s="79" t="n"/>
      <c r="P636" s="79" t="n"/>
      <c r="Q636" s="79" t="n"/>
      <c r="R636" s="79" t="n"/>
      <c r="S636" s="79" t="n"/>
      <c r="T636" s="79" t="n"/>
      <c r="U636" s="79" t="n"/>
      <c r="V636" s="79" t="n"/>
      <c r="W636" s="79" t="n"/>
      <c r="X636" s="79" t="n"/>
      <c r="Y636" s="79" t="n"/>
      <c r="Z636" s="79" t="n"/>
    </row>
    <row r="637">
      <c r="A637" s="79" t="n"/>
      <c r="B637" s="79" t="n"/>
      <c r="C637" s="79" t="n"/>
      <c r="D637" s="79" t="n"/>
      <c r="E637" s="79" t="n"/>
      <c r="F637" s="79" t="n"/>
      <c r="G637" s="79" t="n"/>
      <c r="H637" s="79" t="n"/>
      <c r="I637" s="79" t="n"/>
      <c r="J637" s="79" t="n"/>
      <c r="K637" s="79" t="n"/>
      <c r="L637" s="79" t="n"/>
      <c r="M637" s="79" t="n"/>
      <c r="N637" s="79" t="n"/>
      <c r="O637" s="79" t="n"/>
      <c r="P637" s="79" t="n"/>
      <c r="Q637" s="79" t="n"/>
      <c r="R637" s="79" t="n"/>
      <c r="S637" s="79" t="n"/>
      <c r="T637" s="79" t="n"/>
      <c r="U637" s="79" t="n"/>
      <c r="V637" s="79" t="n"/>
      <c r="W637" s="79" t="n"/>
      <c r="X637" s="79" t="n"/>
      <c r="Y637" s="79" t="n"/>
      <c r="Z637" s="79" t="n"/>
    </row>
    <row r="638">
      <c r="A638" s="79" t="n"/>
      <c r="B638" s="79" t="n"/>
      <c r="C638" s="79" t="n"/>
      <c r="D638" s="79" t="n"/>
      <c r="E638" s="79" t="n"/>
      <c r="F638" s="79" t="n"/>
      <c r="G638" s="79" t="n"/>
      <c r="H638" s="79" t="n"/>
      <c r="I638" s="79" t="n"/>
      <c r="J638" s="79" t="n"/>
      <c r="K638" s="79" t="n"/>
      <c r="L638" s="79" t="n"/>
      <c r="M638" s="79" t="n"/>
      <c r="N638" s="79" t="n"/>
      <c r="O638" s="79" t="n"/>
      <c r="P638" s="79" t="n"/>
      <c r="Q638" s="79" t="n"/>
      <c r="R638" s="79" t="n"/>
      <c r="S638" s="79" t="n"/>
      <c r="T638" s="79" t="n"/>
      <c r="U638" s="79" t="n"/>
      <c r="V638" s="79" t="n"/>
      <c r="W638" s="79" t="n"/>
      <c r="X638" s="79" t="n"/>
      <c r="Y638" s="79" t="n"/>
      <c r="Z638" s="79" t="n"/>
    </row>
    <row r="639">
      <c r="A639" s="79" t="n"/>
      <c r="B639" s="79" t="n"/>
      <c r="C639" s="79" t="n"/>
      <c r="D639" s="79" t="n"/>
      <c r="E639" s="79" t="n"/>
      <c r="F639" s="79" t="n"/>
      <c r="G639" s="79" t="n"/>
      <c r="H639" s="79" t="n"/>
      <c r="I639" s="79" t="n"/>
      <c r="J639" s="79" t="n"/>
      <c r="K639" s="79" t="n"/>
      <c r="L639" s="79" t="n"/>
      <c r="M639" s="79" t="n"/>
      <c r="N639" s="79" t="n"/>
      <c r="O639" s="79" t="n"/>
      <c r="P639" s="79" t="n"/>
      <c r="Q639" s="79" t="n"/>
      <c r="R639" s="79" t="n"/>
      <c r="S639" s="79" t="n"/>
      <c r="T639" s="79" t="n"/>
      <c r="U639" s="79" t="n"/>
      <c r="V639" s="79" t="n"/>
      <c r="W639" s="79" t="n"/>
      <c r="X639" s="79" t="n"/>
      <c r="Y639" s="79" t="n"/>
      <c r="Z639" s="79" t="n"/>
    </row>
    <row r="640">
      <c r="A640" s="79" t="n"/>
      <c r="B640" s="79" t="n"/>
      <c r="C640" s="79" t="n"/>
      <c r="D640" s="79" t="n"/>
      <c r="E640" s="79" t="n"/>
      <c r="F640" s="79" t="n"/>
      <c r="G640" s="79" t="n"/>
      <c r="H640" s="79" t="n"/>
      <c r="I640" s="79" t="n"/>
      <c r="J640" s="79" t="n"/>
      <c r="K640" s="79" t="n"/>
      <c r="L640" s="79" t="n"/>
      <c r="M640" s="79" t="n"/>
      <c r="N640" s="79" t="n"/>
      <c r="O640" s="79" t="n"/>
      <c r="P640" s="79" t="n"/>
      <c r="Q640" s="79" t="n"/>
      <c r="R640" s="79" t="n"/>
      <c r="S640" s="79" t="n"/>
      <c r="T640" s="79" t="n"/>
      <c r="U640" s="79" t="n"/>
      <c r="V640" s="79" t="n"/>
      <c r="W640" s="79" t="n"/>
      <c r="X640" s="79" t="n"/>
      <c r="Y640" s="79" t="n"/>
      <c r="Z640" s="79" t="n"/>
    </row>
    <row r="641">
      <c r="A641" s="79" t="n"/>
      <c r="B641" s="79" t="n"/>
      <c r="C641" s="79" t="n"/>
      <c r="D641" s="79" t="n"/>
      <c r="E641" s="79" t="n"/>
      <c r="F641" s="79" t="n"/>
      <c r="G641" s="79" t="n"/>
      <c r="H641" s="79" t="n"/>
      <c r="I641" s="79" t="n"/>
      <c r="J641" s="79" t="n"/>
      <c r="K641" s="79" t="n"/>
      <c r="L641" s="79" t="n"/>
      <c r="M641" s="79" t="n"/>
      <c r="N641" s="79" t="n"/>
      <c r="O641" s="79" t="n"/>
      <c r="P641" s="79" t="n"/>
      <c r="Q641" s="79" t="n"/>
      <c r="R641" s="79" t="n"/>
      <c r="S641" s="79" t="n"/>
      <c r="T641" s="79" t="n"/>
      <c r="U641" s="79" t="n"/>
      <c r="V641" s="79" t="n"/>
      <c r="W641" s="79" t="n"/>
      <c r="X641" s="79" t="n"/>
      <c r="Y641" s="79" t="n"/>
      <c r="Z641" s="79" t="n"/>
    </row>
    <row r="642">
      <c r="A642" s="79" t="n"/>
      <c r="B642" s="79" t="n"/>
      <c r="C642" s="79" t="n"/>
      <c r="D642" s="79" t="n"/>
      <c r="E642" s="79" t="n"/>
      <c r="F642" s="79" t="n"/>
      <c r="G642" s="79" t="n"/>
      <c r="H642" s="79" t="n"/>
      <c r="I642" s="79" t="n"/>
      <c r="J642" s="79" t="n"/>
      <c r="K642" s="79" t="n"/>
      <c r="L642" s="79" t="n"/>
      <c r="M642" s="79" t="n"/>
      <c r="N642" s="79" t="n"/>
      <c r="O642" s="79" t="n"/>
      <c r="P642" s="79" t="n"/>
      <c r="Q642" s="79" t="n"/>
      <c r="R642" s="79" t="n"/>
      <c r="S642" s="79" t="n"/>
      <c r="T642" s="79" t="n"/>
      <c r="U642" s="79" t="n"/>
      <c r="V642" s="79" t="n"/>
      <c r="W642" s="79" t="n"/>
      <c r="X642" s="79" t="n"/>
      <c r="Y642" s="79" t="n"/>
      <c r="Z642" s="79" t="n"/>
    </row>
    <row r="643">
      <c r="A643" s="79" t="n"/>
      <c r="B643" s="79" t="n"/>
      <c r="C643" s="79" t="n"/>
      <c r="D643" s="79" t="n"/>
      <c r="E643" s="79" t="n"/>
      <c r="F643" s="79" t="n"/>
      <c r="G643" s="79" t="n"/>
      <c r="H643" s="79" t="n"/>
      <c r="I643" s="79" t="n"/>
      <c r="J643" s="79" t="n"/>
      <c r="K643" s="79" t="n"/>
      <c r="L643" s="79" t="n"/>
      <c r="M643" s="79" t="n"/>
      <c r="N643" s="79" t="n"/>
      <c r="O643" s="79" t="n"/>
      <c r="P643" s="79" t="n"/>
      <c r="Q643" s="79" t="n"/>
      <c r="R643" s="79" t="n"/>
      <c r="S643" s="79" t="n"/>
      <c r="T643" s="79" t="n"/>
      <c r="U643" s="79" t="n"/>
      <c r="V643" s="79" t="n"/>
      <c r="W643" s="79" t="n"/>
      <c r="X643" s="79" t="n"/>
      <c r="Y643" s="79" t="n"/>
      <c r="Z643" s="79" t="n"/>
    </row>
    <row r="644">
      <c r="A644" s="79" t="n"/>
      <c r="B644" s="79" t="n"/>
      <c r="C644" s="79" t="n"/>
      <c r="D644" s="79" t="n"/>
      <c r="E644" s="79" t="n"/>
      <c r="F644" s="79" t="n"/>
      <c r="G644" s="79" t="n"/>
      <c r="H644" s="79" t="n"/>
      <c r="I644" s="79" t="n"/>
      <c r="J644" s="79" t="n"/>
      <c r="K644" s="79" t="n"/>
      <c r="L644" s="79" t="n"/>
      <c r="M644" s="79" t="n"/>
      <c r="N644" s="79" t="n"/>
      <c r="O644" s="79" t="n"/>
      <c r="P644" s="79" t="n"/>
      <c r="Q644" s="79" t="n"/>
      <c r="R644" s="79" t="n"/>
      <c r="S644" s="79" t="n"/>
      <c r="T644" s="79" t="n"/>
      <c r="U644" s="79" t="n"/>
      <c r="V644" s="79" t="n"/>
      <c r="W644" s="79" t="n"/>
      <c r="X644" s="79" t="n"/>
      <c r="Y644" s="79" t="n"/>
      <c r="Z644" s="79" t="n"/>
    </row>
    <row r="645">
      <c r="A645" s="79" t="n"/>
      <c r="B645" s="79" t="n"/>
      <c r="C645" s="79" t="n"/>
      <c r="D645" s="79" t="n"/>
      <c r="E645" s="79" t="n"/>
      <c r="F645" s="79" t="n"/>
      <c r="G645" s="79" t="n"/>
      <c r="H645" s="79" t="n"/>
      <c r="I645" s="79" t="n"/>
      <c r="J645" s="79" t="n"/>
      <c r="K645" s="79" t="n"/>
      <c r="L645" s="79" t="n"/>
      <c r="M645" s="79" t="n"/>
      <c r="N645" s="79" t="n"/>
      <c r="O645" s="79" t="n"/>
      <c r="P645" s="79" t="n"/>
      <c r="Q645" s="79" t="n"/>
      <c r="R645" s="79" t="n"/>
      <c r="S645" s="79" t="n"/>
      <c r="T645" s="79" t="n"/>
      <c r="U645" s="79" t="n"/>
      <c r="V645" s="79" t="n"/>
      <c r="W645" s="79" t="n"/>
      <c r="X645" s="79" t="n"/>
      <c r="Y645" s="79" t="n"/>
      <c r="Z645" s="79" t="n"/>
    </row>
    <row r="646">
      <c r="A646" s="79" t="n"/>
      <c r="B646" s="79" t="n"/>
      <c r="C646" s="79" t="n"/>
      <c r="D646" s="79" t="n"/>
      <c r="E646" s="79" t="n"/>
      <c r="F646" s="79" t="n"/>
      <c r="G646" s="79" t="n"/>
      <c r="H646" s="79" t="n"/>
      <c r="I646" s="79" t="n"/>
      <c r="J646" s="79" t="n"/>
      <c r="K646" s="79" t="n"/>
      <c r="L646" s="79" t="n"/>
      <c r="M646" s="79" t="n"/>
      <c r="N646" s="79" t="n"/>
      <c r="O646" s="79" t="n"/>
      <c r="P646" s="79" t="n"/>
      <c r="Q646" s="79" t="n"/>
      <c r="R646" s="79" t="n"/>
      <c r="S646" s="79" t="n"/>
      <c r="T646" s="79" t="n"/>
      <c r="U646" s="79" t="n"/>
      <c r="V646" s="79" t="n"/>
      <c r="W646" s="79" t="n"/>
      <c r="X646" s="79" t="n"/>
      <c r="Y646" s="79" t="n"/>
      <c r="Z646" s="79" t="n"/>
    </row>
    <row r="647">
      <c r="A647" s="79" t="n"/>
      <c r="B647" s="79" t="n"/>
      <c r="C647" s="79" t="n"/>
      <c r="D647" s="79" t="n"/>
      <c r="E647" s="79" t="n"/>
      <c r="F647" s="79" t="n"/>
      <c r="G647" s="79" t="n"/>
      <c r="H647" s="79" t="n"/>
      <c r="I647" s="79" t="n"/>
      <c r="J647" s="79" t="n"/>
      <c r="K647" s="79" t="n"/>
      <c r="L647" s="79" t="n"/>
      <c r="M647" s="79" t="n"/>
      <c r="N647" s="79" t="n"/>
      <c r="O647" s="79" t="n"/>
      <c r="P647" s="79" t="n"/>
      <c r="Q647" s="79" t="n"/>
      <c r="R647" s="79" t="n"/>
      <c r="S647" s="79" t="n"/>
      <c r="T647" s="79" t="n"/>
      <c r="U647" s="79" t="n"/>
      <c r="V647" s="79" t="n"/>
      <c r="W647" s="79" t="n"/>
      <c r="X647" s="79" t="n"/>
      <c r="Y647" s="79" t="n"/>
      <c r="Z647" s="79" t="n"/>
    </row>
    <row r="648">
      <c r="A648" s="79" t="n"/>
      <c r="B648" s="79" t="n"/>
      <c r="C648" s="79" t="n"/>
      <c r="D648" s="79" t="n"/>
      <c r="E648" s="79" t="n"/>
      <c r="F648" s="79" t="n"/>
      <c r="G648" s="79" t="n"/>
      <c r="H648" s="79" t="n"/>
      <c r="I648" s="79" t="n"/>
      <c r="J648" s="79" t="n"/>
      <c r="K648" s="79" t="n"/>
      <c r="L648" s="79" t="n"/>
      <c r="M648" s="79" t="n"/>
      <c r="N648" s="79" t="n"/>
      <c r="O648" s="79" t="n"/>
      <c r="P648" s="79" t="n"/>
      <c r="Q648" s="79" t="n"/>
      <c r="R648" s="79" t="n"/>
      <c r="S648" s="79" t="n"/>
      <c r="T648" s="79" t="n"/>
      <c r="U648" s="79" t="n"/>
      <c r="V648" s="79" t="n"/>
      <c r="W648" s="79" t="n"/>
      <c r="X648" s="79" t="n"/>
      <c r="Y648" s="79" t="n"/>
      <c r="Z648" s="79" t="n"/>
    </row>
    <row r="649">
      <c r="A649" s="79" t="n"/>
      <c r="B649" s="79" t="n"/>
      <c r="C649" s="79" t="n"/>
      <c r="D649" s="79" t="n"/>
      <c r="E649" s="79" t="n"/>
      <c r="F649" s="79" t="n"/>
      <c r="G649" s="79" t="n"/>
      <c r="H649" s="79" t="n"/>
      <c r="I649" s="79" t="n"/>
      <c r="J649" s="79" t="n"/>
      <c r="K649" s="79" t="n"/>
      <c r="L649" s="79" t="n"/>
      <c r="M649" s="79" t="n"/>
      <c r="N649" s="79" t="n"/>
      <c r="O649" s="79" t="n"/>
      <c r="P649" s="79" t="n"/>
      <c r="Q649" s="79" t="n"/>
      <c r="R649" s="79" t="n"/>
      <c r="S649" s="79" t="n"/>
      <c r="T649" s="79" t="n"/>
      <c r="U649" s="79" t="n"/>
      <c r="V649" s="79" t="n"/>
      <c r="W649" s="79" t="n"/>
      <c r="X649" s="79" t="n"/>
      <c r="Y649" s="79" t="n"/>
      <c r="Z649" s="79" t="n"/>
    </row>
    <row r="650">
      <c r="A650" s="79" t="n"/>
      <c r="B650" s="79" t="n"/>
      <c r="C650" s="79" t="n"/>
      <c r="D650" s="79" t="n"/>
      <c r="E650" s="79" t="n"/>
      <c r="F650" s="79" t="n"/>
      <c r="G650" s="79" t="n"/>
      <c r="H650" s="79" t="n"/>
      <c r="I650" s="79" t="n"/>
      <c r="J650" s="79" t="n"/>
      <c r="K650" s="79" t="n"/>
      <c r="L650" s="79" t="n"/>
      <c r="M650" s="79" t="n"/>
      <c r="N650" s="79" t="n"/>
      <c r="O650" s="79" t="n"/>
      <c r="P650" s="79" t="n"/>
      <c r="Q650" s="79" t="n"/>
      <c r="R650" s="79" t="n"/>
      <c r="S650" s="79" t="n"/>
      <c r="T650" s="79" t="n"/>
      <c r="U650" s="79" t="n"/>
      <c r="V650" s="79" t="n"/>
      <c r="W650" s="79" t="n"/>
      <c r="X650" s="79" t="n"/>
      <c r="Y650" s="79" t="n"/>
      <c r="Z650" s="79" t="n"/>
    </row>
    <row r="651">
      <c r="A651" s="79" t="n"/>
      <c r="B651" s="79" t="n"/>
      <c r="C651" s="79" t="n"/>
      <c r="D651" s="79" t="n"/>
      <c r="E651" s="79" t="n"/>
      <c r="F651" s="79" t="n"/>
      <c r="G651" s="79" t="n"/>
      <c r="H651" s="79" t="n"/>
      <c r="I651" s="79" t="n"/>
      <c r="J651" s="79" t="n"/>
      <c r="K651" s="79" t="n"/>
      <c r="L651" s="79" t="n"/>
      <c r="M651" s="79" t="n"/>
      <c r="N651" s="79" t="n"/>
      <c r="O651" s="79" t="n"/>
      <c r="P651" s="79" t="n"/>
      <c r="Q651" s="79" t="n"/>
      <c r="R651" s="79" t="n"/>
      <c r="S651" s="79" t="n"/>
      <c r="T651" s="79" t="n"/>
      <c r="U651" s="79" t="n"/>
      <c r="V651" s="79" t="n"/>
      <c r="W651" s="79" t="n"/>
      <c r="X651" s="79" t="n"/>
      <c r="Y651" s="79" t="n"/>
      <c r="Z651" s="79" t="n"/>
    </row>
    <row r="652">
      <c r="A652" s="79" t="n"/>
      <c r="B652" s="79" t="n"/>
      <c r="C652" s="79" t="n"/>
      <c r="D652" s="79" t="n"/>
      <c r="E652" s="79" t="n"/>
      <c r="F652" s="79" t="n"/>
      <c r="G652" s="79" t="n"/>
      <c r="H652" s="79" t="n"/>
      <c r="I652" s="79" t="n"/>
      <c r="J652" s="79" t="n"/>
      <c r="K652" s="79" t="n"/>
      <c r="L652" s="79" t="n"/>
      <c r="M652" s="79" t="n"/>
      <c r="N652" s="79" t="n"/>
      <c r="O652" s="79" t="n"/>
      <c r="P652" s="79" t="n"/>
      <c r="Q652" s="79" t="n"/>
      <c r="R652" s="79" t="n"/>
      <c r="S652" s="79" t="n"/>
      <c r="T652" s="79" t="n"/>
      <c r="U652" s="79" t="n"/>
      <c r="V652" s="79" t="n"/>
      <c r="W652" s="79" t="n"/>
      <c r="X652" s="79" t="n"/>
      <c r="Y652" s="79" t="n"/>
      <c r="Z652" s="79" t="n"/>
    </row>
    <row r="653">
      <c r="A653" s="79" t="n"/>
      <c r="B653" s="79" t="n"/>
      <c r="C653" s="79" t="n"/>
      <c r="D653" s="79" t="n"/>
      <c r="E653" s="79" t="n"/>
      <c r="F653" s="79" t="n"/>
      <c r="G653" s="79" t="n"/>
      <c r="H653" s="79" t="n"/>
      <c r="I653" s="79" t="n"/>
      <c r="J653" s="79" t="n"/>
      <c r="K653" s="79" t="n"/>
      <c r="L653" s="79" t="n"/>
      <c r="M653" s="79" t="n"/>
      <c r="N653" s="79" t="n"/>
      <c r="O653" s="79" t="n"/>
      <c r="P653" s="79" t="n"/>
      <c r="Q653" s="79" t="n"/>
      <c r="R653" s="79" t="n"/>
      <c r="S653" s="79" t="n"/>
      <c r="T653" s="79" t="n"/>
      <c r="U653" s="79" t="n"/>
      <c r="V653" s="79" t="n"/>
      <c r="W653" s="79" t="n"/>
      <c r="X653" s="79" t="n"/>
      <c r="Y653" s="79" t="n"/>
      <c r="Z653" s="79" t="n"/>
    </row>
    <row r="654">
      <c r="A654" s="79" t="n"/>
      <c r="B654" s="79" t="n"/>
      <c r="C654" s="79" t="n"/>
      <c r="D654" s="79" t="n"/>
      <c r="E654" s="79" t="n"/>
      <c r="F654" s="79" t="n"/>
      <c r="G654" s="79" t="n"/>
      <c r="H654" s="79" t="n"/>
      <c r="I654" s="79" t="n"/>
      <c r="J654" s="79" t="n"/>
      <c r="K654" s="79" t="n"/>
      <c r="L654" s="79" t="n"/>
      <c r="M654" s="79" t="n"/>
      <c r="N654" s="79" t="n"/>
      <c r="O654" s="79" t="n"/>
      <c r="P654" s="79" t="n"/>
      <c r="Q654" s="79" t="n"/>
      <c r="R654" s="79" t="n"/>
      <c r="S654" s="79" t="n"/>
      <c r="T654" s="79" t="n"/>
      <c r="U654" s="79" t="n"/>
      <c r="V654" s="79" t="n"/>
      <c r="W654" s="79" t="n"/>
      <c r="X654" s="79" t="n"/>
      <c r="Y654" s="79" t="n"/>
      <c r="Z654" s="79" t="n"/>
    </row>
    <row r="655">
      <c r="A655" s="79" t="n"/>
      <c r="B655" s="79" t="n"/>
      <c r="C655" s="79" t="n"/>
      <c r="D655" s="79" t="n"/>
      <c r="E655" s="79" t="n"/>
      <c r="F655" s="79" t="n"/>
      <c r="G655" s="79" t="n"/>
      <c r="H655" s="79" t="n"/>
      <c r="I655" s="79" t="n"/>
      <c r="J655" s="79" t="n"/>
      <c r="K655" s="79" t="n"/>
      <c r="L655" s="79" t="n"/>
      <c r="M655" s="79" t="n"/>
      <c r="N655" s="79" t="n"/>
      <c r="O655" s="79" t="n"/>
      <c r="P655" s="79" t="n"/>
      <c r="Q655" s="79" t="n"/>
      <c r="R655" s="79" t="n"/>
      <c r="S655" s="79" t="n"/>
      <c r="T655" s="79" t="n"/>
      <c r="U655" s="79" t="n"/>
      <c r="V655" s="79" t="n"/>
      <c r="W655" s="79" t="n"/>
      <c r="X655" s="79" t="n"/>
      <c r="Y655" s="79" t="n"/>
      <c r="Z655" s="79" t="n"/>
    </row>
    <row r="656">
      <c r="A656" s="79" t="n"/>
      <c r="B656" s="79" t="n"/>
      <c r="C656" s="79" t="n"/>
      <c r="D656" s="79" t="n"/>
      <c r="E656" s="79" t="n"/>
      <c r="F656" s="79" t="n"/>
      <c r="G656" s="79" t="n"/>
      <c r="H656" s="79" t="n"/>
      <c r="I656" s="79" t="n"/>
      <c r="J656" s="79" t="n"/>
      <c r="K656" s="79" t="n"/>
      <c r="L656" s="79" t="n"/>
      <c r="M656" s="79" t="n"/>
      <c r="N656" s="79" t="n"/>
      <c r="O656" s="79" t="n"/>
      <c r="P656" s="79" t="n"/>
      <c r="Q656" s="79" t="n"/>
      <c r="R656" s="79" t="n"/>
      <c r="S656" s="79" t="n"/>
      <c r="T656" s="79" t="n"/>
      <c r="U656" s="79" t="n"/>
      <c r="V656" s="79" t="n"/>
      <c r="W656" s="79" t="n"/>
      <c r="X656" s="79" t="n"/>
      <c r="Y656" s="79" t="n"/>
      <c r="Z656" s="79" t="n"/>
    </row>
    <row r="657">
      <c r="A657" s="79" t="n"/>
      <c r="B657" s="79" t="n"/>
      <c r="C657" s="79" t="n"/>
      <c r="D657" s="79" t="n"/>
      <c r="E657" s="79" t="n"/>
      <c r="F657" s="79" t="n"/>
      <c r="G657" s="79" t="n"/>
      <c r="H657" s="79" t="n"/>
      <c r="I657" s="79" t="n"/>
      <c r="J657" s="79" t="n"/>
      <c r="K657" s="79" t="n"/>
      <c r="L657" s="79" t="n"/>
      <c r="M657" s="79" t="n"/>
      <c r="N657" s="79" t="n"/>
      <c r="O657" s="79" t="n"/>
      <c r="P657" s="79" t="n"/>
      <c r="Q657" s="79" t="n"/>
      <c r="R657" s="79" t="n"/>
      <c r="S657" s="79" t="n"/>
      <c r="T657" s="79" t="n"/>
      <c r="U657" s="79" t="n"/>
      <c r="V657" s="79" t="n"/>
      <c r="W657" s="79" t="n"/>
      <c r="X657" s="79" t="n"/>
      <c r="Y657" s="79" t="n"/>
      <c r="Z657" s="79" t="n"/>
    </row>
    <row r="658">
      <c r="A658" s="79" t="n"/>
      <c r="B658" s="79" t="n"/>
      <c r="C658" s="79" t="n"/>
      <c r="D658" s="79" t="n"/>
      <c r="E658" s="79" t="n"/>
      <c r="F658" s="79" t="n"/>
      <c r="G658" s="79" t="n"/>
      <c r="H658" s="79" t="n"/>
      <c r="I658" s="79" t="n"/>
      <c r="J658" s="79" t="n"/>
      <c r="K658" s="79" t="n"/>
      <c r="L658" s="79" t="n"/>
      <c r="M658" s="79" t="n"/>
      <c r="N658" s="79" t="n"/>
      <c r="O658" s="79" t="n"/>
      <c r="P658" s="79" t="n"/>
      <c r="Q658" s="79" t="n"/>
      <c r="R658" s="79" t="n"/>
      <c r="S658" s="79" t="n"/>
      <c r="T658" s="79" t="n"/>
      <c r="U658" s="79" t="n"/>
      <c r="V658" s="79" t="n"/>
      <c r="W658" s="79" t="n"/>
      <c r="X658" s="79" t="n"/>
      <c r="Y658" s="79" t="n"/>
      <c r="Z658" s="79" t="n"/>
    </row>
    <row r="659">
      <c r="A659" s="79" t="n"/>
      <c r="B659" s="79" t="n"/>
      <c r="C659" s="79" t="n"/>
      <c r="D659" s="79" t="n"/>
      <c r="E659" s="79" t="n"/>
      <c r="F659" s="79" t="n"/>
      <c r="G659" s="79" t="n"/>
      <c r="H659" s="79" t="n"/>
      <c r="I659" s="79" t="n"/>
      <c r="J659" s="79" t="n"/>
      <c r="K659" s="79" t="n"/>
      <c r="L659" s="79" t="n"/>
      <c r="M659" s="79" t="n"/>
      <c r="N659" s="79" t="n"/>
      <c r="O659" s="79" t="n"/>
      <c r="P659" s="79" t="n"/>
      <c r="Q659" s="79" t="n"/>
      <c r="R659" s="79" t="n"/>
      <c r="S659" s="79" t="n"/>
      <c r="T659" s="79" t="n"/>
      <c r="U659" s="79" t="n"/>
      <c r="V659" s="79" t="n"/>
      <c r="W659" s="79" t="n"/>
      <c r="X659" s="79" t="n"/>
      <c r="Y659" s="79" t="n"/>
      <c r="Z659" s="79" t="n"/>
    </row>
    <row r="660">
      <c r="A660" s="79" t="n"/>
      <c r="B660" s="79" t="n"/>
      <c r="C660" s="79" t="n"/>
      <c r="D660" s="79" t="n"/>
      <c r="E660" s="79" t="n"/>
      <c r="F660" s="79" t="n"/>
      <c r="G660" s="79" t="n"/>
      <c r="H660" s="79" t="n"/>
      <c r="I660" s="79" t="n"/>
      <c r="J660" s="79" t="n"/>
      <c r="K660" s="79" t="n"/>
      <c r="L660" s="79" t="n"/>
      <c r="M660" s="79" t="n"/>
      <c r="N660" s="79" t="n"/>
      <c r="O660" s="79" t="n"/>
      <c r="P660" s="79" t="n"/>
      <c r="Q660" s="79" t="n"/>
      <c r="R660" s="79" t="n"/>
      <c r="S660" s="79" t="n"/>
      <c r="T660" s="79" t="n"/>
      <c r="U660" s="79" t="n"/>
      <c r="V660" s="79" t="n"/>
      <c r="W660" s="79" t="n"/>
      <c r="X660" s="79" t="n"/>
      <c r="Y660" s="79" t="n"/>
      <c r="Z660" s="79" t="n"/>
    </row>
    <row r="661">
      <c r="A661" s="79" t="n"/>
      <c r="B661" s="79" t="n"/>
      <c r="C661" s="79" t="n"/>
      <c r="D661" s="79" t="n"/>
      <c r="E661" s="79" t="n"/>
      <c r="F661" s="79" t="n"/>
      <c r="G661" s="79" t="n"/>
      <c r="H661" s="79" t="n"/>
      <c r="I661" s="79" t="n"/>
      <c r="J661" s="79" t="n"/>
      <c r="K661" s="79" t="n"/>
      <c r="L661" s="79" t="n"/>
      <c r="M661" s="79" t="n"/>
      <c r="N661" s="79" t="n"/>
      <c r="O661" s="79" t="n"/>
      <c r="P661" s="79" t="n"/>
      <c r="Q661" s="79" t="n"/>
      <c r="R661" s="79" t="n"/>
      <c r="S661" s="79" t="n"/>
      <c r="T661" s="79" t="n"/>
      <c r="U661" s="79" t="n"/>
      <c r="V661" s="79" t="n"/>
      <c r="W661" s="79" t="n"/>
      <c r="X661" s="79" t="n"/>
      <c r="Y661" s="79" t="n"/>
      <c r="Z661" s="79" t="n"/>
    </row>
    <row r="662">
      <c r="A662" s="79" t="n"/>
      <c r="B662" s="79" t="n"/>
      <c r="C662" s="79" t="n"/>
      <c r="D662" s="79" t="n"/>
      <c r="E662" s="79" t="n"/>
      <c r="F662" s="79" t="n"/>
      <c r="G662" s="79" t="n"/>
      <c r="H662" s="79" t="n"/>
      <c r="I662" s="79" t="n"/>
      <c r="J662" s="79" t="n"/>
      <c r="K662" s="79" t="n"/>
      <c r="L662" s="79" t="n"/>
      <c r="M662" s="79" t="n"/>
      <c r="N662" s="79" t="n"/>
      <c r="O662" s="79" t="n"/>
      <c r="P662" s="79" t="n"/>
      <c r="Q662" s="79" t="n"/>
      <c r="R662" s="79" t="n"/>
      <c r="S662" s="79" t="n"/>
      <c r="T662" s="79" t="n"/>
      <c r="U662" s="79" t="n"/>
      <c r="V662" s="79" t="n"/>
      <c r="W662" s="79" t="n"/>
      <c r="X662" s="79" t="n"/>
      <c r="Y662" s="79" t="n"/>
      <c r="Z662" s="79" t="n"/>
    </row>
    <row r="663">
      <c r="A663" s="79" t="n"/>
      <c r="B663" s="79" t="n"/>
      <c r="C663" s="79" t="n"/>
      <c r="D663" s="79" t="n"/>
      <c r="E663" s="79" t="n"/>
      <c r="F663" s="79" t="n"/>
      <c r="G663" s="79" t="n"/>
      <c r="H663" s="79" t="n"/>
      <c r="I663" s="79" t="n"/>
      <c r="J663" s="79" t="n"/>
      <c r="K663" s="79" t="n"/>
      <c r="L663" s="79" t="n"/>
      <c r="M663" s="79" t="n"/>
      <c r="N663" s="79" t="n"/>
      <c r="O663" s="79" t="n"/>
      <c r="P663" s="79" t="n"/>
      <c r="Q663" s="79" t="n"/>
      <c r="R663" s="79" t="n"/>
      <c r="S663" s="79" t="n"/>
      <c r="T663" s="79" t="n"/>
      <c r="U663" s="79" t="n"/>
      <c r="V663" s="79" t="n"/>
      <c r="W663" s="79" t="n"/>
      <c r="X663" s="79" t="n"/>
      <c r="Y663" s="79" t="n"/>
      <c r="Z663" s="79" t="n"/>
    </row>
    <row r="664">
      <c r="A664" s="79" t="n"/>
      <c r="B664" s="79" t="n"/>
      <c r="C664" s="79" t="n"/>
      <c r="D664" s="79" t="n"/>
      <c r="E664" s="79" t="n"/>
      <c r="F664" s="79" t="n"/>
      <c r="G664" s="79" t="n"/>
      <c r="H664" s="79" t="n"/>
      <c r="I664" s="79" t="n"/>
      <c r="J664" s="79" t="n"/>
      <c r="K664" s="79" t="n"/>
      <c r="L664" s="79" t="n"/>
      <c r="M664" s="79" t="n"/>
      <c r="N664" s="79" t="n"/>
      <c r="O664" s="79" t="n"/>
      <c r="P664" s="79" t="n"/>
      <c r="Q664" s="79" t="n"/>
      <c r="R664" s="79" t="n"/>
      <c r="S664" s="79" t="n"/>
      <c r="T664" s="79" t="n"/>
      <c r="U664" s="79" t="n"/>
      <c r="V664" s="79" t="n"/>
      <c r="W664" s="79" t="n"/>
      <c r="X664" s="79" t="n"/>
      <c r="Y664" s="79" t="n"/>
      <c r="Z664" s="79" t="n"/>
    </row>
    <row r="665">
      <c r="A665" s="79" t="n"/>
      <c r="B665" s="79" t="n"/>
      <c r="C665" s="79" t="n"/>
      <c r="D665" s="79" t="n"/>
      <c r="E665" s="79" t="n"/>
      <c r="F665" s="79" t="n"/>
      <c r="G665" s="79" t="n"/>
      <c r="H665" s="79" t="n"/>
      <c r="I665" s="79" t="n"/>
      <c r="J665" s="79" t="n"/>
      <c r="K665" s="79" t="n"/>
      <c r="L665" s="79" t="n"/>
      <c r="M665" s="79" t="n"/>
      <c r="N665" s="79" t="n"/>
      <c r="O665" s="79" t="n"/>
      <c r="P665" s="79" t="n"/>
      <c r="Q665" s="79" t="n"/>
      <c r="R665" s="79" t="n"/>
      <c r="S665" s="79" t="n"/>
      <c r="T665" s="79" t="n"/>
      <c r="U665" s="79" t="n"/>
      <c r="V665" s="79" t="n"/>
      <c r="W665" s="79" t="n"/>
      <c r="X665" s="79" t="n"/>
      <c r="Y665" s="79" t="n"/>
      <c r="Z665" s="79" t="n"/>
    </row>
    <row r="666">
      <c r="A666" s="79" t="n"/>
      <c r="B666" s="79" t="n"/>
      <c r="C666" s="79" t="n"/>
      <c r="D666" s="79" t="n"/>
      <c r="E666" s="79" t="n"/>
      <c r="F666" s="79" t="n"/>
      <c r="G666" s="79" t="n"/>
      <c r="H666" s="79" t="n"/>
      <c r="I666" s="79" t="n"/>
      <c r="J666" s="79" t="n"/>
      <c r="K666" s="79" t="n"/>
      <c r="L666" s="79" t="n"/>
      <c r="M666" s="79" t="n"/>
      <c r="N666" s="79" t="n"/>
      <c r="O666" s="79" t="n"/>
      <c r="P666" s="79" t="n"/>
      <c r="Q666" s="79" t="n"/>
      <c r="R666" s="79" t="n"/>
      <c r="S666" s="79" t="n"/>
      <c r="T666" s="79" t="n"/>
      <c r="U666" s="79" t="n"/>
      <c r="V666" s="79" t="n"/>
      <c r="W666" s="79" t="n"/>
      <c r="X666" s="79" t="n"/>
      <c r="Y666" s="79" t="n"/>
      <c r="Z666" s="79" t="n"/>
    </row>
    <row r="667">
      <c r="A667" s="79" t="n"/>
      <c r="B667" s="79" t="n"/>
      <c r="C667" s="79" t="n"/>
      <c r="D667" s="79" t="n"/>
      <c r="E667" s="79" t="n"/>
      <c r="F667" s="79" t="n"/>
      <c r="G667" s="79" t="n"/>
      <c r="H667" s="79" t="n"/>
      <c r="I667" s="79" t="n"/>
      <c r="J667" s="79" t="n"/>
      <c r="K667" s="79" t="n"/>
      <c r="L667" s="79" t="n"/>
      <c r="M667" s="79" t="n"/>
      <c r="N667" s="79" t="n"/>
      <c r="O667" s="79" t="n"/>
      <c r="P667" s="79" t="n"/>
      <c r="Q667" s="79" t="n"/>
      <c r="R667" s="79" t="n"/>
      <c r="S667" s="79" t="n"/>
      <c r="T667" s="79" t="n"/>
      <c r="U667" s="79" t="n"/>
      <c r="V667" s="79" t="n"/>
      <c r="W667" s="79" t="n"/>
      <c r="X667" s="79" t="n"/>
      <c r="Y667" s="79" t="n"/>
      <c r="Z667" s="79" t="n"/>
    </row>
    <row r="668">
      <c r="A668" s="79" t="n"/>
      <c r="B668" s="79" t="n"/>
      <c r="C668" s="79" t="n"/>
      <c r="D668" s="79" t="n"/>
      <c r="E668" s="79" t="n"/>
      <c r="F668" s="79" t="n"/>
      <c r="G668" s="79" t="n"/>
      <c r="H668" s="79" t="n"/>
      <c r="I668" s="79" t="n"/>
      <c r="J668" s="79" t="n"/>
      <c r="K668" s="79" t="n"/>
      <c r="L668" s="79" t="n"/>
      <c r="M668" s="79" t="n"/>
      <c r="N668" s="79" t="n"/>
      <c r="O668" s="79" t="n"/>
      <c r="P668" s="79" t="n"/>
      <c r="Q668" s="79" t="n"/>
      <c r="R668" s="79" t="n"/>
      <c r="S668" s="79" t="n"/>
      <c r="T668" s="79" t="n"/>
      <c r="U668" s="79" t="n"/>
      <c r="V668" s="79" t="n"/>
      <c r="W668" s="79" t="n"/>
      <c r="X668" s="79" t="n"/>
      <c r="Y668" s="79" t="n"/>
      <c r="Z668" s="79" t="n"/>
    </row>
    <row r="669">
      <c r="A669" s="79" t="n"/>
      <c r="B669" s="79" t="n"/>
      <c r="C669" s="79" t="n"/>
      <c r="D669" s="79" t="n"/>
      <c r="E669" s="79" t="n"/>
      <c r="F669" s="79" t="n"/>
      <c r="G669" s="79" t="n"/>
      <c r="H669" s="79" t="n"/>
      <c r="I669" s="79" t="n"/>
      <c r="J669" s="79" t="n"/>
      <c r="K669" s="79" t="n"/>
      <c r="L669" s="79" t="n"/>
      <c r="M669" s="79" t="n"/>
      <c r="N669" s="79" t="n"/>
      <c r="O669" s="79" t="n"/>
      <c r="P669" s="79" t="n"/>
      <c r="Q669" s="79" t="n"/>
      <c r="R669" s="79" t="n"/>
      <c r="S669" s="79" t="n"/>
      <c r="T669" s="79" t="n"/>
      <c r="U669" s="79" t="n"/>
      <c r="V669" s="79" t="n"/>
      <c r="W669" s="79" t="n"/>
      <c r="X669" s="79" t="n"/>
      <c r="Y669" s="79" t="n"/>
      <c r="Z669" s="79" t="n"/>
    </row>
    <row r="670">
      <c r="A670" s="79" t="n"/>
      <c r="B670" s="79" t="n"/>
      <c r="C670" s="79" t="n"/>
      <c r="D670" s="79" t="n"/>
      <c r="E670" s="79" t="n"/>
      <c r="F670" s="79" t="n"/>
      <c r="G670" s="79" t="n"/>
      <c r="H670" s="79" t="n"/>
      <c r="I670" s="79" t="n"/>
      <c r="J670" s="79" t="n"/>
      <c r="K670" s="79" t="n"/>
      <c r="L670" s="79" t="n"/>
      <c r="M670" s="79" t="n"/>
      <c r="N670" s="79" t="n"/>
      <c r="O670" s="79" t="n"/>
      <c r="P670" s="79" t="n"/>
      <c r="Q670" s="79" t="n"/>
      <c r="R670" s="79" t="n"/>
      <c r="S670" s="79" t="n"/>
      <c r="T670" s="79" t="n"/>
      <c r="U670" s="79" t="n"/>
      <c r="V670" s="79" t="n"/>
      <c r="W670" s="79" t="n"/>
      <c r="X670" s="79" t="n"/>
      <c r="Y670" s="79" t="n"/>
      <c r="Z670" s="79" t="n"/>
    </row>
    <row r="671">
      <c r="A671" s="79" t="n"/>
      <c r="B671" s="79" t="n"/>
      <c r="C671" s="79" t="n"/>
      <c r="D671" s="79" t="n"/>
      <c r="E671" s="79" t="n"/>
      <c r="F671" s="79" t="n"/>
      <c r="G671" s="79" t="n"/>
      <c r="H671" s="79" t="n"/>
      <c r="I671" s="79" t="n"/>
      <c r="J671" s="79" t="n"/>
      <c r="K671" s="79" t="n"/>
      <c r="L671" s="79" t="n"/>
      <c r="M671" s="79" t="n"/>
      <c r="N671" s="79" t="n"/>
      <c r="O671" s="79" t="n"/>
      <c r="P671" s="79" t="n"/>
      <c r="Q671" s="79" t="n"/>
      <c r="R671" s="79" t="n"/>
      <c r="S671" s="79" t="n"/>
      <c r="T671" s="79" t="n"/>
      <c r="U671" s="79" t="n"/>
      <c r="V671" s="79" t="n"/>
      <c r="W671" s="79" t="n"/>
      <c r="X671" s="79" t="n"/>
      <c r="Y671" s="79" t="n"/>
      <c r="Z671" s="79" t="n"/>
    </row>
    <row r="672">
      <c r="A672" s="79" t="n"/>
      <c r="B672" s="79" t="n"/>
      <c r="C672" s="79" t="n"/>
      <c r="D672" s="79" t="n"/>
      <c r="E672" s="79" t="n"/>
      <c r="F672" s="79" t="n"/>
      <c r="G672" s="79" t="n"/>
      <c r="H672" s="79" t="n"/>
      <c r="I672" s="79" t="n"/>
      <c r="J672" s="79" t="n"/>
      <c r="K672" s="79" t="n"/>
      <c r="L672" s="79" t="n"/>
      <c r="M672" s="79" t="n"/>
      <c r="N672" s="79" t="n"/>
      <c r="O672" s="79" t="n"/>
      <c r="P672" s="79" t="n"/>
      <c r="Q672" s="79" t="n"/>
      <c r="R672" s="79" t="n"/>
      <c r="S672" s="79" t="n"/>
      <c r="T672" s="79" t="n"/>
      <c r="U672" s="79" t="n"/>
      <c r="V672" s="79" t="n"/>
      <c r="W672" s="79" t="n"/>
      <c r="X672" s="79" t="n"/>
      <c r="Y672" s="79" t="n"/>
      <c r="Z672" s="79" t="n"/>
    </row>
    <row r="673">
      <c r="A673" s="79" t="n"/>
      <c r="B673" s="79" t="n"/>
      <c r="C673" s="79" t="n"/>
      <c r="D673" s="79" t="n"/>
      <c r="E673" s="79" t="n"/>
      <c r="F673" s="79" t="n"/>
      <c r="G673" s="79" t="n"/>
      <c r="H673" s="79" t="n"/>
      <c r="I673" s="79" t="n"/>
      <c r="J673" s="79" t="n"/>
      <c r="K673" s="79" t="n"/>
      <c r="L673" s="79" t="n"/>
      <c r="M673" s="79" t="n"/>
      <c r="N673" s="79" t="n"/>
      <c r="O673" s="79" t="n"/>
      <c r="P673" s="79" t="n"/>
      <c r="Q673" s="79" t="n"/>
      <c r="R673" s="79" t="n"/>
      <c r="S673" s="79" t="n"/>
      <c r="T673" s="79" t="n"/>
      <c r="U673" s="79" t="n"/>
      <c r="V673" s="79" t="n"/>
      <c r="W673" s="79" t="n"/>
      <c r="X673" s="79" t="n"/>
      <c r="Y673" s="79" t="n"/>
      <c r="Z673" s="79" t="n"/>
    </row>
    <row r="674">
      <c r="A674" s="79" t="n"/>
      <c r="B674" s="79" t="n"/>
      <c r="C674" s="79" t="n"/>
      <c r="D674" s="79" t="n"/>
      <c r="E674" s="79" t="n"/>
      <c r="F674" s="79" t="n"/>
      <c r="G674" s="79" t="n"/>
      <c r="H674" s="79" t="n"/>
      <c r="I674" s="79" t="n"/>
      <c r="J674" s="79" t="n"/>
      <c r="K674" s="79" t="n"/>
      <c r="L674" s="79" t="n"/>
      <c r="M674" s="79" t="n"/>
      <c r="N674" s="79" t="n"/>
      <c r="O674" s="79" t="n"/>
      <c r="P674" s="79" t="n"/>
      <c r="Q674" s="79" t="n"/>
      <c r="R674" s="79" t="n"/>
      <c r="S674" s="79" t="n"/>
      <c r="T674" s="79" t="n"/>
      <c r="U674" s="79" t="n"/>
      <c r="V674" s="79" t="n"/>
      <c r="W674" s="79" t="n"/>
      <c r="X674" s="79" t="n"/>
      <c r="Y674" s="79" t="n"/>
      <c r="Z674" s="79" t="n"/>
    </row>
    <row r="675">
      <c r="A675" s="79" t="n"/>
      <c r="B675" s="79" t="n"/>
      <c r="C675" s="79" t="n"/>
      <c r="D675" s="79" t="n"/>
      <c r="E675" s="79" t="n"/>
      <c r="F675" s="79" t="n"/>
      <c r="G675" s="79" t="n"/>
      <c r="H675" s="79" t="n"/>
      <c r="I675" s="79" t="n"/>
      <c r="J675" s="79" t="n"/>
      <c r="K675" s="79" t="n"/>
      <c r="L675" s="79" t="n"/>
      <c r="M675" s="79" t="n"/>
      <c r="N675" s="79" t="n"/>
      <c r="O675" s="79" t="n"/>
      <c r="P675" s="79" t="n"/>
      <c r="Q675" s="79" t="n"/>
      <c r="R675" s="79" t="n"/>
      <c r="S675" s="79" t="n"/>
      <c r="T675" s="79" t="n"/>
      <c r="U675" s="79" t="n"/>
      <c r="V675" s="79" t="n"/>
      <c r="W675" s="79" t="n"/>
      <c r="X675" s="79" t="n"/>
      <c r="Y675" s="79" t="n"/>
      <c r="Z675" s="79" t="n"/>
    </row>
    <row r="676">
      <c r="A676" s="79" t="n"/>
      <c r="B676" s="79" t="n"/>
      <c r="C676" s="79" t="n"/>
      <c r="D676" s="79" t="n"/>
      <c r="E676" s="79" t="n"/>
      <c r="F676" s="79" t="n"/>
      <c r="G676" s="79" t="n"/>
      <c r="H676" s="79" t="n"/>
      <c r="I676" s="79" t="n"/>
      <c r="J676" s="79" t="n"/>
      <c r="K676" s="79" t="n"/>
      <c r="L676" s="79" t="n"/>
      <c r="M676" s="79" t="n"/>
      <c r="N676" s="79" t="n"/>
      <c r="O676" s="79" t="n"/>
      <c r="P676" s="79" t="n"/>
      <c r="Q676" s="79" t="n"/>
      <c r="R676" s="79" t="n"/>
      <c r="S676" s="79" t="n"/>
      <c r="T676" s="79" t="n"/>
      <c r="U676" s="79" t="n"/>
      <c r="V676" s="79" t="n"/>
      <c r="W676" s="79" t="n"/>
      <c r="X676" s="79" t="n"/>
      <c r="Y676" s="79" t="n"/>
      <c r="Z676" s="79" t="n"/>
    </row>
    <row r="677">
      <c r="A677" s="79" t="n"/>
      <c r="B677" s="79" t="n"/>
      <c r="C677" s="79" t="n"/>
      <c r="D677" s="79" t="n"/>
      <c r="E677" s="79" t="n"/>
      <c r="F677" s="79" t="n"/>
      <c r="G677" s="79" t="n"/>
      <c r="H677" s="79" t="n"/>
      <c r="I677" s="79" t="n"/>
      <c r="J677" s="79" t="n"/>
      <c r="K677" s="79" t="n"/>
      <c r="L677" s="79" t="n"/>
      <c r="M677" s="79" t="n"/>
      <c r="N677" s="79" t="n"/>
      <c r="O677" s="79" t="n"/>
      <c r="P677" s="79" t="n"/>
      <c r="Q677" s="79" t="n"/>
      <c r="R677" s="79" t="n"/>
      <c r="S677" s="79" t="n"/>
      <c r="T677" s="79" t="n"/>
      <c r="U677" s="79" t="n"/>
      <c r="V677" s="79" t="n"/>
      <c r="W677" s="79" t="n"/>
      <c r="X677" s="79" t="n"/>
      <c r="Y677" s="79" t="n"/>
      <c r="Z677" s="79" t="n"/>
    </row>
    <row r="678">
      <c r="A678" s="79" t="n"/>
      <c r="B678" s="79" t="n"/>
      <c r="C678" s="79" t="n"/>
      <c r="D678" s="79" t="n"/>
      <c r="E678" s="79" t="n"/>
      <c r="F678" s="79" t="n"/>
      <c r="G678" s="79" t="n"/>
      <c r="H678" s="79" t="n"/>
      <c r="I678" s="79" t="n"/>
      <c r="J678" s="79" t="n"/>
      <c r="K678" s="79" t="n"/>
      <c r="L678" s="79" t="n"/>
      <c r="M678" s="79" t="n"/>
      <c r="N678" s="79" t="n"/>
      <c r="O678" s="79" t="n"/>
      <c r="P678" s="79" t="n"/>
      <c r="Q678" s="79" t="n"/>
      <c r="R678" s="79" t="n"/>
      <c r="S678" s="79" t="n"/>
      <c r="T678" s="79" t="n"/>
      <c r="U678" s="79" t="n"/>
      <c r="V678" s="79" t="n"/>
      <c r="W678" s="79" t="n"/>
      <c r="X678" s="79" t="n"/>
      <c r="Y678" s="79" t="n"/>
      <c r="Z678" s="79" t="n"/>
    </row>
    <row r="679">
      <c r="A679" s="79" t="n"/>
      <c r="B679" s="79" t="n"/>
      <c r="C679" s="79" t="n"/>
      <c r="D679" s="79" t="n"/>
      <c r="E679" s="79" t="n"/>
      <c r="F679" s="79" t="n"/>
      <c r="G679" s="79" t="n"/>
      <c r="H679" s="79" t="n"/>
      <c r="I679" s="79" t="n"/>
      <c r="J679" s="79" t="n"/>
      <c r="K679" s="79" t="n"/>
      <c r="L679" s="79" t="n"/>
      <c r="M679" s="79" t="n"/>
      <c r="N679" s="79" t="n"/>
      <c r="O679" s="79" t="n"/>
      <c r="P679" s="79" t="n"/>
      <c r="Q679" s="79" t="n"/>
      <c r="R679" s="79" t="n"/>
      <c r="S679" s="79" t="n"/>
      <c r="T679" s="79" t="n"/>
      <c r="U679" s="79" t="n"/>
      <c r="V679" s="79" t="n"/>
      <c r="W679" s="79" t="n"/>
      <c r="X679" s="79" t="n"/>
      <c r="Y679" s="79" t="n"/>
      <c r="Z679" s="79" t="n"/>
    </row>
    <row r="680">
      <c r="A680" s="79" t="n"/>
      <c r="B680" s="79" t="n"/>
      <c r="C680" s="79" t="n"/>
      <c r="D680" s="79" t="n"/>
      <c r="E680" s="79" t="n"/>
      <c r="F680" s="79" t="n"/>
      <c r="G680" s="79" t="n"/>
      <c r="H680" s="79" t="n"/>
      <c r="I680" s="79" t="n"/>
      <c r="J680" s="79" t="n"/>
      <c r="K680" s="79" t="n"/>
      <c r="L680" s="79" t="n"/>
      <c r="M680" s="79" t="n"/>
      <c r="N680" s="79" t="n"/>
      <c r="O680" s="79" t="n"/>
      <c r="P680" s="79" t="n"/>
      <c r="Q680" s="79" t="n"/>
      <c r="R680" s="79" t="n"/>
      <c r="S680" s="79" t="n"/>
      <c r="T680" s="79" t="n"/>
      <c r="U680" s="79" t="n"/>
      <c r="V680" s="79" t="n"/>
      <c r="W680" s="79" t="n"/>
      <c r="X680" s="79" t="n"/>
      <c r="Y680" s="79" t="n"/>
      <c r="Z680" s="79" t="n"/>
    </row>
    <row r="681">
      <c r="A681" s="79" t="n"/>
      <c r="B681" s="79" t="n"/>
      <c r="C681" s="79" t="n"/>
      <c r="D681" s="79" t="n"/>
      <c r="E681" s="79" t="n"/>
      <c r="F681" s="79" t="n"/>
      <c r="G681" s="79" t="n"/>
      <c r="H681" s="79" t="n"/>
      <c r="I681" s="79" t="n"/>
      <c r="J681" s="79" t="n"/>
      <c r="K681" s="79" t="n"/>
      <c r="L681" s="79" t="n"/>
      <c r="M681" s="79" t="n"/>
      <c r="N681" s="79" t="n"/>
      <c r="O681" s="79" t="n"/>
      <c r="P681" s="79" t="n"/>
      <c r="Q681" s="79" t="n"/>
      <c r="R681" s="79" t="n"/>
      <c r="S681" s="79" t="n"/>
      <c r="T681" s="79" t="n"/>
      <c r="U681" s="79" t="n"/>
      <c r="V681" s="79" t="n"/>
      <c r="W681" s="79" t="n"/>
      <c r="X681" s="79" t="n"/>
      <c r="Y681" s="79" t="n"/>
      <c r="Z681" s="79" t="n"/>
    </row>
    <row r="682">
      <c r="A682" s="79" t="n"/>
      <c r="B682" s="79" t="n"/>
      <c r="C682" s="79" t="n"/>
      <c r="D682" s="79" t="n"/>
      <c r="E682" s="79" t="n"/>
      <c r="F682" s="79" t="n"/>
      <c r="G682" s="79" t="n"/>
      <c r="H682" s="79" t="n"/>
      <c r="I682" s="79" t="n"/>
      <c r="J682" s="79" t="n"/>
      <c r="K682" s="79" t="n"/>
      <c r="L682" s="79" t="n"/>
      <c r="M682" s="79" t="n"/>
      <c r="N682" s="79" t="n"/>
      <c r="O682" s="79" t="n"/>
      <c r="P682" s="79" t="n"/>
      <c r="Q682" s="79" t="n"/>
      <c r="R682" s="79" t="n"/>
      <c r="S682" s="79" t="n"/>
      <c r="T682" s="79" t="n"/>
      <c r="U682" s="79" t="n"/>
      <c r="V682" s="79" t="n"/>
      <c r="W682" s="79" t="n"/>
      <c r="X682" s="79" t="n"/>
      <c r="Y682" s="79" t="n"/>
      <c r="Z682" s="79" t="n"/>
    </row>
    <row r="683">
      <c r="A683" s="79" t="n"/>
      <c r="B683" s="79" t="n"/>
      <c r="C683" s="79" t="n"/>
      <c r="D683" s="79" t="n"/>
      <c r="E683" s="79" t="n"/>
      <c r="F683" s="79" t="n"/>
      <c r="G683" s="79" t="n"/>
      <c r="H683" s="79" t="n"/>
      <c r="I683" s="79" t="n"/>
      <c r="J683" s="79" t="n"/>
      <c r="K683" s="79" t="n"/>
      <c r="L683" s="79" t="n"/>
      <c r="M683" s="79" t="n"/>
      <c r="N683" s="79" t="n"/>
      <c r="O683" s="79" t="n"/>
      <c r="P683" s="79" t="n"/>
      <c r="Q683" s="79" t="n"/>
      <c r="R683" s="79" t="n"/>
      <c r="S683" s="79" t="n"/>
      <c r="T683" s="79" t="n"/>
      <c r="U683" s="79" t="n"/>
      <c r="V683" s="79" t="n"/>
      <c r="W683" s="79" t="n"/>
      <c r="X683" s="79" t="n"/>
      <c r="Y683" s="79" t="n"/>
      <c r="Z683" s="79" t="n"/>
    </row>
    <row r="684">
      <c r="A684" s="79" t="n"/>
      <c r="B684" s="79" t="n"/>
      <c r="C684" s="79" t="n"/>
      <c r="D684" s="79" t="n"/>
      <c r="E684" s="79" t="n"/>
      <c r="F684" s="79" t="n"/>
      <c r="G684" s="79" t="n"/>
      <c r="H684" s="79" t="n"/>
      <c r="I684" s="79" t="n"/>
      <c r="J684" s="79" t="n"/>
      <c r="K684" s="79" t="n"/>
      <c r="L684" s="79" t="n"/>
      <c r="M684" s="79" t="n"/>
      <c r="N684" s="79" t="n"/>
      <c r="O684" s="79" t="n"/>
      <c r="P684" s="79" t="n"/>
      <c r="Q684" s="79" t="n"/>
      <c r="R684" s="79" t="n"/>
      <c r="S684" s="79" t="n"/>
      <c r="T684" s="79" t="n"/>
      <c r="U684" s="79" t="n"/>
      <c r="V684" s="79" t="n"/>
      <c r="W684" s="79" t="n"/>
      <c r="X684" s="79" t="n"/>
      <c r="Y684" s="79" t="n"/>
      <c r="Z684" s="79" t="n"/>
    </row>
    <row r="685">
      <c r="A685" s="79" t="n"/>
      <c r="B685" s="79" t="n"/>
      <c r="C685" s="79" t="n"/>
      <c r="D685" s="79" t="n"/>
      <c r="E685" s="79" t="n"/>
      <c r="F685" s="79" t="n"/>
      <c r="G685" s="79" t="n"/>
      <c r="H685" s="79" t="n"/>
      <c r="I685" s="79" t="n"/>
      <c r="J685" s="79" t="n"/>
      <c r="K685" s="79" t="n"/>
      <c r="L685" s="79" t="n"/>
      <c r="M685" s="79" t="n"/>
      <c r="N685" s="79" t="n"/>
      <c r="O685" s="79" t="n"/>
      <c r="P685" s="79" t="n"/>
      <c r="Q685" s="79" t="n"/>
      <c r="R685" s="79" t="n"/>
      <c r="S685" s="79" t="n"/>
      <c r="T685" s="79" t="n"/>
      <c r="U685" s="79" t="n"/>
      <c r="V685" s="79" t="n"/>
      <c r="W685" s="79" t="n"/>
      <c r="X685" s="79" t="n"/>
      <c r="Y685" s="79" t="n"/>
      <c r="Z685" s="79" t="n"/>
    </row>
    <row r="686">
      <c r="A686" s="79" t="n"/>
      <c r="B686" s="79" t="n"/>
      <c r="C686" s="79" t="n"/>
      <c r="D686" s="79" t="n"/>
      <c r="E686" s="79" t="n"/>
      <c r="F686" s="79" t="n"/>
      <c r="G686" s="79" t="n"/>
      <c r="H686" s="79" t="n"/>
      <c r="I686" s="79" t="n"/>
      <c r="J686" s="79" t="n"/>
      <c r="K686" s="79" t="n"/>
      <c r="L686" s="79" t="n"/>
      <c r="M686" s="79" t="n"/>
      <c r="N686" s="79" t="n"/>
      <c r="O686" s="79" t="n"/>
      <c r="P686" s="79" t="n"/>
      <c r="Q686" s="79" t="n"/>
      <c r="R686" s="79" t="n"/>
      <c r="S686" s="79" t="n"/>
      <c r="T686" s="79" t="n"/>
      <c r="U686" s="79" t="n"/>
      <c r="V686" s="79" t="n"/>
      <c r="W686" s="79" t="n"/>
      <c r="X686" s="79" t="n"/>
      <c r="Y686" s="79" t="n"/>
      <c r="Z686" s="79" t="n"/>
    </row>
    <row r="687">
      <c r="A687" s="79" t="n"/>
      <c r="B687" s="79" t="n"/>
      <c r="C687" s="79" t="n"/>
      <c r="D687" s="79" t="n"/>
      <c r="E687" s="79" t="n"/>
      <c r="F687" s="79" t="n"/>
      <c r="G687" s="79" t="n"/>
      <c r="H687" s="79" t="n"/>
      <c r="I687" s="79" t="n"/>
      <c r="J687" s="79" t="n"/>
      <c r="K687" s="79" t="n"/>
      <c r="L687" s="79" t="n"/>
      <c r="M687" s="79" t="n"/>
      <c r="N687" s="79" t="n"/>
      <c r="O687" s="79" t="n"/>
      <c r="P687" s="79" t="n"/>
      <c r="Q687" s="79" t="n"/>
      <c r="R687" s="79" t="n"/>
      <c r="S687" s="79" t="n"/>
      <c r="T687" s="79" t="n"/>
      <c r="U687" s="79" t="n"/>
      <c r="V687" s="79" t="n"/>
      <c r="W687" s="79" t="n"/>
      <c r="X687" s="79" t="n"/>
      <c r="Y687" s="79" t="n"/>
      <c r="Z687" s="79" t="n"/>
    </row>
    <row r="688">
      <c r="A688" s="79" t="n"/>
      <c r="B688" s="79" t="n"/>
      <c r="C688" s="79" t="n"/>
      <c r="D688" s="79" t="n"/>
      <c r="E688" s="79" t="n"/>
      <c r="F688" s="79" t="n"/>
      <c r="G688" s="79" t="n"/>
      <c r="H688" s="79" t="n"/>
      <c r="I688" s="79" t="n"/>
      <c r="J688" s="79" t="n"/>
      <c r="K688" s="79" t="n"/>
      <c r="L688" s="79" t="n"/>
      <c r="M688" s="79" t="n"/>
      <c r="N688" s="79" t="n"/>
      <c r="O688" s="79" t="n"/>
      <c r="P688" s="79" t="n"/>
      <c r="Q688" s="79" t="n"/>
      <c r="R688" s="79" t="n"/>
      <c r="S688" s="79" t="n"/>
      <c r="T688" s="79" t="n"/>
      <c r="U688" s="79" t="n"/>
      <c r="V688" s="79" t="n"/>
      <c r="W688" s="79" t="n"/>
      <c r="X688" s="79" t="n"/>
      <c r="Y688" s="79" t="n"/>
      <c r="Z688" s="79" t="n"/>
    </row>
    <row r="689">
      <c r="A689" s="79" t="n"/>
      <c r="B689" s="79" t="n"/>
      <c r="C689" s="79" t="n"/>
      <c r="D689" s="79" t="n"/>
      <c r="E689" s="79" t="n"/>
      <c r="F689" s="79" t="n"/>
      <c r="G689" s="79" t="n"/>
      <c r="H689" s="79" t="n"/>
      <c r="I689" s="79" t="n"/>
      <c r="J689" s="79" t="n"/>
      <c r="K689" s="79" t="n"/>
      <c r="L689" s="79" t="n"/>
      <c r="M689" s="79" t="n"/>
      <c r="N689" s="79" t="n"/>
      <c r="O689" s="79" t="n"/>
      <c r="P689" s="79" t="n"/>
      <c r="Q689" s="79" t="n"/>
      <c r="R689" s="79" t="n"/>
      <c r="S689" s="79" t="n"/>
      <c r="T689" s="79" t="n"/>
      <c r="U689" s="79" t="n"/>
      <c r="V689" s="79" t="n"/>
      <c r="W689" s="79" t="n"/>
      <c r="X689" s="79" t="n"/>
      <c r="Y689" s="79" t="n"/>
      <c r="Z689" s="79" t="n"/>
    </row>
    <row r="690">
      <c r="A690" s="79" t="n"/>
      <c r="B690" s="79" t="n"/>
      <c r="C690" s="79" t="n"/>
      <c r="D690" s="79" t="n"/>
      <c r="E690" s="79" t="n"/>
      <c r="F690" s="79" t="n"/>
      <c r="G690" s="79" t="n"/>
      <c r="H690" s="79" t="n"/>
      <c r="I690" s="79" t="n"/>
      <c r="J690" s="79" t="n"/>
      <c r="K690" s="79" t="n"/>
      <c r="L690" s="79" t="n"/>
      <c r="M690" s="79" t="n"/>
      <c r="N690" s="79" t="n"/>
      <c r="O690" s="79" t="n"/>
      <c r="P690" s="79" t="n"/>
      <c r="Q690" s="79" t="n"/>
      <c r="R690" s="79" t="n"/>
      <c r="S690" s="79" t="n"/>
      <c r="T690" s="79" t="n"/>
      <c r="U690" s="79" t="n"/>
      <c r="V690" s="79" t="n"/>
      <c r="W690" s="79" t="n"/>
      <c r="X690" s="79" t="n"/>
      <c r="Y690" s="79" t="n"/>
      <c r="Z690" s="79" t="n"/>
    </row>
    <row r="691">
      <c r="A691" s="79" t="n"/>
      <c r="B691" s="79" t="n"/>
      <c r="C691" s="79" t="n"/>
      <c r="D691" s="79" t="n"/>
      <c r="E691" s="79" t="n"/>
      <c r="F691" s="79" t="n"/>
      <c r="G691" s="79" t="n"/>
      <c r="H691" s="79" t="n"/>
      <c r="I691" s="79" t="n"/>
      <c r="J691" s="79" t="n"/>
      <c r="K691" s="79" t="n"/>
      <c r="L691" s="79" t="n"/>
      <c r="M691" s="79" t="n"/>
      <c r="N691" s="79" t="n"/>
      <c r="O691" s="79" t="n"/>
      <c r="P691" s="79" t="n"/>
      <c r="Q691" s="79" t="n"/>
      <c r="R691" s="79" t="n"/>
      <c r="S691" s="79" t="n"/>
      <c r="T691" s="79" t="n"/>
      <c r="U691" s="79" t="n"/>
      <c r="V691" s="79" t="n"/>
      <c r="W691" s="79" t="n"/>
      <c r="X691" s="79" t="n"/>
      <c r="Y691" s="79" t="n"/>
      <c r="Z691" s="79" t="n"/>
    </row>
    <row r="692">
      <c r="A692" s="79" t="n"/>
      <c r="B692" s="79" t="n"/>
      <c r="C692" s="79" t="n"/>
      <c r="D692" s="79" t="n"/>
      <c r="E692" s="79" t="n"/>
      <c r="F692" s="79" t="n"/>
      <c r="G692" s="79" t="n"/>
      <c r="H692" s="79" t="n"/>
      <c r="I692" s="79" t="n"/>
      <c r="J692" s="79" t="n"/>
      <c r="K692" s="79" t="n"/>
      <c r="L692" s="79" t="n"/>
      <c r="M692" s="79" t="n"/>
      <c r="N692" s="79" t="n"/>
      <c r="O692" s="79" t="n"/>
      <c r="P692" s="79" t="n"/>
      <c r="Q692" s="79" t="n"/>
      <c r="R692" s="79" t="n"/>
      <c r="S692" s="79" t="n"/>
      <c r="T692" s="79" t="n"/>
      <c r="U692" s="79" t="n"/>
      <c r="V692" s="79" t="n"/>
      <c r="W692" s="79" t="n"/>
      <c r="X692" s="79" t="n"/>
      <c r="Y692" s="79" t="n"/>
      <c r="Z692" s="79" t="n"/>
    </row>
    <row r="693">
      <c r="A693" s="79" t="n"/>
      <c r="B693" s="79" t="n"/>
      <c r="C693" s="79" t="n"/>
      <c r="D693" s="79" t="n"/>
      <c r="E693" s="79" t="n"/>
      <c r="F693" s="79" t="n"/>
      <c r="G693" s="79" t="n"/>
      <c r="H693" s="79" t="n"/>
      <c r="I693" s="79" t="n"/>
      <c r="J693" s="79" t="n"/>
      <c r="K693" s="79" t="n"/>
      <c r="L693" s="79" t="n"/>
      <c r="M693" s="79" t="n"/>
      <c r="N693" s="79" t="n"/>
      <c r="O693" s="79" t="n"/>
      <c r="P693" s="79" t="n"/>
      <c r="Q693" s="79" t="n"/>
      <c r="R693" s="79" t="n"/>
      <c r="S693" s="79" t="n"/>
      <c r="T693" s="79" t="n"/>
      <c r="U693" s="79" t="n"/>
      <c r="V693" s="79" t="n"/>
      <c r="W693" s="79" t="n"/>
      <c r="X693" s="79" t="n"/>
      <c r="Y693" s="79" t="n"/>
      <c r="Z693" s="79" t="n"/>
    </row>
    <row r="694">
      <c r="A694" s="79" t="n"/>
      <c r="B694" s="79" t="n"/>
      <c r="C694" s="79" t="n"/>
      <c r="D694" s="79" t="n"/>
      <c r="E694" s="79" t="n"/>
      <c r="F694" s="79" t="n"/>
      <c r="G694" s="79" t="n"/>
      <c r="H694" s="79" t="n"/>
      <c r="I694" s="79" t="n"/>
      <c r="J694" s="79" t="n"/>
      <c r="K694" s="79" t="n"/>
      <c r="L694" s="79" t="n"/>
      <c r="M694" s="79" t="n"/>
      <c r="N694" s="79" t="n"/>
      <c r="O694" s="79" t="n"/>
      <c r="P694" s="79" t="n"/>
      <c r="Q694" s="79" t="n"/>
      <c r="R694" s="79" t="n"/>
      <c r="S694" s="79" t="n"/>
      <c r="T694" s="79" t="n"/>
      <c r="U694" s="79" t="n"/>
      <c r="V694" s="79" t="n"/>
      <c r="W694" s="79" t="n"/>
      <c r="X694" s="79" t="n"/>
      <c r="Y694" s="79" t="n"/>
      <c r="Z694" s="79" t="n"/>
    </row>
    <row r="695">
      <c r="A695" s="79" t="n"/>
      <c r="B695" s="79" t="n"/>
      <c r="C695" s="79" t="n"/>
      <c r="D695" s="79" t="n"/>
      <c r="E695" s="79" t="n"/>
      <c r="F695" s="79" t="n"/>
      <c r="G695" s="79" t="n"/>
      <c r="H695" s="79" t="n"/>
      <c r="I695" s="79" t="n"/>
      <c r="J695" s="79" t="n"/>
      <c r="K695" s="79" t="n"/>
      <c r="L695" s="79" t="n"/>
      <c r="M695" s="79" t="n"/>
      <c r="N695" s="79" t="n"/>
      <c r="O695" s="79" t="n"/>
      <c r="P695" s="79" t="n"/>
      <c r="Q695" s="79" t="n"/>
      <c r="R695" s="79" t="n"/>
      <c r="S695" s="79" t="n"/>
      <c r="T695" s="79" t="n"/>
      <c r="U695" s="79" t="n"/>
      <c r="V695" s="79" t="n"/>
      <c r="W695" s="79" t="n"/>
      <c r="X695" s="79" t="n"/>
      <c r="Y695" s="79" t="n"/>
      <c r="Z695" s="79" t="n"/>
    </row>
    <row r="696">
      <c r="A696" s="79" t="n"/>
      <c r="B696" s="79" t="n"/>
      <c r="C696" s="79" t="n"/>
      <c r="D696" s="79" t="n"/>
      <c r="E696" s="79" t="n"/>
      <c r="F696" s="79" t="n"/>
      <c r="G696" s="79" t="n"/>
      <c r="H696" s="79" t="n"/>
      <c r="I696" s="79" t="n"/>
      <c r="J696" s="79" t="n"/>
      <c r="K696" s="79" t="n"/>
      <c r="L696" s="79" t="n"/>
      <c r="M696" s="79" t="n"/>
      <c r="N696" s="79" t="n"/>
      <c r="O696" s="79" t="n"/>
      <c r="P696" s="79" t="n"/>
      <c r="Q696" s="79" t="n"/>
      <c r="R696" s="79" t="n"/>
      <c r="S696" s="79" t="n"/>
      <c r="T696" s="79" t="n"/>
      <c r="U696" s="79" t="n"/>
      <c r="V696" s="79" t="n"/>
      <c r="W696" s="79" t="n"/>
      <c r="X696" s="79" t="n"/>
      <c r="Y696" s="79" t="n"/>
      <c r="Z696" s="79" t="n"/>
    </row>
    <row r="697">
      <c r="A697" s="79" t="n"/>
      <c r="B697" s="79" t="n"/>
      <c r="C697" s="79" t="n"/>
      <c r="D697" s="79" t="n"/>
      <c r="E697" s="79" t="n"/>
      <c r="F697" s="79" t="n"/>
      <c r="G697" s="79" t="n"/>
      <c r="H697" s="79" t="n"/>
      <c r="I697" s="79" t="n"/>
      <c r="J697" s="79" t="n"/>
      <c r="K697" s="79" t="n"/>
      <c r="L697" s="79" t="n"/>
      <c r="M697" s="79" t="n"/>
      <c r="N697" s="79" t="n"/>
      <c r="O697" s="79" t="n"/>
      <c r="P697" s="79" t="n"/>
      <c r="Q697" s="79" t="n"/>
      <c r="R697" s="79" t="n"/>
      <c r="S697" s="79" t="n"/>
      <c r="T697" s="79" t="n"/>
      <c r="U697" s="79" t="n"/>
      <c r="V697" s="79" t="n"/>
      <c r="W697" s="79" t="n"/>
      <c r="X697" s="79" t="n"/>
      <c r="Y697" s="79" t="n"/>
      <c r="Z697" s="79" t="n"/>
    </row>
    <row r="698">
      <c r="A698" s="79" t="n"/>
      <c r="B698" s="79" t="n"/>
      <c r="C698" s="79" t="n"/>
      <c r="D698" s="79" t="n"/>
      <c r="E698" s="79" t="n"/>
      <c r="F698" s="79" t="n"/>
      <c r="G698" s="79" t="n"/>
      <c r="H698" s="79" t="n"/>
      <c r="I698" s="79" t="n"/>
      <c r="J698" s="79" t="n"/>
      <c r="K698" s="79" t="n"/>
      <c r="L698" s="79" t="n"/>
      <c r="M698" s="79" t="n"/>
      <c r="N698" s="79" t="n"/>
      <c r="O698" s="79" t="n"/>
      <c r="P698" s="79" t="n"/>
      <c r="Q698" s="79" t="n"/>
      <c r="R698" s="79" t="n"/>
      <c r="S698" s="79" t="n"/>
      <c r="T698" s="79" t="n"/>
      <c r="U698" s="79" t="n"/>
      <c r="V698" s="79" t="n"/>
      <c r="W698" s="79" t="n"/>
      <c r="X698" s="79" t="n"/>
      <c r="Y698" s="79" t="n"/>
      <c r="Z698" s="79" t="n"/>
    </row>
    <row r="699">
      <c r="A699" s="79" t="n"/>
      <c r="B699" s="79" t="n"/>
      <c r="C699" s="79" t="n"/>
      <c r="D699" s="79" t="n"/>
      <c r="E699" s="79" t="n"/>
      <c r="F699" s="79" t="n"/>
      <c r="G699" s="79" t="n"/>
      <c r="H699" s="79" t="n"/>
      <c r="I699" s="79" t="n"/>
      <c r="J699" s="79" t="n"/>
      <c r="K699" s="79" t="n"/>
      <c r="L699" s="79" t="n"/>
      <c r="M699" s="79" t="n"/>
      <c r="N699" s="79" t="n"/>
      <c r="O699" s="79" t="n"/>
      <c r="P699" s="79" t="n"/>
      <c r="Q699" s="79" t="n"/>
      <c r="R699" s="79" t="n"/>
      <c r="S699" s="79" t="n"/>
      <c r="T699" s="79" t="n"/>
      <c r="U699" s="79" t="n"/>
      <c r="V699" s="79" t="n"/>
      <c r="W699" s="79" t="n"/>
      <c r="X699" s="79" t="n"/>
      <c r="Y699" s="79" t="n"/>
      <c r="Z699" s="79" t="n"/>
    </row>
    <row r="700">
      <c r="A700" s="79" t="n"/>
      <c r="B700" s="79" t="n"/>
      <c r="C700" s="79" t="n"/>
      <c r="D700" s="79" t="n"/>
      <c r="E700" s="79" t="n"/>
      <c r="F700" s="79" t="n"/>
      <c r="G700" s="79" t="n"/>
      <c r="H700" s="79" t="n"/>
      <c r="I700" s="79" t="n"/>
      <c r="J700" s="79" t="n"/>
      <c r="K700" s="79" t="n"/>
      <c r="L700" s="79" t="n"/>
      <c r="M700" s="79" t="n"/>
      <c r="N700" s="79" t="n"/>
      <c r="O700" s="79" t="n"/>
      <c r="P700" s="79" t="n"/>
      <c r="Q700" s="79" t="n"/>
      <c r="R700" s="79" t="n"/>
      <c r="S700" s="79" t="n"/>
      <c r="T700" s="79" t="n"/>
      <c r="U700" s="79" t="n"/>
      <c r="V700" s="79" t="n"/>
      <c r="W700" s="79" t="n"/>
      <c r="X700" s="79" t="n"/>
      <c r="Y700" s="79" t="n"/>
      <c r="Z700" s="79" t="n"/>
    </row>
    <row r="701">
      <c r="A701" s="79" t="n"/>
      <c r="B701" s="79" t="n"/>
      <c r="C701" s="79" t="n"/>
      <c r="D701" s="79" t="n"/>
      <c r="E701" s="79" t="n"/>
      <c r="F701" s="79" t="n"/>
      <c r="G701" s="79" t="n"/>
      <c r="H701" s="79" t="n"/>
      <c r="I701" s="79" t="n"/>
      <c r="J701" s="79" t="n"/>
      <c r="K701" s="79" t="n"/>
      <c r="L701" s="79" t="n"/>
      <c r="M701" s="79" t="n"/>
      <c r="N701" s="79" t="n"/>
      <c r="O701" s="79" t="n"/>
      <c r="P701" s="79" t="n"/>
      <c r="Q701" s="79" t="n"/>
      <c r="R701" s="79" t="n"/>
      <c r="S701" s="79" t="n"/>
      <c r="T701" s="79" t="n"/>
      <c r="U701" s="79" t="n"/>
      <c r="V701" s="79" t="n"/>
      <c r="W701" s="79" t="n"/>
      <c r="X701" s="79" t="n"/>
      <c r="Y701" s="79" t="n"/>
      <c r="Z701" s="79" t="n"/>
    </row>
    <row r="702">
      <c r="A702" s="79" t="n"/>
      <c r="B702" s="79" t="n"/>
      <c r="C702" s="79" t="n"/>
      <c r="D702" s="79" t="n"/>
      <c r="E702" s="79" t="n"/>
      <c r="F702" s="79" t="n"/>
      <c r="G702" s="79" t="n"/>
      <c r="H702" s="79" t="n"/>
      <c r="I702" s="79" t="n"/>
      <c r="J702" s="79" t="n"/>
      <c r="K702" s="79" t="n"/>
      <c r="L702" s="79" t="n"/>
      <c r="M702" s="79" t="n"/>
      <c r="N702" s="79" t="n"/>
      <c r="O702" s="79" t="n"/>
      <c r="P702" s="79" t="n"/>
      <c r="Q702" s="79" t="n"/>
      <c r="R702" s="79" t="n"/>
      <c r="S702" s="79" t="n"/>
      <c r="T702" s="79" t="n"/>
      <c r="U702" s="79" t="n"/>
      <c r="V702" s="79" t="n"/>
      <c r="W702" s="79" t="n"/>
      <c r="X702" s="79" t="n"/>
      <c r="Y702" s="79" t="n"/>
      <c r="Z702" s="79" t="n"/>
    </row>
    <row r="703">
      <c r="A703" s="79" t="n"/>
      <c r="B703" s="79" t="n"/>
      <c r="C703" s="79" t="n"/>
      <c r="D703" s="79" t="n"/>
      <c r="E703" s="79" t="n"/>
      <c r="F703" s="79" t="n"/>
      <c r="G703" s="79" t="n"/>
      <c r="H703" s="79" t="n"/>
      <c r="I703" s="79" t="n"/>
      <c r="J703" s="79" t="n"/>
      <c r="K703" s="79" t="n"/>
      <c r="L703" s="79" t="n"/>
      <c r="M703" s="79" t="n"/>
      <c r="N703" s="79" t="n"/>
      <c r="O703" s="79" t="n"/>
      <c r="P703" s="79" t="n"/>
      <c r="Q703" s="79" t="n"/>
      <c r="R703" s="79" t="n"/>
      <c r="S703" s="79" t="n"/>
      <c r="T703" s="79" t="n"/>
      <c r="U703" s="79" t="n"/>
      <c r="V703" s="79" t="n"/>
      <c r="W703" s="79" t="n"/>
      <c r="X703" s="79" t="n"/>
      <c r="Y703" s="79" t="n"/>
      <c r="Z703" s="79" t="n"/>
    </row>
    <row r="704">
      <c r="A704" s="79" t="n"/>
      <c r="B704" s="79" t="n"/>
      <c r="C704" s="79" t="n"/>
      <c r="D704" s="79" t="n"/>
      <c r="E704" s="79" t="n"/>
      <c r="F704" s="79" t="n"/>
      <c r="G704" s="79" t="n"/>
      <c r="H704" s="79" t="n"/>
      <c r="I704" s="79" t="n"/>
      <c r="J704" s="79" t="n"/>
      <c r="K704" s="79" t="n"/>
      <c r="L704" s="79" t="n"/>
      <c r="M704" s="79" t="n"/>
      <c r="N704" s="79" t="n"/>
      <c r="O704" s="79" t="n"/>
      <c r="P704" s="79" t="n"/>
      <c r="Q704" s="79" t="n"/>
      <c r="R704" s="79" t="n"/>
      <c r="S704" s="79" t="n"/>
      <c r="T704" s="79" t="n"/>
      <c r="U704" s="79" t="n"/>
      <c r="V704" s="79" t="n"/>
      <c r="W704" s="79" t="n"/>
      <c r="X704" s="79" t="n"/>
      <c r="Y704" s="79" t="n"/>
      <c r="Z704" s="79" t="n"/>
    </row>
    <row r="705">
      <c r="A705" s="79" t="n"/>
      <c r="B705" s="79" t="n"/>
      <c r="C705" s="79" t="n"/>
      <c r="D705" s="79" t="n"/>
      <c r="E705" s="79" t="n"/>
      <c r="F705" s="79" t="n"/>
      <c r="G705" s="79" t="n"/>
      <c r="H705" s="79" t="n"/>
      <c r="I705" s="79" t="n"/>
      <c r="J705" s="79" t="n"/>
      <c r="K705" s="79" t="n"/>
      <c r="L705" s="79" t="n"/>
      <c r="M705" s="79" t="n"/>
      <c r="N705" s="79" t="n"/>
      <c r="O705" s="79" t="n"/>
      <c r="P705" s="79" t="n"/>
      <c r="Q705" s="79" t="n"/>
      <c r="R705" s="79" t="n"/>
      <c r="S705" s="79" t="n"/>
      <c r="T705" s="79" t="n"/>
      <c r="U705" s="79" t="n"/>
      <c r="V705" s="79" t="n"/>
      <c r="W705" s="79" t="n"/>
      <c r="X705" s="79" t="n"/>
      <c r="Y705" s="79" t="n"/>
      <c r="Z705" s="79" t="n"/>
    </row>
    <row r="706">
      <c r="A706" s="79" t="n"/>
      <c r="B706" s="79" t="n"/>
      <c r="C706" s="79" t="n"/>
      <c r="D706" s="79" t="n"/>
      <c r="E706" s="79" t="n"/>
      <c r="F706" s="79" t="n"/>
      <c r="G706" s="79" t="n"/>
      <c r="H706" s="79" t="n"/>
      <c r="I706" s="79" t="n"/>
      <c r="J706" s="79" t="n"/>
      <c r="K706" s="79" t="n"/>
      <c r="L706" s="79" t="n"/>
      <c r="M706" s="79" t="n"/>
      <c r="N706" s="79" t="n"/>
      <c r="O706" s="79" t="n"/>
      <c r="P706" s="79" t="n"/>
      <c r="Q706" s="79" t="n"/>
      <c r="R706" s="79" t="n"/>
      <c r="S706" s="79" t="n"/>
      <c r="T706" s="79" t="n"/>
      <c r="U706" s="79" t="n"/>
      <c r="V706" s="79" t="n"/>
      <c r="W706" s="79" t="n"/>
      <c r="X706" s="79" t="n"/>
      <c r="Y706" s="79" t="n"/>
      <c r="Z706" s="79" t="n"/>
    </row>
    <row r="707">
      <c r="A707" s="79" t="n"/>
      <c r="B707" s="79" t="n"/>
      <c r="C707" s="79" t="n"/>
      <c r="D707" s="79" t="n"/>
      <c r="E707" s="79" t="n"/>
      <c r="F707" s="79" t="n"/>
      <c r="G707" s="79" t="n"/>
      <c r="H707" s="79" t="n"/>
      <c r="I707" s="79" t="n"/>
      <c r="J707" s="79" t="n"/>
      <c r="K707" s="79" t="n"/>
      <c r="L707" s="79" t="n"/>
      <c r="M707" s="79" t="n"/>
      <c r="N707" s="79" t="n"/>
      <c r="O707" s="79" t="n"/>
      <c r="P707" s="79" t="n"/>
      <c r="Q707" s="79" t="n"/>
      <c r="R707" s="79" t="n"/>
      <c r="S707" s="79" t="n"/>
      <c r="T707" s="79" t="n"/>
      <c r="U707" s="79" t="n"/>
      <c r="V707" s="79" t="n"/>
      <c r="W707" s="79" t="n"/>
      <c r="X707" s="79" t="n"/>
      <c r="Y707" s="79" t="n"/>
      <c r="Z707" s="79" t="n"/>
    </row>
    <row r="708">
      <c r="A708" s="79" t="n"/>
      <c r="B708" s="79" t="n"/>
      <c r="C708" s="79" t="n"/>
      <c r="D708" s="79" t="n"/>
      <c r="E708" s="79" t="n"/>
      <c r="F708" s="79" t="n"/>
      <c r="G708" s="79" t="n"/>
      <c r="H708" s="79" t="n"/>
      <c r="I708" s="79" t="n"/>
      <c r="J708" s="79" t="n"/>
      <c r="K708" s="79" t="n"/>
      <c r="L708" s="79" t="n"/>
      <c r="M708" s="79" t="n"/>
      <c r="N708" s="79" t="n"/>
      <c r="O708" s="79" t="n"/>
      <c r="P708" s="79" t="n"/>
      <c r="Q708" s="79" t="n"/>
      <c r="R708" s="79" t="n"/>
      <c r="S708" s="79" t="n"/>
      <c r="T708" s="79" t="n"/>
      <c r="U708" s="79" t="n"/>
      <c r="V708" s="79" t="n"/>
      <c r="W708" s="79" t="n"/>
      <c r="X708" s="79" t="n"/>
      <c r="Y708" s="79" t="n"/>
      <c r="Z708" s="79" t="n"/>
    </row>
    <row r="709">
      <c r="A709" s="79" t="n"/>
      <c r="B709" s="79" t="n"/>
      <c r="C709" s="79" t="n"/>
      <c r="D709" s="79" t="n"/>
      <c r="E709" s="79" t="n"/>
      <c r="F709" s="79" t="n"/>
      <c r="G709" s="79" t="n"/>
      <c r="H709" s="79" t="n"/>
      <c r="I709" s="79" t="n"/>
      <c r="J709" s="79" t="n"/>
      <c r="K709" s="79" t="n"/>
      <c r="L709" s="79" t="n"/>
      <c r="M709" s="79" t="n"/>
      <c r="N709" s="79" t="n"/>
      <c r="O709" s="79" t="n"/>
      <c r="P709" s="79" t="n"/>
      <c r="Q709" s="79" t="n"/>
      <c r="R709" s="79" t="n"/>
      <c r="S709" s="79" t="n"/>
      <c r="T709" s="79" t="n"/>
      <c r="U709" s="79" t="n"/>
      <c r="V709" s="79" t="n"/>
      <c r="W709" s="79" t="n"/>
      <c r="X709" s="79" t="n"/>
      <c r="Y709" s="79" t="n"/>
      <c r="Z709" s="79" t="n"/>
    </row>
    <row r="710">
      <c r="A710" s="79" t="n"/>
      <c r="B710" s="79" t="n"/>
      <c r="C710" s="79" t="n"/>
      <c r="D710" s="79" t="n"/>
      <c r="E710" s="79" t="n"/>
      <c r="F710" s="79" t="n"/>
      <c r="G710" s="79" t="n"/>
      <c r="H710" s="79" t="n"/>
      <c r="I710" s="79" t="n"/>
      <c r="J710" s="79" t="n"/>
      <c r="K710" s="79" t="n"/>
      <c r="L710" s="79" t="n"/>
      <c r="M710" s="79" t="n"/>
      <c r="N710" s="79" t="n"/>
      <c r="O710" s="79" t="n"/>
      <c r="P710" s="79" t="n"/>
      <c r="Q710" s="79" t="n"/>
      <c r="R710" s="79" t="n"/>
      <c r="S710" s="79" t="n"/>
      <c r="T710" s="79" t="n"/>
      <c r="U710" s="79" t="n"/>
      <c r="V710" s="79" t="n"/>
      <c r="W710" s="79" t="n"/>
      <c r="X710" s="79" t="n"/>
      <c r="Y710" s="79" t="n"/>
      <c r="Z710" s="79" t="n"/>
    </row>
    <row r="711">
      <c r="A711" s="79" t="n"/>
      <c r="B711" s="79" t="n"/>
      <c r="C711" s="79" t="n"/>
      <c r="D711" s="79" t="n"/>
      <c r="E711" s="79" t="n"/>
      <c r="F711" s="79" t="n"/>
      <c r="G711" s="79" t="n"/>
      <c r="H711" s="79" t="n"/>
      <c r="I711" s="79" t="n"/>
      <c r="J711" s="79" t="n"/>
      <c r="K711" s="79" t="n"/>
      <c r="L711" s="79" t="n"/>
      <c r="M711" s="79" t="n"/>
      <c r="N711" s="79" t="n"/>
      <c r="O711" s="79" t="n"/>
      <c r="P711" s="79" t="n"/>
      <c r="Q711" s="79" t="n"/>
      <c r="R711" s="79" t="n"/>
      <c r="S711" s="79" t="n"/>
      <c r="T711" s="79" t="n"/>
      <c r="U711" s="79" t="n"/>
      <c r="V711" s="79" t="n"/>
      <c r="W711" s="79" t="n"/>
      <c r="X711" s="79" t="n"/>
      <c r="Y711" s="79" t="n"/>
      <c r="Z711" s="79" t="n"/>
    </row>
    <row r="712">
      <c r="A712" s="79" t="n"/>
      <c r="B712" s="79" t="n"/>
      <c r="C712" s="79" t="n"/>
      <c r="D712" s="79" t="n"/>
      <c r="E712" s="79" t="n"/>
      <c r="F712" s="79" t="n"/>
      <c r="G712" s="79" t="n"/>
      <c r="H712" s="79" t="n"/>
      <c r="I712" s="79" t="n"/>
      <c r="J712" s="79" t="n"/>
      <c r="K712" s="79" t="n"/>
      <c r="L712" s="79" t="n"/>
      <c r="M712" s="79" t="n"/>
      <c r="N712" s="79" t="n"/>
      <c r="O712" s="79" t="n"/>
      <c r="P712" s="79" t="n"/>
      <c r="Q712" s="79" t="n"/>
      <c r="R712" s="79" t="n"/>
      <c r="S712" s="79" t="n"/>
      <c r="T712" s="79" t="n"/>
      <c r="U712" s="79" t="n"/>
      <c r="V712" s="79" t="n"/>
      <c r="W712" s="79" t="n"/>
      <c r="X712" s="79" t="n"/>
      <c r="Y712" s="79" t="n"/>
      <c r="Z712" s="79" t="n"/>
    </row>
    <row r="713">
      <c r="A713" s="79" t="n"/>
      <c r="B713" s="79" t="n"/>
      <c r="C713" s="79" t="n"/>
      <c r="D713" s="79" t="n"/>
      <c r="E713" s="79" t="n"/>
      <c r="F713" s="79" t="n"/>
      <c r="G713" s="79" t="n"/>
      <c r="H713" s="79" t="n"/>
      <c r="I713" s="79" t="n"/>
      <c r="J713" s="79" t="n"/>
      <c r="K713" s="79" t="n"/>
      <c r="L713" s="79" t="n"/>
      <c r="M713" s="79" t="n"/>
      <c r="N713" s="79" t="n"/>
      <c r="O713" s="79" t="n"/>
      <c r="P713" s="79" t="n"/>
      <c r="Q713" s="79" t="n"/>
      <c r="R713" s="79" t="n"/>
      <c r="S713" s="79" t="n"/>
      <c r="T713" s="79" t="n"/>
      <c r="U713" s="79" t="n"/>
      <c r="V713" s="79" t="n"/>
      <c r="W713" s="79" t="n"/>
      <c r="X713" s="79" t="n"/>
      <c r="Y713" s="79" t="n"/>
      <c r="Z713" s="79" t="n"/>
    </row>
    <row r="714">
      <c r="A714" s="79" t="n"/>
      <c r="B714" s="79" t="n"/>
      <c r="C714" s="79" t="n"/>
      <c r="D714" s="79" t="n"/>
      <c r="E714" s="79" t="n"/>
      <c r="F714" s="79" t="n"/>
      <c r="G714" s="79" t="n"/>
      <c r="H714" s="79" t="n"/>
      <c r="I714" s="79" t="n"/>
      <c r="J714" s="79" t="n"/>
      <c r="K714" s="79" t="n"/>
      <c r="L714" s="79" t="n"/>
      <c r="M714" s="79" t="n"/>
      <c r="N714" s="79" t="n"/>
      <c r="O714" s="79" t="n"/>
      <c r="P714" s="79" t="n"/>
      <c r="Q714" s="79" t="n"/>
      <c r="R714" s="79" t="n"/>
      <c r="S714" s="79" t="n"/>
      <c r="T714" s="79" t="n"/>
      <c r="U714" s="79" t="n"/>
      <c r="V714" s="79" t="n"/>
      <c r="W714" s="79" t="n"/>
      <c r="X714" s="79" t="n"/>
      <c r="Y714" s="79" t="n"/>
      <c r="Z714" s="79" t="n"/>
    </row>
    <row r="715">
      <c r="A715" s="79" t="n"/>
      <c r="B715" s="79" t="n"/>
      <c r="C715" s="79" t="n"/>
      <c r="D715" s="79" t="n"/>
      <c r="E715" s="79" t="n"/>
      <c r="F715" s="79" t="n"/>
      <c r="G715" s="79" t="n"/>
      <c r="H715" s="79" t="n"/>
      <c r="I715" s="79" t="n"/>
      <c r="J715" s="79" t="n"/>
      <c r="K715" s="79" t="n"/>
      <c r="L715" s="79" t="n"/>
      <c r="M715" s="79" t="n"/>
      <c r="N715" s="79" t="n"/>
      <c r="O715" s="79" t="n"/>
      <c r="P715" s="79" t="n"/>
      <c r="Q715" s="79" t="n"/>
      <c r="R715" s="79" t="n"/>
      <c r="S715" s="79" t="n"/>
      <c r="T715" s="79" t="n"/>
      <c r="U715" s="79" t="n"/>
      <c r="V715" s="79" t="n"/>
      <c r="W715" s="79" t="n"/>
      <c r="X715" s="79" t="n"/>
      <c r="Y715" s="79" t="n"/>
      <c r="Z715" s="79" t="n"/>
    </row>
    <row r="716">
      <c r="A716" s="79" t="n"/>
      <c r="B716" s="79" t="n"/>
      <c r="C716" s="79" t="n"/>
      <c r="D716" s="79" t="n"/>
      <c r="E716" s="79" t="n"/>
      <c r="F716" s="79" t="n"/>
      <c r="G716" s="79" t="n"/>
      <c r="H716" s="79" t="n"/>
      <c r="I716" s="79" t="n"/>
      <c r="J716" s="79" t="n"/>
      <c r="K716" s="79" t="n"/>
      <c r="L716" s="79" t="n"/>
      <c r="M716" s="79" t="n"/>
      <c r="N716" s="79" t="n"/>
      <c r="O716" s="79" t="n"/>
      <c r="P716" s="79" t="n"/>
      <c r="Q716" s="79" t="n"/>
      <c r="R716" s="79" t="n"/>
      <c r="S716" s="79" t="n"/>
      <c r="T716" s="79" t="n"/>
      <c r="U716" s="79" t="n"/>
      <c r="V716" s="79" t="n"/>
      <c r="W716" s="79" t="n"/>
      <c r="X716" s="79" t="n"/>
      <c r="Y716" s="79" t="n"/>
      <c r="Z716" s="79" t="n"/>
    </row>
    <row r="717">
      <c r="A717" s="79" t="n"/>
      <c r="B717" s="79" t="n"/>
      <c r="C717" s="79" t="n"/>
      <c r="D717" s="79" t="n"/>
      <c r="E717" s="79" t="n"/>
      <c r="F717" s="79" t="n"/>
      <c r="G717" s="79" t="n"/>
      <c r="H717" s="79" t="n"/>
      <c r="I717" s="79" t="n"/>
      <c r="J717" s="79" t="n"/>
      <c r="K717" s="79" t="n"/>
      <c r="L717" s="79" t="n"/>
      <c r="M717" s="79" t="n"/>
      <c r="N717" s="79" t="n"/>
      <c r="O717" s="79" t="n"/>
      <c r="P717" s="79" t="n"/>
      <c r="Q717" s="79" t="n"/>
      <c r="R717" s="79" t="n"/>
      <c r="S717" s="79" t="n"/>
      <c r="T717" s="79" t="n"/>
      <c r="U717" s="79" t="n"/>
      <c r="V717" s="79" t="n"/>
      <c r="W717" s="79" t="n"/>
      <c r="X717" s="79" t="n"/>
      <c r="Y717" s="79" t="n"/>
      <c r="Z717" s="79" t="n"/>
    </row>
    <row r="718">
      <c r="A718" s="79" t="n"/>
      <c r="B718" s="79" t="n"/>
      <c r="C718" s="79" t="n"/>
      <c r="D718" s="79" t="n"/>
      <c r="E718" s="79" t="n"/>
      <c r="F718" s="79" t="n"/>
      <c r="G718" s="79" t="n"/>
      <c r="H718" s="79" t="n"/>
      <c r="I718" s="79" t="n"/>
      <c r="J718" s="79" t="n"/>
      <c r="K718" s="79" t="n"/>
      <c r="L718" s="79" t="n"/>
      <c r="M718" s="79" t="n"/>
      <c r="N718" s="79" t="n"/>
      <c r="O718" s="79" t="n"/>
      <c r="P718" s="79" t="n"/>
      <c r="Q718" s="79" t="n"/>
      <c r="R718" s="79" t="n"/>
      <c r="S718" s="79" t="n"/>
      <c r="T718" s="79" t="n"/>
      <c r="U718" s="79" t="n"/>
      <c r="V718" s="79" t="n"/>
      <c r="W718" s="79" t="n"/>
      <c r="X718" s="79" t="n"/>
      <c r="Y718" s="79" t="n"/>
      <c r="Z718" s="79" t="n"/>
    </row>
    <row r="719">
      <c r="A719" s="79" t="n"/>
      <c r="B719" s="79" t="n"/>
      <c r="C719" s="79" t="n"/>
      <c r="D719" s="79" t="n"/>
      <c r="E719" s="79" t="n"/>
      <c r="F719" s="79" t="n"/>
      <c r="G719" s="79" t="n"/>
      <c r="H719" s="79" t="n"/>
      <c r="I719" s="79" t="n"/>
      <c r="J719" s="79" t="n"/>
      <c r="K719" s="79" t="n"/>
      <c r="L719" s="79" t="n"/>
      <c r="M719" s="79" t="n"/>
      <c r="N719" s="79" t="n"/>
      <c r="O719" s="79" t="n"/>
      <c r="P719" s="79" t="n"/>
      <c r="Q719" s="79" t="n"/>
      <c r="R719" s="79" t="n"/>
      <c r="S719" s="79" t="n"/>
      <c r="T719" s="79" t="n"/>
      <c r="U719" s="79" t="n"/>
      <c r="V719" s="79" t="n"/>
      <c r="W719" s="79" t="n"/>
      <c r="X719" s="79" t="n"/>
      <c r="Y719" s="79" t="n"/>
      <c r="Z719" s="79" t="n"/>
    </row>
    <row r="720">
      <c r="A720" s="79" t="n"/>
      <c r="B720" s="79" t="n"/>
      <c r="C720" s="79" t="n"/>
      <c r="D720" s="79" t="n"/>
      <c r="E720" s="79" t="n"/>
      <c r="F720" s="79" t="n"/>
      <c r="G720" s="79" t="n"/>
      <c r="H720" s="79" t="n"/>
      <c r="I720" s="79" t="n"/>
      <c r="J720" s="79" t="n"/>
      <c r="K720" s="79" t="n"/>
      <c r="L720" s="79" t="n"/>
      <c r="M720" s="79" t="n"/>
      <c r="N720" s="79" t="n"/>
      <c r="O720" s="79" t="n"/>
      <c r="P720" s="79" t="n"/>
      <c r="Q720" s="79" t="n"/>
      <c r="R720" s="79" t="n"/>
      <c r="S720" s="79" t="n"/>
      <c r="T720" s="79" t="n"/>
      <c r="U720" s="79" t="n"/>
      <c r="V720" s="79" t="n"/>
      <c r="W720" s="79" t="n"/>
      <c r="X720" s="79" t="n"/>
      <c r="Y720" s="79" t="n"/>
      <c r="Z720" s="79" t="n"/>
    </row>
    <row r="721">
      <c r="A721" s="79" t="n"/>
      <c r="B721" s="79" t="n"/>
      <c r="C721" s="79" t="n"/>
      <c r="D721" s="79" t="n"/>
      <c r="E721" s="79" t="n"/>
      <c r="F721" s="79" t="n"/>
      <c r="G721" s="79" t="n"/>
      <c r="H721" s="79" t="n"/>
      <c r="I721" s="79" t="n"/>
      <c r="J721" s="79" t="n"/>
      <c r="K721" s="79" t="n"/>
      <c r="L721" s="79" t="n"/>
      <c r="M721" s="79" t="n"/>
      <c r="N721" s="79" t="n"/>
      <c r="O721" s="79" t="n"/>
      <c r="P721" s="79" t="n"/>
      <c r="Q721" s="79" t="n"/>
      <c r="R721" s="79" t="n"/>
      <c r="S721" s="79" t="n"/>
      <c r="T721" s="79" t="n"/>
      <c r="U721" s="79" t="n"/>
      <c r="V721" s="79" t="n"/>
      <c r="W721" s="79" t="n"/>
      <c r="X721" s="79" t="n"/>
      <c r="Y721" s="79" t="n"/>
      <c r="Z721" s="79" t="n"/>
    </row>
    <row r="722">
      <c r="A722" s="79" t="n"/>
      <c r="B722" s="79" t="n"/>
      <c r="C722" s="79" t="n"/>
      <c r="D722" s="79" t="n"/>
      <c r="E722" s="79" t="n"/>
      <c r="F722" s="79" t="n"/>
      <c r="G722" s="79" t="n"/>
      <c r="H722" s="79" t="n"/>
      <c r="I722" s="79" t="n"/>
      <c r="J722" s="79" t="n"/>
      <c r="K722" s="79" t="n"/>
      <c r="L722" s="79" t="n"/>
      <c r="M722" s="79" t="n"/>
      <c r="N722" s="79" t="n"/>
      <c r="O722" s="79" t="n"/>
      <c r="P722" s="79" t="n"/>
      <c r="Q722" s="79" t="n"/>
      <c r="R722" s="79" t="n"/>
      <c r="S722" s="79" t="n"/>
      <c r="T722" s="79" t="n"/>
      <c r="U722" s="79" t="n"/>
      <c r="V722" s="79" t="n"/>
      <c r="W722" s="79" t="n"/>
      <c r="X722" s="79" t="n"/>
      <c r="Y722" s="79" t="n"/>
      <c r="Z722" s="79" t="n"/>
    </row>
    <row r="723">
      <c r="A723" s="79" t="n"/>
      <c r="B723" s="79" t="n"/>
      <c r="C723" s="79" t="n"/>
      <c r="D723" s="79" t="n"/>
      <c r="E723" s="79" t="n"/>
      <c r="F723" s="79" t="n"/>
      <c r="G723" s="79" t="n"/>
      <c r="H723" s="79" t="n"/>
      <c r="I723" s="79" t="n"/>
      <c r="J723" s="79" t="n"/>
      <c r="K723" s="79" t="n"/>
      <c r="L723" s="79" t="n"/>
      <c r="M723" s="79" t="n"/>
      <c r="N723" s="79" t="n"/>
      <c r="O723" s="79" t="n"/>
      <c r="P723" s="79" t="n"/>
      <c r="Q723" s="79" t="n"/>
      <c r="R723" s="79" t="n"/>
      <c r="S723" s="79" t="n"/>
      <c r="T723" s="79" t="n"/>
      <c r="U723" s="79" t="n"/>
      <c r="V723" s="79" t="n"/>
      <c r="W723" s="79" t="n"/>
      <c r="X723" s="79" t="n"/>
      <c r="Y723" s="79" t="n"/>
      <c r="Z723" s="79" t="n"/>
    </row>
    <row r="724">
      <c r="A724" s="79" t="n"/>
      <c r="B724" s="79" t="n"/>
      <c r="C724" s="79" t="n"/>
      <c r="D724" s="79" t="n"/>
      <c r="E724" s="79" t="n"/>
      <c r="F724" s="79" t="n"/>
      <c r="G724" s="79" t="n"/>
      <c r="H724" s="79" t="n"/>
      <c r="I724" s="79" t="n"/>
      <c r="J724" s="79" t="n"/>
      <c r="K724" s="79" t="n"/>
      <c r="L724" s="79" t="n"/>
      <c r="M724" s="79" t="n"/>
      <c r="N724" s="79" t="n"/>
      <c r="O724" s="79" t="n"/>
      <c r="P724" s="79" t="n"/>
      <c r="Q724" s="79" t="n"/>
      <c r="R724" s="79" t="n"/>
      <c r="S724" s="79" t="n"/>
      <c r="T724" s="79" t="n"/>
      <c r="U724" s="79" t="n"/>
      <c r="V724" s="79" t="n"/>
      <c r="W724" s="79" t="n"/>
      <c r="X724" s="79" t="n"/>
      <c r="Y724" s="79" t="n"/>
      <c r="Z724" s="79" t="n"/>
    </row>
    <row r="725">
      <c r="A725" s="79" t="n"/>
      <c r="B725" s="79" t="n"/>
      <c r="C725" s="79" t="n"/>
      <c r="D725" s="79" t="n"/>
      <c r="E725" s="79" t="n"/>
      <c r="F725" s="79" t="n"/>
      <c r="G725" s="79" t="n"/>
      <c r="H725" s="79" t="n"/>
      <c r="I725" s="79" t="n"/>
      <c r="J725" s="79" t="n"/>
      <c r="K725" s="79" t="n"/>
      <c r="L725" s="79" t="n"/>
      <c r="M725" s="79" t="n"/>
      <c r="N725" s="79" t="n"/>
      <c r="O725" s="79" t="n"/>
      <c r="P725" s="79" t="n"/>
      <c r="Q725" s="79" t="n"/>
      <c r="R725" s="79" t="n"/>
      <c r="S725" s="79" t="n"/>
      <c r="T725" s="79" t="n"/>
      <c r="U725" s="79" t="n"/>
      <c r="V725" s="79" t="n"/>
      <c r="W725" s="79" t="n"/>
      <c r="X725" s="79" t="n"/>
      <c r="Y725" s="79" t="n"/>
      <c r="Z725" s="79" t="n"/>
    </row>
    <row r="726">
      <c r="A726" s="79" t="n"/>
      <c r="B726" s="79" t="n"/>
      <c r="C726" s="79" t="n"/>
      <c r="D726" s="79" t="n"/>
      <c r="E726" s="79" t="n"/>
      <c r="F726" s="79" t="n"/>
      <c r="G726" s="79" t="n"/>
      <c r="H726" s="79" t="n"/>
      <c r="I726" s="79" t="n"/>
      <c r="J726" s="79" t="n"/>
      <c r="K726" s="79" t="n"/>
      <c r="L726" s="79" t="n"/>
      <c r="M726" s="79" t="n"/>
      <c r="N726" s="79" t="n"/>
      <c r="O726" s="79" t="n"/>
      <c r="P726" s="79" t="n"/>
      <c r="Q726" s="79" t="n"/>
      <c r="R726" s="79" t="n"/>
      <c r="S726" s="79" t="n"/>
      <c r="T726" s="79" t="n"/>
      <c r="U726" s="79" t="n"/>
      <c r="V726" s="79" t="n"/>
      <c r="W726" s="79" t="n"/>
      <c r="X726" s="79" t="n"/>
      <c r="Y726" s="79" t="n"/>
      <c r="Z726" s="79" t="n"/>
    </row>
    <row r="727">
      <c r="A727" s="79" t="n"/>
      <c r="B727" s="79" t="n"/>
      <c r="C727" s="79" t="n"/>
      <c r="D727" s="79" t="n"/>
      <c r="E727" s="79" t="n"/>
      <c r="F727" s="79" t="n"/>
      <c r="G727" s="79" t="n"/>
      <c r="H727" s="79" t="n"/>
      <c r="I727" s="79" t="n"/>
      <c r="J727" s="79" t="n"/>
      <c r="K727" s="79" t="n"/>
      <c r="L727" s="79" t="n"/>
      <c r="M727" s="79" t="n"/>
      <c r="N727" s="79" t="n"/>
      <c r="O727" s="79" t="n"/>
      <c r="P727" s="79" t="n"/>
      <c r="Q727" s="79" t="n"/>
      <c r="R727" s="79" t="n"/>
      <c r="S727" s="79" t="n"/>
      <c r="T727" s="79" t="n"/>
      <c r="U727" s="79" t="n"/>
      <c r="V727" s="79" t="n"/>
      <c r="W727" s="79" t="n"/>
      <c r="X727" s="79" t="n"/>
      <c r="Y727" s="79" t="n"/>
      <c r="Z727" s="79" t="n"/>
    </row>
    <row r="728">
      <c r="A728" s="79" t="n"/>
      <c r="B728" s="79" t="n"/>
      <c r="C728" s="79" t="n"/>
      <c r="D728" s="79" t="n"/>
      <c r="E728" s="79" t="n"/>
      <c r="F728" s="79" t="n"/>
      <c r="G728" s="79" t="n"/>
      <c r="H728" s="79" t="n"/>
      <c r="I728" s="79" t="n"/>
      <c r="J728" s="79" t="n"/>
      <c r="K728" s="79" t="n"/>
      <c r="L728" s="79" t="n"/>
      <c r="M728" s="79" t="n"/>
      <c r="N728" s="79" t="n"/>
      <c r="O728" s="79" t="n"/>
      <c r="P728" s="79" t="n"/>
      <c r="Q728" s="79" t="n"/>
      <c r="R728" s="79" t="n"/>
      <c r="S728" s="79" t="n"/>
      <c r="T728" s="79" t="n"/>
      <c r="U728" s="79" t="n"/>
      <c r="V728" s="79" t="n"/>
      <c r="W728" s="79" t="n"/>
      <c r="X728" s="79" t="n"/>
      <c r="Y728" s="79" t="n"/>
      <c r="Z728" s="79" t="n"/>
    </row>
    <row r="729">
      <c r="A729" s="79" t="n"/>
      <c r="B729" s="79" t="n"/>
      <c r="C729" s="79" t="n"/>
      <c r="D729" s="79" t="n"/>
      <c r="E729" s="79" t="n"/>
      <c r="F729" s="79" t="n"/>
      <c r="G729" s="79" t="n"/>
      <c r="H729" s="79" t="n"/>
      <c r="I729" s="79" t="n"/>
      <c r="J729" s="79" t="n"/>
      <c r="K729" s="79" t="n"/>
      <c r="L729" s="79" t="n"/>
      <c r="M729" s="79" t="n"/>
      <c r="N729" s="79" t="n"/>
      <c r="O729" s="79" t="n"/>
      <c r="P729" s="79" t="n"/>
      <c r="Q729" s="79" t="n"/>
      <c r="R729" s="79" t="n"/>
      <c r="S729" s="79" t="n"/>
      <c r="T729" s="79" t="n"/>
      <c r="U729" s="79" t="n"/>
      <c r="V729" s="79" t="n"/>
      <c r="W729" s="79" t="n"/>
      <c r="X729" s="79" t="n"/>
      <c r="Y729" s="79" t="n"/>
      <c r="Z729" s="79" t="n"/>
    </row>
    <row r="730">
      <c r="A730" s="79" t="n"/>
      <c r="B730" s="79" t="n"/>
      <c r="C730" s="79" t="n"/>
      <c r="D730" s="79" t="n"/>
      <c r="E730" s="79" t="n"/>
      <c r="F730" s="79" t="n"/>
      <c r="G730" s="79" t="n"/>
      <c r="H730" s="79" t="n"/>
      <c r="I730" s="79" t="n"/>
      <c r="J730" s="79" t="n"/>
      <c r="K730" s="79" t="n"/>
      <c r="L730" s="79" t="n"/>
      <c r="M730" s="79" t="n"/>
      <c r="N730" s="79" t="n"/>
      <c r="O730" s="79" t="n"/>
      <c r="P730" s="79" t="n"/>
      <c r="Q730" s="79" t="n"/>
      <c r="R730" s="79" t="n"/>
      <c r="S730" s="79" t="n"/>
      <c r="T730" s="79" t="n"/>
      <c r="U730" s="79" t="n"/>
      <c r="V730" s="79" t="n"/>
      <c r="W730" s="79" t="n"/>
      <c r="X730" s="79" t="n"/>
      <c r="Y730" s="79" t="n"/>
      <c r="Z730" s="79" t="n"/>
    </row>
    <row r="731">
      <c r="A731" s="79" t="n"/>
      <c r="B731" s="79" t="n"/>
      <c r="C731" s="79" t="n"/>
      <c r="D731" s="79" t="n"/>
      <c r="E731" s="79" t="n"/>
      <c r="F731" s="79" t="n"/>
      <c r="G731" s="79" t="n"/>
      <c r="H731" s="79" t="n"/>
      <c r="I731" s="79" t="n"/>
      <c r="J731" s="79" t="n"/>
      <c r="K731" s="79" t="n"/>
      <c r="L731" s="79" t="n"/>
      <c r="M731" s="79" t="n"/>
      <c r="N731" s="79" t="n"/>
      <c r="O731" s="79" t="n"/>
      <c r="P731" s="79" t="n"/>
      <c r="Q731" s="79" t="n"/>
      <c r="R731" s="79" t="n"/>
      <c r="S731" s="79" t="n"/>
      <c r="T731" s="79" t="n"/>
      <c r="U731" s="79" t="n"/>
      <c r="V731" s="79" t="n"/>
      <c r="W731" s="79" t="n"/>
      <c r="X731" s="79" t="n"/>
      <c r="Y731" s="79" t="n"/>
      <c r="Z731" s="79" t="n"/>
    </row>
    <row r="732">
      <c r="A732" s="79" t="n"/>
      <c r="B732" s="79" t="n"/>
      <c r="C732" s="79" t="n"/>
      <c r="D732" s="79" t="n"/>
      <c r="E732" s="79" t="n"/>
      <c r="F732" s="79" t="n"/>
      <c r="G732" s="79" t="n"/>
      <c r="H732" s="79" t="n"/>
      <c r="I732" s="79" t="n"/>
      <c r="J732" s="79" t="n"/>
      <c r="K732" s="79" t="n"/>
      <c r="L732" s="79" t="n"/>
      <c r="M732" s="79" t="n"/>
      <c r="N732" s="79" t="n"/>
      <c r="O732" s="79" t="n"/>
      <c r="P732" s="79" t="n"/>
      <c r="Q732" s="79" t="n"/>
      <c r="R732" s="79" t="n"/>
      <c r="S732" s="79" t="n"/>
      <c r="T732" s="79" t="n"/>
      <c r="U732" s="79" t="n"/>
      <c r="V732" s="79" t="n"/>
      <c r="W732" s="79" t="n"/>
      <c r="X732" s="79" t="n"/>
      <c r="Y732" s="79" t="n"/>
      <c r="Z732" s="79" t="n"/>
    </row>
    <row r="733">
      <c r="A733" s="79" t="n"/>
      <c r="B733" s="79" t="n"/>
      <c r="C733" s="79" t="n"/>
      <c r="D733" s="79" t="n"/>
      <c r="E733" s="79" t="n"/>
      <c r="F733" s="79" t="n"/>
      <c r="G733" s="79" t="n"/>
      <c r="H733" s="79" t="n"/>
      <c r="I733" s="79" t="n"/>
      <c r="J733" s="79" t="n"/>
      <c r="K733" s="79" t="n"/>
      <c r="L733" s="79" t="n"/>
      <c r="M733" s="79" t="n"/>
      <c r="N733" s="79" t="n"/>
      <c r="O733" s="79" t="n"/>
      <c r="P733" s="79" t="n"/>
      <c r="Q733" s="79" t="n"/>
      <c r="R733" s="79" t="n"/>
      <c r="S733" s="79" t="n"/>
      <c r="T733" s="79" t="n"/>
      <c r="U733" s="79" t="n"/>
      <c r="V733" s="79" t="n"/>
      <c r="W733" s="79" t="n"/>
      <c r="X733" s="79" t="n"/>
      <c r="Y733" s="79" t="n"/>
      <c r="Z733" s="79" t="n"/>
    </row>
    <row r="734">
      <c r="A734" s="79" t="n"/>
      <c r="B734" s="79" t="n"/>
      <c r="C734" s="79" t="n"/>
      <c r="D734" s="79" t="n"/>
      <c r="E734" s="79" t="n"/>
      <c r="F734" s="79" t="n"/>
      <c r="G734" s="79" t="n"/>
      <c r="H734" s="79" t="n"/>
      <c r="I734" s="79" t="n"/>
      <c r="J734" s="79" t="n"/>
      <c r="K734" s="79" t="n"/>
      <c r="L734" s="79" t="n"/>
      <c r="M734" s="79" t="n"/>
      <c r="N734" s="79" t="n"/>
      <c r="O734" s="79" t="n"/>
      <c r="P734" s="79" t="n"/>
      <c r="Q734" s="79" t="n"/>
      <c r="R734" s="79" t="n"/>
      <c r="S734" s="79" t="n"/>
      <c r="T734" s="79" t="n"/>
      <c r="U734" s="79" t="n"/>
      <c r="V734" s="79" t="n"/>
      <c r="W734" s="79" t="n"/>
      <c r="X734" s="79" t="n"/>
      <c r="Y734" s="79" t="n"/>
      <c r="Z734" s="79" t="n"/>
    </row>
    <row r="735">
      <c r="A735" s="79" t="n"/>
      <c r="B735" s="79" t="n"/>
      <c r="C735" s="79" t="n"/>
      <c r="D735" s="79" t="n"/>
      <c r="E735" s="79" t="n"/>
      <c r="F735" s="79" t="n"/>
      <c r="G735" s="79" t="n"/>
      <c r="H735" s="79" t="n"/>
      <c r="I735" s="79" t="n"/>
      <c r="J735" s="79" t="n"/>
      <c r="K735" s="79" t="n"/>
      <c r="L735" s="79" t="n"/>
      <c r="M735" s="79" t="n"/>
      <c r="N735" s="79" t="n"/>
      <c r="O735" s="79" t="n"/>
      <c r="P735" s="79" t="n"/>
      <c r="Q735" s="79" t="n"/>
      <c r="R735" s="79" t="n"/>
      <c r="S735" s="79" t="n"/>
      <c r="T735" s="79" t="n"/>
      <c r="U735" s="79" t="n"/>
      <c r="V735" s="79" t="n"/>
      <c r="W735" s="79" t="n"/>
      <c r="X735" s="79" t="n"/>
      <c r="Y735" s="79" t="n"/>
      <c r="Z735" s="79" t="n"/>
    </row>
    <row r="736">
      <c r="A736" s="79" t="n"/>
      <c r="B736" s="79" t="n"/>
      <c r="C736" s="79" t="n"/>
      <c r="D736" s="79" t="n"/>
      <c r="E736" s="79" t="n"/>
      <c r="F736" s="79" t="n"/>
      <c r="G736" s="79" t="n"/>
      <c r="H736" s="79" t="n"/>
      <c r="I736" s="79" t="n"/>
      <c r="J736" s="79" t="n"/>
      <c r="K736" s="79" t="n"/>
      <c r="L736" s="79" t="n"/>
      <c r="M736" s="79" t="n"/>
      <c r="N736" s="79" t="n"/>
      <c r="O736" s="79" t="n"/>
      <c r="P736" s="79" t="n"/>
      <c r="Q736" s="79" t="n"/>
      <c r="R736" s="79" t="n"/>
      <c r="S736" s="79" t="n"/>
      <c r="T736" s="79" t="n"/>
      <c r="U736" s="79" t="n"/>
      <c r="V736" s="79" t="n"/>
      <c r="W736" s="79" t="n"/>
      <c r="X736" s="79" t="n"/>
      <c r="Y736" s="79" t="n"/>
      <c r="Z736" s="79" t="n"/>
    </row>
    <row r="737">
      <c r="A737" s="79" t="n"/>
      <c r="B737" s="79" t="n"/>
      <c r="C737" s="79" t="n"/>
      <c r="D737" s="79" t="n"/>
      <c r="E737" s="79" t="n"/>
      <c r="F737" s="79" t="n"/>
      <c r="G737" s="79" t="n"/>
      <c r="H737" s="79" t="n"/>
      <c r="I737" s="79" t="n"/>
      <c r="J737" s="79" t="n"/>
      <c r="K737" s="79" t="n"/>
      <c r="L737" s="79" t="n"/>
      <c r="M737" s="79" t="n"/>
      <c r="N737" s="79" t="n"/>
      <c r="O737" s="79" t="n"/>
      <c r="P737" s="79" t="n"/>
      <c r="Q737" s="79" t="n"/>
      <c r="R737" s="79" t="n"/>
      <c r="S737" s="79" t="n"/>
      <c r="T737" s="79" t="n"/>
      <c r="U737" s="79" t="n"/>
      <c r="V737" s="79" t="n"/>
      <c r="W737" s="79" t="n"/>
      <c r="X737" s="79" t="n"/>
      <c r="Y737" s="79" t="n"/>
      <c r="Z737" s="79" t="n"/>
    </row>
    <row r="738">
      <c r="A738" s="79" t="n"/>
      <c r="B738" s="79" t="n"/>
      <c r="C738" s="79" t="n"/>
      <c r="D738" s="79" t="n"/>
      <c r="E738" s="79" t="n"/>
      <c r="F738" s="79" t="n"/>
      <c r="G738" s="79" t="n"/>
      <c r="H738" s="79" t="n"/>
      <c r="I738" s="79" t="n"/>
      <c r="J738" s="79" t="n"/>
      <c r="K738" s="79" t="n"/>
      <c r="L738" s="79" t="n"/>
      <c r="M738" s="79" t="n"/>
      <c r="N738" s="79" t="n"/>
      <c r="O738" s="79" t="n"/>
      <c r="P738" s="79" t="n"/>
      <c r="Q738" s="79" t="n"/>
      <c r="R738" s="79" t="n"/>
      <c r="S738" s="79" t="n"/>
      <c r="T738" s="79" t="n"/>
      <c r="U738" s="79" t="n"/>
      <c r="V738" s="79" t="n"/>
      <c r="W738" s="79" t="n"/>
      <c r="X738" s="79" t="n"/>
      <c r="Y738" s="79" t="n"/>
      <c r="Z738" s="79" t="n"/>
    </row>
    <row r="739">
      <c r="A739" s="79" t="n"/>
      <c r="B739" s="79" t="n"/>
      <c r="C739" s="79" t="n"/>
      <c r="D739" s="79" t="n"/>
      <c r="E739" s="79" t="n"/>
      <c r="F739" s="79" t="n"/>
      <c r="G739" s="79" t="n"/>
      <c r="H739" s="79" t="n"/>
      <c r="I739" s="79" t="n"/>
      <c r="J739" s="79" t="n"/>
      <c r="K739" s="79" t="n"/>
      <c r="L739" s="79" t="n"/>
      <c r="M739" s="79" t="n"/>
      <c r="N739" s="79" t="n"/>
      <c r="O739" s="79" t="n"/>
      <c r="P739" s="79" t="n"/>
      <c r="Q739" s="79" t="n"/>
      <c r="R739" s="79" t="n"/>
      <c r="S739" s="79" t="n"/>
      <c r="T739" s="79" t="n"/>
      <c r="U739" s="79" t="n"/>
      <c r="V739" s="79" t="n"/>
      <c r="W739" s="79" t="n"/>
      <c r="X739" s="79" t="n"/>
      <c r="Y739" s="79" t="n"/>
      <c r="Z739" s="79" t="n"/>
    </row>
    <row r="740">
      <c r="A740" s="79" t="n"/>
      <c r="B740" s="79" t="n"/>
      <c r="C740" s="79" t="n"/>
      <c r="D740" s="79" t="n"/>
      <c r="E740" s="79" t="n"/>
      <c r="F740" s="79" t="n"/>
      <c r="G740" s="79" t="n"/>
      <c r="H740" s="79" t="n"/>
      <c r="I740" s="79" t="n"/>
      <c r="J740" s="79" t="n"/>
      <c r="K740" s="79" t="n"/>
      <c r="L740" s="79" t="n"/>
      <c r="M740" s="79" t="n"/>
      <c r="N740" s="79" t="n"/>
      <c r="O740" s="79" t="n"/>
      <c r="P740" s="79" t="n"/>
      <c r="Q740" s="79" t="n"/>
      <c r="R740" s="79" t="n"/>
      <c r="S740" s="79" t="n"/>
      <c r="T740" s="79" t="n"/>
      <c r="U740" s="79" t="n"/>
      <c r="V740" s="79" t="n"/>
      <c r="W740" s="79" t="n"/>
      <c r="X740" s="79" t="n"/>
      <c r="Y740" s="79" t="n"/>
      <c r="Z740" s="79" t="n"/>
    </row>
    <row r="741">
      <c r="A741" s="79" t="n"/>
      <c r="B741" s="79" t="n"/>
      <c r="C741" s="79" t="n"/>
      <c r="D741" s="79" t="n"/>
      <c r="E741" s="79" t="n"/>
      <c r="F741" s="79" t="n"/>
      <c r="G741" s="79" t="n"/>
      <c r="H741" s="79" t="n"/>
      <c r="I741" s="79" t="n"/>
      <c r="J741" s="79" t="n"/>
      <c r="K741" s="79" t="n"/>
      <c r="L741" s="79" t="n"/>
      <c r="M741" s="79" t="n"/>
      <c r="N741" s="79" t="n"/>
      <c r="O741" s="79" t="n"/>
      <c r="P741" s="79" t="n"/>
      <c r="Q741" s="79" t="n"/>
      <c r="R741" s="79" t="n"/>
      <c r="S741" s="79" t="n"/>
      <c r="T741" s="79" t="n"/>
      <c r="U741" s="79" t="n"/>
      <c r="V741" s="79" t="n"/>
      <c r="W741" s="79" t="n"/>
      <c r="X741" s="79" t="n"/>
      <c r="Y741" s="79" t="n"/>
      <c r="Z741" s="79" t="n"/>
    </row>
    <row r="742">
      <c r="A742" s="79" t="n"/>
      <c r="B742" s="79" t="n"/>
      <c r="C742" s="79" t="n"/>
      <c r="D742" s="79" t="n"/>
      <c r="E742" s="79" t="n"/>
      <c r="F742" s="79" t="n"/>
      <c r="G742" s="79" t="n"/>
      <c r="H742" s="79" t="n"/>
      <c r="I742" s="79" t="n"/>
      <c r="J742" s="79" t="n"/>
      <c r="K742" s="79" t="n"/>
      <c r="L742" s="79" t="n"/>
      <c r="M742" s="79" t="n"/>
      <c r="N742" s="79" t="n"/>
      <c r="O742" s="79" t="n"/>
      <c r="P742" s="79" t="n"/>
      <c r="Q742" s="79" t="n"/>
      <c r="R742" s="79" t="n"/>
      <c r="S742" s="79" t="n"/>
      <c r="T742" s="79" t="n"/>
      <c r="U742" s="79" t="n"/>
      <c r="V742" s="79" t="n"/>
      <c r="W742" s="79" t="n"/>
      <c r="X742" s="79" t="n"/>
      <c r="Y742" s="79" t="n"/>
      <c r="Z742" s="79" t="n"/>
    </row>
    <row r="743">
      <c r="A743" s="79" t="n"/>
      <c r="B743" s="79" t="n"/>
      <c r="C743" s="79" t="n"/>
      <c r="D743" s="79" t="n"/>
      <c r="E743" s="79" t="n"/>
      <c r="F743" s="79" t="n"/>
      <c r="G743" s="79" t="n"/>
      <c r="H743" s="79" t="n"/>
      <c r="I743" s="79" t="n"/>
      <c r="J743" s="79" t="n"/>
      <c r="K743" s="79" t="n"/>
      <c r="L743" s="79" t="n"/>
      <c r="M743" s="79" t="n"/>
      <c r="N743" s="79" t="n"/>
      <c r="O743" s="79" t="n"/>
      <c r="P743" s="79" t="n"/>
      <c r="Q743" s="79" t="n"/>
      <c r="R743" s="79" t="n"/>
      <c r="S743" s="79" t="n"/>
      <c r="T743" s="79" t="n"/>
      <c r="U743" s="79" t="n"/>
      <c r="V743" s="79" t="n"/>
      <c r="W743" s="79" t="n"/>
      <c r="X743" s="79" t="n"/>
      <c r="Y743" s="79" t="n"/>
      <c r="Z743" s="79" t="n"/>
    </row>
    <row r="744">
      <c r="A744" s="79" t="n"/>
      <c r="B744" s="79" t="n"/>
      <c r="C744" s="79" t="n"/>
      <c r="D744" s="79" t="n"/>
      <c r="E744" s="79" t="n"/>
      <c r="F744" s="79" t="n"/>
      <c r="G744" s="79" t="n"/>
      <c r="H744" s="79" t="n"/>
      <c r="I744" s="79" t="n"/>
      <c r="J744" s="79" t="n"/>
      <c r="K744" s="79" t="n"/>
      <c r="L744" s="79" t="n"/>
      <c r="M744" s="79" t="n"/>
      <c r="N744" s="79" t="n"/>
      <c r="O744" s="79" t="n"/>
      <c r="P744" s="79" t="n"/>
      <c r="Q744" s="79" t="n"/>
      <c r="R744" s="79" t="n"/>
      <c r="S744" s="79" t="n"/>
      <c r="T744" s="79" t="n"/>
      <c r="U744" s="79" t="n"/>
      <c r="V744" s="79" t="n"/>
      <c r="W744" s="79" t="n"/>
      <c r="X744" s="79" t="n"/>
      <c r="Y744" s="79" t="n"/>
      <c r="Z744" s="79" t="n"/>
    </row>
    <row r="745">
      <c r="A745" s="79" t="n"/>
      <c r="B745" s="79" t="n"/>
      <c r="C745" s="79" t="n"/>
      <c r="D745" s="79" t="n"/>
      <c r="E745" s="79" t="n"/>
      <c r="F745" s="79" t="n"/>
      <c r="G745" s="79" t="n"/>
      <c r="H745" s="79" t="n"/>
      <c r="I745" s="79" t="n"/>
      <c r="J745" s="79" t="n"/>
      <c r="K745" s="79" t="n"/>
      <c r="L745" s="79" t="n"/>
      <c r="M745" s="79" t="n"/>
      <c r="N745" s="79" t="n"/>
      <c r="O745" s="79" t="n"/>
      <c r="P745" s="79" t="n"/>
      <c r="Q745" s="79" t="n"/>
      <c r="R745" s="79" t="n"/>
      <c r="S745" s="79" t="n"/>
      <c r="T745" s="79" t="n"/>
      <c r="U745" s="79" t="n"/>
      <c r="V745" s="79" t="n"/>
      <c r="W745" s="79" t="n"/>
      <c r="X745" s="79" t="n"/>
      <c r="Y745" s="79" t="n"/>
      <c r="Z745" s="79" t="n"/>
    </row>
    <row r="746">
      <c r="A746" s="79" t="n"/>
      <c r="B746" s="79" t="n"/>
      <c r="C746" s="79" t="n"/>
      <c r="D746" s="79" t="n"/>
      <c r="E746" s="79" t="n"/>
      <c r="F746" s="79" t="n"/>
      <c r="G746" s="79" t="n"/>
      <c r="H746" s="79" t="n"/>
      <c r="I746" s="79" t="n"/>
      <c r="J746" s="79" t="n"/>
      <c r="K746" s="79" t="n"/>
      <c r="L746" s="79" t="n"/>
      <c r="M746" s="79" t="n"/>
      <c r="N746" s="79" t="n"/>
      <c r="O746" s="79" t="n"/>
      <c r="P746" s="79" t="n"/>
      <c r="Q746" s="79" t="n"/>
      <c r="R746" s="79" t="n"/>
      <c r="S746" s="79" t="n"/>
      <c r="T746" s="79" t="n"/>
      <c r="U746" s="79" t="n"/>
      <c r="V746" s="79" t="n"/>
      <c r="W746" s="79" t="n"/>
      <c r="X746" s="79" t="n"/>
      <c r="Y746" s="79" t="n"/>
      <c r="Z746" s="79" t="n"/>
    </row>
    <row r="747">
      <c r="A747" s="79" t="n"/>
      <c r="B747" s="79" t="n"/>
      <c r="C747" s="79" t="n"/>
      <c r="D747" s="79" t="n"/>
      <c r="E747" s="79" t="n"/>
      <c r="F747" s="79" t="n"/>
      <c r="G747" s="79" t="n"/>
      <c r="H747" s="79" t="n"/>
      <c r="I747" s="79" t="n"/>
      <c r="J747" s="79" t="n"/>
      <c r="K747" s="79" t="n"/>
      <c r="L747" s="79" t="n"/>
      <c r="M747" s="79" t="n"/>
      <c r="N747" s="79" t="n"/>
      <c r="O747" s="79" t="n"/>
      <c r="P747" s="79" t="n"/>
      <c r="Q747" s="79" t="n"/>
      <c r="R747" s="79" t="n"/>
      <c r="S747" s="79" t="n"/>
      <c r="T747" s="79" t="n"/>
      <c r="U747" s="79" t="n"/>
      <c r="V747" s="79" t="n"/>
      <c r="W747" s="79" t="n"/>
      <c r="X747" s="79" t="n"/>
      <c r="Y747" s="79" t="n"/>
      <c r="Z747" s="79" t="n"/>
    </row>
    <row r="748">
      <c r="A748" s="79" t="n"/>
      <c r="B748" s="79" t="n"/>
      <c r="C748" s="79" t="n"/>
      <c r="D748" s="79" t="n"/>
      <c r="E748" s="79" t="n"/>
      <c r="F748" s="79" t="n"/>
      <c r="G748" s="79" t="n"/>
      <c r="H748" s="79" t="n"/>
      <c r="I748" s="79" t="n"/>
      <c r="J748" s="79" t="n"/>
      <c r="K748" s="79" t="n"/>
      <c r="L748" s="79" t="n"/>
      <c r="M748" s="79" t="n"/>
      <c r="N748" s="79" t="n"/>
      <c r="O748" s="79" t="n"/>
      <c r="P748" s="79" t="n"/>
      <c r="Q748" s="79" t="n"/>
      <c r="R748" s="79" t="n"/>
      <c r="S748" s="79" t="n"/>
      <c r="T748" s="79" t="n"/>
      <c r="U748" s="79" t="n"/>
      <c r="V748" s="79" t="n"/>
      <c r="W748" s="79" t="n"/>
      <c r="X748" s="79" t="n"/>
      <c r="Y748" s="79" t="n"/>
      <c r="Z748" s="79" t="n"/>
    </row>
    <row r="749">
      <c r="A749" s="79" t="n"/>
      <c r="B749" s="79" t="n"/>
      <c r="C749" s="79" t="n"/>
      <c r="D749" s="79" t="n"/>
      <c r="E749" s="79" t="n"/>
      <c r="F749" s="79" t="n"/>
      <c r="G749" s="79" t="n"/>
      <c r="H749" s="79" t="n"/>
      <c r="I749" s="79" t="n"/>
      <c r="J749" s="79" t="n"/>
      <c r="K749" s="79" t="n"/>
      <c r="L749" s="79" t="n"/>
      <c r="M749" s="79" t="n"/>
      <c r="N749" s="79" t="n"/>
      <c r="O749" s="79" t="n"/>
      <c r="P749" s="79" t="n"/>
      <c r="Q749" s="79" t="n"/>
      <c r="R749" s="79" t="n"/>
      <c r="S749" s="79" t="n"/>
      <c r="T749" s="79" t="n"/>
      <c r="U749" s="79" t="n"/>
      <c r="V749" s="79" t="n"/>
      <c r="W749" s="79" t="n"/>
      <c r="X749" s="79" t="n"/>
      <c r="Y749" s="79" t="n"/>
      <c r="Z749" s="79" t="n"/>
    </row>
    <row r="750">
      <c r="A750" s="79" t="n"/>
      <c r="B750" s="79" t="n"/>
      <c r="C750" s="79" t="n"/>
      <c r="D750" s="79" t="n"/>
      <c r="E750" s="79" t="n"/>
      <c r="F750" s="79" t="n"/>
      <c r="G750" s="79" t="n"/>
      <c r="H750" s="79" t="n"/>
      <c r="I750" s="79" t="n"/>
      <c r="J750" s="79" t="n"/>
      <c r="K750" s="79" t="n"/>
      <c r="L750" s="79" t="n"/>
      <c r="M750" s="79" t="n"/>
      <c r="N750" s="79" t="n"/>
      <c r="O750" s="79" t="n"/>
      <c r="P750" s="79" t="n"/>
      <c r="Q750" s="79" t="n"/>
      <c r="R750" s="79" t="n"/>
      <c r="S750" s="79" t="n"/>
      <c r="T750" s="79" t="n"/>
      <c r="U750" s="79" t="n"/>
      <c r="V750" s="79" t="n"/>
      <c r="W750" s="79" t="n"/>
      <c r="X750" s="79" t="n"/>
      <c r="Y750" s="79" t="n"/>
      <c r="Z750" s="79" t="n"/>
    </row>
    <row r="751">
      <c r="A751" s="79" t="n"/>
      <c r="B751" s="79" t="n"/>
      <c r="C751" s="79" t="n"/>
      <c r="D751" s="79" t="n"/>
      <c r="E751" s="79" t="n"/>
      <c r="F751" s="79" t="n"/>
      <c r="G751" s="79" t="n"/>
      <c r="H751" s="79" t="n"/>
      <c r="I751" s="79" t="n"/>
      <c r="J751" s="79" t="n"/>
      <c r="K751" s="79" t="n"/>
      <c r="L751" s="79" t="n"/>
      <c r="M751" s="79" t="n"/>
      <c r="N751" s="79" t="n"/>
      <c r="O751" s="79" t="n"/>
      <c r="P751" s="79" t="n"/>
      <c r="Q751" s="79" t="n"/>
      <c r="R751" s="79" t="n"/>
      <c r="S751" s="79" t="n"/>
      <c r="T751" s="79" t="n"/>
      <c r="U751" s="79" t="n"/>
      <c r="V751" s="79" t="n"/>
      <c r="W751" s="79" t="n"/>
      <c r="X751" s="79" t="n"/>
      <c r="Y751" s="79" t="n"/>
      <c r="Z751" s="79" t="n"/>
    </row>
    <row r="752">
      <c r="A752" s="79" t="n"/>
      <c r="B752" s="79" t="n"/>
      <c r="C752" s="79" t="n"/>
      <c r="D752" s="79" t="n"/>
      <c r="E752" s="79" t="n"/>
      <c r="F752" s="79" t="n"/>
      <c r="G752" s="79" t="n"/>
      <c r="H752" s="79" t="n"/>
      <c r="I752" s="79" t="n"/>
      <c r="J752" s="79" t="n"/>
      <c r="K752" s="79" t="n"/>
      <c r="L752" s="79" t="n"/>
      <c r="M752" s="79" t="n"/>
      <c r="N752" s="79" t="n"/>
      <c r="O752" s="79" t="n"/>
      <c r="P752" s="79" t="n"/>
      <c r="Q752" s="79" t="n"/>
      <c r="R752" s="79" t="n"/>
      <c r="S752" s="79" t="n"/>
      <c r="T752" s="79" t="n"/>
      <c r="U752" s="79" t="n"/>
      <c r="V752" s="79" t="n"/>
      <c r="W752" s="79" t="n"/>
      <c r="X752" s="79" t="n"/>
      <c r="Y752" s="79" t="n"/>
      <c r="Z752" s="79" t="n"/>
    </row>
    <row r="753">
      <c r="A753" s="79" t="n"/>
      <c r="B753" s="79" t="n"/>
      <c r="C753" s="79" t="n"/>
      <c r="D753" s="79" t="n"/>
      <c r="E753" s="79" t="n"/>
      <c r="F753" s="79" t="n"/>
      <c r="G753" s="79" t="n"/>
      <c r="H753" s="79" t="n"/>
      <c r="I753" s="79" t="n"/>
      <c r="J753" s="79" t="n"/>
      <c r="K753" s="79" t="n"/>
      <c r="L753" s="79" t="n"/>
      <c r="M753" s="79" t="n"/>
      <c r="N753" s="79" t="n"/>
      <c r="O753" s="79" t="n"/>
      <c r="P753" s="79" t="n"/>
      <c r="Q753" s="79" t="n"/>
      <c r="R753" s="79" t="n"/>
      <c r="S753" s="79" t="n"/>
      <c r="T753" s="79" t="n"/>
      <c r="U753" s="79" t="n"/>
      <c r="V753" s="79" t="n"/>
      <c r="W753" s="79" t="n"/>
      <c r="X753" s="79" t="n"/>
      <c r="Y753" s="79" t="n"/>
      <c r="Z753" s="79" t="n"/>
    </row>
    <row r="754">
      <c r="A754" s="79" t="n"/>
      <c r="B754" s="79" t="n"/>
      <c r="C754" s="79" t="n"/>
      <c r="D754" s="79" t="n"/>
      <c r="E754" s="79" t="n"/>
      <c r="F754" s="79" t="n"/>
      <c r="G754" s="79" t="n"/>
      <c r="H754" s="79" t="n"/>
      <c r="I754" s="79" t="n"/>
      <c r="J754" s="79" t="n"/>
      <c r="K754" s="79" t="n"/>
      <c r="L754" s="79" t="n"/>
      <c r="M754" s="79" t="n"/>
      <c r="N754" s="79" t="n"/>
      <c r="O754" s="79" t="n"/>
      <c r="P754" s="79" t="n"/>
      <c r="Q754" s="79" t="n"/>
      <c r="R754" s="79" t="n"/>
      <c r="S754" s="79" t="n"/>
      <c r="T754" s="79" t="n"/>
      <c r="U754" s="79" t="n"/>
      <c r="V754" s="79" t="n"/>
      <c r="W754" s="79" t="n"/>
      <c r="X754" s="79" t="n"/>
      <c r="Y754" s="79" t="n"/>
      <c r="Z754" s="79" t="n"/>
    </row>
    <row r="755">
      <c r="A755" s="79" t="n"/>
      <c r="B755" s="79" t="n"/>
      <c r="C755" s="79" t="n"/>
      <c r="D755" s="79" t="n"/>
      <c r="E755" s="79" t="n"/>
      <c r="F755" s="79" t="n"/>
      <c r="G755" s="79" t="n"/>
      <c r="H755" s="79" t="n"/>
      <c r="I755" s="79" t="n"/>
      <c r="J755" s="79" t="n"/>
      <c r="K755" s="79" t="n"/>
      <c r="L755" s="79" t="n"/>
      <c r="M755" s="79" t="n"/>
      <c r="N755" s="79" t="n"/>
      <c r="O755" s="79" t="n"/>
      <c r="P755" s="79" t="n"/>
      <c r="Q755" s="79" t="n"/>
      <c r="R755" s="79" t="n"/>
      <c r="S755" s="79" t="n"/>
      <c r="T755" s="79" t="n"/>
      <c r="U755" s="79" t="n"/>
      <c r="V755" s="79" t="n"/>
      <c r="W755" s="79" t="n"/>
      <c r="X755" s="79" t="n"/>
      <c r="Y755" s="79" t="n"/>
      <c r="Z755" s="79" t="n"/>
    </row>
    <row r="756">
      <c r="A756" s="79" t="n"/>
      <c r="B756" s="79" t="n"/>
      <c r="C756" s="79" t="n"/>
      <c r="D756" s="79" t="n"/>
      <c r="E756" s="79" t="n"/>
      <c r="F756" s="79" t="n"/>
      <c r="G756" s="79" t="n"/>
      <c r="H756" s="79" t="n"/>
      <c r="I756" s="79" t="n"/>
      <c r="J756" s="79" t="n"/>
      <c r="K756" s="79" t="n"/>
      <c r="L756" s="79" t="n"/>
      <c r="M756" s="79" t="n"/>
      <c r="N756" s="79" t="n"/>
      <c r="O756" s="79" t="n"/>
      <c r="P756" s="79" t="n"/>
      <c r="Q756" s="79" t="n"/>
      <c r="R756" s="79" t="n"/>
      <c r="S756" s="79" t="n"/>
      <c r="T756" s="79" t="n"/>
      <c r="U756" s="79" t="n"/>
      <c r="V756" s="79" t="n"/>
      <c r="W756" s="79" t="n"/>
      <c r="X756" s="79" t="n"/>
      <c r="Y756" s="79" t="n"/>
      <c r="Z756" s="79" t="n"/>
    </row>
    <row r="757">
      <c r="A757" s="79" t="n"/>
      <c r="B757" s="79" t="n"/>
      <c r="C757" s="79" t="n"/>
      <c r="D757" s="79" t="n"/>
      <c r="E757" s="79" t="n"/>
      <c r="F757" s="79" t="n"/>
      <c r="G757" s="79" t="n"/>
      <c r="H757" s="79" t="n"/>
      <c r="I757" s="79" t="n"/>
      <c r="J757" s="79" t="n"/>
      <c r="K757" s="79" t="n"/>
      <c r="L757" s="79" t="n"/>
      <c r="M757" s="79" t="n"/>
      <c r="N757" s="79" t="n"/>
      <c r="O757" s="79" t="n"/>
      <c r="P757" s="79" t="n"/>
      <c r="Q757" s="79" t="n"/>
      <c r="R757" s="79" t="n"/>
      <c r="S757" s="79" t="n"/>
      <c r="T757" s="79" t="n"/>
      <c r="U757" s="79" t="n"/>
      <c r="V757" s="79" t="n"/>
      <c r="W757" s="79" t="n"/>
      <c r="X757" s="79" t="n"/>
      <c r="Y757" s="79" t="n"/>
      <c r="Z757" s="79" t="n"/>
    </row>
    <row r="758">
      <c r="A758" s="79" t="n"/>
      <c r="B758" s="79" t="n"/>
      <c r="C758" s="79" t="n"/>
      <c r="D758" s="79" t="n"/>
      <c r="E758" s="79" t="n"/>
      <c r="F758" s="79" t="n"/>
      <c r="G758" s="79" t="n"/>
      <c r="H758" s="79" t="n"/>
      <c r="I758" s="79" t="n"/>
      <c r="J758" s="79" t="n"/>
      <c r="K758" s="79" t="n"/>
      <c r="L758" s="79" t="n"/>
      <c r="M758" s="79" t="n"/>
      <c r="N758" s="79" t="n"/>
      <c r="O758" s="79" t="n"/>
      <c r="P758" s="79" t="n"/>
      <c r="Q758" s="79" t="n"/>
      <c r="R758" s="79" t="n"/>
      <c r="S758" s="79" t="n"/>
      <c r="T758" s="79" t="n"/>
      <c r="U758" s="79" t="n"/>
      <c r="V758" s="79" t="n"/>
      <c r="W758" s="79" t="n"/>
      <c r="X758" s="79" t="n"/>
      <c r="Y758" s="79" t="n"/>
      <c r="Z758" s="79" t="n"/>
    </row>
    <row r="759">
      <c r="A759" s="79" t="n"/>
      <c r="B759" s="79" t="n"/>
      <c r="C759" s="79" t="n"/>
      <c r="D759" s="79" t="n"/>
      <c r="E759" s="79" t="n"/>
      <c r="F759" s="79" t="n"/>
      <c r="G759" s="79" t="n"/>
      <c r="H759" s="79" t="n"/>
      <c r="I759" s="79" t="n"/>
      <c r="J759" s="79" t="n"/>
      <c r="K759" s="79" t="n"/>
      <c r="L759" s="79" t="n"/>
      <c r="M759" s="79" t="n"/>
      <c r="N759" s="79" t="n"/>
      <c r="O759" s="79" t="n"/>
      <c r="P759" s="79" t="n"/>
      <c r="Q759" s="79" t="n"/>
      <c r="R759" s="79" t="n"/>
      <c r="S759" s="79" t="n"/>
      <c r="T759" s="79" t="n"/>
      <c r="U759" s="79" t="n"/>
      <c r="V759" s="79" t="n"/>
      <c r="W759" s="79" t="n"/>
      <c r="X759" s="79" t="n"/>
      <c r="Y759" s="79" t="n"/>
      <c r="Z759" s="79" t="n"/>
    </row>
    <row r="760">
      <c r="A760" s="79" t="n"/>
      <c r="B760" s="79" t="n"/>
      <c r="C760" s="79" t="n"/>
      <c r="D760" s="79" t="n"/>
      <c r="E760" s="79" t="n"/>
      <c r="F760" s="79" t="n"/>
      <c r="G760" s="79" t="n"/>
      <c r="H760" s="79" t="n"/>
      <c r="I760" s="79" t="n"/>
      <c r="J760" s="79" t="n"/>
      <c r="K760" s="79" t="n"/>
      <c r="L760" s="79" t="n"/>
      <c r="M760" s="79" t="n"/>
      <c r="N760" s="79" t="n"/>
      <c r="O760" s="79" t="n"/>
      <c r="P760" s="79" t="n"/>
      <c r="Q760" s="79" t="n"/>
      <c r="R760" s="79" t="n"/>
      <c r="S760" s="79" t="n"/>
      <c r="T760" s="79" t="n"/>
      <c r="U760" s="79" t="n"/>
      <c r="V760" s="79" t="n"/>
      <c r="W760" s="79" t="n"/>
      <c r="X760" s="79" t="n"/>
      <c r="Y760" s="79" t="n"/>
      <c r="Z760" s="79" t="n"/>
    </row>
    <row r="761">
      <c r="A761" s="79" t="n"/>
      <c r="B761" s="79" t="n"/>
      <c r="C761" s="79" t="n"/>
      <c r="D761" s="79" t="n"/>
      <c r="E761" s="79" t="n"/>
      <c r="F761" s="79" t="n"/>
      <c r="G761" s="79" t="n"/>
      <c r="H761" s="79" t="n"/>
      <c r="I761" s="79" t="n"/>
      <c r="J761" s="79" t="n"/>
      <c r="K761" s="79" t="n"/>
      <c r="L761" s="79" t="n"/>
      <c r="M761" s="79" t="n"/>
      <c r="N761" s="79" t="n"/>
      <c r="O761" s="79" t="n"/>
      <c r="P761" s="79" t="n"/>
      <c r="Q761" s="79" t="n"/>
      <c r="R761" s="79" t="n"/>
      <c r="S761" s="79" t="n"/>
      <c r="T761" s="79" t="n"/>
      <c r="U761" s="79" t="n"/>
      <c r="V761" s="79" t="n"/>
      <c r="W761" s="79" t="n"/>
      <c r="X761" s="79" t="n"/>
      <c r="Y761" s="79" t="n"/>
      <c r="Z761" s="79" t="n"/>
    </row>
    <row r="762">
      <c r="A762" s="79" t="n"/>
      <c r="B762" s="79" t="n"/>
      <c r="C762" s="79" t="n"/>
      <c r="D762" s="79" t="n"/>
      <c r="E762" s="79" t="n"/>
      <c r="F762" s="79" t="n"/>
      <c r="G762" s="79" t="n"/>
      <c r="H762" s="79" t="n"/>
      <c r="I762" s="79" t="n"/>
      <c r="J762" s="79" t="n"/>
      <c r="K762" s="79" t="n"/>
      <c r="L762" s="79" t="n"/>
      <c r="M762" s="79" t="n"/>
      <c r="N762" s="79" t="n"/>
      <c r="O762" s="79" t="n"/>
      <c r="P762" s="79" t="n"/>
      <c r="Q762" s="79" t="n"/>
      <c r="R762" s="79" t="n"/>
      <c r="S762" s="79" t="n"/>
      <c r="T762" s="79" t="n"/>
      <c r="U762" s="79" t="n"/>
      <c r="V762" s="79" t="n"/>
      <c r="W762" s="79" t="n"/>
      <c r="X762" s="79" t="n"/>
      <c r="Y762" s="79" t="n"/>
      <c r="Z762" s="79" t="n"/>
    </row>
    <row r="763">
      <c r="A763" s="79" t="n"/>
      <c r="B763" s="79" t="n"/>
      <c r="C763" s="79" t="n"/>
      <c r="D763" s="79" t="n"/>
      <c r="E763" s="79" t="n"/>
      <c r="F763" s="79" t="n"/>
      <c r="G763" s="79" t="n"/>
      <c r="H763" s="79" t="n"/>
      <c r="I763" s="79" t="n"/>
      <c r="J763" s="79" t="n"/>
      <c r="K763" s="79" t="n"/>
      <c r="L763" s="79" t="n"/>
      <c r="M763" s="79" t="n"/>
      <c r="N763" s="79" t="n"/>
      <c r="O763" s="79" t="n"/>
      <c r="P763" s="79" t="n"/>
      <c r="Q763" s="79" t="n"/>
      <c r="R763" s="79" t="n"/>
      <c r="S763" s="79" t="n"/>
      <c r="T763" s="79" t="n"/>
      <c r="U763" s="79" t="n"/>
      <c r="V763" s="79" t="n"/>
      <c r="W763" s="79" t="n"/>
      <c r="X763" s="79" t="n"/>
      <c r="Y763" s="79" t="n"/>
      <c r="Z763" s="79" t="n"/>
    </row>
    <row r="764">
      <c r="A764" s="79" t="n"/>
      <c r="B764" s="79" t="n"/>
      <c r="C764" s="79" t="n"/>
      <c r="D764" s="79" t="n"/>
      <c r="E764" s="79" t="n"/>
      <c r="F764" s="79" t="n"/>
      <c r="G764" s="79" t="n"/>
      <c r="H764" s="79" t="n"/>
      <c r="I764" s="79" t="n"/>
      <c r="J764" s="79" t="n"/>
      <c r="K764" s="79" t="n"/>
      <c r="L764" s="79" t="n"/>
      <c r="M764" s="79" t="n"/>
      <c r="N764" s="79" t="n"/>
      <c r="O764" s="79" t="n"/>
      <c r="P764" s="79" t="n"/>
      <c r="Q764" s="79" t="n"/>
      <c r="R764" s="79" t="n"/>
      <c r="S764" s="79" t="n"/>
      <c r="T764" s="79" t="n"/>
      <c r="U764" s="79" t="n"/>
      <c r="V764" s="79" t="n"/>
      <c r="W764" s="79" t="n"/>
      <c r="X764" s="79" t="n"/>
      <c r="Y764" s="79" t="n"/>
      <c r="Z764" s="79" t="n"/>
    </row>
    <row r="765">
      <c r="A765" s="79" t="n"/>
      <c r="B765" s="79" t="n"/>
      <c r="C765" s="79" t="n"/>
      <c r="D765" s="79" t="n"/>
      <c r="E765" s="79" t="n"/>
      <c r="F765" s="79" t="n"/>
      <c r="G765" s="79" t="n"/>
      <c r="H765" s="79" t="n"/>
      <c r="I765" s="79" t="n"/>
      <c r="J765" s="79" t="n"/>
      <c r="K765" s="79" t="n"/>
      <c r="L765" s="79" t="n"/>
      <c r="M765" s="79" t="n"/>
      <c r="N765" s="79" t="n"/>
      <c r="O765" s="79" t="n"/>
      <c r="P765" s="79" t="n"/>
      <c r="Q765" s="79" t="n"/>
      <c r="R765" s="79" t="n"/>
      <c r="S765" s="79" t="n"/>
      <c r="T765" s="79" t="n"/>
      <c r="U765" s="79" t="n"/>
      <c r="V765" s="79" t="n"/>
      <c r="W765" s="79" t="n"/>
      <c r="X765" s="79" t="n"/>
      <c r="Y765" s="79" t="n"/>
      <c r="Z765" s="79" t="n"/>
    </row>
    <row r="766">
      <c r="A766" s="79" t="n"/>
      <c r="B766" s="79" t="n"/>
      <c r="C766" s="79" t="n"/>
      <c r="D766" s="79" t="n"/>
      <c r="E766" s="79" t="n"/>
      <c r="F766" s="79" t="n"/>
      <c r="G766" s="79" t="n"/>
      <c r="H766" s="79" t="n"/>
      <c r="I766" s="79" t="n"/>
      <c r="J766" s="79" t="n"/>
      <c r="K766" s="79" t="n"/>
      <c r="L766" s="79" t="n"/>
      <c r="M766" s="79" t="n"/>
      <c r="N766" s="79" t="n"/>
      <c r="O766" s="79" t="n"/>
      <c r="P766" s="79" t="n"/>
      <c r="Q766" s="79" t="n"/>
      <c r="R766" s="79" t="n"/>
      <c r="S766" s="79" t="n"/>
      <c r="T766" s="79" t="n"/>
      <c r="U766" s="79" t="n"/>
      <c r="V766" s="79" t="n"/>
      <c r="W766" s="79" t="n"/>
      <c r="X766" s="79" t="n"/>
      <c r="Y766" s="79" t="n"/>
      <c r="Z766" s="79" t="n"/>
    </row>
    <row r="767">
      <c r="A767" s="79" t="n"/>
      <c r="B767" s="79" t="n"/>
      <c r="C767" s="79" t="n"/>
      <c r="D767" s="79" t="n"/>
      <c r="E767" s="79" t="n"/>
      <c r="F767" s="79" t="n"/>
      <c r="G767" s="79" t="n"/>
      <c r="H767" s="79" t="n"/>
      <c r="I767" s="79" t="n"/>
      <c r="J767" s="79" t="n"/>
      <c r="K767" s="79" t="n"/>
      <c r="L767" s="79" t="n"/>
      <c r="M767" s="79" t="n"/>
      <c r="N767" s="79" t="n"/>
      <c r="O767" s="79" t="n"/>
      <c r="P767" s="79" t="n"/>
      <c r="Q767" s="79" t="n"/>
      <c r="R767" s="79" t="n"/>
      <c r="S767" s="79" t="n"/>
      <c r="T767" s="79" t="n"/>
      <c r="U767" s="79" t="n"/>
      <c r="V767" s="79" t="n"/>
      <c r="W767" s="79" t="n"/>
      <c r="X767" s="79" t="n"/>
      <c r="Y767" s="79" t="n"/>
      <c r="Z767" s="79" t="n"/>
    </row>
    <row r="768">
      <c r="A768" s="79" t="n"/>
      <c r="B768" s="79" t="n"/>
      <c r="C768" s="79" t="n"/>
      <c r="D768" s="79" t="n"/>
      <c r="E768" s="79" t="n"/>
      <c r="F768" s="79" t="n"/>
      <c r="G768" s="79" t="n"/>
      <c r="H768" s="79" t="n"/>
      <c r="I768" s="79" t="n"/>
      <c r="J768" s="79" t="n"/>
      <c r="K768" s="79" t="n"/>
      <c r="L768" s="79" t="n"/>
      <c r="M768" s="79" t="n"/>
      <c r="N768" s="79" t="n"/>
      <c r="O768" s="79" t="n"/>
      <c r="P768" s="79" t="n"/>
      <c r="Q768" s="79" t="n"/>
      <c r="R768" s="79" t="n"/>
      <c r="S768" s="79" t="n"/>
      <c r="T768" s="79" t="n"/>
      <c r="U768" s="79" t="n"/>
      <c r="V768" s="79" t="n"/>
      <c r="W768" s="79" t="n"/>
      <c r="X768" s="79" t="n"/>
      <c r="Y768" s="79" t="n"/>
      <c r="Z768" s="79" t="n"/>
    </row>
    <row r="769">
      <c r="A769" s="79" t="n"/>
      <c r="B769" s="79" t="n"/>
      <c r="C769" s="79" t="n"/>
      <c r="D769" s="79" t="n"/>
      <c r="E769" s="79" t="n"/>
      <c r="F769" s="79" t="n"/>
      <c r="G769" s="79" t="n"/>
      <c r="H769" s="79" t="n"/>
      <c r="I769" s="79" t="n"/>
      <c r="J769" s="79" t="n"/>
      <c r="K769" s="79" t="n"/>
      <c r="L769" s="79" t="n"/>
      <c r="M769" s="79" t="n"/>
      <c r="N769" s="79" t="n"/>
      <c r="O769" s="79" t="n"/>
      <c r="P769" s="79" t="n"/>
      <c r="Q769" s="79" t="n"/>
      <c r="R769" s="79" t="n"/>
      <c r="S769" s="79" t="n"/>
      <c r="T769" s="79" t="n"/>
      <c r="U769" s="79" t="n"/>
      <c r="V769" s="79" t="n"/>
      <c r="W769" s="79" t="n"/>
      <c r="X769" s="79" t="n"/>
      <c r="Y769" s="79" t="n"/>
      <c r="Z769" s="79" t="n"/>
    </row>
    <row r="770">
      <c r="A770" s="79" t="n"/>
      <c r="B770" s="79" t="n"/>
      <c r="C770" s="79" t="n"/>
      <c r="D770" s="79" t="n"/>
      <c r="E770" s="79" t="n"/>
      <c r="F770" s="79" t="n"/>
      <c r="G770" s="79" t="n"/>
      <c r="H770" s="79" t="n"/>
      <c r="I770" s="79" t="n"/>
      <c r="J770" s="79" t="n"/>
      <c r="K770" s="79" t="n"/>
      <c r="L770" s="79" t="n"/>
      <c r="M770" s="79" t="n"/>
      <c r="N770" s="79" t="n"/>
      <c r="O770" s="79" t="n"/>
      <c r="P770" s="79" t="n"/>
      <c r="Q770" s="79" t="n"/>
      <c r="R770" s="79" t="n"/>
      <c r="S770" s="79" t="n"/>
      <c r="T770" s="79" t="n"/>
      <c r="U770" s="79" t="n"/>
      <c r="V770" s="79" t="n"/>
      <c r="W770" s="79" t="n"/>
      <c r="X770" s="79" t="n"/>
      <c r="Y770" s="79" t="n"/>
      <c r="Z770" s="79" t="n"/>
    </row>
    <row r="771">
      <c r="A771" s="79" t="n"/>
      <c r="B771" s="79" t="n"/>
      <c r="C771" s="79" t="n"/>
      <c r="D771" s="79" t="n"/>
      <c r="E771" s="79" t="n"/>
      <c r="F771" s="79" t="n"/>
      <c r="G771" s="79" t="n"/>
      <c r="H771" s="79" t="n"/>
      <c r="I771" s="79" t="n"/>
      <c r="J771" s="79" t="n"/>
      <c r="K771" s="79" t="n"/>
      <c r="L771" s="79" t="n"/>
      <c r="M771" s="79" t="n"/>
      <c r="N771" s="79" t="n"/>
      <c r="O771" s="79" t="n"/>
      <c r="P771" s="79" t="n"/>
      <c r="Q771" s="79" t="n"/>
      <c r="R771" s="79" t="n"/>
      <c r="S771" s="79" t="n"/>
      <c r="T771" s="79" t="n"/>
      <c r="U771" s="79" t="n"/>
      <c r="V771" s="79" t="n"/>
      <c r="W771" s="79" t="n"/>
      <c r="X771" s="79" t="n"/>
      <c r="Y771" s="79" t="n"/>
      <c r="Z771" s="79" t="n"/>
    </row>
    <row r="772">
      <c r="A772" s="79" t="n"/>
      <c r="B772" s="79" t="n"/>
      <c r="C772" s="79" t="n"/>
      <c r="D772" s="79" t="n"/>
      <c r="E772" s="79" t="n"/>
      <c r="F772" s="79" t="n"/>
      <c r="G772" s="79" t="n"/>
      <c r="H772" s="79" t="n"/>
      <c r="I772" s="79" t="n"/>
      <c r="J772" s="79" t="n"/>
      <c r="K772" s="79" t="n"/>
      <c r="L772" s="79" t="n"/>
      <c r="M772" s="79" t="n"/>
      <c r="N772" s="79" t="n"/>
      <c r="O772" s="79" t="n"/>
      <c r="P772" s="79" t="n"/>
      <c r="Q772" s="79" t="n"/>
      <c r="R772" s="79" t="n"/>
      <c r="S772" s="79" t="n"/>
      <c r="T772" s="79" t="n"/>
      <c r="U772" s="79" t="n"/>
      <c r="V772" s="79" t="n"/>
      <c r="W772" s="79" t="n"/>
      <c r="X772" s="79" t="n"/>
      <c r="Y772" s="79" t="n"/>
      <c r="Z772" s="79" t="n"/>
    </row>
    <row r="773">
      <c r="A773" s="79" t="n"/>
      <c r="B773" s="79" t="n"/>
      <c r="C773" s="79" t="n"/>
      <c r="D773" s="79" t="n"/>
      <c r="E773" s="79" t="n"/>
      <c r="F773" s="79" t="n"/>
      <c r="G773" s="79" t="n"/>
      <c r="H773" s="79" t="n"/>
      <c r="I773" s="79" t="n"/>
      <c r="J773" s="79" t="n"/>
      <c r="K773" s="79" t="n"/>
      <c r="L773" s="79" t="n"/>
      <c r="M773" s="79" t="n"/>
      <c r="N773" s="79" t="n"/>
      <c r="O773" s="79" t="n"/>
      <c r="P773" s="79" t="n"/>
      <c r="Q773" s="79" t="n"/>
      <c r="R773" s="79" t="n"/>
      <c r="S773" s="79" t="n"/>
      <c r="T773" s="79" t="n"/>
      <c r="U773" s="79" t="n"/>
      <c r="V773" s="79" t="n"/>
      <c r="W773" s="79" t="n"/>
      <c r="X773" s="79" t="n"/>
      <c r="Y773" s="79" t="n"/>
      <c r="Z773" s="79" t="n"/>
    </row>
    <row r="774">
      <c r="A774" s="79" t="n"/>
      <c r="B774" s="79" t="n"/>
      <c r="C774" s="79" t="n"/>
      <c r="D774" s="79" t="n"/>
      <c r="E774" s="79" t="n"/>
      <c r="F774" s="79" t="n"/>
      <c r="G774" s="79" t="n"/>
      <c r="H774" s="79" t="n"/>
      <c r="I774" s="79" t="n"/>
      <c r="J774" s="79" t="n"/>
      <c r="K774" s="79" t="n"/>
      <c r="L774" s="79" t="n"/>
      <c r="M774" s="79" t="n"/>
      <c r="N774" s="79" t="n"/>
      <c r="O774" s="79" t="n"/>
      <c r="P774" s="79" t="n"/>
      <c r="Q774" s="79" t="n"/>
      <c r="R774" s="79" t="n"/>
      <c r="S774" s="79" t="n"/>
      <c r="T774" s="79" t="n"/>
      <c r="U774" s="79" t="n"/>
      <c r="V774" s="79" t="n"/>
      <c r="W774" s="79" t="n"/>
      <c r="X774" s="79" t="n"/>
      <c r="Y774" s="79" t="n"/>
      <c r="Z774" s="79" t="n"/>
    </row>
    <row r="775">
      <c r="A775" s="79" t="n"/>
      <c r="B775" s="79" t="n"/>
      <c r="C775" s="79" t="n"/>
      <c r="D775" s="79" t="n"/>
      <c r="E775" s="79" t="n"/>
      <c r="F775" s="79" t="n"/>
      <c r="G775" s="79" t="n"/>
      <c r="H775" s="79" t="n"/>
      <c r="I775" s="79" t="n"/>
      <c r="J775" s="79" t="n"/>
      <c r="K775" s="79" t="n"/>
      <c r="L775" s="79" t="n"/>
      <c r="M775" s="79" t="n"/>
      <c r="N775" s="79" t="n"/>
      <c r="O775" s="79" t="n"/>
      <c r="P775" s="79" t="n"/>
      <c r="Q775" s="79" t="n"/>
      <c r="R775" s="79" t="n"/>
      <c r="S775" s="79" t="n"/>
      <c r="T775" s="79" t="n"/>
      <c r="U775" s="79" t="n"/>
      <c r="V775" s="79" t="n"/>
      <c r="W775" s="79" t="n"/>
      <c r="X775" s="79" t="n"/>
      <c r="Y775" s="79" t="n"/>
      <c r="Z775" s="79" t="n"/>
    </row>
    <row r="776">
      <c r="A776" s="79" t="n"/>
      <c r="B776" s="79" t="n"/>
      <c r="C776" s="79" t="n"/>
      <c r="D776" s="79" t="n"/>
      <c r="E776" s="79" t="n"/>
      <c r="F776" s="79" t="n"/>
      <c r="G776" s="79" t="n"/>
      <c r="H776" s="79" t="n"/>
      <c r="I776" s="79" t="n"/>
      <c r="J776" s="79" t="n"/>
      <c r="K776" s="79" t="n"/>
      <c r="L776" s="79" t="n"/>
      <c r="M776" s="79" t="n"/>
      <c r="N776" s="79" t="n"/>
      <c r="O776" s="79" t="n"/>
      <c r="P776" s="79" t="n"/>
      <c r="Q776" s="79" t="n"/>
      <c r="R776" s="79" t="n"/>
      <c r="S776" s="79" t="n"/>
      <c r="T776" s="79" t="n"/>
      <c r="U776" s="79" t="n"/>
      <c r="V776" s="79" t="n"/>
      <c r="W776" s="79" t="n"/>
      <c r="X776" s="79" t="n"/>
      <c r="Y776" s="79" t="n"/>
      <c r="Z776" s="79" t="n"/>
    </row>
    <row r="777">
      <c r="A777" s="79" t="n"/>
      <c r="B777" s="79" t="n"/>
      <c r="C777" s="79" t="n"/>
      <c r="D777" s="79" t="n"/>
      <c r="E777" s="79" t="n"/>
      <c r="F777" s="79" t="n"/>
      <c r="G777" s="79" t="n"/>
      <c r="H777" s="79" t="n"/>
      <c r="I777" s="79" t="n"/>
      <c r="J777" s="79" t="n"/>
      <c r="K777" s="79" t="n"/>
      <c r="L777" s="79" t="n"/>
      <c r="M777" s="79" t="n"/>
      <c r="N777" s="79" t="n"/>
      <c r="O777" s="79" t="n"/>
      <c r="P777" s="79" t="n"/>
      <c r="Q777" s="79" t="n"/>
      <c r="R777" s="79" t="n"/>
      <c r="S777" s="79" t="n"/>
      <c r="T777" s="79" t="n"/>
      <c r="U777" s="79" t="n"/>
      <c r="V777" s="79" t="n"/>
      <c r="W777" s="79" t="n"/>
      <c r="X777" s="79" t="n"/>
      <c r="Y777" s="79" t="n"/>
      <c r="Z777" s="79" t="n"/>
    </row>
    <row r="778">
      <c r="A778" s="79" t="n"/>
      <c r="B778" s="79" t="n"/>
      <c r="C778" s="79" t="n"/>
      <c r="D778" s="79" t="n"/>
      <c r="E778" s="79" t="n"/>
      <c r="F778" s="79" t="n"/>
      <c r="G778" s="79" t="n"/>
      <c r="H778" s="79" t="n"/>
      <c r="I778" s="79" t="n"/>
      <c r="J778" s="79" t="n"/>
      <c r="K778" s="79" t="n"/>
      <c r="L778" s="79" t="n"/>
      <c r="M778" s="79" t="n"/>
      <c r="N778" s="79" t="n"/>
      <c r="O778" s="79" t="n"/>
      <c r="P778" s="79" t="n"/>
      <c r="Q778" s="79" t="n"/>
      <c r="R778" s="79" t="n"/>
      <c r="S778" s="79" t="n"/>
      <c r="T778" s="79" t="n"/>
      <c r="U778" s="79" t="n"/>
      <c r="V778" s="79" t="n"/>
      <c r="W778" s="79" t="n"/>
      <c r="X778" s="79" t="n"/>
      <c r="Y778" s="79" t="n"/>
      <c r="Z778" s="79" t="n"/>
    </row>
    <row r="779">
      <c r="A779" s="79" t="n"/>
      <c r="B779" s="79" t="n"/>
      <c r="C779" s="79" t="n"/>
      <c r="D779" s="79" t="n"/>
      <c r="E779" s="79" t="n"/>
      <c r="F779" s="79" t="n"/>
      <c r="G779" s="79" t="n"/>
      <c r="H779" s="79" t="n"/>
      <c r="I779" s="79" t="n"/>
      <c r="J779" s="79" t="n"/>
      <c r="K779" s="79" t="n"/>
      <c r="L779" s="79" t="n"/>
      <c r="M779" s="79" t="n"/>
      <c r="N779" s="79" t="n"/>
      <c r="O779" s="79" t="n"/>
      <c r="P779" s="79" t="n"/>
      <c r="Q779" s="79" t="n"/>
      <c r="R779" s="79" t="n"/>
      <c r="S779" s="79" t="n"/>
      <c r="T779" s="79" t="n"/>
      <c r="U779" s="79" t="n"/>
      <c r="V779" s="79" t="n"/>
      <c r="W779" s="79" t="n"/>
      <c r="X779" s="79" t="n"/>
      <c r="Y779" s="79" t="n"/>
      <c r="Z779" s="79" t="n"/>
    </row>
    <row r="780">
      <c r="A780" s="79" t="n"/>
      <c r="B780" s="79" t="n"/>
      <c r="C780" s="79" t="n"/>
      <c r="D780" s="79" t="n"/>
      <c r="E780" s="79" t="n"/>
      <c r="F780" s="79" t="n"/>
      <c r="G780" s="79" t="n"/>
      <c r="H780" s="79" t="n"/>
      <c r="I780" s="79" t="n"/>
      <c r="J780" s="79" t="n"/>
      <c r="K780" s="79" t="n"/>
      <c r="L780" s="79" t="n"/>
      <c r="M780" s="79" t="n"/>
      <c r="N780" s="79" t="n"/>
      <c r="O780" s="79" t="n"/>
      <c r="P780" s="79" t="n"/>
      <c r="Q780" s="79" t="n"/>
      <c r="R780" s="79" t="n"/>
      <c r="S780" s="79" t="n"/>
      <c r="T780" s="79" t="n"/>
      <c r="U780" s="79" t="n"/>
      <c r="V780" s="79" t="n"/>
      <c r="W780" s="79" t="n"/>
      <c r="X780" s="79" t="n"/>
      <c r="Y780" s="79" t="n"/>
      <c r="Z780" s="79" t="n"/>
    </row>
    <row r="781">
      <c r="A781" s="79" t="n"/>
      <c r="B781" s="79" t="n"/>
      <c r="C781" s="79" t="n"/>
      <c r="D781" s="79" t="n"/>
      <c r="E781" s="79" t="n"/>
      <c r="F781" s="79" t="n"/>
      <c r="G781" s="79" t="n"/>
      <c r="H781" s="79" t="n"/>
      <c r="I781" s="79" t="n"/>
      <c r="J781" s="79" t="n"/>
      <c r="K781" s="79" t="n"/>
      <c r="L781" s="79" t="n"/>
      <c r="M781" s="79" t="n"/>
      <c r="N781" s="79" t="n"/>
      <c r="O781" s="79" t="n"/>
      <c r="P781" s="79" t="n"/>
      <c r="Q781" s="79" t="n"/>
      <c r="R781" s="79" t="n"/>
      <c r="S781" s="79" t="n"/>
      <c r="T781" s="79" t="n"/>
      <c r="U781" s="79" t="n"/>
      <c r="V781" s="79" t="n"/>
      <c r="W781" s="79" t="n"/>
      <c r="X781" s="79" t="n"/>
      <c r="Y781" s="79" t="n"/>
      <c r="Z781" s="79" t="n"/>
    </row>
    <row r="782">
      <c r="A782" s="79" t="n"/>
      <c r="B782" s="79" t="n"/>
      <c r="C782" s="79" t="n"/>
      <c r="D782" s="79" t="n"/>
      <c r="E782" s="79" t="n"/>
      <c r="F782" s="79" t="n"/>
      <c r="G782" s="79" t="n"/>
      <c r="H782" s="79" t="n"/>
      <c r="I782" s="79" t="n"/>
      <c r="J782" s="79" t="n"/>
      <c r="K782" s="79" t="n"/>
      <c r="L782" s="79" t="n"/>
      <c r="M782" s="79" t="n"/>
      <c r="N782" s="79" t="n"/>
      <c r="O782" s="79" t="n"/>
      <c r="P782" s="79" t="n"/>
      <c r="Q782" s="79" t="n"/>
      <c r="R782" s="79" t="n"/>
      <c r="S782" s="79" t="n"/>
      <c r="T782" s="79" t="n"/>
      <c r="U782" s="79" t="n"/>
      <c r="V782" s="79" t="n"/>
      <c r="W782" s="79" t="n"/>
      <c r="X782" s="79" t="n"/>
      <c r="Y782" s="79" t="n"/>
      <c r="Z782" s="79" t="n"/>
    </row>
    <row r="783">
      <c r="A783" s="79" t="n"/>
      <c r="B783" s="79" t="n"/>
      <c r="C783" s="79" t="n"/>
      <c r="D783" s="79" t="n"/>
      <c r="E783" s="79" t="n"/>
      <c r="F783" s="79" t="n"/>
      <c r="G783" s="79" t="n"/>
      <c r="H783" s="79" t="n"/>
      <c r="I783" s="79" t="n"/>
      <c r="J783" s="79" t="n"/>
      <c r="K783" s="79" t="n"/>
      <c r="L783" s="79" t="n"/>
      <c r="M783" s="79" t="n"/>
      <c r="N783" s="79" t="n"/>
      <c r="O783" s="79" t="n"/>
      <c r="P783" s="79" t="n"/>
      <c r="Q783" s="79" t="n"/>
      <c r="R783" s="79" t="n"/>
      <c r="S783" s="79" t="n"/>
      <c r="T783" s="79" t="n"/>
      <c r="U783" s="79" t="n"/>
      <c r="V783" s="79" t="n"/>
      <c r="W783" s="79" t="n"/>
      <c r="X783" s="79" t="n"/>
      <c r="Y783" s="79" t="n"/>
      <c r="Z783" s="79" t="n"/>
    </row>
    <row r="784">
      <c r="A784" s="79" t="n"/>
      <c r="B784" s="79" t="n"/>
      <c r="C784" s="79" t="n"/>
      <c r="D784" s="79" t="n"/>
      <c r="E784" s="79" t="n"/>
      <c r="F784" s="79" t="n"/>
      <c r="G784" s="79" t="n"/>
      <c r="H784" s="79" t="n"/>
      <c r="I784" s="79" t="n"/>
      <c r="J784" s="79" t="n"/>
      <c r="K784" s="79" t="n"/>
      <c r="L784" s="79" t="n"/>
      <c r="M784" s="79" t="n"/>
      <c r="N784" s="79" t="n"/>
      <c r="O784" s="79" t="n"/>
      <c r="P784" s="79" t="n"/>
      <c r="Q784" s="79" t="n"/>
      <c r="R784" s="79" t="n"/>
      <c r="S784" s="79" t="n"/>
      <c r="T784" s="79" t="n"/>
      <c r="U784" s="79" t="n"/>
      <c r="V784" s="79" t="n"/>
      <c r="W784" s="79" t="n"/>
      <c r="X784" s="79" t="n"/>
      <c r="Y784" s="79" t="n"/>
      <c r="Z784" s="79" t="n"/>
    </row>
    <row r="785">
      <c r="A785" s="79" t="n"/>
      <c r="B785" s="79" t="n"/>
      <c r="C785" s="79" t="n"/>
      <c r="D785" s="79" t="n"/>
      <c r="E785" s="79" t="n"/>
      <c r="F785" s="79" t="n"/>
      <c r="G785" s="79" t="n"/>
      <c r="H785" s="79" t="n"/>
      <c r="I785" s="79" t="n"/>
      <c r="J785" s="79" t="n"/>
      <c r="K785" s="79" t="n"/>
      <c r="L785" s="79" t="n"/>
      <c r="M785" s="79" t="n"/>
      <c r="N785" s="79" t="n"/>
      <c r="O785" s="79" t="n"/>
      <c r="P785" s="79" t="n"/>
      <c r="Q785" s="79" t="n"/>
      <c r="R785" s="79" t="n"/>
      <c r="S785" s="79" t="n"/>
      <c r="T785" s="79" t="n"/>
      <c r="U785" s="79" t="n"/>
      <c r="V785" s="79" t="n"/>
      <c r="W785" s="79" t="n"/>
      <c r="X785" s="79" t="n"/>
      <c r="Y785" s="79" t="n"/>
      <c r="Z785" s="79" t="n"/>
    </row>
    <row r="786">
      <c r="A786" s="79" t="n"/>
      <c r="B786" s="79" t="n"/>
      <c r="C786" s="79" t="n"/>
      <c r="D786" s="79" t="n"/>
      <c r="E786" s="79" t="n"/>
      <c r="F786" s="79" t="n"/>
      <c r="G786" s="79" t="n"/>
      <c r="H786" s="79" t="n"/>
      <c r="I786" s="79" t="n"/>
      <c r="J786" s="79" t="n"/>
      <c r="K786" s="79" t="n"/>
      <c r="L786" s="79" t="n"/>
      <c r="M786" s="79" t="n"/>
      <c r="N786" s="79" t="n"/>
      <c r="O786" s="79" t="n"/>
      <c r="P786" s="79" t="n"/>
      <c r="Q786" s="79" t="n"/>
      <c r="R786" s="79" t="n"/>
      <c r="S786" s="79" t="n"/>
      <c r="T786" s="79" t="n"/>
      <c r="U786" s="79" t="n"/>
      <c r="V786" s="79" t="n"/>
      <c r="W786" s="79" t="n"/>
      <c r="X786" s="79" t="n"/>
      <c r="Y786" s="79" t="n"/>
      <c r="Z786" s="79" t="n"/>
    </row>
    <row r="787">
      <c r="A787" s="79" t="n"/>
      <c r="B787" s="79" t="n"/>
      <c r="C787" s="79" t="n"/>
      <c r="D787" s="79" t="n"/>
      <c r="E787" s="79" t="n"/>
      <c r="F787" s="79" t="n"/>
      <c r="G787" s="79" t="n"/>
      <c r="H787" s="79" t="n"/>
      <c r="I787" s="79" t="n"/>
      <c r="J787" s="79" t="n"/>
      <c r="K787" s="79" t="n"/>
      <c r="L787" s="79" t="n"/>
      <c r="M787" s="79" t="n"/>
      <c r="N787" s="79" t="n"/>
      <c r="O787" s="79" t="n"/>
      <c r="P787" s="79" t="n"/>
      <c r="Q787" s="79" t="n"/>
      <c r="R787" s="79" t="n"/>
      <c r="S787" s="79" t="n"/>
      <c r="T787" s="79" t="n"/>
      <c r="U787" s="79" t="n"/>
      <c r="V787" s="79" t="n"/>
      <c r="W787" s="79" t="n"/>
      <c r="X787" s="79" t="n"/>
      <c r="Y787" s="79" t="n"/>
      <c r="Z787" s="79" t="n"/>
    </row>
    <row r="788">
      <c r="A788" s="79" t="n"/>
      <c r="B788" s="79" t="n"/>
      <c r="C788" s="79" t="n"/>
      <c r="D788" s="79" t="n"/>
      <c r="E788" s="79" t="n"/>
      <c r="F788" s="79" t="n"/>
      <c r="G788" s="79" t="n"/>
      <c r="H788" s="79" t="n"/>
      <c r="I788" s="79" t="n"/>
      <c r="J788" s="79" t="n"/>
      <c r="K788" s="79" t="n"/>
      <c r="L788" s="79" t="n"/>
      <c r="M788" s="79" t="n"/>
      <c r="N788" s="79" t="n"/>
      <c r="O788" s="79" t="n"/>
      <c r="P788" s="79" t="n"/>
      <c r="Q788" s="79" t="n"/>
      <c r="R788" s="79" t="n"/>
      <c r="S788" s="79" t="n"/>
      <c r="T788" s="79" t="n"/>
      <c r="U788" s="79" t="n"/>
      <c r="V788" s="79" t="n"/>
      <c r="W788" s="79" t="n"/>
      <c r="X788" s="79" t="n"/>
      <c r="Y788" s="79" t="n"/>
      <c r="Z788" s="79" t="n"/>
    </row>
    <row r="789">
      <c r="A789" s="79" t="n"/>
      <c r="B789" s="79" t="n"/>
      <c r="C789" s="79" t="n"/>
      <c r="D789" s="79" t="n"/>
      <c r="E789" s="79" t="n"/>
      <c r="F789" s="79" t="n"/>
      <c r="G789" s="79" t="n"/>
      <c r="H789" s="79" t="n"/>
      <c r="I789" s="79" t="n"/>
      <c r="J789" s="79" t="n"/>
      <c r="K789" s="79" t="n"/>
      <c r="L789" s="79" t="n"/>
      <c r="M789" s="79" t="n"/>
      <c r="N789" s="79" t="n"/>
      <c r="O789" s="79" t="n"/>
      <c r="P789" s="79" t="n"/>
      <c r="Q789" s="79" t="n"/>
      <c r="R789" s="79" t="n"/>
      <c r="S789" s="79" t="n"/>
      <c r="T789" s="79" t="n"/>
      <c r="U789" s="79" t="n"/>
      <c r="V789" s="79" t="n"/>
      <c r="W789" s="79" t="n"/>
      <c r="X789" s="79" t="n"/>
      <c r="Y789" s="79" t="n"/>
      <c r="Z789" s="79" t="n"/>
    </row>
    <row r="790">
      <c r="A790" s="79" t="n"/>
      <c r="B790" s="79" t="n"/>
      <c r="C790" s="79" t="n"/>
      <c r="D790" s="79" t="n"/>
      <c r="E790" s="79" t="n"/>
      <c r="F790" s="79" t="n"/>
      <c r="G790" s="79" t="n"/>
      <c r="H790" s="79" t="n"/>
      <c r="I790" s="79" t="n"/>
      <c r="J790" s="79" t="n"/>
      <c r="K790" s="79" t="n"/>
      <c r="L790" s="79" t="n"/>
      <c r="M790" s="79" t="n"/>
      <c r="N790" s="79" t="n"/>
      <c r="O790" s="79" t="n"/>
      <c r="P790" s="79" t="n"/>
      <c r="Q790" s="79" t="n"/>
      <c r="R790" s="79" t="n"/>
      <c r="S790" s="79" t="n"/>
      <c r="T790" s="79" t="n"/>
      <c r="U790" s="79" t="n"/>
      <c r="V790" s="79" t="n"/>
      <c r="W790" s="79" t="n"/>
      <c r="X790" s="79" t="n"/>
      <c r="Y790" s="79" t="n"/>
      <c r="Z790" s="79" t="n"/>
    </row>
    <row r="791">
      <c r="A791" s="79" t="n"/>
      <c r="B791" s="79" t="n"/>
      <c r="C791" s="79" t="n"/>
      <c r="D791" s="79" t="n"/>
      <c r="E791" s="79" t="n"/>
      <c r="F791" s="79" t="n"/>
      <c r="G791" s="79" t="n"/>
      <c r="H791" s="79" t="n"/>
      <c r="I791" s="79" t="n"/>
      <c r="J791" s="79" t="n"/>
      <c r="K791" s="79" t="n"/>
      <c r="L791" s="79" t="n"/>
      <c r="M791" s="79" t="n"/>
      <c r="N791" s="79" t="n"/>
      <c r="O791" s="79" t="n"/>
      <c r="P791" s="79" t="n"/>
      <c r="Q791" s="79" t="n"/>
      <c r="R791" s="79" t="n"/>
      <c r="S791" s="79" t="n"/>
      <c r="T791" s="79" t="n"/>
      <c r="U791" s="79" t="n"/>
      <c r="V791" s="79" t="n"/>
      <c r="W791" s="79" t="n"/>
      <c r="X791" s="79" t="n"/>
      <c r="Y791" s="79" t="n"/>
      <c r="Z791" s="79" t="n"/>
    </row>
    <row r="792">
      <c r="A792" s="79" t="n"/>
      <c r="B792" s="79" t="n"/>
      <c r="C792" s="79" t="n"/>
      <c r="D792" s="79" t="n"/>
      <c r="E792" s="79" t="n"/>
      <c r="F792" s="79" t="n"/>
      <c r="G792" s="79" t="n"/>
      <c r="H792" s="79" t="n"/>
      <c r="I792" s="79" t="n"/>
      <c r="J792" s="79" t="n"/>
      <c r="K792" s="79" t="n"/>
      <c r="L792" s="79" t="n"/>
      <c r="M792" s="79" t="n"/>
      <c r="N792" s="79" t="n"/>
      <c r="O792" s="79" t="n"/>
      <c r="P792" s="79" t="n"/>
      <c r="Q792" s="79" t="n"/>
      <c r="R792" s="79" t="n"/>
      <c r="S792" s="79" t="n"/>
      <c r="T792" s="79" t="n"/>
      <c r="U792" s="79" t="n"/>
      <c r="V792" s="79" t="n"/>
      <c r="W792" s="79" t="n"/>
      <c r="X792" s="79" t="n"/>
      <c r="Y792" s="79" t="n"/>
      <c r="Z792" s="79" t="n"/>
    </row>
    <row r="793">
      <c r="A793" s="79" t="n"/>
      <c r="B793" s="79" t="n"/>
      <c r="C793" s="79" t="n"/>
      <c r="D793" s="79" t="n"/>
      <c r="E793" s="79" t="n"/>
      <c r="F793" s="79" t="n"/>
      <c r="G793" s="79" t="n"/>
      <c r="H793" s="79" t="n"/>
      <c r="I793" s="79" t="n"/>
      <c r="J793" s="79" t="n"/>
      <c r="K793" s="79" t="n"/>
      <c r="L793" s="79" t="n"/>
      <c r="M793" s="79" t="n"/>
      <c r="N793" s="79" t="n"/>
      <c r="O793" s="79" t="n"/>
      <c r="P793" s="79" t="n"/>
      <c r="Q793" s="79" t="n"/>
      <c r="R793" s="79" t="n"/>
      <c r="S793" s="79" t="n"/>
      <c r="T793" s="79" t="n"/>
      <c r="U793" s="79" t="n"/>
      <c r="V793" s="79" t="n"/>
      <c r="W793" s="79" t="n"/>
      <c r="X793" s="79" t="n"/>
      <c r="Y793" s="79" t="n"/>
      <c r="Z793" s="79" t="n"/>
    </row>
    <row r="794">
      <c r="A794" s="79" t="n"/>
      <c r="B794" s="79" t="n"/>
      <c r="C794" s="79" t="n"/>
      <c r="D794" s="79" t="n"/>
      <c r="E794" s="79" t="n"/>
      <c r="F794" s="79" t="n"/>
      <c r="G794" s="79" t="n"/>
      <c r="H794" s="79" t="n"/>
      <c r="I794" s="79" t="n"/>
      <c r="J794" s="79" t="n"/>
      <c r="K794" s="79" t="n"/>
      <c r="L794" s="79" t="n"/>
      <c r="M794" s="79" t="n"/>
      <c r="N794" s="79" t="n"/>
      <c r="O794" s="79" t="n"/>
      <c r="P794" s="79" t="n"/>
      <c r="Q794" s="79" t="n"/>
      <c r="R794" s="79" t="n"/>
      <c r="S794" s="79" t="n"/>
      <c r="T794" s="79" t="n"/>
      <c r="U794" s="79" t="n"/>
      <c r="V794" s="79" t="n"/>
      <c r="W794" s="79" t="n"/>
      <c r="X794" s="79" t="n"/>
      <c r="Y794" s="79" t="n"/>
      <c r="Z794" s="79" t="n"/>
    </row>
    <row r="795">
      <c r="A795" s="79" t="n"/>
      <c r="B795" s="79" t="n"/>
      <c r="C795" s="79" t="n"/>
      <c r="D795" s="79" t="n"/>
      <c r="E795" s="79" t="n"/>
      <c r="F795" s="79" t="n"/>
      <c r="G795" s="79" t="n"/>
      <c r="H795" s="79" t="n"/>
      <c r="I795" s="79" t="n"/>
      <c r="J795" s="79" t="n"/>
      <c r="K795" s="79" t="n"/>
      <c r="L795" s="79" t="n"/>
      <c r="M795" s="79" t="n"/>
      <c r="N795" s="79" t="n"/>
      <c r="O795" s="79" t="n"/>
      <c r="P795" s="79" t="n"/>
      <c r="Q795" s="79" t="n"/>
      <c r="R795" s="79" t="n"/>
      <c r="S795" s="79" t="n"/>
      <c r="T795" s="79" t="n"/>
      <c r="U795" s="79" t="n"/>
      <c r="V795" s="79" t="n"/>
      <c r="W795" s="79" t="n"/>
      <c r="X795" s="79" t="n"/>
      <c r="Y795" s="79" t="n"/>
      <c r="Z795" s="79" t="n"/>
    </row>
    <row r="796">
      <c r="A796" s="79" t="n"/>
      <c r="B796" s="79" t="n"/>
      <c r="C796" s="79" t="n"/>
      <c r="D796" s="79" t="n"/>
      <c r="E796" s="79" t="n"/>
      <c r="F796" s="79" t="n"/>
      <c r="G796" s="79" t="n"/>
      <c r="H796" s="79" t="n"/>
      <c r="I796" s="79" t="n"/>
      <c r="J796" s="79" t="n"/>
      <c r="K796" s="79" t="n"/>
      <c r="L796" s="79" t="n"/>
      <c r="M796" s="79" t="n"/>
      <c r="N796" s="79" t="n"/>
      <c r="O796" s="79" t="n"/>
      <c r="P796" s="79" t="n"/>
      <c r="Q796" s="79" t="n"/>
      <c r="R796" s="79" t="n"/>
      <c r="S796" s="79" t="n"/>
      <c r="T796" s="79" t="n"/>
      <c r="U796" s="79" t="n"/>
      <c r="V796" s="79" t="n"/>
      <c r="W796" s="79" t="n"/>
      <c r="X796" s="79" t="n"/>
      <c r="Y796" s="79" t="n"/>
      <c r="Z796" s="79" t="n"/>
    </row>
    <row r="797">
      <c r="A797" s="79" t="n"/>
      <c r="B797" s="79" t="n"/>
      <c r="C797" s="79" t="n"/>
      <c r="D797" s="79" t="n"/>
      <c r="E797" s="79" t="n"/>
      <c r="F797" s="79" t="n"/>
      <c r="G797" s="79" t="n"/>
      <c r="H797" s="79" t="n"/>
      <c r="I797" s="79" t="n"/>
      <c r="J797" s="79" t="n"/>
      <c r="K797" s="79" t="n"/>
      <c r="L797" s="79" t="n"/>
      <c r="M797" s="79" t="n"/>
      <c r="N797" s="79" t="n"/>
      <c r="O797" s="79" t="n"/>
      <c r="P797" s="79" t="n"/>
      <c r="Q797" s="79" t="n"/>
      <c r="R797" s="79" t="n"/>
      <c r="S797" s="79" t="n"/>
      <c r="T797" s="79" t="n"/>
      <c r="U797" s="79" t="n"/>
      <c r="V797" s="79" t="n"/>
      <c r="W797" s="79" t="n"/>
      <c r="X797" s="79" t="n"/>
      <c r="Y797" s="79" t="n"/>
      <c r="Z797" s="79" t="n"/>
    </row>
    <row r="798">
      <c r="A798" s="79" t="n"/>
      <c r="B798" s="79" t="n"/>
      <c r="C798" s="79" t="n"/>
      <c r="D798" s="79" t="n"/>
      <c r="E798" s="79" t="n"/>
      <c r="F798" s="79" t="n"/>
      <c r="G798" s="79" t="n"/>
      <c r="H798" s="79" t="n"/>
      <c r="I798" s="79" t="n"/>
      <c r="J798" s="79" t="n"/>
      <c r="K798" s="79" t="n"/>
      <c r="L798" s="79" t="n"/>
      <c r="M798" s="79" t="n"/>
      <c r="N798" s="79" t="n"/>
      <c r="O798" s="79" t="n"/>
      <c r="P798" s="79" t="n"/>
      <c r="Q798" s="79" t="n"/>
      <c r="R798" s="79" t="n"/>
      <c r="S798" s="79" t="n"/>
      <c r="T798" s="79" t="n"/>
      <c r="U798" s="79" t="n"/>
      <c r="V798" s="79" t="n"/>
      <c r="W798" s="79" t="n"/>
      <c r="X798" s="79" t="n"/>
      <c r="Y798" s="79" t="n"/>
      <c r="Z798" s="79" t="n"/>
    </row>
    <row r="799">
      <c r="A799" s="79" t="n"/>
      <c r="B799" s="79" t="n"/>
      <c r="C799" s="79" t="n"/>
      <c r="D799" s="79" t="n"/>
      <c r="E799" s="79" t="n"/>
      <c r="F799" s="79" t="n"/>
      <c r="G799" s="79" t="n"/>
      <c r="H799" s="79" t="n"/>
      <c r="I799" s="79" t="n"/>
      <c r="J799" s="79" t="n"/>
      <c r="K799" s="79" t="n"/>
      <c r="L799" s="79" t="n"/>
      <c r="M799" s="79" t="n"/>
      <c r="N799" s="79" t="n"/>
      <c r="O799" s="79" t="n"/>
      <c r="P799" s="79" t="n"/>
      <c r="Q799" s="79" t="n"/>
      <c r="R799" s="79" t="n"/>
      <c r="S799" s="79" t="n"/>
      <c r="T799" s="79" t="n"/>
      <c r="U799" s="79" t="n"/>
      <c r="V799" s="79" t="n"/>
      <c r="W799" s="79" t="n"/>
      <c r="X799" s="79" t="n"/>
      <c r="Y799" s="79" t="n"/>
      <c r="Z799" s="79" t="n"/>
    </row>
    <row r="800">
      <c r="A800" s="79" t="n"/>
      <c r="B800" s="79" t="n"/>
      <c r="C800" s="79" t="n"/>
      <c r="D800" s="79" t="n"/>
      <c r="E800" s="79" t="n"/>
      <c r="F800" s="79" t="n"/>
      <c r="G800" s="79" t="n"/>
      <c r="H800" s="79" t="n"/>
      <c r="I800" s="79" t="n"/>
      <c r="J800" s="79" t="n"/>
      <c r="K800" s="79" t="n"/>
      <c r="L800" s="79" t="n"/>
      <c r="M800" s="79" t="n"/>
      <c r="N800" s="79" t="n"/>
      <c r="O800" s="79" t="n"/>
      <c r="P800" s="79" t="n"/>
      <c r="Q800" s="79" t="n"/>
      <c r="R800" s="79" t="n"/>
      <c r="S800" s="79" t="n"/>
      <c r="T800" s="79" t="n"/>
      <c r="U800" s="79" t="n"/>
      <c r="V800" s="79" t="n"/>
      <c r="W800" s="79" t="n"/>
      <c r="X800" s="79" t="n"/>
      <c r="Y800" s="79" t="n"/>
      <c r="Z800" s="79" t="n"/>
    </row>
    <row r="801">
      <c r="A801" s="79" t="n"/>
      <c r="B801" s="79" t="n"/>
      <c r="C801" s="79" t="n"/>
      <c r="D801" s="79" t="n"/>
      <c r="E801" s="79" t="n"/>
      <c r="F801" s="79" t="n"/>
      <c r="G801" s="79" t="n"/>
      <c r="H801" s="79" t="n"/>
      <c r="I801" s="79" t="n"/>
      <c r="J801" s="79" t="n"/>
      <c r="K801" s="79" t="n"/>
      <c r="L801" s="79" t="n"/>
      <c r="M801" s="79" t="n"/>
      <c r="N801" s="79" t="n"/>
      <c r="O801" s="79" t="n"/>
      <c r="P801" s="79" t="n"/>
      <c r="Q801" s="79" t="n"/>
      <c r="R801" s="79" t="n"/>
      <c r="S801" s="79" t="n"/>
      <c r="T801" s="79" t="n"/>
      <c r="U801" s="79" t="n"/>
      <c r="V801" s="79" t="n"/>
      <c r="W801" s="79" t="n"/>
      <c r="X801" s="79" t="n"/>
      <c r="Y801" s="79" t="n"/>
      <c r="Z801" s="79" t="n"/>
    </row>
    <row r="802">
      <c r="A802" s="79" t="n"/>
      <c r="B802" s="79" t="n"/>
      <c r="C802" s="79" t="n"/>
      <c r="D802" s="79" t="n"/>
      <c r="E802" s="79" t="n"/>
      <c r="F802" s="79" t="n"/>
      <c r="G802" s="79" t="n"/>
      <c r="H802" s="79" t="n"/>
      <c r="I802" s="79" t="n"/>
      <c r="J802" s="79" t="n"/>
      <c r="K802" s="79" t="n"/>
      <c r="L802" s="79" t="n"/>
      <c r="M802" s="79" t="n"/>
      <c r="N802" s="79" t="n"/>
      <c r="O802" s="79" t="n"/>
      <c r="P802" s="79" t="n"/>
      <c r="Q802" s="79" t="n"/>
      <c r="R802" s="79" t="n"/>
      <c r="S802" s="79" t="n"/>
      <c r="T802" s="79" t="n"/>
      <c r="U802" s="79" t="n"/>
      <c r="V802" s="79" t="n"/>
      <c r="W802" s="79" t="n"/>
      <c r="X802" s="79" t="n"/>
      <c r="Y802" s="79" t="n"/>
      <c r="Z802" s="79" t="n"/>
    </row>
    <row r="803">
      <c r="A803" s="79" t="n"/>
      <c r="B803" s="79" t="n"/>
      <c r="C803" s="79" t="n"/>
      <c r="D803" s="79" t="n"/>
      <c r="E803" s="79" t="n"/>
      <c r="F803" s="79" t="n"/>
      <c r="G803" s="79" t="n"/>
      <c r="H803" s="79" t="n"/>
      <c r="I803" s="79" t="n"/>
      <c r="J803" s="79" t="n"/>
      <c r="K803" s="79" t="n"/>
      <c r="L803" s="79" t="n"/>
      <c r="M803" s="79" t="n"/>
      <c r="N803" s="79" t="n"/>
      <c r="O803" s="79" t="n"/>
      <c r="P803" s="79" t="n"/>
      <c r="Q803" s="79" t="n"/>
      <c r="R803" s="79" t="n"/>
      <c r="S803" s="79" t="n"/>
      <c r="T803" s="79" t="n"/>
      <c r="U803" s="79" t="n"/>
      <c r="V803" s="79" t="n"/>
      <c r="W803" s="79" t="n"/>
      <c r="X803" s="79" t="n"/>
      <c r="Y803" s="79" t="n"/>
      <c r="Z803" s="79" t="n"/>
    </row>
    <row r="804">
      <c r="A804" s="79" t="n"/>
      <c r="B804" s="79" t="n"/>
      <c r="C804" s="79" t="n"/>
      <c r="D804" s="79" t="n"/>
      <c r="E804" s="79" t="n"/>
      <c r="F804" s="79" t="n"/>
      <c r="G804" s="79" t="n"/>
      <c r="H804" s="79" t="n"/>
      <c r="I804" s="79" t="n"/>
      <c r="J804" s="79" t="n"/>
      <c r="K804" s="79" t="n"/>
      <c r="L804" s="79" t="n"/>
      <c r="M804" s="79" t="n"/>
      <c r="N804" s="79" t="n"/>
      <c r="O804" s="79" t="n"/>
      <c r="P804" s="79" t="n"/>
      <c r="Q804" s="79" t="n"/>
      <c r="R804" s="79" t="n"/>
      <c r="S804" s="79" t="n"/>
      <c r="T804" s="79" t="n"/>
      <c r="U804" s="79" t="n"/>
      <c r="V804" s="79" t="n"/>
      <c r="W804" s="79" t="n"/>
      <c r="X804" s="79" t="n"/>
      <c r="Y804" s="79" t="n"/>
      <c r="Z804" s="79" t="n"/>
    </row>
    <row r="805">
      <c r="A805" s="79" t="n"/>
      <c r="B805" s="79" t="n"/>
      <c r="C805" s="79" t="n"/>
      <c r="D805" s="79" t="n"/>
      <c r="E805" s="79" t="n"/>
      <c r="F805" s="79" t="n"/>
      <c r="G805" s="79" t="n"/>
      <c r="H805" s="79" t="n"/>
      <c r="I805" s="79" t="n"/>
      <c r="J805" s="79" t="n"/>
      <c r="K805" s="79" t="n"/>
      <c r="L805" s="79" t="n"/>
      <c r="M805" s="79" t="n"/>
      <c r="N805" s="79" t="n"/>
      <c r="O805" s="79" t="n"/>
      <c r="P805" s="79" t="n"/>
      <c r="Q805" s="79" t="n"/>
      <c r="R805" s="79" t="n"/>
      <c r="S805" s="79" t="n"/>
      <c r="T805" s="79" t="n"/>
      <c r="U805" s="79" t="n"/>
      <c r="V805" s="79" t="n"/>
      <c r="W805" s="79" t="n"/>
      <c r="X805" s="79" t="n"/>
      <c r="Y805" s="79" t="n"/>
      <c r="Z805" s="79" t="n"/>
    </row>
    <row r="806">
      <c r="A806" s="79" t="n"/>
      <c r="B806" s="79" t="n"/>
      <c r="C806" s="79" t="n"/>
      <c r="D806" s="79" t="n"/>
      <c r="E806" s="79" t="n"/>
      <c r="F806" s="79" t="n"/>
      <c r="G806" s="79" t="n"/>
      <c r="H806" s="79" t="n"/>
      <c r="I806" s="79" t="n"/>
      <c r="J806" s="79" t="n"/>
      <c r="K806" s="79" t="n"/>
      <c r="L806" s="79" t="n"/>
      <c r="M806" s="79" t="n"/>
      <c r="N806" s="79" t="n"/>
      <c r="O806" s="79" t="n"/>
      <c r="P806" s="79" t="n"/>
      <c r="Q806" s="79" t="n"/>
      <c r="R806" s="79" t="n"/>
      <c r="S806" s="79" t="n"/>
      <c r="T806" s="79" t="n"/>
      <c r="U806" s="79" t="n"/>
      <c r="V806" s="79" t="n"/>
      <c r="W806" s="79" t="n"/>
      <c r="X806" s="79" t="n"/>
      <c r="Y806" s="79" t="n"/>
      <c r="Z806" s="79" t="n"/>
    </row>
    <row r="807">
      <c r="A807" s="79" t="n"/>
      <c r="B807" s="79" t="n"/>
      <c r="C807" s="79" t="n"/>
      <c r="D807" s="79" t="n"/>
      <c r="E807" s="79" t="n"/>
      <c r="F807" s="79" t="n"/>
      <c r="G807" s="79" t="n"/>
      <c r="H807" s="79" t="n"/>
      <c r="I807" s="79" t="n"/>
      <c r="J807" s="79" t="n"/>
      <c r="K807" s="79" t="n"/>
      <c r="L807" s="79" t="n"/>
      <c r="M807" s="79" t="n"/>
      <c r="N807" s="79" t="n"/>
      <c r="O807" s="79" t="n"/>
      <c r="P807" s="79" t="n"/>
      <c r="Q807" s="79" t="n"/>
      <c r="R807" s="79" t="n"/>
      <c r="S807" s="79" t="n"/>
      <c r="T807" s="79" t="n"/>
      <c r="U807" s="79" t="n"/>
      <c r="V807" s="79" t="n"/>
      <c r="W807" s="79" t="n"/>
      <c r="X807" s="79" t="n"/>
      <c r="Y807" s="79" t="n"/>
      <c r="Z807" s="79" t="n"/>
    </row>
    <row r="808">
      <c r="A808" s="79" t="n"/>
      <c r="B808" s="79" t="n"/>
      <c r="C808" s="79" t="n"/>
      <c r="D808" s="79" t="n"/>
      <c r="E808" s="79" t="n"/>
      <c r="F808" s="79" t="n"/>
      <c r="G808" s="79" t="n"/>
      <c r="H808" s="79" t="n"/>
      <c r="I808" s="79" t="n"/>
      <c r="J808" s="79" t="n"/>
      <c r="K808" s="79" t="n"/>
      <c r="L808" s="79" t="n"/>
      <c r="M808" s="79" t="n"/>
      <c r="N808" s="79" t="n"/>
      <c r="O808" s="79" t="n"/>
      <c r="P808" s="79" t="n"/>
      <c r="Q808" s="79" t="n"/>
      <c r="R808" s="79" t="n"/>
      <c r="S808" s="79" t="n"/>
      <c r="T808" s="79" t="n"/>
      <c r="U808" s="79" t="n"/>
      <c r="V808" s="79" t="n"/>
      <c r="W808" s="79" t="n"/>
      <c r="X808" s="79" t="n"/>
      <c r="Y808" s="79" t="n"/>
      <c r="Z808" s="79" t="n"/>
    </row>
    <row r="809">
      <c r="A809" s="79" t="n"/>
      <c r="B809" s="79" t="n"/>
      <c r="C809" s="79" t="n"/>
      <c r="D809" s="79" t="n"/>
      <c r="E809" s="79" t="n"/>
      <c r="F809" s="79" t="n"/>
      <c r="G809" s="79" t="n"/>
      <c r="H809" s="79" t="n"/>
      <c r="I809" s="79" t="n"/>
      <c r="J809" s="79" t="n"/>
      <c r="K809" s="79" t="n"/>
      <c r="L809" s="79" t="n"/>
      <c r="M809" s="79" t="n"/>
      <c r="N809" s="79" t="n"/>
      <c r="O809" s="79" t="n"/>
      <c r="P809" s="79" t="n"/>
      <c r="Q809" s="79" t="n"/>
      <c r="R809" s="79" t="n"/>
      <c r="S809" s="79" t="n"/>
      <c r="T809" s="79" t="n"/>
      <c r="U809" s="79" t="n"/>
      <c r="V809" s="79" t="n"/>
      <c r="W809" s="79" t="n"/>
      <c r="X809" s="79" t="n"/>
      <c r="Y809" s="79" t="n"/>
      <c r="Z809" s="79" t="n"/>
    </row>
    <row r="810">
      <c r="A810" s="79" t="n"/>
      <c r="B810" s="79" t="n"/>
      <c r="C810" s="79" t="n"/>
      <c r="D810" s="79" t="n"/>
      <c r="E810" s="79" t="n"/>
      <c r="F810" s="79" t="n"/>
      <c r="G810" s="79" t="n"/>
      <c r="H810" s="79" t="n"/>
      <c r="I810" s="79" t="n"/>
      <c r="J810" s="79" t="n"/>
      <c r="K810" s="79" t="n"/>
      <c r="L810" s="79" t="n"/>
      <c r="M810" s="79" t="n"/>
      <c r="N810" s="79" t="n"/>
      <c r="O810" s="79" t="n"/>
      <c r="P810" s="79" t="n"/>
      <c r="Q810" s="79" t="n"/>
      <c r="R810" s="79" t="n"/>
      <c r="S810" s="79" t="n"/>
      <c r="T810" s="79" t="n"/>
      <c r="U810" s="79" t="n"/>
      <c r="V810" s="79" t="n"/>
      <c r="W810" s="79" t="n"/>
      <c r="X810" s="79" t="n"/>
      <c r="Y810" s="79" t="n"/>
      <c r="Z810" s="79" t="n"/>
    </row>
    <row r="811">
      <c r="A811" s="79" t="n"/>
      <c r="B811" s="79" t="n"/>
      <c r="C811" s="79" t="n"/>
      <c r="D811" s="79" t="n"/>
      <c r="E811" s="79" t="n"/>
      <c r="F811" s="79" t="n"/>
      <c r="G811" s="79" t="n"/>
      <c r="H811" s="79" t="n"/>
      <c r="I811" s="79" t="n"/>
      <c r="J811" s="79" t="n"/>
      <c r="K811" s="79" t="n"/>
      <c r="L811" s="79" t="n"/>
      <c r="M811" s="79" t="n"/>
      <c r="N811" s="79" t="n"/>
      <c r="O811" s="79" t="n"/>
      <c r="P811" s="79" t="n"/>
      <c r="Q811" s="79" t="n"/>
      <c r="R811" s="79" t="n"/>
      <c r="S811" s="79" t="n"/>
      <c r="T811" s="79" t="n"/>
      <c r="U811" s="79" t="n"/>
      <c r="V811" s="79" t="n"/>
      <c r="W811" s="79" t="n"/>
      <c r="X811" s="79" t="n"/>
      <c r="Y811" s="79" t="n"/>
      <c r="Z811" s="79" t="n"/>
    </row>
    <row r="812">
      <c r="A812" s="79" t="n"/>
      <c r="B812" s="79" t="n"/>
      <c r="C812" s="79" t="n"/>
      <c r="D812" s="79" t="n"/>
      <c r="E812" s="79" t="n"/>
      <c r="F812" s="79" t="n"/>
      <c r="G812" s="79" t="n"/>
      <c r="H812" s="79" t="n"/>
      <c r="I812" s="79" t="n"/>
      <c r="J812" s="79" t="n"/>
      <c r="K812" s="79" t="n"/>
      <c r="L812" s="79" t="n"/>
      <c r="M812" s="79" t="n"/>
      <c r="N812" s="79" t="n"/>
      <c r="O812" s="79" t="n"/>
      <c r="P812" s="79" t="n"/>
      <c r="Q812" s="79" t="n"/>
      <c r="R812" s="79" t="n"/>
      <c r="S812" s="79" t="n"/>
      <c r="T812" s="79" t="n"/>
      <c r="U812" s="79" t="n"/>
      <c r="V812" s="79" t="n"/>
      <c r="W812" s="79" t="n"/>
      <c r="X812" s="79" t="n"/>
      <c r="Y812" s="79" t="n"/>
      <c r="Z812" s="79" t="n"/>
    </row>
    <row r="813">
      <c r="A813" s="79" t="n"/>
      <c r="B813" s="79" t="n"/>
      <c r="C813" s="79" t="n"/>
      <c r="D813" s="79" t="n"/>
      <c r="E813" s="79" t="n"/>
      <c r="F813" s="79" t="n"/>
      <c r="G813" s="79" t="n"/>
      <c r="H813" s="79" t="n"/>
      <c r="I813" s="79" t="n"/>
      <c r="J813" s="79" t="n"/>
      <c r="K813" s="79" t="n"/>
      <c r="L813" s="79" t="n"/>
      <c r="M813" s="79" t="n"/>
      <c r="N813" s="79" t="n"/>
      <c r="O813" s="79" t="n"/>
      <c r="P813" s="79" t="n"/>
      <c r="Q813" s="79" t="n"/>
      <c r="R813" s="79" t="n"/>
      <c r="S813" s="79" t="n"/>
      <c r="T813" s="79" t="n"/>
      <c r="U813" s="79" t="n"/>
      <c r="V813" s="79" t="n"/>
      <c r="W813" s="79" t="n"/>
      <c r="X813" s="79" t="n"/>
      <c r="Y813" s="79" t="n"/>
      <c r="Z813" s="79" t="n"/>
    </row>
    <row r="814">
      <c r="A814" s="79" t="n"/>
      <c r="B814" s="79" t="n"/>
      <c r="C814" s="79" t="n"/>
      <c r="D814" s="79" t="n"/>
      <c r="E814" s="79" t="n"/>
      <c r="F814" s="79" t="n"/>
      <c r="G814" s="79" t="n"/>
      <c r="H814" s="79" t="n"/>
      <c r="I814" s="79" t="n"/>
      <c r="J814" s="79" t="n"/>
      <c r="K814" s="79" t="n"/>
      <c r="L814" s="79" t="n"/>
      <c r="M814" s="79" t="n"/>
      <c r="N814" s="79" t="n"/>
      <c r="O814" s="79" t="n"/>
      <c r="P814" s="79" t="n"/>
      <c r="Q814" s="79" t="n"/>
      <c r="R814" s="79" t="n"/>
      <c r="S814" s="79" t="n"/>
      <c r="T814" s="79" t="n"/>
      <c r="U814" s="79" t="n"/>
      <c r="V814" s="79" t="n"/>
      <c r="W814" s="79" t="n"/>
      <c r="X814" s="79" t="n"/>
      <c r="Y814" s="79" t="n"/>
      <c r="Z814" s="79" t="n"/>
    </row>
    <row r="815">
      <c r="A815" s="79" t="n"/>
      <c r="B815" s="79" t="n"/>
      <c r="C815" s="79" t="n"/>
      <c r="D815" s="79" t="n"/>
      <c r="E815" s="79" t="n"/>
      <c r="F815" s="79" t="n"/>
      <c r="G815" s="79" t="n"/>
      <c r="H815" s="79" t="n"/>
      <c r="I815" s="79" t="n"/>
      <c r="J815" s="79" t="n"/>
      <c r="K815" s="79" t="n"/>
      <c r="L815" s="79" t="n"/>
      <c r="M815" s="79" t="n"/>
      <c r="N815" s="79" t="n"/>
      <c r="O815" s="79" t="n"/>
      <c r="P815" s="79" t="n"/>
      <c r="Q815" s="79" t="n"/>
      <c r="R815" s="79" t="n"/>
      <c r="S815" s="79" t="n"/>
      <c r="T815" s="79" t="n"/>
      <c r="U815" s="79" t="n"/>
      <c r="V815" s="79" t="n"/>
      <c r="W815" s="79" t="n"/>
      <c r="X815" s="79" t="n"/>
      <c r="Y815" s="79" t="n"/>
      <c r="Z815" s="79" t="n"/>
    </row>
    <row r="816">
      <c r="A816" s="79" t="n"/>
      <c r="B816" s="79" t="n"/>
      <c r="C816" s="79" t="n"/>
      <c r="D816" s="79" t="n"/>
      <c r="E816" s="79" t="n"/>
      <c r="F816" s="79" t="n"/>
      <c r="G816" s="79" t="n"/>
      <c r="H816" s="79" t="n"/>
      <c r="I816" s="79" t="n"/>
      <c r="J816" s="79" t="n"/>
      <c r="K816" s="79" t="n"/>
      <c r="L816" s="79" t="n"/>
      <c r="M816" s="79" t="n"/>
      <c r="N816" s="79" t="n"/>
      <c r="O816" s="79" t="n"/>
      <c r="P816" s="79" t="n"/>
      <c r="Q816" s="79" t="n"/>
      <c r="R816" s="79" t="n"/>
      <c r="S816" s="79" t="n"/>
      <c r="T816" s="79" t="n"/>
      <c r="U816" s="79" t="n"/>
      <c r="V816" s="79" t="n"/>
      <c r="W816" s="79" t="n"/>
      <c r="X816" s="79" t="n"/>
      <c r="Y816" s="79" t="n"/>
      <c r="Z816" s="79" t="n"/>
    </row>
    <row r="817">
      <c r="A817" s="79" t="n"/>
      <c r="B817" s="79" t="n"/>
      <c r="C817" s="79" t="n"/>
      <c r="D817" s="79" t="n"/>
      <c r="E817" s="79" t="n"/>
      <c r="F817" s="79" t="n"/>
      <c r="G817" s="79" t="n"/>
      <c r="H817" s="79" t="n"/>
      <c r="I817" s="79" t="n"/>
      <c r="J817" s="79" t="n"/>
      <c r="K817" s="79" t="n"/>
      <c r="L817" s="79" t="n"/>
      <c r="M817" s="79" t="n"/>
      <c r="N817" s="79" t="n"/>
      <c r="O817" s="79" t="n"/>
      <c r="P817" s="79" t="n"/>
      <c r="Q817" s="79" t="n"/>
      <c r="R817" s="79" t="n"/>
      <c r="S817" s="79" t="n"/>
      <c r="T817" s="79" t="n"/>
      <c r="U817" s="79" t="n"/>
      <c r="V817" s="79" t="n"/>
      <c r="W817" s="79" t="n"/>
      <c r="X817" s="79" t="n"/>
      <c r="Y817" s="79" t="n"/>
      <c r="Z817" s="79" t="n"/>
    </row>
    <row r="818">
      <c r="A818" s="79" t="n"/>
      <c r="B818" s="79" t="n"/>
      <c r="C818" s="79" t="n"/>
      <c r="D818" s="79" t="n"/>
      <c r="E818" s="79" t="n"/>
      <c r="F818" s="79" t="n"/>
      <c r="G818" s="79" t="n"/>
      <c r="H818" s="79" t="n"/>
      <c r="I818" s="79" t="n"/>
      <c r="J818" s="79" t="n"/>
      <c r="K818" s="79" t="n"/>
      <c r="L818" s="79" t="n"/>
      <c r="M818" s="79" t="n"/>
      <c r="N818" s="79" t="n"/>
      <c r="O818" s="79" t="n"/>
      <c r="P818" s="79" t="n"/>
      <c r="Q818" s="79" t="n"/>
      <c r="R818" s="79" t="n"/>
      <c r="S818" s="79" t="n"/>
      <c r="T818" s="79" t="n"/>
      <c r="U818" s="79" t="n"/>
      <c r="V818" s="79" t="n"/>
      <c r="W818" s="79" t="n"/>
      <c r="X818" s="79" t="n"/>
      <c r="Y818" s="79" t="n"/>
      <c r="Z818" s="79" t="n"/>
    </row>
    <row r="819">
      <c r="A819" s="79" t="n"/>
      <c r="B819" s="79" t="n"/>
      <c r="C819" s="79" t="n"/>
      <c r="D819" s="79" t="n"/>
      <c r="E819" s="79" t="n"/>
      <c r="F819" s="79" t="n"/>
      <c r="G819" s="79" t="n"/>
      <c r="H819" s="79" t="n"/>
      <c r="I819" s="79" t="n"/>
      <c r="J819" s="79" t="n"/>
      <c r="K819" s="79" t="n"/>
      <c r="L819" s="79" t="n"/>
      <c r="M819" s="79" t="n"/>
      <c r="N819" s="79" t="n"/>
      <c r="O819" s="79" t="n"/>
      <c r="P819" s="79" t="n"/>
      <c r="Q819" s="79" t="n"/>
      <c r="R819" s="79" t="n"/>
      <c r="S819" s="79" t="n"/>
      <c r="T819" s="79" t="n"/>
      <c r="U819" s="79" t="n"/>
      <c r="V819" s="79" t="n"/>
      <c r="W819" s="79" t="n"/>
      <c r="X819" s="79" t="n"/>
      <c r="Y819" s="79" t="n"/>
      <c r="Z819" s="79" t="n"/>
    </row>
    <row r="820">
      <c r="A820" s="79" t="n"/>
      <c r="B820" s="79" t="n"/>
      <c r="C820" s="79" t="n"/>
      <c r="D820" s="79" t="n"/>
      <c r="E820" s="79" t="n"/>
      <c r="F820" s="79" t="n"/>
      <c r="G820" s="79" t="n"/>
      <c r="H820" s="79" t="n"/>
      <c r="I820" s="79" t="n"/>
      <c r="J820" s="79" t="n"/>
      <c r="K820" s="79" t="n"/>
      <c r="L820" s="79" t="n"/>
      <c r="M820" s="79" t="n"/>
      <c r="N820" s="79" t="n"/>
      <c r="O820" s="79" t="n"/>
      <c r="P820" s="79" t="n"/>
      <c r="Q820" s="79" t="n"/>
      <c r="R820" s="79" t="n"/>
      <c r="S820" s="79" t="n"/>
      <c r="T820" s="79" t="n"/>
      <c r="U820" s="79" t="n"/>
      <c r="V820" s="79" t="n"/>
      <c r="W820" s="79" t="n"/>
      <c r="X820" s="79" t="n"/>
      <c r="Y820" s="79" t="n"/>
      <c r="Z820" s="79" t="n"/>
    </row>
    <row r="821">
      <c r="A821" s="79" t="n"/>
      <c r="B821" s="79" t="n"/>
      <c r="C821" s="79" t="n"/>
      <c r="D821" s="79" t="n"/>
      <c r="E821" s="79" t="n"/>
      <c r="F821" s="79" t="n"/>
      <c r="G821" s="79" t="n"/>
      <c r="H821" s="79" t="n"/>
      <c r="I821" s="79" t="n"/>
      <c r="J821" s="79" t="n"/>
      <c r="K821" s="79" t="n"/>
      <c r="L821" s="79" t="n"/>
      <c r="M821" s="79" t="n"/>
      <c r="N821" s="79" t="n"/>
      <c r="O821" s="79" t="n"/>
      <c r="P821" s="79" t="n"/>
      <c r="Q821" s="79" t="n"/>
      <c r="R821" s="79" t="n"/>
      <c r="S821" s="79" t="n"/>
      <c r="T821" s="79" t="n"/>
      <c r="U821" s="79" t="n"/>
      <c r="V821" s="79" t="n"/>
      <c r="W821" s="79" t="n"/>
      <c r="X821" s="79" t="n"/>
      <c r="Y821" s="79" t="n"/>
      <c r="Z821" s="79" t="n"/>
    </row>
    <row r="822">
      <c r="A822" s="79" t="n"/>
      <c r="B822" s="79" t="n"/>
      <c r="C822" s="79" t="n"/>
      <c r="D822" s="79" t="n"/>
      <c r="E822" s="79" t="n"/>
      <c r="F822" s="79" t="n"/>
      <c r="G822" s="79" t="n"/>
      <c r="H822" s="79" t="n"/>
      <c r="I822" s="79" t="n"/>
      <c r="J822" s="79" t="n"/>
      <c r="K822" s="79" t="n"/>
      <c r="L822" s="79" t="n"/>
      <c r="M822" s="79" t="n"/>
      <c r="N822" s="79" t="n"/>
      <c r="O822" s="79" t="n"/>
      <c r="P822" s="79" t="n"/>
      <c r="Q822" s="79" t="n"/>
      <c r="R822" s="79" t="n"/>
      <c r="S822" s="79" t="n"/>
      <c r="T822" s="79" t="n"/>
      <c r="U822" s="79" t="n"/>
      <c r="V822" s="79" t="n"/>
      <c r="W822" s="79" t="n"/>
      <c r="X822" s="79" t="n"/>
      <c r="Y822" s="79" t="n"/>
      <c r="Z822" s="79" t="n"/>
    </row>
    <row r="823">
      <c r="A823" s="79" t="n"/>
      <c r="B823" s="79" t="n"/>
      <c r="C823" s="79" t="n"/>
      <c r="D823" s="79" t="n"/>
      <c r="E823" s="79" t="n"/>
      <c r="F823" s="79" t="n"/>
      <c r="G823" s="79" t="n"/>
      <c r="H823" s="79" t="n"/>
      <c r="I823" s="79" t="n"/>
      <c r="J823" s="79" t="n"/>
      <c r="K823" s="79" t="n"/>
      <c r="L823" s="79" t="n"/>
      <c r="M823" s="79" t="n"/>
      <c r="N823" s="79" t="n"/>
      <c r="O823" s="79" t="n"/>
      <c r="P823" s="79" t="n"/>
      <c r="Q823" s="79" t="n"/>
      <c r="R823" s="79" t="n"/>
      <c r="S823" s="79" t="n"/>
      <c r="T823" s="79" t="n"/>
      <c r="U823" s="79" t="n"/>
      <c r="V823" s="79" t="n"/>
      <c r="W823" s="79" t="n"/>
      <c r="X823" s="79" t="n"/>
      <c r="Y823" s="79" t="n"/>
      <c r="Z823" s="79" t="n"/>
    </row>
    <row r="824">
      <c r="A824" s="79" t="n"/>
      <c r="B824" s="79" t="n"/>
      <c r="C824" s="79" t="n"/>
      <c r="D824" s="79" t="n"/>
      <c r="E824" s="79" t="n"/>
      <c r="F824" s="79" t="n"/>
      <c r="G824" s="79" t="n"/>
      <c r="H824" s="79" t="n"/>
      <c r="I824" s="79" t="n"/>
      <c r="J824" s="79" t="n"/>
      <c r="K824" s="79" t="n"/>
      <c r="L824" s="79" t="n"/>
      <c r="M824" s="79" t="n"/>
      <c r="N824" s="79" t="n"/>
      <c r="O824" s="79" t="n"/>
      <c r="P824" s="79" t="n"/>
      <c r="Q824" s="79" t="n"/>
      <c r="R824" s="79" t="n"/>
      <c r="S824" s="79" t="n"/>
      <c r="T824" s="79" t="n"/>
      <c r="U824" s="79" t="n"/>
      <c r="V824" s="79" t="n"/>
      <c r="W824" s="79" t="n"/>
      <c r="X824" s="79" t="n"/>
      <c r="Y824" s="79" t="n"/>
      <c r="Z824" s="79" t="n"/>
    </row>
    <row r="825">
      <c r="A825" s="79" t="n"/>
      <c r="B825" s="79" t="n"/>
      <c r="C825" s="79" t="n"/>
      <c r="D825" s="79" t="n"/>
      <c r="E825" s="79" t="n"/>
      <c r="F825" s="79" t="n"/>
      <c r="G825" s="79" t="n"/>
      <c r="H825" s="79" t="n"/>
      <c r="I825" s="79" t="n"/>
      <c r="J825" s="79" t="n"/>
      <c r="K825" s="79" t="n"/>
      <c r="L825" s="79" t="n"/>
      <c r="M825" s="79" t="n"/>
      <c r="N825" s="79" t="n"/>
      <c r="O825" s="79" t="n"/>
      <c r="P825" s="79" t="n"/>
      <c r="Q825" s="79" t="n"/>
      <c r="R825" s="79" t="n"/>
      <c r="S825" s="79" t="n"/>
      <c r="T825" s="79" t="n"/>
      <c r="U825" s="79" t="n"/>
      <c r="V825" s="79" t="n"/>
      <c r="W825" s="79" t="n"/>
      <c r="X825" s="79" t="n"/>
      <c r="Y825" s="79" t="n"/>
      <c r="Z825" s="79" t="n"/>
    </row>
    <row r="826">
      <c r="A826" s="79" t="n"/>
      <c r="B826" s="79" t="n"/>
      <c r="C826" s="79" t="n"/>
      <c r="D826" s="79" t="n"/>
      <c r="E826" s="79" t="n"/>
      <c r="F826" s="79" t="n"/>
      <c r="G826" s="79" t="n"/>
      <c r="H826" s="79" t="n"/>
      <c r="I826" s="79" t="n"/>
      <c r="J826" s="79" t="n"/>
      <c r="K826" s="79" t="n"/>
      <c r="L826" s="79" t="n"/>
      <c r="M826" s="79" t="n"/>
      <c r="N826" s="79" t="n"/>
      <c r="O826" s="79" t="n"/>
      <c r="P826" s="79" t="n"/>
      <c r="Q826" s="79" t="n"/>
      <c r="R826" s="79" t="n"/>
      <c r="S826" s="79" t="n"/>
      <c r="T826" s="79" t="n"/>
      <c r="U826" s="79" t="n"/>
      <c r="V826" s="79" t="n"/>
      <c r="W826" s="79" t="n"/>
      <c r="X826" s="79" t="n"/>
      <c r="Y826" s="79" t="n"/>
      <c r="Z826" s="79" t="n"/>
    </row>
    <row r="827">
      <c r="A827" s="79" t="n"/>
      <c r="B827" s="79" t="n"/>
      <c r="C827" s="79" t="n"/>
      <c r="D827" s="79" t="n"/>
      <c r="E827" s="79" t="n"/>
      <c r="F827" s="79" t="n"/>
      <c r="G827" s="79" t="n"/>
      <c r="H827" s="79" t="n"/>
      <c r="I827" s="79" t="n"/>
      <c r="J827" s="79" t="n"/>
      <c r="K827" s="79" t="n"/>
      <c r="L827" s="79" t="n"/>
      <c r="M827" s="79" t="n"/>
      <c r="N827" s="79" t="n"/>
      <c r="O827" s="79" t="n"/>
      <c r="P827" s="79" t="n"/>
      <c r="Q827" s="79" t="n"/>
      <c r="R827" s="79" t="n"/>
      <c r="S827" s="79" t="n"/>
      <c r="T827" s="79" t="n"/>
      <c r="U827" s="79" t="n"/>
      <c r="V827" s="79" t="n"/>
      <c r="W827" s="79" t="n"/>
      <c r="X827" s="79" t="n"/>
      <c r="Y827" s="79" t="n"/>
      <c r="Z827" s="79" t="n"/>
    </row>
    <row r="828">
      <c r="A828" s="79" t="n"/>
      <c r="B828" s="79" t="n"/>
      <c r="C828" s="79" t="n"/>
      <c r="D828" s="79" t="n"/>
      <c r="E828" s="79" t="n"/>
      <c r="F828" s="79" t="n"/>
      <c r="G828" s="79" t="n"/>
      <c r="H828" s="79" t="n"/>
      <c r="I828" s="79" t="n"/>
      <c r="J828" s="79" t="n"/>
      <c r="K828" s="79" t="n"/>
      <c r="L828" s="79" t="n"/>
      <c r="M828" s="79" t="n"/>
      <c r="N828" s="79" t="n"/>
      <c r="O828" s="79" t="n"/>
      <c r="P828" s="79" t="n"/>
      <c r="Q828" s="79" t="n"/>
      <c r="R828" s="79" t="n"/>
      <c r="S828" s="79" t="n"/>
      <c r="T828" s="79" t="n"/>
      <c r="U828" s="79" t="n"/>
      <c r="V828" s="79" t="n"/>
      <c r="W828" s="79" t="n"/>
      <c r="X828" s="79" t="n"/>
      <c r="Y828" s="79" t="n"/>
      <c r="Z828" s="79" t="n"/>
    </row>
    <row r="829">
      <c r="A829" s="79" t="n"/>
      <c r="B829" s="79" t="n"/>
      <c r="C829" s="79" t="n"/>
      <c r="D829" s="79" t="n"/>
      <c r="E829" s="79" t="n"/>
      <c r="F829" s="79" t="n"/>
      <c r="G829" s="79" t="n"/>
      <c r="H829" s="79" t="n"/>
      <c r="I829" s="79" t="n"/>
      <c r="J829" s="79" t="n"/>
      <c r="K829" s="79" t="n"/>
      <c r="L829" s="79" t="n"/>
      <c r="M829" s="79" t="n"/>
      <c r="N829" s="79" t="n"/>
      <c r="O829" s="79" t="n"/>
      <c r="P829" s="79" t="n"/>
      <c r="Q829" s="79" t="n"/>
      <c r="R829" s="79" t="n"/>
      <c r="S829" s="79" t="n"/>
      <c r="T829" s="79" t="n"/>
      <c r="U829" s="79" t="n"/>
      <c r="V829" s="79" t="n"/>
      <c r="W829" s="79" t="n"/>
      <c r="X829" s="79" t="n"/>
      <c r="Y829" s="79" t="n"/>
      <c r="Z829" s="79" t="n"/>
    </row>
    <row r="830">
      <c r="A830" s="79" t="n"/>
      <c r="B830" s="79" t="n"/>
      <c r="C830" s="79" t="n"/>
      <c r="D830" s="79" t="n"/>
      <c r="E830" s="79" t="n"/>
      <c r="F830" s="79" t="n"/>
      <c r="G830" s="79" t="n"/>
      <c r="H830" s="79" t="n"/>
      <c r="I830" s="79" t="n"/>
      <c r="J830" s="79" t="n"/>
      <c r="K830" s="79" t="n"/>
      <c r="L830" s="79" t="n"/>
      <c r="M830" s="79" t="n"/>
      <c r="N830" s="79" t="n"/>
      <c r="O830" s="79" t="n"/>
      <c r="P830" s="79" t="n"/>
      <c r="Q830" s="79" t="n"/>
      <c r="R830" s="79" t="n"/>
      <c r="S830" s="79" t="n"/>
      <c r="T830" s="79" t="n"/>
      <c r="U830" s="79" t="n"/>
      <c r="V830" s="79" t="n"/>
      <c r="W830" s="79" t="n"/>
      <c r="X830" s="79" t="n"/>
      <c r="Y830" s="79" t="n"/>
      <c r="Z830" s="79" t="n"/>
    </row>
    <row r="831">
      <c r="A831" s="79" t="n"/>
      <c r="B831" s="79" t="n"/>
      <c r="C831" s="79" t="n"/>
      <c r="D831" s="79" t="n"/>
      <c r="E831" s="79" t="n"/>
      <c r="F831" s="79" t="n"/>
      <c r="G831" s="79" t="n"/>
      <c r="H831" s="79" t="n"/>
      <c r="I831" s="79" t="n"/>
      <c r="J831" s="79" t="n"/>
      <c r="K831" s="79" t="n"/>
      <c r="L831" s="79" t="n"/>
      <c r="M831" s="79" t="n"/>
      <c r="N831" s="79" t="n"/>
      <c r="O831" s="79" t="n"/>
      <c r="P831" s="79" t="n"/>
      <c r="Q831" s="79" t="n"/>
      <c r="R831" s="79" t="n"/>
      <c r="S831" s="79" t="n"/>
      <c r="T831" s="79" t="n"/>
      <c r="U831" s="79" t="n"/>
      <c r="V831" s="79" t="n"/>
      <c r="W831" s="79" t="n"/>
      <c r="X831" s="79" t="n"/>
      <c r="Y831" s="79" t="n"/>
      <c r="Z831" s="79" t="n"/>
    </row>
    <row r="832">
      <c r="A832" s="79" t="n"/>
      <c r="B832" s="79" t="n"/>
      <c r="C832" s="79" t="n"/>
      <c r="D832" s="79" t="n"/>
      <c r="E832" s="79" t="n"/>
      <c r="F832" s="79" t="n"/>
      <c r="G832" s="79" t="n"/>
      <c r="H832" s="79" t="n"/>
      <c r="I832" s="79" t="n"/>
      <c r="J832" s="79" t="n"/>
      <c r="K832" s="79" t="n"/>
      <c r="L832" s="79" t="n"/>
      <c r="M832" s="79" t="n"/>
      <c r="N832" s="79" t="n"/>
      <c r="O832" s="79" t="n"/>
      <c r="P832" s="79" t="n"/>
      <c r="Q832" s="79" t="n"/>
      <c r="R832" s="79" t="n"/>
      <c r="S832" s="79" t="n"/>
      <c r="T832" s="79" t="n"/>
      <c r="U832" s="79" t="n"/>
      <c r="V832" s="79" t="n"/>
      <c r="W832" s="79" t="n"/>
      <c r="X832" s="79" t="n"/>
      <c r="Y832" s="79" t="n"/>
      <c r="Z832" s="79" t="n"/>
    </row>
    <row r="833">
      <c r="A833" s="79" t="n"/>
      <c r="B833" s="79" t="n"/>
      <c r="C833" s="79" t="n"/>
      <c r="D833" s="79" t="n"/>
      <c r="E833" s="79" t="n"/>
      <c r="F833" s="79" t="n"/>
      <c r="G833" s="79" t="n"/>
      <c r="H833" s="79" t="n"/>
      <c r="I833" s="79" t="n"/>
      <c r="J833" s="79" t="n"/>
      <c r="K833" s="79" t="n"/>
      <c r="L833" s="79" t="n"/>
      <c r="M833" s="79" t="n"/>
      <c r="N833" s="79" t="n"/>
      <c r="O833" s="79" t="n"/>
      <c r="P833" s="79" t="n"/>
      <c r="Q833" s="79" t="n"/>
      <c r="R833" s="79" t="n"/>
      <c r="S833" s="79" t="n"/>
      <c r="T833" s="79" t="n"/>
      <c r="U833" s="79" t="n"/>
      <c r="V833" s="79" t="n"/>
      <c r="W833" s="79" t="n"/>
      <c r="X833" s="79" t="n"/>
      <c r="Y833" s="79" t="n"/>
      <c r="Z833" s="79" t="n"/>
    </row>
    <row r="834">
      <c r="A834" s="79" t="n"/>
      <c r="B834" s="79" t="n"/>
      <c r="C834" s="79" t="n"/>
      <c r="D834" s="79" t="n"/>
      <c r="E834" s="79" t="n"/>
      <c r="F834" s="79" t="n"/>
      <c r="G834" s="79" t="n"/>
      <c r="H834" s="79" t="n"/>
      <c r="I834" s="79" t="n"/>
      <c r="J834" s="79" t="n"/>
      <c r="K834" s="79" t="n"/>
      <c r="L834" s="79" t="n"/>
      <c r="M834" s="79" t="n"/>
      <c r="N834" s="79" t="n"/>
      <c r="O834" s="79" t="n"/>
      <c r="P834" s="79" t="n"/>
      <c r="Q834" s="79" t="n"/>
      <c r="R834" s="79" t="n"/>
      <c r="S834" s="79" t="n"/>
      <c r="T834" s="79" t="n"/>
      <c r="U834" s="79" t="n"/>
      <c r="V834" s="79" t="n"/>
      <c r="W834" s="79" t="n"/>
      <c r="X834" s="79" t="n"/>
      <c r="Y834" s="79" t="n"/>
      <c r="Z834" s="79" t="n"/>
    </row>
    <row r="835">
      <c r="A835" s="79" t="n"/>
      <c r="B835" s="79" t="n"/>
      <c r="C835" s="79" t="n"/>
      <c r="D835" s="79" t="n"/>
      <c r="E835" s="79" t="n"/>
      <c r="F835" s="79" t="n"/>
      <c r="G835" s="79" t="n"/>
      <c r="H835" s="79" t="n"/>
      <c r="I835" s="79" t="n"/>
      <c r="J835" s="79" t="n"/>
      <c r="K835" s="79" t="n"/>
      <c r="L835" s="79" t="n"/>
      <c r="M835" s="79" t="n"/>
      <c r="N835" s="79" t="n"/>
      <c r="O835" s="79" t="n"/>
      <c r="P835" s="79" t="n"/>
      <c r="Q835" s="79" t="n"/>
      <c r="R835" s="79" t="n"/>
      <c r="S835" s="79" t="n"/>
      <c r="T835" s="79" t="n"/>
      <c r="U835" s="79" t="n"/>
      <c r="V835" s="79" t="n"/>
      <c r="W835" s="79" t="n"/>
      <c r="X835" s="79" t="n"/>
      <c r="Y835" s="79" t="n"/>
      <c r="Z835" s="79" t="n"/>
    </row>
    <row r="836">
      <c r="A836" s="79" t="n"/>
      <c r="B836" s="79" t="n"/>
      <c r="C836" s="79" t="n"/>
      <c r="D836" s="79" t="n"/>
      <c r="E836" s="79" t="n"/>
      <c r="F836" s="79" t="n"/>
      <c r="G836" s="79" t="n"/>
      <c r="H836" s="79" t="n"/>
      <c r="I836" s="79" t="n"/>
      <c r="J836" s="79" t="n"/>
      <c r="K836" s="79" t="n"/>
      <c r="L836" s="79" t="n"/>
      <c r="M836" s="79" t="n"/>
      <c r="N836" s="79" t="n"/>
      <c r="O836" s="79" t="n"/>
      <c r="P836" s="79" t="n"/>
      <c r="Q836" s="79" t="n"/>
      <c r="R836" s="79" t="n"/>
      <c r="S836" s="79" t="n"/>
      <c r="T836" s="79" t="n"/>
      <c r="U836" s="79" t="n"/>
      <c r="V836" s="79" t="n"/>
      <c r="W836" s="79" t="n"/>
      <c r="X836" s="79" t="n"/>
      <c r="Y836" s="79" t="n"/>
      <c r="Z836" s="79" t="n"/>
    </row>
    <row r="837">
      <c r="A837" s="79" t="n"/>
      <c r="B837" s="79" t="n"/>
      <c r="C837" s="79" t="n"/>
      <c r="D837" s="79" t="n"/>
      <c r="E837" s="79" t="n"/>
      <c r="F837" s="79" t="n"/>
      <c r="G837" s="79" t="n"/>
      <c r="H837" s="79" t="n"/>
      <c r="I837" s="79" t="n"/>
      <c r="J837" s="79" t="n"/>
      <c r="K837" s="79" t="n"/>
      <c r="L837" s="79" t="n"/>
      <c r="M837" s="79" t="n"/>
      <c r="N837" s="79" t="n"/>
      <c r="O837" s="79" t="n"/>
      <c r="P837" s="79" t="n"/>
      <c r="Q837" s="79" t="n"/>
      <c r="R837" s="79" t="n"/>
      <c r="S837" s="79" t="n"/>
      <c r="T837" s="79" t="n"/>
      <c r="U837" s="79" t="n"/>
      <c r="V837" s="79" t="n"/>
      <c r="W837" s="79" t="n"/>
      <c r="X837" s="79" t="n"/>
      <c r="Y837" s="79" t="n"/>
      <c r="Z837" s="79" t="n"/>
    </row>
    <row r="838">
      <c r="A838" s="79" t="n"/>
      <c r="B838" s="79" t="n"/>
      <c r="C838" s="79" t="n"/>
      <c r="D838" s="79" t="n"/>
      <c r="E838" s="79" t="n"/>
      <c r="F838" s="79" t="n"/>
      <c r="G838" s="79" t="n"/>
      <c r="H838" s="79" t="n"/>
      <c r="I838" s="79" t="n"/>
      <c r="J838" s="79" t="n"/>
      <c r="K838" s="79" t="n"/>
      <c r="L838" s="79" t="n"/>
      <c r="M838" s="79" t="n"/>
      <c r="N838" s="79" t="n"/>
      <c r="O838" s="79" t="n"/>
      <c r="P838" s="79" t="n"/>
      <c r="Q838" s="79" t="n"/>
      <c r="R838" s="79" t="n"/>
      <c r="S838" s="79" t="n"/>
      <c r="T838" s="79" t="n"/>
      <c r="U838" s="79" t="n"/>
      <c r="V838" s="79" t="n"/>
      <c r="W838" s="79" t="n"/>
      <c r="X838" s="79" t="n"/>
      <c r="Y838" s="79" t="n"/>
      <c r="Z838" s="79" t="n"/>
    </row>
    <row r="839">
      <c r="A839" s="79" t="n"/>
      <c r="B839" s="79" t="n"/>
      <c r="C839" s="79" t="n"/>
      <c r="D839" s="79" t="n"/>
      <c r="E839" s="79" t="n"/>
      <c r="F839" s="79" t="n"/>
      <c r="G839" s="79" t="n"/>
      <c r="H839" s="79" t="n"/>
      <c r="I839" s="79" t="n"/>
      <c r="J839" s="79" t="n"/>
      <c r="K839" s="79" t="n"/>
      <c r="L839" s="79" t="n"/>
      <c r="M839" s="79" t="n"/>
      <c r="N839" s="79" t="n"/>
      <c r="O839" s="79" t="n"/>
      <c r="P839" s="79" t="n"/>
      <c r="Q839" s="79" t="n"/>
      <c r="R839" s="79" t="n"/>
      <c r="S839" s="79" t="n"/>
      <c r="T839" s="79" t="n"/>
      <c r="U839" s="79" t="n"/>
      <c r="V839" s="79" t="n"/>
      <c r="W839" s="79" t="n"/>
      <c r="X839" s="79" t="n"/>
      <c r="Y839" s="79" t="n"/>
      <c r="Z839" s="79" t="n"/>
    </row>
    <row r="840">
      <c r="A840" s="79" t="n"/>
      <c r="B840" s="79" t="n"/>
      <c r="C840" s="79" t="n"/>
      <c r="D840" s="79" t="n"/>
      <c r="E840" s="79" t="n"/>
      <c r="F840" s="79" t="n"/>
      <c r="G840" s="79" t="n"/>
      <c r="H840" s="79" t="n"/>
      <c r="I840" s="79" t="n"/>
      <c r="J840" s="79" t="n"/>
      <c r="K840" s="79" t="n"/>
      <c r="L840" s="79" t="n"/>
      <c r="M840" s="79" t="n"/>
      <c r="N840" s="79" t="n"/>
      <c r="O840" s="79" t="n"/>
      <c r="P840" s="79" t="n"/>
      <c r="Q840" s="79" t="n"/>
      <c r="R840" s="79" t="n"/>
      <c r="S840" s="79" t="n"/>
      <c r="T840" s="79" t="n"/>
      <c r="U840" s="79" t="n"/>
      <c r="V840" s="79" t="n"/>
      <c r="W840" s="79" t="n"/>
      <c r="X840" s="79" t="n"/>
      <c r="Y840" s="79" t="n"/>
      <c r="Z840" s="79" t="n"/>
    </row>
    <row r="841">
      <c r="A841" s="79" t="n"/>
      <c r="B841" s="79" t="n"/>
      <c r="C841" s="79" t="n"/>
      <c r="D841" s="79" t="n"/>
      <c r="E841" s="79" t="n"/>
      <c r="F841" s="79" t="n"/>
      <c r="G841" s="79" t="n"/>
      <c r="H841" s="79" t="n"/>
      <c r="I841" s="79" t="n"/>
      <c r="J841" s="79" t="n"/>
      <c r="K841" s="79" t="n"/>
      <c r="L841" s="79" t="n"/>
      <c r="M841" s="79" t="n"/>
      <c r="N841" s="79" t="n"/>
      <c r="O841" s="79" t="n"/>
      <c r="P841" s="79" t="n"/>
      <c r="Q841" s="79" t="n"/>
      <c r="R841" s="79" t="n"/>
      <c r="S841" s="79" t="n"/>
      <c r="T841" s="79" t="n"/>
      <c r="U841" s="79" t="n"/>
      <c r="V841" s="79" t="n"/>
      <c r="W841" s="79" t="n"/>
      <c r="X841" s="79" t="n"/>
      <c r="Y841" s="79" t="n"/>
      <c r="Z841" s="79" t="n"/>
    </row>
    <row r="842">
      <c r="A842" s="79" t="n"/>
      <c r="B842" s="79" t="n"/>
      <c r="C842" s="79" t="n"/>
      <c r="D842" s="79" t="n"/>
      <c r="E842" s="79" t="n"/>
      <c r="F842" s="79" t="n"/>
      <c r="G842" s="79" t="n"/>
      <c r="H842" s="79" t="n"/>
      <c r="I842" s="79" t="n"/>
      <c r="J842" s="79" t="n"/>
      <c r="K842" s="79" t="n"/>
      <c r="L842" s="79" t="n"/>
      <c r="M842" s="79" t="n"/>
      <c r="N842" s="79" t="n"/>
      <c r="O842" s="79" t="n"/>
      <c r="P842" s="79" t="n"/>
      <c r="Q842" s="79" t="n"/>
      <c r="R842" s="79" t="n"/>
      <c r="S842" s="79" t="n"/>
      <c r="T842" s="79" t="n"/>
      <c r="U842" s="79" t="n"/>
      <c r="V842" s="79" t="n"/>
      <c r="W842" s="79" t="n"/>
      <c r="X842" s="79" t="n"/>
      <c r="Y842" s="79" t="n"/>
      <c r="Z842" s="79" t="n"/>
    </row>
    <row r="843">
      <c r="A843" s="79" t="n"/>
      <c r="B843" s="79" t="n"/>
      <c r="C843" s="79" t="n"/>
      <c r="D843" s="79" t="n"/>
      <c r="E843" s="79" t="n"/>
      <c r="F843" s="79" t="n"/>
      <c r="G843" s="79" t="n"/>
      <c r="H843" s="79" t="n"/>
      <c r="I843" s="79" t="n"/>
      <c r="J843" s="79" t="n"/>
      <c r="K843" s="79" t="n"/>
      <c r="L843" s="79" t="n"/>
      <c r="M843" s="79" t="n"/>
      <c r="N843" s="79" t="n"/>
      <c r="O843" s="79" t="n"/>
      <c r="P843" s="79" t="n"/>
      <c r="Q843" s="79" t="n"/>
      <c r="R843" s="79" t="n"/>
      <c r="S843" s="79" t="n"/>
      <c r="T843" s="79" t="n"/>
      <c r="U843" s="79" t="n"/>
      <c r="V843" s="79" t="n"/>
      <c r="W843" s="79" t="n"/>
      <c r="X843" s="79" t="n"/>
      <c r="Y843" s="79" t="n"/>
      <c r="Z843" s="79" t="n"/>
    </row>
    <row r="844">
      <c r="A844" s="79" t="n"/>
      <c r="B844" s="79" t="n"/>
      <c r="C844" s="79" t="n"/>
      <c r="D844" s="79" t="n"/>
      <c r="E844" s="79" t="n"/>
      <c r="F844" s="79" t="n"/>
      <c r="G844" s="79" t="n"/>
      <c r="H844" s="79" t="n"/>
      <c r="I844" s="79" t="n"/>
      <c r="J844" s="79" t="n"/>
      <c r="K844" s="79" t="n"/>
      <c r="L844" s="79" t="n"/>
      <c r="M844" s="79" t="n"/>
      <c r="N844" s="79" t="n"/>
      <c r="O844" s="79" t="n"/>
      <c r="P844" s="79" t="n"/>
      <c r="Q844" s="79" t="n"/>
      <c r="R844" s="79" t="n"/>
      <c r="S844" s="79" t="n"/>
      <c r="T844" s="79" t="n"/>
      <c r="U844" s="79" t="n"/>
      <c r="V844" s="79" t="n"/>
      <c r="W844" s="79" t="n"/>
      <c r="X844" s="79" t="n"/>
      <c r="Y844" s="79" t="n"/>
      <c r="Z844" s="79" t="n"/>
    </row>
    <row r="845">
      <c r="A845" s="79" t="n"/>
      <c r="B845" s="79" t="n"/>
      <c r="C845" s="79" t="n"/>
      <c r="D845" s="79" t="n"/>
      <c r="E845" s="79" t="n"/>
      <c r="F845" s="79" t="n"/>
      <c r="G845" s="79" t="n"/>
      <c r="H845" s="79" t="n"/>
      <c r="I845" s="79" t="n"/>
      <c r="J845" s="79" t="n"/>
      <c r="K845" s="79" t="n"/>
      <c r="L845" s="79" t="n"/>
      <c r="M845" s="79" t="n"/>
      <c r="N845" s="79" t="n"/>
      <c r="O845" s="79" t="n"/>
      <c r="P845" s="79" t="n"/>
      <c r="Q845" s="79" t="n"/>
      <c r="R845" s="79" t="n"/>
      <c r="S845" s="79" t="n"/>
      <c r="T845" s="79" t="n"/>
      <c r="U845" s="79" t="n"/>
      <c r="V845" s="79" t="n"/>
      <c r="W845" s="79" t="n"/>
      <c r="X845" s="79" t="n"/>
      <c r="Y845" s="79" t="n"/>
      <c r="Z845" s="79" t="n"/>
    </row>
    <row r="846">
      <c r="A846" s="79" t="n"/>
      <c r="B846" s="79" t="n"/>
      <c r="C846" s="79" t="n"/>
      <c r="D846" s="79" t="n"/>
      <c r="E846" s="79" t="n"/>
      <c r="F846" s="79" t="n"/>
      <c r="G846" s="79" t="n"/>
      <c r="H846" s="79" t="n"/>
      <c r="I846" s="79" t="n"/>
      <c r="J846" s="79" t="n"/>
      <c r="K846" s="79" t="n"/>
      <c r="L846" s="79" t="n"/>
      <c r="M846" s="79" t="n"/>
      <c r="N846" s="79" t="n"/>
      <c r="O846" s="79" t="n"/>
      <c r="P846" s="79" t="n"/>
      <c r="Q846" s="79" t="n"/>
      <c r="R846" s="79" t="n"/>
      <c r="S846" s="79" t="n"/>
      <c r="T846" s="79" t="n"/>
      <c r="U846" s="79" t="n"/>
      <c r="V846" s="79" t="n"/>
      <c r="W846" s="79" t="n"/>
      <c r="X846" s="79" t="n"/>
      <c r="Y846" s="79" t="n"/>
      <c r="Z846" s="79" t="n"/>
    </row>
    <row r="847">
      <c r="A847" s="79" t="n"/>
      <c r="B847" s="79" t="n"/>
      <c r="C847" s="79" t="n"/>
      <c r="D847" s="79" t="n"/>
      <c r="E847" s="79" t="n"/>
      <c r="F847" s="79" t="n"/>
      <c r="G847" s="79" t="n"/>
      <c r="H847" s="79" t="n"/>
      <c r="I847" s="79" t="n"/>
      <c r="J847" s="79" t="n"/>
      <c r="K847" s="79" t="n"/>
      <c r="L847" s="79" t="n"/>
      <c r="M847" s="79" t="n"/>
      <c r="N847" s="79" t="n"/>
      <c r="O847" s="79" t="n"/>
      <c r="P847" s="79" t="n"/>
      <c r="Q847" s="79" t="n"/>
      <c r="R847" s="79" t="n"/>
      <c r="S847" s="79" t="n"/>
      <c r="T847" s="79" t="n"/>
      <c r="U847" s="79" t="n"/>
      <c r="V847" s="79" t="n"/>
      <c r="W847" s="79" t="n"/>
      <c r="X847" s="79" t="n"/>
      <c r="Y847" s="79" t="n"/>
      <c r="Z847" s="79" t="n"/>
    </row>
    <row r="848">
      <c r="A848" s="79" t="n"/>
      <c r="B848" s="79" t="n"/>
      <c r="C848" s="79" t="n"/>
      <c r="D848" s="79" t="n"/>
      <c r="E848" s="79" t="n"/>
      <c r="F848" s="79" t="n"/>
      <c r="G848" s="79" t="n"/>
      <c r="H848" s="79" t="n"/>
      <c r="I848" s="79" t="n"/>
      <c r="J848" s="79" t="n"/>
      <c r="K848" s="79" t="n"/>
      <c r="L848" s="79" t="n"/>
      <c r="M848" s="79" t="n"/>
      <c r="N848" s="79" t="n"/>
      <c r="O848" s="79" t="n"/>
      <c r="P848" s="79" t="n"/>
      <c r="Q848" s="79" t="n"/>
      <c r="R848" s="79" t="n"/>
      <c r="S848" s="79" t="n"/>
      <c r="T848" s="79" t="n"/>
      <c r="U848" s="79" t="n"/>
      <c r="V848" s="79" t="n"/>
      <c r="W848" s="79" t="n"/>
      <c r="X848" s="79" t="n"/>
      <c r="Y848" s="79" t="n"/>
      <c r="Z848" s="79" t="n"/>
    </row>
    <row r="849">
      <c r="A849" s="79" t="n"/>
      <c r="B849" s="79" t="n"/>
      <c r="C849" s="79" t="n"/>
      <c r="D849" s="79" t="n"/>
      <c r="E849" s="79" t="n"/>
      <c r="F849" s="79" t="n"/>
      <c r="G849" s="79" t="n"/>
      <c r="H849" s="79" t="n"/>
      <c r="I849" s="79" t="n"/>
      <c r="J849" s="79" t="n"/>
      <c r="K849" s="79" t="n"/>
      <c r="L849" s="79" t="n"/>
      <c r="M849" s="79" t="n"/>
      <c r="N849" s="79" t="n"/>
      <c r="O849" s="79" t="n"/>
      <c r="P849" s="79" t="n"/>
      <c r="Q849" s="79" t="n"/>
      <c r="R849" s="79" t="n"/>
      <c r="S849" s="79" t="n"/>
      <c r="T849" s="79" t="n"/>
      <c r="U849" s="79" t="n"/>
      <c r="V849" s="79" t="n"/>
      <c r="W849" s="79" t="n"/>
      <c r="X849" s="79" t="n"/>
      <c r="Y849" s="79" t="n"/>
      <c r="Z849" s="79" t="n"/>
    </row>
    <row r="850">
      <c r="A850" s="79" t="n"/>
      <c r="B850" s="79" t="n"/>
      <c r="C850" s="79" t="n"/>
      <c r="D850" s="79" t="n"/>
      <c r="E850" s="79" t="n"/>
      <c r="F850" s="79" t="n"/>
      <c r="G850" s="79" t="n"/>
      <c r="H850" s="79" t="n"/>
      <c r="I850" s="79" t="n"/>
      <c r="J850" s="79" t="n"/>
      <c r="K850" s="79" t="n"/>
      <c r="L850" s="79" t="n"/>
      <c r="M850" s="79" t="n"/>
      <c r="N850" s="79" t="n"/>
      <c r="O850" s="79" t="n"/>
      <c r="P850" s="79" t="n"/>
      <c r="Q850" s="79" t="n"/>
      <c r="R850" s="79" t="n"/>
      <c r="S850" s="79" t="n"/>
      <c r="T850" s="79" t="n"/>
      <c r="U850" s="79" t="n"/>
      <c r="V850" s="79" t="n"/>
      <c r="W850" s="79" t="n"/>
      <c r="X850" s="79" t="n"/>
      <c r="Y850" s="79" t="n"/>
      <c r="Z850" s="79" t="n"/>
    </row>
    <row r="851">
      <c r="A851" s="79" t="n"/>
      <c r="B851" s="79" t="n"/>
      <c r="C851" s="79" t="n"/>
      <c r="D851" s="79" t="n"/>
      <c r="E851" s="79" t="n"/>
      <c r="F851" s="79" t="n"/>
      <c r="G851" s="79" t="n"/>
      <c r="H851" s="79" t="n"/>
      <c r="I851" s="79" t="n"/>
      <c r="J851" s="79" t="n"/>
      <c r="K851" s="79" t="n"/>
      <c r="L851" s="79" t="n"/>
      <c r="M851" s="79" t="n"/>
      <c r="N851" s="79" t="n"/>
      <c r="O851" s="79" t="n"/>
      <c r="P851" s="79" t="n"/>
      <c r="Q851" s="79" t="n"/>
      <c r="R851" s="79" t="n"/>
      <c r="S851" s="79" t="n"/>
      <c r="T851" s="79" t="n"/>
      <c r="U851" s="79" t="n"/>
      <c r="V851" s="79" t="n"/>
      <c r="W851" s="79" t="n"/>
      <c r="X851" s="79" t="n"/>
      <c r="Y851" s="79" t="n"/>
      <c r="Z851" s="79" t="n"/>
    </row>
    <row r="852">
      <c r="A852" s="79" t="n"/>
      <c r="B852" s="79" t="n"/>
      <c r="C852" s="79" t="n"/>
      <c r="D852" s="79" t="n"/>
      <c r="E852" s="79" t="n"/>
      <c r="F852" s="79" t="n"/>
      <c r="G852" s="79" t="n"/>
      <c r="H852" s="79" t="n"/>
      <c r="I852" s="79" t="n"/>
      <c r="J852" s="79" t="n"/>
      <c r="K852" s="79" t="n"/>
      <c r="L852" s="79" t="n"/>
      <c r="M852" s="79" t="n"/>
      <c r="N852" s="79" t="n"/>
      <c r="O852" s="79" t="n"/>
      <c r="P852" s="79" t="n"/>
      <c r="Q852" s="79" t="n"/>
      <c r="R852" s="79" t="n"/>
      <c r="S852" s="79" t="n"/>
      <c r="T852" s="79" t="n"/>
      <c r="U852" s="79" t="n"/>
      <c r="V852" s="79" t="n"/>
      <c r="W852" s="79" t="n"/>
      <c r="X852" s="79" t="n"/>
      <c r="Y852" s="79" t="n"/>
      <c r="Z852" s="79" t="n"/>
    </row>
    <row r="853">
      <c r="A853" s="79" t="n"/>
      <c r="B853" s="79" t="n"/>
      <c r="C853" s="79" t="n"/>
      <c r="D853" s="79" t="n"/>
      <c r="E853" s="79" t="n"/>
      <c r="F853" s="79" t="n"/>
      <c r="G853" s="79" t="n"/>
      <c r="H853" s="79" t="n"/>
      <c r="I853" s="79" t="n"/>
      <c r="J853" s="79" t="n"/>
      <c r="K853" s="79" t="n"/>
      <c r="L853" s="79" t="n"/>
      <c r="M853" s="79" t="n"/>
      <c r="N853" s="79" t="n"/>
      <c r="O853" s="79" t="n"/>
      <c r="P853" s="79" t="n"/>
      <c r="Q853" s="79" t="n"/>
      <c r="R853" s="79" t="n"/>
      <c r="S853" s="79" t="n"/>
      <c r="T853" s="79" t="n"/>
      <c r="U853" s="79" t="n"/>
      <c r="V853" s="79" t="n"/>
      <c r="W853" s="79" t="n"/>
      <c r="X853" s="79" t="n"/>
      <c r="Y853" s="79" t="n"/>
      <c r="Z853" s="79" t="n"/>
    </row>
    <row r="854">
      <c r="A854" s="79" t="n"/>
      <c r="B854" s="79" t="n"/>
      <c r="C854" s="79" t="n"/>
      <c r="D854" s="79" t="n"/>
      <c r="E854" s="79" t="n"/>
      <c r="F854" s="79" t="n"/>
      <c r="G854" s="79" t="n"/>
      <c r="H854" s="79" t="n"/>
      <c r="I854" s="79" t="n"/>
      <c r="J854" s="79" t="n"/>
      <c r="K854" s="79" t="n"/>
      <c r="L854" s="79" t="n"/>
      <c r="M854" s="79" t="n"/>
      <c r="N854" s="79" t="n"/>
      <c r="O854" s="79" t="n"/>
      <c r="P854" s="79" t="n"/>
      <c r="Q854" s="79" t="n"/>
      <c r="R854" s="79" t="n"/>
      <c r="S854" s="79" t="n"/>
      <c r="T854" s="79" t="n"/>
      <c r="U854" s="79" t="n"/>
      <c r="V854" s="79" t="n"/>
      <c r="W854" s="79" t="n"/>
      <c r="X854" s="79" t="n"/>
      <c r="Y854" s="79" t="n"/>
      <c r="Z854" s="79" t="n"/>
    </row>
    <row r="855">
      <c r="A855" s="79" t="n"/>
      <c r="B855" s="79" t="n"/>
      <c r="C855" s="79" t="n"/>
      <c r="D855" s="79" t="n"/>
      <c r="E855" s="79" t="n"/>
      <c r="F855" s="79" t="n"/>
      <c r="G855" s="79" t="n"/>
      <c r="H855" s="79" t="n"/>
      <c r="I855" s="79" t="n"/>
      <c r="J855" s="79" t="n"/>
      <c r="K855" s="79" t="n"/>
      <c r="L855" s="79" t="n"/>
      <c r="M855" s="79" t="n"/>
      <c r="N855" s="79" t="n"/>
      <c r="O855" s="79" t="n"/>
      <c r="P855" s="79" t="n"/>
      <c r="Q855" s="79" t="n"/>
      <c r="R855" s="79" t="n"/>
      <c r="S855" s="79" t="n"/>
      <c r="T855" s="79" t="n"/>
      <c r="U855" s="79" t="n"/>
      <c r="V855" s="79" t="n"/>
      <c r="W855" s="79" t="n"/>
      <c r="X855" s="79" t="n"/>
      <c r="Y855" s="79" t="n"/>
      <c r="Z855" s="79" t="n"/>
    </row>
    <row r="856">
      <c r="A856" s="79" t="n"/>
      <c r="B856" s="79" t="n"/>
      <c r="C856" s="79" t="n"/>
      <c r="D856" s="79" t="n"/>
      <c r="E856" s="79" t="n"/>
      <c r="F856" s="79" t="n"/>
      <c r="G856" s="79" t="n"/>
      <c r="H856" s="79" t="n"/>
      <c r="I856" s="79" t="n"/>
      <c r="J856" s="79" t="n"/>
      <c r="K856" s="79" t="n"/>
      <c r="L856" s="79" t="n"/>
      <c r="M856" s="79" t="n"/>
      <c r="N856" s="79" t="n"/>
      <c r="O856" s="79" t="n"/>
      <c r="P856" s="79" t="n"/>
      <c r="Q856" s="79" t="n"/>
      <c r="R856" s="79" t="n"/>
      <c r="S856" s="79" t="n"/>
      <c r="T856" s="79" t="n"/>
      <c r="U856" s="79" t="n"/>
      <c r="V856" s="79" t="n"/>
      <c r="W856" s="79" t="n"/>
      <c r="X856" s="79" t="n"/>
      <c r="Y856" s="79" t="n"/>
      <c r="Z856" s="79" t="n"/>
    </row>
    <row r="857">
      <c r="A857" s="79" t="n"/>
      <c r="B857" s="79" t="n"/>
      <c r="C857" s="79" t="n"/>
      <c r="D857" s="79" t="n"/>
      <c r="E857" s="79" t="n"/>
      <c r="F857" s="79" t="n"/>
      <c r="G857" s="79" t="n"/>
      <c r="H857" s="79" t="n"/>
      <c r="I857" s="79" t="n"/>
      <c r="J857" s="79" t="n"/>
      <c r="K857" s="79" t="n"/>
      <c r="L857" s="79" t="n"/>
      <c r="M857" s="79" t="n"/>
      <c r="N857" s="79" t="n"/>
      <c r="O857" s="79" t="n"/>
      <c r="P857" s="79" t="n"/>
      <c r="Q857" s="79" t="n"/>
      <c r="R857" s="79" t="n"/>
      <c r="S857" s="79" t="n"/>
      <c r="T857" s="79" t="n"/>
      <c r="U857" s="79" t="n"/>
      <c r="V857" s="79" t="n"/>
      <c r="W857" s="79" t="n"/>
      <c r="X857" s="79" t="n"/>
      <c r="Y857" s="79" t="n"/>
      <c r="Z857" s="79" t="n"/>
    </row>
    <row r="858">
      <c r="A858" s="79" t="n"/>
      <c r="B858" s="79" t="n"/>
      <c r="C858" s="79" t="n"/>
      <c r="D858" s="79" t="n"/>
      <c r="E858" s="79" t="n"/>
      <c r="F858" s="79" t="n"/>
      <c r="G858" s="79" t="n"/>
      <c r="H858" s="79" t="n"/>
      <c r="I858" s="79" t="n"/>
      <c r="J858" s="79" t="n"/>
      <c r="K858" s="79" t="n"/>
      <c r="L858" s="79" t="n"/>
      <c r="M858" s="79" t="n"/>
      <c r="N858" s="79" t="n"/>
      <c r="O858" s="79" t="n"/>
      <c r="P858" s="79" t="n"/>
      <c r="Q858" s="79" t="n"/>
      <c r="R858" s="79" t="n"/>
      <c r="S858" s="79" t="n"/>
      <c r="T858" s="79" t="n"/>
      <c r="U858" s="79" t="n"/>
      <c r="V858" s="79" t="n"/>
      <c r="W858" s="79" t="n"/>
      <c r="X858" s="79" t="n"/>
      <c r="Y858" s="79" t="n"/>
      <c r="Z858" s="79" t="n"/>
    </row>
    <row r="859">
      <c r="A859" s="79" t="n"/>
      <c r="B859" s="79" t="n"/>
      <c r="C859" s="79" t="n"/>
      <c r="D859" s="79" t="n"/>
      <c r="E859" s="79" t="n"/>
      <c r="F859" s="79" t="n"/>
      <c r="G859" s="79" t="n"/>
      <c r="H859" s="79" t="n"/>
      <c r="I859" s="79" t="n"/>
      <c r="J859" s="79" t="n"/>
      <c r="K859" s="79" t="n"/>
      <c r="L859" s="79" t="n"/>
      <c r="M859" s="79" t="n"/>
      <c r="N859" s="79" t="n"/>
      <c r="O859" s="79" t="n"/>
      <c r="P859" s="79" t="n"/>
      <c r="Q859" s="79" t="n"/>
      <c r="R859" s="79" t="n"/>
      <c r="S859" s="79" t="n"/>
      <c r="T859" s="79" t="n"/>
      <c r="U859" s="79" t="n"/>
      <c r="V859" s="79" t="n"/>
      <c r="W859" s="79" t="n"/>
      <c r="X859" s="79" t="n"/>
      <c r="Y859" s="79" t="n"/>
      <c r="Z859" s="79" t="n"/>
    </row>
    <row r="860">
      <c r="A860" s="79" t="n"/>
      <c r="B860" s="79" t="n"/>
      <c r="C860" s="79" t="n"/>
      <c r="D860" s="79" t="n"/>
      <c r="E860" s="79" t="n"/>
      <c r="F860" s="79" t="n"/>
      <c r="G860" s="79" t="n"/>
      <c r="H860" s="79" t="n"/>
      <c r="I860" s="79" t="n"/>
      <c r="J860" s="79" t="n"/>
      <c r="K860" s="79" t="n"/>
      <c r="L860" s="79" t="n"/>
      <c r="M860" s="79" t="n"/>
      <c r="N860" s="79" t="n"/>
      <c r="O860" s="79" t="n"/>
      <c r="P860" s="79" t="n"/>
      <c r="Q860" s="79" t="n"/>
      <c r="R860" s="79" t="n"/>
      <c r="S860" s="79" t="n"/>
      <c r="T860" s="79" t="n"/>
      <c r="U860" s="79" t="n"/>
      <c r="V860" s="79" t="n"/>
      <c r="W860" s="79" t="n"/>
      <c r="X860" s="79" t="n"/>
      <c r="Y860" s="79" t="n"/>
      <c r="Z860" s="79" t="n"/>
    </row>
    <row r="861">
      <c r="A861" s="79" t="n"/>
      <c r="B861" s="79" t="n"/>
      <c r="C861" s="79" t="n"/>
      <c r="D861" s="79" t="n"/>
      <c r="E861" s="79" t="n"/>
      <c r="F861" s="79" t="n"/>
      <c r="G861" s="79" t="n"/>
      <c r="H861" s="79" t="n"/>
      <c r="I861" s="79" t="n"/>
      <c r="J861" s="79" t="n"/>
      <c r="K861" s="79" t="n"/>
      <c r="L861" s="79" t="n"/>
      <c r="M861" s="79" t="n"/>
      <c r="N861" s="79" t="n"/>
      <c r="O861" s="79" t="n"/>
      <c r="P861" s="79" t="n"/>
      <c r="Q861" s="79" t="n"/>
      <c r="R861" s="79" t="n"/>
      <c r="S861" s="79" t="n"/>
      <c r="T861" s="79" t="n"/>
      <c r="U861" s="79" t="n"/>
      <c r="V861" s="79" t="n"/>
      <c r="W861" s="79" t="n"/>
      <c r="X861" s="79" t="n"/>
      <c r="Y861" s="79" t="n"/>
      <c r="Z861" s="79" t="n"/>
    </row>
    <row r="862">
      <c r="A862" s="79" t="n"/>
      <c r="B862" s="79" t="n"/>
      <c r="C862" s="79" t="n"/>
      <c r="D862" s="79" t="n"/>
      <c r="E862" s="79" t="n"/>
      <c r="F862" s="79" t="n"/>
      <c r="G862" s="79" t="n"/>
      <c r="H862" s="79" t="n"/>
      <c r="I862" s="79" t="n"/>
      <c r="J862" s="79" t="n"/>
      <c r="K862" s="79" t="n"/>
      <c r="L862" s="79" t="n"/>
      <c r="M862" s="79" t="n"/>
      <c r="N862" s="79" t="n"/>
      <c r="O862" s="79" t="n"/>
      <c r="P862" s="79" t="n"/>
      <c r="Q862" s="79" t="n"/>
      <c r="R862" s="79" t="n"/>
      <c r="S862" s="79" t="n"/>
      <c r="T862" s="79" t="n"/>
      <c r="U862" s="79" t="n"/>
      <c r="V862" s="79" t="n"/>
      <c r="W862" s="79" t="n"/>
      <c r="X862" s="79" t="n"/>
      <c r="Y862" s="79" t="n"/>
      <c r="Z862" s="79" t="n"/>
    </row>
    <row r="863">
      <c r="A863" s="79" t="n"/>
      <c r="B863" s="79" t="n"/>
      <c r="C863" s="79" t="n"/>
      <c r="D863" s="79" t="n"/>
      <c r="E863" s="79" t="n"/>
      <c r="F863" s="79" t="n"/>
      <c r="G863" s="79" t="n"/>
      <c r="H863" s="79" t="n"/>
      <c r="I863" s="79" t="n"/>
      <c r="J863" s="79" t="n"/>
      <c r="K863" s="79" t="n"/>
      <c r="L863" s="79" t="n"/>
      <c r="M863" s="79" t="n"/>
      <c r="N863" s="79" t="n"/>
      <c r="O863" s="79" t="n"/>
      <c r="P863" s="79" t="n"/>
      <c r="Q863" s="79" t="n"/>
      <c r="R863" s="79" t="n"/>
      <c r="S863" s="79" t="n"/>
      <c r="T863" s="79" t="n"/>
      <c r="U863" s="79" t="n"/>
      <c r="V863" s="79" t="n"/>
      <c r="W863" s="79" t="n"/>
      <c r="X863" s="79" t="n"/>
      <c r="Y863" s="79" t="n"/>
      <c r="Z863" s="79" t="n"/>
    </row>
    <row r="864">
      <c r="A864" s="79" t="n"/>
      <c r="B864" s="79" t="n"/>
      <c r="C864" s="79" t="n"/>
      <c r="D864" s="79" t="n"/>
      <c r="E864" s="79" t="n"/>
      <c r="F864" s="79" t="n"/>
      <c r="G864" s="79" t="n"/>
      <c r="H864" s="79" t="n"/>
      <c r="I864" s="79" t="n"/>
      <c r="J864" s="79" t="n"/>
      <c r="K864" s="79" t="n"/>
      <c r="L864" s="79" t="n"/>
      <c r="M864" s="79" t="n"/>
      <c r="N864" s="79" t="n"/>
      <c r="O864" s="79" t="n"/>
      <c r="P864" s="79" t="n"/>
      <c r="Q864" s="79" t="n"/>
      <c r="R864" s="79" t="n"/>
      <c r="S864" s="79" t="n"/>
      <c r="T864" s="79" t="n"/>
      <c r="U864" s="79" t="n"/>
      <c r="V864" s="79" t="n"/>
      <c r="W864" s="79" t="n"/>
      <c r="X864" s="79" t="n"/>
      <c r="Y864" s="79" t="n"/>
      <c r="Z864" s="79" t="n"/>
    </row>
    <row r="865">
      <c r="A865" s="79" t="n"/>
      <c r="B865" s="79" t="n"/>
      <c r="C865" s="79" t="n"/>
      <c r="D865" s="79" t="n"/>
      <c r="E865" s="79" t="n"/>
      <c r="F865" s="79" t="n"/>
      <c r="G865" s="79" t="n"/>
      <c r="H865" s="79" t="n"/>
      <c r="I865" s="79" t="n"/>
      <c r="J865" s="79" t="n"/>
      <c r="K865" s="79" t="n"/>
      <c r="L865" s="79" t="n"/>
      <c r="M865" s="79" t="n"/>
      <c r="N865" s="79" t="n"/>
      <c r="O865" s="79" t="n"/>
      <c r="P865" s="79" t="n"/>
      <c r="Q865" s="79" t="n"/>
      <c r="R865" s="79" t="n"/>
      <c r="S865" s="79" t="n"/>
      <c r="T865" s="79" t="n"/>
      <c r="U865" s="79" t="n"/>
      <c r="V865" s="79" t="n"/>
      <c r="W865" s="79" t="n"/>
      <c r="X865" s="79" t="n"/>
      <c r="Y865" s="79" t="n"/>
      <c r="Z865" s="79" t="n"/>
    </row>
    <row r="866">
      <c r="A866" s="79" t="n"/>
      <c r="B866" s="79" t="n"/>
      <c r="C866" s="79" t="n"/>
      <c r="D866" s="79" t="n"/>
      <c r="E866" s="79" t="n"/>
      <c r="F866" s="79" t="n"/>
      <c r="G866" s="79" t="n"/>
      <c r="H866" s="79" t="n"/>
      <c r="I866" s="79" t="n"/>
      <c r="J866" s="79" t="n"/>
      <c r="K866" s="79" t="n"/>
      <c r="L866" s="79" t="n"/>
      <c r="M866" s="79" t="n"/>
      <c r="N866" s="79" t="n"/>
      <c r="O866" s="79" t="n"/>
      <c r="P866" s="79" t="n"/>
      <c r="Q866" s="79" t="n"/>
      <c r="R866" s="79" t="n"/>
      <c r="S866" s="79" t="n"/>
      <c r="T866" s="79" t="n"/>
      <c r="U866" s="79" t="n"/>
      <c r="V866" s="79" t="n"/>
      <c r="W866" s="79" t="n"/>
      <c r="X866" s="79" t="n"/>
      <c r="Y866" s="79" t="n"/>
      <c r="Z866" s="79" t="n"/>
    </row>
    <row r="867">
      <c r="A867" s="79" t="n"/>
      <c r="B867" s="79" t="n"/>
      <c r="C867" s="79" t="n"/>
      <c r="D867" s="79" t="n"/>
      <c r="E867" s="79" t="n"/>
      <c r="F867" s="79" t="n"/>
      <c r="G867" s="79" t="n"/>
      <c r="H867" s="79" t="n"/>
      <c r="I867" s="79" t="n"/>
      <c r="J867" s="79" t="n"/>
      <c r="K867" s="79" t="n"/>
      <c r="L867" s="79" t="n"/>
      <c r="M867" s="79" t="n"/>
      <c r="N867" s="79" t="n"/>
      <c r="O867" s="79" t="n"/>
      <c r="P867" s="79" t="n"/>
      <c r="Q867" s="79" t="n"/>
      <c r="R867" s="79" t="n"/>
      <c r="S867" s="79" t="n"/>
      <c r="T867" s="79" t="n"/>
      <c r="U867" s="79" t="n"/>
      <c r="V867" s="79" t="n"/>
      <c r="W867" s="79" t="n"/>
      <c r="X867" s="79" t="n"/>
      <c r="Y867" s="79" t="n"/>
      <c r="Z867" s="79" t="n"/>
    </row>
    <row r="868">
      <c r="A868" s="79" t="n"/>
      <c r="B868" s="79" t="n"/>
      <c r="C868" s="79" t="n"/>
      <c r="D868" s="79" t="n"/>
      <c r="E868" s="79" t="n"/>
      <c r="F868" s="79" t="n"/>
      <c r="G868" s="79" t="n"/>
      <c r="H868" s="79" t="n"/>
      <c r="I868" s="79" t="n"/>
      <c r="J868" s="79" t="n"/>
      <c r="K868" s="79" t="n"/>
      <c r="L868" s="79" t="n"/>
      <c r="M868" s="79" t="n"/>
      <c r="N868" s="79" t="n"/>
      <c r="O868" s="79" t="n"/>
      <c r="P868" s="79" t="n"/>
      <c r="Q868" s="79" t="n"/>
      <c r="R868" s="79" t="n"/>
      <c r="S868" s="79" t="n"/>
      <c r="T868" s="79" t="n"/>
      <c r="U868" s="79" t="n"/>
      <c r="V868" s="79" t="n"/>
      <c r="W868" s="79" t="n"/>
      <c r="X868" s="79" t="n"/>
      <c r="Y868" s="79" t="n"/>
      <c r="Z868" s="79" t="n"/>
    </row>
    <row r="869">
      <c r="A869" s="79" t="n"/>
      <c r="B869" s="79" t="n"/>
      <c r="C869" s="79" t="n"/>
      <c r="D869" s="79" t="n"/>
      <c r="E869" s="79" t="n"/>
      <c r="F869" s="79" t="n"/>
      <c r="G869" s="79" t="n"/>
      <c r="H869" s="79" t="n"/>
      <c r="I869" s="79" t="n"/>
      <c r="J869" s="79" t="n"/>
      <c r="K869" s="79" t="n"/>
      <c r="L869" s="79" t="n"/>
      <c r="M869" s="79" t="n"/>
      <c r="N869" s="79" t="n"/>
      <c r="O869" s="79" t="n"/>
      <c r="P869" s="79" t="n"/>
      <c r="Q869" s="79" t="n"/>
      <c r="R869" s="79" t="n"/>
      <c r="S869" s="79" t="n"/>
      <c r="T869" s="79" t="n"/>
      <c r="U869" s="79" t="n"/>
      <c r="V869" s="79" t="n"/>
      <c r="W869" s="79" t="n"/>
      <c r="X869" s="79" t="n"/>
      <c r="Y869" s="79" t="n"/>
      <c r="Z869" s="79" t="n"/>
    </row>
    <row r="870">
      <c r="A870" s="79" t="n"/>
      <c r="B870" s="79" t="n"/>
      <c r="C870" s="79" t="n"/>
      <c r="D870" s="79" t="n"/>
      <c r="E870" s="79" t="n"/>
      <c r="F870" s="79" t="n"/>
      <c r="G870" s="79" t="n"/>
      <c r="H870" s="79" t="n"/>
      <c r="I870" s="79" t="n"/>
      <c r="J870" s="79" t="n"/>
      <c r="K870" s="79" t="n"/>
      <c r="L870" s="79" t="n"/>
      <c r="M870" s="79" t="n"/>
      <c r="N870" s="79" t="n"/>
      <c r="O870" s="79" t="n"/>
      <c r="P870" s="79" t="n"/>
      <c r="Q870" s="79" t="n"/>
      <c r="R870" s="79" t="n"/>
      <c r="S870" s="79" t="n"/>
      <c r="T870" s="79" t="n"/>
      <c r="U870" s="79" t="n"/>
      <c r="V870" s="79" t="n"/>
      <c r="W870" s="79" t="n"/>
      <c r="X870" s="79" t="n"/>
      <c r="Y870" s="79" t="n"/>
      <c r="Z870" s="79" t="n"/>
    </row>
    <row r="871">
      <c r="A871" s="79" t="n"/>
      <c r="B871" s="79" t="n"/>
      <c r="C871" s="79" t="n"/>
      <c r="D871" s="79" t="n"/>
      <c r="E871" s="79" t="n"/>
      <c r="F871" s="79" t="n"/>
      <c r="G871" s="79" t="n"/>
      <c r="H871" s="79" t="n"/>
      <c r="I871" s="79" t="n"/>
      <c r="J871" s="79" t="n"/>
      <c r="K871" s="79" t="n"/>
      <c r="L871" s="79" t="n"/>
      <c r="M871" s="79" t="n"/>
      <c r="N871" s="79" t="n"/>
      <c r="O871" s="79" t="n"/>
      <c r="P871" s="79" t="n"/>
      <c r="Q871" s="79" t="n"/>
      <c r="R871" s="79" t="n"/>
      <c r="S871" s="79" t="n"/>
      <c r="T871" s="79" t="n"/>
      <c r="U871" s="79" t="n"/>
      <c r="V871" s="79" t="n"/>
      <c r="W871" s="79" t="n"/>
      <c r="X871" s="79" t="n"/>
      <c r="Y871" s="79" t="n"/>
      <c r="Z871" s="79" t="n"/>
    </row>
    <row r="872">
      <c r="A872" s="79" t="n"/>
      <c r="B872" s="79" t="n"/>
      <c r="C872" s="79" t="n"/>
      <c r="D872" s="79" t="n"/>
      <c r="E872" s="79" t="n"/>
      <c r="F872" s="79" t="n"/>
      <c r="G872" s="79" t="n"/>
      <c r="H872" s="79" t="n"/>
      <c r="I872" s="79" t="n"/>
      <c r="J872" s="79" t="n"/>
      <c r="K872" s="79" t="n"/>
      <c r="L872" s="79" t="n"/>
      <c r="M872" s="79" t="n"/>
      <c r="N872" s="79" t="n"/>
      <c r="O872" s="79" t="n"/>
      <c r="P872" s="79" t="n"/>
      <c r="Q872" s="79" t="n"/>
      <c r="R872" s="79" t="n"/>
      <c r="S872" s="79" t="n"/>
      <c r="T872" s="79" t="n"/>
      <c r="U872" s="79" t="n"/>
      <c r="V872" s="79" t="n"/>
      <c r="W872" s="79" t="n"/>
      <c r="X872" s="79" t="n"/>
      <c r="Y872" s="79" t="n"/>
      <c r="Z872" s="79" t="n"/>
    </row>
    <row r="873">
      <c r="A873" s="79" t="n"/>
      <c r="B873" s="79" t="n"/>
      <c r="C873" s="79" t="n"/>
      <c r="D873" s="79" t="n"/>
      <c r="E873" s="79" t="n"/>
      <c r="F873" s="79" t="n"/>
      <c r="G873" s="79" t="n"/>
      <c r="H873" s="79" t="n"/>
      <c r="I873" s="79" t="n"/>
      <c r="J873" s="79" t="n"/>
      <c r="K873" s="79" t="n"/>
      <c r="L873" s="79" t="n"/>
      <c r="M873" s="79" t="n"/>
      <c r="N873" s="79" t="n"/>
      <c r="O873" s="79" t="n"/>
      <c r="P873" s="79" t="n"/>
      <c r="Q873" s="79" t="n"/>
      <c r="R873" s="79" t="n"/>
      <c r="S873" s="79" t="n"/>
      <c r="T873" s="79" t="n"/>
      <c r="U873" s="79" t="n"/>
      <c r="V873" s="79" t="n"/>
      <c r="W873" s="79" t="n"/>
      <c r="X873" s="79" t="n"/>
      <c r="Y873" s="79" t="n"/>
      <c r="Z873" s="79" t="n"/>
    </row>
    <row r="874">
      <c r="A874" s="79" t="n"/>
      <c r="B874" s="79" t="n"/>
      <c r="C874" s="79" t="n"/>
      <c r="D874" s="79" t="n"/>
      <c r="E874" s="79" t="n"/>
      <c r="F874" s="79" t="n"/>
      <c r="G874" s="79" t="n"/>
      <c r="H874" s="79" t="n"/>
      <c r="I874" s="79" t="n"/>
      <c r="J874" s="79" t="n"/>
      <c r="K874" s="79" t="n"/>
      <c r="L874" s="79" t="n"/>
      <c r="M874" s="79" t="n"/>
      <c r="N874" s="79" t="n"/>
      <c r="O874" s="79" t="n"/>
      <c r="P874" s="79" t="n"/>
      <c r="Q874" s="79" t="n"/>
      <c r="R874" s="79" t="n"/>
      <c r="S874" s="79" t="n"/>
      <c r="T874" s="79" t="n"/>
      <c r="U874" s="79" t="n"/>
      <c r="V874" s="79" t="n"/>
      <c r="W874" s="79" t="n"/>
      <c r="X874" s="79" t="n"/>
      <c r="Y874" s="79" t="n"/>
      <c r="Z874" s="79" t="n"/>
    </row>
    <row r="875">
      <c r="A875" s="79" t="n"/>
      <c r="B875" s="79" t="n"/>
      <c r="C875" s="79" t="n"/>
      <c r="D875" s="79" t="n"/>
      <c r="E875" s="79" t="n"/>
      <c r="F875" s="79" t="n"/>
      <c r="G875" s="79" t="n"/>
      <c r="H875" s="79" t="n"/>
      <c r="I875" s="79" t="n"/>
      <c r="J875" s="79" t="n"/>
      <c r="K875" s="79" t="n"/>
      <c r="L875" s="79" t="n"/>
      <c r="M875" s="79" t="n"/>
      <c r="N875" s="79" t="n"/>
      <c r="O875" s="79" t="n"/>
      <c r="P875" s="79" t="n"/>
      <c r="Q875" s="79" t="n"/>
      <c r="R875" s="79" t="n"/>
      <c r="S875" s="79" t="n"/>
      <c r="T875" s="79" t="n"/>
      <c r="U875" s="79" t="n"/>
      <c r="V875" s="79" t="n"/>
      <c r="W875" s="79" t="n"/>
      <c r="X875" s="79" t="n"/>
      <c r="Y875" s="79" t="n"/>
      <c r="Z875" s="79" t="n"/>
    </row>
    <row r="876">
      <c r="A876" s="79" t="n"/>
      <c r="B876" s="79" t="n"/>
      <c r="C876" s="79" t="n"/>
      <c r="D876" s="79" t="n"/>
      <c r="E876" s="79" t="n"/>
      <c r="F876" s="79" t="n"/>
      <c r="G876" s="79" t="n"/>
      <c r="H876" s="79" t="n"/>
      <c r="I876" s="79" t="n"/>
      <c r="J876" s="79" t="n"/>
      <c r="K876" s="79" t="n"/>
      <c r="L876" s="79" t="n"/>
      <c r="M876" s="79" t="n"/>
      <c r="N876" s="79" t="n"/>
      <c r="O876" s="79" t="n"/>
      <c r="P876" s="79" t="n"/>
      <c r="Q876" s="79" t="n"/>
      <c r="R876" s="79" t="n"/>
      <c r="S876" s="79" t="n"/>
      <c r="T876" s="79" t="n"/>
      <c r="U876" s="79" t="n"/>
      <c r="V876" s="79" t="n"/>
      <c r="W876" s="79" t="n"/>
      <c r="X876" s="79" t="n"/>
      <c r="Y876" s="79" t="n"/>
      <c r="Z876" s="79" t="n"/>
    </row>
    <row r="877">
      <c r="A877" s="79" t="n"/>
      <c r="B877" s="79" t="n"/>
      <c r="C877" s="79" t="n"/>
      <c r="D877" s="79" t="n"/>
      <c r="E877" s="79" t="n"/>
      <c r="F877" s="79" t="n"/>
      <c r="G877" s="79" t="n"/>
      <c r="H877" s="79" t="n"/>
      <c r="I877" s="79" t="n"/>
      <c r="J877" s="79" t="n"/>
      <c r="K877" s="79" t="n"/>
      <c r="L877" s="79" t="n"/>
      <c r="M877" s="79" t="n"/>
      <c r="N877" s="79" t="n"/>
      <c r="O877" s="79" t="n"/>
      <c r="P877" s="79" t="n"/>
      <c r="Q877" s="79" t="n"/>
      <c r="R877" s="79" t="n"/>
      <c r="S877" s="79" t="n"/>
      <c r="T877" s="79" t="n"/>
      <c r="U877" s="79" t="n"/>
      <c r="V877" s="79" t="n"/>
      <c r="W877" s="79" t="n"/>
      <c r="X877" s="79" t="n"/>
      <c r="Y877" s="79" t="n"/>
      <c r="Z877" s="79" t="n"/>
    </row>
    <row r="878">
      <c r="A878" s="79" t="n"/>
      <c r="B878" s="79" t="n"/>
      <c r="C878" s="79" t="n"/>
      <c r="D878" s="79" t="n"/>
      <c r="E878" s="79" t="n"/>
      <c r="F878" s="79" t="n"/>
      <c r="G878" s="79" t="n"/>
      <c r="H878" s="79" t="n"/>
      <c r="I878" s="79" t="n"/>
      <c r="J878" s="79" t="n"/>
      <c r="K878" s="79" t="n"/>
      <c r="L878" s="79" t="n"/>
      <c r="M878" s="79" t="n"/>
      <c r="N878" s="79" t="n"/>
      <c r="O878" s="79" t="n"/>
      <c r="P878" s="79" t="n"/>
      <c r="Q878" s="79" t="n"/>
      <c r="R878" s="79" t="n"/>
      <c r="S878" s="79" t="n"/>
      <c r="T878" s="79" t="n"/>
      <c r="U878" s="79" t="n"/>
      <c r="V878" s="79" t="n"/>
      <c r="W878" s="79" t="n"/>
      <c r="X878" s="79" t="n"/>
      <c r="Y878" s="79" t="n"/>
      <c r="Z878" s="79" t="n"/>
    </row>
    <row r="879">
      <c r="A879" s="79" t="n"/>
      <c r="B879" s="79" t="n"/>
      <c r="C879" s="79" t="n"/>
      <c r="D879" s="79" t="n"/>
      <c r="E879" s="79" t="n"/>
      <c r="F879" s="79" t="n"/>
      <c r="G879" s="79" t="n"/>
      <c r="H879" s="79" t="n"/>
      <c r="I879" s="79" t="n"/>
      <c r="J879" s="79" t="n"/>
      <c r="K879" s="79" t="n"/>
      <c r="L879" s="79" t="n"/>
      <c r="M879" s="79" t="n"/>
      <c r="N879" s="79" t="n"/>
      <c r="O879" s="79" t="n"/>
      <c r="P879" s="79" t="n"/>
      <c r="Q879" s="79" t="n"/>
      <c r="R879" s="79" t="n"/>
      <c r="S879" s="79" t="n"/>
      <c r="T879" s="79" t="n"/>
      <c r="U879" s="79" t="n"/>
      <c r="V879" s="79" t="n"/>
      <c r="W879" s="79" t="n"/>
      <c r="X879" s="79" t="n"/>
      <c r="Y879" s="79" t="n"/>
      <c r="Z879" s="79" t="n"/>
    </row>
    <row r="880">
      <c r="A880" s="79" t="n"/>
      <c r="B880" s="79" t="n"/>
      <c r="C880" s="79" t="n"/>
      <c r="D880" s="79" t="n"/>
      <c r="E880" s="79" t="n"/>
      <c r="F880" s="79" t="n"/>
      <c r="G880" s="79" t="n"/>
      <c r="H880" s="79" t="n"/>
      <c r="I880" s="79" t="n"/>
      <c r="J880" s="79" t="n"/>
      <c r="K880" s="79" t="n"/>
      <c r="L880" s="79" t="n"/>
      <c r="M880" s="79" t="n"/>
      <c r="N880" s="79" t="n"/>
      <c r="O880" s="79" t="n"/>
      <c r="P880" s="79" t="n"/>
      <c r="Q880" s="79" t="n"/>
      <c r="R880" s="79" t="n"/>
      <c r="S880" s="79" t="n"/>
      <c r="T880" s="79" t="n"/>
      <c r="U880" s="79" t="n"/>
      <c r="V880" s="79" t="n"/>
      <c r="W880" s="79" t="n"/>
      <c r="X880" s="79" t="n"/>
      <c r="Y880" s="79" t="n"/>
      <c r="Z880" s="79" t="n"/>
    </row>
    <row r="881">
      <c r="A881" s="79" t="n"/>
      <c r="B881" s="79" t="n"/>
      <c r="C881" s="79" t="n"/>
      <c r="D881" s="79" t="n"/>
      <c r="E881" s="79" t="n"/>
      <c r="F881" s="79" t="n"/>
      <c r="G881" s="79" t="n"/>
      <c r="H881" s="79" t="n"/>
      <c r="I881" s="79" t="n"/>
      <c r="J881" s="79" t="n"/>
      <c r="K881" s="79" t="n"/>
      <c r="L881" s="79" t="n"/>
      <c r="M881" s="79" t="n"/>
      <c r="N881" s="79" t="n"/>
      <c r="O881" s="79" t="n"/>
      <c r="P881" s="79" t="n"/>
      <c r="Q881" s="79" t="n"/>
      <c r="R881" s="79" t="n"/>
      <c r="S881" s="79" t="n"/>
      <c r="T881" s="79" t="n"/>
      <c r="U881" s="79" t="n"/>
      <c r="V881" s="79" t="n"/>
      <c r="W881" s="79" t="n"/>
      <c r="X881" s="79" t="n"/>
      <c r="Y881" s="79" t="n"/>
      <c r="Z881" s="79" t="n"/>
    </row>
    <row r="882">
      <c r="A882" s="79" t="n"/>
      <c r="B882" s="79" t="n"/>
      <c r="C882" s="79" t="n"/>
      <c r="D882" s="79" t="n"/>
      <c r="E882" s="79" t="n"/>
      <c r="F882" s="79" t="n"/>
      <c r="G882" s="79" t="n"/>
      <c r="H882" s="79" t="n"/>
      <c r="I882" s="79" t="n"/>
      <c r="J882" s="79" t="n"/>
      <c r="K882" s="79" t="n"/>
      <c r="L882" s="79" t="n"/>
      <c r="M882" s="79" t="n"/>
      <c r="N882" s="79" t="n"/>
      <c r="O882" s="79" t="n"/>
      <c r="P882" s="79" t="n"/>
      <c r="Q882" s="79" t="n"/>
      <c r="R882" s="79" t="n"/>
      <c r="S882" s="79" t="n"/>
      <c r="T882" s="79" t="n"/>
      <c r="U882" s="79" t="n"/>
      <c r="V882" s="79" t="n"/>
      <c r="W882" s="79" t="n"/>
      <c r="X882" s="79" t="n"/>
      <c r="Y882" s="79" t="n"/>
      <c r="Z882" s="79" t="n"/>
    </row>
    <row r="883">
      <c r="A883" s="79" t="n"/>
      <c r="B883" s="79" t="n"/>
      <c r="C883" s="79" t="n"/>
      <c r="D883" s="79" t="n"/>
      <c r="E883" s="79" t="n"/>
      <c r="F883" s="79" t="n"/>
      <c r="G883" s="79" t="n"/>
      <c r="H883" s="79" t="n"/>
      <c r="I883" s="79" t="n"/>
      <c r="J883" s="79" t="n"/>
      <c r="K883" s="79" t="n"/>
      <c r="L883" s="79" t="n"/>
      <c r="M883" s="79" t="n"/>
      <c r="N883" s="79" t="n"/>
      <c r="O883" s="79" t="n"/>
      <c r="P883" s="79" t="n"/>
      <c r="Q883" s="79" t="n"/>
      <c r="R883" s="79" t="n"/>
      <c r="S883" s="79" t="n"/>
      <c r="T883" s="79" t="n"/>
      <c r="U883" s="79" t="n"/>
      <c r="V883" s="79" t="n"/>
      <c r="W883" s="79" t="n"/>
      <c r="X883" s="79" t="n"/>
      <c r="Y883" s="79" t="n"/>
      <c r="Z883" s="79" t="n"/>
    </row>
    <row r="884">
      <c r="A884" s="79" t="n"/>
      <c r="B884" s="79" t="n"/>
      <c r="C884" s="79" t="n"/>
      <c r="D884" s="79" t="n"/>
      <c r="E884" s="79" t="n"/>
      <c r="F884" s="79" t="n"/>
      <c r="G884" s="79" t="n"/>
      <c r="H884" s="79" t="n"/>
      <c r="I884" s="79" t="n"/>
      <c r="J884" s="79" t="n"/>
      <c r="K884" s="79" t="n"/>
      <c r="L884" s="79" t="n"/>
      <c r="M884" s="79" t="n"/>
      <c r="N884" s="79" t="n"/>
      <c r="O884" s="79" t="n"/>
      <c r="P884" s="79" t="n"/>
      <c r="Q884" s="79" t="n"/>
      <c r="R884" s="79" t="n"/>
      <c r="S884" s="79" t="n"/>
      <c r="T884" s="79" t="n"/>
      <c r="U884" s="79" t="n"/>
      <c r="V884" s="79" t="n"/>
      <c r="W884" s="79" t="n"/>
      <c r="X884" s="79" t="n"/>
      <c r="Y884" s="79" t="n"/>
      <c r="Z884" s="79" t="n"/>
    </row>
    <row r="885">
      <c r="A885" s="79" t="n"/>
      <c r="B885" s="79" t="n"/>
      <c r="C885" s="79" t="n"/>
      <c r="D885" s="79" t="n"/>
      <c r="E885" s="79" t="n"/>
      <c r="F885" s="79" t="n"/>
      <c r="G885" s="79" t="n"/>
      <c r="H885" s="79" t="n"/>
      <c r="I885" s="79" t="n"/>
      <c r="J885" s="79" t="n"/>
      <c r="K885" s="79" t="n"/>
      <c r="L885" s="79" t="n"/>
      <c r="M885" s="79" t="n"/>
      <c r="N885" s="79" t="n"/>
      <c r="O885" s="79" t="n"/>
      <c r="P885" s="79" t="n"/>
      <c r="Q885" s="79" t="n"/>
      <c r="R885" s="79" t="n"/>
      <c r="S885" s="79" t="n"/>
      <c r="T885" s="79" t="n"/>
      <c r="U885" s="79" t="n"/>
      <c r="V885" s="79" t="n"/>
      <c r="W885" s="79" t="n"/>
      <c r="X885" s="79" t="n"/>
      <c r="Y885" s="79" t="n"/>
      <c r="Z885" s="79" t="n"/>
    </row>
    <row r="886">
      <c r="A886" s="79" t="n"/>
      <c r="B886" s="79" t="n"/>
      <c r="C886" s="79" t="n"/>
      <c r="D886" s="79" t="n"/>
      <c r="E886" s="79" t="n"/>
      <c r="F886" s="79" t="n"/>
      <c r="G886" s="79" t="n"/>
      <c r="H886" s="79" t="n"/>
      <c r="I886" s="79" t="n"/>
      <c r="J886" s="79" t="n"/>
      <c r="K886" s="79" t="n"/>
      <c r="L886" s="79" t="n"/>
      <c r="M886" s="79" t="n"/>
      <c r="N886" s="79" t="n"/>
      <c r="O886" s="79" t="n"/>
      <c r="P886" s="79" t="n"/>
      <c r="Q886" s="79" t="n"/>
      <c r="R886" s="79" t="n"/>
      <c r="S886" s="79" t="n"/>
      <c r="T886" s="79" t="n"/>
      <c r="U886" s="79" t="n"/>
      <c r="V886" s="79" t="n"/>
      <c r="W886" s="79" t="n"/>
      <c r="X886" s="79" t="n"/>
      <c r="Y886" s="79" t="n"/>
      <c r="Z886" s="79" t="n"/>
    </row>
    <row r="887">
      <c r="A887" s="79" t="n"/>
      <c r="B887" s="79" t="n"/>
      <c r="C887" s="79" t="n"/>
      <c r="D887" s="79" t="n"/>
      <c r="E887" s="79" t="n"/>
      <c r="F887" s="79" t="n"/>
      <c r="G887" s="79" t="n"/>
      <c r="H887" s="79" t="n"/>
      <c r="I887" s="79" t="n"/>
      <c r="J887" s="79" t="n"/>
      <c r="K887" s="79" t="n"/>
      <c r="L887" s="79" t="n"/>
      <c r="M887" s="79" t="n"/>
      <c r="N887" s="79" t="n"/>
      <c r="O887" s="79" t="n"/>
      <c r="P887" s="79" t="n"/>
      <c r="Q887" s="79" t="n"/>
      <c r="R887" s="79" t="n"/>
      <c r="S887" s="79" t="n"/>
      <c r="T887" s="79" t="n"/>
      <c r="U887" s="79" t="n"/>
      <c r="V887" s="79" t="n"/>
      <c r="W887" s="79" t="n"/>
      <c r="X887" s="79" t="n"/>
      <c r="Y887" s="79" t="n"/>
      <c r="Z887" s="79" t="n"/>
    </row>
    <row r="888">
      <c r="A888" s="79" t="n"/>
      <c r="B888" s="79" t="n"/>
      <c r="C888" s="79" t="n"/>
      <c r="D888" s="79" t="n"/>
      <c r="E888" s="79" t="n"/>
      <c r="F888" s="79" t="n"/>
      <c r="G888" s="79" t="n"/>
      <c r="H888" s="79" t="n"/>
      <c r="I888" s="79" t="n"/>
      <c r="J888" s="79" t="n"/>
      <c r="K888" s="79" t="n"/>
      <c r="L888" s="79" t="n"/>
      <c r="M888" s="79" t="n"/>
      <c r="N888" s="79" t="n"/>
      <c r="O888" s="79" t="n"/>
      <c r="P888" s="79" t="n"/>
      <c r="Q888" s="79" t="n"/>
      <c r="R888" s="79" t="n"/>
      <c r="S888" s="79" t="n"/>
      <c r="T888" s="79" t="n"/>
      <c r="U888" s="79" t="n"/>
      <c r="V888" s="79" t="n"/>
      <c r="W888" s="79" t="n"/>
      <c r="X888" s="79" t="n"/>
      <c r="Y888" s="79" t="n"/>
      <c r="Z888" s="79" t="n"/>
    </row>
    <row r="889">
      <c r="A889" s="79" t="n"/>
      <c r="B889" s="79" t="n"/>
      <c r="C889" s="79" t="n"/>
      <c r="D889" s="79" t="n"/>
      <c r="E889" s="79" t="n"/>
      <c r="F889" s="79" t="n"/>
      <c r="G889" s="79" t="n"/>
      <c r="H889" s="79" t="n"/>
      <c r="I889" s="79" t="n"/>
      <c r="J889" s="79" t="n"/>
      <c r="K889" s="79" t="n"/>
      <c r="L889" s="79" t="n"/>
      <c r="M889" s="79" t="n"/>
      <c r="N889" s="79" t="n"/>
      <c r="O889" s="79" t="n"/>
      <c r="P889" s="79" t="n"/>
      <c r="Q889" s="79" t="n"/>
      <c r="R889" s="79" t="n"/>
      <c r="S889" s="79" t="n"/>
      <c r="T889" s="79" t="n"/>
      <c r="U889" s="79" t="n"/>
      <c r="V889" s="79" t="n"/>
      <c r="W889" s="79" t="n"/>
      <c r="X889" s="79" t="n"/>
      <c r="Y889" s="79" t="n"/>
      <c r="Z889" s="79" t="n"/>
    </row>
    <row r="890">
      <c r="A890" s="79" t="n"/>
      <c r="B890" s="79" t="n"/>
      <c r="C890" s="79" t="n"/>
      <c r="D890" s="79" t="n"/>
      <c r="E890" s="79" t="n"/>
      <c r="F890" s="79" t="n"/>
      <c r="G890" s="79" t="n"/>
      <c r="H890" s="79" t="n"/>
      <c r="I890" s="79" t="n"/>
      <c r="J890" s="79" t="n"/>
      <c r="K890" s="79" t="n"/>
      <c r="L890" s="79" t="n"/>
      <c r="M890" s="79" t="n"/>
      <c r="N890" s="79" t="n"/>
      <c r="O890" s="79" t="n"/>
      <c r="P890" s="79" t="n"/>
      <c r="Q890" s="79" t="n"/>
      <c r="R890" s="79" t="n"/>
      <c r="S890" s="79" t="n"/>
      <c r="T890" s="79" t="n"/>
      <c r="U890" s="79" t="n"/>
      <c r="V890" s="79" t="n"/>
      <c r="W890" s="79" t="n"/>
      <c r="X890" s="79" t="n"/>
      <c r="Y890" s="79" t="n"/>
      <c r="Z890" s="79" t="n"/>
    </row>
    <row r="891">
      <c r="A891" s="79" t="n"/>
      <c r="B891" s="79" t="n"/>
      <c r="C891" s="79" t="n"/>
      <c r="D891" s="79" t="n"/>
      <c r="E891" s="79" t="n"/>
      <c r="F891" s="79" t="n"/>
      <c r="G891" s="79" t="n"/>
      <c r="H891" s="79" t="n"/>
      <c r="I891" s="79" t="n"/>
      <c r="J891" s="79" t="n"/>
      <c r="K891" s="79" t="n"/>
      <c r="L891" s="79" t="n"/>
      <c r="M891" s="79" t="n"/>
      <c r="N891" s="79" t="n"/>
      <c r="O891" s="79" t="n"/>
      <c r="P891" s="79" t="n"/>
      <c r="Q891" s="79" t="n"/>
      <c r="R891" s="79" t="n"/>
      <c r="S891" s="79" t="n"/>
      <c r="T891" s="79" t="n"/>
      <c r="U891" s="79" t="n"/>
      <c r="V891" s="79" t="n"/>
      <c r="W891" s="79" t="n"/>
      <c r="X891" s="79" t="n"/>
      <c r="Y891" s="79" t="n"/>
      <c r="Z891" s="79" t="n"/>
    </row>
    <row r="892">
      <c r="A892" s="79" t="n"/>
      <c r="B892" s="79" t="n"/>
      <c r="C892" s="79" t="n"/>
      <c r="D892" s="79" t="n"/>
      <c r="E892" s="79" t="n"/>
      <c r="F892" s="79" t="n"/>
      <c r="G892" s="79" t="n"/>
      <c r="H892" s="79" t="n"/>
      <c r="I892" s="79" t="n"/>
      <c r="J892" s="79" t="n"/>
      <c r="K892" s="79" t="n"/>
      <c r="L892" s="79" t="n"/>
      <c r="M892" s="79" t="n"/>
      <c r="N892" s="79" t="n"/>
      <c r="O892" s="79" t="n"/>
      <c r="P892" s="79" t="n"/>
      <c r="Q892" s="79" t="n"/>
      <c r="R892" s="79" t="n"/>
      <c r="S892" s="79" t="n"/>
      <c r="T892" s="79" t="n"/>
      <c r="U892" s="79" t="n"/>
      <c r="V892" s="79" t="n"/>
      <c r="W892" s="79" t="n"/>
      <c r="X892" s="79" t="n"/>
      <c r="Y892" s="79" t="n"/>
      <c r="Z892" s="79" t="n"/>
    </row>
    <row r="893">
      <c r="A893" s="79" t="n"/>
      <c r="B893" s="79" t="n"/>
      <c r="C893" s="79" t="n"/>
      <c r="D893" s="79" t="n"/>
      <c r="E893" s="79" t="n"/>
      <c r="F893" s="79" t="n"/>
      <c r="G893" s="79" t="n"/>
      <c r="H893" s="79" t="n"/>
      <c r="I893" s="79" t="n"/>
      <c r="J893" s="79" t="n"/>
      <c r="K893" s="79" t="n"/>
      <c r="L893" s="79" t="n"/>
      <c r="M893" s="79" t="n"/>
      <c r="N893" s="79" t="n"/>
      <c r="O893" s="79" t="n"/>
      <c r="P893" s="79" t="n"/>
      <c r="Q893" s="79" t="n"/>
      <c r="R893" s="79" t="n"/>
      <c r="S893" s="79" t="n"/>
      <c r="T893" s="79" t="n"/>
      <c r="U893" s="79" t="n"/>
      <c r="V893" s="79" t="n"/>
      <c r="W893" s="79" t="n"/>
      <c r="X893" s="79" t="n"/>
      <c r="Y893" s="79" t="n"/>
      <c r="Z893" s="79" t="n"/>
    </row>
    <row r="894">
      <c r="A894" s="79" t="n"/>
      <c r="B894" s="79" t="n"/>
      <c r="C894" s="79" t="n"/>
      <c r="D894" s="79" t="n"/>
      <c r="E894" s="79" t="n"/>
      <c r="F894" s="79" t="n"/>
      <c r="G894" s="79" t="n"/>
      <c r="H894" s="79" t="n"/>
      <c r="I894" s="79" t="n"/>
      <c r="J894" s="79" t="n"/>
      <c r="K894" s="79" t="n"/>
      <c r="L894" s="79" t="n"/>
      <c r="M894" s="79" t="n"/>
      <c r="N894" s="79" t="n"/>
      <c r="O894" s="79" t="n"/>
      <c r="P894" s="79" t="n"/>
      <c r="Q894" s="79" t="n"/>
      <c r="R894" s="79" t="n"/>
      <c r="S894" s="79" t="n"/>
      <c r="T894" s="79" t="n"/>
      <c r="U894" s="79" t="n"/>
      <c r="V894" s="79" t="n"/>
      <c r="W894" s="79" t="n"/>
      <c r="X894" s="79" t="n"/>
      <c r="Y894" s="79" t="n"/>
      <c r="Z894" s="79" t="n"/>
    </row>
    <row r="895">
      <c r="A895" s="79" t="n"/>
      <c r="B895" s="79" t="n"/>
      <c r="C895" s="79" t="n"/>
      <c r="D895" s="79" t="n"/>
      <c r="E895" s="79" t="n"/>
      <c r="F895" s="79" t="n"/>
      <c r="G895" s="79" t="n"/>
      <c r="H895" s="79" t="n"/>
      <c r="I895" s="79" t="n"/>
      <c r="J895" s="79" t="n"/>
      <c r="K895" s="79" t="n"/>
      <c r="L895" s="79" t="n"/>
      <c r="M895" s="79" t="n"/>
      <c r="N895" s="79" t="n"/>
      <c r="O895" s="79" t="n"/>
      <c r="P895" s="79" t="n"/>
      <c r="Q895" s="79" t="n"/>
      <c r="R895" s="79" t="n"/>
      <c r="S895" s="79" t="n"/>
      <c r="T895" s="79" t="n"/>
      <c r="U895" s="79" t="n"/>
      <c r="V895" s="79" t="n"/>
      <c r="W895" s="79" t="n"/>
      <c r="X895" s="79" t="n"/>
      <c r="Y895" s="79" t="n"/>
      <c r="Z895" s="79" t="n"/>
    </row>
    <row r="896">
      <c r="A896" s="79" t="n"/>
      <c r="B896" s="79" t="n"/>
      <c r="C896" s="79" t="n"/>
      <c r="D896" s="79" t="n"/>
      <c r="E896" s="79" t="n"/>
      <c r="F896" s="79" t="n"/>
      <c r="G896" s="79" t="n"/>
      <c r="H896" s="79" t="n"/>
      <c r="I896" s="79" t="n"/>
      <c r="J896" s="79" t="n"/>
      <c r="K896" s="79" t="n"/>
      <c r="L896" s="79" t="n"/>
      <c r="M896" s="79" t="n"/>
      <c r="N896" s="79" t="n"/>
      <c r="O896" s="79" t="n"/>
      <c r="P896" s="79" t="n"/>
      <c r="Q896" s="79" t="n"/>
      <c r="R896" s="79" t="n"/>
      <c r="S896" s="79" t="n"/>
      <c r="T896" s="79" t="n"/>
      <c r="U896" s="79" t="n"/>
      <c r="V896" s="79" t="n"/>
      <c r="W896" s="79" t="n"/>
      <c r="X896" s="79" t="n"/>
      <c r="Y896" s="79" t="n"/>
      <c r="Z896" s="79" t="n"/>
    </row>
    <row r="897">
      <c r="A897" s="79" t="n"/>
      <c r="B897" s="79" t="n"/>
      <c r="C897" s="79" t="n"/>
      <c r="D897" s="79" t="n"/>
      <c r="E897" s="79" t="n"/>
      <c r="F897" s="79" t="n"/>
      <c r="G897" s="79" t="n"/>
      <c r="H897" s="79" t="n"/>
      <c r="I897" s="79" t="n"/>
      <c r="J897" s="79" t="n"/>
      <c r="K897" s="79" t="n"/>
      <c r="L897" s="79" t="n"/>
      <c r="M897" s="79" t="n"/>
      <c r="N897" s="79" t="n"/>
      <c r="O897" s="79" t="n"/>
      <c r="P897" s="79" t="n"/>
      <c r="Q897" s="79" t="n"/>
      <c r="R897" s="79" t="n"/>
      <c r="S897" s="79" t="n"/>
      <c r="T897" s="79" t="n"/>
      <c r="U897" s="79" t="n"/>
      <c r="V897" s="79" t="n"/>
      <c r="W897" s="79" t="n"/>
      <c r="X897" s="79" t="n"/>
      <c r="Y897" s="79" t="n"/>
      <c r="Z897" s="79" t="n"/>
    </row>
    <row r="898">
      <c r="A898" s="79" t="n"/>
      <c r="B898" s="79" t="n"/>
      <c r="C898" s="79" t="n"/>
      <c r="D898" s="79" t="n"/>
      <c r="E898" s="79" t="n"/>
      <c r="F898" s="79" t="n"/>
      <c r="G898" s="79" t="n"/>
      <c r="H898" s="79" t="n"/>
      <c r="I898" s="79" t="n"/>
      <c r="J898" s="79" t="n"/>
      <c r="K898" s="79" t="n"/>
      <c r="L898" s="79" t="n"/>
      <c r="M898" s="79" t="n"/>
      <c r="N898" s="79" t="n"/>
      <c r="O898" s="79" t="n"/>
      <c r="P898" s="79" t="n"/>
      <c r="Q898" s="79" t="n"/>
      <c r="R898" s="79" t="n"/>
      <c r="S898" s="79" t="n"/>
      <c r="T898" s="79" t="n"/>
      <c r="U898" s="79" t="n"/>
      <c r="V898" s="79" t="n"/>
      <c r="W898" s="79" t="n"/>
      <c r="X898" s="79" t="n"/>
      <c r="Y898" s="79" t="n"/>
      <c r="Z898" s="79" t="n"/>
    </row>
    <row r="899">
      <c r="A899" s="79" t="n"/>
      <c r="B899" s="79" t="n"/>
      <c r="C899" s="79" t="n"/>
      <c r="D899" s="79" t="n"/>
      <c r="E899" s="79" t="n"/>
      <c r="F899" s="79" t="n"/>
      <c r="G899" s="79" t="n"/>
      <c r="H899" s="79" t="n"/>
      <c r="I899" s="79" t="n"/>
      <c r="J899" s="79" t="n"/>
      <c r="K899" s="79" t="n"/>
      <c r="L899" s="79" t="n"/>
      <c r="M899" s="79" t="n"/>
      <c r="N899" s="79" t="n"/>
      <c r="O899" s="79" t="n"/>
      <c r="P899" s="79" t="n"/>
      <c r="Q899" s="79" t="n"/>
      <c r="R899" s="79" t="n"/>
      <c r="S899" s="79" t="n"/>
      <c r="T899" s="79" t="n"/>
      <c r="U899" s="79" t="n"/>
      <c r="V899" s="79" t="n"/>
      <c r="W899" s="79" t="n"/>
      <c r="X899" s="79" t="n"/>
      <c r="Y899" s="79" t="n"/>
      <c r="Z899" s="79" t="n"/>
    </row>
    <row r="900">
      <c r="A900" s="79" t="n"/>
      <c r="B900" s="79" t="n"/>
      <c r="C900" s="79" t="n"/>
      <c r="D900" s="79" t="n"/>
      <c r="E900" s="79" t="n"/>
      <c r="F900" s="79" t="n"/>
      <c r="G900" s="79" t="n"/>
      <c r="H900" s="79" t="n"/>
      <c r="I900" s="79" t="n"/>
      <c r="J900" s="79" t="n"/>
      <c r="K900" s="79" t="n"/>
      <c r="L900" s="79" t="n"/>
      <c r="M900" s="79" t="n"/>
      <c r="N900" s="79" t="n"/>
      <c r="O900" s="79" t="n"/>
      <c r="P900" s="79" t="n"/>
      <c r="Q900" s="79" t="n"/>
      <c r="R900" s="79" t="n"/>
      <c r="S900" s="79" t="n"/>
      <c r="T900" s="79" t="n"/>
      <c r="U900" s="79" t="n"/>
      <c r="V900" s="79" t="n"/>
      <c r="W900" s="79" t="n"/>
      <c r="X900" s="79" t="n"/>
      <c r="Y900" s="79" t="n"/>
      <c r="Z900" s="79" t="n"/>
    </row>
    <row r="901">
      <c r="A901" s="79" t="n"/>
      <c r="B901" s="79" t="n"/>
      <c r="C901" s="79" t="n"/>
      <c r="D901" s="79" t="n"/>
      <c r="E901" s="79" t="n"/>
      <c r="F901" s="79" t="n"/>
      <c r="G901" s="79" t="n"/>
      <c r="H901" s="79" t="n"/>
      <c r="I901" s="79" t="n"/>
      <c r="J901" s="79" t="n"/>
      <c r="K901" s="79" t="n"/>
      <c r="L901" s="79" t="n"/>
      <c r="M901" s="79" t="n"/>
      <c r="N901" s="79" t="n"/>
      <c r="O901" s="79" t="n"/>
      <c r="P901" s="79" t="n"/>
      <c r="Q901" s="79" t="n"/>
      <c r="R901" s="79" t="n"/>
      <c r="S901" s="79" t="n"/>
      <c r="T901" s="79" t="n"/>
      <c r="U901" s="79" t="n"/>
      <c r="V901" s="79" t="n"/>
      <c r="W901" s="79" t="n"/>
      <c r="X901" s="79" t="n"/>
      <c r="Y901" s="79" t="n"/>
      <c r="Z901" s="79" t="n"/>
    </row>
    <row r="902">
      <c r="A902" s="79" t="n"/>
      <c r="B902" s="79" t="n"/>
      <c r="C902" s="79" t="n"/>
      <c r="D902" s="79" t="n"/>
      <c r="E902" s="79" t="n"/>
      <c r="F902" s="79" t="n"/>
      <c r="G902" s="79" t="n"/>
      <c r="H902" s="79" t="n"/>
      <c r="I902" s="79" t="n"/>
      <c r="J902" s="79" t="n"/>
      <c r="K902" s="79" t="n"/>
      <c r="L902" s="79" t="n"/>
      <c r="M902" s="79" t="n"/>
      <c r="N902" s="79" t="n"/>
      <c r="O902" s="79" t="n"/>
      <c r="P902" s="79" t="n"/>
      <c r="Q902" s="79" t="n"/>
      <c r="R902" s="79" t="n"/>
      <c r="S902" s="79" t="n"/>
      <c r="T902" s="79" t="n"/>
      <c r="U902" s="79" t="n"/>
      <c r="V902" s="79" t="n"/>
      <c r="W902" s="79" t="n"/>
      <c r="X902" s="79" t="n"/>
      <c r="Y902" s="79" t="n"/>
      <c r="Z902" s="79" t="n"/>
    </row>
    <row r="903">
      <c r="A903" s="79" t="n"/>
      <c r="B903" s="79" t="n"/>
      <c r="C903" s="79" t="n"/>
      <c r="D903" s="79" t="n"/>
      <c r="E903" s="79" t="n"/>
      <c r="F903" s="79" t="n"/>
      <c r="G903" s="79" t="n"/>
      <c r="H903" s="79" t="n"/>
      <c r="I903" s="79" t="n"/>
      <c r="J903" s="79" t="n"/>
      <c r="K903" s="79" t="n"/>
      <c r="L903" s="79" t="n"/>
      <c r="M903" s="79" t="n"/>
      <c r="N903" s="79" t="n"/>
      <c r="O903" s="79" t="n"/>
      <c r="P903" s="79" t="n"/>
      <c r="Q903" s="79" t="n"/>
      <c r="R903" s="79" t="n"/>
      <c r="S903" s="79" t="n"/>
      <c r="T903" s="79" t="n"/>
      <c r="U903" s="79" t="n"/>
      <c r="V903" s="79" t="n"/>
      <c r="W903" s="79" t="n"/>
      <c r="X903" s="79" t="n"/>
      <c r="Y903" s="79" t="n"/>
      <c r="Z903" s="79" t="n"/>
    </row>
    <row r="904">
      <c r="A904" s="79" t="n"/>
      <c r="B904" s="79" t="n"/>
      <c r="C904" s="79" t="n"/>
      <c r="D904" s="79" t="n"/>
      <c r="E904" s="79" t="n"/>
      <c r="F904" s="79" t="n"/>
      <c r="G904" s="79" t="n"/>
      <c r="H904" s="79" t="n"/>
      <c r="I904" s="79" t="n"/>
      <c r="J904" s="79" t="n"/>
      <c r="K904" s="79" t="n"/>
      <c r="L904" s="79" t="n"/>
      <c r="M904" s="79" t="n"/>
      <c r="N904" s="79" t="n"/>
      <c r="O904" s="79" t="n"/>
      <c r="P904" s="79" t="n"/>
      <c r="Q904" s="79" t="n"/>
      <c r="R904" s="79" t="n"/>
      <c r="S904" s="79" t="n"/>
      <c r="T904" s="79" t="n"/>
      <c r="U904" s="79" t="n"/>
      <c r="V904" s="79" t="n"/>
      <c r="W904" s="79" t="n"/>
      <c r="X904" s="79" t="n"/>
      <c r="Y904" s="79" t="n"/>
      <c r="Z904" s="79" t="n"/>
    </row>
    <row r="905">
      <c r="A905" s="79" t="n"/>
      <c r="B905" s="79" t="n"/>
      <c r="C905" s="79" t="n"/>
      <c r="D905" s="79" t="n"/>
      <c r="E905" s="79" t="n"/>
      <c r="F905" s="79" t="n"/>
      <c r="G905" s="79" t="n"/>
      <c r="H905" s="79" t="n"/>
      <c r="I905" s="79" t="n"/>
      <c r="J905" s="79" t="n"/>
      <c r="K905" s="79" t="n"/>
      <c r="L905" s="79" t="n"/>
      <c r="M905" s="79" t="n"/>
      <c r="N905" s="79" t="n"/>
      <c r="O905" s="79" t="n"/>
      <c r="P905" s="79" t="n"/>
      <c r="Q905" s="79" t="n"/>
      <c r="R905" s="79" t="n"/>
      <c r="S905" s="79" t="n"/>
      <c r="T905" s="79" t="n"/>
      <c r="U905" s="79" t="n"/>
      <c r="V905" s="79" t="n"/>
      <c r="W905" s="79" t="n"/>
      <c r="X905" s="79" t="n"/>
      <c r="Y905" s="79" t="n"/>
      <c r="Z905" s="79" t="n"/>
    </row>
    <row r="906">
      <c r="A906" s="79" t="n"/>
      <c r="B906" s="79" t="n"/>
      <c r="C906" s="79" t="n"/>
      <c r="D906" s="79" t="n"/>
      <c r="E906" s="79" t="n"/>
      <c r="F906" s="79" t="n"/>
      <c r="G906" s="79" t="n"/>
      <c r="H906" s="79" t="n"/>
      <c r="I906" s="79" t="n"/>
      <c r="J906" s="79" t="n"/>
      <c r="K906" s="79" t="n"/>
      <c r="L906" s="79" t="n"/>
      <c r="M906" s="79" t="n"/>
      <c r="N906" s="79" t="n"/>
      <c r="O906" s="79" t="n"/>
      <c r="P906" s="79" t="n"/>
      <c r="Q906" s="79" t="n"/>
      <c r="R906" s="79" t="n"/>
      <c r="S906" s="79" t="n"/>
      <c r="T906" s="79" t="n"/>
      <c r="U906" s="79" t="n"/>
      <c r="V906" s="79" t="n"/>
      <c r="W906" s="79" t="n"/>
      <c r="X906" s="79" t="n"/>
      <c r="Y906" s="79" t="n"/>
      <c r="Z906" s="79" t="n"/>
    </row>
    <row r="907">
      <c r="A907" s="79" t="n"/>
      <c r="B907" s="79" t="n"/>
      <c r="C907" s="79" t="n"/>
      <c r="D907" s="79" t="n"/>
      <c r="E907" s="79" t="n"/>
      <c r="F907" s="79" t="n"/>
      <c r="G907" s="79" t="n"/>
      <c r="H907" s="79" t="n"/>
      <c r="I907" s="79" t="n"/>
      <c r="J907" s="79" t="n"/>
      <c r="K907" s="79" t="n"/>
      <c r="L907" s="79" t="n"/>
      <c r="M907" s="79" t="n"/>
      <c r="N907" s="79" t="n"/>
      <c r="O907" s="79" t="n"/>
      <c r="P907" s="79" t="n"/>
      <c r="Q907" s="79" t="n"/>
      <c r="R907" s="79" t="n"/>
      <c r="S907" s="79" t="n"/>
      <c r="T907" s="79" t="n"/>
      <c r="U907" s="79" t="n"/>
      <c r="V907" s="79" t="n"/>
      <c r="W907" s="79" t="n"/>
      <c r="X907" s="79" t="n"/>
      <c r="Y907" s="79" t="n"/>
      <c r="Z907" s="79" t="n"/>
    </row>
    <row r="908">
      <c r="A908" s="79" t="n"/>
      <c r="B908" s="79" t="n"/>
      <c r="C908" s="79" t="n"/>
      <c r="D908" s="79" t="n"/>
      <c r="E908" s="79" t="n"/>
      <c r="F908" s="79" t="n"/>
      <c r="G908" s="79" t="n"/>
      <c r="H908" s="79" t="n"/>
      <c r="I908" s="79" t="n"/>
      <c r="J908" s="79" t="n"/>
      <c r="K908" s="79" t="n"/>
      <c r="L908" s="79" t="n"/>
      <c r="M908" s="79" t="n"/>
      <c r="N908" s="79" t="n"/>
      <c r="O908" s="79" t="n"/>
      <c r="P908" s="79" t="n"/>
      <c r="Q908" s="79" t="n"/>
      <c r="R908" s="79" t="n"/>
      <c r="S908" s="79" t="n"/>
      <c r="T908" s="79" t="n"/>
      <c r="U908" s="79" t="n"/>
      <c r="V908" s="79" t="n"/>
      <c r="W908" s="79" t="n"/>
      <c r="X908" s="79" t="n"/>
      <c r="Y908" s="79" t="n"/>
      <c r="Z908" s="79" t="n"/>
    </row>
    <row r="909">
      <c r="A909" s="79" t="n"/>
      <c r="B909" s="79" t="n"/>
      <c r="C909" s="79" t="n"/>
      <c r="D909" s="79" t="n"/>
      <c r="E909" s="79" t="n"/>
      <c r="F909" s="79" t="n"/>
      <c r="G909" s="79" t="n"/>
      <c r="H909" s="79" t="n"/>
      <c r="I909" s="79" t="n"/>
      <c r="J909" s="79" t="n"/>
      <c r="K909" s="79" t="n"/>
      <c r="L909" s="79" t="n"/>
      <c r="M909" s="79" t="n"/>
      <c r="N909" s="79" t="n"/>
      <c r="O909" s="79" t="n"/>
      <c r="P909" s="79" t="n"/>
      <c r="Q909" s="79" t="n"/>
      <c r="R909" s="79" t="n"/>
      <c r="S909" s="79" t="n"/>
      <c r="T909" s="79" t="n"/>
      <c r="U909" s="79" t="n"/>
      <c r="V909" s="79" t="n"/>
      <c r="W909" s="79" t="n"/>
      <c r="X909" s="79" t="n"/>
      <c r="Y909" s="79" t="n"/>
      <c r="Z909" s="79" t="n"/>
    </row>
    <row r="910">
      <c r="A910" s="79" t="n"/>
      <c r="B910" s="79" t="n"/>
      <c r="C910" s="79" t="n"/>
      <c r="D910" s="79" t="n"/>
      <c r="E910" s="79" t="n"/>
      <c r="F910" s="79" t="n"/>
      <c r="G910" s="79" t="n"/>
      <c r="H910" s="79" t="n"/>
      <c r="I910" s="79" t="n"/>
      <c r="J910" s="79" t="n"/>
      <c r="K910" s="79" t="n"/>
      <c r="L910" s="79" t="n"/>
      <c r="M910" s="79" t="n"/>
      <c r="N910" s="79" t="n"/>
      <c r="O910" s="79" t="n"/>
      <c r="P910" s="79" t="n"/>
      <c r="Q910" s="79" t="n"/>
      <c r="R910" s="79" t="n"/>
      <c r="S910" s="79" t="n"/>
      <c r="T910" s="79" t="n"/>
      <c r="U910" s="79" t="n"/>
      <c r="V910" s="79" t="n"/>
      <c r="W910" s="79" t="n"/>
      <c r="X910" s="79" t="n"/>
      <c r="Y910" s="79" t="n"/>
      <c r="Z910" s="79" t="n"/>
    </row>
    <row r="911">
      <c r="A911" s="79" t="n"/>
      <c r="B911" s="79" t="n"/>
      <c r="C911" s="79" t="n"/>
      <c r="D911" s="79" t="n"/>
      <c r="E911" s="79" t="n"/>
      <c r="F911" s="79" t="n"/>
      <c r="G911" s="79" t="n"/>
      <c r="H911" s="79" t="n"/>
      <c r="I911" s="79" t="n"/>
      <c r="J911" s="79" t="n"/>
      <c r="K911" s="79" t="n"/>
      <c r="L911" s="79" t="n"/>
      <c r="M911" s="79" t="n"/>
      <c r="N911" s="79" t="n"/>
      <c r="O911" s="79" t="n"/>
      <c r="P911" s="79" t="n"/>
      <c r="Q911" s="79" t="n"/>
      <c r="R911" s="79" t="n"/>
      <c r="S911" s="79" t="n"/>
      <c r="T911" s="79" t="n"/>
      <c r="U911" s="79" t="n"/>
      <c r="V911" s="79" t="n"/>
      <c r="W911" s="79" t="n"/>
      <c r="X911" s="79" t="n"/>
      <c r="Y911" s="79" t="n"/>
      <c r="Z911" s="79" t="n"/>
    </row>
    <row r="912">
      <c r="A912" s="79" t="n"/>
      <c r="B912" s="79" t="n"/>
      <c r="C912" s="79" t="n"/>
      <c r="D912" s="79" t="n"/>
      <c r="E912" s="79" t="n"/>
      <c r="F912" s="79" t="n"/>
      <c r="G912" s="79" t="n"/>
      <c r="H912" s="79" t="n"/>
      <c r="I912" s="79" t="n"/>
      <c r="J912" s="79" t="n"/>
      <c r="K912" s="79" t="n"/>
      <c r="L912" s="79" t="n"/>
      <c r="M912" s="79" t="n"/>
      <c r="N912" s="79" t="n"/>
      <c r="O912" s="79" t="n"/>
      <c r="P912" s="79" t="n"/>
      <c r="Q912" s="79" t="n"/>
      <c r="R912" s="79" t="n"/>
      <c r="S912" s="79" t="n"/>
      <c r="T912" s="79" t="n"/>
      <c r="U912" s="79" t="n"/>
      <c r="V912" s="79" t="n"/>
      <c r="W912" s="79" t="n"/>
      <c r="X912" s="79" t="n"/>
      <c r="Y912" s="79" t="n"/>
      <c r="Z912" s="79" t="n"/>
    </row>
    <row r="913">
      <c r="A913" s="79" t="n"/>
      <c r="B913" s="79" t="n"/>
      <c r="C913" s="79" t="n"/>
      <c r="D913" s="79" t="n"/>
      <c r="E913" s="79" t="n"/>
      <c r="F913" s="79" t="n"/>
      <c r="G913" s="79" t="n"/>
      <c r="H913" s="79" t="n"/>
      <c r="I913" s="79" t="n"/>
      <c r="J913" s="79" t="n"/>
      <c r="K913" s="79" t="n"/>
      <c r="L913" s="79" t="n"/>
      <c r="M913" s="79" t="n"/>
      <c r="N913" s="79" t="n"/>
      <c r="O913" s="79" t="n"/>
      <c r="P913" s="79" t="n"/>
      <c r="Q913" s="79" t="n"/>
      <c r="R913" s="79" t="n"/>
      <c r="S913" s="79" t="n"/>
      <c r="T913" s="79" t="n"/>
      <c r="U913" s="79" t="n"/>
      <c r="V913" s="79" t="n"/>
      <c r="W913" s="79" t="n"/>
      <c r="X913" s="79" t="n"/>
      <c r="Y913" s="79" t="n"/>
      <c r="Z913" s="79" t="n"/>
    </row>
    <row r="914">
      <c r="A914" s="79" t="n"/>
      <c r="B914" s="79" t="n"/>
      <c r="C914" s="79" t="n"/>
      <c r="D914" s="79" t="n"/>
      <c r="E914" s="79" t="n"/>
      <c r="F914" s="79" t="n"/>
      <c r="G914" s="79" t="n"/>
      <c r="H914" s="79" t="n"/>
      <c r="I914" s="79" t="n"/>
      <c r="J914" s="79" t="n"/>
      <c r="K914" s="79" t="n"/>
      <c r="L914" s="79" t="n"/>
      <c r="M914" s="79" t="n"/>
      <c r="N914" s="79" t="n"/>
      <c r="O914" s="79" t="n"/>
      <c r="P914" s="79" t="n"/>
      <c r="Q914" s="79" t="n"/>
      <c r="R914" s="79" t="n"/>
      <c r="S914" s="79" t="n"/>
      <c r="T914" s="79" t="n"/>
      <c r="U914" s="79" t="n"/>
      <c r="V914" s="79" t="n"/>
      <c r="W914" s="79" t="n"/>
      <c r="X914" s="79" t="n"/>
      <c r="Y914" s="79" t="n"/>
      <c r="Z914" s="79" t="n"/>
    </row>
    <row r="915">
      <c r="A915" s="79" t="n"/>
      <c r="B915" s="79" t="n"/>
      <c r="C915" s="79" t="n"/>
      <c r="D915" s="79" t="n"/>
      <c r="E915" s="79" t="n"/>
      <c r="F915" s="79" t="n"/>
      <c r="G915" s="79" t="n"/>
      <c r="H915" s="79" t="n"/>
      <c r="I915" s="79" t="n"/>
      <c r="J915" s="79" t="n"/>
      <c r="K915" s="79" t="n"/>
      <c r="L915" s="79" t="n"/>
      <c r="M915" s="79" t="n"/>
      <c r="N915" s="79" t="n"/>
      <c r="O915" s="79" t="n"/>
      <c r="P915" s="79" t="n"/>
      <c r="Q915" s="79" t="n"/>
      <c r="R915" s="79" t="n"/>
      <c r="S915" s="79" t="n"/>
      <c r="T915" s="79" t="n"/>
      <c r="U915" s="79" t="n"/>
      <c r="V915" s="79" t="n"/>
      <c r="W915" s="79" t="n"/>
      <c r="X915" s="79" t="n"/>
      <c r="Y915" s="79" t="n"/>
      <c r="Z915" s="79" t="n"/>
    </row>
    <row r="916">
      <c r="A916" s="79" t="n"/>
      <c r="B916" s="79" t="n"/>
      <c r="C916" s="79" t="n"/>
      <c r="D916" s="79" t="n"/>
      <c r="E916" s="79" t="n"/>
      <c r="F916" s="79" t="n"/>
      <c r="G916" s="79" t="n"/>
      <c r="H916" s="79" t="n"/>
      <c r="I916" s="79" t="n"/>
      <c r="J916" s="79" t="n"/>
      <c r="K916" s="79" t="n"/>
      <c r="L916" s="79" t="n"/>
      <c r="M916" s="79" t="n"/>
      <c r="N916" s="79" t="n"/>
      <c r="O916" s="79" t="n"/>
      <c r="P916" s="79" t="n"/>
      <c r="Q916" s="79" t="n"/>
      <c r="R916" s="79" t="n"/>
      <c r="S916" s="79" t="n"/>
      <c r="T916" s="79" t="n"/>
      <c r="U916" s="79" t="n"/>
      <c r="V916" s="79" t="n"/>
      <c r="W916" s="79" t="n"/>
      <c r="X916" s="79" t="n"/>
      <c r="Y916" s="79" t="n"/>
      <c r="Z916" s="79" t="n"/>
    </row>
    <row r="917">
      <c r="A917" s="79" t="n"/>
      <c r="B917" s="79" t="n"/>
      <c r="C917" s="79" t="n"/>
      <c r="D917" s="79" t="n"/>
      <c r="E917" s="79" t="n"/>
      <c r="F917" s="79" t="n"/>
      <c r="G917" s="79" t="n"/>
      <c r="H917" s="79" t="n"/>
      <c r="I917" s="79" t="n"/>
      <c r="J917" s="79" t="n"/>
      <c r="K917" s="79" t="n"/>
      <c r="L917" s="79" t="n"/>
      <c r="M917" s="79" t="n"/>
      <c r="N917" s="79" t="n"/>
      <c r="O917" s="79" t="n"/>
      <c r="P917" s="79" t="n"/>
      <c r="Q917" s="79" t="n"/>
      <c r="R917" s="79" t="n"/>
      <c r="S917" s="79" t="n"/>
      <c r="T917" s="79" t="n"/>
      <c r="U917" s="79" t="n"/>
      <c r="V917" s="79" t="n"/>
      <c r="W917" s="79" t="n"/>
      <c r="X917" s="79" t="n"/>
      <c r="Y917" s="79" t="n"/>
      <c r="Z917" s="79" t="n"/>
    </row>
    <row r="918">
      <c r="A918" s="79" t="n"/>
      <c r="B918" s="79" t="n"/>
      <c r="C918" s="79" t="n"/>
      <c r="D918" s="79" t="n"/>
      <c r="E918" s="79" t="n"/>
      <c r="F918" s="79" t="n"/>
      <c r="G918" s="79" t="n"/>
      <c r="H918" s="79" t="n"/>
      <c r="I918" s="79" t="n"/>
      <c r="J918" s="79" t="n"/>
      <c r="K918" s="79" t="n"/>
      <c r="L918" s="79" t="n"/>
      <c r="M918" s="79" t="n"/>
      <c r="N918" s="79" t="n"/>
      <c r="O918" s="79" t="n"/>
      <c r="P918" s="79" t="n"/>
      <c r="Q918" s="79" t="n"/>
      <c r="R918" s="79" t="n"/>
      <c r="S918" s="79" t="n"/>
      <c r="T918" s="79" t="n"/>
      <c r="U918" s="79" t="n"/>
      <c r="V918" s="79" t="n"/>
      <c r="W918" s="79" t="n"/>
      <c r="X918" s="79" t="n"/>
      <c r="Y918" s="79" t="n"/>
      <c r="Z918" s="79" t="n"/>
    </row>
    <row r="919">
      <c r="A919" s="79" t="n"/>
      <c r="B919" s="79" t="n"/>
      <c r="C919" s="79" t="n"/>
      <c r="D919" s="79" t="n"/>
      <c r="E919" s="79" t="n"/>
      <c r="F919" s="79" t="n"/>
      <c r="G919" s="79" t="n"/>
      <c r="H919" s="79" t="n"/>
      <c r="I919" s="79" t="n"/>
      <c r="J919" s="79" t="n"/>
      <c r="K919" s="79" t="n"/>
      <c r="L919" s="79" t="n"/>
      <c r="M919" s="79" t="n"/>
      <c r="N919" s="79" t="n"/>
      <c r="O919" s="79" t="n"/>
      <c r="P919" s="79" t="n"/>
      <c r="Q919" s="79" t="n"/>
      <c r="R919" s="79" t="n"/>
      <c r="S919" s="79" t="n"/>
      <c r="T919" s="79" t="n"/>
      <c r="U919" s="79" t="n"/>
      <c r="V919" s="79" t="n"/>
      <c r="W919" s="79" t="n"/>
      <c r="X919" s="79" t="n"/>
      <c r="Y919" s="79" t="n"/>
      <c r="Z919" s="79" t="n"/>
    </row>
    <row r="920">
      <c r="A920" s="79" t="n"/>
      <c r="B920" s="79" t="n"/>
      <c r="C920" s="79" t="n"/>
      <c r="D920" s="79" t="n"/>
      <c r="E920" s="79" t="n"/>
      <c r="F920" s="79" t="n"/>
      <c r="G920" s="79" t="n"/>
      <c r="H920" s="79" t="n"/>
      <c r="I920" s="79" t="n"/>
      <c r="J920" s="79" t="n"/>
      <c r="K920" s="79" t="n"/>
      <c r="L920" s="79" t="n"/>
      <c r="M920" s="79" t="n"/>
      <c r="N920" s="79" t="n"/>
      <c r="O920" s="79" t="n"/>
      <c r="P920" s="79" t="n"/>
      <c r="Q920" s="79" t="n"/>
      <c r="R920" s="79" t="n"/>
      <c r="S920" s="79" t="n"/>
      <c r="T920" s="79" t="n"/>
      <c r="U920" s="79" t="n"/>
      <c r="V920" s="79" t="n"/>
      <c r="W920" s="79" t="n"/>
      <c r="X920" s="79" t="n"/>
      <c r="Y920" s="79" t="n"/>
      <c r="Z920" s="79" t="n"/>
    </row>
    <row r="921">
      <c r="A921" s="79" t="n"/>
      <c r="B921" s="79" t="n"/>
      <c r="C921" s="79" t="n"/>
      <c r="D921" s="79" t="n"/>
      <c r="E921" s="79" t="n"/>
      <c r="F921" s="79" t="n"/>
      <c r="G921" s="79" t="n"/>
      <c r="H921" s="79" t="n"/>
      <c r="I921" s="79" t="n"/>
      <c r="J921" s="79" t="n"/>
      <c r="K921" s="79" t="n"/>
      <c r="L921" s="79" t="n"/>
      <c r="M921" s="79" t="n"/>
      <c r="N921" s="79" t="n"/>
      <c r="O921" s="79" t="n"/>
      <c r="P921" s="79" t="n"/>
      <c r="Q921" s="79" t="n"/>
      <c r="R921" s="79" t="n"/>
      <c r="S921" s="79" t="n"/>
      <c r="T921" s="79" t="n"/>
      <c r="U921" s="79" t="n"/>
      <c r="V921" s="79" t="n"/>
      <c r="W921" s="79" t="n"/>
      <c r="X921" s="79" t="n"/>
      <c r="Y921" s="79" t="n"/>
      <c r="Z921" s="79" t="n"/>
    </row>
    <row r="922">
      <c r="A922" s="79" t="n"/>
      <c r="B922" s="79" t="n"/>
      <c r="C922" s="79" t="n"/>
      <c r="D922" s="79" t="n"/>
      <c r="E922" s="79" t="n"/>
      <c r="F922" s="79" t="n"/>
      <c r="G922" s="79" t="n"/>
      <c r="H922" s="79" t="n"/>
      <c r="I922" s="79" t="n"/>
      <c r="J922" s="79" t="n"/>
      <c r="K922" s="79" t="n"/>
      <c r="L922" s="79" t="n"/>
      <c r="M922" s="79" t="n"/>
      <c r="N922" s="79" t="n"/>
      <c r="O922" s="79" t="n"/>
      <c r="P922" s="79" t="n"/>
      <c r="Q922" s="79" t="n"/>
      <c r="R922" s="79" t="n"/>
      <c r="S922" s="79" t="n"/>
      <c r="T922" s="79" t="n"/>
      <c r="U922" s="79" t="n"/>
      <c r="V922" s="79" t="n"/>
      <c r="W922" s="79" t="n"/>
      <c r="X922" s="79" t="n"/>
      <c r="Y922" s="79" t="n"/>
      <c r="Z922" s="79" t="n"/>
    </row>
    <row r="923">
      <c r="A923" s="79" t="n"/>
      <c r="B923" s="79" t="n"/>
      <c r="C923" s="79" t="n"/>
      <c r="D923" s="79" t="n"/>
      <c r="E923" s="79" t="n"/>
      <c r="F923" s="79" t="n"/>
      <c r="G923" s="79" t="n"/>
      <c r="H923" s="79" t="n"/>
      <c r="I923" s="79" t="n"/>
      <c r="J923" s="79" t="n"/>
      <c r="K923" s="79" t="n"/>
      <c r="L923" s="79" t="n"/>
      <c r="M923" s="79" t="n"/>
      <c r="N923" s="79" t="n"/>
      <c r="O923" s="79" t="n"/>
      <c r="P923" s="79" t="n"/>
      <c r="Q923" s="79" t="n"/>
      <c r="R923" s="79" t="n"/>
      <c r="S923" s="79" t="n"/>
      <c r="T923" s="79" t="n"/>
      <c r="U923" s="79" t="n"/>
      <c r="V923" s="79" t="n"/>
      <c r="W923" s="79" t="n"/>
      <c r="X923" s="79" t="n"/>
      <c r="Y923" s="79" t="n"/>
      <c r="Z923" s="79" t="n"/>
    </row>
    <row r="924">
      <c r="A924" s="79" t="n"/>
      <c r="B924" s="79" t="n"/>
      <c r="C924" s="79" t="n"/>
      <c r="D924" s="79" t="n"/>
      <c r="E924" s="79" t="n"/>
      <c r="F924" s="79" t="n"/>
      <c r="G924" s="79" t="n"/>
      <c r="H924" s="79" t="n"/>
      <c r="I924" s="79" t="n"/>
      <c r="J924" s="79" t="n"/>
      <c r="K924" s="79" t="n"/>
      <c r="L924" s="79" t="n"/>
      <c r="M924" s="79" t="n"/>
      <c r="N924" s="79" t="n"/>
      <c r="O924" s="79" t="n"/>
      <c r="P924" s="79" t="n"/>
      <c r="Q924" s="79" t="n"/>
      <c r="R924" s="79" t="n"/>
      <c r="S924" s="79" t="n"/>
      <c r="T924" s="79" t="n"/>
      <c r="U924" s="79" t="n"/>
      <c r="V924" s="79" t="n"/>
      <c r="W924" s="79" t="n"/>
      <c r="X924" s="79" t="n"/>
      <c r="Y924" s="79" t="n"/>
      <c r="Z924" s="79" t="n"/>
    </row>
    <row r="925">
      <c r="A925" s="79" t="n"/>
      <c r="B925" s="79" t="n"/>
      <c r="C925" s="79" t="n"/>
      <c r="D925" s="79" t="n"/>
      <c r="E925" s="79" t="n"/>
      <c r="F925" s="79" t="n"/>
      <c r="G925" s="79" t="n"/>
      <c r="H925" s="79" t="n"/>
      <c r="I925" s="79" t="n"/>
      <c r="J925" s="79" t="n"/>
      <c r="K925" s="79" t="n"/>
      <c r="L925" s="79" t="n"/>
      <c r="M925" s="79" t="n"/>
      <c r="N925" s="79" t="n"/>
      <c r="O925" s="79" t="n"/>
      <c r="P925" s="79" t="n"/>
      <c r="Q925" s="79" t="n"/>
      <c r="R925" s="79" t="n"/>
      <c r="S925" s="79" t="n"/>
      <c r="T925" s="79" t="n"/>
      <c r="U925" s="79" t="n"/>
      <c r="V925" s="79" t="n"/>
      <c r="W925" s="79" t="n"/>
      <c r="X925" s="79" t="n"/>
      <c r="Y925" s="79" t="n"/>
      <c r="Z925" s="79" t="n"/>
    </row>
    <row r="926">
      <c r="A926" s="79" t="n"/>
      <c r="B926" s="79" t="n"/>
      <c r="C926" s="79" t="n"/>
      <c r="D926" s="79" t="n"/>
      <c r="E926" s="79" t="n"/>
      <c r="F926" s="79" t="n"/>
      <c r="G926" s="79" t="n"/>
      <c r="H926" s="79" t="n"/>
      <c r="I926" s="79" t="n"/>
      <c r="J926" s="79" t="n"/>
      <c r="K926" s="79" t="n"/>
      <c r="L926" s="79" t="n"/>
      <c r="M926" s="79" t="n"/>
      <c r="N926" s="79" t="n"/>
      <c r="O926" s="79" t="n"/>
      <c r="P926" s="79" t="n"/>
      <c r="Q926" s="79" t="n"/>
      <c r="R926" s="79" t="n"/>
      <c r="S926" s="79" t="n"/>
      <c r="T926" s="79" t="n"/>
      <c r="U926" s="79" t="n"/>
      <c r="V926" s="79" t="n"/>
      <c r="W926" s="79" t="n"/>
      <c r="X926" s="79" t="n"/>
      <c r="Y926" s="79" t="n"/>
      <c r="Z926" s="79" t="n"/>
    </row>
    <row r="927">
      <c r="A927" s="79" t="n"/>
      <c r="B927" s="79" t="n"/>
      <c r="C927" s="79" t="n"/>
      <c r="D927" s="79" t="n"/>
      <c r="E927" s="79" t="n"/>
      <c r="F927" s="79" t="n"/>
      <c r="G927" s="79" t="n"/>
      <c r="H927" s="79" t="n"/>
      <c r="I927" s="79" t="n"/>
      <c r="J927" s="79" t="n"/>
      <c r="K927" s="79" t="n"/>
      <c r="L927" s="79" t="n"/>
      <c r="M927" s="79" t="n"/>
      <c r="N927" s="79" t="n"/>
      <c r="O927" s="79" t="n"/>
      <c r="P927" s="79" t="n"/>
      <c r="Q927" s="79" t="n"/>
      <c r="R927" s="79" t="n"/>
      <c r="S927" s="79" t="n"/>
      <c r="T927" s="79" t="n"/>
      <c r="U927" s="79" t="n"/>
      <c r="V927" s="79" t="n"/>
      <c r="W927" s="79" t="n"/>
      <c r="X927" s="79" t="n"/>
      <c r="Y927" s="79" t="n"/>
      <c r="Z927" s="79" t="n"/>
    </row>
    <row r="928">
      <c r="A928" s="79" t="n"/>
      <c r="B928" s="79" t="n"/>
      <c r="C928" s="79" t="n"/>
      <c r="D928" s="79" t="n"/>
      <c r="E928" s="79" t="n"/>
      <c r="F928" s="79" t="n"/>
      <c r="G928" s="79" t="n"/>
      <c r="H928" s="79" t="n"/>
      <c r="I928" s="79" t="n"/>
      <c r="J928" s="79" t="n"/>
      <c r="K928" s="79" t="n"/>
      <c r="L928" s="79" t="n"/>
      <c r="M928" s="79" t="n"/>
      <c r="N928" s="79" t="n"/>
      <c r="O928" s="79" t="n"/>
      <c r="P928" s="79" t="n"/>
      <c r="Q928" s="79" t="n"/>
      <c r="R928" s="79" t="n"/>
      <c r="S928" s="79" t="n"/>
      <c r="T928" s="79" t="n"/>
      <c r="U928" s="79" t="n"/>
      <c r="V928" s="79" t="n"/>
      <c r="W928" s="79" t="n"/>
      <c r="X928" s="79" t="n"/>
      <c r="Y928" s="79" t="n"/>
      <c r="Z928" s="79" t="n"/>
    </row>
    <row r="929">
      <c r="A929" s="79" t="n"/>
      <c r="B929" s="79" t="n"/>
      <c r="C929" s="79" t="n"/>
      <c r="D929" s="79" t="n"/>
      <c r="E929" s="79" t="n"/>
      <c r="F929" s="79" t="n"/>
      <c r="G929" s="79" t="n"/>
      <c r="H929" s="79" t="n"/>
      <c r="I929" s="79" t="n"/>
      <c r="J929" s="79" t="n"/>
      <c r="K929" s="79" t="n"/>
      <c r="L929" s="79" t="n"/>
      <c r="M929" s="79" t="n"/>
      <c r="N929" s="79" t="n"/>
      <c r="O929" s="79" t="n"/>
      <c r="P929" s="79" t="n"/>
      <c r="Q929" s="79" t="n"/>
      <c r="R929" s="79" t="n"/>
      <c r="S929" s="79" t="n"/>
      <c r="T929" s="79" t="n"/>
      <c r="U929" s="79" t="n"/>
      <c r="V929" s="79" t="n"/>
      <c r="W929" s="79" t="n"/>
      <c r="X929" s="79" t="n"/>
      <c r="Y929" s="79" t="n"/>
      <c r="Z929" s="79" t="n"/>
    </row>
    <row r="930">
      <c r="A930" s="79" t="n"/>
      <c r="B930" s="79" t="n"/>
      <c r="C930" s="79" t="n"/>
      <c r="D930" s="79" t="n"/>
      <c r="E930" s="79" t="n"/>
      <c r="F930" s="79" t="n"/>
      <c r="G930" s="79" t="n"/>
      <c r="H930" s="79" t="n"/>
      <c r="I930" s="79" t="n"/>
      <c r="J930" s="79" t="n"/>
      <c r="K930" s="79" t="n"/>
      <c r="L930" s="79" t="n"/>
      <c r="M930" s="79" t="n"/>
      <c r="N930" s="79" t="n"/>
      <c r="O930" s="79" t="n"/>
      <c r="P930" s="79" t="n"/>
      <c r="Q930" s="79" t="n"/>
      <c r="R930" s="79" t="n"/>
      <c r="S930" s="79" t="n"/>
      <c r="T930" s="79" t="n"/>
      <c r="U930" s="79" t="n"/>
      <c r="V930" s="79" t="n"/>
      <c r="W930" s="79" t="n"/>
      <c r="X930" s="79" t="n"/>
      <c r="Y930" s="79" t="n"/>
      <c r="Z930" s="79" t="n"/>
    </row>
    <row r="931">
      <c r="A931" s="79" t="n"/>
      <c r="B931" s="79" t="n"/>
      <c r="C931" s="79" t="n"/>
      <c r="D931" s="79" t="n"/>
      <c r="E931" s="79" t="n"/>
      <c r="F931" s="79" t="n"/>
      <c r="G931" s="79" t="n"/>
      <c r="H931" s="79" t="n"/>
      <c r="I931" s="79" t="n"/>
      <c r="J931" s="79" t="n"/>
      <c r="K931" s="79" t="n"/>
      <c r="L931" s="79" t="n"/>
      <c r="M931" s="79" t="n"/>
      <c r="N931" s="79" t="n"/>
      <c r="O931" s="79" t="n"/>
      <c r="P931" s="79" t="n"/>
      <c r="Q931" s="79" t="n"/>
      <c r="R931" s="79" t="n"/>
      <c r="S931" s="79" t="n"/>
      <c r="T931" s="79" t="n"/>
      <c r="U931" s="79" t="n"/>
      <c r="V931" s="79" t="n"/>
      <c r="W931" s="79" t="n"/>
      <c r="X931" s="79" t="n"/>
      <c r="Y931" s="79" t="n"/>
      <c r="Z931" s="79" t="n"/>
    </row>
    <row r="932">
      <c r="A932" s="79" t="n"/>
      <c r="B932" s="79" t="n"/>
      <c r="C932" s="79" t="n"/>
      <c r="D932" s="79" t="n"/>
      <c r="E932" s="79" t="n"/>
      <c r="F932" s="79" t="n"/>
      <c r="G932" s="79" t="n"/>
      <c r="H932" s="79" t="n"/>
      <c r="I932" s="79" t="n"/>
      <c r="J932" s="79" t="n"/>
      <c r="K932" s="79" t="n"/>
      <c r="L932" s="79" t="n"/>
      <c r="M932" s="79" t="n"/>
      <c r="N932" s="79" t="n"/>
      <c r="O932" s="79" t="n"/>
      <c r="P932" s="79" t="n"/>
      <c r="Q932" s="79" t="n"/>
      <c r="R932" s="79" t="n"/>
      <c r="S932" s="79" t="n"/>
      <c r="T932" s="79" t="n"/>
      <c r="U932" s="79" t="n"/>
      <c r="V932" s="79" t="n"/>
      <c r="W932" s="79" t="n"/>
      <c r="X932" s="79" t="n"/>
      <c r="Y932" s="79" t="n"/>
      <c r="Z932" s="79" t="n"/>
    </row>
    <row r="933">
      <c r="A933" s="79" t="n"/>
      <c r="B933" s="79" t="n"/>
      <c r="C933" s="79" t="n"/>
      <c r="D933" s="79" t="n"/>
      <c r="E933" s="79" t="n"/>
      <c r="F933" s="79" t="n"/>
      <c r="G933" s="79" t="n"/>
      <c r="H933" s="79" t="n"/>
      <c r="I933" s="79" t="n"/>
      <c r="J933" s="79" t="n"/>
      <c r="K933" s="79" t="n"/>
      <c r="L933" s="79" t="n"/>
      <c r="M933" s="79" t="n"/>
      <c r="N933" s="79" t="n"/>
      <c r="O933" s="79" t="n"/>
      <c r="P933" s="79" t="n"/>
      <c r="Q933" s="79" t="n"/>
      <c r="R933" s="79" t="n"/>
      <c r="S933" s="79" t="n"/>
      <c r="T933" s="79" t="n"/>
      <c r="U933" s="79" t="n"/>
      <c r="V933" s="79" t="n"/>
      <c r="W933" s="79" t="n"/>
      <c r="X933" s="79" t="n"/>
      <c r="Y933" s="79" t="n"/>
      <c r="Z933" s="79" t="n"/>
    </row>
    <row r="934">
      <c r="A934" s="79" t="n"/>
      <c r="B934" s="79" t="n"/>
      <c r="C934" s="79" t="n"/>
      <c r="D934" s="79" t="n"/>
      <c r="E934" s="79" t="n"/>
      <c r="F934" s="79" t="n"/>
      <c r="G934" s="79" t="n"/>
      <c r="H934" s="79" t="n"/>
      <c r="I934" s="79" t="n"/>
      <c r="J934" s="79" t="n"/>
      <c r="K934" s="79" t="n"/>
      <c r="L934" s="79" t="n"/>
      <c r="M934" s="79" t="n"/>
      <c r="N934" s="79" t="n"/>
      <c r="O934" s="79" t="n"/>
      <c r="P934" s="79" t="n"/>
      <c r="Q934" s="79" t="n"/>
      <c r="R934" s="79" t="n"/>
      <c r="S934" s="79" t="n"/>
      <c r="T934" s="79" t="n"/>
      <c r="U934" s="79" t="n"/>
      <c r="V934" s="79" t="n"/>
      <c r="W934" s="79" t="n"/>
      <c r="X934" s="79" t="n"/>
      <c r="Y934" s="79" t="n"/>
      <c r="Z934" s="79" t="n"/>
    </row>
    <row r="935">
      <c r="A935" s="79" t="n"/>
      <c r="B935" s="79" t="n"/>
      <c r="C935" s="79" t="n"/>
      <c r="D935" s="79" t="n"/>
      <c r="E935" s="79" t="n"/>
      <c r="F935" s="79" t="n"/>
      <c r="G935" s="79" t="n"/>
      <c r="H935" s="79" t="n"/>
      <c r="I935" s="79" t="n"/>
      <c r="J935" s="79" t="n"/>
      <c r="K935" s="79" t="n"/>
      <c r="L935" s="79" t="n"/>
      <c r="M935" s="79" t="n"/>
      <c r="N935" s="79" t="n"/>
      <c r="O935" s="79" t="n"/>
      <c r="P935" s="79" t="n"/>
      <c r="Q935" s="79" t="n"/>
      <c r="R935" s="79" t="n"/>
      <c r="S935" s="79" t="n"/>
      <c r="T935" s="79" t="n"/>
      <c r="U935" s="79" t="n"/>
      <c r="V935" s="79" t="n"/>
      <c r="W935" s="79" t="n"/>
      <c r="X935" s="79" t="n"/>
      <c r="Y935" s="79" t="n"/>
      <c r="Z935" s="79" t="n"/>
    </row>
    <row r="936">
      <c r="A936" s="79" t="n"/>
      <c r="B936" s="79" t="n"/>
      <c r="C936" s="79" t="n"/>
      <c r="D936" s="79" t="n"/>
      <c r="E936" s="79" t="n"/>
      <c r="F936" s="79" t="n"/>
      <c r="G936" s="79" t="n"/>
      <c r="H936" s="79" t="n"/>
      <c r="I936" s="79" t="n"/>
      <c r="J936" s="79" t="n"/>
      <c r="K936" s="79" t="n"/>
      <c r="L936" s="79" t="n"/>
      <c r="M936" s="79" t="n"/>
      <c r="N936" s="79" t="n"/>
      <c r="O936" s="79" t="n"/>
      <c r="P936" s="79" t="n"/>
      <c r="Q936" s="79" t="n"/>
      <c r="R936" s="79" t="n"/>
      <c r="S936" s="79" t="n"/>
      <c r="T936" s="79" t="n"/>
      <c r="U936" s="79" t="n"/>
      <c r="V936" s="79" t="n"/>
      <c r="W936" s="79" t="n"/>
      <c r="X936" s="79" t="n"/>
      <c r="Y936" s="79" t="n"/>
      <c r="Z936" s="79" t="n"/>
    </row>
    <row r="937">
      <c r="A937" s="79" t="n"/>
      <c r="B937" s="79" t="n"/>
      <c r="C937" s="79" t="n"/>
      <c r="D937" s="79" t="n"/>
      <c r="E937" s="79" t="n"/>
      <c r="F937" s="79" t="n"/>
      <c r="G937" s="79" t="n"/>
      <c r="H937" s="79" t="n"/>
      <c r="I937" s="79" t="n"/>
      <c r="J937" s="79" t="n"/>
      <c r="K937" s="79" t="n"/>
      <c r="L937" s="79" t="n"/>
      <c r="M937" s="79" t="n"/>
      <c r="N937" s="79" t="n"/>
      <c r="O937" s="79" t="n"/>
      <c r="P937" s="79" t="n"/>
      <c r="Q937" s="79" t="n"/>
      <c r="R937" s="79" t="n"/>
      <c r="S937" s="79" t="n"/>
      <c r="T937" s="79" t="n"/>
      <c r="U937" s="79" t="n"/>
      <c r="V937" s="79" t="n"/>
      <c r="W937" s="79" t="n"/>
      <c r="X937" s="79" t="n"/>
      <c r="Y937" s="79" t="n"/>
      <c r="Z937" s="79" t="n"/>
    </row>
    <row r="938">
      <c r="A938" s="79" t="n"/>
      <c r="B938" s="79" t="n"/>
      <c r="C938" s="79" t="n"/>
      <c r="D938" s="79" t="n"/>
      <c r="E938" s="79" t="n"/>
      <c r="F938" s="79" t="n"/>
      <c r="G938" s="79" t="n"/>
      <c r="H938" s="79" t="n"/>
      <c r="I938" s="79" t="n"/>
      <c r="J938" s="79" t="n"/>
      <c r="K938" s="79" t="n"/>
      <c r="L938" s="79" t="n"/>
      <c r="M938" s="79" t="n"/>
      <c r="N938" s="79" t="n"/>
      <c r="O938" s="79" t="n"/>
      <c r="P938" s="79" t="n"/>
      <c r="Q938" s="79" t="n"/>
      <c r="R938" s="79" t="n"/>
      <c r="S938" s="79" t="n"/>
      <c r="T938" s="79" t="n"/>
      <c r="U938" s="79" t="n"/>
      <c r="V938" s="79" t="n"/>
      <c r="W938" s="79" t="n"/>
      <c r="X938" s="79" t="n"/>
      <c r="Y938" s="79" t="n"/>
      <c r="Z938" s="79" t="n"/>
    </row>
    <row r="939">
      <c r="A939" s="79" t="n"/>
      <c r="B939" s="79" t="n"/>
      <c r="C939" s="79" t="n"/>
      <c r="D939" s="79" t="n"/>
      <c r="E939" s="79" t="n"/>
      <c r="F939" s="79" t="n"/>
      <c r="G939" s="79" t="n"/>
      <c r="H939" s="79" t="n"/>
      <c r="I939" s="79" t="n"/>
      <c r="J939" s="79" t="n"/>
      <c r="K939" s="79" t="n"/>
      <c r="L939" s="79" t="n"/>
      <c r="M939" s="79" t="n"/>
      <c r="N939" s="79" t="n"/>
      <c r="O939" s="79" t="n"/>
      <c r="P939" s="79" t="n"/>
      <c r="Q939" s="79" t="n"/>
      <c r="R939" s="79" t="n"/>
      <c r="S939" s="79" t="n"/>
      <c r="T939" s="79" t="n"/>
      <c r="U939" s="79" t="n"/>
      <c r="V939" s="79" t="n"/>
      <c r="W939" s="79" t="n"/>
      <c r="X939" s="79" t="n"/>
      <c r="Y939" s="79" t="n"/>
      <c r="Z939" s="79" t="n"/>
    </row>
    <row r="940">
      <c r="A940" s="79" t="n"/>
      <c r="B940" s="79" t="n"/>
      <c r="C940" s="79" t="n"/>
      <c r="D940" s="79" t="n"/>
      <c r="E940" s="79" t="n"/>
      <c r="F940" s="79" t="n"/>
      <c r="G940" s="79" t="n"/>
      <c r="H940" s="79" t="n"/>
      <c r="I940" s="79" t="n"/>
      <c r="J940" s="79" t="n"/>
      <c r="K940" s="79" t="n"/>
      <c r="L940" s="79" t="n"/>
      <c r="M940" s="79" t="n"/>
      <c r="N940" s="79" t="n"/>
      <c r="O940" s="79" t="n"/>
      <c r="P940" s="79" t="n"/>
      <c r="Q940" s="79" t="n"/>
      <c r="R940" s="79" t="n"/>
      <c r="S940" s="79" t="n"/>
      <c r="T940" s="79" t="n"/>
      <c r="U940" s="79" t="n"/>
      <c r="V940" s="79" t="n"/>
      <c r="W940" s="79" t="n"/>
      <c r="X940" s="79" t="n"/>
      <c r="Y940" s="79" t="n"/>
      <c r="Z940" s="79" t="n"/>
    </row>
    <row r="941">
      <c r="A941" s="79" t="n"/>
      <c r="B941" s="79" t="n"/>
      <c r="C941" s="79" t="n"/>
      <c r="D941" s="79" t="n"/>
      <c r="E941" s="79" t="n"/>
      <c r="F941" s="79" t="n"/>
      <c r="G941" s="79" t="n"/>
      <c r="H941" s="79" t="n"/>
      <c r="I941" s="79" t="n"/>
      <c r="J941" s="79" t="n"/>
      <c r="K941" s="79" t="n"/>
      <c r="L941" s="79" t="n"/>
      <c r="M941" s="79" t="n"/>
      <c r="N941" s="79" t="n"/>
      <c r="O941" s="79" t="n"/>
      <c r="P941" s="79" t="n"/>
      <c r="Q941" s="79" t="n"/>
      <c r="R941" s="79" t="n"/>
      <c r="S941" s="79" t="n"/>
      <c r="T941" s="79" t="n"/>
      <c r="U941" s="79" t="n"/>
      <c r="V941" s="79" t="n"/>
      <c r="W941" s="79" t="n"/>
      <c r="X941" s="79" t="n"/>
      <c r="Y941" s="79" t="n"/>
      <c r="Z941" s="79" t="n"/>
    </row>
    <row r="942">
      <c r="A942" s="79" t="n"/>
      <c r="B942" s="79" t="n"/>
      <c r="C942" s="79" t="n"/>
      <c r="D942" s="79" t="n"/>
      <c r="E942" s="79" t="n"/>
      <c r="F942" s="79" t="n"/>
      <c r="G942" s="79" t="n"/>
      <c r="H942" s="79" t="n"/>
      <c r="I942" s="79" t="n"/>
      <c r="J942" s="79" t="n"/>
      <c r="K942" s="79" t="n"/>
      <c r="L942" s="79" t="n"/>
      <c r="M942" s="79" t="n"/>
      <c r="N942" s="79" t="n"/>
      <c r="O942" s="79" t="n"/>
      <c r="P942" s="79" t="n"/>
      <c r="Q942" s="79" t="n"/>
      <c r="R942" s="79" t="n"/>
      <c r="S942" s="79" t="n"/>
      <c r="T942" s="79" t="n"/>
      <c r="U942" s="79" t="n"/>
      <c r="V942" s="79" t="n"/>
      <c r="W942" s="79" t="n"/>
      <c r="X942" s="79" t="n"/>
      <c r="Y942" s="79" t="n"/>
      <c r="Z942" s="79" t="n"/>
    </row>
    <row r="943">
      <c r="A943" s="79" t="n"/>
      <c r="B943" s="79" t="n"/>
      <c r="C943" s="79" t="n"/>
      <c r="D943" s="79" t="n"/>
      <c r="E943" s="79" t="n"/>
      <c r="F943" s="79" t="n"/>
      <c r="G943" s="79" t="n"/>
      <c r="H943" s="79" t="n"/>
      <c r="I943" s="79" t="n"/>
      <c r="J943" s="79" t="n"/>
      <c r="K943" s="79" t="n"/>
      <c r="L943" s="79" t="n"/>
      <c r="M943" s="79" t="n"/>
      <c r="N943" s="79" t="n"/>
      <c r="O943" s="79" t="n"/>
      <c r="P943" s="79" t="n"/>
      <c r="Q943" s="79" t="n"/>
      <c r="R943" s="79" t="n"/>
      <c r="S943" s="79" t="n"/>
      <c r="T943" s="79" t="n"/>
      <c r="U943" s="79" t="n"/>
      <c r="V943" s="79" t="n"/>
      <c r="W943" s="79" t="n"/>
      <c r="X943" s="79" t="n"/>
      <c r="Y943" s="79" t="n"/>
      <c r="Z943" s="79" t="n"/>
    </row>
    <row r="944">
      <c r="A944" s="79" t="n"/>
      <c r="B944" s="79" t="n"/>
      <c r="C944" s="79" t="n"/>
      <c r="D944" s="79" t="n"/>
      <c r="E944" s="79" t="n"/>
      <c r="F944" s="79" t="n"/>
      <c r="G944" s="79" t="n"/>
      <c r="H944" s="79" t="n"/>
      <c r="I944" s="79" t="n"/>
      <c r="J944" s="79" t="n"/>
      <c r="K944" s="79" t="n"/>
      <c r="L944" s="79" t="n"/>
      <c r="M944" s="79" t="n"/>
      <c r="N944" s="79" t="n"/>
      <c r="O944" s="79" t="n"/>
      <c r="P944" s="79" t="n"/>
      <c r="Q944" s="79" t="n"/>
      <c r="R944" s="79" t="n"/>
      <c r="S944" s="79" t="n"/>
      <c r="T944" s="79" t="n"/>
      <c r="U944" s="79" t="n"/>
      <c r="V944" s="79" t="n"/>
      <c r="W944" s="79" t="n"/>
      <c r="X944" s="79" t="n"/>
      <c r="Y944" s="79" t="n"/>
      <c r="Z944" s="79" t="n"/>
    </row>
    <row r="945">
      <c r="A945" s="79" t="n"/>
      <c r="B945" s="79" t="n"/>
      <c r="C945" s="79" t="n"/>
      <c r="D945" s="79" t="n"/>
      <c r="E945" s="79" t="n"/>
      <c r="F945" s="79" t="n"/>
      <c r="G945" s="79" t="n"/>
      <c r="H945" s="79" t="n"/>
      <c r="I945" s="79" t="n"/>
      <c r="J945" s="79" t="n"/>
      <c r="K945" s="79" t="n"/>
      <c r="L945" s="79" t="n"/>
      <c r="M945" s="79" t="n"/>
      <c r="N945" s="79" t="n"/>
      <c r="O945" s="79" t="n"/>
      <c r="P945" s="79" t="n"/>
      <c r="Q945" s="79" t="n"/>
      <c r="R945" s="79" t="n"/>
      <c r="S945" s="79" t="n"/>
      <c r="T945" s="79" t="n"/>
      <c r="U945" s="79" t="n"/>
      <c r="V945" s="79" t="n"/>
      <c r="W945" s="79" t="n"/>
      <c r="X945" s="79" t="n"/>
      <c r="Y945" s="79" t="n"/>
      <c r="Z945" s="79" t="n"/>
    </row>
    <row r="946">
      <c r="A946" s="79" t="n"/>
      <c r="B946" s="79" t="n"/>
      <c r="C946" s="79" t="n"/>
      <c r="D946" s="79" t="n"/>
      <c r="E946" s="79" t="n"/>
      <c r="F946" s="79" t="n"/>
      <c r="G946" s="79" t="n"/>
      <c r="H946" s="79" t="n"/>
      <c r="I946" s="79" t="n"/>
      <c r="J946" s="79" t="n"/>
      <c r="K946" s="79" t="n"/>
      <c r="L946" s="79" t="n"/>
      <c r="M946" s="79" t="n"/>
      <c r="N946" s="79" t="n"/>
      <c r="O946" s="79" t="n"/>
      <c r="P946" s="79" t="n"/>
      <c r="Q946" s="79" t="n"/>
      <c r="R946" s="79" t="n"/>
      <c r="S946" s="79" t="n"/>
      <c r="T946" s="79" t="n"/>
      <c r="U946" s="79" t="n"/>
      <c r="V946" s="79" t="n"/>
      <c r="W946" s="79" t="n"/>
      <c r="X946" s="79" t="n"/>
      <c r="Y946" s="79" t="n"/>
      <c r="Z946" s="79" t="n"/>
    </row>
    <row r="947">
      <c r="A947" s="79" t="n"/>
      <c r="B947" s="79" t="n"/>
      <c r="C947" s="79" t="n"/>
      <c r="D947" s="79" t="n"/>
      <c r="E947" s="79" t="n"/>
      <c r="F947" s="79" t="n"/>
      <c r="G947" s="79" t="n"/>
      <c r="H947" s="79" t="n"/>
      <c r="I947" s="79" t="n"/>
      <c r="J947" s="79" t="n"/>
      <c r="K947" s="79" t="n"/>
      <c r="L947" s="79" t="n"/>
      <c r="M947" s="79" t="n"/>
      <c r="N947" s="79" t="n"/>
      <c r="O947" s="79" t="n"/>
      <c r="P947" s="79" t="n"/>
      <c r="Q947" s="79" t="n"/>
      <c r="R947" s="79" t="n"/>
      <c r="S947" s="79" t="n"/>
      <c r="T947" s="79" t="n"/>
      <c r="U947" s="79" t="n"/>
      <c r="V947" s="79" t="n"/>
      <c r="W947" s="79" t="n"/>
      <c r="X947" s="79" t="n"/>
      <c r="Y947" s="79" t="n"/>
      <c r="Z947" s="79" t="n"/>
    </row>
    <row r="948">
      <c r="A948" s="79" t="n"/>
      <c r="B948" s="79" t="n"/>
      <c r="C948" s="79" t="n"/>
      <c r="D948" s="79" t="n"/>
      <c r="E948" s="79" t="n"/>
      <c r="F948" s="79" t="n"/>
      <c r="G948" s="79" t="n"/>
      <c r="H948" s="79" t="n"/>
      <c r="I948" s="79" t="n"/>
      <c r="J948" s="79" t="n"/>
      <c r="K948" s="79" t="n"/>
      <c r="L948" s="79" t="n"/>
      <c r="M948" s="79" t="n"/>
      <c r="N948" s="79" t="n"/>
      <c r="O948" s="79" t="n"/>
      <c r="P948" s="79" t="n"/>
      <c r="Q948" s="79" t="n"/>
      <c r="R948" s="79" t="n"/>
      <c r="S948" s="79" t="n"/>
      <c r="T948" s="79" t="n"/>
      <c r="U948" s="79" t="n"/>
      <c r="V948" s="79" t="n"/>
      <c r="W948" s="79" t="n"/>
      <c r="X948" s="79" t="n"/>
      <c r="Y948" s="79" t="n"/>
      <c r="Z948" s="79" t="n"/>
    </row>
    <row r="949">
      <c r="A949" s="79" t="n"/>
      <c r="B949" s="79" t="n"/>
      <c r="C949" s="79" t="n"/>
      <c r="D949" s="79" t="n"/>
      <c r="E949" s="79" t="n"/>
      <c r="F949" s="79" t="n"/>
      <c r="G949" s="79" t="n"/>
      <c r="H949" s="79" t="n"/>
      <c r="I949" s="79" t="n"/>
      <c r="J949" s="79" t="n"/>
      <c r="K949" s="79" t="n"/>
      <c r="L949" s="79" t="n"/>
      <c r="M949" s="79" t="n"/>
      <c r="N949" s="79" t="n"/>
      <c r="O949" s="79" t="n"/>
      <c r="P949" s="79" t="n"/>
      <c r="Q949" s="79" t="n"/>
      <c r="R949" s="79" t="n"/>
      <c r="S949" s="79" t="n"/>
      <c r="T949" s="79" t="n"/>
      <c r="U949" s="79" t="n"/>
      <c r="V949" s="79" t="n"/>
      <c r="W949" s="79" t="n"/>
      <c r="X949" s="79" t="n"/>
      <c r="Y949" s="79" t="n"/>
      <c r="Z949" s="79" t="n"/>
    </row>
    <row r="950">
      <c r="A950" s="79" t="n"/>
      <c r="B950" s="79" t="n"/>
      <c r="C950" s="79" t="n"/>
      <c r="D950" s="79" t="n"/>
      <c r="E950" s="79" t="n"/>
      <c r="F950" s="79" t="n"/>
      <c r="G950" s="79" t="n"/>
      <c r="H950" s="79" t="n"/>
      <c r="I950" s="79" t="n"/>
      <c r="J950" s="79" t="n"/>
      <c r="K950" s="79" t="n"/>
      <c r="L950" s="79" t="n"/>
      <c r="M950" s="79" t="n"/>
      <c r="N950" s="79" t="n"/>
      <c r="O950" s="79" t="n"/>
      <c r="P950" s="79" t="n"/>
      <c r="Q950" s="79" t="n"/>
      <c r="R950" s="79" t="n"/>
      <c r="S950" s="79" t="n"/>
      <c r="T950" s="79" t="n"/>
      <c r="U950" s="79" t="n"/>
      <c r="V950" s="79" t="n"/>
      <c r="W950" s="79" t="n"/>
      <c r="X950" s="79" t="n"/>
      <c r="Y950" s="79" t="n"/>
      <c r="Z950" s="79" t="n"/>
    </row>
    <row r="951">
      <c r="A951" s="79" t="n"/>
      <c r="B951" s="79" t="n"/>
      <c r="C951" s="79" t="n"/>
      <c r="D951" s="79" t="n"/>
      <c r="E951" s="79" t="n"/>
      <c r="F951" s="79" t="n"/>
      <c r="G951" s="79" t="n"/>
      <c r="H951" s="79" t="n"/>
      <c r="I951" s="79" t="n"/>
      <c r="J951" s="79" t="n"/>
      <c r="K951" s="79" t="n"/>
      <c r="L951" s="79" t="n"/>
      <c r="M951" s="79" t="n"/>
      <c r="N951" s="79" t="n"/>
      <c r="O951" s="79" t="n"/>
      <c r="P951" s="79" t="n"/>
      <c r="Q951" s="79" t="n"/>
      <c r="R951" s="79" t="n"/>
      <c r="S951" s="79" t="n"/>
      <c r="T951" s="79" t="n"/>
      <c r="U951" s="79" t="n"/>
      <c r="V951" s="79" t="n"/>
      <c r="W951" s="79" t="n"/>
      <c r="X951" s="79" t="n"/>
      <c r="Y951" s="79" t="n"/>
      <c r="Z951" s="79" t="n"/>
    </row>
    <row r="952">
      <c r="A952" s="79" t="n"/>
      <c r="B952" s="79" t="n"/>
      <c r="C952" s="79" t="n"/>
      <c r="D952" s="79" t="n"/>
      <c r="E952" s="79" t="n"/>
      <c r="F952" s="79" t="n"/>
      <c r="G952" s="79" t="n"/>
      <c r="H952" s="79" t="n"/>
      <c r="I952" s="79" t="n"/>
      <c r="J952" s="79" t="n"/>
      <c r="K952" s="79" t="n"/>
      <c r="L952" s="79" t="n"/>
      <c r="M952" s="79" t="n"/>
      <c r="N952" s="79" t="n"/>
      <c r="O952" s="79" t="n"/>
      <c r="P952" s="79" t="n"/>
      <c r="Q952" s="79" t="n"/>
      <c r="R952" s="79" t="n"/>
      <c r="S952" s="79" t="n"/>
      <c r="T952" s="79" t="n"/>
      <c r="U952" s="79" t="n"/>
      <c r="V952" s="79" t="n"/>
      <c r="W952" s="79" t="n"/>
      <c r="X952" s="79" t="n"/>
      <c r="Y952" s="79" t="n"/>
      <c r="Z952" s="79" t="n"/>
    </row>
    <row r="953">
      <c r="A953" s="79" t="n"/>
      <c r="B953" s="79" t="n"/>
      <c r="C953" s="79" t="n"/>
      <c r="D953" s="79" t="n"/>
      <c r="E953" s="79" t="n"/>
      <c r="F953" s="79" t="n"/>
      <c r="G953" s="79" t="n"/>
      <c r="H953" s="79" t="n"/>
      <c r="I953" s="79" t="n"/>
      <c r="J953" s="79" t="n"/>
      <c r="K953" s="79" t="n"/>
      <c r="L953" s="79" t="n"/>
      <c r="M953" s="79" t="n"/>
      <c r="N953" s="79" t="n"/>
      <c r="O953" s="79" t="n"/>
      <c r="P953" s="79" t="n"/>
      <c r="Q953" s="79" t="n"/>
      <c r="R953" s="79" t="n"/>
      <c r="S953" s="79" t="n"/>
      <c r="T953" s="79" t="n"/>
      <c r="U953" s="79" t="n"/>
      <c r="V953" s="79" t="n"/>
      <c r="W953" s="79" t="n"/>
      <c r="X953" s="79" t="n"/>
      <c r="Y953" s="79" t="n"/>
      <c r="Z953" s="79" t="n"/>
    </row>
    <row r="954">
      <c r="A954" s="79" t="n"/>
      <c r="B954" s="79" t="n"/>
      <c r="C954" s="79" t="n"/>
      <c r="D954" s="79" t="n"/>
      <c r="E954" s="79" t="n"/>
      <c r="F954" s="79" t="n"/>
      <c r="G954" s="79" t="n"/>
      <c r="H954" s="79" t="n"/>
      <c r="I954" s="79" t="n"/>
      <c r="J954" s="79" t="n"/>
      <c r="K954" s="79" t="n"/>
      <c r="L954" s="79" t="n"/>
      <c r="M954" s="79" t="n"/>
      <c r="N954" s="79" t="n"/>
      <c r="O954" s="79" t="n"/>
      <c r="P954" s="79" t="n"/>
      <c r="Q954" s="79" t="n"/>
      <c r="R954" s="79" t="n"/>
      <c r="S954" s="79" t="n"/>
      <c r="T954" s="79" t="n"/>
      <c r="U954" s="79" t="n"/>
      <c r="V954" s="79" t="n"/>
      <c r="W954" s="79" t="n"/>
      <c r="X954" s="79" t="n"/>
      <c r="Y954" s="79" t="n"/>
      <c r="Z954" s="79" t="n"/>
    </row>
    <row r="955">
      <c r="A955" s="79" t="n"/>
      <c r="B955" s="79" t="n"/>
      <c r="C955" s="79" t="n"/>
      <c r="D955" s="79" t="n"/>
      <c r="E955" s="79" t="n"/>
      <c r="F955" s="79" t="n"/>
      <c r="G955" s="79" t="n"/>
      <c r="H955" s="79" t="n"/>
      <c r="I955" s="79" t="n"/>
      <c r="J955" s="79" t="n"/>
      <c r="K955" s="79" t="n"/>
      <c r="L955" s="79" t="n"/>
      <c r="M955" s="79" t="n"/>
      <c r="N955" s="79" t="n"/>
      <c r="O955" s="79" t="n"/>
      <c r="P955" s="79" t="n"/>
      <c r="Q955" s="79" t="n"/>
      <c r="R955" s="79" t="n"/>
      <c r="S955" s="79" t="n"/>
      <c r="T955" s="79" t="n"/>
      <c r="U955" s="79" t="n"/>
      <c r="V955" s="79" t="n"/>
      <c r="W955" s="79" t="n"/>
      <c r="X955" s="79" t="n"/>
      <c r="Y955" s="79" t="n"/>
      <c r="Z955" s="79" t="n"/>
    </row>
    <row r="956">
      <c r="A956" s="79" t="n"/>
      <c r="B956" s="79" t="n"/>
      <c r="C956" s="79" t="n"/>
      <c r="D956" s="79" t="n"/>
      <c r="E956" s="79" t="n"/>
      <c r="F956" s="79" t="n"/>
      <c r="G956" s="79" t="n"/>
      <c r="H956" s="79" t="n"/>
      <c r="I956" s="79" t="n"/>
      <c r="J956" s="79" t="n"/>
      <c r="K956" s="79" t="n"/>
      <c r="L956" s="79" t="n"/>
      <c r="M956" s="79" t="n"/>
      <c r="N956" s="79" t="n"/>
      <c r="O956" s="79" t="n"/>
      <c r="P956" s="79" t="n"/>
      <c r="Q956" s="79" t="n"/>
      <c r="R956" s="79" t="n"/>
      <c r="S956" s="79" t="n"/>
      <c r="T956" s="79" t="n"/>
      <c r="U956" s="79" t="n"/>
      <c r="V956" s="79" t="n"/>
      <c r="W956" s="79" t="n"/>
      <c r="X956" s="79" t="n"/>
      <c r="Y956" s="79" t="n"/>
      <c r="Z956" s="79" t="n"/>
    </row>
    <row r="957">
      <c r="A957" s="79" t="n"/>
      <c r="B957" s="79" t="n"/>
      <c r="C957" s="79" t="n"/>
      <c r="D957" s="79" t="n"/>
      <c r="E957" s="79" t="n"/>
      <c r="F957" s="79" t="n"/>
      <c r="G957" s="79" t="n"/>
      <c r="H957" s="79" t="n"/>
      <c r="I957" s="79" t="n"/>
      <c r="J957" s="79" t="n"/>
      <c r="K957" s="79" t="n"/>
      <c r="L957" s="79" t="n"/>
      <c r="M957" s="79" t="n"/>
      <c r="N957" s="79" t="n"/>
      <c r="O957" s="79" t="n"/>
      <c r="P957" s="79" t="n"/>
      <c r="Q957" s="79" t="n"/>
      <c r="R957" s="79" t="n"/>
      <c r="S957" s="79" t="n"/>
      <c r="T957" s="79" t="n"/>
      <c r="U957" s="79" t="n"/>
      <c r="V957" s="79" t="n"/>
      <c r="W957" s="79" t="n"/>
      <c r="X957" s="79" t="n"/>
      <c r="Y957" s="79" t="n"/>
      <c r="Z957" s="79" t="n"/>
    </row>
    <row r="958">
      <c r="A958" s="79" t="n"/>
      <c r="B958" s="79" t="n"/>
      <c r="C958" s="79" t="n"/>
      <c r="D958" s="79" t="n"/>
      <c r="E958" s="79" t="n"/>
      <c r="F958" s="79" t="n"/>
      <c r="G958" s="79" t="n"/>
      <c r="H958" s="79" t="n"/>
      <c r="I958" s="79" t="n"/>
      <c r="J958" s="79" t="n"/>
      <c r="K958" s="79" t="n"/>
      <c r="L958" s="79" t="n"/>
      <c r="M958" s="79" t="n"/>
      <c r="N958" s="79" t="n"/>
      <c r="O958" s="79" t="n"/>
      <c r="P958" s="79" t="n"/>
      <c r="Q958" s="79" t="n"/>
      <c r="R958" s="79" t="n"/>
      <c r="S958" s="79" t="n"/>
      <c r="T958" s="79" t="n"/>
      <c r="U958" s="79" t="n"/>
      <c r="V958" s="79" t="n"/>
      <c r="W958" s="79" t="n"/>
      <c r="X958" s="79" t="n"/>
      <c r="Y958" s="79" t="n"/>
      <c r="Z958" s="79" t="n"/>
    </row>
    <row r="959">
      <c r="A959" s="79" t="n"/>
      <c r="B959" s="79" t="n"/>
      <c r="C959" s="79" t="n"/>
      <c r="D959" s="79" t="n"/>
      <c r="E959" s="79" t="n"/>
      <c r="F959" s="79" t="n"/>
      <c r="G959" s="79" t="n"/>
      <c r="H959" s="79" t="n"/>
      <c r="I959" s="79" t="n"/>
      <c r="J959" s="79" t="n"/>
      <c r="K959" s="79" t="n"/>
      <c r="L959" s="79" t="n"/>
      <c r="M959" s="79" t="n"/>
      <c r="N959" s="79" t="n"/>
      <c r="O959" s="79" t="n"/>
      <c r="P959" s="79" t="n"/>
      <c r="Q959" s="79" t="n"/>
      <c r="R959" s="79" t="n"/>
      <c r="S959" s="79" t="n"/>
      <c r="T959" s="79" t="n"/>
      <c r="U959" s="79" t="n"/>
      <c r="V959" s="79" t="n"/>
      <c r="W959" s="79" t="n"/>
      <c r="X959" s="79" t="n"/>
      <c r="Y959" s="79" t="n"/>
      <c r="Z959" s="79" t="n"/>
    </row>
    <row r="960">
      <c r="A960" s="79" t="n"/>
      <c r="B960" s="79" t="n"/>
      <c r="C960" s="79" t="n"/>
      <c r="D960" s="79" t="n"/>
      <c r="E960" s="79" t="n"/>
      <c r="F960" s="79" t="n"/>
      <c r="G960" s="79" t="n"/>
      <c r="H960" s="79" t="n"/>
      <c r="I960" s="79" t="n"/>
      <c r="J960" s="79" t="n"/>
      <c r="K960" s="79" t="n"/>
      <c r="L960" s="79" t="n"/>
      <c r="M960" s="79" t="n"/>
      <c r="N960" s="79" t="n"/>
      <c r="O960" s="79" t="n"/>
      <c r="P960" s="79" t="n"/>
      <c r="Q960" s="79" t="n"/>
      <c r="R960" s="79" t="n"/>
      <c r="S960" s="79" t="n"/>
      <c r="T960" s="79" t="n"/>
      <c r="U960" s="79" t="n"/>
      <c r="V960" s="79" t="n"/>
      <c r="W960" s="79" t="n"/>
      <c r="X960" s="79" t="n"/>
      <c r="Y960" s="79" t="n"/>
      <c r="Z960" s="79" t="n"/>
    </row>
    <row r="961">
      <c r="A961" s="79" t="n"/>
      <c r="B961" s="79" t="n"/>
      <c r="C961" s="79" t="n"/>
      <c r="D961" s="79" t="n"/>
      <c r="E961" s="79" t="n"/>
      <c r="F961" s="79" t="n"/>
      <c r="G961" s="79" t="n"/>
      <c r="H961" s="79" t="n"/>
      <c r="I961" s="79" t="n"/>
      <c r="J961" s="79" t="n"/>
      <c r="K961" s="79" t="n"/>
      <c r="L961" s="79" t="n"/>
      <c r="M961" s="79" t="n"/>
      <c r="N961" s="79" t="n"/>
      <c r="O961" s="79" t="n"/>
      <c r="P961" s="79" t="n"/>
      <c r="Q961" s="79" t="n"/>
      <c r="R961" s="79" t="n"/>
      <c r="S961" s="79" t="n"/>
      <c r="T961" s="79" t="n"/>
      <c r="U961" s="79" t="n"/>
      <c r="V961" s="79" t="n"/>
      <c r="W961" s="79" t="n"/>
      <c r="X961" s="79" t="n"/>
      <c r="Y961" s="79" t="n"/>
      <c r="Z961" s="79" t="n"/>
    </row>
    <row r="962">
      <c r="A962" s="79" t="n"/>
      <c r="B962" s="79" t="n"/>
      <c r="C962" s="79" t="n"/>
      <c r="D962" s="79" t="n"/>
      <c r="E962" s="79" t="n"/>
      <c r="F962" s="79" t="n"/>
      <c r="G962" s="79" t="n"/>
      <c r="H962" s="79" t="n"/>
      <c r="I962" s="79" t="n"/>
      <c r="J962" s="79" t="n"/>
      <c r="K962" s="79" t="n"/>
      <c r="L962" s="79" t="n"/>
      <c r="M962" s="79" t="n"/>
      <c r="N962" s="79" t="n"/>
      <c r="O962" s="79" t="n"/>
      <c r="P962" s="79" t="n"/>
      <c r="Q962" s="79" t="n"/>
      <c r="R962" s="79" t="n"/>
      <c r="S962" s="79" t="n"/>
      <c r="T962" s="79" t="n"/>
      <c r="U962" s="79" t="n"/>
      <c r="V962" s="79" t="n"/>
      <c r="W962" s="79" t="n"/>
      <c r="X962" s="79" t="n"/>
      <c r="Y962" s="79" t="n"/>
      <c r="Z962" s="79" t="n"/>
    </row>
    <row r="963">
      <c r="A963" s="79" t="n"/>
      <c r="B963" s="79" t="n"/>
      <c r="C963" s="79" t="n"/>
      <c r="D963" s="79" t="n"/>
      <c r="E963" s="79" t="n"/>
      <c r="F963" s="79" t="n"/>
      <c r="G963" s="79" t="n"/>
      <c r="H963" s="79" t="n"/>
      <c r="I963" s="79" t="n"/>
      <c r="J963" s="79" t="n"/>
      <c r="K963" s="79" t="n"/>
      <c r="L963" s="79" t="n"/>
      <c r="M963" s="79" t="n"/>
      <c r="N963" s="79" t="n"/>
      <c r="O963" s="79" t="n"/>
      <c r="P963" s="79" t="n"/>
      <c r="Q963" s="79" t="n"/>
      <c r="R963" s="79" t="n"/>
      <c r="S963" s="79" t="n"/>
      <c r="T963" s="79" t="n"/>
      <c r="U963" s="79" t="n"/>
      <c r="V963" s="79" t="n"/>
      <c r="W963" s="79" t="n"/>
      <c r="X963" s="79" t="n"/>
      <c r="Y963" s="79" t="n"/>
      <c r="Z963" s="79" t="n"/>
    </row>
    <row r="964">
      <c r="A964" s="79" t="n"/>
      <c r="B964" s="79" t="n"/>
      <c r="C964" s="79" t="n"/>
      <c r="D964" s="79" t="n"/>
      <c r="E964" s="79" t="n"/>
      <c r="F964" s="79" t="n"/>
      <c r="G964" s="79" t="n"/>
      <c r="H964" s="79" t="n"/>
      <c r="I964" s="79" t="n"/>
      <c r="J964" s="79" t="n"/>
      <c r="K964" s="79" t="n"/>
      <c r="L964" s="79" t="n"/>
      <c r="M964" s="79" t="n"/>
      <c r="N964" s="79" t="n"/>
      <c r="O964" s="79" t="n"/>
      <c r="P964" s="79" t="n"/>
      <c r="Q964" s="79" t="n"/>
      <c r="R964" s="79" t="n"/>
      <c r="S964" s="79" t="n"/>
      <c r="T964" s="79" t="n"/>
      <c r="U964" s="79" t="n"/>
      <c r="V964" s="79" t="n"/>
      <c r="W964" s="79" t="n"/>
      <c r="X964" s="79" t="n"/>
      <c r="Y964" s="79" t="n"/>
      <c r="Z964" s="79" t="n"/>
    </row>
    <row r="965">
      <c r="A965" s="79" t="n"/>
      <c r="B965" s="79" t="n"/>
      <c r="C965" s="79" t="n"/>
      <c r="D965" s="79" t="n"/>
      <c r="E965" s="79" t="n"/>
      <c r="F965" s="79" t="n"/>
      <c r="G965" s="79" t="n"/>
      <c r="H965" s="79" t="n"/>
      <c r="I965" s="79" t="n"/>
      <c r="J965" s="79" t="n"/>
      <c r="K965" s="79" t="n"/>
      <c r="L965" s="79" t="n"/>
      <c r="M965" s="79" t="n"/>
      <c r="N965" s="79" t="n"/>
      <c r="O965" s="79" t="n"/>
      <c r="P965" s="79" t="n"/>
      <c r="Q965" s="79" t="n"/>
      <c r="R965" s="79" t="n"/>
      <c r="S965" s="79" t="n"/>
      <c r="T965" s="79" t="n"/>
      <c r="U965" s="79" t="n"/>
      <c r="V965" s="79" t="n"/>
      <c r="W965" s="79" t="n"/>
      <c r="X965" s="79" t="n"/>
      <c r="Y965" s="79" t="n"/>
      <c r="Z965" s="79" t="n"/>
    </row>
    <row r="966">
      <c r="A966" s="79" t="n"/>
      <c r="B966" s="79" t="n"/>
      <c r="C966" s="79" t="n"/>
      <c r="D966" s="79" t="n"/>
      <c r="E966" s="79" t="n"/>
      <c r="F966" s="79" t="n"/>
      <c r="G966" s="79" t="n"/>
      <c r="H966" s="79" t="n"/>
      <c r="I966" s="79" t="n"/>
      <c r="J966" s="79" t="n"/>
      <c r="K966" s="79" t="n"/>
      <c r="L966" s="79" t="n"/>
      <c r="M966" s="79" t="n"/>
      <c r="N966" s="79" t="n"/>
      <c r="O966" s="79" t="n"/>
      <c r="P966" s="79" t="n"/>
      <c r="Q966" s="79" t="n"/>
      <c r="R966" s="79" t="n"/>
      <c r="S966" s="79" t="n"/>
      <c r="T966" s="79" t="n"/>
      <c r="U966" s="79" t="n"/>
      <c r="V966" s="79" t="n"/>
      <c r="W966" s="79" t="n"/>
      <c r="X966" s="79" t="n"/>
      <c r="Y966" s="79" t="n"/>
      <c r="Z966" s="79" t="n"/>
    </row>
    <row r="967">
      <c r="A967" s="79" t="n"/>
      <c r="B967" s="79" t="n"/>
      <c r="C967" s="79" t="n"/>
      <c r="D967" s="79" t="n"/>
      <c r="E967" s="79" t="n"/>
      <c r="F967" s="79" t="n"/>
      <c r="G967" s="79" t="n"/>
      <c r="H967" s="79" t="n"/>
      <c r="I967" s="79" t="n"/>
      <c r="J967" s="79" t="n"/>
      <c r="K967" s="79" t="n"/>
      <c r="L967" s="79" t="n"/>
      <c r="M967" s="79" t="n"/>
      <c r="N967" s="79" t="n"/>
      <c r="O967" s="79" t="n"/>
      <c r="P967" s="79" t="n"/>
      <c r="Q967" s="79" t="n"/>
      <c r="R967" s="79" t="n"/>
      <c r="S967" s="79" t="n"/>
      <c r="T967" s="79" t="n"/>
      <c r="U967" s="79" t="n"/>
      <c r="V967" s="79" t="n"/>
      <c r="W967" s="79" t="n"/>
      <c r="X967" s="79" t="n"/>
      <c r="Y967" s="79" t="n"/>
      <c r="Z967" s="79" t="n"/>
    </row>
    <row r="968">
      <c r="A968" s="79" t="n"/>
      <c r="B968" s="79" t="n"/>
      <c r="C968" s="79" t="n"/>
      <c r="D968" s="79" t="n"/>
      <c r="E968" s="79" t="n"/>
      <c r="F968" s="79" t="n"/>
      <c r="G968" s="79" t="n"/>
      <c r="H968" s="79" t="n"/>
      <c r="I968" s="79" t="n"/>
      <c r="J968" s="79" t="n"/>
      <c r="K968" s="79" t="n"/>
      <c r="L968" s="79" t="n"/>
      <c r="M968" s="79" t="n"/>
      <c r="N968" s="79" t="n"/>
      <c r="O968" s="79" t="n"/>
      <c r="P968" s="79" t="n"/>
      <c r="Q968" s="79" t="n"/>
      <c r="R968" s="79" t="n"/>
      <c r="S968" s="79" t="n"/>
      <c r="T968" s="79" t="n"/>
      <c r="U968" s="79" t="n"/>
      <c r="V968" s="79" t="n"/>
      <c r="W968" s="79" t="n"/>
      <c r="X968" s="79" t="n"/>
      <c r="Y968" s="79" t="n"/>
      <c r="Z968" s="79" t="n"/>
    </row>
    <row r="969">
      <c r="A969" s="79" t="n"/>
      <c r="B969" s="79" t="n"/>
      <c r="C969" s="79" t="n"/>
      <c r="D969" s="79" t="n"/>
      <c r="E969" s="79" t="n"/>
      <c r="F969" s="79" t="n"/>
      <c r="G969" s="79" t="n"/>
      <c r="H969" s="79" t="n"/>
      <c r="I969" s="79" t="n"/>
      <c r="J969" s="79" t="n"/>
      <c r="K969" s="79" t="n"/>
      <c r="L969" s="79" t="n"/>
      <c r="M969" s="79" t="n"/>
      <c r="N969" s="79" t="n"/>
      <c r="O969" s="79" t="n"/>
      <c r="P969" s="79" t="n"/>
      <c r="Q969" s="79" t="n"/>
      <c r="R969" s="79" t="n"/>
      <c r="S969" s="79" t="n"/>
      <c r="T969" s="79" t="n"/>
      <c r="U969" s="79" t="n"/>
      <c r="V969" s="79" t="n"/>
      <c r="W969" s="79" t="n"/>
      <c r="X969" s="79" t="n"/>
      <c r="Y969" s="79" t="n"/>
      <c r="Z969" s="79" t="n"/>
    </row>
    <row r="970">
      <c r="A970" s="79" t="n"/>
      <c r="B970" s="79" t="n"/>
      <c r="C970" s="79" t="n"/>
      <c r="D970" s="79" t="n"/>
      <c r="E970" s="79" t="n"/>
      <c r="F970" s="79" t="n"/>
      <c r="G970" s="79" t="n"/>
      <c r="H970" s="79" t="n"/>
      <c r="I970" s="79" t="n"/>
      <c r="J970" s="79" t="n"/>
      <c r="K970" s="79" t="n"/>
      <c r="L970" s="79" t="n"/>
      <c r="M970" s="79" t="n"/>
      <c r="N970" s="79" t="n"/>
      <c r="O970" s="79" t="n"/>
      <c r="P970" s="79" t="n"/>
      <c r="Q970" s="79" t="n"/>
      <c r="R970" s="79" t="n"/>
      <c r="S970" s="79" t="n"/>
      <c r="T970" s="79" t="n"/>
      <c r="U970" s="79" t="n"/>
      <c r="V970" s="79" t="n"/>
      <c r="W970" s="79" t="n"/>
      <c r="X970" s="79" t="n"/>
      <c r="Y970" s="79" t="n"/>
      <c r="Z970" s="79" t="n"/>
    </row>
    <row r="971">
      <c r="A971" s="79" t="n"/>
      <c r="B971" s="79" t="n"/>
      <c r="C971" s="79" t="n"/>
      <c r="D971" s="79" t="n"/>
      <c r="E971" s="79" t="n"/>
      <c r="F971" s="79" t="n"/>
      <c r="G971" s="79" t="n"/>
      <c r="H971" s="79" t="n"/>
      <c r="I971" s="79" t="n"/>
      <c r="J971" s="79" t="n"/>
      <c r="K971" s="79" t="n"/>
      <c r="L971" s="79" t="n"/>
      <c r="M971" s="79" t="n"/>
      <c r="N971" s="79" t="n"/>
      <c r="O971" s="79" t="n"/>
      <c r="P971" s="79" t="n"/>
      <c r="Q971" s="79" t="n"/>
      <c r="R971" s="79" t="n"/>
      <c r="S971" s="79" t="n"/>
      <c r="T971" s="79" t="n"/>
      <c r="U971" s="79" t="n"/>
      <c r="V971" s="79" t="n"/>
      <c r="W971" s="79" t="n"/>
      <c r="X971" s="79" t="n"/>
      <c r="Y971" s="79" t="n"/>
      <c r="Z971" s="79" t="n"/>
    </row>
    <row r="972">
      <c r="A972" s="79" t="n"/>
      <c r="B972" s="79" t="n"/>
      <c r="C972" s="79" t="n"/>
      <c r="D972" s="79" t="n"/>
      <c r="E972" s="79" t="n"/>
      <c r="F972" s="79" t="n"/>
      <c r="G972" s="79" t="n"/>
      <c r="H972" s="79" t="n"/>
      <c r="I972" s="79" t="n"/>
      <c r="J972" s="79" t="n"/>
      <c r="K972" s="79" t="n"/>
      <c r="L972" s="79" t="n"/>
      <c r="M972" s="79" t="n"/>
      <c r="N972" s="79" t="n"/>
      <c r="O972" s="79" t="n"/>
      <c r="P972" s="79" t="n"/>
      <c r="Q972" s="79" t="n"/>
      <c r="R972" s="79" t="n"/>
      <c r="S972" s="79" t="n"/>
      <c r="T972" s="79" t="n"/>
      <c r="U972" s="79" t="n"/>
      <c r="V972" s="79" t="n"/>
      <c r="W972" s="79" t="n"/>
      <c r="X972" s="79" t="n"/>
      <c r="Y972" s="79" t="n"/>
      <c r="Z972" s="79" t="n"/>
    </row>
    <row r="973">
      <c r="A973" s="79" t="n"/>
      <c r="B973" s="79" t="n"/>
      <c r="C973" s="79" t="n"/>
      <c r="D973" s="79" t="n"/>
      <c r="E973" s="79" t="n"/>
      <c r="F973" s="79" t="n"/>
      <c r="G973" s="79" t="n"/>
      <c r="H973" s="79" t="n"/>
      <c r="I973" s="79" t="n"/>
      <c r="J973" s="79" t="n"/>
      <c r="K973" s="79" t="n"/>
      <c r="L973" s="79" t="n"/>
      <c r="M973" s="79" t="n"/>
      <c r="N973" s="79" t="n"/>
      <c r="O973" s="79" t="n"/>
      <c r="P973" s="79" t="n"/>
      <c r="Q973" s="79" t="n"/>
      <c r="R973" s="79" t="n"/>
      <c r="S973" s="79" t="n"/>
      <c r="T973" s="79" t="n"/>
      <c r="U973" s="79" t="n"/>
      <c r="V973" s="79" t="n"/>
      <c r="W973" s="79" t="n"/>
      <c r="X973" s="79" t="n"/>
      <c r="Y973" s="79" t="n"/>
      <c r="Z973" s="79" t="n"/>
    </row>
    <row r="974">
      <c r="A974" s="79" t="n"/>
      <c r="B974" s="79" t="n"/>
      <c r="C974" s="79" t="n"/>
      <c r="D974" s="79" t="n"/>
      <c r="E974" s="79" t="n"/>
      <c r="F974" s="79" t="n"/>
      <c r="G974" s="79" t="n"/>
      <c r="H974" s="79" t="n"/>
      <c r="I974" s="79" t="n"/>
      <c r="J974" s="79" t="n"/>
      <c r="K974" s="79" t="n"/>
      <c r="L974" s="79" t="n"/>
      <c r="M974" s="79" t="n"/>
      <c r="N974" s="79" t="n"/>
      <c r="O974" s="79" t="n"/>
      <c r="P974" s="79" t="n"/>
      <c r="Q974" s="79" t="n"/>
      <c r="R974" s="79" t="n"/>
      <c r="S974" s="79" t="n"/>
      <c r="T974" s="79" t="n"/>
      <c r="U974" s="79" t="n"/>
      <c r="V974" s="79" t="n"/>
      <c r="W974" s="79" t="n"/>
      <c r="X974" s="79" t="n"/>
      <c r="Y974" s="79" t="n"/>
      <c r="Z974" s="79" t="n"/>
    </row>
    <row r="975">
      <c r="A975" s="79" t="n"/>
      <c r="B975" s="79" t="n"/>
      <c r="C975" s="79" t="n"/>
      <c r="D975" s="79" t="n"/>
      <c r="E975" s="79" t="n"/>
      <c r="F975" s="79" t="n"/>
      <c r="G975" s="79" t="n"/>
      <c r="H975" s="79" t="n"/>
      <c r="I975" s="79" t="n"/>
      <c r="J975" s="79" t="n"/>
      <c r="K975" s="79" t="n"/>
      <c r="L975" s="79" t="n"/>
      <c r="M975" s="79" t="n"/>
      <c r="N975" s="79" t="n"/>
      <c r="O975" s="79" t="n"/>
      <c r="P975" s="79" t="n"/>
      <c r="Q975" s="79" t="n"/>
      <c r="R975" s="79" t="n"/>
      <c r="S975" s="79" t="n"/>
      <c r="T975" s="79" t="n"/>
      <c r="U975" s="79" t="n"/>
      <c r="V975" s="79" t="n"/>
      <c r="W975" s="79" t="n"/>
      <c r="X975" s="79" t="n"/>
      <c r="Y975" s="79" t="n"/>
      <c r="Z975" s="79" t="n"/>
    </row>
    <row r="976">
      <c r="A976" s="79" t="n"/>
      <c r="B976" s="79" t="n"/>
      <c r="C976" s="79" t="n"/>
      <c r="D976" s="79" t="n"/>
      <c r="E976" s="79" t="n"/>
      <c r="F976" s="79" t="n"/>
      <c r="G976" s="79" t="n"/>
      <c r="H976" s="79" t="n"/>
      <c r="I976" s="79" t="n"/>
      <c r="J976" s="79" t="n"/>
      <c r="K976" s="79" t="n"/>
      <c r="L976" s="79" t="n"/>
      <c r="M976" s="79" t="n"/>
      <c r="N976" s="79" t="n"/>
      <c r="O976" s="79" t="n"/>
      <c r="P976" s="79" t="n"/>
      <c r="Q976" s="79" t="n"/>
      <c r="R976" s="79" t="n"/>
      <c r="S976" s="79" t="n"/>
      <c r="T976" s="79" t="n"/>
      <c r="U976" s="79" t="n"/>
      <c r="V976" s="79" t="n"/>
      <c r="W976" s="79" t="n"/>
      <c r="X976" s="79" t="n"/>
      <c r="Y976" s="79" t="n"/>
      <c r="Z976" s="79" t="n"/>
    </row>
    <row r="977">
      <c r="A977" s="79" t="n"/>
      <c r="B977" s="79" t="n"/>
      <c r="C977" s="79" t="n"/>
      <c r="D977" s="79" t="n"/>
      <c r="E977" s="79" t="n"/>
      <c r="F977" s="79" t="n"/>
      <c r="G977" s="79" t="n"/>
      <c r="H977" s="79" t="n"/>
      <c r="I977" s="79" t="n"/>
      <c r="J977" s="79" t="n"/>
      <c r="K977" s="79" t="n"/>
      <c r="L977" s="79" t="n"/>
      <c r="M977" s="79" t="n"/>
      <c r="N977" s="79" t="n"/>
      <c r="O977" s="79" t="n"/>
      <c r="P977" s="79" t="n"/>
      <c r="Q977" s="79" t="n"/>
      <c r="R977" s="79" t="n"/>
      <c r="S977" s="79" t="n"/>
      <c r="T977" s="79" t="n"/>
      <c r="U977" s="79" t="n"/>
      <c r="V977" s="79" t="n"/>
      <c r="W977" s="79" t="n"/>
      <c r="X977" s="79" t="n"/>
      <c r="Y977" s="79" t="n"/>
      <c r="Z977" s="79" t="n"/>
    </row>
    <row r="978">
      <c r="A978" s="79" t="n"/>
      <c r="B978" s="79" t="n"/>
      <c r="C978" s="79" t="n"/>
      <c r="D978" s="79" t="n"/>
      <c r="E978" s="79" t="n"/>
      <c r="F978" s="79" t="n"/>
      <c r="G978" s="79" t="n"/>
      <c r="H978" s="79" t="n"/>
      <c r="I978" s="79" t="n"/>
      <c r="J978" s="79" t="n"/>
      <c r="K978" s="79" t="n"/>
      <c r="L978" s="79" t="n"/>
      <c r="M978" s="79" t="n"/>
      <c r="N978" s="79" t="n"/>
      <c r="O978" s="79" t="n"/>
      <c r="P978" s="79" t="n"/>
      <c r="Q978" s="79" t="n"/>
      <c r="R978" s="79" t="n"/>
      <c r="S978" s="79" t="n"/>
      <c r="T978" s="79" t="n"/>
      <c r="U978" s="79" t="n"/>
      <c r="V978" s="79" t="n"/>
      <c r="W978" s="79" t="n"/>
      <c r="X978" s="79" t="n"/>
      <c r="Y978" s="79" t="n"/>
      <c r="Z978" s="79" t="n"/>
    </row>
    <row r="979">
      <c r="A979" s="79" t="n"/>
      <c r="B979" s="79" t="n"/>
      <c r="C979" s="79" t="n"/>
      <c r="D979" s="79" t="n"/>
      <c r="E979" s="79" t="n"/>
      <c r="F979" s="79" t="n"/>
      <c r="G979" s="79" t="n"/>
      <c r="H979" s="79" t="n"/>
      <c r="I979" s="79" t="n"/>
      <c r="J979" s="79" t="n"/>
      <c r="K979" s="79" t="n"/>
      <c r="L979" s="79" t="n"/>
      <c r="M979" s="79" t="n"/>
      <c r="N979" s="79" t="n"/>
      <c r="O979" s="79" t="n"/>
      <c r="P979" s="79" t="n"/>
      <c r="Q979" s="79" t="n"/>
      <c r="R979" s="79" t="n"/>
      <c r="S979" s="79" t="n"/>
      <c r="T979" s="79" t="n"/>
      <c r="U979" s="79" t="n"/>
      <c r="V979" s="79" t="n"/>
      <c r="W979" s="79" t="n"/>
      <c r="X979" s="79" t="n"/>
      <c r="Y979" s="79" t="n"/>
      <c r="Z979" s="79" t="n"/>
    </row>
    <row r="980">
      <c r="A980" s="79" t="n"/>
      <c r="B980" s="79" t="n"/>
      <c r="C980" s="79" t="n"/>
      <c r="D980" s="79" t="n"/>
      <c r="E980" s="79" t="n"/>
      <c r="F980" s="79" t="n"/>
      <c r="G980" s="79" t="n"/>
      <c r="H980" s="79" t="n"/>
      <c r="I980" s="79" t="n"/>
      <c r="J980" s="79" t="n"/>
      <c r="K980" s="79" t="n"/>
      <c r="L980" s="79" t="n"/>
      <c r="M980" s="79" t="n"/>
      <c r="N980" s="79" t="n"/>
      <c r="O980" s="79" t="n"/>
      <c r="P980" s="79" t="n"/>
      <c r="Q980" s="79" t="n"/>
      <c r="R980" s="79" t="n"/>
      <c r="S980" s="79" t="n"/>
      <c r="T980" s="79" t="n"/>
      <c r="U980" s="79" t="n"/>
      <c r="V980" s="79" t="n"/>
      <c r="W980" s="79" t="n"/>
      <c r="X980" s="79" t="n"/>
      <c r="Y980" s="79" t="n"/>
      <c r="Z980" s="79" t="n"/>
    </row>
    <row r="981">
      <c r="A981" s="79" t="n"/>
      <c r="B981" s="79" t="n"/>
      <c r="C981" s="79" t="n"/>
      <c r="D981" s="79" t="n"/>
      <c r="E981" s="79" t="n"/>
      <c r="F981" s="79" t="n"/>
      <c r="G981" s="79" t="n"/>
      <c r="H981" s="79" t="n"/>
      <c r="I981" s="79" t="n"/>
      <c r="J981" s="79" t="n"/>
      <c r="K981" s="79" t="n"/>
      <c r="L981" s="79" t="n"/>
      <c r="M981" s="79" t="n"/>
      <c r="N981" s="79" t="n"/>
      <c r="O981" s="79" t="n"/>
      <c r="P981" s="79" t="n"/>
      <c r="Q981" s="79" t="n"/>
      <c r="R981" s="79" t="n"/>
      <c r="S981" s="79" t="n"/>
      <c r="T981" s="79" t="n"/>
      <c r="U981" s="79" t="n"/>
      <c r="V981" s="79" t="n"/>
      <c r="W981" s="79" t="n"/>
      <c r="X981" s="79" t="n"/>
      <c r="Y981" s="79" t="n"/>
      <c r="Z981" s="79" t="n"/>
    </row>
    <row r="982">
      <c r="A982" s="79" t="n"/>
      <c r="B982" s="79" t="n"/>
      <c r="C982" s="79" t="n"/>
      <c r="D982" s="79" t="n"/>
      <c r="E982" s="79" t="n"/>
      <c r="F982" s="79" t="n"/>
      <c r="G982" s="79" t="n"/>
      <c r="H982" s="79" t="n"/>
      <c r="I982" s="79" t="n"/>
      <c r="J982" s="79" t="n"/>
      <c r="K982" s="79" t="n"/>
      <c r="L982" s="79" t="n"/>
      <c r="M982" s="79" t="n"/>
      <c r="N982" s="79" t="n"/>
      <c r="O982" s="79" t="n"/>
      <c r="P982" s="79" t="n"/>
      <c r="Q982" s="79" t="n"/>
      <c r="R982" s="79" t="n"/>
      <c r="S982" s="79" t="n"/>
      <c r="T982" s="79" t="n"/>
      <c r="U982" s="79" t="n"/>
      <c r="V982" s="79" t="n"/>
      <c r="W982" s="79" t="n"/>
      <c r="X982" s="79" t="n"/>
      <c r="Y982" s="79" t="n"/>
      <c r="Z982" s="79" t="n"/>
    </row>
    <row r="983">
      <c r="A983" s="79" t="n"/>
      <c r="B983" s="79" t="n"/>
      <c r="C983" s="79" t="n"/>
      <c r="D983" s="79" t="n"/>
      <c r="E983" s="79" t="n"/>
      <c r="F983" s="79" t="n"/>
      <c r="G983" s="79" t="n"/>
      <c r="H983" s="79" t="n"/>
      <c r="I983" s="79" t="n"/>
      <c r="J983" s="79" t="n"/>
      <c r="K983" s="79" t="n"/>
      <c r="L983" s="79" t="n"/>
      <c r="M983" s="79" t="n"/>
      <c r="N983" s="79" t="n"/>
      <c r="O983" s="79" t="n"/>
      <c r="P983" s="79" t="n"/>
      <c r="Q983" s="79" t="n"/>
      <c r="R983" s="79" t="n"/>
      <c r="S983" s="79" t="n"/>
      <c r="T983" s="79" t="n"/>
      <c r="U983" s="79" t="n"/>
      <c r="V983" s="79" t="n"/>
      <c r="W983" s="79" t="n"/>
      <c r="X983" s="79" t="n"/>
      <c r="Y983" s="79" t="n"/>
      <c r="Z983" s="79" t="n"/>
    </row>
    <row r="984">
      <c r="A984" s="79" t="n"/>
      <c r="B984" s="79" t="n"/>
      <c r="C984" s="79" t="n"/>
      <c r="D984" s="79" t="n"/>
      <c r="E984" s="79" t="n"/>
      <c r="F984" s="79" t="n"/>
      <c r="G984" s="79" t="n"/>
      <c r="H984" s="79" t="n"/>
      <c r="I984" s="79" t="n"/>
      <c r="J984" s="79" t="n"/>
      <c r="K984" s="79" t="n"/>
      <c r="L984" s="79" t="n"/>
      <c r="M984" s="79" t="n"/>
      <c r="N984" s="79" t="n"/>
      <c r="O984" s="79" t="n"/>
      <c r="P984" s="79" t="n"/>
      <c r="Q984" s="79" t="n"/>
      <c r="R984" s="79" t="n"/>
      <c r="S984" s="79" t="n"/>
      <c r="T984" s="79" t="n"/>
      <c r="U984" s="79" t="n"/>
      <c r="V984" s="79" t="n"/>
      <c r="W984" s="79" t="n"/>
      <c r="X984" s="79" t="n"/>
      <c r="Y984" s="79" t="n"/>
      <c r="Z984" s="79" t="n"/>
    </row>
    <row r="985">
      <c r="A985" s="79" t="n"/>
      <c r="B985" s="79" t="n"/>
      <c r="C985" s="79" t="n"/>
      <c r="D985" s="79" t="n"/>
      <c r="E985" s="79" t="n"/>
      <c r="F985" s="79" t="n"/>
      <c r="G985" s="79" t="n"/>
      <c r="H985" s="79" t="n"/>
      <c r="I985" s="79" t="n"/>
      <c r="J985" s="79" t="n"/>
      <c r="K985" s="79" t="n"/>
      <c r="L985" s="79" t="n"/>
      <c r="M985" s="79" t="n"/>
      <c r="N985" s="79" t="n"/>
      <c r="O985" s="79" t="n"/>
      <c r="P985" s="79" t="n"/>
      <c r="Q985" s="79" t="n"/>
      <c r="R985" s="79" t="n"/>
      <c r="S985" s="79" t="n"/>
      <c r="T985" s="79" t="n"/>
      <c r="U985" s="79" t="n"/>
      <c r="V985" s="79" t="n"/>
      <c r="W985" s="79" t="n"/>
      <c r="X985" s="79" t="n"/>
      <c r="Y985" s="79" t="n"/>
      <c r="Z985" s="79" t="n"/>
    </row>
    <row r="986">
      <c r="A986" s="79" t="n"/>
      <c r="B986" s="79" t="n"/>
      <c r="C986" s="79" t="n"/>
      <c r="D986" s="79" t="n"/>
      <c r="E986" s="79" t="n"/>
      <c r="F986" s="79" t="n"/>
      <c r="G986" s="79" t="n"/>
      <c r="H986" s="79" t="n"/>
      <c r="I986" s="79" t="n"/>
      <c r="J986" s="79" t="n"/>
      <c r="K986" s="79" t="n"/>
      <c r="L986" s="79" t="n"/>
      <c r="M986" s="79" t="n"/>
      <c r="N986" s="79" t="n"/>
      <c r="O986" s="79" t="n"/>
      <c r="P986" s="79" t="n"/>
      <c r="Q986" s="79" t="n"/>
      <c r="R986" s="79" t="n"/>
      <c r="S986" s="79" t="n"/>
      <c r="T986" s="79" t="n"/>
      <c r="U986" s="79" t="n"/>
      <c r="V986" s="79" t="n"/>
      <c r="W986" s="79" t="n"/>
      <c r="X986" s="79" t="n"/>
      <c r="Y986" s="79" t="n"/>
      <c r="Z986" s="79" t="n"/>
    </row>
    <row r="987">
      <c r="A987" s="79" t="n"/>
      <c r="B987" s="79" t="n"/>
      <c r="C987" s="79" t="n"/>
      <c r="D987" s="79" t="n"/>
      <c r="E987" s="79" t="n"/>
      <c r="F987" s="79" t="n"/>
      <c r="G987" s="79" t="n"/>
      <c r="H987" s="79" t="n"/>
      <c r="I987" s="79" t="n"/>
      <c r="J987" s="79" t="n"/>
      <c r="K987" s="79" t="n"/>
      <c r="L987" s="79" t="n"/>
      <c r="M987" s="79" t="n"/>
      <c r="N987" s="79" t="n"/>
      <c r="O987" s="79" t="n"/>
      <c r="P987" s="79" t="n"/>
      <c r="Q987" s="79" t="n"/>
      <c r="R987" s="79" t="n"/>
      <c r="S987" s="79" t="n"/>
      <c r="T987" s="79" t="n"/>
      <c r="U987" s="79" t="n"/>
      <c r="V987" s="79" t="n"/>
      <c r="W987" s="79" t="n"/>
      <c r="X987" s="79" t="n"/>
      <c r="Y987" s="79" t="n"/>
      <c r="Z987" s="79" t="n"/>
    </row>
    <row r="988">
      <c r="A988" s="79" t="n"/>
      <c r="B988" s="79" t="n"/>
      <c r="C988" s="79" t="n"/>
      <c r="D988" s="79" t="n"/>
      <c r="E988" s="79" t="n"/>
      <c r="F988" s="79" t="n"/>
      <c r="G988" s="79" t="n"/>
      <c r="H988" s="79" t="n"/>
      <c r="I988" s="79" t="n"/>
      <c r="J988" s="79" t="n"/>
      <c r="K988" s="79" t="n"/>
      <c r="L988" s="79" t="n"/>
      <c r="M988" s="79" t="n"/>
      <c r="N988" s="79" t="n"/>
      <c r="O988" s="79" t="n"/>
      <c r="P988" s="79" t="n"/>
      <c r="Q988" s="79" t="n"/>
      <c r="R988" s="79" t="n"/>
      <c r="S988" s="79" t="n"/>
      <c r="T988" s="79" t="n"/>
      <c r="U988" s="79" t="n"/>
      <c r="V988" s="79" t="n"/>
      <c r="W988" s="79" t="n"/>
      <c r="X988" s="79" t="n"/>
      <c r="Y988" s="79" t="n"/>
      <c r="Z988" s="79" t="n"/>
    </row>
    <row r="989">
      <c r="A989" s="79" t="n"/>
      <c r="B989" s="79" t="n"/>
      <c r="C989" s="79" t="n"/>
      <c r="D989" s="79" t="n"/>
      <c r="E989" s="79" t="n"/>
      <c r="F989" s="79" t="n"/>
      <c r="G989" s="79" t="n"/>
      <c r="H989" s="79" t="n"/>
      <c r="I989" s="79" t="n"/>
      <c r="J989" s="79" t="n"/>
      <c r="K989" s="79" t="n"/>
      <c r="L989" s="79" t="n"/>
      <c r="M989" s="79" t="n"/>
      <c r="N989" s="79" t="n"/>
      <c r="O989" s="79" t="n"/>
      <c r="P989" s="79" t="n"/>
      <c r="Q989" s="79" t="n"/>
      <c r="R989" s="79" t="n"/>
      <c r="S989" s="79" t="n"/>
      <c r="T989" s="79" t="n"/>
      <c r="U989" s="79" t="n"/>
      <c r="V989" s="79" t="n"/>
      <c r="W989" s="79" t="n"/>
      <c r="X989" s="79" t="n"/>
      <c r="Y989" s="79" t="n"/>
      <c r="Z989" s="79" t="n"/>
    </row>
    <row r="990">
      <c r="A990" s="79" t="n"/>
      <c r="B990" s="79" t="n"/>
      <c r="C990" s="79" t="n"/>
      <c r="D990" s="79" t="n"/>
      <c r="E990" s="79" t="n"/>
      <c r="F990" s="79" t="n"/>
      <c r="G990" s="79" t="n"/>
      <c r="H990" s="79" t="n"/>
      <c r="I990" s="79" t="n"/>
      <c r="J990" s="79" t="n"/>
      <c r="K990" s="79" t="n"/>
      <c r="L990" s="79" t="n"/>
      <c r="M990" s="79" t="n"/>
      <c r="N990" s="79" t="n"/>
      <c r="O990" s="79" t="n"/>
      <c r="P990" s="79" t="n"/>
      <c r="Q990" s="79" t="n"/>
      <c r="R990" s="79" t="n"/>
      <c r="S990" s="79" t="n"/>
      <c r="T990" s="79" t="n"/>
      <c r="U990" s="79" t="n"/>
      <c r="V990" s="79" t="n"/>
      <c r="W990" s="79" t="n"/>
      <c r="X990" s="79" t="n"/>
      <c r="Y990" s="79" t="n"/>
      <c r="Z990" s="79" t="n"/>
    </row>
    <row r="991">
      <c r="A991" s="79" t="n"/>
      <c r="B991" s="79" t="n"/>
      <c r="C991" s="79" t="n"/>
      <c r="D991" s="79" t="n"/>
      <c r="E991" s="79" t="n"/>
      <c r="F991" s="79" t="n"/>
      <c r="G991" s="79" t="n"/>
      <c r="H991" s="79" t="n"/>
      <c r="I991" s="79" t="n"/>
      <c r="J991" s="79" t="n"/>
      <c r="K991" s="79" t="n"/>
      <c r="L991" s="79" t="n"/>
      <c r="M991" s="79" t="n"/>
      <c r="N991" s="79" t="n"/>
      <c r="O991" s="79" t="n"/>
      <c r="P991" s="79" t="n"/>
      <c r="Q991" s="79" t="n"/>
      <c r="R991" s="79" t="n"/>
      <c r="S991" s="79" t="n"/>
      <c r="T991" s="79" t="n"/>
      <c r="U991" s="79" t="n"/>
      <c r="V991" s="79" t="n"/>
      <c r="W991" s="79" t="n"/>
      <c r="X991" s="79" t="n"/>
      <c r="Y991" s="79" t="n"/>
      <c r="Z991" s="79" t="n"/>
    </row>
    <row r="992">
      <c r="A992" s="79" t="n"/>
      <c r="B992" s="79" t="n"/>
      <c r="C992" s="79" t="n"/>
      <c r="D992" s="79" t="n"/>
      <c r="E992" s="79" t="n"/>
      <c r="F992" s="79" t="n"/>
      <c r="G992" s="79" t="n"/>
      <c r="H992" s="79" t="n"/>
      <c r="I992" s="79" t="n"/>
      <c r="J992" s="79" t="n"/>
      <c r="K992" s="79" t="n"/>
      <c r="L992" s="79" t="n"/>
      <c r="M992" s="79" t="n"/>
      <c r="N992" s="79" t="n"/>
      <c r="O992" s="79" t="n"/>
      <c r="P992" s="79" t="n"/>
      <c r="Q992" s="79" t="n"/>
      <c r="R992" s="79" t="n"/>
      <c r="S992" s="79" t="n"/>
      <c r="T992" s="79" t="n"/>
      <c r="U992" s="79" t="n"/>
      <c r="V992" s="79" t="n"/>
      <c r="W992" s="79" t="n"/>
      <c r="X992" s="79" t="n"/>
      <c r="Y992" s="79" t="n"/>
      <c r="Z992" s="79" t="n"/>
    </row>
    <row r="993">
      <c r="A993" s="79" t="n"/>
      <c r="B993" s="79" t="n"/>
      <c r="C993" s="79" t="n"/>
      <c r="D993" s="79" t="n"/>
      <c r="E993" s="79" t="n"/>
      <c r="F993" s="79" t="n"/>
      <c r="G993" s="79" t="n"/>
      <c r="H993" s="79" t="n"/>
      <c r="I993" s="79" t="n"/>
      <c r="J993" s="79" t="n"/>
      <c r="K993" s="79" t="n"/>
      <c r="L993" s="79" t="n"/>
      <c r="M993" s="79" t="n"/>
      <c r="N993" s="79" t="n"/>
      <c r="O993" s="79" t="n"/>
      <c r="P993" s="79" t="n"/>
      <c r="Q993" s="79" t="n"/>
      <c r="R993" s="79" t="n"/>
      <c r="S993" s="79" t="n"/>
      <c r="T993" s="79" t="n"/>
      <c r="U993" s="79" t="n"/>
      <c r="V993" s="79" t="n"/>
      <c r="W993" s="79" t="n"/>
      <c r="X993" s="79" t="n"/>
      <c r="Y993" s="79" t="n"/>
      <c r="Z993" s="79" t="n"/>
    </row>
    <row r="994">
      <c r="A994" s="79" t="n"/>
      <c r="B994" s="79" t="n"/>
      <c r="C994" s="79" t="n"/>
      <c r="D994" s="79" t="n"/>
      <c r="E994" s="79" t="n"/>
      <c r="F994" s="79" t="n"/>
      <c r="G994" s="79" t="n"/>
      <c r="H994" s="79" t="n"/>
      <c r="I994" s="79" t="n"/>
      <c r="J994" s="79" t="n"/>
      <c r="K994" s="79" t="n"/>
      <c r="L994" s="79" t="n"/>
      <c r="M994" s="79" t="n"/>
      <c r="N994" s="79" t="n"/>
      <c r="O994" s="79" t="n"/>
      <c r="P994" s="79" t="n"/>
      <c r="Q994" s="79" t="n"/>
      <c r="R994" s="79" t="n"/>
      <c r="S994" s="79" t="n"/>
      <c r="T994" s="79" t="n"/>
      <c r="U994" s="79" t="n"/>
      <c r="V994" s="79" t="n"/>
      <c r="W994" s="79" t="n"/>
      <c r="X994" s="79" t="n"/>
      <c r="Y994" s="79" t="n"/>
      <c r="Z994" s="79" t="n"/>
    </row>
    <row r="995">
      <c r="A995" s="79" t="n"/>
      <c r="B995" s="79" t="n"/>
      <c r="C995" s="79" t="n"/>
      <c r="D995" s="79" t="n"/>
      <c r="E995" s="79" t="n"/>
      <c r="F995" s="79" t="n"/>
      <c r="G995" s="79" t="n"/>
      <c r="H995" s="79" t="n"/>
      <c r="I995" s="79" t="n"/>
      <c r="J995" s="79" t="n"/>
      <c r="K995" s="79" t="n"/>
      <c r="L995" s="79" t="n"/>
      <c r="M995" s="79" t="n"/>
      <c r="N995" s="79" t="n"/>
      <c r="O995" s="79" t="n"/>
      <c r="P995" s="79" t="n"/>
      <c r="Q995" s="79" t="n"/>
      <c r="R995" s="79" t="n"/>
      <c r="S995" s="79" t="n"/>
      <c r="T995" s="79" t="n"/>
      <c r="U995" s="79" t="n"/>
      <c r="V995" s="79" t="n"/>
      <c r="W995" s="79" t="n"/>
      <c r="X995" s="79" t="n"/>
      <c r="Y995" s="79" t="n"/>
      <c r="Z995" s="79" t="n"/>
    </row>
    <row r="996">
      <c r="A996" s="79" t="n"/>
      <c r="B996" s="79" t="n"/>
      <c r="C996" s="79" t="n"/>
      <c r="D996" s="79" t="n"/>
      <c r="E996" s="79" t="n"/>
      <c r="F996" s="79" t="n"/>
      <c r="G996" s="79" t="n"/>
      <c r="H996" s="79" t="n"/>
      <c r="I996" s="79" t="n"/>
      <c r="J996" s="79" t="n"/>
      <c r="K996" s="79" t="n"/>
      <c r="L996" s="79" t="n"/>
      <c r="M996" s="79" t="n"/>
      <c r="N996" s="79" t="n"/>
      <c r="O996" s="79" t="n"/>
      <c r="P996" s="79" t="n"/>
      <c r="Q996" s="79" t="n"/>
      <c r="R996" s="79" t="n"/>
      <c r="S996" s="79" t="n"/>
      <c r="T996" s="79" t="n"/>
      <c r="U996" s="79" t="n"/>
      <c r="V996" s="79" t="n"/>
      <c r="W996" s="79" t="n"/>
      <c r="X996" s="79" t="n"/>
      <c r="Y996" s="79" t="n"/>
      <c r="Z996" s="79" t="n"/>
    </row>
    <row r="997">
      <c r="A997" s="79" t="n"/>
      <c r="B997" s="79" t="n"/>
      <c r="C997" s="79" t="n"/>
      <c r="D997" s="79" t="n"/>
      <c r="E997" s="79" t="n"/>
      <c r="F997" s="79" t="n"/>
      <c r="G997" s="79" t="n"/>
      <c r="H997" s="79" t="n"/>
      <c r="I997" s="79" t="n"/>
      <c r="J997" s="79" t="n"/>
      <c r="K997" s="79" t="n"/>
      <c r="L997" s="79" t="n"/>
      <c r="M997" s="79" t="n"/>
      <c r="N997" s="79" t="n"/>
      <c r="O997" s="79" t="n"/>
      <c r="P997" s="79" t="n"/>
      <c r="Q997" s="79" t="n"/>
      <c r="R997" s="79" t="n"/>
      <c r="S997" s="79" t="n"/>
      <c r="T997" s="79" t="n"/>
      <c r="U997" s="79" t="n"/>
      <c r="V997" s="79" t="n"/>
      <c r="W997" s="79" t="n"/>
      <c r="X997" s="79" t="n"/>
      <c r="Y997" s="79" t="n"/>
      <c r="Z997" s="79" t="n"/>
    </row>
    <row r="998">
      <c r="A998" s="79" t="n"/>
      <c r="B998" s="79" t="n"/>
      <c r="C998" s="79" t="n"/>
      <c r="D998" s="79" t="n"/>
      <c r="E998" s="79" t="n"/>
      <c r="F998" s="79" t="n"/>
      <c r="G998" s="79" t="n"/>
      <c r="H998" s="79" t="n"/>
      <c r="I998" s="79" t="n"/>
      <c r="J998" s="79" t="n"/>
      <c r="K998" s="79" t="n"/>
      <c r="L998" s="79" t="n"/>
      <c r="M998" s="79" t="n"/>
      <c r="N998" s="79" t="n"/>
      <c r="O998" s="79" t="n"/>
      <c r="P998" s="79" t="n"/>
      <c r="Q998" s="79" t="n"/>
      <c r="R998" s="79" t="n"/>
      <c r="S998" s="79" t="n"/>
      <c r="T998" s="79" t="n"/>
      <c r="U998" s="79" t="n"/>
      <c r="V998" s="79" t="n"/>
      <c r="W998" s="79" t="n"/>
      <c r="X998" s="79" t="n"/>
      <c r="Y998" s="79" t="n"/>
      <c r="Z998" s="79" t="n"/>
    </row>
    <row r="999">
      <c r="A999" s="79" t="n"/>
      <c r="B999" s="79" t="n"/>
      <c r="C999" s="79" t="n"/>
      <c r="D999" s="79" t="n"/>
      <c r="E999" s="79" t="n"/>
      <c r="F999" s="79" t="n"/>
      <c r="G999" s="79" t="n"/>
      <c r="H999" s="79" t="n"/>
      <c r="I999" s="79" t="n"/>
      <c r="J999" s="79" t="n"/>
      <c r="K999" s="79" t="n"/>
      <c r="L999" s="79" t="n"/>
      <c r="M999" s="79" t="n"/>
      <c r="N999" s="79" t="n"/>
      <c r="O999" s="79" t="n"/>
      <c r="P999" s="79" t="n"/>
      <c r="Q999" s="79" t="n"/>
      <c r="R999" s="79" t="n"/>
      <c r="S999" s="79" t="n"/>
      <c r="T999" s="79" t="n"/>
      <c r="U999" s="79" t="n"/>
      <c r="V999" s="79" t="n"/>
      <c r="W999" s="79" t="n"/>
      <c r="X999" s="79" t="n"/>
      <c r="Y999" s="79" t="n"/>
      <c r="Z999" s="79" t="n"/>
    </row>
    <row r="1000">
      <c r="A1000" s="79" t="n"/>
      <c r="B1000" s="79" t="n"/>
      <c r="C1000" s="79" t="n"/>
      <c r="D1000" s="79" t="n"/>
      <c r="E1000" s="79" t="n"/>
      <c r="F1000" s="79" t="n"/>
      <c r="G1000" s="79" t="n"/>
      <c r="H1000" s="79" t="n"/>
      <c r="I1000" s="79" t="n"/>
      <c r="J1000" s="79" t="n"/>
      <c r="K1000" s="79" t="n"/>
      <c r="L1000" s="79" t="n"/>
      <c r="M1000" s="79" t="n"/>
      <c r="N1000" s="79" t="n"/>
      <c r="O1000" s="79" t="n"/>
      <c r="P1000" s="79" t="n"/>
      <c r="Q1000" s="79" t="n"/>
      <c r="R1000" s="79" t="n"/>
      <c r="S1000" s="79" t="n"/>
      <c r="T1000" s="79" t="n"/>
      <c r="U1000" s="79" t="n"/>
      <c r="V1000" s="79" t="n"/>
      <c r="W1000" s="79" t="n"/>
      <c r="X1000" s="79" t="n"/>
      <c r="Y1000" s="79" t="n"/>
      <c r="Z1000" s="79" t="n"/>
    </row>
    <row r="1001">
      <c r="A1001" s="79" t="n"/>
      <c r="B1001" s="79" t="n"/>
      <c r="C1001" s="79" t="n"/>
      <c r="D1001" s="79" t="n"/>
      <c r="E1001" s="79" t="n"/>
      <c r="F1001" s="79" t="n"/>
      <c r="G1001" s="79" t="n"/>
      <c r="H1001" s="79" t="n"/>
      <c r="I1001" s="79" t="n"/>
      <c r="J1001" s="79" t="n"/>
      <c r="K1001" s="79" t="n"/>
      <c r="L1001" s="79" t="n"/>
      <c r="M1001" s="79" t="n"/>
      <c r="N1001" s="79" t="n"/>
      <c r="O1001" s="79" t="n"/>
      <c r="P1001" s="79" t="n"/>
      <c r="Q1001" s="79" t="n"/>
      <c r="R1001" s="79" t="n"/>
      <c r="S1001" s="79" t="n"/>
      <c r="T1001" s="79" t="n"/>
      <c r="U1001" s="79" t="n"/>
      <c r="V1001" s="79" t="n"/>
      <c r="W1001" s="79" t="n"/>
      <c r="X1001" s="79" t="n"/>
      <c r="Y1001" s="79" t="n"/>
      <c r="Z1001" s="79" t="n"/>
    </row>
    <row r="1002">
      <c r="A1002" s="79" t="n"/>
      <c r="B1002" s="79" t="n"/>
      <c r="C1002" s="79" t="n"/>
      <c r="D1002" s="79" t="n"/>
      <c r="E1002" s="79" t="n"/>
      <c r="F1002" s="79" t="n"/>
      <c r="G1002" s="79" t="n"/>
      <c r="H1002" s="79" t="n"/>
      <c r="I1002" s="79" t="n"/>
      <c r="J1002" s="79" t="n"/>
      <c r="K1002" s="79" t="n"/>
      <c r="L1002" s="79" t="n"/>
      <c r="M1002" s="79" t="n"/>
      <c r="N1002" s="79" t="n"/>
      <c r="O1002" s="79" t="n"/>
      <c r="P1002" s="79" t="n"/>
      <c r="Q1002" s="79" t="n"/>
      <c r="R1002" s="79" t="n"/>
      <c r="S1002" s="79" t="n"/>
      <c r="T1002" s="79" t="n"/>
      <c r="U1002" s="79" t="n"/>
      <c r="V1002" s="79" t="n"/>
      <c r="W1002" s="79" t="n"/>
      <c r="X1002" s="79" t="n"/>
      <c r="Y1002" s="79" t="n"/>
      <c r="Z1002" s="79" t="n"/>
    </row>
    <row r="1003">
      <c r="A1003" s="79" t="n"/>
      <c r="B1003" s="79" t="n"/>
      <c r="C1003" s="79" t="n"/>
      <c r="D1003" s="79" t="n"/>
      <c r="E1003" s="79" t="n"/>
      <c r="F1003" s="79" t="n"/>
      <c r="G1003" s="79" t="n"/>
      <c r="H1003" s="79" t="n"/>
      <c r="I1003" s="79" t="n"/>
      <c r="J1003" s="79" t="n"/>
      <c r="K1003" s="79" t="n"/>
      <c r="L1003" s="79" t="n"/>
      <c r="M1003" s="79" t="n"/>
      <c r="N1003" s="79" t="n"/>
      <c r="O1003" s="79" t="n"/>
      <c r="P1003" s="79" t="n"/>
      <c r="Q1003" s="79" t="n"/>
      <c r="R1003" s="79" t="n"/>
      <c r="S1003" s="79" t="n"/>
      <c r="T1003" s="79" t="n"/>
      <c r="U1003" s="79" t="n"/>
      <c r="V1003" s="79" t="n"/>
      <c r="W1003" s="79" t="n"/>
      <c r="X1003" s="79" t="n"/>
      <c r="Y1003" s="79" t="n"/>
      <c r="Z1003" s="79" t="n"/>
    </row>
    <row r="1004">
      <c r="A1004" s="79" t="n"/>
      <c r="B1004" s="79" t="n"/>
      <c r="C1004" s="79" t="n"/>
      <c r="D1004" s="79" t="n"/>
      <c r="E1004" s="79" t="n"/>
      <c r="F1004" s="79" t="n"/>
      <c r="G1004" s="79" t="n"/>
      <c r="H1004" s="79" t="n"/>
      <c r="I1004" s="79" t="n"/>
      <c r="J1004" s="79" t="n"/>
      <c r="K1004" s="79" t="n"/>
      <c r="L1004" s="79" t="n"/>
      <c r="M1004" s="79" t="n"/>
      <c r="N1004" s="79" t="n"/>
      <c r="O1004" s="79" t="n"/>
      <c r="P1004" s="79" t="n"/>
      <c r="Q1004" s="79" t="n"/>
      <c r="R1004" s="79" t="n"/>
      <c r="S1004" s="79" t="n"/>
      <c r="T1004" s="79" t="n"/>
      <c r="U1004" s="79" t="n"/>
      <c r="V1004" s="79" t="n"/>
      <c r="W1004" s="79" t="n"/>
      <c r="X1004" s="79" t="n"/>
      <c r="Y1004" s="79" t="n"/>
      <c r="Z1004" s="79" t="n"/>
    </row>
    <row r="1005">
      <c r="A1005" s="79" t="n"/>
      <c r="B1005" s="79" t="n"/>
      <c r="C1005" s="79" t="n"/>
      <c r="D1005" s="79" t="n"/>
      <c r="E1005" s="79" t="n"/>
      <c r="F1005" s="79" t="n"/>
      <c r="G1005" s="79" t="n"/>
      <c r="H1005" s="79" t="n"/>
      <c r="I1005" s="79" t="n"/>
      <c r="J1005" s="79" t="n"/>
      <c r="K1005" s="79" t="n"/>
      <c r="L1005" s="79" t="n"/>
      <c r="M1005" s="79" t="n"/>
      <c r="N1005" s="79" t="n"/>
      <c r="O1005" s="79" t="n"/>
      <c r="P1005" s="79" t="n"/>
      <c r="Q1005" s="79" t="n"/>
      <c r="R1005" s="79" t="n"/>
      <c r="S1005" s="79" t="n"/>
      <c r="T1005" s="79" t="n"/>
      <c r="U1005" s="79" t="n"/>
      <c r="V1005" s="79" t="n"/>
      <c r="W1005" s="79" t="n"/>
      <c r="X1005" s="79" t="n"/>
      <c r="Y1005" s="79" t="n"/>
      <c r="Z1005" s="79" t="n"/>
    </row>
    <row r="1006">
      <c r="A1006" s="79" t="n"/>
      <c r="B1006" s="79" t="n"/>
      <c r="C1006" s="79" t="n"/>
      <c r="D1006" s="79" t="n"/>
      <c r="E1006" s="79" t="n"/>
      <c r="F1006" s="79" t="n"/>
      <c r="G1006" s="79" t="n"/>
      <c r="H1006" s="79" t="n"/>
      <c r="I1006" s="79" t="n"/>
      <c r="J1006" s="79" t="n"/>
      <c r="K1006" s="79" t="n"/>
      <c r="L1006" s="79" t="n"/>
      <c r="M1006" s="79" t="n"/>
      <c r="N1006" s="79" t="n"/>
      <c r="O1006" s="79" t="n"/>
      <c r="P1006" s="79" t="n"/>
      <c r="Q1006" s="79" t="n"/>
      <c r="R1006" s="79" t="n"/>
      <c r="S1006" s="79" t="n"/>
      <c r="T1006" s="79" t="n"/>
      <c r="U1006" s="79" t="n"/>
      <c r="V1006" s="79" t="n"/>
      <c r="W1006" s="79" t="n"/>
      <c r="X1006" s="79" t="n"/>
      <c r="Y1006" s="79" t="n"/>
      <c r="Z1006" s="79" t="n"/>
    </row>
    <row r="1007">
      <c r="A1007" s="79" t="n"/>
      <c r="B1007" s="79" t="n"/>
      <c r="C1007" s="79" t="n"/>
      <c r="D1007" s="79" t="n"/>
      <c r="E1007" s="79" t="n"/>
      <c r="F1007" s="79" t="n"/>
      <c r="G1007" s="79" t="n"/>
      <c r="H1007" s="79" t="n"/>
      <c r="I1007" s="79" t="n"/>
      <c r="J1007" s="79" t="n"/>
      <c r="K1007" s="79" t="n"/>
      <c r="L1007" s="79" t="n"/>
      <c r="M1007" s="79" t="n"/>
      <c r="N1007" s="79" t="n"/>
      <c r="O1007" s="79" t="n"/>
      <c r="P1007" s="79" t="n"/>
      <c r="Q1007" s="79" t="n"/>
      <c r="R1007" s="79" t="n"/>
      <c r="S1007" s="79" t="n"/>
      <c r="T1007" s="79" t="n"/>
      <c r="U1007" s="79" t="n"/>
      <c r="V1007" s="79" t="n"/>
      <c r="W1007" s="79" t="n"/>
      <c r="X1007" s="79" t="n"/>
      <c r="Y1007" s="79" t="n"/>
      <c r="Z1007" s="79" t="n"/>
    </row>
    <row r="1008">
      <c r="A1008" s="79" t="n"/>
      <c r="B1008" s="79" t="n"/>
      <c r="C1008" s="79" t="n"/>
      <c r="D1008" s="79" t="n"/>
      <c r="E1008" s="79" t="n"/>
      <c r="F1008" s="79" t="n"/>
      <c r="G1008" s="79" t="n"/>
      <c r="H1008" s="79" t="n"/>
      <c r="I1008" s="79" t="n"/>
      <c r="J1008" s="79" t="n"/>
      <c r="K1008" s="79" t="n"/>
      <c r="L1008" s="79" t="n"/>
      <c r="M1008" s="79" t="n"/>
      <c r="N1008" s="79" t="n"/>
      <c r="O1008" s="79" t="n"/>
      <c r="P1008" s="79" t="n"/>
      <c r="Q1008" s="79" t="n"/>
      <c r="R1008" s="79" t="n"/>
      <c r="S1008" s="79" t="n"/>
      <c r="T1008" s="79" t="n"/>
      <c r="U1008" s="79" t="n"/>
      <c r="V1008" s="79" t="n"/>
      <c r="W1008" s="79" t="n"/>
      <c r="X1008" s="79" t="n"/>
      <c r="Y1008" s="79" t="n"/>
      <c r="Z1008" s="79" t="n"/>
    </row>
    <row r="1009">
      <c r="A1009" s="79" t="n"/>
      <c r="B1009" s="79" t="n"/>
      <c r="C1009" s="79" t="n"/>
      <c r="D1009" s="79" t="n"/>
      <c r="E1009" s="79" t="n"/>
      <c r="F1009" s="79" t="n"/>
      <c r="G1009" s="79" t="n"/>
      <c r="H1009" s="79" t="n"/>
      <c r="I1009" s="79" t="n"/>
      <c r="J1009" s="79" t="n"/>
      <c r="K1009" s="79" t="n"/>
      <c r="L1009" s="79" t="n"/>
      <c r="M1009" s="79" t="n"/>
      <c r="N1009" s="79" t="n"/>
      <c r="O1009" s="79" t="n"/>
      <c r="P1009" s="79" t="n"/>
      <c r="Q1009" s="79" t="n"/>
      <c r="R1009" s="79" t="n"/>
      <c r="S1009" s="79" t="n"/>
      <c r="T1009" s="79" t="n"/>
      <c r="U1009" s="79" t="n"/>
      <c r="V1009" s="79" t="n"/>
      <c r="W1009" s="79" t="n"/>
      <c r="X1009" s="79" t="n"/>
      <c r="Y1009" s="79" t="n"/>
      <c r="Z1009" s="79" t="n"/>
    </row>
    <row r="1010">
      <c r="A1010" s="79" t="n"/>
      <c r="B1010" s="79" t="n"/>
      <c r="C1010" s="79" t="n"/>
      <c r="D1010" s="79" t="n"/>
      <c r="E1010" s="79" t="n"/>
      <c r="F1010" s="79" t="n"/>
      <c r="G1010" s="79" t="n"/>
      <c r="H1010" s="79" t="n"/>
      <c r="I1010" s="79" t="n"/>
      <c r="J1010" s="79" t="n"/>
      <c r="K1010" s="79" t="n"/>
      <c r="L1010" s="79" t="n"/>
      <c r="M1010" s="79" t="n"/>
      <c r="N1010" s="79" t="n"/>
      <c r="O1010" s="79" t="n"/>
      <c r="P1010" s="79" t="n"/>
      <c r="Q1010" s="79" t="n"/>
      <c r="R1010" s="79" t="n"/>
      <c r="S1010" s="79" t="n"/>
      <c r="T1010" s="79" t="n"/>
      <c r="U1010" s="79" t="n"/>
      <c r="V1010" s="79" t="n"/>
      <c r="W1010" s="79" t="n"/>
      <c r="X1010" s="79" t="n"/>
      <c r="Y1010" s="79" t="n"/>
      <c r="Z1010" s="79" t="n"/>
    </row>
    <row r="1011">
      <c r="A1011" s="79" t="n"/>
      <c r="B1011" s="79" t="n"/>
      <c r="C1011" s="79" t="n"/>
      <c r="D1011" s="79" t="n"/>
      <c r="E1011" s="79" t="n"/>
      <c r="F1011" s="79" t="n"/>
      <c r="G1011" s="79" t="n"/>
      <c r="H1011" s="79" t="n"/>
      <c r="I1011" s="79" t="n"/>
      <c r="J1011" s="79" t="n"/>
      <c r="K1011" s="79" t="n"/>
      <c r="L1011" s="79" t="n"/>
      <c r="M1011" s="79" t="n"/>
      <c r="N1011" s="79" t="n"/>
      <c r="O1011" s="79" t="n"/>
      <c r="P1011" s="79" t="n"/>
      <c r="Q1011" s="79" t="n"/>
      <c r="R1011" s="79" t="n"/>
      <c r="S1011" s="79" t="n"/>
      <c r="T1011" s="79" t="n"/>
      <c r="U1011" s="79" t="n"/>
      <c r="V1011" s="79" t="n"/>
      <c r="W1011" s="79" t="n"/>
      <c r="X1011" s="79" t="n"/>
      <c r="Y1011" s="79" t="n"/>
      <c r="Z1011" s="79" t="n"/>
    </row>
    <row r="1012">
      <c r="A1012" s="79" t="n"/>
      <c r="B1012" s="79" t="n"/>
      <c r="C1012" s="79" t="n"/>
      <c r="D1012" s="79" t="n"/>
      <c r="E1012" s="79" t="n"/>
      <c r="F1012" s="79" t="n"/>
      <c r="G1012" s="79" t="n"/>
      <c r="H1012" s="79" t="n"/>
      <c r="I1012" s="79" t="n"/>
      <c r="J1012" s="79" t="n"/>
      <c r="K1012" s="79" t="n"/>
      <c r="L1012" s="79" t="n"/>
      <c r="M1012" s="79" t="n"/>
      <c r="N1012" s="79" t="n"/>
      <c r="O1012" s="79" t="n"/>
      <c r="P1012" s="79" t="n"/>
      <c r="Q1012" s="79" t="n"/>
      <c r="R1012" s="79" t="n"/>
      <c r="S1012" s="79" t="n"/>
      <c r="T1012" s="79" t="n"/>
      <c r="U1012" s="79" t="n"/>
      <c r="V1012" s="79" t="n"/>
      <c r="W1012" s="79" t="n"/>
      <c r="X1012" s="79" t="n"/>
      <c r="Y1012" s="79" t="n"/>
      <c r="Z1012" s="79" t="n"/>
    </row>
    <row r="1013">
      <c r="A1013" s="79" t="n"/>
      <c r="B1013" s="79" t="n"/>
      <c r="C1013" s="79" t="n"/>
      <c r="D1013" s="79" t="n"/>
      <c r="E1013" s="79" t="n"/>
      <c r="F1013" s="79" t="n"/>
      <c r="G1013" s="79" t="n"/>
      <c r="H1013" s="79" t="n"/>
      <c r="I1013" s="79" t="n"/>
      <c r="J1013" s="79" t="n"/>
      <c r="K1013" s="79" t="n"/>
      <c r="L1013" s="79" t="n"/>
      <c r="M1013" s="79" t="n"/>
      <c r="N1013" s="79" t="n"/>
      <c r="O1013" s="79" t="n"/>
      <c r="P1013" s="79" t="n"/>
      <c r="Q1013" s="79" t="n"/>
      <c r="R1013" s="79" t="n"/>
      <c r="S1013" s="79" t="n"/>
      <c r="T1013" s="79" t="n"/>
      <c r="U1013" s="79" t="n"/>
      <c r="V1013" s="79" t="n"/>
      <c r="W1013" s="79" t="n"/>
      <c r="X1013" s="79" t="n"/>
      <c r="Y1013" s="79" t="n"/>
      <c r="Z1013" s="79" t="n"/>
    </row>
    <row r="1014">
      <c r="A1014" s="79" t="n"/>
      <c r="B1014" s="79" t="n"/>
      <c r="C1014" s="79" t="n"/>
      <c r="D1014" s="79" t="n"/>
      <c r="E1014" s="79" t="n"/>
      <c r="F1014" s="79" t="n"/>
      <c r="G1014" s="79" t="n"/>
      <c r="H1014" s="79" t="n"/>
      <c r="I1014" s="79" t="n"/>
      <c r="J1014" s="79" t="n"/>
      <c r="K1014" s="79" t="n"/>
      <c r="L1014" s="79" t="n"/>
      <c r="M1014" s="79" t="n"/>
      <c r="N1014" s="79" t="n"/>
      <c r="O1014" s="79" t="n"/>
      <c r="P1014" s="79" t="n"/>
      <c r="Q1014" s="79" t="n"/>
      <c r="R1014" s="79" t="n"/>
      <c r="S1014" s="79" t="n"/>
      <c r="T1014" s="79" t="n"/>
      <c r="U1014" s="79" t="n"/>
      <c r="V1014" s="79" t="n"/>
      <c r="W1014" s="79" t="n"/>
      <c r="X1014" s="79" t="n"/>
      <c r="Y1014" s="79" t="n"/>
      <c r="Z1014" s="79" t="n"/>
    </row>
    <row r="1015">
      <c r="A1015" s="79" t="n"/>
      <c r="B1015" s="79" t="n"/>
      <c r="C1015" s="79" t="n"/>
      <c r="D1015" s="79" t="n"/>
      <c r="E1015" s="79" t="n"/>
      <c r="F1015" s="79" t="n"/>
      <c r="G1015" s="79" t="n"/>
      <c r="H1015" s="79" t="n"/>
      <c r="I1015" s="79" t="n"/>
      <c r="J1015" s="79" t="n"/>
      <c r="K1015" s="79" t="n"/>
      <c r="L1015" s="79" t="n"/>
      <c r="M1015" s="79" t="n"/>
      <c r="N1015" s="79" t="n"/>
      <c r="O1015" s="79" t="n"/>
      <c r="P1015" s="79" t="n"/>
      <c r="Q1015" s="79" t="n"/>
      <c r="R1015" s="79" t="n"/>
      <c r="S1015" s="79" t="n"/>
      <c r="T1015" s="79" t="n"/>
      <c r="U1015" s="79" t="n"/>
      <c r="V1015" s="79" t="n"/>
      <c r="W1015" s="79" t="n"/>
      <c r="X1015" s="79" t="n"/>
      <c r="Y1015" s="79" t="n"/>
      <c r="Z1015" s="79" t="n"/>
    </row>
    <row r="1016">
      <c r="A1016" s="79" t="n"/>
      <c r="B1016" s="79" t="n"/>
      <c r="C1016" s="79" t="n"/>
      <c r="D1016" s="79" t="n"/>
      <c r="E1016" s="79" t="n"/>
      <c r="F1016" s="79" t="n"/>
      <c r="G1016" s="79" t="n"/>
      <c r="H1016" s="79" t="n"/>
      <c r="I1016" s="79" t="n"/>
      <c r="J1016" s="79" t="n"/>
      <c r="K1016" s="79" t="n"/>
      <c r="L1016" s="79" t="n"/>
      <c r="M1016" s="79" t="n"/>
      <c r="N1016" s="79" t="n"/>
      <c r="O1016" s="79" t="n"/>
      <c r="P1016" s="79" t="n"/>
      <c r="Q1016" s="79" t="n"/>
      <c r="R1016" s="79" t="n"/>
      <c r="S1016" s="79" t="n"/>
      <c r="T1016" s="79" t="n"/>
      <c r="U1016" s="79" t="n"/>
      <c r="V1016" s="79" t="n"/>
      <c r="W1016" s="79" t="n"/>
      <c r="X1016" s="79" t="n"/>
      <c r="Y1016" s="79" t="n"/>
      <c r="Z1016" s="79" t="n"/>
    </row>
    <row r="1017">
      <c r="A1017" s="79" t="n"/>
      <c r="B1017" s="79" t="n"/>
      <c r="C1017" s="79" t="n"/>
      <c r="D1017" s="79" t="n"/>
      <c r="E1017" s="79" t="n"/>
      <c r="F1017" s="79" t="n"/>
      <c r="G1017" s="79" t="n"/>
      <c r="H1017" s="79" t="n"/>
      <c r="I1017" s="79" t="n"/>
      <c r="J1017" s="79" t="n"/>
      <c r="K1017" s="79" t="n"/>
      <c r="L1017" s="79" t="n"/>
      <c r="M1017" s="79" t="n"/>
      <c r="N1017" s="79" t="n"/>
      <c r="O1017" s="79" t="n"/>
      <c r="P1017" s="79" t="n"/>
      <c r="Q1017" s="79" t="n"/>
      <c r="R1017" s="79" t="n"/>
      <c r="S1017" s="79" t="n"/>
      <c r="T1017" s="79" t="n"/>
      <c r="U1017" s="79" t="n"/>
      <c r="V1017" s="79" t="n"/>
      <c r="W1017" s="79" t="n"/>
      <c r="X1017" s="79" t="n"/>
      <c r="Y1017" s="79" t="n"/>
      <c r="Z1017" s="79" t="n"/>
    </row>
    <row r="1018">
      <c r="A1018" s="79" t="n"/>
      <c r="B1018" s="79" t="n"/>
      <c r="C1018" s="79" t="n"/>
      <c r="D1018" s="79" t="n"/>
      <c r="E1018" s="79" t="n"/>
      <c r="F1018" s="79" t="n"/>
      <c r="G1018" s="79" t="n"/>
      <c r="H1018" s="79" t="n"/>
      <c r="I1018" s="79" t="n"/>
      <c r="J1018" s="79" t="n"/>
      <c r="K1018" s="79" t="n"/>
      <c r="L1018" s="79" t="n"/>
      <c r="M1018" s="79" t="n"/>
      <c r="N1018" s="79" t="n"/>
      <c r="O1018" s="79" t="n"/>
      <c r="P1018" s="79" t="n"/>
      <c r="Q1018" s="79" t="n"/>
      <c r="R1018" s="79" t="n"/>
      <c r="S1018" s="79" t="n"/>
      <c r="T1018" s="79" t="n"/>
      <c r="U1018" s="79" t="n"/>
      <c r="V1018" s="79" t="n"/>
      <c r="W1018" s="79" t="n"/>
      <c r="X1018" s="79" t="n"/>
      <c r="Y1018" s="79" t="n"/>
      <c r="Z1018" s="79" t="n"/>
    </row>
    <row r="1019">
      <c r="A1019" s="79" t="n"/>
      <c r="B1019" s="79" t="n"/>
      <c r="C1019" s="79" t="n"/>
      <c r="D1019" s="79" t="n"/>
      <c r="E1019" s="79" t="n"/>
      <c r="F1019" s="79" t="n"/>
      <c r="G1019" s="79" t="n"/>
      <c r="H1019" s="79" t="n"/>
      <c r="I1019" s="79" t="n"/>
      <c r="J1019" s="79" t="n"/>
      <c r="K1019" s="79" t="n"/>
      <c r="L1019" s="79" t="n"/>
      <c r="M1019" s="79" t="n"/>
      <c r="N1019" s="79" t="n"/>
      <c r="O1019" s="79" t="n"/>
      <c r="P1019" s="79" t="n"/>
      <c r="Q1019" s="79" t="n"/>
      <c r="R1019" s="79" t="n"/>
      <c r="S1019" s="79" t="n"/>
      <c r="T1019" s="79" t="n"/>
      <c r="U1019" s="79" t="n"/>
      <c r="V1019" s="79" t="n"/>
      <c r="W1019" s="79" t="n"/>
      <c r="X1019" s="79" t="n"/>
      <c r="Y1019" s="79" t="n"/>
      <c r="Z1019" s="79" t="n"/>
    </row>
    <row r="1020">
      <c r="A1020" s="79" t="n"/>
      <c r="B1020" s="79" t="n"/>
      <c r="C1020" s="79" t="n"/>
      <c r="D1020" s="79" t="n"/>
      <c r="E1020" s="79" t="n"/>
      <c r="F1020" s="79" t="n"/>
      <c r="G1020" s="79" t="n"/>
      <c r="H1020" s="79" t="n"/>
      <c r="I1020" s="79" t="n"/>
      <c r="J1020" s="79" t="n"/>
      <c r="K1020" s="79" t="n"/>
      <c r="L1020" s="79" t="n"/>
      <c r="M1020" s="79" t="n"/>
      <c r="N1020" s="79" t="n"/>
      <c r="O1020" s="79" t="n"/>
      <c r="P1020" s="79" t="n"/>
      <c r="Q1020" s="79" t="n"/>
      <c r="R1020" s="79" t="n"/>
      <c r="S1020" s="79" t="n"/>
      <c r="T1020" s="79" t="n"/>
      <c r="U1020" s="79" t="n"/>
      <c r="V1020" s="79" t="n"/>
      <c r="W1020" s="79" t="n"/>
      <c r="X1020" s="79" t="n"/>
      <c r="Y1020" s="79" t="n"/>
      <c r="Z1020" s="79" t="n"/>
    </row>
    <row r="1021">
      <c r="A1021" s="79" t="n"/>
      <c r="B1021" s="79" t="n"/>
      <c r="C1021" s="79" t="n"/>
      <c r="D1021" s="79" t="n"/>
      <c r="E1021" s="79" t="n"/>
      <c r="F1021" s="79" t="n"/>
      <c r="G1021" s="79" t="n"/>
      <c r="H1021" s="79" t="n"/>
      <c r="I1021" s="79" t="n"/>
      <c r="J1021" s="79" t="n"/>
      <c r="K1021" s="79" t="n"/>
      <c r="L1021" s="79" t="n"/>
      <c r="M1021" s="79" t="n"/>
      <c r="N1021" s="79" t="n"/>
      <c r="O1021" s="79" t="n"/>
      <c r="P1021" s="79" t="n"/>
      <c r="Q1021" s="79" t="n"/>
      <c r="R1021" s="79" t="n"/>
      <c r="S1021" s="79" t="n"/>
      <c r="T1021" s="79" t="n"/>
      <c r="U1021" s="79" t="n"/>
      <c r="V1021" s="79" t="n"/>
      <c r="W1021" s="79" t="n"/>
      <c r="X1021" s="79" t="n"/>
      <c r="Y1021" s="79" t="n"/>
      <c r="Z1021" s="79" t="n"/>
    </row>
    <row r="1022">
      <c r="A1022" s="79" t="n"/>
      <c r="B1022" s="79" t="n"/>
      <c r="C1022" s="79" t="n"/>
      <c r="D1022" s="79" t="n"/>
      <c r="E1022" s="79" t="n"/>
      <c r="F1022" s="79" t="n"/>
      <c r="G1022" s="79" t="n"/>
      <c r="H1022" s="79" t="n"/>
      <c r="I1022" s="79" t="n"/>
      <c r="J1022" s="79" t="n"/>
      <c r="K1022" s="79" t="n"/>
      <c r="L1022" s="79" t="n"/>
      <c r="M1022" s="79" t="n"/>
      <c r="N1022" s="79" t="n"/>
      <c r="O1022" s="79" t="n"/>
      <c r="P1022" s="79" t="n"/>
      <c r="Q1022" s="79" t="n"/>
      <c r="R1022" s="79" t="n"/>
      <c r="S1022" s="79" t="n"/>
      <c r="T1022" s="79" t="n"/>
      <c r="U1022" s="79" t="n"/>
      <c r="V1022" s="79" t="n"/>
      <c r="W1022" s="79" t="n"/>
      <c r="X1022" s="79" t="n"/>
      <c r="Y1022" s="79" t="n"/>
      <c r="Z1022" s="79" t="n"/>
    </row>
    <row r="1023">
      <c r="A1023" s="79" t="n"/>
      <c r="B1023" s="79" t="n"/>
      <c r="C1023" s="79" t="n"/>
      <c r="D1023" s="79" t="n"/>
      <c r="E1023" s="79" t="n"/>
      <c r="F1023" s="79" t="n"/>
      <c r="G1023" s="79" t="n"/>
      <c r="H1023" s="79" t="n"/>
      <c r="I1023" s="79" t="n"/>
      <c r="J1023" s="79" t="n"/>
      <c r="K1023" s="79" t="n"/>
      <c r="L1023" s="79" t="n"/>
      <c r="M1023" s="79" t="n"/>
      <c r="N1023" s="79" t="n"/>
      <c r="O1023" s="79" t="n"/>
      <c r="P1023" s="79" t="n"/>
      <c r="Q1023" s="79" t="n"/>
      <c r="R1023" s="79" t="n"/>
      <c r="S1023" s="79" t="n"/>
      <c r="T1023" s="79" t="n"/>
      <c r="U1023" s="79" t="n"/>
      <c r="V1023" s="79" t="n"/>
      <c r="W1023" s="79" t="n"/>
      <c r="X1023" s="79" t="n"/>
      <c r="Y1023" s="79" t="n"/>
      <c r="Z1023" s="79" t="n"/>
    </row>
    <row r="1024">
      <c r="A1024" s="79" t="n"/>
      <c r="B1024" s="79" t="n"/>
      <c r="C1024" s="79" t="n"/>
      <c r="D1024" s="79" t="n"/>
      <c r="E1024" s="79" t="n"/>
      <c r="F1024" s="79" t="n"/>
      <c r="G1024" s="79" t="n"/>
      <c r="H1024" s="79" t="n"/>
      <c r="I1024" s="79" t="n"/>
      <c r="J1024" s="79" t="n"/>
      <c r="K1024" s="79" t="n"/>
      <c r="L1024" s="79" t="n"/>
      <c r="M1024" s="79" t="n"/>
      <c r="N1024" s="79" t="n"/>
      <c r="O1024" s="79" t="n"/>
      <c r="P1024" s="79" t="n"/>
      <c r="Q1024" s="79" t="n"/>
      <c r="R1024" s="79" t="n"/>
      <c r="S1024" s="79" t="n"/>
      <c r="T1024" s="79" t="n"/>
      <c r="U1024" s="79" t="n"/>
      <c r="V1024" s="79" t="n"/>
      <c r="W1024" s="79" t="n"/>
      <c r="X1024" s="79" t="n"/>
      <c r="Y1024" s="79" t="n"/>
      <c r="Z1024" s="79" t="n"/>
    </row>
    <row r="1025">
      <c r="A1025" s="79" t="n"/>
      <c r="B1025" s="79" t="n"/>
      <c r="C1025" s="79" t="n"/>
      <c r="D1025" s="79" t="n"/>
      <c r="E1025" s="79" t="n"/>
      <c r="F1025" s="79" t="n"/>
      <c r="G1025" s="79" t="n"/>
      <c r="H1025" s="79" t="n"/>
      <c r="I1025" s="79" t="n"/>
      <c r="J1025" s="79" t="n"/>
      <c r="K1025" s="79" t="n"/>
      <c r="L1025" s="79" t="n"/>
      <c r="M1025" s="79" t="n"/>
      <c r="N1025" s="79" t="n"/>
      <c r="O1025" s="79" t="n"/>
      <c r="P1025" s="79" t="n"/>
      <c r="Q1025" s="79" t="n"/>
      <c r="R1025" s="79" t="n"/>
      <c r="S1025" s="79" t="n"/>
      <c r="T1025" s="79" t="n"/>
      <c r="U1025" s="79" t="n"/>
      <c r="V1025" s="79" t="n"/>
      <c r="W1025" s="79" t="n"/>
      <c r="X1025" s="79" t="n"/>
      <c r="Y1025" s="79" t="n"/>
      <c r="Z1025" s="79" t="n"/>
    </row>
    <row r="1026">
      <c r="A1026" s="79" t="n"/>
      <c r="B1026" s="79" t="n"/>
      <c r="C1026" s="79" t="n"/>
      <c r="D1026" s="79" t="n"/>
      <c r="E1026" s="79" t="n"/>
      <c r="F1026" s="79" t="n"/>
      <c r="G1026" s="79" t="n"/>
      <c r="H1026" s="79" t="n"/>
      <c r="I1026" s="79" t="n"/>
      <c r="J1026" s="79" t="n"/>
      <c r="K1026" s="79" t="n"/>
      <c r="L1026" s="79" t="n"/>
      <c r="M1026" s="79" t="n"/>
      <c r="N1026" s="79" t="n"/>
      <c r="O1026" s="79" t="n"/>
      <c r="P1026" s="79" t="n"/>
      <c r="Q1026" s="79" t="n"/>
      <c r="R1026" s="79" t="n"/>
      <c r="S1026" s="79" t="n"/>
      <c r="T1026" s="79" t="n"/>
      <c r="U1026" s="79" t="n"/>
      <c r="V1026" s="79" t="n"/>
      <c r="W1026" s="79" t="n"/>
      <c r="X1026" s="79" t="n"/>
      <c r="Y1026" s="79" t="n"/>
      <c r="Z1026" s="79" t="n"/>
    </row>
    <row r="1027">
      <c r="A1027" s="79" t="n"/>
      <c r="B1027" s="79" t="n"/>
      <c r="C1027" s="79" t="n"/>
      <c r="D1027" s="79" t="n"/>
      <c r="E1027" s="79" t="n"/>
      <c r="F1027" s="79" t="n"/>
      <c r="G1027" s="79" t="n"/>
      <c r="H1027" s="79" t="n"/>
      <c r="I1027" s="79" t="n"/>
      <c r="J1027" s="79" t="n"/>
      <c r="K1027" s="79" t="n"/>
      <c r="L1027" s="79" t="n"/>
      <c r="M1027" s="79" t="n"/>
      <c r="N1027" s="79" t="n"/>
      <c r="O1027" s="79" t="n"/>
      <c r="P1027" s="79" t="n"/>
      <c r="Q1027" s="79" t="n"/>
      <c r="R1027" s="79" t="n"/>
      <c r="S1027" s="79" t="n"/>
      <c r="T1027" s="79" t="n"/>
      <c r="U1027" s="79" t="n"/>
      <c r="V1027" s="79" t="n"/>
      <c r="W1027" s="79" t="n"/>
      <c r="X1027" s="79" t="n"/>
      <c r="Y1027" s="79" t="n"/>
      <c r="Z1027" s="79" t="n"/>
    </row>
    <row r="1028">
      <c r="A1028" s="79" t="n"/>
      <c r="B1028" s="79" t="n"/>
      <c r="C1028" s="79" t="n"/>
      <c r="D1028" s="79" t="n"/>
      <c r="E1028" s="79" t="n"/>
      <c r="F1028" s="79" t="n"/>
      <c r="G1028" s="79" t="n"/>
      <c r="H1028" s="79" t="n"/>
      <c r="I1028" s="79" t="n"/>
      <c r="J1028" s="79" t="n"/>
      <c r="K1028" s="79" t="n"/>
      <c r="L1028" s="79" t="n"/>
      <c r="M1028" s="79" t="n"/>
      <c r="N1028" s="79" t="n"/>
      <c r="O1028" s="79" t="n"/>
      <c r="P1028" s="79" t="n"/>
      <c r="Q1028" s="79" t="n"/>
      <c r="R1028" s="79" t="n"/>
      <c r="S1028" s="79" t="n"/>
      <c r="T1028" s="79" t="n"/>
      <c r="U1028" s="79" t="n"/>
      <c r="V1028" s="79" t="n"/>
      <c r="W1028" s="79" t="n"/>
      <c r="X1028" s="79" t="n"/>
      <c r="Y1028" s="79" t="n"/>
      <c r="Z1028" s="7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2026-05-22T13:42:30Z</dcterms:created>
  <dcterms:modified xsi:type="dcterms:W3CDTF">2026-05-22T13:42:31Z</dcterms:modified>
</cp:coreProperties>
</file>