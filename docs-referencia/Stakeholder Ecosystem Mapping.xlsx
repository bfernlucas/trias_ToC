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pivotCacheDefinition+xml" PartName="/xl/pivotCache/pivotCacheDefinition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5.xml"/>
  <Override ContentType="application/vnd.openxmlformats-officedocument.spreadsheetml.pivotTable+xml" PartName="/xl/pivotTables/pivotTable4.xml"/>
  <Override ContentType="application/vnd.openxmlformats-officedocument.spreadsheetml.pivotTable+xml" PartName="/xl/pivotTables/pivotTable1.xml"/>
  <Override ContentType="application/vnd.openxmlformats-officedocument.spreadsheetml.pivotTable+xml" PartName="/xl/pivotTables/pivotTable2.xml"/>
  <Override ContentType="application/vnd.openxmlformats-officedocument.spreadsheetml.pivotTable+xml" PartName="/xl/pivotTables/pivotTable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Painel" sheetId="1" r:id="rId5"/>
    <sheet state="visible" name="Stakeholder list" sheetId="2" r:id="rId6"/>
    <sheet state="hidden" name="Data_Looker" sheetId="3" r:id="rId7"/>
    <sheet state="hidden" name="Página11" sheetId="4" r:id="rId8"/>
    <sheet state="hidden" name="Bridge_Primary_Impact_Area" sheetId="5" r:id="rId9"/>
    <sheet state="hidden" name="Data_aluvial_Donnors" sheetId="6" r:id="rId10"/>
    <sheet state="hidden" name="Bridge_Primary_Biome" sheetId="7" r:id="rId11"/>
    <sheet state="hidden" name="Bride_Secondary_Biome" sheetId="8" r:id="rId12"/>
    <sheet state="hidden" name="Bridge_Role_Ecosystem" sheetId="9" r:id="rId13"/>
    <sheet state="visible" name="Classification" sheetId="10" r:id="rId14"/>
  </sheets>
  <definedNames>
    <definedName hidden="1" localSheetId="1" name="_xlnm._FilterDatabase">'Stakeholder list'!$A$6:$AF$366</definedName>
    <definedName hidden="1" localSheetId="2" name="_xlnm._FilterDatabase">Data_Looker!$A$1:$Q$340</definedName>
    <definedName hidden="1" localSheetId="4" name="_xlnm._FilterDatabase">Bridge_Primary_Impact_Area!$A$1:$B$562</definedName>
    <definedName hidden="1" localSheetId="7" name="_xlnm._FilterDatabase">Bride_Secondary_Biome!$A$1:$B$137</definedName>
  </definedNames>
  <calcPr/>
  <pivotCaches>
    <pivotCache cacheId="0" r:id="rId15"/>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tc={18eb6b97-1d7f-474d-86c9-8a66a255f741}</author>
    <author>tc={7973ec52-6012-4094-a379-acfb463822ac}</author>
    <author>tc={9ce1f1f8-cdf4-48f8-b599-3cdc6f7e52cb}</author>
    <author>tc={a27cdf83-37e8-47d0-b41e-6f60be2b82bd}</author>
    <author>tc={c3f89785-de83-4a73-8ae3-91075fc37c36}</author>
    <author>tc={d8a5b4ea-9569-49b1-bffd-dbca41d15cdf}</author>
    <author>tc={d983816e-5918-49c0-a8d0-c475935019e3}</author>
    <author>tc={e88accf4-851b-464e-b2a7-49b281fa2911}</author>
  </authors>
  <commentList>
    <comment authorId="0" xr:uid="{18eb6b97-1d7f-474d-86c9-8a66a255f741}" ref="A1">
      <text>
        <t xml:space="preserve">[Threaded comment]
 Your version of Excel allows you to read this threaded comment; however, any edits to it will get removed if the file is opened in a newer version of Excel. Learn more: https://go.microsoft.com/fwlink/?linkid=870924
Comment:
	Considero que aqui responde o seguinte: Mesmo não sendo o core da atuação, onde este ator gera efeitos sistêmicos relevantes?
Secondary impact area reflects relevant indirect, enabling, or spillover effects generated by the stakeholder’s action, beyond its primary nexus of intervention, particularly where such effects shape system-wide incentives, policies, or structural conditions.
Considera-se aqui: 
1. O impacto é estrutural
2. Atua como alavanca, lock-in ou desbloqueio
3. Ajuda a entender onde a filantropia pode entrar melhor
Critérios: 
☐ O stakeholder atua diretamente em mais de um setor?
☐ A atuação principal gera efeitos relevantes fora do seu core?
☐ Esses efeitos externos são estruturais e recorrentes (não pontuais)?
☐ O impacto ocorre porque o stakeholder atua como enabler, influenciador ou indutor sistêmico?
☐ É possível identificar claramente uma área onde esse impacto indireto se manifesta?
☐ Essa área é diferente do Nexus primário do stakeholder?
Regra de ouro – Secondary impact area
Só preencha a Secondary impact area quando o impacto indireto do stakeholder altera o funcionamento do sistema em outro setor — e não apenas o desempenho do setor onde ele atua.
</t>
      </text>
    </comment>
    <comment authorId="1" xr:uid="{7973ec52-6012-4094-a379-acfb463822ac}" ref="D6">
      <text>
        <t xml:space="preserve">[Threaded comment]
 Your version of Excel allows you to read this threaded comment; however, any edits to it will get removed if the file is opened in a newer version of Excel. Learn more: https://go.microsoft.com/fwlink/?linkid=870924
Comment:
	Academia
</t>
      </text>
    </comment>
    <comment authorId="2" xr:uid="{9ce1f1f8-cdf4-48f8-b599-3cdc6f7e52cb}" ref="J6">
      <text>
        <t xml:space="preserve">[Threaded comment]
 Your version of Excel allows you to read this threaded comment; however, any edits to it will get removed if the file is opened in a newer version of Excel. Learn more: https://go.microsoft.com/fwlink/?linkid=870924
Comment:
	Preencher até este campo (Lucas).
</t>
      </text>
    </comment>
    <comment authorId="3" xr:uid="{a27cdf83-37e8-47d0-b41e-6f60be2b82bd}" ref="G6">
      <text>
        <t xml:space="preserve">[Threaded comment]
 Your version of Excel allows you to read this threaded comment; however, any edits to it will get removed if the file is opened in a newer version of Excel. Learn more: https://go.microsoft.com/fwlink/?linkid=870924
Comment:
	Sugiro o seguinte critério (mas podemos lapidar/melhorar)
☐ A atuação do stakeholder é desenhada para influenciar políticas, mercados ou sistemas em escala país?
→ National
☐ O foco territorial está associado a uma macrorregião funcional (ex.: Nordeste, Amazônia Legal, bacias, corredores logísticos)?
→ Regional
☐ A atuação ocorre principalmente por meio de governos estaduais, agências ou políticas subnacionais?
→ State-level
☐ A implementação acontece majoritariamente em cidades, municípios ou territórios locais específicos?
→ Municipal / local
☐ O stakeholder opera de forma recorrente entre países, com fluxos internacionais de capital, conhecimento ou governança?
→ Cross-border / international
☐ Essa escala territorial é onde o impacto mais relevante do stakeholder se materializa (e não apenas onde ele tem presença formal)?
Regra de ouro (implícita no uso)
Escolher a escala onde a mudança acontece, não onde está o escritório.
</t>
      </text>
    </comment>
    <comment authorId="4" xr:uid="{c3f89785-de83-4a73-8ae3-91075fc37c36}" ref="H6">
      <text>
        <t xml:space="preserve">[Threaded comment]
 Your version of Excel allows you to read this threaded comment; however, any edits to it will get removed if the file is opened in a newer version of Excel. Learn more: https://go.microsoft.com/fwlink/?linkid=870924
Comment:
	ADICIONARIA (2º filtro) (como consequencia) as opcoes de selecao da seguinte forma: 
Estrutura (exemplo):
Nexus Primário: Energy x Buildings
Nexus Secundário: Energy x  Transport
Critérios: 
Checklist essencial (6 perguntas)
☐ A atuação do stakeholder gera impacto direto no uso final de energia neste nexus?
☐ É neste nexus que os principais resultados e benefícios se materializam?
☐ O stakeholder tem capacidade real de implementação aqui (projetos, políticas, ativos, delivery)?
☐ A atuação neste nexus é recorrente e estratégica, não pontual?
☐ O stakeholder assume riscos, trade-offs ou responsabilidades neste domínio?
☐ Se este nexus não avançar, o impacto esperado do stakeholder cai significativamente?
Regra de ouro – Definição do Nexus Primário
O Nexus Primário é aquele sem o qual o impacto sistêmico central do stakeholder simplesmente não acontece.
</t>
      </text>
    </comment>
    <comment authorId="5" xr:uid="{d8a5b4ea-9569-49b1-bffd-dbca41d15cdf}" ref="A1">
      <text>
        <t xml:space="preserve">[Threaded comment]
 Your version of Excel allows you to read this threaded comment; however, any edits to it will get removed if the file is opened in a newer version of Excel. Learn more: https://go.microsoft.com/fwlink/?linkid=870924
Comment:
	critério: 
low: 
medium:
high: alta conexão com projetos ou investimentos diretos nos biomas ou nos centros de influência
</t>
      </text>
    </comment>
    <comment authorId="6" xr:uid="{d983816e-5918-49c0-a8d0-c475935019e3}" ref="M6">
      <text>
        <t xml:space="preserve">[Threaded comment]
 Your version of Excel allows you to read this threaded comment; however, any edits to it will get removed if the file is opened in a newer version of Excel. Learn more: https://go.microsoft.com/fwlink/?linkid=870924
Comment:
	🔗 Position in the value chain (Coluna L) – critérios em 6 perguntas
☐ O stakeholder atua principalmente criando condições, insumos, regras, capital ou conhecimento antes da implementação?
→ Upstream
☐ Sua principal função é estruturar, intermediar, financiar, coordenar ou viabilizar a transição entre concepção e execução?
→ Midstream
☐ O stakeholder entrega, opera ou implementa soluções no território ou no uso final?
→ Downstream
☐ A atuação do stakeholder se concentra antes, durante ou depois da materialização do impacto no mundo real?
→ Upstream / Midstream / Downstream
☐ Onde o stakeholder assume maior responsabilidade operacional, reputacional ou de risco?
→ Indica a posição dominante
☐ Se este stakeholder saísse do sistema, em qual etapa da cadeia o fluxo de valor seria mais interrompido?
→ Define a posição final
🧠 Regra de ouro – Coluna L
Classifique o stakeholder pela etapa da cadeia onde sua ausência quebraria o fluxo de valor da transição.
</t>
      </text>
    </comment>
    <comment authorId="7" xr:uid="{e88accf4-851b-464e-b2a7-49b281fa2911}" ref="N6">
      <text>
        <t xml:space="preserve">[Threaded comment]
 Your version of Excel allows you to read this threaded comment; however, any edits to it will get removed if the file is opened in a newer version of Excel. Learn more: https://go.microsoft.com/fwlink/?linkid=870924
Comment:
	🤝 Potential partnership with IKF (Coluna M) – critérios em 6 perguntas
☐ A missão, valores e Theory of Change do stakeholder são claramente alinhados aos objetivos estratégicos da IKF?
(se não, parar aqui → Exploratory engagement)
☐ O stakeholder atua em nexuses e territórios prioritários para a IKF neste momento?
(se não, → Exploratory engagement ou Research partner)
☐ O stakeholder tem capacidade comprovada de entregar impacto sistêmico (escala, influência, track record)?
(se não, → Capacity building partner ou Grant recipient)
☐ Existe complementaridade clara entre o papel da IKF e o papel deste stakeholder?
(capital, convening power, conhecimento, risco)
☐ O tipo de parceria envolve apenas funding, ou inclui co-criação estratégica?
– Apenas funding → Grant recipient
– Co-criação → seguir
☐ O stakeholder está disposto e apto a compartilhar riscos, governança e aprendizado?
– Sim → Strategic / Co-funding / Blended finance / Coalition partner
– Não → Implementing / Policy dialogue / Research partner
🧠 Regra de ouro – Coluna M
Classifique o stakeholder pelo tipo de parceria que maximiza o impacto sistêmico para a IKF — não pelo tipo de relação mais confortável ou tradicional.
Ou, ainda mais direta:
Que tipo de parceria a IKF deveria priorizar com este ator para destravar mudança estrutural?
🔍 Guia rápido de correspondência (para evitar confusão)
Strategic partner → co-criação de agenda, alto alinhamento, longo prazo
Grant recipient → funding para execução específica
Co-funding partner → recursos financeiros compartilhados
Blended finance partner → alavancagem de capital público/privado
Implementing partner → entrega no território
Research &amp; knowledge partner → dados, análises, frameworks
Capacity building partner → fortalecimento institucional
Coalition partner → articulação multistakeholder
Policy dialogue partner → mudança regulatória / política
Exploratory engagement → relacionamen
</t>
      </text>
    </comment>
  </commentList>
</comments>
</file>

<file path=xl/sharedStrings.xml><?xml version="1.0" encoding="utf-8"?>
<sst xmlns="http://schemas.openxmlformats.org/spreadsheetml/2006/main" count="6812" uniqueCount="1659">
  <si>
    <t>Organization's sector</t>
  </si>
  <si>
    <t>Total</t>
  </si>
  <si>
    <t>%</t>
  </si>
  <si>
    <t>Primary impact area 
(sector of interest / Nexuses)</t>
  </si>
  <si>
    <t>Civil Society Organization (CSO)</t>
  </si>
  <si>
    <t>Funders</t>
  </si>
  <si>
    <t>"Land, Food and Forest"</t>
  </si>
  <si>
    <t>Others</t>
  </si>
  <si>
    <t>Buildings &amp; Transport</t>
  </si>
  <si>
    <t>Private sector</t>
  </si>
  <si>
    <t>Buildings &amp; Transport, "Land, Food and Forest"</t>
  </si>
  <si>
    <t>Public sector</t>
  </si>
  <si>
    <t>Buildings &amp; Transport, Emergency response</t>
  </si>
  <si>
    <t>Total geral</t>
  </si>
  <si>
    <t>Buildings &amp; Transport, Emergency response, Energy, "Land, Food and Forest"</t>
  </si>
  <si>
    <t>Buildings &amp; Transport, Energy</t>
  </si>
  <si>
    <t>Territorial focus
(national, region, city)</t>
  </si>
  <si>
    <t>Buildings &amp; Transport, Energy, "Land, Food and Forest"</t>
  </si>
  <si>
    <t>Cross-border / international</t>
  </si>
  <si>
    <t>Buildings &amp; Transport, Energy, "Land, Food and Forest", Emergency response</t>
  </si>
  <si>
    <t>National</t>
  </si>
  <si>
    <t>Emergency response</t>
  </si>
  <si>
    <t>Regional</t>
  </si>
  <si>
    <t>Emergency response, "Land, Food and Forest"</t>
  </si>
  <si>
    <t xml:space="preserve">Regional </t>
  </si>
  <si>
    <t>Emergency response, Energy, "Land, Food and Forest"</t>
  </si>
  <si>
    <t>State-level</t>
  </si>
  <si>
    <t>Energy</t>
  </si>
  <si>
    <t>Energy, "Land, Food and Forest"</t>
  </si>
  <si>
    <t xml:space="preserve">Primary Territory lens
(Biome) </t>
  </si>
  <si>
    <t>Type of organization</t>
  </si>
  <si>
    <t>Academia</t>
  </si>
  <si>
    <t>Amazonia</t>
  </si>
  <si>
    <t>Alliances</t>
  </si>
  <si>
    <t>Amazonia, Caatinga</t>
  </si>
  <si>
    <t xml:space="preserve">Alliances </t>
  </si>
  <si>
    <t>Amazonia, Caatinga, Cerrado</t>
  </si>
  <si>
    <t>Bilateral cooperation agencies</t>
  </si>
  <si>
    <t>Amazonia, Cerrado</t>
  </si>
  <si>
    <t>Commercial banks</t>
  </si>
  <si>
    <t>Caatinga</t>
  </si>
  <si>
    <t>Development banks</t>
  </si>
  <si>
    <t>Caatinga, Cerrado</t>
  </si>
  <si>
    <t>Federal Government</t>
  </si>
  <si>
    <t>Cerrado</t>
  </si>
  <si>
    <t>Grassroots networks</t>
  </si>
  <si>
    <t>Impact investors</t>
  </si>
  <si>
    <t>Industry platforms and sectoral initiatives</t>
  </si>
  <si>
    <t>Institutional Investors</t>
  </si>
  <si>
    <t>Local implementers</t>
  </si>
  <si>
    <t>Outputs:</t>
  </si>
  <si>
    <t>Monitoring, Evaluation, and Learning</t>
  </si>
  <si>
    <r>
      <rPr>
        <rFont val="Arial"/>
        <b/>
        <color theme="1"/>
      </rPr>
      <t xml:space="preserve">a) Perfil Setorial: </t>
    </r>
    <r>
      <rPr>
        <rFont val="Arial"/>
        <color theme="1"/>
      </rPr>
      <t xml:space="preserve"> predomínio do Terceiro Setor (65%), seguido pelo Privado (20%) e Público (11%), indicando um ecossistema movido por filantropia e cooperação técnica.
</t>
    </r>
    <r>
      <rPr>
        <rFont val="Arial"/>
        <b/>
        <color theme="1"/>
      </rPr>
      <t>b)</t>
    </r>
    <r>
      <rPr>
        <rFont val="Arial"/>
        <color theme="1"/>
      </rPr>
      <t xml:space="preserve"> </t>
    </r>
    <r>
      <rPr>
        <rFont val="Arial"/>
        <b/>
        <color theme="1"/>
      </rPr>
      <t>Natureza das Organizações:</t>
    </r>
    <r>
      <rPr>
        <rFont val="Arial"/>
        <color theme="1"/>
      </rPr>
      <t xml:space="preserve"> presença de Grantmakers e Think Tanks, sinalizando alta capacidade de financiamento e formulação de estratégias.
</t>
    </r>
    <r>
      <rPr>
        <rFont val="Arial"/>
        <b/>
        <color theme="1"/>
      </rPr>
      <t>c) Eixo Temático Central:</t>
    </r>
    <r>
      <rPr>
        <rFont val="Arial"/>
        <color theme="1"/>
      </rPr>
      <t xml:space="preserve"> O nexo "Land, Food and Forest" é a prioridade em +60% do mapa.
</t>
    </r>
    <r>
      <rPr>
        <rFont val="Arial"/>
        <b/>
        <color theme="1"/>
      </rPr>
      <t xml:space="preserve">d) Influência Secundária: </t>
    </r>
    <r>
      <rPr>
        <rFont val="Arial"/>
        <color theme="1"/>
      </rPr>
      <t xml:space="preserve">Building &amp; Transport emergem como áreas de suporte para a descarbonização das cadeias produtivas.
</t>
    </r>
    <r>
      <rPr>
        <rFont val="Arial"/>
        <b/>
        <color theme="1"/>
      </rPr>
      <t xml:space="preserve">e) Alcance Geográfico: </t>
    </r>
    <r>
      <rPr>
        <rFont val="Arial"/>
        <color theme="1"/>
      </rPr>
      <t xml:space="preserve">74% possuem atuação Nacional, com 18% de conexões Internacionais.
</t>
    </r>
    <r>
      <rPr>
        <rFont val="Arial"/>
        <b/>
        <color theme="1"/>
      </rPr>
      <t>f) Lente Territorial:</t>
    </r>
    <r>
      <rPr>
        <rFont val="Arial"/>
        <color theme="1"/>
      </rPr>
      <t xml:space="preserve"> a Amazônia é o bioma prioritário absoluto, seguido pelo Cerrado e Mata Atlântica; biomas como Pampa e Caatinga aparecem de forma periférica.</t>
    </r>
  </si>
  <si>
    <t>Multi-stakeholder initiatives</t>
  </si>
  <si>
    <t>Multilateral development banks (MDBs)</t>
  </si>
  <si>
    <t>Multilateral organizations</t>
  </si>
  <si>
    <t>Philanthropy foundations</t>
  </si>
  <si>
    <t>Private companies (large / leading)</t>
  </si>
  <si>
    <t>Private companies (SMEs / local enterprises)</t>
  </si>
  <si>
    <t>Public agencies and regulators</t>
  </si>
  <si>
    <t>Research centers</t>
  </si>
  <si>
    <t xml:space="preserve">Research centers </t>
  </si>
  <si>
    <t xml:space="preserve">Social moviments </t>
  </si>
  <si>
    <t>Think tanks</t>
  </si>
  <si>
    <t>Stakeholder Ecosystem Mapping</t>
  </si>
  <si>
    <r>
      <rPr>
        <rFont val="Calibri"/>
        <b/>
        <color rgb="FF000000"/>
      </rPr>
      <t xml:space="preserve">Project: </t>
    </r>
    <r>
      <rPr>
        <rFont val="Calibri"/>
        <b val="0"/>
        <color rgb="FF000000"/>
      </rPr>
      <t xml:space="preserve">Strategic ecosystem pre-assessment and stakeholders`mapping in Brazil </t>
    </r>
    <r>
      <rPr>
        <rFont val="Calibri"/>
        <b/>
        <color rgb="FF000000"/>
      </rPr>
      <t xml:space="preserve">
</t>
    </r>
  </si>
  <si>
    <t>Last update: 11/02/2026</t>
  </si>
  <si>
    <t>ID</t>
  </si>
  <si>
    <t xml:space="preserve">Stakeholder </t>
  </si>
  <si>
    <t>Description of organization &amp; contribution to systemic transition
(strategic focus)</t>
  </si>
  <si>
    <t xml:space="preserve">Secondary Territory lens
(Biome) </t>
  </si>
  <si>
    <t>Biome focus rationale (only when the organization has explicit project/action targeting by biome)</t>
  </si>
  <si>
    <t>Role within the ecosystem</t>
  </si>
  <si>
    <t>Position in the value chain</t>
  </si>
  <si>
    <t>Potential partnership with IKF</t>
  </si>
  <si>
    <t>Headquarters location</t>
  </si>
  <si>
    <t>Funding Role</t>
  </si>
  <si>
    <t>Contact 
(name, role and e-mail)</t>
  </si>
  <si>
    <t xml:space="preserve">Site / related links </t>
  </si>
  <si>
    <t>General notes / Refs</t>
  </si>
  <si>
    <t>MEL type / approach</t>
  </si>
  <si>
    <t>Instituto Ibirapitanga</t>
  </si>
  <si>
    <t>A grantmaking organization that supports organizations, movements, and collectives to drive structural transformations, with a focus on democracy/civic freedoms, racial equity, and agendas such as fair and sustainable food systems.</t>
  </si>
  <si>
    <t>Grantmaking is organized by themes such as democracy, racial equity and fair food systems, not by ecological territories. Funding can reach many regions, but biome targeting is not used as an allocation rule.</t>
  </si>
  <si>
    <t>Funder, Strategic partner</t>
  </si>
  <si>
    <t>Midstream</t>
  </si>
  <si>
    <t>Co-funding partner</t>
  </si>
  <si>
    <t>Rio de Janeiro, RJ, Brazil</t>
  </si>
  <si>
    <t>Donor</t>
  </si>
  <si>
    <t>André Degenszajn (Executive Director)</t>
  </si>
  <si>
    <t>https://ibirapitanga.org.br/</t>
  </si>
  <si>
    <t xml:space="preserve">Could be a relevant partner for co-funding efforts on food systems in the Amazon. </t>
  </si>
  <si>
    <t>—</t>
  </si>
  <si>
    <t>Instituto Serrapilheira</t>
  </si>
  <si>
    <t>A private, non-profit philanthropic institute that promotes science in Brazil; it funds research, training, and journalism/media initiatives to strengthen evidence-based public and private decision-making.</t>
  </si>
  <si>
    <t>Portfolio follows scientific fields, fellowships and science communication priorities. Projects may occur in different places, yet the institute does not manage programs using biomes as the operating unit.</t>
  </si>
  <si>
    <t>Funder, Technical assistance / research, Strategic partner</t>
  </si>
  <si>
    <t>Hugo Aguilaniu  (President)</t>
  </si>
  <si>
    <t>https://serrapilheira.org/</t>
  </si>
  <si>
    <t xml:space="preserve">Could be a relevant partner for co-funding efforts on science-based approaches, advocacy and communications   </t>
  </si>
  <si>
    <t>Fundo Brasileiro para a Biodiversidade (FUNBIO)</t>
  </si>
  <si>
    <t>A national, private, non-profit financial mechanism that mobilizes and manages resources for biodiversity conservation, supporting initiatives, projects, and financing arrangements in partnership with government, the private sector, and civil society.</t>
  </si>
  <si>
    <t>Mata&amp;Atlântica, Pantanal, Pampa, Coastal&amp;maritime</t>
  </si>
  <si>
    <t>Multi biome financial mechanism with recurring biodiversity pipelines in Amazonia and Cerrado. Other biomes appear through specific funds and projects, but with lower frequency in the core flow of managed initiatives.</t>
  </si>
  <si>
    <t>Funder, Capital provider / Financial intermediary</t>
  </si>
  <si>
    <t>Re-granter</t>
  </si>
  <si>
    <t>Rosa Lemos de Sá (Executive Director)</t>
  </si>
  <si>
    <t>https://www.funbio.org.br/</t>
  </si>
  <si>
    <t xml:space="preserve">Potential co-funding, strategic partner &amp; regranter to work in all Brazilan Biomes, with trackrecord as a financial mechanism to work on bioodiversituy, climate change and civil society stregnthening in all regions with a diverisity of national and international partenrs    </t>
  </si>
  <si>
    <t>Instituto Clima e Sociedade (iCS)</t>
  </si>
  <si>
    <t>A regranter organization that supports tackling climate change by funding agendas and actors capable of accelerating a just and effective transition to a low-carbon economy.</t>
  </si>
  <si>
    <t>Grantmaking frequently connects climate and land use priorities in Amazonia, Cerrado and Caatinga. Additional biomes are supported through partners and calls, but are not the main recurring anchors of the portfolio.</t>
  </si>
  <si>
    <t>Funder, Strategic partner, Convenor/enablers, Capital provider / Financial intermediary</t>
  </si>
  <si>
    <t>Upstream</t>
  </si>
  <si>
    <t>Strategic partner</t>
  </si>
  <si>
    <t>Maria Netto Schnider</t>
  </si>
  <si>
    <t>https://climaesociedade.org/</t>
  </si>
  <si>
    <t xml:space="preserve">Regrenter organization well posionetd in Brazil in different arenas to address climate change issues  </t>
  </si>
  <si>
    <t>Portfolio impact monitoring &amp; strategic evaluation of climate programs and climate finance</t>
  </si>
  <si>
    <t>Instituto Cultura, Comunicação e Incidência (ICCI)</t>
  </si>
  <si>
    <t>A non-profit regranting organization focused on strengthening strategic communication to advance climate, democracy, and justice agendas, creating social demand for public policy and impactful private action.</t>
  </si>
  <si>
    <t>Work is centered on strategic communication and policy influence rather than place based delivery. Campaign geography varies by agenda, so no stable biome delimitation is consistently observable.</t>
  </si>
  <si>
    <t>Project developer / Implementer, Policy influence / regulation</t>
  </si>
  <si>
    <t>Grant recipient</t>
  </si>
  <si>
    <t>Marco Kelson Kertzman</t>
  </si>
  <si>
    <t>https://www.iccibr.org/en/home</t>
  </si>
  <si>
    <t xml:space="preserve">A new player with great potential to advance climate change communication strategies in Brazil. </t>
  </si>
  <si>
    <t>Grupo de Institutos, Fundações e Empresas (GIFE)</t>
  </si>
  <si>
    <t>An association/platform within Brazil’s philanthropy and private social investment ecosystem; it convenes a network, produces knowledge, and strengthens institutional capacities for strategic and coordinated action.</t>
  </si>
  <si>
    <t>Acts as a philanthropy platform focused on standards, learning and capacity building. Its territorial reach depends on members and partners, making biome classification non essential for its operating model.</t>
  </si>
  <si>
    <t>Convenor/enablers</t>
  </si>
  <si>
    <t>São Paulo, SP, Brazil</t>
  </si>
  <si>
    <t>Grantee</t>
  </si>
  <si>
    <t>Carolla Matarazzo (Chairman)</t>
  </si>
  <si>
    <t>https://gife.org.br/</t>
  </si>
  <si>
    <t xml:space="preserve">The most relevant network of Philanthropies in Brazil. Could be a strategic partner to address IKF workin Brazil. </t>
  </si>
  <si>
    <t>Movimento Bem Maior (MBM)</t>
  </si>
  <si>
    <t>A philanthropic movement/network that connects donors, organizations, and partners for systemic transformation, promoting a culture of giving, active citizenship, and the strengthening of the third sector, specially philanthropies in Brazil.</t>
  </si>
  <si>
    <t>Network to mobilize giving and strengthen civil society across Brazil. Territorial footprint is partner driven and campaign driven, without a consistent program design structured by biome boundaries.</t>
  </si>
  <si>
    <t>Funder, Convenor/enablers</t>
  </si>
  <si>
    <t>Carolla Matarazzo (Executive Director)</t>
  </si>
  <si>
    <t>https://movimentobemmaior.org.br/</t>
  </si>
  <si>
    <t xml:space="preserve">A Philanthropy established 5 years ago by  9 business leaders to enhance the grant making space in Brazil. Looking foward to co-finance strategies with other philanthropies (national and international). Could be a strategic partner for IKF in Brazil.  </t>
  </si>
  <si>
    <t xml:space="preserve">Instituto Beija </t>
  </si>
  <si>
    <t>a social impact organization that promotes a positive impact in the philanthropic ecosystem by fostering creativity, innovation, and collaboration, together with the engagement of civil society, the private sector and the government to solve systemic problems</t>
  </si>
  <si>
    <t>NA</t>
  </si>
  <si>
    <t>Cristiane Sultani (Funder and Chairman)</t>
  </si>
  <si>
    <t>https://institutobeja.org/homepage/</t>
  </si>
  <si>
    <t>A recently established Philantropy, with a similar role of  Movoimento Bem Maior, to advance the givin culture in Brazil. Could be a relevant co-funder and strategic partner for IKF in Brazil.</t>
  </si>
  <si>
    <t>Open Society Foundations</t>
  </si>
  <si>
    <t>A global grantmaking philanthropic foundation focused on rights, equity, justice, democracy, and human rights; it supports organizations and initiatives in multiple countries with a focus on structural change.</t>
  </si>
  <si>
    <t>Global rights and democracy funder with broad country portfolios. In this mapping, Brazil support is not publicly organized in a way that allows a consistent biome based segmentation, but has a mention about impact in Amazon region.</t>
  </si>
  <si>
    <t>New York, NY, USA</t>
  </si>
  <si>
    <t>Pedro Abramovay (Vice-President)</t>
  </si>
  <si>
    <t>https://www.opensocietyfoundations.org/newsroom/a-open-society-na-america-latina-e-no-caribe/pt</t>
  </si>
  <si>
    <t>They have a strong presence in Brazil. Could be a strategic partner, specially to give inputs on strategy development, approaches and lessosn learned.</t>
  </si>
  <si>
    <t>Instituto Ethos</t>
  </si>
  <si>
    <t>A civil society organization network that mobilizes and supports companies toward socially responsible and sustainable management; it develops tools, indicators, and convening efforts to strengthen socio-environmental integrity and influence policy.</t>
  </si>
  <si>
    <t>Corporate integrity and sustainability work often engages high deforestation risk supply chains, making Amazonia the most recurrent reference. National advocacy and tools also apply beyond Amazonia, but not as a biome specific portfolio.</t>
  </si>
  <si>
    <t>Convenor/enablers, Policy influence / regulation</t>
  </si>
  <si>
    <t>Caio Magri (President)</t>
  </si>
  <si>
    <t>https://www.ethos.org.br/</t>
  </si>
  <si>
    <t>Together with GIFE (Philantropy network), Ethos was stablished in Brazil  as strong network to address social corporate responsability in the 90's. Would be interesting to talk to them to test their apetite to collaborate with IKF Impact Areas strategies.</t>
  </si>
  <si>
    <t>Instituto para o Desenvolvimento do Investimento Social (IDIS)</t>
  </si>
  <si>
    <t>A civil society organization that inspires, supports, and expands private social investment and its impact; it works through consulting/strategy, knowledge production, and strengthening the philanthropic ecosystem.</t>
  </si>
  <si>
    <t>Operates as a philanthropy and social investment advisor and ecosystem builder. Workstreams are instrument and strategy based, so biome delimitation is not a meaningful organizing lens.</t>
  </si>
  <si>
    <t>Technical assistance / research, Convenor/enablers</t>
  </si>
  <si>
    <t>Paula Jancso Fabiani</t>
  </si>
  <si>
    <t>https://www.idis.org.br/</t>
  </si>
  <si>
    <t>Provide services to develop civil society organizations in Brazil. Hosts and endowment fund to develop Philantropies in Brazil.</t>
  </si>
  <si>
    <t>Instituto Climate Ventures Brasil (Climate Ventures)</t>
  </si>
  <si>
    <t>A think-and-do tank that coordinates multi-stakeholder action and produces knowledge for systemic climate solutions; it connects actors (business, government, finance, and civil society) to accelerate a just transition and climate innovation.</t>
  </si>
  <si>
    <t>Coordinates climate solutions with strong land use and regional transition interfaces, often most salient in Amazonia, Cerrado and Caatinga. Other biomes enter through specific coalitions, not as the primary recurring focus.</t>
  </si>
  <si>
    <t>Convenor/enablers, Project developer / Implementer</t>
  </si>
  <si>
    <t>Daniel Contrucci &amp; Ricardo Gravnina (Co-Directors)</t>
  </si>
  <si>
    <t>https://www.climateventures.co/</t>
  </si>
  <si>
    <t>Could be an important grantee in the cosytem to address climate solutions in Brazil.</t>
  </si>
  <si>
    <t>The Climate Group</t>
  </si>
  <si>
    <t>An international non-profit organization that runs corporate initiatives and coalitions (e.g., in energy/transport/industry) to accelerate net-zero targets, acting as a secretariat for alliances and mobilizing sectoral commitments.</t>
  </si>
  <si>
    <t>Runs global corporate coalitions and sector commitments. Brazil engagement is typically framed by companies and policies, not by territorially delimited biome programs.</t>
  </si>
  <si>
    <t>Convenor/enablers, Strategic partner</t>
  </si>
  <si>
    <t>London, United Kingdom</t>
  </si>
  <si>
    <t>Champa Patel (Global Governance Director)</t>
  </si>
  <si>
    <t>https://www.theclimategroup.org/</t>
  </si>
  <si>
    <t>Potential partner. Intrested in working more in Brazil.</t>
  </si>
  <si>
    <t>Fundação Maria Cecilia Souto Vidigal</t>
  </si>
  <si>
    <t>A civil society organization focused on early childhood; it mobilizes leaders, supports governments and public policy, and produces evidence to reduce inequalities from the very beginning of life.</t>
  </si>
  <si>
    <t>Focuses on early childhood evidence and public policy adoption by states and municipalities. Implementation geography is administrative and service based, not ecosystem based.</t>
  </si>
  <si>
    <t>Mariana Luz (Executive Director)</t>
  </si>
  <si>
    <t>https://fundacaomariacecilia.org.br/</t>
  </si>
  <si>
    <t>Explore possibilities to be a partner. The largest endowment fund in Brazil.</t>
  </si>
  <si>
    <t>Fundação Tide Setúbal</t>
  </si>
  <si>
    <t>A foundation focused on social justice and the sustainable development of urban peripheries; it fosters initiatives and connects the state, research, and civil society to tackle socio-spatial inequalities and influence policy.</t>
  </si>
  <si>
    <t>Mata&amp;Atlântica</t>
  </si>
  <si>
    <t>Prioritizes urban peripheries and socio spatial inequality agendas. The operating territory is metropolitan and social, so biomes are not used to define programs.</t>
  </si>
  <si>
    <t>Funder, Territorial anchor</t>
  </si>
  <si>
    <t>Mariana Almeida (Executive Director)</t>
  </si>
  <si>
    <t>https://fundacaotidesetubal.org.br/</t>
  </si>
  <si>
    <t xml:space="preserve">Could be a co-funding partener in urban startegies in targeted cities (as SP), supporting vulnerable comunities. </t>
  </si>
  <si>
    <t>Fundação Arymax</t>
  </si>
  <si>
    <t>A philanthropic foundation (venture philanthropy) focused on productive inclusion, employability, and organizational strengthening; it supports scalable solutions and a culture of evaluation/effectiveness to expand social impact.</t>
  </si>
  <si>
    <t>Venture philanthropy for employability and productive inclusion, oriented to scalable solutions and organizational strengthening. No consistent biome targeting appears in how programs are selected or reported.</t>
  </si>
  <si>
    <t>Viviane Naigeborin (Executive Director)</t>
  </si>
  <si>
    <t>https://arymax.org.br/</t>
  </si>
  <si>
    <t xml:space="preserve">Potential co-funding partner in Social Impact Business (SIB) in Brazil. The org. Lead helped establishing policies and frameworks and is a reference on SIB in Brazil. </t>
  </si>
  <si>
    <t>Instituto Talanoa</t>
  </si>
  <si>
    <t>An independent think tank dedicated to climate policy in Brazil; it combines data, science, and dialogue to monitor, analyze, and influence public policy and climate governance, increasing transparency and decision quality.</t>
  </si>
  <si>
    <t>Produces climate governance analysis where Amazonia and Cerrado repeatedly dominate national debates on land use and NDC ambition. Other biomes are covered in broader policy discussion rather than dedicated biome programs.</t>
  </si>
  <si>
    <t>Technical assistance / research, Policy influence / regulation</t>
  </si>
  <si>
    <t>Brasília, DF, Brazil</t>
  </si>
  <si>
    <t>Natalie Unterstell</t>
  </si>
  <si>
    <t>https://institutotalanoa.org/</t>
  </si>
  <si>
    <t xml:space="preserve">A relevant thecnical partner in Brazil (policy, adaptation and mitigation) </t>
  </si>
  <si>
    <t>Climate policy monitoring, data-driven analysis and transparency of climate governance</t>
  </si>
  <si>
    <t>Instituto Alana</t>
  </si>
  <si>
    <t>A civil society organization focused on the rights of children and adolescents; it works through advocacy, communication, and partnerships to ensure priority for childhood and promote integral development with socio-environmental justice.</t>
  </si>
  <si>
    <t>Works on children and adolescent rights with advocacy and communication strategies. Actions are not designed around biome defined geographies.</t>
  </si>
  <si>
    <t>Funder, Policy influence / regulation, Strategic partner , Community legitimacy / proximate leadership</t>
  </si>
  <si>
    <t>Ana Lúcia Villela (President) &amp; Marcos Nisti (Vice-President)</t>
  </si>
  <si>
    <t>https://alana.org.br/</t>
  </si>
  <si>
    <t xml:space="preserve">Could be a co-finding partner on targeted audience. Works a lot in advocacy, campaigns and information foucesed on young generation) </t>
  </si>
  <si>
    <t>Itaúsa (Itaúsa S.A.)</t>
  </si>
  <si>
    <t>A publicly listed holding company; it invests in a portfolio of companies and can influence the transition through governance, ESG strategy, capital allocation, and engagement for sustainable development and positive impact.</t>
  </si>
  <si>
    <t>Influence is exercised through portfolio governance, ESG and capital allocation. No public strategy indicates biome specific territorial programming.</t>
  </si>
  <si>
    <t>Strategic partner, Capital provider / Financial intermediary</t>
  </si>
  <si>
    <t>Marcelo Furtado (Sustainable Head)</t>
  </si>
  <si>
    <t>https://www.itausa.com.br/</t>
  </si>
  <si>
    <t xml:space="preserve">Interested in the  climate change. Alredy finance a lot of different effort, hubs and networks. Could be a co-funding partner for IKF in Brazil.  </t>
  </si>
  <si>
    <t>Instituto Arapyaú</t>
  </si>
  <si>
    <t>A Brazilian philanthropic organization that fosters and incubates networks and structuring initiatives to promote fair, inclusive, and low-carbon development; it convenes public/private actors and civil society to advance systemic solutions in climate, nature, and the economy.</t>
  </si>
  <si>
    <t>Sustained territorial convening and networks are most visibly linked to Amazonia, with additional recurring work connected to Mata Atlântica agendas. The biome tagging reflects where long term coalitions and place based initiatives concentrate.</t>
  </si>
  <si>
    <t>Funder, Strategic partner, Territorial anchor</t>
  </si>
  <si>
    <t>Renata Piazzon (CEO)</t>
  </si>
  <si>
    <t>https://arapyau.org.br/</t>
  </si>
  <si>
    <t>Relevant partner to co-fund initiatives in teh Amazon. Also works a lot in terrritorial development in Bahia. Guilherme Leal's philanthropy (one of Natura's owner)</t>
  </si>
  <si>
    <t>Instituto Semeia</t>
  </si>
  <si>
    <t>A non-profit philanthropic organization focused on enhancing the sustainable socioeconomic development of parks and protected areas, supporting management models, partnerships, and knowledge for conservation and visitation.</t>
  </si>
  <si>
    <t>Parks and protected areas agenda spans multiple regions, with recurring relevance in Amazonia and Cerrado due to scale and pressure dynamics. Other biomes appear through specific protected area partnerships and knowledge products.</t>
  </si>
  <si>
    <t>Technical assistance / research, Project developer / Implementer, Funder</t>
  </si>
  <si>
    <t>Fernando Pieroni (Executive Director)</t>
  </si>
  <si>
    <t>https://semeia.org.br/</t>
  </si>
  <si>
    <t>Interesting partner to understand and potentially co-fund strategies to address Public and Private Prtnerships (PPPs) in IKF impact areas. Perdo Passos' philanthropy (one of Natura's owner).</t>
  </si>
  <si>
    <t>The David and Lucile Packard Foundation</t>
  </si>
  <si>
    <t>An international grantmaking philanthropic foundation that funds agendas such as conservation/restoration of natural systems, climate, and community strengthening; it supports organizations and coalitions for structural, evidence-based change.</t>
  </si>
  <si>
    <t>International grantmaker with broad environment and community portfolios. This list does not provide a stable Brazil facing biome structured program line to classify.</t>
  </si>
  <si>
    <t>Los Altos, CA, USA</t>
  </si>
  <si>
    <t>https://www.packard.org/</t>
  </si>
  <si>
    <t xml:space="preserve">Potential partner in Brazil. Explore a range of sustainable territorial development  approaches and lessons lerned funding initiatives in Brazil. </t>
  </si>
  <si>
    <t>Alcoa</t>
  </si>
  <si>
    <t>A global company in the aluminum sector (bauxite, alumina, and aluminum); it contributes to the transition through industrial decarbonization, ESG standards, traceability, and engagement with supply chains and the territories where it operates.</t>
  </si>
  <si>
    <t>Coastal&amp;maritime</t>
  </si>
  <si>
    <t>Operational footprint and risk management are most consistently associated with Amazonia. Coastal maritime appears as a secondary interface through logistics and export corridors rather than a dedicated conservation program.</t>
  </si>
  <si>
    <t>Strategic partner, Implementation capacity (delivery)</t>
  </si>
  <si>
    <t>Downstream</t>
  </si>
  <si>
    <t>Pittsburgh, PA, USA</t>
  </si>
  <si>
    <t>https://www.alcoa.com/brasil/pt</t>
  </si>
  <si>
    <t xml:space="preserve">Could be a potential co-funding partner in targeted geographies, linkes to IKF impact areas. </t>
  </si>
  <si>
    <t>Norsk Hydro ASA (Hydro)</t>
  </si>
  <si>
    <t>A global leader in aluminum and renewable energy; it can drive the transition through circular economy practices, emissions reductions, materials innovation, socio-environmental governance, and investment in low-carbon value chains.</t>
  </si>
  <si>
    <t>Industrial and mining assets create a strong linkage to Amazonia. Coastal maritime is included as a secondary lens due to transport and port logistics interfaces that shape impacts and mitigation needs.</t>
  </si>
  <si>
    <t>Oslo, Norway</t>
  </si>
  <si>
    <t>https://www.hydro.com/br</t>
  </si>
  <si>
    <t>Instituto Socioambiental (ISA)</t>
  </si>
  <si>
    <t>A Brazilian NGO (OSCIP) that defends the rights and territories of Indigenous Peoples and traditional communities and protects socio-environmental heritage; it contributes through advocacy, monitoring, and integrated solutions for conservation and socio-environmental justice.</t>
  </si>
  <si>
    <t>Long running rights and territorial governance work is strongly anchored in Amazonia. A secondary linkage to Mata Atlântica reflects additional initiatives and advocacy connected to that biome domain.</t>
  </si>
  <si>
    <t>Project developer / Implementer, Community legitimacy / proximate leadership</t>
  </si>
  <si>
    <t>Implementing partner</t>
  </si>
  <si>
    <t>Adriana Ramos (Policy Director)</t>
  </si>
  <si>
    <t>The Nature Conservancy Brasil (TNC Brasil)</t>
  </si>
  <si>
    <t>A science-based international conservation NGO; it develops local solutions to protect land and water, restore ecosystems, and design financing/arrangements for conservation, connecting the public and private sectors and communities.</t>
  </si>
  <si>
    <t>Mata&amp;Atlântica, Coastal&amp;maritime</t>
  </si>
  <si>
    <t>Territorial programs and partnerships are most robust in Amazonia and Cerrado. Mata Atlântica and Coastal maritime appear through complementary water, restoration and coastal linked initiatives.</t>
  </si>
  <si>
    <t>Strategic partner, Project developer / Implementer</t>
  </si>
  <si>
    <t>Arlington, VA, USA</t>
  </si>
  <si>
    <t>Conservação Internacional Brasil (CI-Brasil)</t>
  </si>
  <si>
    <t>A conservation NGO that works with nature-based solutions, science, and partnerships to protect biodiversity and promote human well-being; it operates through field projects, policy work, and coalitions.</t>
  </si>
  <si>
    <t>Multi biome conservation portfolio with recurring emphasis on Amazonia and Cerrado. Mata Atlântica and Coastal maritime show up through specific projects and themes rather than being the main program anchors.</t>
  </si>
  <si>
    <t>WWF-Brasil</t>
  </si>
  <si>
    <t>A Brazilian NGO dedicated to conserving life and promoting a future in which society and nature live in harmony; it contributes through advocacy, projects, social mobilization, and influence on supply chains and public policy.</t>
  </si>
  <si>
    <t>Pantanal, Mata&amp;Atlântica</t>
  </si>
  <si>
    <t>High visibility campaigns and projects frequently center on Amazonia and Cerrado. Pantanal and Mata Atlântica remain relevant through water, biodiversity and climate risk agendas in a secondary layer.</t>
  </si>
  <si>
    <t>Strategic partner, Project developer / Implementer, Policy influence / regulation</t>
  </si>
  <si>
    <t>WRI Brasil</t>
  </si>
  <si>
    <t>A non-profit applied research and convening institution that turns evidence into action on climate, forests, cities, and land use; it supports public policy, planning, and implementation of low-carbon solutions through multi-stakeholder partnerships.</t>
  </si>
  <si>
    <t>Evidence to action work often focuses on land use and transition challenges most salient in Amazonia, Cerrado and Caatinga. Mata Atlântica appears through cities, infrastructure and policy work that intersects that biome footprint.</t>
  </si>
  <si>
    <t>Strategic partner, Technical assistance / research, Policy influence / regulation</t>
  </si>
  <si>
    <t>Evidence-based research, data platforms and evaluation of climate and land-use policies</t>
  </si>
  <si>
    <t>Fundação SOS Mata Atlântica</t>
  </si>
  <si>
    <t>A Brazilian environmental NGO whose mission is to inspire society to defend the Atlantic Forest; it works through monitoring, studies, demonstration projects, communication, and advocacy in public policy and territorial governance.</t>
  </si>
  <si>
    <t>Mission, monitoring and advocacy are explicitly dedicated to Mata Atlântica. This single biome focus is consistent across programs and public positioning.</t>
  </si>
  <si>
    <t>Policy influence / regulation, Implementation capacity (delivery)</t>
  </si>
  <si>
    <t>Environmental monitoring of Atlantic Forest; deforestation tracking and advocacy indicators</t>
  </si>
  <si>
    <t>Empresa Brasileira de Pesquisa Agropecuária (Embrapa)</t>
  </si>
  <si>
    <t>A federal public company for agricultural R&amp;D; it contributes to systemic transition through innovation and technology diffusion for sustainable agriculture, climate adaptation, productivity, and reduced environmental impacts.</t>
  </si>
  <si>
    <t>National agricultural research network with core innovation and adaptation agendas strongly present in Cerrado, Caatinga and Amazonia. Other biomes are covered institutionally but are less central in the most recurrent transition narratives.</t>
  </si>
  <si>
    <t>Technical assistance / research, Territorial anchor</t>
  </si>
  <si>
    <t>Sistema S</t>
  </si>
  <si>
    <t>A set of entities providing vocational training and public-interest services (e.g., SENAI, SESI, SESC, SENAC, etc.) financed through sectoral contributions; it contributes to the transition through training, reskilling, and innovation for work and productivity in strategic sectors.</t>
  </si>
  <si>
    <t>Delivery model is based on training networks, sectoral services and local units. Programs are not defined by biomes, so biome tagging is not operationally meaningful.</t>
  </si>
  <si>
    <t>Implementation capacity (delivery), Technical assistance / research</t>
  </si>
  <si>
    <t>Instituto Brasileiro do Meio Ambiente e dos Recursos Naturais Renováveis (Ibama)</t>
  </si>
  <si>
    <t>A federal agency responsible for environmental enforcement and control; it contributes to systemic transition through regulation, licensing, monitoring, combating environmental crimes, and inducing socio-environmental compliance.</t>
  </si>
  <si>
    <t>National enforcement and licensing mandate covers all biomes, but pressure hotspots make Amazonia, Cerrado and Caatinga the most recurrent references. Remaining biomes are still within scope, yet not a distinctive program delimitation.</t>
  </si>
  <si>
    <t>Policy influence / regulation, Territorial anchor</t>
  </si>
  <si>
    <t>Instituto Chico Mendes de Conservação da Biodiversidade (ICMBio)</t>
  </si>
  <si>
    <t>A federal agency responsible for managing and overseeing federal protected areas; it contributes through biodiversity protection, restoration, protected-area management, and implementation of conservation policies.</t>
  </si>
  <si>
    <t>Manages federal protected areas across all biomes by mandate. The primary tags reflect where protected area scale and conflict pressures are most pronounced, while other biomes remain part of nationwide coverage.</t>
  </si>
  <si>
    <t>Instituto do Homem e Meio Ambiente da Amazônia (Imazon)</t>
  </si>
  <si>
    <t>A non-profit scientific institution that produces research and solutions for forest conservation and socio-environmental development in the Amazon; it works with data, monitoring, policy evaluation, and projects.</t>
  </si>
  <si>
    <t>Research and monitoring are explicitly focused on Amazonia forest dynamics and governance. There is no recurring second biome portfolio line in the institute core work.</t>
  </si>
  <si>
    <t>Technical assistance / research, Data / MRV / platforms</t>
  </si>
  <si>
    <t>Belém, PA, Brazil</t>
  </si>
  <si>
    <t>Amazon deforestation monitoring, MRV data systems and policy evaluation (PRODES/SAD)</t>
  </si>
  <si>
    <t>Fundação Amazonas Sustentável (FAS)</t>
  </si>
  <si>
    <t>A non-profit civil society organization working for sustainable development in the Amazon through community programs and multi-stakeholder partnerships; it contributes to the transition through conservation combined with productive inclusion and territorial strengthening.</t>
  </si>
  <si>
    <t>Community based conservation and livelihoods programs are designed for Amazonia territories. Territorial focus is stable and central to the operating model.</t>
  </si>
  <si>
    <t>Project developer / Implementer, Territorial anchor</t>
  </si>
  <si>
    <t>Manaus, AM, Brazil</t>
  </si>
  <si>
    <t>Instituto de Manejo e Certificação Florestal e Agrícola (Imaflora)</t>
  </si>
  <si>
    <t>A non-profit civil association that promotes change in the agricultural and forestry sectors; it works with certifications, technical assistance, projects, and market/policy mechanisms for sustainable land use and emissions reduction.</t>
  </si>
  <si>
    <t>Mata&amp;Atlântica, Pampa</t>
  </si>
  <si>
    <t>Certification and technical assistance in forest and agricultural supply chains are most recurrent in Amazonia and Cerrado, with added relevance in Caatinga through land use and production systems. Mata Atlântica and Pampa appear through specific chains and operating footprints.</t>
  </si>
  <si>
    <t>Piracicaba, SP, Brazil</t>
  </si>
  <si>
    <t>Carbon monitoring, socio-environmental certification and MRV for agricultural/forest supply chains</t>
  </si>
  <si>
    <t>Fundação Roberto Marinho</t>
  </si>
  <si>
    <t>A private foundation that runs projects in education, culture, heritage, and the environment; it contributes to the transition through educational innovation, communication/engagement, and capacity building for sustainable development.</t>
  </si>
  <si>
    <t>Portfolio is broad and partnership driven across education and culture, with variable environmental projects. No stable biome based program boundary is consistently identifiable from this entry.</t>
  </si>
  <si>
    <t>Convenor/enablers, Implementation capacity (delivery)</t>
  </si>
  <si>
    <t>João Alegria (CEO)</t>
  </si>
  <si>
    <t>https://www.frm.org.br/</t>
  </si>
  <si>
    <t>Could be a relevant partner to work on capacity building of vulnerable communities in Brazil.  They Work  in the whole country. Great capilarity</t>
  </si>
  <si>
    <t>Instituto de Pesquisa Econômica Aplicada (Ipea)</t>
  </si>
  <si>
    <t>A federal public research foundation that provides technical support for the formulation and evaluation of public policies; it contributes through evidence, indicators, and economic analysis to design and improve transition and development agendas.</t>
  </si>
  <si>
    <t>Produces national policy research, indicators and evaluation with sector based framing. Biomes are not used as the primary unit to organize outputs or operations.</t>
  </si>
  <si>
    <t>Public policy evaluation, socioeconomic indicators and evidence for low-carbon transitions</t>
  </si>
  <si>
    <t>Escola Nacional de Administração Pública (ENAP)</t>
  </si>
  <si>
    <t>Federal school of government that trains civil servants, promotes innovation in public management, and strengthens state capacity for policy design, implementation, and evaluation.</t>
  </si>
  <si>
    <t>Civil service training and innovation in public management are national and institution focused. Territorial framing follows government levels, not biome ecosystems.</t>
  </si>
  <si>
    <t>Instituto Serzedello Corrêa (ISC/TCU)</t>
  </si>
  <si>
    <t>TCU’s training and knowledge institute focused on improving public governance, accountability, integrity, and oversight through education, research, and dissemination of best practices.</t>
  </si>
  <si>
    <t>Strengthens governance and oversight through training and knowledge products. Work is transversal and not organized as place based biome initiatives.</t>
  </si>
  <si>
    <t>Vale S.A.</t>
  </si>
  <si>
    <t>Global mining company; can influence systemic transition through responsible mining, decarbonization targets, supply-chain standards, territorial development investments, and stronger ESG governance.</t>
  </si>
  <si>
    <t>Operational presence and risk exposure are significant in Amazonia and Cerrado, with additional material interfaces in Mata Atlântica states. Biome tagging reflects where footprint and supply chain dynamics concentrate.</t>
  </si>
  <si>
    <t>Suzano S.A.</t>
  </si>
  <si>
    <t>Leading pulp and paper company; contributes via sustainable forestry, restoration and bioeconomy pathways, low-carbon product innovation, and responsible value chains.</t>
  </si>
  <si>
    <t>Forestry and industrial landscapes connect strongly to Cerrado and Amazonia, with a sustained linkage to Mata Atlântica domains through assets and restoration agendas. The tags follow managed landscape concentration and reporting focus.</t>
  </si>
  <si>
    <t>Banco da Amazônia S.A. (BASA)</t>
  </si>
  <si>
    <t>Federal regional development bank focused on the Amazon; mobilizes credit and financial instruments for sustainable development, bioeconomy value chains, productive inclusion, and low-carbon land-use solutions.</t>
  </si>
  <si>
    <t>Institutional mandate and financial instruments are oriented to Amazonia development and bioeconomy. This creates a clear single biome anchor for territorial focus.</t>
  </si>
  <si>
    <t>Capital provider / Financial intermediary, Territorial anchor</t>
  </si>
  <si>
    <t>Instituto de Conservação e Desenvolvimento Sustentável da Amazônia (IDESAM)</t>
  </si>
  <si>
    <t>Amazon-based NGO advancing conservation and sustainable development through territorial projects, sustainable value chains, and climate solutions (including finance mechanisms where applicable).</t>
  </si>
  <si>
    <t>Projects and value chains are consistently rooted in Amazonia territories and forest positive development. The organization identity and program design are explicitly Amazon focused.</t>
  </si>
  <si>
    <t>Project developer / Implementer, Technical assistance / research</t>
  </si>
  <si>
    <t>Paola Bleicker (Executive Director)</t>
  </si>
  <si>
    <t>https://idesam.org/</t>
  </si>
  <si>
    <t>Relevant SIB partner in the Amazon.</t>
  </si>
  <si>
    <t>Sitawi Finanças do Bem</t>
  </si>
  <si>
    <t>Nonprofit that structures and manages impact finance mechanisms (e.g., funds, blended finance, governance of philanthropic/impact resources), connecting capital to measurable socio-environmental outcomes.</t>
  </si>
  <si>
    <t>Structures impact finance and governance mechanisms across themes and sectors. Geographic reach depends on deals and partners, so no stable biome specific allocation logic is evident.</t>
  </si>
  <si>
    <t>Capital provider / Financial intermediary, Project developer / Implementer</t>
  </si>
  <si>
    <t>Din4mo</t>
  </si>
  <si>
    <t>Impact investor/venture builder that mobilizes capital and supports impact ventures with strategy and investment, helping scale solutions aligned with inclusive and low-carbon development.</t>
  </si>
  <si>
    <t>Invests and builds ventures by impact thesis and market opportunity across Brazil. Portfolio is not disclosed as a biome delimited strategy.</t>
  </si>
  <si>
    <t>Capital provider / Financial intermediary</t>
  </si>
  <si>
    <t>Artemisia</t>
  </si>
  <si>
    <t>Nonprofit accelerator and ecosystem builder for impact businesses in Brazil; strengthens entrepreneurs and scalable models that address inequality and socio-environmental challenges.</t>
  </si>
  <si>
    <t>Accelerates impact businesses through programs and networks, mostly organized by target population and business model. It does not consistently categorize its work by biome.</t>
  </si>
  <si>
    <t>Priscila Martins (Co-Director)</t>
  </si>
  <si>
    <t>https://artemisia.org.br/</t>
  </si>
  <si>
    <t xml:space="preserve">Great partner to implement SIB strategies in Brazil. </t>
  </si>
  <si>
    <t>Instituto de Cidadania Empresarial (ICE)</t>
  </si>
  <si>
    <t>Civil society organization that convenes business leaders and partners to foster corporate citizenship, social innovation, and multi-stakeholder collaboration for systemic change.</t>
  </si>
  <si>
    <t>Convening and corporate citizenship work is agenda and network driven. It is not implemented through territorially bounded biome programs.</t>
  </si>
  <si>
    <t>Convenor/enablers, Technical assistance / research</t>
  </si>
  <si>
    <t xml:space="preserve">Carla Duprat (Execiutive Director) </t>
  </si>
  <si>
    <t>https://ice.org.br/</t>
  </si>
  <si>
    <t>Relevant partner in the SIB arena in Brazil.</t>
  </si>
  <si>
    <t>Impact Hub Network</t>
  </si>
  <si>
    <t>Global network of impact innovation hubs (coworking + programs) that supports entrepreneurship, collaboration, and the scaling of socio-environmental solutions.</t>
  </si>
  <si>
    <t>Global innovation hub network with local ecosystem programming. Biomes are not used as the unit of action, since operations are city and community based.</t>
  </si>
  <si>
    <t>Vienna, Austria</t>
  </si>
  <si>
    <t>Instituto Conexões Sustentáveis (Conexsus)</t>
  </si>
  <si>
    <t>Nonprofit that accelerates sustainable community-based enterprises, connecting cooperatives/associations to markets and finance to strengthen territorial resilience and the low-carbon transition.</t>
  </si>
  <si>
    <t>Community enterprise acceleration is strongly present in Amazonia, Cerrado and Caatinga through socio biodiversity value chains and territorial businesses. Mata Atlântica and Pampa appear as secondary through additional regional networks and projects.</t>
  </si>
  <si>
    <t>Capital provider / Financial intermediary, Implementation capacity (delivery)</t>
  </si>
  <si>
    <t>Fabíola Zerbini (Executive Director)</t>
  </si>
  <si>
    <t>https://www.conexsus.org/</t>
  </si>
  <si>
    <t>Relevant implementing partner for SIB in the Amazon.</t>
  </si>
  <si>
    <t>Pipe.Social</t>
  </si>
  <si>
    <t>Platform that maps and connects impact businesses with investors, corporations, and partners; facilitates matchmaking and programs to scale impact solutions.</t>
  </si>
  <si>
    <t>Matchmaking platform for impact ventures and investors, organized by sectors and portfolios. No consistent biome delimited implementation layer is observable.</t>
  </si>
  <si>
    <t>Data / MRV / platforms, Convenor/enablers</t>
  </si>
  <si>
    <t>Blended finance partner</t>
  </si>
  <si>
    <t xml:space="preserve">Mariana Fonseca (Director) </t>
  </si>
  <si>
    <t>https://pipe.social/</t>
  </si>
  <si>
    <t xml:space="preserve">Relevant SIB finance plataform. </t>
  </si>
  <si>
    <t>Yunus Negócios Sociais (Brasil)</t>
  </si>
  <si>
    <t>Organization that supports and finances social businesses, connecting entrepreneurs to capital, networks, and corporate innovation to scale solutions that reduce inequality and generate socio-environmental impact.</t>
  </si>
  <si>
    <t>Supports social businesses via investment readiness, capital and partnerships. The territorial footprint is opportunity driven and not structured by biomes as a program boundary.</t>
  </si>
  <si>
    <t>Wiesbaden, Germany</t>
  </si>
  <si>
    <t>Walter Campos is the General Manager</t>
  </si>
  <si>
    <t>https://yunusns.com/</t>
  </si>
  <si>
    <t>Strategic and potential partner for SIB in Brazil.</t>
  </si>
  <si>
    <t>Instituto C&amp;A</t>
  </si>
  <si>
    <t>C&amp;A’s social investment institute in Brazil; mobilizes partners and programs to strengthen communities through inclusion and opportunity pathways, supporting broader equitable development.</t>
  </si>
  <si>
    <t>Corporate social investment focused on inclusion and opportunities, implemented through partners and programs. It does not present a consistent biome targeted approach in this mapping.</t>
  </si>
  <si>
    <t>Barueri, SP, Brazil</t>
  </si>
  <si>
    <t>Lundin Foundation</t>
  </si>
  <si>
    <t>Nonprofit foundation that supports inclusive economic development and community benefit initiatives, often in partnership with local stakeholders and the private sector.</t>
  </si>
  <si>
    <t>International foundation with broad inclusive development work. This entry does not provide a stable Brazil facing biome structured program set to classify.</t>
  </si>
  <si>
    <t>Vancouver, BC, Canada</t>
  </si>
  <si>
    <t>https://www.lundinfoundation.org/</t>
  </si>
  <si>
    <t>Aliança Empreendedora</t>
  </si>
  <si>
    <t>NGO that supports micro and small entrepreneurs in vulnerable contexts through training, networks, and market access—strengthening inclusive local economies and productive inclusion.</t>
  </si>
  <si>
    <t>Works with micro and small entrepreneurs through training and market access in vulnerable contexts. Territorial reach is defined by communities and cities, not by biome ecosystems.</t>
  </si>
  <si>
    <t>Implementation capacity (delivery)</t>
  </si>
  <si>
    <t>Curitiba, PR, Brazil</t>
  </si>
  <si>
    <t>Carolina Borghesi (VP)</t>
  </si>
  <si>
    <t>https://institutocea.org.br/</t>
  </si>
  <si>
    <t>Could be an important co-funding parter in assignes supply chain for IKF targeted geographies.</t>
  </si>
  <si>
    <t>Omidyar Network</t>
  </si>
  <si>
    <t>Philanthropic investment organization combining grants and investments to expand shared prosperity and opportunity, often backing initiatives that strengthen inclusion, institutions, and responsible technology.</t>
  </si>
  <si>
    <t>Combines grants and investments globally to expand inclusion and strong institutions. In this dataset, a consistent Brazil biome based segmentation is not documented for classification.</t>
  </si>
  <si>
    <t>Redwood City, CA, USA</t>
  </si>
  <si>
    <t>Fundação Grupo Boticário de Proteção à Natureza</t>
  </si>
  <si>
    <t>Nonprofit foundation maintained by the Boticário Group that funds and advances biodiversity conservation, protected areas, restoration, and nature-positive agendas (including water security and regenerative economy pathways).</t>
  </si>
  <si>
    <t>Flagship conservation and restoration initiatives maintain clear linkages to Cerrado and Mata Atlântica. The tags reflect where long term reserves, partnerships and public programs are most explicitly concentrated.</t>
  </si>
  <si>
    <t>Funder, Project developer / Implementer</t>
  </si>
  <si>
    <t xml:space="preserve">Malu Nunes (Executive Director) </t>
  </si>
  <si>
    <t>https://fundacaogrupoboticario.org.br/</t>
  </si>
  <si>
    <t>Could be an important co-funding partenr for IKF in Brazil.</t>
  </si>
  <si>
    <t>Natura</t>
  </si>
  <si>
    <t>Consumer goods company with strong commitments to sustainability; can drive systemic transition through responsible sourcing (including sociobiodiversity), circular economy practices, low-carbon innovation, and influence across value chains.</t>
  </si>
  <si>
    <t>Mata&amp;Atlântica, Pampa, Pantanal</t>
  </si>
  <si>
    <t>Sociobiodiversity sourcing and forest positive supply chains create a strong anchor in Amazonia, with important interfaces in Cerrado. Other biomes are part of corporate reach, but are less consistently presented as core territorial program lines.</t>
  </si>
  <si>
    <t>Cajamar, SP, Brazil</t>
  </si>
  <si>
    <t>https://www.natura.com.br/</t>
  </si>
  <si>
    <t>Programa das Nações Unidas para o Desenvolvimento (PNUD)</t>
  </si>
  <si>
    <t>UN development agency that provides technical cooperation, program implementation support, and policy assistance aligned with the SDGs (governance, inclusion, poverty reduction, and climate resilience).</t>
  </si>
  <si>
    <t>Cooperation is organized by SDG programs and government counterparts, with implementation varying by project. This entry does not show a stable biome specific portfolio structure to apply systematically.</t>
  </si>
  <si>
    <t>Strategic partner, Convenor/enablers, Project developer / Implementer</t>
  </si>
  <si>
    <t xml:space="preserve">Luciana Aguiar (Country Program Director) </t>
  </si>
  <si>
    <t>https://www.undp.org/pt/brazil</t>
  </si>
  <si>
    <t>Strategic partner for IKF impact areas and biomes.</t>
  </si>
  <si>
    <t>Centro de Empreendedorismo da Amazônia (CEA)</t>
  </si>
  <si>
    <t>Platform that strengthens entrepreneurship and the bioeconomy in the Amazon by offering capacity building, ecosystem convening, and connections to markets and investors for sustainable businesses.</t>
  </si>
  <si>
    <t>It operated explicitly as an Amazon-region platform and delivered bioeconomy/entrepreneurship support anchored in Amazonia.</t>
  </si>
  <si>
    <t>Technical assistance / research, Implementation capacity (delivery)</t>
  </si>
  <si>
    <t>Raphael Medeiros (Executive Director)</t>
  </si>
  <si>
    <t>https://centroamazonia.org.br/</t>
  </si>
  <si>
    <t>Relevant implementing org addressing SIB in the Amazon.</t>
  </si>
  <si>
    <t>Manioca</t>
  </si>
  <si>
    <t>Impact-oriented food brand that works with Amazon-linked supply chains; contributes through fairer sourcing, product innovation, and strengthening local producers and sustainable value chains.</t>
  </si>
  <si>
    <t>It used Amazon-linked supply chains and supported producers connected to the Amazonia biome.</t>
  </si>
  <si>
    <t>https://sistemabbrasil.org/empresas-b</t>
  </si>
  <si>
    <t>Could be a potential grantee in the food arean in the Amazon (Pará State).</t>
  </si>
  <si>
    <t>Instituto Votorantim</t>
  </si>
  <si>
    <t>Corporate institute that acts as an applied intelligence and partnership platform, supporting socio-environmental solutions, territorial development, and better corporate practices for sustainability.</t>
  </si>
  <si>
    <t>It operated through corporate social investment and partnerships and did not maintain a public biome-specific program cut.</t>
  </si>
  <si>
    <t>Rafael Gioielli (Executive Director)</t>
  </si>
  <si>
    <t>https://www.institutovotorantim.org.br/</t>
  </si>
  <si>
    <t>Important co-funding partner on tge SIB in Brazil. Track reccord on funding in the northeast of the country.</t>
  </si>
  <si>
    <t>Quintessa</t>
  </si>
  <si>
    <t>Impact accelerator/consultancy that supports impact ventures with mentoring, strategy and investment readiness, connecting entrepreneurs to capital and partners to scale solutions.</t>
  </si>
  <si>
    <t>It accelerated ventures across themes and did not classify its programs by biome.</t>
  </si>
  <si>
    <t>Implementation capacity (delivery), Convenor/enablers</t>
  </si>
  <si>
    <t>Nana Baffour (Director)</t>
  </si>
  <si>
    <t>https://www.quintessa.org.br/</t>
  </si>
  <si>
    <t>Relevant SIB plataform of investments.</t>
  </si>
  <si>
    <t>De Mendes</t>
  </si>
  <si>
    <t>Local enterprise linked to sustainable value chains (e.g., cacao/chocolate); can contribute via responsible sourcing, territorial development, and inclusive value creation with producers.</t>
  </si>
  <si>
    <t>It was linked to value chains at state level, but no clear public evidence of biome-targeted initiatives was identified in this mapping.</t>
  </si>
  <si>
    <t>Ilhéus, BA, Brazil</t>
  </si>
  <si>
    <t>https://www.demendes.com.br/</t>
  </si>
  <si>
    <t>could be a potential grantee in the food - cocoa supply chain in Brazil.</t>
  </si>
  <si>
    <t>Endeva</t>
  </si>
  <si>
    <t>System-innovation and inclusive-business organization working with companies, governments, and civil society to design scalable solutions, strengthen inclusive value chains, and generate evidence for systemic change.</t>
  </si>
  <si>
    <t>It worked on inclusive business/system innovation across sectors and did not use Brazilian biomes as a standard program boundary.</t>
  </si>
  <si>
    <t>Technical assistance / research</t>
  </si>
  <si>
    <t>Berlin, Germany</t>
  </si>
  <si>
    <t>Insper</t>
  </si>
  <si>
    <t>Higher education and research institution that trains leaders and produces applied knowledge in economics, business and public policy, supporting evidence-based decisions for sustainability transitions.</t>
  </si>
  <si>
    <t>It operated as an academic institution and did not present biome-defined projects as a primary organizing lens in this list.</t>
  </si>
  <si>
    <t>https://www.insper.edu.br/pt</t>
  </si>
  <si>
    <t>Great plavce to explore data assessment on a range of IFK impact areas and biomes in Brazil.</t>
  </si>
  <si>
    <t>Positive Ventures</t>
  </si>
  <si>
    <t>Impact venture capital investor supporting startups with measurable social/environmental outcomes, accelerating innovation and scaling solutions for inclusive and low-carbon transitions.</t>
  </si>
  <si>
    <t>A venture capital firm that invests in early-stage startups committed to generating positive and measurable social and environmental impact.</t>
  </si>
  <si>
    <t>BMW Foundation Herbert Quandt</t>
  </si>
  <si>
    <t>Foundation that supports responsible leadership and social innovation, convening cross-sector networks and programs to address complex societal challenges.</t>
  </si>
  <si>
    <t>It ran leadership and social innovation programs internationally and did not provide a Brazil-biome-specific portfolio cut.</t>
  </si>
  <si>
    <t>Munich, Germany</t>
  </si>
  <si>
    <t xml:space="preserve">Sandra Ortiz (Latin America Director) </t>
  </si>
  <si>
    <t>https://www.bmw-foundation.org/</t>
  </si>
  <si>
    <t xml:space="preserve">A strategic co-funding partner on ecossystem transformation, using SIB as a key element  to get there. </t>
  </si>
  <si>
    <t>Ford Foundation</t>
  </si>
  <si>
    <t>Global philanthropic foundation focused on social justice and reducing inequality; supports organizations and systemic agendas, including intersections with climate justice and rights.</t>
  </si>
  <si>
    <t>It funded broad social-justice agendas and did not define a consistent Brazil-biome program cut for this dataset.</t>
  </si>
  <si>
    <t xml:space="preserve">Atila Rock (Brazil Country Director) </t>
  </si>
  <si>
    <t>https://www.fordfoundation.org/our-work-around-the-world/brazil-pt/</t>
  </si>
  <si>
    <t>Key partner to address climate change funding in the Amazon, specially on the forest and community based approaches.</t>
  </si>
  <si>
    <t>Instituto Sabin</t>
  </si>
  <si>
    <t>Corporate social investment institute linked to Grupo Sabin; supports initiatives and partnerships (commonly in health, education and community development) that build local capacities and inclusion.</t>
  </si>
  <si>
    <t>It focused on health/education/community partnerships and did not operate with a biome-based territorial strategy.</t>
  </si>
  <si>
    <t xml:space="preserve">Raquel Ribeiro Vaz (President) </t>
  </si>
  <si>
    <t>https://institutosabin.org.br/</t>
  </si>
  <si>
    <t xml:space="preserve">Could be a partner to co-fund a portfolio of projects in targeted cities (co-benefit agenda) </t>
  </si>
  <si>
    <t>Instituto Phi</t>
  </si>
  <si>
    <t>Philanthropy organization that mobilizes donors and structures giving toward high-impact projects, strengthening the Brazilian giving ecosystem and scaling effective initiatives.</t>
  </si>
  <si>
    <t>It mobilized donors and structured giving nationally and did not target interventions using biome boundaries.</t>
  </si>
  <si>
    <t>Project developer / Implementer, Convenor/enablers, Implementation capacity (delivery)</t>
  </si>
  <si>
    <t xml:space="preserve">Luíza Serpa (Executive Director) </t>
  </si>
  <si>
    <t xml:space="preserve">A relevant potential regreting organizatio to addres international Foundation work in Brazil. Track reccord doing that (LATIMPACTO, among others). </t>
  </si>
  <si>
    <t>Deloitte</t>
  </si>
  <si>
    <t>Professional services firm that can support transitions through ESG strategy, governance, risk management, compliance, measurement, and implementation support for organizations.</t>
  </si>
  <si>
    <t>It provided advisory services across sectors and geographies and did not apply a biome-specific delivery model.</t>
  </si>
  <si>
    <t>Centro de Estudos em Sustentabilidade da FGV (FGVces)</t>
  </si>
  <si>
    <t>Applied sustainability research center that develops methods, metrics and convening to inform corporate strategies and public policies for low-carbon and inclusive transitions.</t>
  </si>
  <si>
    <t>It produced applied research and convening and did not define its work through biome-specific implementation portfolios.</t>
  </si>
  <si>
    <t>Could be a research parner for IKF in Brazil.</t>
  </si>
  <si>
    <t>Impact measurement methodology, corporate sustainability metrics and climate policy evaluation</t>
  </si>
  <si>
    <t>Fundação Dom Cabral (FDC)</t>
  </si>
  <si>
    <t>Business school providing executive education and applied research; strengthens leadership, governance and organizational capabilities for sustainability and systemic transformation.</t>
  </si>
  <si>
    <t>It delivered executive education and applied research and did not organize activities through biome-based cuts.</t>
  </si>
  <si>
    <t>Nova Lima, MG, Brazil</t>
  </si>
  <si>
    <t>Instituto Brasileiro de Governança Corporativa (IBGC)</t>
  </si>
  <si>
    <t>Reference institution for corporate governance in Brazil; disseminates standards and training that strengthen accountability, transparency and long-term value creation aligned with sustainability.</t>
  </si>
  <si>
    <t>It disseminated governance standards and training nationally and did not use biomes as an operational lens.</t>
  </si>
  <si>
    <t>Policy influence / regulation, Convenor/enablers</t>
  </si>
  <si>
    <t xml:space="preserve">Could be an important partner to advance governance in philanthropy in Brazil. </t>
  </si>
  <si>
    <t>Escola Superior de Agricultura Luiz de Queiroz da USP (ESALQ/USP)</t>
  </si>
  <si>
    <t>USP school dedicated to teaching and research in agrifood systems and land use; contributes via innovation for sustainable agriculture, climate adaptation and bioeconomy.</t>
  </si>
  <si>
    <t>It operated as an academic/research school and did not present a stable set of biome-targeted projects in this list.</t>
  </si>
  <si>
    <t>Bemtevi</t>
  </si>
  <si>
    <t>Impact-oriented organization/consultancy that supports strategy, partnerships and implementation of socio-environmental projects, helping scale solutions across territories and value chains.</t>
  </si>
  <si>
    <t>It supported projects across territories and value chains, but no consistent biome-defined portfolio was identified in this mapping.</t>
  </si>
  <si>
    <t>Climate and Land Use Alliance (CLUA)</t>
  </si>
  <si>
    <t>Alliance of philanthropic foundations that aligns strategies and funding to reduce deforestation, improve land-use governance, and advance climate and nature outcomes with social benefits.</t>
  </si>
  <si>
    <t>It aligned funding to reduce deforestation with a clear emphasis on Amazonia and also supported land-use governance agendas linked to Cerrado.</t>
  </si>
  <si>
    <t>San Francisco, CA, USA</t>
  </si>
  <si>
    <t xml:space="preserve">Atila Rock (FFoundation BRAZIL Country Director) </t>
  </si>
  <si>
    <r>
      <rPr>
        <rFont val="Calibri"/>
        <color rgb="FF1155CC"/>
        <sz val="9.0"/>
        <u/>
      </rPr>
      <t>https://climateandlandusealliance.org</t>
    </r>
    <r>
      <rPr>
        <rFont val="Calibri"/>
        <color rgb="FF1155CC"/>
        <sz val="8.0"/>
        <u/>
      </rPr>
      <t xml:space="preserve"> › ...</t>
    </r>
  </si>
  <si>
    <t>Relkevant strategic and co-funding partner for IKF in Brazil in different arenas: biomes and impact areas.</t>
  </si>
  <si>
    <t>AMAZ</t>
  </si>
  <si>
    <t>Impact accelerator and investor focused on the Amazon region; supports impact enterprises that generate positive outcomes for forests and local populations, strengthening sustainable business models and access to finance/markets.</t>
  </si>
  <si>
    <t>It focused its acceleration and investment mandate on the Amazon region, which anchored its work in Amazonia.</t>
  </si>
  <si>
    <t>SIB "arm" in the Amazon, as a spin-off of IDESAM. Could be a fund holder for SIB in the Amazon.</t>
  </si>
  <si>
    <t>Mercado Livre</t>
  </si>
  <si>
    <t>Leading e-commerce and logistics company in Latin America; can influence systemic transition through low-carbon logistics, responsible packaging, supplier standards, and scaling access for SMEs and sustainable products.</t>
  </si>
  <si>
    <t>It operated through regional logistics and platform services and did not define actions using Brazilian biome boundaries.</t>
  </si>
  <si>
    <t>Buenos Aires, Argentina</t>
  </si>
  <si>
    <t>Amazon</t>
  </si>
  <si>
    <t>Global e-commerce, cloud and logistics company; can influence systemic transition via renewable energy procurement, low-carbon logistics, responsible supply chains, and scaling digital infrastructure for climate and inclusion solutions.</t>
  </si>
  <si>
    <t>It ran global logistics/cloud operations and did not structure Brazil activities by biome in a way that was identifiable for this mapping.</t>
  </si>
  <si>
    <t>Seattle, WA, USA</t>
  </si>
  <si>
    <t>CocoaAction Brasil</t>
  </si>
  <si>
    <t>Pre-competitive public–private cocoa-sector platform that aligns companies, government and partners to advance sustainable, forest-positive cocoa production, improve farmer livelihoods, and strengthen responsible value chains.</t>
  </si>
  <si>
    <t>It supported cocoa value chains strongly linked to Bahia (Mata Atlântica) and also connected to Amazon-region cocoa expansion/production landscapes (Amazonia).</t>
  </si>
  <si>
    <t>Instituto de Pesquisas Ecológicas (IPÊ)</t>
  </si>
  <si>
    <t>Brazilian NGO combining science, education and socio-environmental innovation to conserve biodiversity and support sustainable development across multiple biomes through community-based projects and policy-relevant evidence.</t>
  </si>
  <si>
    <t>Mata&amp;Atlântica, Pantanal</t>
  </si>
  <si>
    <t>It implemented flagship landscape conservation/restoration work in the Atlantic Forest and also maintained projects/partnerships linked to the Amazon region.</t>
  </si>
  <si>
    <t>Technical assistance / research, Project developer / Implementer</t>
  </si>
  <si>
    <t>Nazaré Paulista, SP, Brazil</t>
  </si>
  <si>
    <t>Comunitas</t>
  </si>
  <si>
    <t>Civil society hub/think tank that builds bridges between public and private leadership to strengthen state capacity, improve public management, and structure collaborative solutions for sustainable development.</t>
  </si>
  <si>
    <t>It worked on state capacity and collaborative governance and did not use biomes as an implementation boundary.</t>
  </si>
  <si>
    <t>Fundação Oswaldo Cruz (Fiocruz)</t>
  </si>
  <si>
    <t>Public research institution in health; contributes to systemic transition through science and innovation, public health systems strengthening, climate-and-health evidence, and applied knowledge for resilient and equitable development.</t>
  </si>
  <si>
    <t>It operated nationally in health research/policy and did not frame its core programs through biome-specific cuts.</t>
  </si>
  <si>
    <t>Universidade de Brasília (UnB)</t>
  </si>
  <si>
    <t>Public university that contributes through research, teaching and policy engagement; supports systemic transition by generating evidence and training leaders for public policy, sustainability and innovation agendas.</t>
  </si>
  <si>
    <t>It operated in the Cerrado territory and maintained research and outreach agendas strongly associated with Cerrado socio-environmental issues.</t>
  </si>
  <si>
    <t>Universidade Federal do Pará (UFPA)</t>
  </si>
  <si>
    <t>Public university in the Amazon region; contributes via research and training on socio-biodiversity, territorial development, climate and governance, supporting evidence-based solutions in the region.</t>
  </si>
  <si>
    <t>It was based in the Amazon region and delivered research/training linked to Amazonian socio-biodiversity and territorial development.</t>
  </si>
  <si>
    <t>Universidade de São Paulo (USP)</t>
  </si>
  <si>
    <t>Public university and major research institution; contributes to systemic transition through high-impact research, innovation, and training across climate, nature, health, and sustainable development fields.</t>
  </si>
  <si>
    <t>It produced broad research and training and did not present a biome-targeted portfolio cut that could be consistently assigned here.</t>
  </si>
  <si>
    <t>Fundação Nacional dos Povos Indígenas (FUNAI)</t>
  </si>
  <si>
    <t>Federal agency responsible for Indigenous peoples’ rights and protection; influences systemic transition by safeguarding territories, supporting socio-environmental governance, and enabling rights-based approaches to land use and development.</t>
  </si>
  <si>
    <t>It held a nationwide mandate across Indigenous territories and did not operate through a single or stable biome-defined program boundary in this mapping.</t>
  </si>
  <si>
    <t>Fundação Brasileira para o Desenvolvimento Sustentável (FBDS)</t>
  </si>
  <si>
    <t>Private non-profit foundation that generates knowledge and applied projects on sustainability; supports better policy and corporate practice through research, indicators and technical work on climate, land use and sustainable development.</t>
  </si>
  <si>
    <t>It worked through applied studies and projects across themes and did not disclose a consistent biome-targeted portfolio.</t>
  </si>
  <si>
    <t>Technical assistance / research, Strategic partner</t>
  </si>
  <si>
    <t>Grupo Terra Nova</t>
  </si>
  <si>
    <t>Organization specialized in land tenure conflict mediation and regularization; contributes to systemic transition by enabling legal security, inclusive urban development, and negotiated solutions that reduce social conflict and strengthen territorial governance.</t>
  </si>
  <si>
    <t>It delivered mediation/regularization services across territories and did not define operations by biome.</t>
  </si>
  <si>
    <t>Grupo Aterpa</t>
  </si>
  <si>
    <t>Infrastructure and environmental engineering group (e.g., water and sanitation); can support systemic transition through universal sanitation delivery, resilient infrastructure, and improved environmental performance in project design and operation.</t>
  </si>
  <si>
    <t>It implemented infrastructure projects by client/municipality and did not use biomes as an organizing lens.</t>
  </si>
  <si>
    <t>Belo Horizonte, MG, Brazil</t>
  </si>
  <si>
    <t>Observatório do Clima</t>
  </si>
  <si>
    <t>Civil society coalition created to address climate change in Brazil; produces analysis, monitoring and advocacy to strengthen climate governance, transparency and ambitious public policy.</t>
  </si>
  <si>
    <t>It focused on national climate governance and policy advocacy and did not maintain a biome-specific implementation portfolio.</t>
  </si>
  <si>
    <t>GHG emissions monitoring (SEEG), annual sectoral data production and climate transparency</t>
  </si>
  <si>
    <t>United States Agency for International Development (USAID)</t>
  </si>
  <si>
    <t>U.S. government development cooperation agency that provides funding, technical assistance, and partnerships to support international development priorities (e.g., governance, health, food security, climate resilience), helping scale solutions and strengthen institutions.</t>
  </si>
  <si>
    <t>It funded multi-sector international cooperation and did not provide a stable Brazil-biome-specific cut in this mapping.</t>
  </si>
  <si>
    <t>Washington, DC, USA</t>
  </si>
  <si>
    <t>It was very relevant in the past funding for the Amazon in Brazil.</t>
  </si>
  <si>
    <t>Gordon and Betty Moore Foundation</t>
  </si>
  <si>
    <t>International grantmaking foundation that funds science and environmental conservation, supporting evidence-based approaches, ecosystem protection, and systemic solutions for climate and nature.</t>
  </si>
  <si>
    <t>It funded global conservation/science agendas and did not present a consistent Brazil-biome segmentation in this dataset.</t>
  </si>
  <si>
    <t>Palo Alto, CA, USA</t>
  </si>
  <si>
    <t>One on the most relevant co-funding partner for the Amazon in Brazil.</t>
  </si>
  <si>
    <t>Fundação Avina</t>
  </si>
  <si>
    <t>Latin American philanthropic organization focused on systemic change through collaboration; supports networks and initiatives that advance climate action, democratic innovation, and a fair/regenerative economy.</t>
  </si>
  <si>
    <t>It supported regional systemic-change agendas and did not structure its Brazil work by biome boundaries in this mapping.</t>
  </si>
  <si>
    <t>Funder, Strategic partner, Convenor/enablers</t>
  </si>
  <si>
    <t>Panama City, Panama</t>
  </si>
  <si>
    <t xml:space="preserve">An important player at the national level + in Latin America. </t>
  </si>
  <si>
    <t>William and Flora Hewlett Foundation</t>
  </si>
  <si>
    <t>International grantmaking foundation supporting programs such as climate/environment, governance, and equity; helps fund coalitions and institutions that enable long-term, structural change.</t>
  </si>
  <si>
    <t>It funded broad international programs and did not provide a Brazil-biome-specific portfolio cut here.</t>
  </si>
  <si>
    <t>Menlo Park, CA, USA</t>
  </si>
  <si>
    <t>work in Brazil for a while on climate isues. Co-Funder of the two most relevant climate alliances (CLUA and  LARCI /ICS).</t>
  </si>
  <si>
    <t>ClimateWorks Foundation</t>
  </si>
  <si>
    <t>Grantmaking foundation that supports organizations and networks to design and scale high-impact climate solutions, connecting funders and implementers to accelerate emissions reductions across sectors.</t>
  </si>
  <si>
    <t>It funded global climate networks and did not define Brazil activities through biome-specific program boundaries in this mapping.</t>
  </si>
  <si>
    <t>Funder, Strategic partner, Technical assistance / research</t>
  </si>
  <si>
    <t xml:space="preserve">Gabriel Francisco (Associate Director Latin America) </t>
  </si>
  <si>
    <t>https://www.climateworks.org/</t>
  </si>
  <si>
    <t xml:space="preserve">The most relevant international funder  on climte. A lot of lessons leraned and intrested on enhancing funding streams for climate change in Brazil. </t>
  </si>
  <si>
    <t>Strategic evaluation of climate programs, learning systems for high-impact climate solutions</t>
  </si>
  <si>
    <t>Children’s Investment Fund Foundation (CIFF)</t>
  </si>
  <si>
    <t>Independent philanthropic organization that funds large-scale programs for children and adolescents and climate action, using evidence and partnerships to deliver measurable, systemic outcomes.</t>
  </si>
  <si>
    <t>It funded global portfolios (children/climate) and did not maintain a clear Brazil-biome-based classification in this dataset.</t>
  </si>
  <si>
    <t>https://ciff.org/</t>
  </si>
  <si>
    <t>work in Brazil for a while on climate isues. Co-Funder of LARCI /ICS.</t>
  </si>
  <si>
    <t>Evidence-based impact evaluation of climate and development programs, systemic outcome measurement</t>
  </si>
  <si>
    <t>Oak Foundation</t>
  </si>
  <si>
    <t>International grantmaking foundation supporting issues such as environment/climate, human rights, and social justice; funds organizations and coalitions that pursue structural change.</t>
  </si>
  <si>
    <t>It funded broad international agendas and did not disclose a consistent Brazil-biome-specific portfolio cut for this mapping.</t>
  </si>
  <si>
    <t>Geneva, Switzerland</t>
  </si>
  <si>
    <t>https://oakfnd.org/</t>
  </si>
  <si>
    <t>Ministério de Minas e Energia (MME)</t>
  </si>
  <si>
    <t>Federal ministry responsible for national policies and planning guidelines for energy and mining; central to enabling the energy transition through regulation, sector planning, and policy coordination.</t>
  </si>
  <si>
    <t>No biome lens was assigned because it acted through national policy and planning instruments rather than biome-targeted programs.</t>
  </si>
  <si>
    <t>Policy influence / regulation</t>
  </si>
  <si>
    <t>Empresa de Pesquisa Energética (EPE)</t>
  </si>
  <si>
    <t>Public company that provides studies and research to support the MME and national energy planning (electricity, oil &amp; gas, and biofuels), strengthening evidence-based decisions for a low-carbon transition.</t>
  </si>
  <si>
    <t>No biome lens was assigned because it produced national planning studies without a stable portfolio organized by biome.</t>
  </si>
  <si>
    <t>Energy systems modelling, national energy planning studies and evidence for low-carbon transitions</t>
  </si>
  <si>
    <t>Agência Nacional de Energia Elétrica (ANEEL)</t>
  </si>
  <si>
    <t>Federal electricity regulator responsible for sector oversight and regulation; key to the transition through tariff/regulatory frameworks, quality/resilience requirements, and market rules that enable renewables and grid modernization.</t>
  </si>
  <si>
    <t>No biome lens was assigned because it regulated the sector nationally and did not operate through biome-specific projects.</t>
  </si>
  <si>
    <t>Operador Nacional do Sistema Elétrico (ONS)</t>
  </si>
  <si>
    <t>Non-profit system operator (private-law entity) responsible for coordinating and controlling generation and transmission operation of Brazil’s interconnected power system; essential for reliability, integration of renewables, and operational planning.</t>
  </si>
  <si>
    <t>No biome lens was assigned because it performed system operation for the national grid and was not structured around biome-defined interventions.</t>
  </si>
  <si>
    <t>Policy influence / regulation, Data / MRV / platforms</t>
  </si>
  <si>
    <t>Neoenergia</t>
  </si>
  <si>
    <t>Integrated utility (generation/transmission/distribution); can accelerate transition by expanding renewables, modernizing grids, improving efficiency, and scaling electrification solutions with stronger ESG performance.</t>
  </si>
  <si>
    <t>No biome lens was assigned because the company’s publicly visible transition agenda was framed by assets and concession areas, not by biome-delimited programs.</t>
  </si>
  <si>
    <t>CPFL Energia</t>
  </si>
  <si>
    <t>Integrated utility with strong distribution footprint; contributes through grid modernization, losses reduction, digitalization, and investments that enable distributed generation and clean electrification.</t>
  </si>
  <si>
    <t>No biome lens was assigned because actions were typically reported by operational footprint and concessions, not by biome-based initiatives.</t>
  </si>
  <si>
    <t>Campinas, SP, Brazil</t>
  </si>
  <si>
    <t>Engie Brasil</t>
  </si>
  <si>
    <t>Power generation company with a significant renewables portfolio; contributes via renewable expansion, decarbonization strategies, and long-term investment in clean energy assets and grid solutions.</t>
  </si>
  <si>
    <t>No biome lens was assigned because the transition contribution was reported by generation assets and projects without a consistent biome cut.</t>
  </si>
  <si>
    <t>Florianópolis, SC, Brazil</t>
  </si>
  <si>
    <t>EDP Brasil</t>
  </si>
  <si>
    <t>Energy company active in generation and distribution; can drive the transition through renewables, innovation (e.g., storage/digital), energy efficiency, and electrification programs.</t>
  </si>
  <si>
    <t>No biome lens was assigned because programs were not clearly organized or communicated using biome boundaries as the primary territorial frame.</t>
  </si>
  <si>
    <t>Enel Brasil</t>
  </si>
  <si>
    <t>Integrated utility (distribution and generation) with focus on decarbonization; contributes via renewable investments, grid resilience, digital networks, and electrification (e.g., e-mobility infrastructure).</t>
  </si>
  <si>
    <t>No biome lens was assigned because the portfolio was presented by business lines and concessions rather than biome-targeted action.</t>
  </si>
  <si>
    <t>Eletrobras</t>
  </si>
  <si>
    <t>Major electricity company with large generation and transmission assets; can influence systemic transition through grid expansion, transmission reliability, renewable integration, and governance aligned with long-term decarbonization.</t>
  </si>
  <si>
    <t>No biome lens was assigned because transition-relevant actions were linked to system assets and corporate strategy, not to explicit biome-based programs.</t>
  </si>
  <si>
    <t>Instituto de Energia e Meio Ambiente (IEMA)</t>
  </si>
  <si>
    <t>Brazilian non-profit institute that produces technical evidence and policy analysis on energy, air quality, emissions and urban mobility, supporting better regulation and public decision-making for a low-carbon transition.</t>
  </si>
  <si>
    <t>The biome tagging reflects where Brazil’s decarbonization and air-quality agendas are structurally shaped by land-use pressure, diesel/logistics corridors, and energy system constraints.</t>
  </si>
  <si>
    <t>André Ferreira (Executive Director)</t>
  </si>
  <si>
    <t>https://energiaeambiente.org.br/</t>
  </si>
  <si>
    <t>A strategic partner to provide  reliable data on energy in Brazil. A Think Thank on energy transition information in Brazil.</t>
  </si>
  <si>
    <t>Urban/sectoral GHG inventories, air quality monitoring and evaluation of energy and mobility policies</t>
  </si>
  <si>
    <t>Instituto E+ Transição Energética (E+)</t>
  </si>
  <si>
    <t>Independent Brazilian think tank that develops data-driven analysis and policy proposals and convenes stakeholders to advance a just, efficient energy transition aligned with sustainable development.</t>
  </si>
  <si>
    <t>The primary biomes capture where the “just transition” framing and energy-system transformation are most tightly coupled with regional development and equity trade-offs.</t>
  </si>
  <si>
    <t>European Climate Foundation (ECF)</t>
  </si>
  <si>
    <t>International grantmaking foundation that provides strategic and financial support to organizations working to tackle the climate crisis, strengthening coalitions and high-impact policies for decarbonization.</t>
  </si>
  <si>
    <t>No biome lens was assigned because Brazil-related support was not consistently publicized as a biome-delimited portfolio in this mapping.</t>
  </si>
  <si>
    <t>https://europeanclimate.org/</t>
  </si>
  <si>
    <t xml:space="preserve">Could brink knowleage to climate initiatives in Brazil. </t>
  </si>
  <si>
    <t>Quadrature Climate Foundation</t>
  </si>
  <si>
    <t>Independent charitable foundation that funds climate solutions to reduce emissions, scale carbon removal, and strengthen resilience to climate impacts through grants and partnerships.</t>
  </si>
  <si>
    <t>No biome lens was assigned because the grant strategy was not mapped here through explicit Brazil biome-cut initiatives.</t>
  </si>
  <si>
    <t>Ministério das Cidades</t>
  </si>
  <si>
    <t>Federal ministry responsible for urban development agendas (housing, sanitation, urban mobility and planning), shaping national policy frameworks, programs and financing instruments for inclusive and resilient cities.</t>
  </si>
  <si>
    <t>No biome lens was assigned because it acted through nationwide urban policy instruments and program rules, not biome-specific territorial initiatives.</t>
  </si>
  <si>
    <t>Agência Nacional de Transportes Terrestres (ANTT)</t>
  </si>
  <si>
    <t>Federal regulatory agency that regulates, supervises and enforces land transport services and infrastructure concessions (roads/railways), influencing decarbonization and efficiency through sector rules, contracts and oversight.</t>
  </si>
  <si>
    <t>No biome lens was assigned because it regulated concessions and services nationally and did not implement programs framed by biomes.</t>
  </si>
  <si>
    <t>Agência Nacional de Transportes Aquaviários (ANTAQ)</t>
  </si>
  <si>
    <t>Federal regulatory agency for waterway transport and port infrastructure; key for cleaner logistics through regulation, supervision and enforcement of maritime and inland navigation and port operations.</t>
  </si>
  <si>
    <t>No biome lens was assigned because it operated as a national regulator and the mapping did not identify biome-delimited initiatives.</t>
  </si>
  <si>
    <t>CCR S.A. (Grupo CCR)</t>
  </si>
  <si>
    <t>Major mobility infrastructure concessions group (highways, urban mobility and airports); can accelerate transition via low-carbon operations, resilient infrastructure, road safety, and enabling cleaner transport and logistics.</t>
  </si>
  <si>
    <t>No biome lens was assigned because actions were structured around concessions/projects and ESG programs, not biome-defined territorial cuts.</t>
  </si>
  <si>
    <t>EcoRodovias</t>
  </si>
  <si>
    <t>Highway concessions operator; can support systemic transition by improving logistics efficiency, road safety and climate resilience, and embedding ESG standards in infrastructure operations and investments.</t>
  </si>
  <si>
    <t>No biome lens was assigned because its operational footprint was concession-based and not communicated through biome-framed initiatives.</t>
  </si>
  <si>
    <t>BYD Brasil</t>
  </si>
  <si>
    <t>Manufacturer of electric vehicles (including buses); contributes to the transition by scaling electrification, supporting charging ecosystems, and enabling lower-emission public transport fleets.</t>
  </si>
  <si>
    <t>No biome lens was assigned because the contribution was market/technology-based and did not use biomes as a programmatic territorial frame.</t>
  </si>
  <si>
    <t>Volvo Buses Latin America</t>
  </si>
  <si>
    <t>Bus manufacturer and solutions provider; contributes through low/zero-emission bus technologies, fleet efficiency and safety innovations that support public transport decarbonization.</t>
  </si>
  <si>
    <t>No biome lens was assigned because activities were organized around fleets/markets and not mapped to biome-specific programs.</t>
  </si>
  <si>
    <t>Mercedes-Benz Brasil</t>
  </si>
  <si>
    <t>Commercial vehicle manufacturer; can drive transition by advancing low-emission vehicle technologies, improving efficiency and safety, and supporting cleaner logistics and public transport solutions.</t>
  </si>
  <si>
    <t>No biome lens was assigned because the contribution was industrial/market-driven and not associated with biome-delimited initiatives.</t>
  </si>
  <si>
    <t>São Bernardo do Campo, SP, Brazil</t>
  </si>
  <si>
    <t>Instituto de Políticas de Transporte e Desenvolvimento (ITDP Brasil)</t>
  </si>
  <si>
    <t>Non-profit organization that supports governments to implement sustainable and equitable transport and urban development solutions, helping reduce emissions while improving access, safety and urban quality of life.</t>
  </si>
  <si>
    <t>No biome lens was assigned because implementation was city/corridor-based and not typically defined by biome boundaries.</t>
  </si>
  <si>
    <t>Implementing partner for urban and transport work  on capitals in Brazil.</t>
  </si>
  <si>
    <t>Caixa Econômica Federal</t>
  </si>
  <si>
    <t>Federal public bank central to housing finance and urban investment; can enable systemic transition by scaling affordable housing and resilient urban infrastructure financing (including low-carbon and energy-efficiency measures).</t>
  </si>
  <si>
    <t>No biome lens was assigned because financing programs were national and eligibility/operations were not structured by biome.</t>
  </si>
  <si>
    <t>MRV</t>
  </si>
  <si>
    <t>Large homebuilder; can contribute by scaling affordable housing, adopting low-carbon construction practices, improving energy efficiency, and strengthening social and environmental standards in developments.</t>
  </si>
  <si>
    <t>No biome lens was assigned because projects were reported by cities/markets and not by biome-based portfolios.</t>
  </si>
  <si>
    <t>Tenda</t>
  </si>
  <si>
    <t>Homebuilder focused on affordable housing; contributes by expanding access to housing and adopting higher sustainability, efficiency and climate resilience standards in projects and operations.</t>
  </si>
  <si>
    <t>No biome lens was assigned because the operating model was city/market-based and did not use biomes as the territorial unit.</t>
  </si>
  <si>
    <t>Cyrela</t>
  </si>
  <si>
    <t>Large real estate developer; can contribute to systemic transition by scaling higher-efficiency building standards, reducing embodied carbon in materials, improving construction practices, and strengthening social and environmental safeguards in developments.</t>
  </si>
  <si>
    <t>No biome lens was assigned because activity was market-driven and not tied to explicit biome-delimited programs.</t>
  </si>
  <si>
    <t>Votorantim Cimentos</t>
  </si>
  <si>
    <t>Major cement producer; central to transition through clinker reduction, alternative fuels, energy efficiency, low-carbon cements, circularity (waste co-processing), and supply-chain decarbonization.</t>
  </si>
  <si>
    <t>No biome lens was assigned because decarbonization actions were process/plant-based and the mapping did not identify biome-specific programs.</t>
  </si>
  <si>
    <t>InterCement</t>
  </si>
  <si>
    <t>Large cement producer; contributes to transition via process decarbonization, alternative fuels/materials, operational efficiency, circular economy solutions, and adoption of low-carbon cement products.</t>
  </si>
  <si>
    <t>No biome lens was assigned because actions were industrial/process-based and not organized by biome in publicly visible initiatives.</t>
  </si>
  <si>
    <t>Green Building Council Brasil (GBC Brasil)</t>
  </si>
  <si>
    <t>Industry platform that promotes sustainable buildings and certification practices; supports market transformation through standards, capacity building, and dissemination of best practices in green construction.</t>
  </si>
  <si>
    <t>No biome lens was assigned because it operated through standards/certification and not through biome-delimited territorial programs.</t>
  </si>
  <si>
    <t>Ministério da Agricultura e Pecuária (MAPA)</t>
  </si>
  <si>
    <t>Federal ministry responsible for agriculture and livestock policy; key to systemic transition by shaping incentives, regulation, and programs for sustainable production, food security, and climate adaptation/mitigation in agrifood systems.</t>
  </si>
  <si>
    <t>No biome lens was assigned because instruments were national and the mapping did not isolate biome-specific programs as the main operational cut.</t>
  </si>
  <si>
    <t>Instituto Nacional de Colonização e Reforma Agrária (INCRA)</t>
  </si>
  <si>
    <t>Federal agency responsible for land reform and rural land administration; influences transition through land tenure regularization, settlement policies, and inclusive rural development with environmental compliance.</t>
  </si>
  <si>
    <t>No biome lens was assigned because land governance actions were national and were not mapped here as biome-specific initiatives.</t>
  </si>
  <si>
    <t>Agroicone</t>
  </si>
  <si>
    <t>Research and policy institute focused on agribusiness, land use and climate; provides evidence and proposals to enable low-carbon agriculture, deforestation-free supply chains, and better public policies.</t>
  </si>
  <si>
    <t>It produced policy and supply-chain work explicitly centered on deforestation and land-use agendas typically framed around Amazonia and Cerrado.</t>
  </si>
  <si>
    <t>JBS</t>
  </si>
  <si>
    <t>Global meat and food company; central to transition through deforestation-free sourcing, traceability, methane/emissions reduction, animal welfare, and strengthening governance across supply chains.</t>
  </si>
  <si>
    <t>Pantanal</t>
  </si>
  <si>
    <t>It implemented deforestation-free sourcing and cattle traceability agendas that were publicly associated with Amazonia and Cerrado supply chains and also faced material exposure in Pantanal cattle landscapes.</t>
  </si>
  <si>
    <t>Marfrig</t>
  </si>
  <si>
    <t>Meat and food company; can drive transition through cattle traceability, deforestation-free supply chains, emissions reduction, and improved ESG governance and transparency.</t>
  </si>
  <si>
    <t>It advanced cattle traceability and deforestation-risk management that were publicly tied to Amazonia and Cerrado and also intersected with Pantanal sourcing dynamics.</t>
  </si>
  <si>
    <t>Amaggi</t>
  </si>
  <si>
    <t>Agribusiness and trading group (grains, logistics); contributes via deforestation-free supply chains, compliance/traceability, low-carbon logistics, and adoption of sustainable production standards.</t>
  </si>
  <si>
    <t>It operated grain production/logistics in frontier and transition landscapes commonly framed by Cerrado and Amazonia and it reported supply-chain compliance around these territories.</t>
  </si>
  <si>
    <t>Cuiabá, MT, Brazil</t>
  </si>
  <si>
    <t>SLC Agrícola</t>
  </si>
  <si>
    <t>Large-scale producer of grains/fibers; contributes through sustainable land management, climate-smart agriculture, responsible expansion, and improved measurement and reduction of emissions and impacts.</t>
  </si>
  <si>
    <t>It operated large-scale cropping predominantly in Cerrado landscapes and it expanded/managed farms in frontier interfaces that were commonly described as connected to Amazonia transition zones.</t>
  </si>
  <si>
    <t>Porto Alegre, RS, Brazil</t>
  </si>
  <si>
    <t>Instituto de Pesquisa Ambiental da Amazônia (IPAM)</t>
  </si>
  <si>
    <t>Non-profit research institute focused on the Amazon; produces science, monitoring and policy proposals to curb deforestation, advance sustainable land use, and strengthen climate and territorial governance.</t>
  </si>
  <si>
    <t>It worked explicitly on Amazonia-focused science and policy and it addressed linked land-use and deforestation dynamics at the Amazonia–Cerrado interface.</t>
  </si>
  <si>
    <t>Important imnplementer as a CSO in the Amazon of Brazil.</t>
  </si>
  <si>
    <t>Amazon science, deforestation monitoring, land-use MRV and climate policy evaluation</t>
  </si>
  <si>
    <t>Global Canopy</t>
  </si>
  <si>
    <t>Non-profit that works on supply-chain and finance levers to stop deforestation; produces data/tools and convenes stakeholders to improve accountability and drive forest-positive action.</t>
  </si>
  <si>
    <t>It produced deforestation-risk tools and accountability agendas that, in Brazil, were commonly framed around Amazonia and Cerrado commodity frontiers.</t>
  </si>
  <si>
    <t>Data / MRV / platforms, Policy influence / regulation</t>
  </si>
  <si>
    <t>Supply chain and finance deforestation data/tools, forest accountability MRV platforms</t>
  </si>
  <si>
    <t>Good Energies Foundation</t>
  </si>
  <si>
    <t>Philanthropic foundation supporting climate solutions (often focused on clean energy and systemic decarbonization); provides grants to accelerate policy and market shifts toward a low-carbon economy.</t>
  </si>
  <si>
    <t>No biome lens was assigned because the mapping did not identify a Brazil portfolio publicly structured by biome-specific programs.</t>
  </si>
  <si>
    <t>Johannes</t>
  </si>
  <si>
    <t>https://www.porticus.com/what-we-do/earth/good-energies-foundation/</t>
  </si>
  <si>
    <t>Relevant co-funder for the Brazilian Amazon</t>
  </si>
  <si>
    <t>Ministério do Desenvolvimento e Assistência Social, Família e Combate à Fome (MDS)</t>
  </si>
  <si>
    <t>Federal ministry responsible for social development and income-support policies; key to a just transition by reducing poverty/inequality and integrating social protection with food security and resilience policies.</t>
  </si>
  <si>
    <t>No biome lens was assigned because social protection and hunger policies were national and not implemented through a biome-based targeting logic.</t>
  </si>
  <si>
    <t>Ministério da Saúde</t>
  </si>
  <si>
    <t>Federal leadership on nutrition policy within the health system; can drive systemic transition by strengthening food and nutrition security actions, healthy diets, monitoring of nutritional outcomes, and integration of nutrition with primary health care and social policies.</t>
  </si>
  <si>
    <t>No biome lens was assigned because health/nutrition policies were nationwide and were not organized or monitored by biome as a primary territorial cut.</t>
  </si>
  <si>
    <t>Conselho Nacional de Segurança Alimentar e Nutricional (CONSEA)</t>
  </si>
  <si>
    <t>Multi-stakeholder councils for food and nutrition security that enable social participation, policy coordination and oversight; contribute by shaping priorities, improving governance and strengthening accountability in food systems and social protection.</t>
  </si>
  <si>
    <t>No biome lens was assigned because governance and oversight were national and did not correspond to a stable biome-delimited portfolio.</t>
  </si>
  <si>
    <t>Policy influence / regulation, Community legitimacy / proximate leadership</t>
  </si>
  <si>
    <t>Grupo Pão de Açúcar (GPA)</t>
  </si>
  <si>
    <t>Major retail group; can influence systemic transition through responsible sourcing, healthier food environments, waste reduction, traceability, supplier standards and scaling sustainable products.</t>
  </si>
  <si>
    <t>No biome lens was assigned because the mapping did not identify supplier programs explicitly framed by Brazilian biomes.</t>
  </si>
  <si>
    <t>Relevant co-funding partner for food systems in Brazil. Helped establishes Pacto Contra a Fome organization. A CSO in charge with food system transformation in Brazil.</t>
  </si>
  <si>
    <t>Assaí Atacadista</t>
  </si>
  <si>
    <t>Large cash-and-carry retailer; contributes via supplier engagement, responsible sourcing, food loss and waste reduction, and expanding access to affordable food with improved sustainability standards.</t>
  </si>
  <si>
    <t>No biome lens was assigned because supply initiatives were not mapped here as biome-specific programs.</t>
  </si>
  <si>
    <t>supermarket chain in Ceará State,. Could be a co-funding partner for food system .</t>
  </si>
  <si>
    <t>Carrefour Brasil</t>
  </si>
  <si>
    <t>Major retailer; can drive transition through deforestation-free supply chains, traceability, healthier food offerings, food waste reduction and strong ESG governance across suppliers.</t>
  </si>
  <si>
    <t>It implemented deforestation-free sourcing and traceability commitments that were publicly anchored in Amazonia and Cerrado commodity-risk supply chains.</t>
  </si>
  <si>
    <t>supermarket chain in Ceará State. Could be a co-funding partner for the food system .</t>
  </si>
  <si>
    <t>Nestlé Brasil</t>
  </si>
  <si>
    <t>Large food and beverage company; contributes through sustainable agriculture programs, deforestation-free sourcing, nutrition/healthier product reformulation, and emissions reduction across value chains.</t>
  </si>
  <si>
    <t>No biome lens was assigned because the mapping did not confirm a consistent portfolio of initiatives explicitly delimited by Brazilian biomes.</t>
  </si>
  <si>
    <t>Unilever Brasil</t>
  </si>
  <si>
    <t>Consumer goods company; can influence transition via sustainable sourcing, deforestation-free commodities, packaging circularity, waste reduction and supplier standards for climate and nature.</t>
  </si>
  <si>
    <t>No biome lens was assigned because Brazil-related initiatives were not identified here with an explicit biome cut robust enough for classification.</t>
  </si>
  <si>
    <t>supermarket chain in Ceará State.  Could be a co-funding partner for the food system .</t>
  </si>
  <si>
    <t>Danone Brasil</t>
  </si>
  <si>
    <t>Food company (dairy and nutrition); contributes through regenerative agriculture, methane reduction in dairy supply chains, nutrition and health initiatives, and low-carbon operations and packaging.</t>
  </si>
  <si>
    <t>No biome lens was assigned because the mapping did not identify a biome-delimited set of projects or sourcing initiatives as a consistent territorial lens.</t>
  </si>
  <si>
    <t>Rede PENSSAN</t>
  </si>
  <si>
    <t>Civil society network that produces evidence and mobilizes actors around food and nutrition security in Brazil; contributes by monitoring hunger, informing public policy and strengthening accountability and social engagement.</t>
  </si>
  <si>
    <t>No biome lens was assigned because it operated through national monitoring/advocacy and was not organized around biome-delimited initiatives.</t>
  </si>
  <si>
    <t>Food and nutrition security monitoring, hunger indicators and policy accountability data</t>
  </si>
  <si>
    <t>Instituto Comida do Amanhã</t>
  </si>
  <si>
    <t>Nonprofit that promotes sustainable and healthy food systems; supports innovation, communication and multi-stakeholder initiatives to shift diets, reduce waste and strengthen sustainable value chains.</t>
  </si>
  <si>
    <t>No biome lens was assigned because its portfolio was thematic (food systems/innovation) and did not present a consistent public biome cut.</t>
  </si>
  <si>
    <t>Could be a grantee  for the  food system .</t>
  </si>
  <si>
    <t>EAT Foundation</t>
  </si>
  <si>
    <t>International non-profit that mobilizes science and multi-stakeholder action to transform food systems toward healthy diets within planetary boundaries; supports convening, advocacy and evidence-based agendas.</t>
  </si>
  <si>
    <t>No biome lens was assigned because Brazil-related work was not mapped here through a stable biome-specific portfolio.</t>
  </si>
  <si>
    <t>Programa de Sistemas Alimentares da FAO no Brasil (FAO – Food Systems Programme)</t>
  </si>
  <si>
    <t>FAO programmatic platform supporting countries to design and implement food systems transformation, including policy support, data, capacity building and partnerships for sustainable agrifood systems.</t>
  </si>
  <si>
    <t>No biome lens was assigned because the program operated nationally and the mapping did not isolate biome-delimited program lines as a consistent territorial lens.</t>
  </si>
  <si>
    <t>Strategic partner, Convenor/enablers, Technical assistance / research</t>
  </si>
  <si>
    <t>Relevant partner for food systems in Brazil.</t>
  </si>
  <si>
    <t>Serviço Florestal Brasileiro (SFB)</t>
  </si>
  <si>
    <t>Federal agency focused on forest governance; contributes via forest information systems, public forest management, concessions frameworks and policies that support sustainable forest use and conservation.</t>
  </si>
  <si>
    <t>It managed public forest governance and concession frameworks that were most visibly associated with Amazonia, while its forest information and management instruments were also applicable to other forest biomes.</t>
  </si>
  <si>
    <t>Forest information systems (SFB/SNIF), public forest monitoring and management data</t>
  </si>
  <si>
    <t>Klabin</t>
  </si>
  <si>
    <t>Integrated forestry, pulp and paper company; contributes through sustainable forest management, restoration, low-carbon products, traceability and biodiversity protection in managed landscapes.</t>
  </si>
  <si>
    <t>It operated forestry and industrial landscapes predominantly in the Atlantic Forest domain and reported sustainability/restoration efforts tied to these managed territories.</t>
  </si>
  <si>
    <t>Bracell</t>
  </si>
  <si>
    <t>Pulp producer; can support systemic transition via sustainable forestry, restoration, responsible land-use governance, and decarbonization of industrial processes and logistics.</t>
  </si>
  <si>
    <t>It operated forestry/industrial assets in areas where Mata Atlântica predominated and it maintained relevant interfaces with Cerrado landscapes through plantations, sourcing and territorial footprints in the Southeast/Northeast.</t>
  </si>
  <si>
    <t>Dexco</t>
  </si>
  <si>
    <t>Building materials and wood-based products company; contributes through sustainable forestry inputs, lower-carbon materials, circularity, and responsible sourcing/traceability.</t>
  </si>
  <si>
    <t>No biome lens was assigned because the mapping did not confirm a consistent set of publicly identifiable biome-targeted projects beyond general responsible sourcing.</t>
  </si>
  <si>
    <t>Suzano Ventures</t>
  </si>
  <si>
    <t>Corporate venture capital arm; can accelerate transition by investing in and scaling innovations in bioeconomy, sustainable materials, decarbonization and nature-positive solutions.</t>
  </si>
  <si>
    <t>No biome lens was assigned because investment theses were thematic/technology-based and were not reported as a biome-delimited operational portfolio.</t>
  </si>
  <si>
    <t>Rainforest Alliance</t>
  </si>
  <si>
    <t>International NGO that works to conserve forests and biodiversity and improve livelihoods by transforming land-use supply chains through standards/certification, traceability, technical assistance and partnerships.</t>
  </si>
  <si>
    <t>It operated certification and supply-chain transformation that were commonly linked to forest-risk commodities and landscapes in Amazonia and Mata Atlântica, and it also covered Cerrado-linked agricultural supply chains through standards and verification.</t>
  </si>
  <si>
    <t>Forest Trends</t>
  </si>
  <si>
    <t>Non-profit organization that generates data and analysis on forests, ecosystem services and finance, supporting transparency and better market/policy mechanisms to reduce deforestation and scale nature-positive investment.</t>
  </si>
  <si>
    <t>It produced deforestation and forest-finance transparency work that, in Brazil, was most consistently framed around Amazonia and Cerrado commodity frontiers.</t>
  </si>
  <si>
    <t>Forest finance and ecosystem services data, market transparency and MRV for nature-based outcomes</t>
  </si>
  <si>
    <t>Earth Innovation Institute</t>
  </si>
  <si>
    <t>Non-profit research and innovation institute focused on reducing deforestation and accelerating low-carbon rural development through policy support, territorial strategies and partnerships with governments, producers and civil society.</t>
  </si>
  <si>
    <t>It implemented deforestation-reduction and rural low-carbon strategies centered on Amazonia and it also worked on transition dynamics in the Amazonia–Cerrado interface.</t>
  </si>
  <si>
    <t>Bezos Earth Fund</t>
  </si>
  <si>
    <t>Philanthropic fund that provides large-scale grants to address climate change and protect nature, supporting high-impact initiatives across mitigation, conservation and environmental justice.</t>
  </si>
  <si>
    <t>No biome lens was assigned because the mapping did not confirm a Brazil grant portfolio explicitly structured by biome-specific initiatives.</t>
  </si>
  <si>
    <t>Bloomberg Philanthropies</t>
  </si>
  <si>
    <t>Philanthropic organization that funds public health, cities, climate and governance initiatives; supports coalitions and policy implementation to accelerate decarbonization and improve urban resilience.</t>
  </si>
  <si>
    <t>No biome lens was assigned because the mapped work was policy/cities-oriented and was not organized using Brazilian biomes as the primary territorial cut.</t>
  </si>
  <si>
    <t>Funding  sustainable cities in Brazil</t>
  </si>
  <si>
    <t>Laudes Foundation</t>
  </si>
  <si>
    <t>Foundation focused on transforming key economic systems (e.g., built environment, industry, finance) to deliver climate action and a just transition through grants, partnerships and market-shaping initiatives.</t>
  </si>
  <si>
    <t>No biome lens was assigned because the mapped strategy was sector/system-based and did not rely on biome-targeted program lines.</t>
  </si>
  <si>
    <t>Skoll Foundation</t>
  </si>
  <si>
    <t>Foundation that supports social entrepreneurs and systems change initiatives, providing funding and networks to scale solutions to major social and environmental challenges.</t>
  </si>
  <si>
    <t>No biome lens was assigned because Brazil-related support was not mapped here through explicit biome-delimited initiatives.</t>
  </si>
  <si>
    <t>Funding SIB  ecossytem in Brazil.</t>
  </si>
  <si>
    <t>Walton Family Foundation</t>
  </si>
  <si>
    <t>Grantmaking foundation that supports environmental conservation (including oceans and rivers), education and community development, funding long-term strategies and policy-oriented initiatives.</t>
  </si>
  <si>
    <t>No biome lens was assigned because the mapping did not identify Brazil projects clearly tied to specific biomes in a consistent way.</t>
  </si>
  <si>
    <t>Bentonville, AR, USA</t>
  </si>
  <si>
    <t>Blue Moon Fund</t>
  </si>
  <si>
    <t>Philanthropic organization supporting environmental and climate solutions; provides grants to protect ecosystems and strengthen policies and civil society capacity for systemic change.</t>
  </si>
  <si>
    <t>No biome lens was assigned because the mapping did not confirm a Brazil portfolio with biome-delimited programmatic focus.</t>
  </si>
  <si>
    <t>Funder</t>
  </si>
  <si>
    <t>Charlottesville, VA, USA</t>
  </si>
  <si>
    <t>Rainforest Trust</t>
  </si>
  <si>
    <t>Conservation charity that funds the creation and expansion of protected areas and safeguards critical habitats, enabling biodiversity protection through partnerships with local organizations.</t>
  </si>
  <si>
    <t>No biome lens was assigned because specific Brazil protected-area actions were not identified here with a stable biome cut for classification.</t>
  </si>
  <si>
    <t>Warrenton, VA, USA</t>
  </si>
  <si>
    <t>John D. and Catherine T. MacArthur Foundation (MacArthur Foundation)</t>
  </si>
  <si>
    <t>International grantmaking foundation that supports systemic solutions across areas such as climate, justice and effective institutions, funding organizations and coalitions for long-term change.</t>
  </si>
  <si>
    <t>No biome lens was assigned because the mapping did not confirm biome-specific Brazil initiatives as a consistent portfolio lens.</t>
  </si>
  <si>
    <t>Chicago, IL, USA</t>
  </si>
  <si>
    <t>Rockefeller Brothers Fund</t>
  </si>
  <si>
    <t>Foundation supporting democratic practice, economic fairness and sustainable development; funds climate and energy transition work, including policy and movement-building for systemic change.</t>
  </si>
  <si>
    <t>No biome lens was assigned because Brazil-related work was not mapped here through biome-delimited projects.</t>
  </si>
  <si>
    <t>Consórcio Nordeste</t>
  </si>
  <si>
    <t>Interstate consortium of Brazil’s Northeast states that coordinates cooperation and joint strategies; can accelerate systemic transition by aligning policies, investments and programs on climate, development and regional resilience.</t>
  </si>
  <si>
    <t>Coastal&amp;maritime, Mata&amp;Atlântica</t>
  </si>
  <si>
    <t>It coordinated regional strategies in the Northeast where Caatinga predominated and it also addressed coastal and Atlantic Forest-zone challenges through multi-state planning and resilience agendas.</t>
  </si>
  <si>
    <t>Territorial anchor, Policy influence / regulation</t>
  </si>
  <si>
    <t>Salvador, BA, Brazil</t>
  </si>
  <si>
    <t>Relevant partner at the Northesat</t>
  </si>
  <si>
    <t>Laboratório de Inovação Financeira (LAB/CVM)</t>
  </si>
  <si>
    <t>Multi-stakeholder platform linked to the securities regulator that convenes regulators, market actors and experts to develop and disseminate sustainable finance innovations, reduce barriers to green/inclusive capital flows, and spread best practices.</t>
  </si>
  <si>
    <t>No biome lens was assigned because it acted through financial-market innovation and standards rather than biome-targeted implementation.</t>
  </si>
  <si>
    <t>Conselho Empresarial Brasileiro para o Desenvolvimento Sustentável (CEBDS)</t>
  </si>
  <si>
    <t>Business-led association that convenes major companies to advance sustainable development in Brazil; strengthens corporate commitments, policy dialogue and collective action to accelerate low-carbon and nature-positive transitions.</t>
  </si>
  <si>
    <t>No biome lens was assigned because its work was cross-sector and national and did not operate through biome-delimited program execution.</t>
  </si>
  <si>
    <t>Associação Brasileira de Desenvolvimento (ABDE)</t>
  </si>
  <si>
    <t>Association representing Brazil’s development finance institutions; supports systemic transition by mobilizing long-term finance, aligning practices and standards, and strengthening the national development finance ecosystem for sustainable investment.</t>
  </si>
  <si>
    <t>No biome lens was assigned because it acted at ecosystem/finance standards level and was not structured around biome-specific initiatives.</t>
  </si>
  <si>
    <t>Convenor/enablers, Capital provider / Financial intermediary</t>
  </si>
  <si>
    <t>Climate Policy Initiative (CPI)</t>
  </si>
  <si>
    <t>Research and policy institute that produces data-driven analysis and technical support on climate policy and climate finance; improves policy design and investment decisions for decarbonization, resilience and a just transition.</t>
  </si>
  <si>
    <t>It produced Brazil-facing land-use and climate-finance analysis that was most consistently framed around Amazonia and Cerrado deforestation and agricultural transition dynamics.</t>
  </si>
  <si>
    <t xml:space="preserve">Releant player on data for different biomes and sector in Brazil. Worth  getting to know the team. </t>
  </si>
  <si>
    <t>Climate finance tracking, policy effectiveness analysis and evidence for decarbonization investment</t>
  </si>
  <si>
    <t>Climate Finance Hub Brasil</t>
  </si>
  <si>
    <t>Capacity-building and applied research hub that develops science-based transition assessments and trains professionals to interpret climate transition risks/opportunities, strengthening capital allocation toward a low-carbon economy.</t>
  </si>
  <si>
    <t>No biome lens was assigned because it focused on training/assessment frameworks and did not present a biome-delimited implementation portfolio.</t>
  </si>
  <si>
    <t xml:space="preserve">Potential partner for  climate funding sollutions in Brazil. </t>
  </si>
  <si>
    <t>Science-based transition risk/opportunity assessments and climate finance learning systems</t>
  </si>
  <si>
    <t>Associação Brasileira de Energia Eólica (ABEEólica)</t>
  </si>
  <si>
    <t>Industry association representing the wind energy value chain; supports market expansion and enabling policies/regulation to scale wind generation, grid integration and a competitive renewables industry.</t>
  </si>
  <si>
    <t>No biome lens was assigned because it operated as a national sector association and did not maintain a program portfolio structured by biomes.</t>
  </si>
  <si>
    <t>Associação Brasileira de Energia Solar Fotovoltaica (ABSolar)</t>
  </si>
  <si>
    <t>Sector association that connects the solar PV value chain; advances regulation, market development and industry coordination to accelerate solar deployment (including distributed generation and enabling technologies).</t>
  </si>
  <si>
    <t>No biome lens was assigned because it acted nationally on regulation/market coordination and was not organized by biome-specific initiatives.</t>
  </si>
  <si>
    <t>Associação Brasileira do Biogás (ABiogás)</t>
  </si>
  <si>
    <t>Industry association promoting biogas/biomethane; supports enabling regulation, standards and investment to decarbonize energy, waste and agriculture through circular-economy pathways.</t>
  </si>
  <si>
    <t>No biome lens was assigned because it operated as a national market/policy association without biome-delimited programs.</t>
  </si>
  <si>
    <t>Associação Brasileira do Hidrogênio (ABH2)</t>
  </si>
  <si>
    <t>Industry association supporting hydrogen market development (including low-carbon/green hydrogen); contributes through policy dialogue, standards, ecosystem coordination and project acceleration.</t>
  </si>
  <si>
    <t>No biome lens was assigned because it coordinated nationally and did not implement biome-targeted initiatives.</t>
  </si>
  <si>
    <t>Instituto Nacional de Eficiência Energética (INEE)</t>
  </si>
  <si>
    <t>Non-profit institute focused on energy efficiency; contributes through technical studies, policy advocacy and capacity building to reduce energy demand, costs and emissions across sectors.</t>
  </si>
  <si>
    <t>No biome lens was assigned because its work was technical/policy-oriented and not tied to biome-delimited implementation territories.</t>
  </si>
  <si>
    <t>Superintendência do Desenvolvimento do Nordeste (SUDENE)</t>
  </si>
  <si>
    <t>Federal regional development authority; can accelerate systemic transition by aligning regional strategies, incentives and investment pipelines for resilient, inclusive and low-carbon development in the Northeast.</t>
  </si>
  <si>
    <t>It supported regional development in the Northeast where Caatinga predominated and it also addressed coastal and Atlantic Forest-zone territories through regional planning and incentive instruments.</t>
  </si>
  <si>
    <t>Recife, PE, Brazil</t>
  </si>
  <si>
    <t>Associação Brasileira de Grandes Consumidores Industriais de Energia e de Consumidores Livres (ABRACE)</t>
  </si>
  <si>
    <t>Association representing large industrial energy consumers and free-market consumers; influences transition by advocating for market design, competitiveness, contracting rules and reliable low-carbon supply.</t>
  </si>
  <si>
    <t>No biome lens was assigned because it operated through market advocacy and was not associated with biome-specific programs.</t>
  </si>
  <si>
    <t>Casa dos Ventos</t>
  </si>
  <si>
    <t>Renewable energy developer; contributes by developing large-scale wind/solar projects, enabling corporate decarbonization strategies (PPAs/autoproduction) and supporting new clean energy vectors.</t>
  </si>
  <si>
    <t>It developed major wind/renewables in the Northeast where Caatinga landscapes predominated and it also operated in coastal wind corridors, making a coastal interface recurrent.</t>
  </si>
  <si>
    <t>Fortaleza, CE, Brazil</t>
  </si>
  <si>
    <t xml:space="preserve">Lucas Araripe (Director) </t>
  </si>
  <si>
    <t>https://casadosventos.com.br/</t>
  </si>
  <si>
    <t xml:space="preserve">Key player on the northeast. Worth it getting to know them.  </t>
  </si>
  <si>
    <t>Voltalia Energia do Brasil (Voltalia)</t>
  </si>
  <si>
    <t>Energy-transition-focused company that supports decarbonization through solutions such as energy management, clean energy sourcing and/or distributed energy services for firms and territories.</t>
  </si>
  <si>
    <t>It developed renewables in Northeast territories commonly associated with Caatinga and it maintained a relevant footprint in coastal renewable corridors and port-linked logistics interfaces.</t>
  </si>
  <si>
    <t>Brava Energia</t>
  </si>
  <si>
    <t>Energy company in the oil and gas segment; can contribute through stronger governance, operational efficiency and methane/emissions management, alongside transparent transition planning.</t>
  </si>
  <si>
    <t>No biome lens was assigned because the mapping did not confirm a stable set of publicly identifiable projects tied to specific biomes.</t>
  </si>
  <si>
    <t>Grupo Stellantis (Stellantis)</t>
  </si>
  <si>
    <t>Automotive group; can accelerate mobility transition by scaling electrified vehicles, improving fleet efficiency, advancing local supply chains and supporting charging/industrial decarbonization ecosystems.</t>
  </si>
  <si>
    <t>No biome lens was assigned because manufacturing/market actions were not organized by biome-based territorial programs.</t>
  </si>
  <si>
    <t>Agência Brasileira de Promoção de Exportações e Investimentos (ApexBrasil)</t>
  </si>
  <si>
    <t>National trade and investment promotion agency; can support systemic transition by attracting sustainable investment, promoting competitive green exports and strengthening business internationalization aligned with low-carbon strategies.</t>
  </si>
  <si>
    <t>No biome lens was assigned because it acted via national trade/investment promotion tools rather than biome-delimited initiatives.</t>
  </si>
  <si>
    <t>Complexo Industrial Portuário de Suape (Suape)</t>
  </si>
  <si>
    <t>Port and industrial complex authority in Pernambuco; supports systemic transition by enabling logistics and industrial infrastructure, embedding ESG standards, improving energy efficiency, adopting low-carbon fuels in operations, and hosting new low-carbon industrial clusters where applicable.</t>
  </si>
  <si>
    <t>It operated a port/industrial hub directly located in coastal/marine interface territories, making the coastal-maritime lens the most consistent territorial cut.</t>
  </si>
  <si>
    <t>Territorial anchor, Implementation capacity (delivery)</t>
  </si>
  <si>
    <t>Ipojuca, PE, Brazil</t>
  </si>
  <si>
    <t>Complexo do Pecém (CIPP S.A.)</t>
  </si>
  <si>
    <t>Port and industrial complex company in Ceará (integrated with ZPEs); can accelerate transition by anchoring low-carbon industrial investment, developing energy/logistics infrastructure, and enabling export-oriented value chains linked to renewables and green hydrogen.</t>
  </si>
  <si>
    <t>It operated a port/industrial hub on the coastline and it anchored transition investments (including new energy vectors) through a coastal-maritime territorial interface.</t>
  </si>
  <si>
    <t>São Gonçalo do Amarante, CE, Brazil</t>
  </si>
  <si>
    <t>Hydrogen Council</t>
  </si>
  <si>
    <t>Global CEO-led coalition of companies and investors to accelerate clean hydrogen; contributes through advocacy, market studies, coordination of commitments, and reducing barriers to scaling projects and enabling regulation.</t>
  </si>
  <si>
    <t>No biome lens was assigned because it acted globally through market/policy coordination and was not mapped as a Brazil biome-targeted actor.</t>
  </si>
  <si>
    <t>Brussels, Belgium</t>
  </si>
  <si>
    <t>World Energy Council</t>
  </si>
  <si>
    <t>Global platform convening energy leaders and experts; contributes through dialogue, reports and convening to support energy systems that are secure, affordable and sustainable, informing strategic transition decisions.</t>
  </si>
  <si>
    <t>No biome lens was assigned because it operated through global convening/knowledge products rather than biome-delimited implementation.</t>
  </si>
  <si>
    <t>Câmara Setorial de Energias Renováveis do Ceará (CS Renováveis/CE)</t>
  </si>
  <si>
    <t>State-level sector chamber that convenes stakeholders around renewables; supports transition by coordinating dialogue, proposing guidelines and helping shape policies/roadmaps for expanding renewables (including wind, solar and green hydrogen).</t>
  </si>
  <si>
    <t>It convened renewable-energy expansion in Ceará where Caatinga predominated and it also addressed coastal renewable corridors and port-linked energy vectors through a coastal interface.</t>
  </si>
  <si>
    <t>Territorial anchor, Convenor/enablers</t>
  </si>
  <si>
    <t>Glasgow Financial Alliance for Net Zero (GFANZ)</t>
  </si>
  <si>
    <t>International finance-sector alliance to accelerate net-zero; contributes by convening financial institutions, promoting transition guidance and voluntary frameworks, mobilizing capital, and helping remove barriers to climate investment.</t>
  </si>
  <si>
    <t>No biome lens was assigned because it operated through global finance frameworks and was not mapped as a biome-delimited Brazil implementation actor.</t>
  </si>
  <si>
    <t>Centro Brasileiro de Relações Internacionais (CEBRI)</t>
  </si>
  <si>
    <t>Brazilian international relations think tank; contributes by producing analysis and convening dialogue on global governance, climate and development, connecting public sector, private sector and civil society.</t>
  </si>
  <si>
    <t>No biome lens was assigned because it operated through policy dialogue and research without a biome-delimited implementation portfolio.</t>
  </si>
  <si>
    <t>Future Climate</t>
  </si>
  <si>
    <t>Climate tech and carbon market company; supports transition by providing climate intelligence and enabling access to carbon/finance mechanisms that can fund decarbonization and high-integrity climate solutions.</t>
  </si>
  <si>
    <t>No biome lens was assigned because the mapping did not confirm publicly identifiable, biome-specific project execution.</t>
  </si>
  <si>
    <t>AS-PTA – Agricultura Familiar e Agroecologia (AS-PTA)</t>
  </si>
  <si>
    <t>Civil society organization strengthening family farming and agroecology; contributes through technical support, network building and advocacy for sustainable, resilient and equitable food systems.</t>
  </si>
  <si>
    <t>It implemented agroecology and family-farming support strongly linked to the Semi-arid (Caatinga) and it also operated in Atlantic Forest-zone rural territories via networks and field initiatives.</t>
  </si>
  <si>
    <t>https://aspta.org.br/</t>
  </si>
  <si>
    <t xml:space="preserve">Strategic implementing partner at the northeast </t>
  </si>
  <si>
    <t>Associação Brasileira das Entidades dos Mercados Financeiro e de Capitais (ANBIMA)</t>
  </si>
  <si>
    <t>Financial and capital markets association with a representation and self-regulatory role; supports transition by promoting standards, transparency and best practices that can steer sustainable finance products and capital flows.</t>
  </si>
  <si>
    <t>No biome lens was assigned because it acted through market standards/self-regulation rather than biome-delimited initiatives.</t>
  </si>
  <si>
    <t>C40 Cities (C40)</t>
  </si>
  <si>
    <t>Global network of cities committed to climate action; contributes through technical assistance, peer learning and implementation support for low-carbon urban policies (mobility, buildings, waste and adaptation).</t>
  </si>
  <si>
    <t>No biome lens was assigned because it operated through city-based programming (municipal networks) rather than biome-defined territorial cuts.</t>
  </si>
  <si>
    <t>Strategic partner, Convenor/enablers, Territorial anchor</t>
  </si>
  <si>
    <t xml:space="preserve">Could be an imporytant partner at the city level. </t>
  </si>
  <si>
    <t>Programa das Nações Unidas para os Assentamentos Humanos (ONU-Habitat)</t>
  </si>
  <si>
    <t>UN agency for sustainable urban development; contributes through technical cooperation, standards and policy support for housing, urban planning, resilience and inclusive city development.</t>
  </si>
  <si>
    <t>No biome lens was assigned because the work was structured around urban policy and human settlements, not biome-delimited initiatives.</t>
  </si>
  <si>
    <t>Strategic partner, Project developer / Implementer, Technical assistance / research</t>
  </si>
  <si>
    <t>Associação Nacional de Transportes Públicos (ANTP)</t>
  </si>
  <si>
    <t>Technical association for public transport and traffic; contributes by producing and disseminating knowledge, supporting policy dialogue and promoting best practices for efficient, safe and low-carbon urban mobility.</t>
  </si>
  <si>
    <t>No biome lens was assigned because it operated through national technical guidance and sector dialogue without biome-specific implementation.</t>
  </si>
  <si>
    <t>Governos Locais pela Sustentabilidade (ICLEI)</t>
  </si>
  <si>
    <t>Global network of local and subnational governments; accelerates transition by providing tools, technical support and convening for low-carbon, nature-based, equitable, resilient and circular development pathways.</t>
  </si>
  <si>
    <t>No biome lens was assigned because it operated through municipal/subnational governance support rather than biome-delimited territorial programming.</t>
  </si>
  <si>
    <t xml:space="preserve">Rodrigo Perpétuo (Latin American Director) </t>
  </si>
  <si>
    <t>Programa das Nações Unidas para o Meio Ambiente (PNUMA)</t>
  </si>
  <si>
    <t>UN environment authority that supports countries with science, policy guidance, standards and partnerships to address climate, nature and pollution, strengthening environmental governance and enabling systemic transitions.</t>
  </si>
  <si>
    <t>No biome lens was assigned because the mapped support was policy/standards-oriented and not organized as biome-specific projects in this list.</t>
  </si>
  <si>
    <t>Strategic partner, Policy influence / regulation, Convenor/enablers</t>
  </si>
  <si>
    <t>Associação Brasileira das Empresas de Serviços de Conservação de Energia (ABESCO)</t>
  </si>
  <si>
    <t>Industry association representing energy service companies (ESCOs); accelerates transition by promoting energy efficiency markets, performance contracting and best practices that reduce energy demand and emissions.</t>
  </si>
  <si>
    <t>No biome lens was assigned because it worked via market development and contracting models, not biome-delimited initiatives.</t>
  </si>
  <si>
    <t>Associação Nacional das Empresas de Transportes Urbanos (NTU)</t>
  </si>
  <si>
    <t>Association representing urban public transport operators; contributes to transition by advocating for quality, funding models and fleet modernization, including low/zero-emission buses and better service for equity.</t>
  </si>
  <si>
    <t>No biome lens was assigned because it acted through national sector advocacy and service modernization, not biome-specific initiatives.</t>
  </si>
  <si>
    <t>Instituto Nacional de Pesquisas Espaciais (INPE)</t>
  </si>
  <si>
    <t>Federal research institute that produces Earth observation and climate science; supports systemic transition by generating authoritative data on deforestation, emissions and climate risks to inform policy and enforcement.</t>
  </si>
  <si>
    <t>It produced authoritative deforestation and land-use monitoring with recurrent emphasis on Amazonia and Cerrado, while its observation systems also covered the other biomes.</t>
  </si>
  <si>
    <t>São José dos Campos, SP, Brazil</t>
  </si>
  <si>
    <t>Earth observation, deforestation monitoring (PRODES/DETER), emissions data and climate modelling</t>
  </si>
  <si>
    <t>Coalizão Brasil Clima, Florestas e Agricultura</t>
  </si>
  <si>
    <t>Multi-stakeholder coalition that convenes agribusiness, civil society, academia and finance to advance policy proposals and commitments for low-carbon agriculture, forest protection and sustainable land use.</t>
  </si>
  <si>
    <t>It pursued land-use and deforestation-free agendas most consistently tied to Amazonia and Cerrado commodity frontiers, while it also addressed broader forest and wetland governance debates.</t>
  </si>
  <si>
    <t>Sustainable Energy for All (SEforALL)</t>
  </si>
  <si>
    <t>International organization that supports governments and partners to achieve universal energy access and accelerate the clean energy transition through analytics, convening and technical assistance.</t>
  </si>
  <si>
    <t>No biome lens was assigned because it operated through national energy-access and transition analytics rather than biome-delimited territorial implementation.</t>
  </si>
  <si>
    <t>Strategic partner, Convenor/enablers</t>
  </si>
  <si>
    <t>Global Covenant of Mayors for Climate &amp; Energy</t>
  </si>
  <si>
    <t>Global coalition of city networks and local governments; supports systemic transition by enabling cities to set targets, plan and report climate action, access technical support and mobilize finance for low-carbon urban development.</t>
  </si>
  <si>
    <t>No biome lens was assigned because it operated through city commitments and reporting frameworks, not biome-delimited initiatives.</t>
  </si>
  <si>
    <t>Convenor/enablers, Territorial anchor</t>
  </si>
  <si>
    <t>Organização para a Cooperação e Desenvolvimento Econômico (OECD)</t>
  </si>
  <si>
    <t>Intergovernmental organization that produces comparative evidence, standards and policy recommendations; supports transitions via guidance on climate policy, taxation, investment, governance and inclusive growth.</t>
  </si>
  <si>
    <t>No biome lens was assigned because it acted through cross-country policy guidance and standards, not biome-targeted programs.</t>
  </si>
  <si>
    <t>Policy influence / regulation, Technical assistance / research</t>
  </si>
  <si>
    <t>Paris, France</t>
  </si>
  <si>
    <t>Centro Internacional de Pesquisa Florestal e Agroflorestal (CIFOR-ICRAF)</t>
  </si>
  <si>
    <t>International research center focused on forests, agroforestry and land use; supports systemic transition through science, data and policy engagement to reduce deforestation, improve livelihoods and scale nature-based solutions.</t>
  </si>
  <si>
    <t>It developed forest and agroforestry research and policy engagement most commonly linked to Amazonia and Cerrado land-use dynamics, while it also supported broader restoration/landscape agendas beyond those cores.</t>
  </si>
  <si>
    <t>Forests and agroforestry science, land-use monitoring and evaluation for nature-positive outcomes</t>
  </si>
  <si>
    <t>Organização das Cooperativas Brasileiras (OCB)</t>
  </si>
  <si>
    <t>National cooperative apex organization; contributes by strengthening cooperative governance and scaling inclusive, sustainable value chains in agriculture, finance and services.</t>
  </si>
  <si>
    <t>No biome lens was assigned because cooperative strengthening was cross-sector and not structured by biome-delimited initiatives.</t>
  </si>
  <si>
    <t>Convenor/enablers, Community legitimacy / proximate leadership</t>
  </si>
  <si>
    <t>Fundo Internacional de Desenvolvimento Agrícola (IFAD)</t>
  </si>
  <si>
    <t>UN specialized agency and international financial institution focused on rural poverty reduction; provides concessional finance and technical support to strengthen smallholder agriculture, resilience and sustainable rural development.</t>
  </si>
  <si>
    <t>No biome lens was assigned because the mapping did not confirm a specific, publicly identifiable biome-cut project portfolio in Brazil for this entry.</t>
  </si>
  <si>
    <t>Funder, Capital provider / Financial intermediary, Strategic partner</t>
  </si>
  <si>
    <t>Wellcome Trust</t>
  </si>
  <si>
    <t>Global charitable foundation focused on health research; contributes to systemic transition by funding science on climate-and-health risks, innovation and evidence for resilient, equitable health systems.</t>
  </si>
  <si>
    <t>No biome lens was assigned because its support was research/health-systems oriented and not organized as biome-delimited initiatives in this mapping.</t>
  </si>
  <si>
    <t>Funder, Technical assistance / research</t>
  </si>
  <si>
    <t>Associação Caatinga</t>
  </si>
  <si>
    <t>Brazilian NGO dedicated to Caatinga conservation; supports systemic transition through biodiversity protection, restoration, community-based projects and partnerships that strengthen sustainable territorial development.</t>
  </si>
  <si>
    <t>It operated explicitly as a Caatinga-focused conservation organization with projects anchored in that biome.</t>
  </si>
  <si>
    <t xml:space="preserve">Important player for Caatinga Biome. Based on Ceará State. </t>
  </si>
  <si>
    <t>Fundo Constitucional de Financiamento do Nordeste (FNE)</t>
  </si>
  <si>
    <t>Constitutional regional fund operated via development finance; supports transition by providing long-term credit for productive investment, potentially steering capital toward low-carbon, resilient and inclusive regional development.</t>
  </si>
  <si>
    <t>It operated as a Northeast-focused finance instrument where Caatinga predominated, while financing also reached coastal economies with strong coastal-maritime interfaces.</t>
  </si>
  <si>
    <t xml:space="preserve">Potential co-funding partenr for Caatinga Biome. </t>
  </si>
  <si>
    <t>Articulação Semiárido Brasileiro (ASA Brasil)</t>
  </si>
  <si>
    <t>Network of civil society organizations in the Semi-arid region; strengthens climate resilience and food/water security through social technologies, community mobilization and advocacy for inclusive development.</t>
  </si>
  <si>
    <t>It operated explicitly in the Semi-arid territory and implemented water/food resilience actions anchored in the Caatinga biome.</t>
  </si>
  <si>
    <t>Community legitimacy / proximate leadership, Implementation capacity (delivery)</t>
  </si>
  <si>
    <t xml:space="preserve">Important player for Caatinga Biome. Based on Pernambuco State. </t>
  </si>
  <si>
    <t>Fundação Araripe</t>
  </si>
  <si>
    <t>Regional philanthropic foundation (linked to the Araripe territory); can support systemic transition by funding conservation, education and sustainable livelihoods initiatives aligned with territorial resilience and equity.</t>
  </si>
  <si>
    <t>It operated in the Araripe/Semi-arid context and funded territorial initiatives associated with the Caatinga biome.</t>
  </si>
  <si>
    <t>Crato, CE, Brazil</t>
  </si>
  <si>
    <t>Centro de Manejo de Fauna da Caatinga (CEMAFauna)</t>
  </si>
  <si>
    <t>Applied center focused on fauna management and conservation in the Caatinga; contributes through research, monitoring, rescue/rehabilitation and technical support for biodiversity protection and environmental licensing.</t>
  </si>
  <si>
    <t>It operated as a Caatinga fauna management and conservation center with activities explicitly delimited to that biome.</t>
  </si>
  <si>
    <t>Petrolina, PE, Brazil</t>
  </si>
  <si>
    <t>Instituto Regional da Pequena Agropecuária Apropriada (IRPAA)</t>
  </si>
  <si>
    <t>Civil society organization that supports family farming in the Semi-arid; contributes through technical assistance, agroecology and water strategies that strengthen resilience, food security and sustainable rural development.</t>
  </si>
  <si>
    <t>It implemented semi-arid family-farming and water strategies explicitly tied to the Caatinga context.</t>
  </si>
  <si>
    <t>Juazeiro, BA, Brazil</t>
  </si>
  <si>
    <t>Global Energy Alliance for People and Planet (GEAPP)</t>
  </si>
  <si>
    <t>Global alliance that mobilizes philanthropic, public and private partners to accelerate clean energy deployment and energy access; supports systemic transition through catalytic finance, project pipelines and policy/implementation partnerships.</t>
  </si>
  <si>
    <t>No biome lens was assigned because it operated through global energy-access/finance pipelines and was not mapped here as biome-delimited implementation in Brazil.</t>
  </si>
  <si>
    <t>Strategic partner, Funder, Convenor/enablers</t>
  </si>
  <si>
    <t>Banco Nacional de Desenvolvimento Econômico e Social (BNDES)</t>
  </si>
  <si>
    <t>Brazil’s national development bank; enables systemic transition by providing long-term finance and structuring blended-finance/investment platforms for renewable energy, resilient infrastructure, low-carbon industry and sustainable land-use value chains.</t>
  </si>
  <si>
    <t>No biome lens was assigned because financing was cross-sector/national and the mapping did not isolate a stable biome-specific operational portfolio.</t>
  </si>
  <si>
    <t>Capital provider / Financial intermediary, Territorial anchor, Funder</t>
  </si>
  <si>
    <t>https://www.bndes.gov.br/wps/portal/site/home</t>
  </si>
  <si>
    <t xml:space="preserve">Runs the Amazon Fund, among mmany other funding streams. Would very important to talk to them and address a constructive partnership devolpment. </t>
  </si>
  <si>
    <t>Banco do Nordeste (BNB)</t>
  </si>
  <si>
    <t>Regional development bank for the Northeast; accelerates transition by channeling credit and technical support to productive inclusion, resilient AFOLU systems in the Semiárido/Caatinga, clean energy projects and sustainable local infrastructure.</t>
  </si>
  <si>
    <t>It operated with a Northeast mandate where Caatinga predominated and it also financed/coordinated activities in coastal zones with strong coastal-maritime interfaces.</t>
  </si>
  <si>
    <t>Banco do Brasil (BB)</t>
  </si>
  <si>
    <t>Large commercial bank with strong role in rural finance; supports transition by steering credit, risk management and incentives toward sustainable agriculture, deforestation-free supply chains, climate resilience and inclusive green investment.</t>
  </si>
  <si>
    <t>No biome lens was assigned because its rural and corporate finance operated nationally and was not structured as a biome-delimited program portfolio in this mapping.</t>
  </si>
  <si>
    <t>Federação Brasileira de Bancos (Febraban)</t>
  </si>
  <si>
    <t>Banking federation that coordinates sector commitments and standards; contributes by shaping sustainable finance practices (risk, disclosure, taxonomy/labels) and aligning banking products with low-carbon and nature-positive outcomes.</t>
  </si>
  <si>
    <t>No biome lens was assigned because it operated through sector coordination/standards rather than biome-delimited initiatives.</t>
  </si>
  <si>
    <t>B3 – Brasil, Bolsa, Balcão (B3)</t>
  </si>
  <si>
    <t>Capital markets infrastructure (stock exchange and clearing); supports transition by enabling listings and sustainable instruments (e.g., green/transition bonds), improving transparency and disclosure, and strengthening market standards for ESG and climate risk.</t>
  </si>
  <si>
    <t>No biome lens was assigned because it operated through market infrastructure and disclosure standards without biome-delimited implementation.</t>
  </si>
  <si>
    <t>Câmara de Comercialização de Energia Elétrica (CCEE)</t>
  </si>
  <si>
    <t>Electricity market operator for trading/settlement; enables energy transition by operating market mechanisms and data systems that support competition, renewable integration, contracting innovations and efficient price signals.</t>
  </si>
  <si>
    <t>No biome lens was assigned because it operated through national electricity market rules/settlement systems and not biome-specific initiatives.</t>
  </si>
  <si>
    <t>Agência Nacional do Petróleo, Gás Natural e Biocombustíveis (ANP)</t>
  </si>
  <si>
    <t>Federal regulator for oil, gas and biofuels; influences transition through regulation of fuels markets, biofuels standards and oversight that can reduce emissions and support lower-carbon energy pathways.</t>
  </si>
  <si>
    <t>No biome lens was assigned because regulatory oversight was national/sectoral and not organized through biome-delimited programs in this mapping.</t>
  </si>
  <si>
    <t>Agência Nacional de Águas e Saneamento Básico (ANA)</t>
  </si>
  <si>
    <t>Federal water and sanitation regulator; contributes to systemic transition by strengthening water governance, resilience planning and regulatory frameworks critical for cities, energy systems and AFOLU—especially in water-stressed regions.</t>
  </si>
  <si>
    <t>No biome lens was assigned because regulation and governance instruments were national and not mapped as biome-delimited initiatives for this entry.</t>
  </si>
  <si>
    <t>MapBiomas (MapBiomas)</t>
  </si>
  <si>
    <t>Multi-institutional network producing high-resolution land-use and ecosystem monitoring; supports AFOLU transition by providing transparent data for deforestation control, land-use planning, enforcement and sustainable finance due diligence.</t>
  </si>
  <si>
    <t>It published biome-explicit land-use and ecosystem series with strongest recurrent attention to Amazonia and Cerrado transitions, while it also maintained consistent coverage across the remaining biomes.</t>
  </si>
  <si>
    <t>Data / MRV / platforms, Technical assistance / research</t>
  </si>
  <si>
    <t xml:space="preserve">Relevant strategic and implementing partner for climate change and related impact areas and biomes for IKF work in Brazil. </t>
  </si>
  <si>
    <t>High-resolution land-use and vegetation cover monitoring, multi-biome MRV data platform</t>
  </si>
  <si>
    <t>Instituto Nacional do Semiárido (INSA)</t>
  </si>
  <si>
    <t>Federal research institute focused on the Semi-arid; enables transition in the Caatinga by generating applied knowledge and innovation for water security, climate adaptation, sustainable production systems and territorial resilience.</t>
  </si>
  <si>
    <t>It operated explicitly as a Semi-arid institute and produced applied research anchored in the Caatinga biome.</t>
  </si>
  <si>
    <t>Campina Grande, PB, Brazil</t>
  </si>
  <si>
    <t>Instituto de Desenvolvimento Sustentável Mamirauá (IDSM)</t>
  </si>
  <si>
    <t>Applied research institute in the Amazon; supports systemic transition by combining science, monitoring and community-based models for conservation, sustainable livelihoods and nature-positive development pathways.</t>
  </si>
  <si>
    <t>It operated in Amazon floodplain/forest contexts and implemented conservation and livelihoods models explicitly tied to the Amazonia biome.</t>
  </si>
  <si>
    <t>Tefé, AM, Brazil</t>
  </si>
  <si>
    <t>Community-based conservation monitoring, biodiversity and ecosystem science in the Amazon</t>
  </si>
  <si>
    <t>Instituto Centro de Vida (ICV)</t>
  </si>
  <si>
    <t>Civil society organization working in the Amazon/Cerrado frontier; contributes through territorial governance, transparency, policy engagement and implementation to reduce deforestation and strengthen sustainable rural economies.</t>
  </si>
  <si>
    <t>It operated primarily in the Amazonia biome while working across frontier municipalities with strong Cerrado interfaces in land-use governance and deforestation control.</t>
  </si>
  <si>
    <t>Project developer / Implementer, Data / MRV / platforms</t>
  </si>
  <si>
    <t>Territorial transparency, deforestation monitoring and land-use governance data for Amazon/Cerrado</t>
  </si>
  <si>
    <t>Instituto Internacional de Educação do Brasil (IEB)</t>
  </si>
  <si>
    <t>NGO focused on capacity building and project support for socioenvironmental agendas; accelerates transition by strengthening local organizations, Indigenous/community initiatives and sustainable territorial development in forests and rural landscapes.</t>
  </si>
  <si>
    <t>It implemented capacity-building and project support with recurrent emphasis on forest and socio-biodiversity territories linked to Amazonia, while it also supported Cerrado-related territorial initiatives through partners and programs.</t>
  </si>
  <si>
    <t>Fundação Vitória Amazônica (FVA)</t>
  </si>
  <si>
    <t>Amazon-based NGO with strong territorial presence; supports transition through conservation, community partnerships and applied solutions that combine biodiversity protection with resilient livelihoods.</t>
  </si>
  <si>
    <t>It maintained an Amazon-focused territorial presence and implemented conservation and community programs explicitly tied to the Amazonia biome.</t>
  </si>
  <si>
    <t>Instituto Ouro Verde (IOV)</t>
  </si>
  <si>
    <t>NGO supporting family farming and sustainable value chains (notably in Amazon/Central-West); contributes by scaling agroecology, restoration-friendly production and inclusive market access that reduce land-use pressure.</t>
  </si>
  <si>
    <t>It operated in Central-West/Amazon frontier territories with strong Amazonia linkages and maintained relevant work across Cerrado landscapes through agroecology and value-chain initiatives.</t>
  </si>
  <si>
    <t>Project developer / Implementer, Implementation capacity (delivery)</t>
  </si>
  <si>
    <t>Alta Floresta, MT, Brazil</t>
  </si>
  <si>
    <t>Instituto Sociedade, População e Natureza (ISPN)</t>
  </si>
  <si>
    <t>NGO with long-standing work in the Cerrado; supports AFOLU transition by strengthening community-based conservation, socio-biodiversity value chains and policy advocacy for equitable, nature-positive development.</t>
  </si>
  <si>
    <t>It operated with an explicit Cerrado focus and implemented socio-biodiversity and community-conservation initiatives anchored in that biome.</t>
  </si>
  <si>
    <t>Rede Cerrado (Rede Cerrado)</t>
  </si>
  <si>
    <t>Network of civil society organizations and community groups; contributes by coordinating advocacy and territorial action to protect Cerrado ecosystems, community rights and sustainable livelihoods.</t>
  </si>
  <si>
    <t>It coordinated ecosystem protection and community-rights agendas explicitly tied to the Cerrado biome.</t>
  </si>
  <si>
    <t>Community legitimacy / proximate leadership, Convenor/enablers</t>
  </si>
  <si>
    <t>Associação Brasileira de Geração Distribuída (ABGD)</t>
  </si>
  <si>
    <t>Sector association for distributed generation; accelerates energy/buildings transition by advancing policies, standards and market development for solar DG, storage and local clean-energy solutions.</t>
  </si>
  <si>
    <t>No biome lens was assigned because it operated through national market/regulatory advocacy and not biome-delimited project execution.</t>
  </si>
  <si>
    <t>Associação Brasileira do Veículo Elétrico (ABVE)</t>
  </si>
  <si>
    <t>Industry association for electric mobility; supports transport transition by promoting enabling regulation, charging infrastructure, fleet electrification and supply-chain development for low/zero-emission vehicles.</t>
  </si>
  <si>
    <t>No biome lens was assigned because it operated through national industry coordination and enabling regulation rather than biome-specific initiatives.</t>
  </si>
  <si>
    <t>Confederação Nacional do Transporte (CNT)</t>
  </si>
  <si>
    <t>National transport confederation; influences systemic transition through policy advocacy and sector coordination on logistics efficiency, safety, infrastructure planning and decarbonization pathways across transport modes.</t>
  </si>
  <si>
    <t>No biome lens was assigned because it acted through sector advocacy and planning inputs, not biome-delimited initiatives.</t>
  </si>
  <si>
    <t>Departamento Nacional de Infraestrutura de Transportes (DNIT)</t>
  </si>
  <si>
    <t>Federal agency responsible for transport infrastructure implementation/management; contributes to transition by integrating climate resilience, safety and low-carbon standards into planning, construction and operation of roads and logistics assets.</t>
  </si>
  <si>
    <t>No biome lens was assigned because infrastructure delivery was national and project-by-project, and this mapping did not identify a consistent biome-targeted program lens.</t>
  </si>
  <si>
    <t>Agência Nacional de Aviação Civil (ANAC)</t>
  </si>
  <si>
    <t>Federal civil aviation regulator; supports transport transition by enabling efficiency improvements, operational decarbonization and frameworks that can facilitate sustainable aviation fuels and climate-resilient aviation infrastructure.</t>
  </si>
  <si>
    <t>No biome lens was assigned because aviation regulation was sectoral/national and not organized around biome-delimited initiatives.</t>
  </si>
  <si>
    <t>Associação Brasileira de Normas Técnicas (ABNT)</t>
  </si>
  <si>
    <t>National standards body; enables buildings/energy transition by developing technical standards that shape materials, performance, efficiency and safety—supporting consistent adoption of low-carbon and high-efficiency practices.</t>
  </si>
  <si>
    <t>No biome lens was assigned because standard-setting was transversal and not tied to biome-delimited territorial initiatives.</t>
  </si>
  <si>
    <t>Câmara Brasileira da Indústria da Construção (CBIC)</t>
  </si>
  <si>
    <t>National industry association for the construction sector; supports the buildings transition by coordinating business agendas, influencing regulation and standards, and accelerating low-carbon, resilient and productivity-enhancing construction practices.</t>
  </si>
  <si>
    <t>No biome lens was assigned because it operated through sector coordination and policy/standards, not biome-delimited initiatives.</t>
  </si>
  <si>
    <t>Conselho de Arquitetura e Urbanismo do Brasil (CAU/BR)</t>
  </si>
  <si>
    <t>Federal professional council regulating architecture and urbanism; contributes to systemic transition by shaping professional standards and practice quality for sustainable buildings, urban planning, energy efficiency and climate-resilient cities.</t>
  </si>
  <si>
    <t>No biome lens was assigned because professional regulation was national and practice-based, without a biome-delimited operational portfolio.</t>
  </si>
  <si>
    <t>Conselho Federal de Engenharia e Agronomia (Confea)</t>
  </si>
  <si>
    <t>Federal professional council regulating engineering and agronomy; enables transition through professional regulation, technical standards enforcement and guidance that affect infrastructure quality, energy systems, and sustainable land-use practices.</t>
  </si>
  <si>
    <t>No biome lens was assigned because professional regulation and guidance were national and not mapped as biome-specific initiatives.</t>
  </si>
  <si>
    <t>Instituto Nacional de Metrologia, Qualidade e Tecnologia (Inmetro)</t>
  </si>
  <si>
    <t>Federal metrology and quality authority; supports transition by setting measurement, certification and labeling frameworks that drive energy efficiency, product performance and safety across buildings, appliances and industrial systems.</t>
  </si>
  <si>
    <t>No biome lens was assigned because it operated through national standards/certification systems rather than biome-delimited initiatives.</t>
  </si>
  <si>
    <t>Duque de Caxias, RJ, Brazil</t>
  </si>
  <si>
    <t>Serviço Brasileiro de Apoio às Micro e Pequenas Empresas (SEBRAE)</t>
  </si>
  <si>
    <t>National SME support system; accelerates transition by providing technical assistance, capacity building and market access for small businesses in green innovation, efficient buildings, clean energy solutions and sustainable value chains.</t>
  </si>
  <si>
    <t>No biome lens was assigned because support was delivered via nationwide programs and local units without a consistent, biome-specific project delimitation in this mapping.</t>
  </si>
  <si>
    <t>União Nacional de Cooperativas da Agricultura Familiar e Economia Solidária (Unicafes)</t>
  </si>
  <si>
    <t>National federation representing family farming and solidarity-economy cooperatives; contributes to AFOLU transition by strengthening cooperative governance, inclusive markets, sustainable production and community-based value chains.</t>
  </si>
  <si>
    <t>Mata&amp;Atlântica, Pantanal, Pampa</t>
  </si>
  <si>
    <t>It supported family-farming cooperative networks strongly present in Caatinga and Cerrado territories and it also engaged cooperative value chains in Amazônia and Mata Atlântica contexts.</t>
  </si>
  <si>
    <t>Infocos Agri-Agency</t>
  </si>
  <si>
    <t>Agri-agency that supports farmers’ organizations and cooperatives; contributes to AFOLU transition by strengthening organizational capacity, technical assistance and partnerships (including international cooperation) for resilient and sustainable agriculture.</t>
  </si>
  <si>
    <t>No biome lens was assigned because a publicly identifiable Brazil-focused, biome-delimited implementation portfolio was not confirmed for this entry.</t>
  </si>
  <si>
    <t>Instituto Democracia e Sustentabilidade (IDS)</t>
  </si>
  <si>
    <t>Civil society think tank linking democratic governance and sustainability; supports transition by convening coalitions, producing policy-relevant analysis and advancing socio-environmental agendas in public debate and decision-making.</t>
  </si>
  <si>
    <t>No biome lens was assigned because it acted through policy debate/coalition building without a biome-delimited project portfolio in this mapping.</t>
  </si>
  <si>
    <t>Instituto Cidades Sustentáveis</t>
  </si>
  <si>
    <t>Civil society institute focused on sustainable urban development; contributes to buildings/transport transition through indicators, policy guidance and advocacy for low-carbon, inclusive and resilient cities.</t>
  </si>
  <si>
    <t>No biome lens was assigned because it worked through city-based indicators and governance agendas rather than biome-delimited territorial initiatives.</t>
  </si>
  <si>
    <t>Urban sustainability indicators, city-level monitoring and accountability data for low-carbon development</t>
  </si>
  <si>
    <t>Rede Nossa São Paulo</t>
  </si>
  <si>
    <t>Civic network focused on improving urban governance and quality of life; supports systemic transition by mobilizing civil society, tracking indicators and strengthening accountability for sustainable city policies.</t>
  </si>
  <si>
    <t>It operated primarily in São Paulo’s urban region, which sat within the Mata Atlântica biome footprint, and it did not present a second biome-delimited agenda.</t>
  </si>
  <si>
    <t>Instituto Pólis</t>
  </si>
  <si>
    <t>Public policy institute focused on urban rights and inclusive development; contributes to buildings/transport transition through research, technical support and advocacy for equitable, resilient and low-carbon urban planning.</t>
  </si>
  <si>
    <t>No biome lens was assigned because it operated through urban policy work across municipalities without a biome-delimited implementation focus.</t>
  </si>
  <si>
    <t>Instituto Escolhas</t>
  </si>
  <si>
    <t>Independent institute producing evidence and proposals for sustainable development; contributes to transition by analyzing policy options and trade-offs across energy, land use and green industrial strategies.</t>
  </si>
  <si>
    <t>No biome lens was assigned because it produced cross-sector policy analysis and the mapping did not confirm biome-delimited project execution.</t>
  </si>
  <si>
    <t>Instituto de Estudos Socioeconômicos (INESC)</t>
  </si>
  <si>
    <t>Civil society organization focused on public budget, rights and socio-environmental justice; supports transition by policy analysis and advocacy for equitable fiscal and regulatory frameworks aligned with climate and nature goals.</t>
  </si>
  <si>
    <t>No biome lens was assigned because it acted through national budget/rights advocacy rather than biome-delimited initiatives.</t>
  </si>
  <si>
    <t>Instituto Brasileiro de Defesa do Consumidor (Idec)</t>
  </si>
  <si>
    <t>Consumer rights organization; contributes to energy/buildings transition by advocating for fair, efficient and transparent energy and consumer markets, including efficiency, pricing and access issues.</t>
  </si>
  <si>
    <t>No biome lens was assigned because it worked through national consumer/market advocacy and not biome-delimited initiatives.</t>
  </si>
  <si>
    <t>Greenpeace Brasil</t>
  </si>
  <si>
    <t>Environmental advocacy organization; contributes to systemic transition through campaigns and public pressure to accelerate climate action, protect forests and biodiversity, and shift corporate and public policies.</t>
  </si>
  <si>
    <t>It conducted high-visibility forest and land-use campaigns most consistently associated with Amazônia and Cerrado pressures, while it also engaged recurring agendas linked to Mata Atlântica and Pantanal conservation.</t>
  </si>
  <si>
    <t>Policy influence / regulation, Project developer / Implementer</t>
  </si>
  <si>
    <t>Instituto Internacional Arayara (Arayara)</t>
  </si>
  <si>
    <t>Civil society organization focused on climate and energy transition; contributes by monitoring projects, engaging policy processes and supporting coalitions to reduce fossil dependence and expand clean energy.</t>
  </si>
  <si>
    <t>No biome lens was assigned because it operated via energy-policy monitoring and project advocacy without a stable biome-delimited portfolio in this mapping.</t>
  </si>
  <si>
    <t>Rede Brasileira de Justiça Ambiental (RBJA)</t>
  </si>
  <si>
    <t>National network advancing environmental justice; contributes to systemic transition by connecting communities and organizations, amplifying socio-environmental impacts and influencing public debate and policy.</t>
  </si>
  <si>
    <t>No biome lens was assigned because it functioned as a rights/justice network across cases and territories without a consistent biome-delimited initiative set.</t>
  </si>
  <si>
    <t>Fundação Pró-Natureza (Funatura)</t>
  </si>
  <si>
    <t>Environmental NGO with long-standing conservation work (notably in the Cerrado); contributes to AFOLU transition through biodiversity protection, project implementation, community engagement and support to sustainable territorial management.</t>
  </si>
  <si>
    <t>It implemented a conservation portfolio strongly linked to the Cerrado and it also engaged forest and protected-area agendas connected to Amazônia through projects/partnerships.</t>
  </si>
  <si>
    <t>Project developer / Implementer</t>
  </si>
  <si>
    <t>Instituto Cerrados (IC)</t>
  </si>
  <si>
    <t>Civil society organization focused on Cerrado conservation and sustainable development; contributes to AFOLU transition through projects, territorial governance support and promotion of sustainable production and conservation strategies.</t>
  </si>
  <si>
    <t>It implemented projects and territorial governance work explicitly tied to the Cerrado biome.</t>
  </si>
  <si>
    <t>Goiânia, GO, Brazil</t>
  </si>
  <si>
    <t>Cerrado conservation monitoring, land-use data and territorial governance indicators</t>
  </si>
  <si>
    <t>Operação Amazônia Nativa (OPAN)</t>
  </si>
  <si>
    <t>Brazilian civil society organization working with Indigenous peoples and traditional communities in the Amazon, combining rights-based approaches, territorial protection, and support to community-led sustainable development aligned with AFOLU and just transition goals.</t>
  </si>
  <si>
    <t>It operated primarily with Amazon Indigenous and traditional territories and implemented programs explicitly linked to the Amazônia biome.</t>
  </si>
  <si>
    <t>Instituto Peabiru</t>
  </si>
  <si>
    <t>Civil society organization operating mainly in the Amazon (especially Pará), supporting community-based territorial development, socio-biodiversity value chains, and local governance arrangements that connect conservation with inclusive livelihoods.</t>
  </si>
  <si>
    <t>It implemented territorial development and socio-biodiversity chain initiatives mainly in Pará/Amazon contexts and maintained an explicit Amazônia biome linkage.</t>
  </si>
  <si>
    <t>Projeto Saúde e Alegria (PSA)</t>
  </si>
  <si>
    <t>Non-profit initiative working in the Brazilian Amazon, promoting participatory and integrated community development (health, education, citizenship, and sustainable livelihoods), strengthening local resilience and inclusive territorial transitions.</t>
  </si>
  <si>
    <t>It implemented integrated community development in Amazon territories and maintained a clear Amazônia biome focus.</t>
  </si>
  <si>
    <t>Santarém, PA, Brazil</t>
  </si>
  <si>
    <t>Articulação dos Povos Indígenas do Brasil (APIB)</t>
  </si>
  <si>
    <t>National Indigenous movement articulation that connects regional Indigenous organizations and agendas, with strong advocacy on territorial rights, protection of forests, climate justice, and human rights—central for AFOLU and territorial governance in Amazon/Cerrado/Caatinga.</t>
  </si>
  <si>
    <t>It mobilized advocacy and rights-based agendas most visibly linked to Amazônia and Cerrado Indigenous territorial pressures, while it also engaged national struggles affecting Caatinga and Mata Atlântica Indigenous territories.</t>
  </si>
  <si>
    <t>Community legitimacy / proximate leadership, Policy influence / regulation</t>
  </si>
  <si>
    <t>Coordenação das Organizações Indígenas da Amazônia Brasileira (COIAB)</t>
  </si>
  <si>
    <t>Indigenous coordination in the Brazilian Amazon that supports collective representation, territorial rights, and protection of forests and communities, strengthening Indigenous governance and climate/AFOLU outcomes.</t>
  </si>
  <si>
    <t>It coordinated Indigenous organizations explicitly within the Amazônia biome and anchored action in Amazon territories.</t>
  </si>
  <si>
    <t>Community legitimacy / proximate leadership, Territorial anchor</t>
  </si>
  <si>
    <t>Conselho Indigenista Missionário (CIMI)</t>
  </si>
  <si>
    <t>Organization linked to the CNBB that supports Indigenous peoples’ rights in Brazil, including accompaniment of communities and advocacy/monitoring of rights violations—relevant for safeguards, land rights, and just territorial transitions.</t>
  </si>
  <si>
    <t>It monitored conflicts and supported Indigenous rights across Brazil with recurrent prominence in Amazônia and Cerrado land-rights disputes, while it also acted in Mata Atlântica and Caatinga contexts through national coverage.</t>
  </si>
  <si>
    <t>Comissão Pastoral da Terra (CPT)</t>
  </si>
  <si>
    <t>Rights-based organization that supports rural peoples and communities, documents land and environmental conflicts, and strengthens grassroots organization and advocacy for land/water rights and socio-environmental justice.</t>
  </si>
  <si>
    <t>It documented and engaged land/conflict dynamics frequently concentrated in Amazônia and Cerrado frontiers, while it also covered rural conflict and rights agendas in Caatinga and Mata Atlântica areas.</t>
  </si>
  <si>
    <t>Conselho Nacional das Populações Extrativistas (CNS)</t>
  </si>
  <si>
    <t>National organization/movement representing extractive communities, advocating for public policies and collective-use territories that ensure socio-environmental sustainability and forest conservation (e.g., extractive reserves).</t>
  </si>
  <si>
    <t>It represented extractive-reserve and forest-based livelihoods strongly anchored in Amazônia and it also engaged extractive/community territories in Mata Atlântica contexts where applicable.</t>
  </si>
  <si>
    <t>Articulação Nacional de Agroecologia (ANA)</t>
  </si>
  <si>
    <t>National space for convergence among movements, networks and civil society organizations engaged in agroecology and family farming, promoting knowledge exchange and policy advocacy for sustainable rural development.</t>
  </si>
  <si>
    <t>It convened agroecology networks with strong presence in Caatinga and Cerrado family-farming territories and it also mobilized agendas across Mata Atlântica and Amazônia through national articulation.</t>
  </si>
  <si>
    <t>Diaconia</t>
  </si>
  <si>
    <t>Civil society organization with strong presence in Brazil’s Northeast/Semi-arid, strengthening social processes and policy advocacy for rights, climate resilience, and sustainable community development—relevant to AFOLU and adaptation.</t>
  </si>
  <si>
    <t>It implemented programs strongly associated with the Semi-arid Caatinga and it also operated in coastal Northeast communities with coastal-maritime interfaces.</t>
  </si>
  <si>
    <t>Cáritas Brasileira</t>
  </si>
  <si>
    <t>Catholic humanitarian and social development network in Brazil working with vulnerable populations, human rights, food security and solidarity-based development (including emergency response and community resilience).</t>
  </si>
  <si>
    <t>No biome lens was assigned because humanitarian and social development actions were delivered across diverse territories without a consistent biome-delimited operational framing in this mapping.</t>
  </si>
  <si>
    <t>Federação de Órgãos para Assistência Social e Educacional (FASE)</t>
  </si>
  <si>
    <t>Brazilian NGO that strengthens grassroots groups and civic participation for rights, democracy and environmental justice, operating across multiple states in urban and rural contexts.</t>
  </si>
  <si>
    <t>No biome lens was assigned because it operated through civic participation and rights agendas across states without a stable biome-delimited project portfolio in this mapping.</t>
  </si>
  <si>
    <t>Centro de Estudos do Trabalho e de Assessoria ao Trabalhador e à Trabalhadora (CETRA)</t>
  </si>
  <si>
    <t>Civil society organization providing technical and social advisory support to family farmers and rural workers, promoting agroecology, social technologies, and territorial development—relevant to AFOLU transitions and resilience in the Semi-arid.</t>
  </si>
  <si>
    <t>It implemented agroecology and social-technology support for family farming in Semi-arid territories explicitly tied to the Caatinga biome.</t>
  </si>
  <si>
    <t>Centro de Desenvolvimento Agroecológico Sabiá (Centro Sabiá)</t>
  </si>
  <si>
    <t>NGO that promotes family farming under agroecology principles, working with agroforestry systems, territorial rural economies and policy advocacy—relevant for AFOLU transitions and climate-resilient food systems.</t>
  </si>
  <si>
    <t>It operated in Pernambuco with strong Mata Atlântica-zone rural territories and it also engaged Semi-arid interfaces connected to Caatinga through agroecology/agroforestry programming.</t>
  </si>
  <si>
    <t>Programa de Aplicação de Tecnologias Apropriadas às Comunidades (PATAC)</t>
  </si>
  <si>
    <t>Civil society organization focused on disseminating appropriate/social technologies and strengthening family farming and agroecology, especially in semi-arid contexts—supporting climate resilience, food security, and inclusive AFOLU transitions.</t>
  </si>
  <si>
    <t>It implemented social technologies and agroecology initiatives explicitly concentrated in Semi-arid territories linked to the Caatinga biome.</t>
  </si>
  <si>
    <t>Instituto de Arquitetos do Brasil (IAB)</t>
  </si>
  <si>
    <t>National professional institute for architects; supports the buildings transition by advancing technical debate, professional practice standards, and advocacy for sustainable, low-carbon and climate-resilient architecture and urban development.</t>
  </si>
  <si>
    <t>No biome lens was assigned because it operated through professional standards and advocacy rather than biome-delimited initiatives.</t>
  </si>
  <si>
    <t>Deutsche Gesellschaft für Internationale Zusammenarbeit (GIZ)</t>
  </si>
  <si>
    <t>German international cooperation agency; supports systemic transition by providing technical assistance, capacity building and policy support for energy transition, sustainable transport, resilient cities/buildings and AFOLU initiatives.</t>
  </si>
  <si>
    <t>No biome lens was assigned because the entry described broad technical cooperation and did not specify a consistent, biome-delimited portfolio in Brazil within this mapping.</t>
  </si>
  <si>
    <t>Strategic partner, Technical assistance / research, Funder</t>
  </si>
  <si>
    <t>Kreditanstalt für Wiederaufbau (KfW)</t>
  </si>
  <si>
    <t>German development bank; enables transition through concessional finance and blended-finance structures for renewable energy, urban infrastructure, sustainable land use and climate resilience.</t>
  </si>
  <si>
    <t>No biome lens was assigned because financing operated across sectors and the mapping did not isolate a stable, biome-specific project portfolio for this entry.</t>
  </si>
  <si>
    <t>Capital provider / Financial intermediary, Strategic partner</t>
  </si>
  <si>
    <t>Deutsche Investitions- und Entwicklungsgesellschaft (DEG)</t>
  </si>
  <si>
    <t>German development finance institution (DFI) focused on private-sector investment; supports transition by financing companies and projects aligned with decarbonization, sustainable value chains, and resilient infrastructure.</t>
  </si>
  <si>
    <t>No biome lens was assigned because investments were transaction-based and no consistent biome-delimited portfolio was identified in this mapping.</t>
  </si>
  <si>
    <t>Agência Francesa de Desenvolvimento (AFD)</t>
  </si>
  <si>
    <t>French development agency; supports systemic transition via financing and policy support for climate, biodiversity, sustainable cities, transport decarbonization and resilient infrastructure.</t>
  </si>
  <si>
    <t>No biome lens was assigned because the entry did not specify a biome-delimited Brazil portfolio and support was described as cross-sectoral.</t>
  </si>
  <si>
    <t>Proparco</t>
  </si>
  <si>
    <t>French DFI focused on private-sector operations; accelerates transition by financing businesses and financial institutions for renewable energy, sustainable infrastructure, and nature-positive value chains.</t>
  </si>
  <si>
    <t>No biome lens was assigned because the mapping did not confirm a stable biome-delimited investment portfolio for this entry.</t>
  </si>
  <si>
    <t>Expertise France</t>
  </si>
  <si>
    <t>French technical cooperation agency; supports transition by implementing technical assistance and institutional strengthening in climate policy, energy, sustainable mobility, urban development and territorial governance.</t>
  </si>
  <si>
    <t>No biome lens was assigned because the mapping did not confirm a consistent biome-delimited Brazil implementation portfolio for this entry.</t>
  </si>
  <si>
    <t>Agência de Cooperação Internacional do Japão (JICA)</t>
  </si>
  <si>
    <t>Japanese cooperation agency; supports transition through technical cooperation and financing windows for low-carbon energy, resilient infrastructure, disaster-risk management, sustainable transport and environmental governance.</t>
  </si>
  <si>
    <t>No biome lens was assigned because the entry did not specify a stable biome-delimited portfolio in Brazil within this mapping.</t>
  </si>
  <si>
    <t>Agência de Cooperação Internacional da Coreia (KOICA)</t>
  </si>
  <si>
    <t>Korean cooperation agency; supports systemic transition via grants and technical assistance for climate solutions, sustainable cities, clean energy, and inclusive development.</t>
  </si>
  <si>
    <t>No biome lens was assigned because the entry described broad cooperation and did not identify biome-delimited projects in Brazil for classification.</t>
  </si>
  <si>
    <t>Agência Espanhola de Cooperação Internacional para o Desenvolvimento (AECID)</t>
  </si>
  <si>
    <t>Spanish cooperation agency; contributes through grants and technical cooperation that strengthen institutions and implement programs aligned with climate resilience, sustainable urban systems and inclusive territorial development.</t>
  </si>
  <si>
    <t>No biome lens was assigned because a specific biome-delimited Brazil portfolio was not identified for this entry in the mapping.</t>
  </si>
  <si>
    <t>Agência Italiana de Cooperação para o Desenvolvimento (AICS)</t>
  </si>
  <si>
    <t>Italian cooperation agency; supports transition by funding and implementing development programs that can include climate adaptation, sustainable agriculture, resilient infrastructure and inclusive local development.</t>
  </si>
  <si>
    <t>No biome lens was assigned because the entry did not confirm publicly identifiable, biome-delimited implementation in Brazil for classification.</t>
  </si>
  <si>
    <t>Agência Suíça para o Desenvolvimento e Cooperação (COSUDE)</t>
  </si>
  <si>
    <t>Swiss cooperation agency; supports systemic transition via technical cooperation and grants focused on climate resilience, natural resources governance, sustainable value chains and inclusive development.</t>
  </si>
  <si>
    <t>No biome lens was assigned because the mapping did not confirm a stable biome-delimited Brazil portfolio for this entry.</t>
  </si>
  <si>
    <t>Agência Sueca de Cooperação para o Desenvolvimento Internacional (Sida)</t>
  </si>
  <si>
    <t>Swedish development agency; contributes through grants and partnerships strengthening climate action, democratic governance and inclusive, sustainable development—including nature and land-use agendas.</t>
  </si>
  <si>
    <t>No biome lens was assigned because the entry described broad grantmaking/partnerships and did not identify biome-delimited implementation in Brazil for this mapping.</t>
  </si>
  <si>
    <t>Agência Dinamarquesa para o Desenvolvimento Internacional (DANIDA)</t>
  </si>
  <si>
    <t>Danish development cooperation; supports transition through financing and technical assistance for climate mitigation/adaptation, clean energy, resilient infrastructure and sustainable development programs.</t>
  </si>
  <si>
    <t>No biome lens was assigned because a Brazil-facing, biome-delimited portfolio was not confirmed in this mapping entry.</t>
  </si>
  <si>
    <t>Agência Norueguesa de Cooperação para o Desenvolvimento (Norad)</t>
  </si>
  <si>
    <t>Norwegian development cooperation agency; supports systemic transition via funding and oversight of programs related to climate, forests, renewable energy and inclusive development.</t>
  </si>
  <si>
    <t>It supported forest and climate programming most visibly associated with Amazon protection and it also engaged land-use governance agendas connected to the Cerrado.</t>
  </si>
  <si>
    <t>Iniciativa Internacional de Clima e Florestas da Noruega (NICFI)</t>
  </si>
  <si>
    <t>Norwegian international initiative focused on climate and forests; supports AFOLU transition by financing forest conservation, deforestation reduction and partnerships that strengthen governance and results-based approaches.</t>
  </si>
  <si>
    <t>It financed large-scale forest and deforestation-reduction efforts most consistently linked to the Amazon and it also supported forest-positive agendas relevant to the Cerrado frontier.</t>
  </si>
  <si>
    <t>Ministério das Relações Exteriores, Commonwealth e Desenvolvimento do Reino Unido (FCDO)</t>
  </si>
  <si>
    <t>UK government ministry leading international development and diplomacy; supports systemic transition by setting strategy and funding international cooperation in climate, energy transition, sustainable infrastructure and nature.</t>
  </si>
  <si>
    <t>No biome lens was assigned because the entry described broad international cooperation and did not confirm a biome-delimited Brazil implementation focus.</t>
  </si>
  <si>
    <t>UK PACT</t>
  </si>
  <si>
    <t>UK program providing technical assistance and capacity building for climate policy and implementation; supports transition by accelerating decarbonization solutions in energy, transport, cities/buildings and land-use agendas through partnerships.</t>
  </si>
  <si>
    <t>No biome lens was assigned because the portfolio was described as cross-sector policy/TA and this mapping did not confirm stable, biome-delimited projects.</t>
  </si>
  <si>
    <t>Delegação da União Europeia no Brasil (UE)</t>
  </si>
  <si>
    <t>EU representation that coordinates cooperation and partnerships; supports transition by mobilizing programs and partnerships for climate, energy transition, sustainable transport, resilient cities and nature-positive development.</t>
  </si>
  <si>
    <t>No biome lens was assigned because the entry did not specify biome-delimited implementation in Brazil for classification.</t>
  </si>
  <si>
    <t>Policy influence / regulation, Funder, Strategic partner</t>
  </si>
  <si>
    <t>Banco Europeu de Investimento (BEI)</t>
  </si>
  <si>
    <t>European multilateral development bank; enables systemic transition through long-term finance and de-risking for renewable energy, sustainable transport, resilient urban infrastructure and climate/nature investments.</t>
  </si>
  <si>
    <t>No biome lens was assigned because financing was transaction-based and no consistent biome-delimited Brazil portfolio was identified in this mapping entry.</t>
  </si>
  <si>
    <t>Lux-Development (LuxDev)</t>
  </si>
  <si>
    <t>Luxembourg’s development cooperation agency; supports systemic transition through grants and technical cooperation for climate, resilient infrastructure, sustainable value chains and inclusive development in partner countries.</t>
  </si>
  <si>
    <t>No biome lens was assigned because a Brazil-facing, biome-delimited implementation portfolio was not confirmed for this entry.</t>
  </si>
  <si>
    <t>Luxembourg, Luxembourg</t>
  </si>
  <si>
    <t>Irish Aid (Irish Aid)</t>
  </si>
  <si>
    <t>Ireland’s development cooperation program; supports systemic transition through funding and partnerships focused on poverty reduction, resilience, climate action and sustainable development.</t>
  </si>
  <si>
    <t>No biome lens was assigned because the entry did not confirm biome-delimited implementation in Brazil within this mapping.</t>
  </si>
  <si>
    <t>Agência Austríaca de Desenvolvimento (ADA)</t>
  </si>
  <si>
    <t>Austria’s development cooperation agency; contributes via grants and technical assistance supporting climate mitigation/adaptation, sustainable infrastructure and inclusive local development.</t>
  </si>
  <si>
    <t>Camões – Instituto da Cooperação e da Língua (Camões, I.P.)</t>
  </si>
  <si>
    <t>Portugal’s institute for international cooperation and language; supports systemic transition through cooperation programs, institutional strengthening and partnerships that may include climate and sustainable development agendas.</t>
  </si>
  <si>
    <t>No biome lens was assigned because the entry did not identify biome-delimited initiatives in Brazil for classification.</t>
  </si>
  <si>
    <t>Misereor (Misereor)</t>
  </si>
  <si>
    <t>German Catholic development organization (grantmaker/partner); supports systemic transition by funding civil society, rights-based approaches and sustainable livelihoods, often connected to land rights, food systems and environmental justice.</t>
  </si>
  <si>
    <t>No biome lens was assigned because the mapping did not confirm a consistent, Brazil-specific biome-delimited implementation portfolio for this entry.</t>
  </si>
  <si>
    <t>Aachen, Germany</t>
  </si>
  <si>
    <t>Trias (Trias vzw)</t>
  </si>
  <si>
    <t>International NGO focused on strengthening entrepreneurship and cooperatives; supports AFOLU and inclusive transition by building capacities of farmers’ organizations, SMEs and value chains for resilient, sustainable local economies.</t>
  </si>
  <si>
    <t>No biome lens was assigned because a biome-delimited Brazil portfolio was not confirmed for this entry.</t>
  </si>
  <si>
    <t>Brot für die Welt (Brot für die Welt)</t>
  </si>
  <si>
    <t>Protestant development organization (grantmaker/partner); supports systemic transition by funding civil society and community-based programs on rights, food systems, climate resilience and environmental justice.</t>
  </si>
  <si>
    <t>No biome lens was assigned because the entry did not confirm biome-delimited implementation in Brazil for classification.</t>
  </si>
  <si>
    <t>Catholic Agency for Overseas Development (CAFOD)</t>
  </si>
  <si>
    <t>UK Catholic development NGO; supports systemic transition through rights-based humanitarian and development work, including climate resilience, livelihoods, and advocacy aligned with just transition outcomes.</t>
  </si>
  <si>
    <t>No biome lens was assigned because the entry did not confirm a stable, biome-delimited Brazil portfolio in this mapping.</t>
  </si>
  <si>
    <t>Fundação Heinrich Böll (Heinrich Böll Stiftung)</t>
  </si>
  <si>
    <t>Political foundation linked to the German Green movement; supports systemic transition through policy dialogue, research, convening and grants focused on climate, democracy, gender and socio-environmental justice.</t>
  </si>
  <si>
    <t>No biome lens was assigned because it operated through policy dialogue/grants and the mapping did not confirm biome-delimited Brazil initiatives for classification.</t>
  </si>
  <si>
    <t>Funder, Technical assistance / research, Policy influence / regulation</t>
  </si>
  <si>
    <t>Fundação Friedrich Ebert (Friedrich-Ebert-Stiftung)</t>
  </si>
  <si>
    <t>Political foundation linked to German social democracy; supports transition through policy dialogue, research and partnerships on inclusive development, decent work, governance and climate/energy debates.</t>
  </si>
  <si>
    <t>No biome lens was assigned because it acted through policy dialogue and the mapping did not confirm biome-delimited Brazil programs for classification.</t>
  </si>
  <si>
    <t>Fundação Konrad Adenauer (Konrad-Adenauer-Stiftung)</t>
  </si>
  <si>
    <t>Political foundation linked to German Christian democracy; contributes through policy dialogue, governance support and programs that may include sustainable development, energy transition and institutional strengthening.</t>
  </si>
  <si>
    <t>No biome lens was assigned because biome-delimited implementation in Brazil was not confirmed for this entry.</t>
  </si>
  <si>
    <t>Fundação Rosa Luxemburgo (Rosa-Luxemburg-Stiftung)</t>
  </si>
  <si>
    <t>Political foundation linked to democratic socialism; supports systemic transition via research, convening and partnerships emphasizing social justice, rights, and critical perspectives on development and climate.</t>
  </si>
  <si>
    <t>No biome lens was assigned because the entry described convening/research and did not confirm biome-delimited Brazil initiatives.</t>
  </si>
  <si>
    <t>Plan International Brasil (Plan International)</t>
  </si>
  <si>
    <t>International NGO focused on children’s and girls’ rights; supports systemic transition by strengthening resilience, education and protection, with programs that can intersect with climate impacts and inclusive urban/rural development.</t>
  </si>
  <si>
    <t>No biome lens was assigned because the entry did not indicate a biome-delimited portfolio and programs were organized by communities/municipalities rather than biomes.</t>
  </si>
  <si>
    <t>Capacity building partner</t>
  </si>
  <si>
    <t>Save the Children Brasil (Save the Children)</t>
  </si>
  <si>
    <t>International NGO focused on children’s rights and humanitarian response; supports systemic transition by addressing vulnerability, resilience and protection, including in climate-affected contexts.</t>
  </si>
  <si>
    <t>No biome lens was assigned because the mapping did not confirm a biome-delimited Brazil implementation portfolio for this entry.</t>
  </si>
  <si>
    <t>Visão Mundial (Visão Mundial)</t>
  </si>
  <si>
    <t>International humanitarian and development NGO; supports systemic transition through community-based development, emergency response and resilience building, including in climate-vulnerable territories.</t>
  </si>
  <si>
    <t>No biome lens was assigned because the entry did not confirm biome-delimited programming and actions were organized by communities/regions rather than biomes.</t>
  </si>
  <si>
    <t>Movimento dos Trabalhadores Rurais Sem Terra (MST)</t>
  </si>
  <si>
    <t>Mass social movement for agrarian reform and rural rights; influences AFOLU transition through advocacy, territorial organization, agroecology and food sovereignty agendas.</t>
  </si>
  <si>
    <t>It organized land/agroecology struggles strongly present in Cerrado and Mata Atlântica rural zones and it also operated in Caatinga and Amazônia territories through national capillarity.</t>
  </si>
  <si>
    <t>Movimento dos Trabalhadores Sem Teto (MTST)</t>
  </si>
  <si>
    <t>Urban housing rights movement; relevant to buildings/urban transition through advocacy for inclusive housing policy, urban services and just city development.</t>
  </si>
  <si>
    <t>No biome lens was assigned because it operated as an urban movement and the territorial unit was metropolitan/peripheral areas rather than biomes.</t>
  </si>
  <si>
    <t>Movimento dos Atingidos por Barragens (MAB)</t>
  </si>
  <si>
    <t>Movement representing communities affected by dams and energy projects; relevant to energy transition governance, safeguards, compensation and rights-based infrastructure planning.</t>
  </si>
  <si>
    <t>It mobilized around large hydropower and river-basin conflicts prominently affecting Amazon and Atlantic Forest regions and it also acted in Cerrado and Caatinga basins through national coverage.</t>
  </si>
  <si>
    <t>Movimento dos Pequenos Agricultores (MPA)</t>
  </si>
  <si>
    <t>Rural movement representing small farmers; supports AFOLU transition through agroecology, food sovereignty and advocacy for inclusive rural policies and resilient production systems.</t>
  </si>
  <si>
    <t>It organized smallholder and agroecology agendas strongly associated with Semi-arid Caatinga and Cerrado family-farming territories and it also acted in Mata Atlântica and Amazônia contexts via national presence.</t>
  </si>
  <si>
    <t>Movimento pela Soberania Popular na Mineração (MAM)</t>
  </si>
  <si>
    <t>Social movement focused on mining impacts and sovereignty; relevant to just transition by advocating for socio-environmental safeguards, community rights and responsible mineral supply chains.</t>
  </si>
  <si>
    <t>It mobilized around mining frontiers and socio-environmental conflicts frequently concentrated in Amazônia and mining corridors in Mata Atlântica states and it also engaged Cerrado mining expansion areas.</t>
  </si>
  <si>
    <t>Confederação Nacional dos Trabalhadores Rurais Agricultores e Agricultoras Familiares (CONTAG)</t>
  </si>
  <si>
    <t>National confederation representing rural workers and family farmers; central to AFOLU transition via advocacy, collective organization, and policy engagement for inclusive, resilient rural development.</t>
  </si>
  <si>
    <t>It represented large family-farming bases strongly present in Caatinga and Cerrado territories and it also engaged national agendas affecting Mata Atlântica and Amazônia rural workers.</t>
  </si>
  <si>
    <t>Coordenação Nacional de Articulação das Comunidades Negras Rurais Quilombolas (CONAQ)</t>
  </si>
  <si>
    <t>National articulation of Quilombola communities; critical for territorial rights, socio-environmental justice and nature-positive development aligned with AFOLU and just transition goals.</t>
  </si>
  <si>
    <t>It defended Quilombola territorial rights with strong incidence in Mata Atlântica and Cerrado areas and it also engaged Amazon and Caatinga quilombola territories through national articulation.</t>
  </si>
  <si>
    <t>Movimento Negro Unificado (MNU)</t>
  </si>
  <si>
    <t>Black movement organization advocating racial justice; relevant for just transition by linking climate and development agendas to equity, rights and anti-racism in policy and governance.</t>
  </si>
  <si>
    <t>No biome lens was assigned because it operated through social/political advocacy without biome-delimited initiatives in this mapping.</t>
  </si>
  <si>
    <t>Movimento de Mulheres Camponesas (MMC)</t>
  </si>
  <si>
    <t>Movement of peasant women; supports AFOLU transition through agroecology, food systems, gender justice and rural livelihoods advocacy.</t>
  </si>
  <si>
    <t>It advanced agroecology and rural women’s organizing strongly present in Caatinga and Mata Atlântica rural territories and it also operated in Cerrado and Amazônia contexts through national reach.</t>
  </si>
  <si>
    <t>Community legitimacy / proximate leadership</t>
  </si>
  <si>
    <t>Passo Fundo, RS, Brazil</t>
  </si>
  <si>
    <t>Movimento Interestadual das Quebradeiras de Coco Babaçu (MIQCB)</t>
  </si>
  <si>
    <t>Movement representing babaçu coconut breakers; relevant to AFOLU transition through defense of access rights, socio-biodiversity value chains and community-based forest/agroextractive economies.</t>
  </si>
  <si>
    <t>It operated in the babaçu zone strongly associated with Cerrado transition areas and it also engaged forest–frontier territories connected to Amazônia interfaces.</t>
  </si>
  <si>
    <t>São Luís, MA, Brazil</t>
  </si>
  <si>
    <t>Conselho Pastoral dos Pescadores (CPP)</t>
  </si>
  <si>
    <t>Rights-based pastoral organization supporting artisanal fishing communities; relevant to just transition and AFOLU by advocating for livelihoods, territorial waters rights and protection of traditional communities.</t>
  </si>
  <si>
    <t>It supported artisanal fishing agendas primarily in coastal-maritime territories and it also engaged riverine/fishing conflicts linked to Amazônia and Mata Atlântica coastal states.</t>
  </si>
  <si>
    <t>Movimento Nacional de Catadores de Materiais Recicláveis (MNCR)</t>
  </si>
  <si>
    <t>National movement of recyclables collectors; relevant to buildings/cities transition via circular economy, waste management justice and inclusion of waste picker cooperatives.</t>
  </si>
  <si>
    <t>No biome lens was assigned because it operated in urban waste systems across municipalities rather than biome-delimited territories.</t>
  </si>
  <si>
    <t>Central de Movimentos Populares (CMP)</t>
  </si>
  <si>
    <t>Umbrella movement connecting popular urban and rural organizations; relevant to just transition by mobilizing civil society for inclusive policies on housing, services, and rights.</t>
  </si>
  <si>
    <t>No biome lens was assigned because it acted as a cross-territory social articulation without biome-delimited initiatives in this mapping.</t>
  </si>
  <si>
    <t>Articulação dos Povos Indígenas do Nordeste, Minas Gerais e Espírito Santo (APOINME)</t>
  </si>
  <si>
    <t>Regional Indigenous articulation; supports territorial rights and climate/AFOLU agendas through representation and coordination of Indigenous organizations.</t>
  </si>
  <si>
    <t>It coordinated Indigenous organizations across the Northeast with strong Caatinga presence and it also covered Minas Gerais/Espírito Santo territories linked to Mata Atlântica.</t>
  </si>
  <si>
    <t>Federação das Organizações Indígenas do Rio Negro (FOIRN)</t>
  </si>
  <si>
    <t>Indigenous federation in the Rio Negro region; central for territorial governance, rights protection and community-led conservation in the Amazon.</t>
  </si>
  <si>
    <t>It operated in the Rio Negro Amazon region and maintained an explicit Amazônia biome linkage.</t>
  </si>
  <si>
    <t>São Gabriel da Cachoeira, AM, Brazil</t>
  </si>
  <si>
    <t>Conselho Indígena de Roraima (CIR)</t>
  </si>
  <si>
    <t>Indigenous council representing peoples in Roraima; supports territorial rights, governance and protection of forests and communities.</t>
  </si>
  <si>
    <t>It acted in Roraima with strong Amazon territorial linkage and it also operated across savanna/transition landscapes connected to Cerrado-like formations in the state.</t>
  </si>
  <si>
    <t>Boa Vista, RR, Brazil</t>
  </si>
  <si>
    <t>Hutukara Associação Yanomami (HAY)</t>
  </si>
  <si>
    <t>Yanomami association supporting territorial protection, health and rights; relevant to AFOLU and just transition through safeguarding Indigenous lands and addressing illegal pressures.</t>
  </si>
  <si>
    <t>It operated to safeguard Yanomami territories located in the Amazônia biome.</t>
  </si>
  <si>
    <t>Movimento Xingu Vivo para Sempre</t>
  </si>
  <si>
    <t>Social movement coalition in the Xingu region; relevant to energy and AFOLU transitions through advocacy on rights, safeguards and territorial protection in infrastructure and land-use decisions.</t>
  </si>
  <si>
    <t>It mobilized around the Xingu basin strongly linked to Amazônia and it also engaged the Amazon–Cerrado interface where frontier pressures were relevant.</t>
  </si>
  <si>
    <t>Altamira, PA, Brazil</t>
  </si>
  <si>
    <t>Rede Xingu+ (Rede Xingu+)</t>
  </si>
  <si>
    <t>Network of Indigenous and traditional peoples and partners in the Xingu basin; supports territorial governance, restoration and sustainable livelihoods aligned with AFOLU and just transition goals.</t>
  </si>
  <si>
    <t>It supported territorial governance and restoration in the Xingu basin within Amazônia and it also operated across Cerrado transition areas in the wider basin.</t>
  </si>
  <si>
    <t>Movimento Tapajós Vivo</t>
  </si>
  <si>
    <t>Social movement coalition in the Tapajós region; relevant to energy and AFOLU transitions through advocacy on territorial rights, safeguards and responsible infrastructure planning.</t>
  </si>
  <si>
    <t>It operated in Tapajós territories explicitly linked to the Amazônia biome.</t>
  </si>
  <si>
    <t>Articulação Nacional de Economia Solidária (FBES)</t>
  </si>
  <si>
    <t>National forum/network for solidarity economy; supports transition through cooperative and inclusive economic models, strengthening community enterprises in green and circular value chains.</t>
  </si>
  <si>
    <t>No biome lens was assigned because it acted through socio-economic organizing across territories and did not present biome-delimited initiatives in this mapping.</t>
  </si>
  <si>
    <t>Movimento Atingidos pelas Renováveis (MAR)</t>
  </si>
  <si>
    <t>Movement focused on communities affected by renewable energy projects; relevant to energy transition by advocating safeguards, fair benefit-sharing and community rights in clean energy expansion.</t>
  </si>
  <si>
    <t>It engaged conflicts and safeguard agendas strongly associated with wind/renewables expansion in Caatinga-region states and it also connected to Cerrado and coastal-maritime project corridors through national action.</t>
  </si>
  <si>
    <t>Seridó Vivo (Seridó Vivo)</t>
  </si>
  <si>
    <t>Regional network/initiative in the Seridó (Semi-arid Northeast); supports AFOLU and resilience by mobilizing territorial action around water security, sustainable livelihoods and climate adaptation.</t>
  </si>
  <si>
    <t>It operated in the Semi-arid Seridó territory and aligned action with the Caatinga biome.</t>
  </si>
  <si>
    <t>Caicó, RN, Brazil</t>
  </si>
  <si>
    <t>Coalizão Energia Limpa (Coalizão Energia Limpa)</t>
  </si>
  <si>
    <t>Civil society coalition advocating for clean energy and a just energy transition; supports systemic transition through coordination, policy engagement and public communication.</t>
  </si>
  <si>
    <t>No biome lens was assigned because it operated through national energy policy advocacy rather than biome-delimited initiatives.</t>
  </si>
  <si>
    <t>União Nacional de Catadoras e Catadores (Unicatadores)</t>
  </si>
  <si>
    <t>National union/network of waste picker cooperatives; supports transition through circular economy inclusion, improved livelihoods and advocacy for fair waste management systems in cities.</t>
  </si>
  <si>
    <t>Implementation capacity (delivery), Community legitimacy / proximate leadership</t>
  </si>
  <si>
    <t>Confederação Nacional da Indústria (CNI)</t>
  </si>
  <si>
    <t>Brazil’s peak industry confederation representing industrial federations and sectoral associations; convenes private-sector stakeholders and engages in policy advocacy, technical studies, and programs on competitiveness, innovation, energy/industrial transition, infrastructure and logistics, and sustainable production.</t>
  </si>
  <si>
    <t>No biome lens was assigned because it acted through national industrial policy and sector coordination without biome-delimited implementation in this mapping.</t>
  </si>
  <si>
    <t>Petrobras</t>
  </si>
  <si>
    <t>Brazilian state-controlled energy company focused on oil &amp; gas production, refining and energy supply; relevant to the climate/energy transition through its decarbonization agenda and influence on Brazil’s energy system.</t>
  </si>
  <si>
    <t>No biome lens was assigned because the company operates nationwide/offshore and the mapping did not isolate a stable biome-specific operational portfolio.</t>
  </si>
  <si>
    <t>Implementation capacity (delivery), Policy influence / regulation</t>
  </si>
  <si>
    <t>Eletrobrás</t>
  </si>
  <si>
    <t>Brazilian electric power company with major generation and transmission assets; central to Brazil’s power system and energy transition. (The group announced a corporate rebranding to “Axia Energia” effective 10/11/2025 (segunda-feira).)</t>
  </si>
  <si>
    <t>No biome lens was assigned because operations are nationwide and the mapping did not isolate a stable biome-specific operational portfolio.</t>
  </si>
  <si>
    <t>Vox Capital</t>
  </si>
  <si>
    <t>Brazilian impact investment manager/VC investing in scalable businesses with measurable social and environmental impact.</t>
  </si>
  <si>
    <t>No biome lens was assigned because the investment portfolio is multi-sector and not restricted to a single biome.</t>
  </si>
  <si>
    <t>Meraki Impact</t>
  </si>
  <si>
    <t>Impact-first investor providing catalytic capital for regenerative food systems and nature-positive solutions (with operations in Brazil).</t>
  </si>
  <si>
    <t>No biome lens was assigned because the investment focus is thematic (regenerative food systems) and multi-geography.</t>
  </si>
  <si>
    <t>Fundo Vale</t>
  </si>
  <si>
    <t>Socio-environmental fund linked to Vale that supports initiatives for conservation, restoration and sustainable development (including the Amazon and other priority territories).</t>
  </si>
  <si>
    <t>Portfolio includes conservation and sustainable development initiatives in priority biomes, especially Amazonia and Atlantic Forest.</t>
  </si>
  <si>
    <t>Instituto Natura</t>
  </si>
  <si>
    <t>Institute created by Natura focused on improving public education and strengthening learning outcomes (social resilience and equity).</t>
  </si>
  <si>
    <t>No biome lens was assigned because the institute’s mission is social/education-focused rather than biome-specific.</t>
  </si>
  <si>
    <t>Funder, Implementation capacity (delivery)</t>
  </si>
  <si>
    <t>Amazon Investor Coalition</t>
  </si>
  <si>
    <t>Nonprofit investor coalition that connects philanthropies, investors, corporate buyers and allies to reduce deforestation and strengthen a forest-positive bioeconomy across the Amazon region.</t>
  </si>
  <si>
    <t>Explicit focus on reducing deforestation and advancing bioeconomy solutions across the Amazon region.</t>
  </si>
  <si>
    <t>Convenor/enablers, Data / MRV / platforms</t>
  </si>
  <si>
    <t>Global (virtual coalition)</t>
  </si>
  <si>
    <t>Deforestation and bioeconomy outcome monitoring, data for investor accountability in the Amazon</t>
  </si>
  <si>
    <t>Fundo pela Amazônia</t>
  </si>
  <si>
    <t>Philanthropic fund created by JBS (“Fundo Pela Amazônia”) to support projects for conservation and sustainable development in the Amazon.</t>
  </si>
  <si>
    <t>Explicit Amazon focus through project funding dedicated to the biome and its peoples/territories.</t>
  </si>
  <si>
    <t>PPA</t>
  </si>
  <si>
    <t>Multi-stakeholder platform (“Parceiros pela Amazônia”) that articulates partnerships and support to strengthen sustainable development and forest-positive solutions in the Amazon.</t>
  </si>
  <si>
    <t>Platform explicitly centered on the Amazon and partnership building for sustainable territorial development.</t>
  </si>
  <si>
    <t>Biofilica</t>
  </si>
  <si>
    <t>Brazilian company specialized in nature-based solutions and carbon markets (e.g., forest conservation and restoration projects).</t>
  </si>
  <si>
    <t>Operational footprint linked to forest conservation/restoration and carbon projects, notably in Amazonia and Atlantic Forest contexts.</t>
  </si>
  <si>
    <t>Project developer / Implementer, Capital provider / Financial intermediary</t>
  </si>
  <si>
    <t>Engajamundo</t>
  </si>
  <si>
    <t>Brazilian youth-led organization focused on climate advocacy, participation in international processes and mobilization for socio-environmental justice.</t>
  </si>
  <si>
    <t>No biome lens was assigned because the organization’s work is advocacy/mobilization across agendas and territories.</t>
  </si>
  <si>
    <t>Youth Climate Leaders</t>
  </si>
  <si>
    <t>Youth network/program supporting climate leadership, community engagement and advocacy for climate action (Brazil/LatAm focus).</t>
  </si>
  <si>
    <t>No biome lens was assigned because activities are network-based and multi-territory.</t>
  </si>
  <si>
    <t>Brazil (multi-city / network)</t>
  </si>
  <si>
    <t>Climate Disclosure Project</t>
  </si>
  <si>
    <t>Global nonprofit (CDP) that runs a disclosure system for companies, cities and regions to report environmental impacts and climate-related data, supporting transparency and accountability.</t>
  </si>
  <si>
    <t>No biome lens was assigned because CDP’s work is cross-sector and based on disclosure/data systems rather than place-based operations.</t>
  </si>
  <si>
    <t>London, UK</t>
  </si>
  <si>
    <t>Corporate and city climate data disclosure system, GHG reporting and environmental accountability</t>
  </si>
  <si>
    <t>Tré</t>
  </si>
  <si>
    <t>Brazilian impact investing/venture philanthropy initiative (“Trê Investindo em Gente”) supporting social and environmental solutions through capital, governance support and partnerships.</t>
  </si>
  <si>
    <t>No biome lens was assigned because the investment/support portfolio is cross-thematic and not restricted to a single biome.</t>
  </si>
  <si>
    <t>Capital provider / Financial intermediary, Funder</t>
  </si>
  <si>
    <t>Rede Pajeú de Agroecologia</t>
  </si>
  <si>
    <t>Rede Pajeú de Agroecologia (RPA): network of organizations and communities promoting agroecology, food security and climate resilience in Brazil’s semi-arid region (Pernambuco/Caatinga).</t>
  </si>
  <si>
    <t>Explicit semi-arid/Caatinga territorial focus through agroecology and community-based resilience initiatives.</t>
  </si>
  <si>
    <t>Territorial anchor, Project developer / Implementer</t>
  </si>
  <si>
    <t>Serra Talhada, PE, Brazil</t>
  </si>
  <si>
    <t>COPPE-UFRJ</t>
  </si>
  <si>
    <t>Federal University of Rio de Janeiro (UFRJ): major public research university contributing scientific research and talent formation, including in energy, climate and sustainability fields.</t>
  </si>
  <si>
    <t>No biome lens was assigned because research activities are cross-sector and not tied to a single biome portfolio.</t>
  </si>
  <si>
    <t>Research and knowledge partner</t>
  </si>
  <si>
    <t>Energy systems modelling, GHG inventories, climate scenarios and low-carbon transition research</t>
  </si>
  <si>
    <t>CERTI</t>
  </si>
  <si>
    <t>Fundação CERTI: Brazilian science, technology and innovation center supporting applied R&amp;D, entrepreneurship and technology solutions (including sustainability and energy-related innovation).</t>
  </si>
  <si>
    <t>Florianopólis, SC, Brazil</t>
  </si>
  <si>
    <t>Pacto Contra a Fome</t>
  </si>
  <si>
    <t>Coalizão multissetorial e sem fins lucrativos que articula governo, empresas, academia e sociedade civil para combater a fome e reduzir o desperdício de alimentos no Brasil, fortalecendo políticas públicas e incentivos e conectando iniciativas e apoiadores via HUB.</t>
  </si>
  <si>
    <t>No biome lens was assigned because the agenda is national (food security and waste reduction) and not tied to a single biome.</t>
  </si>
  <si>
    <t>Convenor/enablers, Policy influence / regulation, Data / MRV / platforms</t>
  </si>
  <si>
    <t>Good Energies Foundation (Porticus)</t>
  </si>
  <si>
    <t>Swiss-based philanthropic organisation (part of Porticus) funding initiatives to reverse climate change impacts through two priorities: access to clean energy and protection of tropical forests.</t>
  </si>
  <si>
    <t>No biome lens was assigned because the foundation’s focus is global (clean energy access) and tropical forests across regions rather than a single named biome.</t>
  </si>
  <si>
    <t>Zug, Switzerland</t>
  </si>
  <si>
    <t>mail@goodenergies.org</t>
  </si>
  <si>
    <t>MOV Investimentos</t>
  </si>
  <si>
    <t>Brazilian impact investment manager (founded 2012) that invests and co-creates scalable companies to reduce social inequalities and reverse environmental degradation; its current vehicle (FIP MOV 2, launched 2022) focuses on nature-based solutions for the Brazilian Amazon.</t>
  </si>
  <si>
    <t>The fund thesis explicitly targets the Brazilian Amazon through nature-based solutions that value forest/biodiversity, reduce deforestation and regenerate degraded areas.</t>
  </si>
  <si>
    <t>Stakeholder</t>
  </si>
  <si>
    <t>AS-PTA – Agricultura Familiar e Agroecologia</t>
  </si>
  <si>
    <t>Social movements</t>
  </si>
  <si>
    <t>Misereor</t>
  </si>
  <si>
    <t>Land, Food and Forest</t>
  </si>
  <si>
    <t>Biome</t>
  </si>
  <si>
    <t>Definition</t>
  </si>
  <si>
    <t>For-profit market actors (companies, holdings, operators, service providers). Contribute through investment, production and delivery, innovation, supply chains, and sector influence.</t>
  </si>
  <si>
    <t>State institutions (ministries, agencies, public authorities, public banks, public universities, etc.). Contribute through policymaking and implementation, regulation, enforcement, and delivery of public services and public investment.</t>
  </si>
  <si>
    <t>Non-profit organization</t>
  </si>
  <si>
    <t>Non-profit actors (NGOs, philanthropic foundations, institutes, civil society associations and networks). Contribute through advocacy, applied research, local implementation, philanthropy, and capacity building.</t>
  </si>
  <si>
    <t>Hybrid or cross-cutting arrangements that do not fit neatly into the categories above (e.g., grassroots networks, social movements, multi-stakeholder coalitions, sector platforms/consortia). Often contribute through coordination, convening, and provision of public goods (e.g., data, standards, collective agendas).</t>
  </si>
  <si>
    <t>Federal-level government bodies (ministries, secretariats, and attached entities). Set national strategies, policies and programs, and coordinate across levels of government.</t>
  </si>
  <si>
    <t>Large, leading companies (national or multinational). Have scale to invest, innovate, decarbonize operations, and shape supply chains and market standards.</t>
  </si>
  <si>
    <t>Small and medium-sized companies and local enterprises. Often implement and scale solutions in niches and territories, generating jobs and incremental innovation.</t>
  </si>
  <si>
    <t>NGOs</t>
  </si>
  <si>
    <t>Non-profit civil society organizations focused on advocacy, implementation and/or technical support across rights, climate, conservation, inclusion, services and public mobilization.</t>
  </si>
  <si>
    <t>Organizations focused on policy-relevant analysis and applied research. Typically influence decisions and narratives through evidence, recommendations and convening (often with limited operational delivery).</t>
  </si>
  <si>
    <t>Social moviments</t>
  </si>
  <si>
    <t>Organized social movements (rural, urban or thematic). Influence change through mobilization, political pressure, rights defense, and agenda-setting.</t>
  </si>
  <si>
    <t>IFs</t>
  </si>
  <si>
    <t>Financial institutions (umbrella category when not specified—banks, DFIs, exchanges, market operators). Influence transition through lending/investment, risk management and financial product/instrument development.</t>
  </si>
  <si>
    <t>Institutional investors (asset managers, funds, holdings, insurers, pension funds, etc.). Influence transition via capital allocation, stewardship/engagement, governance and climate/nature risk management.</t>
  </si>
  <si>
    <t>Philanthropic foundations and grantmakers. Fund actors, networks and agendas; take early risk, build capacity, and catalyze innovation and coalitions.</t>
  </si>
  <si>
    <t>Universities and higher-education institutions. Contribute through training, research, extension/outreach and technical-scientific support.</t>
  </si>
  <si>
    <t>Research institutes and centers (public or non-profit). Produce applied science, data and technical solutions; often run monitoring and evaluation.</t>
  </si>
  <si>
    <t>Initiatives with shared governance across sectors (companies, government, civil society, finance). Coordinate commitments, shared agendas, standards and collaborative implementation.</t>
  </si>
  <si>
    <t>Organizations with direct territorial delivery (technical assistance, community projects, pilots and local scaling). Turn strategies into results on the ground and feed lessons back into policy.</t>
  </si>
  <si>
    <t>Coalitions and coordination platforms (often lighter governance). Focus on alignment, advocacy and joint positioning among multiple actors.</t>
  </si>
  <si>
    <t>Public regulatory and oversight bodies. Set rules, license, monitor and enforce compliance; can induce standards and provide regulatory certainty.</t>
  </si>
  <si>
    <t>Sector associations, federations and industry platforms (including councils/chambers). Coordinate interests, technical standards and sector roadmaps for competitiveness and transition.</t>
  </si>
  <si>
    <t>Commercial banks (public or private) focused on financial intermediation. Influence transition through credit, financial products and sector/territory risk management.</t>
  </si>
  <si>
    <t>National or regional development banks with long-term mandates. Finance infrastructure and strategic sectors; often structure blended finance and de-risking mechanisms.</t>
  </si>
  <si>
    <t>Multilateral development banks (e.g., IDB, World Bank Group, EIB). Provide finance and policy support, safeguards, technical assistance and de-risking instruments.</t>
  </si>
  <si>
    <t>Impact investors (funds/vehicles) seeking financial return plus measurable socio-environmental impact. Often support innovative models and early/growth-stage scaling.</t>
  </si>
  <si>
    <t>Government bilateral cooperation agencies. Provide grants, technical assistance and (sometimes) concessional finance aligned with strategic agendas (climate, energy, cities, AFOLU, etc.).</t>
  </si>
  <si>
    <t>Territorial/community-based networks and articulations. Connect local actors, coordinate collective action, and amplify territorial priorities and rights.</t>
  </si>
  <si>
    <t>Multilateral organizations (UN system and others). Coordinate norms and programs, implement projects and support public policies and institutional capacity building.</t>
  </si>
  <si>
    <t>Primary impact area (sector of interest / Nexuses)</t>
  </si>
  <si>
    <t xml:space="preserve">Energy </t>
  </si>
  <si>
    <t>primary activities relate to the production, distribution, regulation, financing, planning or use of energy, with a focus on the transition to low-carbon energy systems. This includes electricity generation, fuels, energy efficiency, electrification of end uses, energy infrastructure and associated public policies, as well as actors involved in innovation, financing or governance of the energy transition.</t>
  </si>
  <si>
    <t xml:space="preserve">Transport </t>
  </si>
  <si>
    <t>involved in systems for the movement of people and goods, including urban mobility, logistics and transport infrastructure, and the transition to low-emission transport modes. This includes road, rail, waterborne and urban transport, as well as fleet electrification, alternative fuels, mobility planning, regulation, financing and integrated transport solutions.</t>
  </si>
  <si>
    <t>Buildings</t>
  </si>
  <si>
    <t>activities relate to the built environment, including residential, commercial and public buildings. This includes construction, retrofit, building materials, energy and water efficiency, building-related urban planning, social housing, and policies, standards or financing mechanisms linked to construction and the environmental performance of buildings.</t>
  </si>
  <si>
    <t xml:space="preserve">Land use, food and forest </t>
  </si>
  <si>
    <t>activities relate to land use and associated productive systems, including agriculture, forests, biodiversity and food systems. This includes conservation, restoration, forest management, agricultural production, agri-food value chains, food and nutrition security, bioeconomy, territorial governance, Indigenous Peoples and local communities, as well as public policies, financing mechanisms and initiatives linked to the sustainability of these systems.</t>
  </si>
  <si>
    <t>Secondary impact area (indirect influence)</t>
  </si>
  <si>
    <t>NbS</t>
  </si>
  <si>
    <t>activities indirectly influence climate mitigation, adaptation or resilience through the protection, restoration or sustainable management of natural ecosystems. This includes solutions that use natural processes to address environmental and social challenges, such as ecosystem restoration, green infrastructure, watershed management and climate resilience initiatives.</t>
  </si>
  <si>
    <t xml:space="preserve">Bioeconomy </t>
  </si>
  <si>
    <t>activities indirectly influence the transition through the sustainable use of biological resources to produce food, materials, energy or services. This includes value chains based on renewable biological inputs, bio-based products, forest and agricultural bioeconomy initiatives, and innovation models that link economic development with ecosystem stewardship.</t>
  </si>
  <si>
    <t xml:space="preserve">Renewable energy </t>
  </si>
  <si>
    <t>activities indirectly support or enable the generation, integration, financing or scaling of energy from renewable sources. This includes solar, wind, biomass, biogas and other renewable technologies, as well as supporting services such as project development, financing mechanisms, regulation and grid integration.</t>
  </si>
  <si>
    <t>Waste management and solid waste</t>
  </si>
  <si>
    <t>activities indirectly influence environmental outcomes through the management, reduction, treatment or valorisation of solid waste. This includes collection, recycling, composting, waste-to-energy, circular economy initiatives, extended producer responsibility schemes and policies related to solid waste management.</t>
  </si>
  <si>
    <t xml:space="preserve">Low-carbon fuels </t>
  </si>
  <si>
    <t>activities indirectly influence the transition to low-emission energy and transport systems through the development, production, distribution or use of fuels with lower greenhouse gas intensity. This includes biofuels, sustainable aviation fuels, renewable gases and other alternative fuels supporting decarbonisation across sectors.</t>
  </si>
  <si>
    <t>Sustainable livestock</t>
  </si>
  <si>
    <t>activities indirectly influence land use, food systems and climate outcomes through livestock production systems that aim to reduce emissions, improve productivity, enhance animal welfare and promote sustainable land management. This includes practices, technologies, value chains and policies linked to lower-impact livestock systems.</t>
  </si>
  <si>
    <t xml:space="preserve">Eletric mobility </t>
  </si>
  <si>
    <t>activities indirectly support the transition to low-emission transport through the deployment, financing or enabling of electric mobility solutions. This includes electric vehicles, charging infrastructure, fleet transition services, supporting technologies, regulatory frameworks and market development for electric mobility.</t>
  </si>
  <si>
    <t xml:space="preserve">Water security </t>
  </si>
  <si>
    <t>activities indirectly influence the availability, quality and sustainable management of water resources. This includes watershed protection, water efficiency, water treatment and reuse, governance mechanisms, risk management related to water scarcity or flooding, and initiatives that support resilient water systems across sectors.</t>
  </si>
  <si>
    <t>provide grant-based or philanthropic resources to support projects, programs, organisations or initiatives, without the primary expectation of financial return. This includes foundations and donors financing research, pilots, advocacy, capacity building or implementation activities.</t>
  </si>
  <si>
    <t xml:space="preserve">Capital provider / financial intermediary </t>
  </si>
  <si>
    <t>mobilise, manage or allocate financial resources with an expectation of financial return or capital preservation. This includes development banks, commercial banks, impact investors, funds and intermediaries that structure, blend or channel capital to projects and organisations.</t>
  </si>
  <si>
    <t>facilitate coordination, dialogue and collaboration among multiple actors within the ecosystem. This includes platforms, coalitions and organisations that enable alignment, knowledge exchange, partnership building or collective action.</t>
  </si>
  <si>
    <t xml:space="preserve">Project developer / Implementer </t>
  </si>
  <si>
    <t>design, structure and implement projects or initiatives on the ground. This includes organisations responsible for project origination, technical design, execution and management across sectors and territories.</t>
  </si>
  <si>
    <t>shape, influence, design or enforce public policies, regulations or standards. This includes government bodies, regulatory agencies and organisations engaged in policy advocacy or regulatory processes.</t>
  </si>
  <si>
    <t xml:space="preserve">Strategic partner </t>
  </si>
  <si>
    <t>engage in long-term, strategic collaboration aligned with shared objectives, contributing complementary capabilities, resources or influence to advance systemic outcomes.</t>
  </si>
  <si>
    <t>provide technical expertise, analytical support, research, advisory services or capacity building. This includes academic institutions, think tanks, consultancies and specialised technical organisations.</t>
  </si>
  <si>
    <t>operational capacity to deliver projects, services or interventions at scale. This includes organisations with proven ability to execute activities, manage operations and achieve delivery outcomes in specific sectors or territories.</t>
  </si>
  <si>
    <t>Data / MRV / platforms</t>
  </si>
  <si>
    <t>generate, manage or provide data, monitoring, reporting and verification systems, digital platforms or analytical tools. This includes organisations supporting measurement, transparency, tracking and decision-making across projects or systems.</t>
  </si>
  <si>
    <t>hold social legitimacy and leadership within specific communities or territories. This includes community-based organisations, Indigenous Peoples, local leaders and groups that represent local interests and ensure contextual relevance and social acceptance.</t>
  </si>
  <si>
    <t>Territorial anchor (estados, cidades, consórcios, cooperativas)</t>
  </si>
  <si>
    <t>territorially rooted and act as institutional anchors within specific geographies. This includes subnational governments, municipal authorities, inter-municipal consortia, cooperatives and territorial entities that enable place-based coordination and implementation.</t>
  </si>
  <si>
    <t>Upstream – policies, planning, regulation, financing</t>
  </si>
  <si>
    <t>Refers to stakeholders operating at the early stages of the value chain, focused on setting direction, enabling conditions and resource allocation. This includes public policy design, strategic planning, regulatory frameworks, standard setting, financing mechanisms and decision-making processes that shape how systems and markets function.</t>
  </si>
  <si>
    <t>Midstream – infrastructure, system integration, platforms</t>
  </si>
  <si>
    <t>Refers to stakeholders operating at the intermediate stages of the value chain, responsible for developing, managing or integrating physical or digital infrastructure and systems. This includes infrastructure development, system integration, operational platforms, market coordination mechanisms and technical interfaces that connect upstream decisions to downstream use.</t>
  </si>
  <si>
    <t>Downstream – end use, services, consumers, communities</t>
  </si>
  <si>
    <t>Refers to stakeholders operating at the final stages of the value chain, directly linked to the delivery, use or consumption of products and services. This includes service providers, end users, consumers, communities and organisations involved in adoption, behavioural change, service delivery and local implementation.</t>
  </si>
  <si>
    <t>may establish a long-term, strategic collaboration aligned with shared objectives, involving coordinated planning, complementary capabilities and sustained engagement across multiple initiatives or geographies.</t>
  </si>
  <si>
    <t xml:space="preserve">Grant recipient </t>
  </si>
  <si>
    <t>may receive grant-based funding from IKF to support specific projects, programs or activities aligned with IKF priorities, without an expectation of financial return.</t>
  </si>
  <si>
    <t xml:space="preserve">Co-funding partner </t>
  </si>
  <si>
    <t>jointly finance initiatives alongside IKF, pooling resources to support aligned objectives, programs or projects, while maintaining independent decision-making and accountability structures.</t>
  </si>
  <si>
    <t xml:space="preserve">Implementing partner </t>
  </si>
  <si>
    <t>may be responsible for executing projects or activities supported by IKF, including on-the-ground implementation, operational management and delivery of agreed outputs.</t>
  </si>
  <si>
    <t xml:space="preserve">Blended finance partner </t>
  </si>
  <si>
    <t>may collaborate with IKF to structure or deploy blended finance mechanisms, combining philanthropic capital with public or private finance to support scalable and financially sustainable solutions.</t>
  </si>
  <si>
    <t xml:space="preserve">Research and knowledge partner </t>
  </si>
  <si>
    <t>may collaborate with IKF to generate, analyse or synthesise knowledge, evidence and insights, including research, data analysis, learning agendas and dissemination activities.</t>
  </si>
  <si>
    <t>may support IKF objectives through training, technical assistance, institutional strengthening or skills development for organisations, communities or public institutions.</t>
  </si>
  <si>
    <t>Coalition partner</t>
  </si>
  <si>
    <t>may collaborate with IKF within multi-actor coalitions, platforms or networks, contributing to collective action, alignment and coordination across the ecosystem.</t>
  </si>
  <si>
    <t>Policy dialogue partner</t>
  </si>
  <si>
    <t>may engage with IKF in structured dialogue related to public policy, regulatory frameworks or governance processes, supporting informed discussion, coordination or alignment with policy objectives.</t>
  </si>
  <si>
    <t>Exploratory engagement</t>
  </si>
  <si>
    <t>whom IKF may engage on an exploratory basis to better understand alignment, capabilities or relevance, without a predefined partnership model or commitment at the initial stage.</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</si>
</sst>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R$ -416]#,##0.00"/>
  </numFmts>
  <fonts count="30">
    <font>
      <sz val="10.0"/>
      <color rgb="FF000000"/>
      <name val="Arial"/>
      <scheme val="minor"/>
    </font>
    <font>
      <color theme="1"/>
      <name val="Arial"/>
      <scheme val="minor"/>
    </font>
    <font>
      <b/>
      <color theme="1"/>
      <name val="Arial"/>
      <scheme val="minor"/>
    </font>
    <font>
      <sz val="11.0"/>
      <color rgb="FF000000"/>
      <name val="Calibri"/>
    </font>
    <font/>
    <font>
      <sz val="11.0"/>
      <color rgb="FF000000"/>
      <name val="&quot;Aptos Narrow&quot;"/>
    </font>
    <font>
      <b/>
      <sz val="38.0"/>
      <color rgb="FFFFFFFF"/>
      <name val="Calibri"/>
    </font>
    <font>
      <b/>
      <sz val="24.0"/>
      <color rgb="FFFFFFFF"/>
      <name val="Calibri"/>
    </font>
    <font>
      <b/>
      <color rgb="FF000000"/>
      <name val="Calibri"/>
    </font>
    <font>
      <sz val="8.0"/>
      <color rgb="FF000000"/>
      <name val="Calibri"/>
    </font>
    <font>
      <b/>
      <sz val="11.0"/>
      <color rgb="FF000000"/>
      <name val="Calibri"/>
    </font>
    <font>
      <b/>
      <i/>
      <sz val="11.0"/>
      <color rgb="FF000000"/>
      <name val="Calibri"/>
    </font>
    <font>
      <u/>
      <sz val="8.0"/>
      <color rgb="FF467886"/>
      <name val="Arial"/>
    </font>
    <font>
      <u/>
      <sz val="8.0"/>
      <color rgb="FF467886"/>
      <name val="Arial"/>
    </font>
    <font>
      <u/>
      <sz val="8.0"/>
      <color rgb="FF000000"/>
      <name val="Calibri"/>
    </font>
    <font>
      <sz val="8.0"/>
      <color rgb="FF222222"/>
      <name val="Calibri"/>
    </font>
    <font>
      <u/>
      <sz val="8.0"/>
      <color rgb="FF000000"/>
      <name val="Calibri"/>
    </font>
    <font>
      <u/>
      <sz val="8.0"/>
      <color rgb="FF000000"/>
      <name val="Calibri"/>
    </font>
    <font>
      <sz val="8.0"/>
      <color theme="1"/>
      <name val="Calibri"/>
    </font>
    <font>
      <u/>
      <sz val="8.0"/>
      <color rgb="FF000000"/>
    </font>
    <font>
      <u/>
      <sz val="8.0"/>
      <color rgb="FF467886"/>
      <name val="&quot;Aptos Narrow&quot;"/>
    </font>
    <font>
      <u/>
      <sz val="8.0"/>
      <color rgb="FF0000FF"/>
      <name val="Calibri"/>
    </font>
    <font>
      <u/>
      <sz val="8.0"/>
      <color rgb="FF0000FF"/>
      <name val="Calibri"/>
    </font>
    <font>
      <u/>
      <sz val="8.0"/>
      <color rgb="FF467886"/>
      <name val="&quot;Aptos Narrow&quot;"/>
    </font>
    <font>
      <u/>
      <sz val="8.0"/>
      <color rgb="FF467886"/>
      <name val="Arial"/>
    </font>
    <font>
      <u/>
      <sz val="8.0"/>
      <color rgb="FF467886"/>
      <name val="Arial"/>
    </font>
    <font>
      <sz val="10.0"/>
      <color rgb="FF000000"/>
      <name val="Calibri"/>
    </font>
    <font>
      <sz val="10.0"/>
      <color theme="1"/>
      <name val="Calibri"/>
    </font>
    <font>
      <u/>
      <sz val="10.0"/>
      <color rgb="FF000000"/>
      <name val="Calibri"/>
    </font>
    <font>
      <b/>
      <color rgb="FFFFFFFF"/>
      <name val="Arial"/>
      <scheme val="minor"/>
    </font>
  </fonts>
  <fills count="9">
    <fill>
      <patternFill patternType="none"/>
    </fill>
    <fill>
      <patternFill patternType="lightGray"/>
    </fill>
    <fill>
      <patternFill patternType="solid">
        <fgColor rgb="FFD9EAD3"/>
        <bgColor rgb="FFD9EAD3"/>
      </patternFill>
    </fill>
    <fill>
      <patternFill patternType="solid">
        <fgColor rgb="FFFFFFFF"/>
        <bgColor rgb="FFFFFFFF"/>
      </patternFill>
    </fill>
    <fill>
      <patternFill patternType="solid">
        <fgColor rgb="FF434343"/>
        <bgColor rgb="FF434343"/>
      </patternFill>
    </fill>
    <fill>
      <patternFill patternType="solid">
        <fgColor rgb="FFD9D9D9"/>
        <bgColor rgb="FFD9D9D9"/>
      </patternFill>
    </fill>
    <fill>
      <patternFill patternType="solid">
        <fgColor rgb="FFF3F3F3"/>
        <bgColor rgb="FFF3F3F3"/>
      </patternFill>
    </fill>
    <fill>
      <patternFill patternType="solid">
        <fgColor rgb="FFF2F2F2"/>
        <bgColor rgb="FFF2F2F2"/>
      </patternFill>
    </fill>
    <fill>
      <patternFill patternType="solid">
        <fgColor rgb="FF999999"/>
        <bgColor rgb="FF999999"/>
      </patternFill>
    </fill>
  </fills>
  <borders count="5">
    <border/>
    <border>
      <left style="thin">
        <color rgb="FFFFFFFF"/>
      </left>
      <top style="thin">
        <color rgb="FFFFFFFF"/>
      </top>
      <bottom style="thin">
        <color rgb="FFFFFFFF"/>
      </bottom>
    </border>
    <border>
      <top style="thin">
        <color rgb="FFFFFFFF"/>
      </top>
      <bottom style="thin">
        <color rgb="FFFFFFFF"/>
      </bottom>
    </border>
    <border>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s>
  <cellStyleXfs count="1">
    <xf borderId="0" fillId="0" fontId="0" numFmtId="0" applyAlignment="1" applyFont="1"/>
  </cellStyleXfs>
  <cellXfs count="84">
    <xf borderId="0" fillId="0" fontId="0" numFmtId="0" xfId="0" applyAlignment="1" applyFont="1">
      <alignment readingOrder="0" shrinkToFit="0" vertical="bottom" wrapText="0"/>
    </xf>
    <xf borderId="0" fillId="0" fontId="1" numFmtId="0" xfId="0" applyAlignment="1" applyFont="1">
      <alignment horizontal="center"/>
    </xf>
    <xf borderId="0" fillId="0" fontId="1" numFmtId="0" xfId="0" applyAlignment="1" applyFont="1">
      <alignment horizontal="center" vertical="center"/>
    </xf>
    <xf borderId="0" fillId="0" fontId="1" numFmtId="0" xfId="0" applyFont="1"/>
    <xf borderId="0" fillId="0" fontId="1" numFmtId="10" xfId="0" applyFont="1" applyNumberFormat="1"/>
    <xf borderId="0" fillId="2" fontId="2" numFmtId="0" xfId="0" applyFill="1" applyFont="1"/>
    <xf borderId="0" fillId="2" fontId="2" numFmtId="10" xfId="0" applyFont="1" applyNumberFormat="1"/>
    <xf borderId="0" fillId="0" fontId="1" numFmtId="0" xfId="0" applyAlignment="1" applyFont="1">
      <alignment vertical="center"/>
    </xf>
    <xf borderId="0" fillId="0" fontId="1" numFmtId="10" xfId="0" applyAlignment="1" applyFont="1" applyNumberFormat="1">
      <alignment vertical="center"/>
    </xf>
    <xf borderId="0" fillId="2" fontId="2" numFmtId="0" xfId="0" applyAlignment="1" applyFont="1">
      <alignment vertical="center"/>
    </xf>
    <xf borderId="0" fillId="2" fontId="2" numFmtId="10" xfId="0" applyAlignment="1" applyFont="1" applyNumberFormat="1">
      <alignment vertical="center"/>
    </xf>
    <xf borderId="0" fillId="0" fontId="2" numFmtId="0" xfId="0" applyAlignment="1" applyFont="1">
      <alignment readingOrder="0" vertical="center"/>
    </xf>
    <xf borderId="0" fillId="0" fontId="2" numFmtId="0" xfId="0" applyAlignment="1" applyFont="1">
      <alignment vertical="center"/>
    </xf>
    <xf borderId="0" fillId="0" fontId="1" numFmtId="0" xfId="0" applyAlignment="1" applyFont="1">
      <alignment readingOrder="0" shrinkToFit="0" vertical="top" wrapText="1"/>
    </xf>
    <xf borderId="1" fillId="3" fontId="3" numFmtId="164" xfId="0" applyAlignment="1" applyBorder="1" applyFill="1" applyFont="1" applyNumberFormat="1">
      <alignment shrinkToFit="0" vertical="center" wrapText="0"/>
    </xf>
    <xf borderId="2" fillId="0" fontId="4" numFmtId="0" xfId="0" applyBorder="1" applyFont="1"/>
    <xf borderId="3" fillId="0" fontId="4" numFmtId="0" xfId="0" applyBorder="1" applyFont="1"/>
    <xf borderId="4" fillId="3" fontId="3" numFmtId="164" xfId="0" applyAlignment="1" applyBorder="1" applyFont="1" applyNumberFormat="1">
      <alignment readingOrder="0" shrinkToFit="0" vertical="center" wrapText="1"/>
    </xf>
    <xf borderId="4" fillId="3" fontId="3" numFmtId="0" xfId="0" applyAlignment="1" applyBorder="1" applyFont="1">
      <alignment shrinkToFit="0" vertical="center" wrapText="1"/>
    </xf>
    <xf borderId="4" fillId="3" fontId="3" numFmtId="0" xfId="0" applyAlignment="1" applyBorder="1" applyFont="1">
      <alignment horizontal="left" shrinkToFit="0" vertical="center" wrapText="1"/>
    </xf>
    <xf borderId="4" fillId="3" fontId="3" numFmtId="0" xfId="0" applyAlignment="1" applyBorder="1" applyFont="1">
      <alignment horizontal="center" shrinkToFit="0" vertical="center" wrapText="1"/>
    </xf>
    <xf borderId="4" fillId="3" fontId="3" numFmtId="0" xfId="0" applyAlignment="1" applyBorder="1" applyFont="1">
      <alignment shrinkToFit="0" vertical="center" wrapText="0"/>
    </xf>
    <xf borderId="4" fillId="3" fontId="5" numFmtId="0" xfId="0" applyAlignment="1" applyBorder="1" applyFont="1">
      <alignment shrinkToFit="0" vertical="center" wrapText="0"/>
    </xf>
    <xf borderId="1" fillId="4" fontId="6" numFmtId="0" xfId="0" applyAlignment="1" applyBorder="1" applyFill="1" applyFont="1">
      <alignment horizontal="center" readingOrder="0" shrinkToFit="0" vertical="center" wrapText="0"/>
    </xf>
    <xf borderId="1" fillId="3" fontId="3" numFmtId="0" xfId="0" applyAlignment="1" applyBorder="1" applyFont="1">
      <alignment shrinkToFit="0" vertical="center" wrapText="0"/>
    </xf>
    <xf borderId="4" fillId="3" fontId="7" numFmtId="0" xfId="0" applyAlignment="1" applyBorder="1" applyFont="1">
      <alignment horizontal="center" shrinkToFit="0" vertical="center" wrapText="1"/>
    </xf>
    <xf borderId="4" fillId="3" fontId="7" numFmtId="0" xfId="0" applyAlignment="1" applyBorder="1" applyFont="1">
      <alignment horizontal="left" shrinkToFit="0" vertical="center" wrapText="1"/>
    </xf>
    <xf borderId="4" fillId="3" fontId="7" numFmtId="0" xfId="0" applyAlignment="1" applyBorder="1" applyFont="1">
      <alignment horizontal="center" shrinkToFit="0" vertical="center" wrapText="0"/>
    </xf>
    <xf borderId="1" fillId="3" fontId="8" numFmtId="0" xfId="0" applyAlignment="1" applyBorder="1" applyFont="1">
      <alignment horizontal="left" readingOrder="0" shrinkToFit="0" vertical="center" wrapText="0"/>
    </xf>
    <xf borderId="4" fillId="3" fontId="5" numFmtId="0" xfId="0" applyAlignment="1" applyBorder="1" applyFont="1">
      <alignment horizontal="center" shrinkToFit="0" vertical="center" wrapText="0"/>
    </xf>
    <xf borderId="4" fillId="3" fontId="5" numFmtId="0" xfId="0" applyAlignment="1" applyBorder="1" applyFont="1">
      <alignment horizontal="center" shrinkToFit="0" vertical="center" wrapText="1"/>
    </xf>
    <xf borderId="1" fillId="3" fontId="9" numFmtId="0" xfId="0" applyAlignment="1" applyBorder="1" applyFont="1">
      <alignment horizontal="left" readingOrder="0" shrinkToFit="0" vertical="center" wrapText="0"/>
    </xf>
    <xf borderId="4" fillId="3" fontId="10" numFmtId="0" xfId="0" applyAlignment="1" applyBorder="1" applyFont="1">
      <alignment horizontal="center" shrinkToFit="0" vertical="center" wrapText="1"/>
    </xf>
    <xf borderId="4" fillId="3" fontId="10" numFmtId="0" xfId="0" applyAlignment="1" applyBorder="1" applyFont="1">
      <alignment horizontal="center" shrinkToFit="0" vertical="center" wrapText="0"/>
    </xf>
    <xf borderId="4" fillId="3" fontId="3" numFmtId="0" xfId="0" applyAlignment="1" applyBorder="1" applyFont="1">
      <alignment horizontal="center" shrinkToFit="0" vertical="center" wrapText="0"/>
    </xf>
    <xf borderId="4" fillId="5" fontId="10" numFmtId="0" xfId="0" applyAlignment="1" applyBorder="1" applyFill="1" applyFont="1">
      <alignment horizontal="center" readingOrder="0" shrinkToFit="0" vertical="center" wrapText="0"/>
    </xf>
    <xf borderId="4" fillId="5" fontId="10" numFmtId="0" xfId="0" applyAlignment="1" applyBorder="1" applyFont="1">
      <alignment horizontal="left" readingOrder="0" shrinkToFit="0" vertical="center" wrapText="1"/>
    </xf>
    <xf borderId="4" fillId="5" fontId="10" numFmtId="0" xfId="0" applyAlignment="1" applyBorder="1" applyFont="1">
      <alignment horizontal="center" readingOrder="0" shrinkToFit="0" vertical="center" wrapText="1"/>
    </xf>
    <xf borderId="2" fillId="5" fontId="10" numFmtId="0" xfId="0" applyAlignment="1" applyBorder="1" applyFont="1">
      <alignment horizontal="center" readingOrder="0" shrinkToFit="0" vertical="center" wrapText="1"/>
    </xf>
    <xf borderId="1" fillId="5" fontId="10" numFmtId="0" xfId="0" applyAlignment="1" applyBorder="1" applyFont="1">
      <alignment horizontal="center" readingOrder="0" shrinkToFit="0" vertical="center" wrapText="1"/>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1" numFmtId="0" xfId="0" applyAlignment="1" applyBorder="1" applyFont="1">
      <alignment horizontal="center" readingOrder="0" shrinkToFit="0" vertical="center" wrapText="1"/>
    </xf>
    <xf borderId="4" fillId="6" fontId="9" numFmtId="0" xfId="0" applyAlignment="1" applyBorder="1" applyFill="1" applyFont="1">
      <alignment horizontal="center" shrinkToFit="0" vertical="center" wrapText="1"/>
    </xf>
    <xf borderId="4" fillId="6" fontId="9" numFmtId="0" xfId="0" applyAlignment="1" applyBorder="1" applyFont="1">
      <alignment horizontal="left" readingOrder="0" shrinkToFit="0" vertical="center" wrapText="1"/>
    </xf>
    <xf borderId="4" fillId="6" fontId="9" numFmtId="0" xfId="0" applyAlignment="1" applyBorder="1" applyFont="1">
      <alignment readingOrder="0" shrinkToFit="0" vertical="center" wrapText="1"/>
    </xf>
    <xf borderId="4" fillId="6" fontId="12" numFmtId="0" xfId="0" applyAlignment="1" applyBorder="1" applyFont="1">
      <alignment horizontal="center" readingOrder="0" vertical="center"/>
    </xf>
    <xf borderId="4" fillId="6" fontId="9" numFmtId="0" xfId="0" applyAlignment="1" applyBorder="1" applyFont="1">
      <alignment horizontal="center" readingOrder="0" shrinkToFit="0" vertical="center" wrapText="1"/>
    </xf>
    <xf borderId="4" fillId="6" fontId="13" numFmtId="0" xfId="0" applyAlignment="1" applyBorder="1" applyFont="1">
      <alignment horizontal="center" readingOrder="0" shrinkToFit="0" vertical="center" wrapText="1"/>
    </xf>
    <xf borderId="4" fillId="6" fontId="9" numFmtId="0" xfId="0" applyAlignment="1" applyBorder="1" applyFont="1">
      <alignment readingOrder="0" vertical="center"/>
    </xf>
    <xf borderId="4" fillId="6" fontId="9" numFmtId="0" xfId="0" applyAlignment="1" applyBorder="1" applyFont="1">
      <alignment horizontal="left" readingOrder="0" vertical="center"/>
    </xf>
    <xf borderId="4" fillId="6" fontId="14" numFmtId="0" xfId="0" applyAlignment="1" applyBorder="1" applyFont="1">
      <alignment horizontal="left" readingOrder="0" vertical="center"/>
    </xf>
    <xf borderId="4" fillId="6" fontId="9" numFmtId="0" xfId="0" applyAlignment="1" applyBorder="1" applyFont="1">
      <alignment shrinkToFit="0" vertical="center" wrapText="1"/>
    </xf>
    <xf borderId="0" fillId="6" fontId="15" numFmtId="0" xfId="0" applyAlignment="1" applyFont="1">
      <alignment horizontal="left" readingOrder="0" vertical="center"/>
    </xf>
    <xf borderId="4" fillId="6" fontId="9" numFmtId="0" xfId="0" applyAlignment="1" applyBorder="1" applyFont="1">
      <alignment vertical="center"/>
    </xf>
    <xf borderId="4" fillId="6" fontId="16" numFmtId="0" xfId="0" applyAlignment="1" applyBorder="1" applyFont="1">
      <alignment readingOrder="0" vertical="center"/>
    </xf>
    <xf borderId="0" fillId="7" fontId="9" numFmtId="0" xfId="0" applyAlignment="1" applyFill="1" applyFont="1">
      <alignment readingOrder="0" shrinkToFit="0" wrapText="1"/>
    </xf>
    <xf borderId="4" fillId="6" fontId="17" numFmtId="0" xfId="0" applyAlignment="1" applyBorder="1" applyFont="1">
      <alignment readingOrder="0" shrinkToFit="0" vertical="center" wrapText="1"/>
    </xf>
    <xf borderId="0" fillId="6" fontId="18" numFmtId="0" xfId="0" applyAlignment="1" applyFont="1">
      <alignment readingOrder="0" vertical="center"/>
    </xf>
    <xf borderId="0" fillId="6" fontId="19" numFmtId="0" xfId="0" applyAlignment="1" applyFont="1">
      <alignment readingOrder="0"/>
    </xf>
    <xf borderId="4" fillId="6" fontId="20" numFmtId="0" xfId="0" applyAlignment="1" applyBorder="1" applyFont="1">
      <alignment horizontal="center" readingOrder="0" shrinkToFit="0" vertical="center" wrapText="1"/>
    </xf>
    <xf borderId="4" fillId="6" fontId="9" numFmtId="0" xfId="0" applyAlignment="1" applyBorder="1" applyFont="1">
      <alignment vertical="center"/>
    </xf>
    <xf borderId="4" fillId="6" fontId="9" numFmtId="0" xfId="0" applyAlignment="1" applyBorder="1" applyFont="1">
      <alignment shrinkToFit="0" vertical="center" wrapText="1"/>
    </xf>
    <xf borderId="1" fillId="3" fontId="5" numFmtId="0" xfId="0" applyAlignment="1" applyBorder="1" applyFont="1">
      <alignment shrinkToFit="0" vertical="center" wrapText="0"/>
    </xf>
    <xf borderId="4" fillId="6" fontId="21" numFmtId="0" xfId="0" applyAlignment="1" applyBorder="1" applyFont="1">
      <alignment readingOrder="0" vertical="center"/>
    </xf>
    <xf borderId="4" fillId="0" fontId="5" numFmtId="0" xfId="0" applyAlignment="1" applyBorder="1" applyFont="1">
      <alignment shrinkToFit="0" vertical="center" wrapText="0"/>
    </xf>
    <xf borderId="4" fillId="6" fontId="22" numFmtId="0" xfId="0" applyAlignment="1" applyBorder="1" applyFont="1">
      <alignment readingOrder="0" shrinkToFit="0" vertical="center" wrapText="1"/>
    </xf>
    <xf borderId="4" fillId="0" fontId="1" numFmtId="0" xfId="0" applyAlignment="1" applyBorder="1" applyFont="1">
      <alignment vertical="center"/>
    </xf>
    <xf borderId="3" fillId="6" fontId="23" numFmtId="0" xfId="0" applyAlignment="1" applyBorder="1" applyFont="1">
      <alignment horizontal="center" readingOrder="0" shrinkToFit="0" vertical="center" wrapText="1"/>
    </xf>
    <xf borderId="1" fillId="6" fontId="24" numFmtId="0" xfId="0" applyAlignment="1" applyBorder="1" applyFont="1">
      <alignment horizontal="center" readingOrder="0" shrinkToFit="0" vertical="center" wrapText="1"/>
    </xf>
    <xf borderId="4" fillId="6" fontId="25" numFmtId="0" xfId="0" applyAlignment="1" applyBorder="1" applyFont="1">
      <alignment horizontal="center" shrinkToFit="0" vertical="center" wrapText="1"/>
    </xf>
    <xf borderId="4" fillId="5" fontId="26" numFmtId="0" xfId="0" applyAlignment="1" applyBorder="1" applyFont="1">
      <alignment horizontal="center" readingOrder="0" shrinkToFit="0" vertical="center" wrapText="1"/>
    </xf>
    <xf borderId="0" fillId="0" fontId="27" numFmtId="0" xfId="0" applyAlignment="1" applyFont="1">
      <alignment shrinkToFit="0" wrapText="1"/>
    </xf>
    <xf borderId="4" fillId="5" fontId="28" numFmtId="0" xfId="0" applyAlignment="1" applyBorder="1" applyFont="1">
      <alignment horizontal="center" readingOrder="0" shrinkToFit="0" vertical="center" wrapText="1"/>
    </xf>
    <xf borderId="0" fillId="5" fontId="26" numFmtId="0" xfId="0" applyAlignment="1" applyFont="1">
      <alignment horizontal="center" readingOrder="0" shrinkToFit="0" vertical="center" wrapText="1"/>
    </xf>
    <xf borderId="0" fillId="0" fontId="3" numFmtId="0" xfId="0" applyAlignment="1" applyFont="1">
      <alignment readingOrder="0" shrinkToFit="0" vertical="bottom" wrapText="0"/>
    </xf>
    <xf borderId="0" fillId="0" fontId="2" numFmtId="0" xfId="0" applyAlignment="1" applyFont="1">
      <alignment horizontal="center" readingOrder="0"/>
    </xf>
    <xf borderId="0" fillId="0" fontId="1" numFmtId="0" xfId="0" applyAlignment="1" applyFont="1">
      <alignment readingOrder="0"/>
    </xf>
    <xf borderId="0" fillId="0" fontId="1" numFmtId="0" xfId="0" applyFont="1"/>
    <xf borderId="4" fillId="0" fontId="1" numFmtId="0" xfId="0" applyBorder="1" applyFont="1"/>
    <xf borderId="4" fillId="8" fontId="29" numFmtId="0" xfId="0" applyAlignment="1" applyBorder="1" applyFill="1" applyFont="1">
      <alignment readingOrder="0" vertical="center"/>
    </xf>
    <xf borderId="4" fillId="6" fontId="1" numFmtId="0" xfId="0" applyAlignment="1" applyBorder="1" applyFont="1">
      <alignment readingOrder="0" vertical="center"/>
    </xf>
    <xf borderId="4" fillId="6" fontId="1" numFmtId="0" xfId="0" applyAlignment="1" applyBorder="1" applyFont="1">
      <alignment readingOrder="0" shrinkToFit="0" wrapText="1"/>
    </xf>
    <xf borderId="4" fillId="8" fontId="29" numFmtId="0" xfId="0" applyAlignment="1" applyBorder="1" applyFont="1">
      <alignmen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a urbanista" id="{99b0b6b7-2822-4e6b-8748-13bf99d60ff0}" providerId="google-sheets"/>
  <x18tc:person displayName="Lucas Fernandes" id="{7756187c-a4a5-4059-9381-a2e6b1b29641}"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6:S346" sheet="Stakeholder list"/>
  </cacheSource>
  <cacheFields>
    <cacheField name="ID" numFmtId="0">
      <sharedItems containsSemiMixedTypes="0" containsString="0" containsNumber="1" containsInteger="1">
        <n v="1.0"/>
        <n v="2.0"/>
        <n v="3.0"/>
        <n v="4.0"/>
        <n v="5.0"/>
        <n v="6.0"/>
        <n v="7.0"/>
        <n v="8.0"/>
        <n v="9.0"/>
        <n v="10.0"/>
        <n v="11.0"/>
        <n v="12.0"/>
        <n v="13.0"/>
        <n v="14.0"/>
        <n v="15.0"/>
        <n v="16.0"/>
        <n v="17.0"/>
        <n v="18.0"/>
        <n v="19.0"/>
        <n v="20.0"/>
        <n v="21.0"/>
        <n v="22.0"/>
        <n v="23.0"/>
        <n v="24.0"/>
        <n v="25.0"/>
        <n v="26.0"/>
        <n v="27.0"/>
        <n v="28.0"/>
        <n v="29.0"/>
        <n v="30.0"/>
        <n v="31.0"/>
        <n v="32.0"/>
        <n v="33.0"/>
        <n v="34.0"/>
        <n v="35.0"/>
        <n v="36.0"/>
        <n v="37.0"/>
        <n v="38.0"/>
        <n v="39.0"/>
        <n v="40.0"/>
        <n v="41.0"/>
        <n v="42.0"/>
        <n v="43.0"/>
        <n v="44.0"/>
        <n v="45.0"/>
        <n v="46.0"/>
        <n v="47.0"/>
        <n v="48.0"/>
        <n v="49.0"/>
        <n v="50.0"/>
        <n v="51.0"/>
        <n v="52.0"/>
        <n v="53.0"/>
        <n v="54.0"/>
        <n v="55.0"/>
        <n v="56.0"/>
        <n v="57.0"/>
        <n v="58.0"/>
        <n v="59.0"/>
        <n v="60.0"/>
        <n v="61.0"/>
        <n v="62.0"/>
        <n v="63.0"/>
        <n v="64.0"/>
        <n v="65.0"/>
        <n v="66.0"/>
        <n v="67.0"/>
        <n v="68.0"/>
        <n v="69.0"/>
        <n v="70.0"/>
        <n v="71.0"/>
        <n v="72.0"/>
        <n v="73.0"/>
        <n v="74.0"/>
        <n v="75.0"/>
        <n v="76.0"/>
        <n v="77.0"/>
        <n v="78.0"/>
        <n v="79.0"/>
        <n v="80.0"/>
        <n v="81.0"/>
        <n v="82.0"/>
        <n v="83.0"/>
        <n v="84.0"/>
        <n v="85.0"/>
        <n v="86.0"/>
        <n v="87.0"/>
        <n v="88.0"/>
        <n v="89.0"/>
        <n v="90.0"/>
        <n v="91.0"/>
        <n v="92.0"/>
        <n v="93.0"/>
        <n v="94.0"/>
        <n v="95.0"/>
        <n v="96.0"/>
        <n v="97.0"/>
        <n v="98.0"/>
        <n v="99.0"/>
        <n v="100.0"/>
        <n v="101.0"/>
        <n v="102.0"/>
        <n v="103.0"/>
        <n v="104.0"/>
        <n v="105.0"/>
        <n v="106.0"/>
        <n v="107.0"/>
        <n v="108.0"/>
        <n v="109.0"/>
        <n v="110.0"/>
        <n v="111.0"/>
        <n v="112.0"/>
        <n v="113.0"/>
        <n v="114.0"/>
        <n v="115.0"/>
        <n v="116.0"/>
        <n v="117.0"/>
        <n v="118.0"/>
        <n v="119.0"/>
        <n v="120.0"/>
        <n v="121.0"/>
        <n v="122.0"/>
        <n v="123.0"/>
        <n v="124.0"/>
        <n v="125.0"/>
        <n v="126.0"/>
        <n v="127.0"/>
        <n v="128.0"/>
        <n v="129.0"/>
        <n v="130.0"/>
        <n v="131.0"/>
        <n v="132.0"/>
        <n v="133.0"/>
        <n v="134.0"/>
        <n v="135.0"/>
        <n v="136.0"/>
        <n v="137.0"/>
        <n v="138.0"/>
        <n v="139.0"/>
        <n v="140.0"/>
        <n v="141.0"/>
        <n v="142.0"/>
        <n v="143.0"/>
        <n v="144.0"/>
        <n v="145.0"/>
        <n v="146.0"/>
        <n v="147.0"/>
        <n v="148.0"/>
        <n v="149.0"/>
        <n v="150.0"/>
        <n v="151.0"/>
        <n v="152.0"/>
        <n v="153.0"/>
        <n v="154.0"/>
        <n v="155.0"/>
        <n v="156.0"/>
        <n v="157.0"/>
        <n v="158.0"/>
        <n v="159.0"/>
        <n v="160.0"/>
        <n v="161.0"/>
        <n v="162.0"/>
        <n v="163.0"/>
        <n v="164.0"/>
        <n v="165.0"/>
        <n v="166.0"/>
        <n v="167.0"/>
        <n v="168.0"/>
        <n v="169.0"/>
        <n v="170.0"/>
        <n v="171.0"/>
        <n v="172.0"/>
        <n v="173.0"/>
        <n v="174.0"/>
        <n v="175.0"/>
        <n v="176.0"/>
        <n v="177.0"/>
        <n v="178.0"/>
        <n v="179.0"/>
        <n v="180.0"/>
        <n v="181.0"/>
        <n v="182.0"/>
        <n v="183.0"/>
        <n v="184.0"/>
        <n v="185.0"/>
        <n v="186.0"/>
        <n v="187.0"/>
        <n v="188.0"/>
        <n v="189.0"/>
        <n v="190.0"/>
        <n v="191.0"/>
        <n v="192.0"/>
        <n v="193.0"/>
        <n v="194.0"/>
        <n v="195.0"/>
        <n v="196.0"/>
        <n v="197.0"/>
        <n v="198.0"/>
        <n v="199.0"/>
        <n v="200.0"/>
        <n v="201.0"/>
        <n v="202.0"/>
        <n v="203.0"/>
        <n v="204.0"/>
        <n v="205.0"/>
        <n v="206.0"/>
        <n v="207.0"/>
        <n v="208.0"/>
        <n v="209.0"/>
        <n v="210.0"/>
        <n v="211.0"/>
        <n v="212.0"/>
        <n v="213.0"/>
        <n v="214.0"/>
        <n v="215.0"/>
        <n v="216.0"/>
        <n v="217.0"/>
        <n v="218.0"/>
        <n v="219.0"/>
        <n v="220.0"/>
        <n v="221.0"/>
        <n v="222.0"/>
        <n v="223.0"/>
        <n v="224.0"/>
        <n v="225.0"/>
        <n v="226.0"/>
        <n v="227.0"/>
        <n v="228.0"/>
        <n v="229.0"/>
        <n v="230.0"/>
        <n v="231.0"/>
        <n v="232.0"/>
        <n v="233.0"/>
        <n v="234.0"/>
        <n v="235.0"/>
        <n v="236.0"/>
        <n v="237.0"/>
        <n v="238.0"/>
        <n v="239.0"/>
        <n v="240.0"/>
        <n v="241.0"/>
        <n v="242.0"/>
        <n v="243.0"/>
        <n v="244.0"/>
        <n v="245.0"/>
        <n v="246.0"/>
        <n v="247.0"/>
        <n v="248.0"/>
        <n v="249.0"/>
        <n v="250.0"/>
        <n v="251.0"/>
        <n v="252.0"/>
        <n v="253.0"/>
        <n v="254.0"/>
        <n v="255.0"/>
        <n v="256.0"/>
        <n v="257.0"/>
        <n v="258.0"/>
        <n v="259.0"/>
        <n v="260.0"/>
        <n v="261.0"/>
        <n v="262.0"/>
        <n v="263.0"/>
        <n v="264.0"/>
        <n v="265.0"/>
        <n v="266.0"/>
        <n v="267.0"/>
        <n v="268.0"/>
        <n v="269.0"/>
        <n v="270.0"/>
        <n v="271.0"/>
        <n v="272.0"/>
        <n v="273.0"/>
        <n v="274.0"/>
        <n v="275.0"/>
        <n v="276.0"/>
        <n v="277.0"/>
        <n v="278.0"/>
        <n v="279.0"/>
        <n v="280.0"/>
        <n v="281.0"/>
        <n v="282.0"/>
        <n v="283.0"/>
        <n v="284.0"/>
        <n v="285.0"/>
        <n v="286.0"/>
        <n v="287.0"/>
        <n v="288.0"/>
        <n v="289.0"/>
        <n v="290.0"/>
        <n v="291.0"/>
        <n v="292.0"/>
        <n v="293.0"/>
        <n v="294.0"/>
        <n v="295.0"/>
        <n v="296.0"/>
        <n v="297.0"/>
        <n v="298.0"/>
        <n v="299.0"/>
        <n v="300.0"/>
        <n v="301.0"/>
        <n v="302.0"/>
        <n v="303.0"/>
        <n v="304.0"/>
        <n v="305.0"/>
        <n v="306.0"/>
        <n v="307.0"/>
        <n v="308.0"/>
        <n v="309.0"/>
        <n v="310.0"/>
        <n v="311.0"/>
        <n v="312.0"/>
        <n v="313.0"/>
        <n v="314.0"/>
        <n v="315.0"/>
        <n v="316.0"/>
        <n v="317.0"/>
        <n v="318.0"/>
        <n v="319.0"/>
        <n v="320.0"/>
        <n v="321.0"/>
        <n v="322.0"/>
        <n v="323.0"/>
        <n v="324.0"/>
        <n v="325.0"/>
        <n v="326.0"/>
        <n v="327.0"/>
        <n v="328.0"/>
        <n v="329.0"/>
        <n v="330.0"/>
        <n v="331.0"/>
        <n v="332.0"/>
        <n v="333.0"/>
        <n v="334.0"/>
        <n v="335.0"/>
        <n v="336.0"/>
        <n v="337.0"/>
        <n v="338.0"/>
        <n v="339.0"/>
        <n v="340.0"/>
      </sharedItems>
    </cacheField>
    <cacheField name="Stakeholder " numFmtId="0">
      <sharedItems>
        <s v="Instituto Ibirapitanga"/>
        <s v="Instituto Serrapilheira"/>
        <s v="Fundo Brasileiro para a Biodiversidade (FUNBIO)"/>
        <s v="Instituto Clima e Sociedade (iCS)"/>
        <s v="Instituto Cultura, Comunicação e Incidência (ICCI)"/>
        <s v="Grupo de Institutos, Fundações e Empresas (GIFE)"/>
        <s v="Movimento Bem Maior (MBM)"/>
        <s v="Instituto Beija "/>
        <s v="Open Society Foundations"/>
        <s v="Instituto Ethos"/>
        <s v="Instituto para o Desenvolvimento do Investimento Social (IDIS)"/>
        <s v="Instituto Climate Ventures Brasil (Climate Ventures)"/>
        <s v="The Climate Group"/>
        <s v="Fundação Maria Cecilia Souto Vidigal"/>
        <s v="Fundação Tide Setúbal"/>
        <s v="Fundação Arymax"/>
        <s v="Instituto Talanoa"/>
        <s v="Instituto Alana"/>
        <s v="Itaúsa (Itaúsa S.A.)"/>
        <s v="Instituto Arapyaú"/>
        <s v="Instituto Semeia"/>
        <s v="The David and Lucile Packard Foundation"/>
        <s v="Alcoa"/>
        <s v="Norsk Hydro ASA (Hydro)"/>
        <s v="Instituto Socioambiental (ISA)"/>
        <s v="The Nature Conservancy Brasil (TNC Brasil)"/>
        <s v="Conservação Internacional Brasil (CI-Brasil)"/>
        <s v="WWF-Brasil"/>
        <s v="WRI Brasil"/>
        <s v="Fundação SOS Mata Atlântica"/>
        <s v="Empresa Brasileira de Pesquisa Agropecuária (Embrapa)"/>
        <s v="Sistema S"/>
        <s v="Instituto Brasileiro do Meio Ambiente e dos Recursos Naturais Renováveis (Ibama)"/>
        <s v="Instituto Chico Mendes de Conservação da Biodiversidade (ICMBio)"/>
        <s v="Instituto do Homem e Meio Ambiente da Amazônia (Imazon)"/>
        <s v="Fundação Amazonas Sustentável (FAS)"/>
        <s v="Instituto de Manejo e Certificação Florestal e Agrícola (Imaflora)"/>
        <s v="Fundação Roberto Marinho"/>
        <s v="Instituto de Pesquisa Econômica Aplicada (Ipea)"/>
        <s v="Escola Nacional de Administração Pública (ENAP)"/>
        <s v="Instituto Serzedello Corrêa (ISC/TCU)"/>
        <s v="Vale S.A."/>
        <s v="Suzano S.A."/>
        <s v="Banco da Amazônia S.A. (BASA)"/>
        <s v="Instituto de Conservação e Desenvolvimento Sustentável da Amazônia (IDESAM)"/>
        <s v="Sitawi Finanças do Bem"/>
        <s v="Din4mo"/>
        <s v="Artemisia"/>
        <s v="Instituto de Cidadania Empresarial (ICE)"/>
        <s v="Impact Hub Network"/>
        <s v="Instituto Conexões Sustentáveis (Conexsus)"/>
        <s v="Pipe.Social"/>
        <s v="Yunus Negócios Sociais (Brasil)"/>
        <s v="Instituto C&amp;A"/>
        <s v="Lundin Foundation"/>
        <s v="Aliança Empreendedora"/>
        <s v="Omidyar Network"/>
        <s v="Fundação Grupo Boticário de Proteção à Natureza"/>
        <s v="Natura"/>
        <s v="Programa das Nações Unidas para o Desenvolvimento (PNUD)"/>
        <s v="Centro de Empreendedorismo da Amazônia (CEA)"/>
        <s v="Manioca"/>
        <s v="Instituto Votorantim"/>
        <s v="Quintessa"/>
        <s v="De Mendes"/>
        <s v="Endeva"/>
        <s v="Insper"/>
        <s v="Positive Ventures"/>
        <s v="BMW Foundation Herbert Quandt"/>
        <s v="Ford Foundation"/>
        <s v="Instituto Sabin"/>
        <s v="Instituto Phi"/>
        <s v="Deloitte"/>
        <s v="Centro de Estudos em Sustentabilidade da FGV (FGVces)"/>
        <s v="Fundação Dom Cabral (FDC)"/>
        <s v="Instituto Brasileiro de Governança Corporativa (IBGC)"/>
        <s v="Escola Superior de Agricultura Luiz de Queiroz da USP (ESALQ/USP)"/>
        <s v="Bemtevi"/>
        <s v="Climate and Land Use Alliance (CLUA)"/>
        <s v="AMAZ"/>
        <s v="Mercado Livre"/>
        <s v="Amazon"/>
        <s v="CocoaAction Brasil"/>
        <s v="Instituto de Pesquisas Ecológicas (IPÊ)"/>
        <s v="Comunitas"/>
        <s v="Fundação Oswaldo Cruz (Fiocruz)"/>
        <s v="Universidade de Brasília (UnB)"/>
        <s v="Universidade Federal do Pará (UFPA)"/>
        <s v="Universidade de São Paulo (USP)"/>
        <s v="Fundação Nacional dos Povos Indígenas (FUNAI)"/>
        <s v="Fundação Brasileira para o Desenvolvimento Sustentável (FBDS)"/>
        <s v="Grupo Terra Nova"/>
        <s v="Grupo Aterpa"/>
        <s v="Observatório do Clima"/>
        <s v="United States Agency for International Development (USAID)"/>
        <s v="Gordon and Betty Moore Foundation"/>
        <s v="Fundação Avina"/>
        <s v="William and Flora Hewlett Foundation"/>
        <s v="ClimateWorks Foundation"/>
        <s v="Children’s Investment Fund Foundation (CIFF)"/>
        <s v="Oak Foundation"/>
        <s v="Ministério de Minas e Energia (MME)"/>
        <s v="Empresa de Pesquisa Energética (EPE)"/>
        <s v="Agência Nacional de Energia Elétrica (ANEEL)"/>
        <s v="Operador Nacional do Sistema Elétrico (ONS)"/>
        <s v="Neoenergia"/>
        <s v="CPFL Energia"/>
        <s v="Engie Brasil"/>
        <s v="EDP Brasil"/>
        <s v="Enel Brasil"/>
        <s v="Eletrobras"/>
        <s v="Instituto de Energia e Meio Ambiente (IEMA)"/>
        <s v="Instituto E+ Transição Energética (E+)"/>
        <s v="European Climate Foundation (ECF)"/>
        <s v="Quadrature Climate Foundation"/>
        <s v="Ministério das Cidades"/>
        <s v="Agência Nacional de Transportes Terrestres (ANTT)"/>
        <s v="Agência Nacional de Transportes Aquaviários (ANTAQ)"/>
        <s v="CCR S.A. (Grupo CCR)"/>
        <s v="EcoRodovias"/>
        <s v="BYD Brasil"/>
        <s v="Volvo Buses Latin America"/>
        <s v="Mercedes-Benz Brasil"/>
        <s v="Instituto de Políticas de Transporte e Desenvolvimento (ITDP Brasil)"/>
        <s v="Caixa Econômica Federal"/>
        <s v="MRV"/>
        <s v="Tenda"/>
        <s v="Cyrela"/>
        <s v="Votorantim Cimentos"/>
        <s v="InterCement"/>
        <s v="Green Building Council Brasil (GBC Brasil)"/>
        <s v="Ministério da Agricultura e Pecuária (MAPA)"/>
        <s v="Instituto Nacional de Colonização e Reforma Agrária (INCRA)"/>
        <s v="Agroicone"/>
        <s v="JBS"/>
        <s v="Marfrig"/>
        <s v="Amaggi"/>
        <s v="SLC Agrícola"/>
        <s v="Instituto de Pesquisa Ambiental da Amazônia (IPAM)"/>
        <s v="Global Canopy"/>
        <s v="Good Energies Foundation"/>
        <s v="Ministério do Desenvolvimento e Assistência Social, Família e Combate à Fome (MDS)"/>
        <s v="Ministério da Saúde"/>
        <s v="Conselho Nacional de Segurança Alimentar e Nutricional (CONSEA)"/>
        <s v="Grupo Pão de Açúcar (GPA)"/>
        <s v="Assaí Atacadista"/>
        <s v="Carrefour Brasil"/>
        <s v="Nestlé Brasil"/>
        <s v="Unilever Brasil"/>
        <s v="Danone Brasil"/>
        <s v="Rede PENSSAN"/>
        <s v="Instituto Comida do Amanhã"/>
        <s v="EAT Foundation"/>
        <s v="Programa de Sistemas Alimentares da FAO no Brasil (FAO – Food Systems Programme)"/>
        <s v="Serviço Florestal Brasileiro (SFB)"/>
        <s v="Klabin"/>
        <s v="Bracell"/>
        <s v="Dexco"/>
        <s v="Suzano Ventures"/>
        <s v="Rainforest Alliance"/>
        <s v="Forest Trends"/>
        <s v="Earth Innovation Institute"/>
        <s v="Bezos Earth Fund"/>
        <s v="Bloomberg Philanthropies"/>
        <s v="Laudes Foundation"/>
        <s v="Skoll Foundation"/>
        <s v="Walton Family Foundation"/>
        <s v="Blue Moon Fund"/>
        <s v="Rainforest Trust"/>
        <s v="John D. and Catherine T. MacArthur Foundation (MacArthur Foundation)"/>
        <s v="Rockefeller Brothers Fund"/>
        <s v="Consórcio Nordeste"/>
        <s v="Laboratório de Inovação Financeira (LAB/CVM)"/>
        <s v="Conselho Empresarial Brasileiro para o Desenvolvimento Sustentável (CEBDS)"/>
        <s v="Associação Brasileira de Desenvolvimento (ABDE)"/>
        <s v="Climate Policy Initiative (CPI)"/>
        <s v="Climate Finance Hub Brasil"/>
        <s v="Associação Brasileira de Energia Eólica (ABEEólica)"/>
        <s v="Associação Brasileira de Energia Solar Fotovoltaica (ABSolar)"/>
        <s v="Associação Brasileira do Biogás (ABiogás)"/>
        <s v="Associação Brasileira do Hidrogênio (ABH2)"/>
        <s v="Instituto Nacional de Eficiência Energética (INEE)"/>
        <s v="Superintendência do Desenvolvimento do Nordeste (SUDENE)"/>
        <s v="Associação Brasileira de Grandes Consumidores Industriais de Energia e de Consumidores Livres (ABRACE)"/>
        <s v="Casa dos Ventos"/>
        <s v="Voltalia Energia do Brasil (Voltalia)"/>
        <s v="Brava Energia"/>
        <s v="Grupo Stellantis (Stellantis)"/>
        <s v="Agência Brasileira de Promoção de Exportações e Investimentos (ApexBrasil)"/>
        <s v="Complexo Industrial Portuário de Suape (Suape)"/>
        <s v="Complexo do Pecém (CIPP S.A.)"/>
        <s v="Hydrogen Council"/>
        <s v="World Energy Council"/>
        <s v="Câmara Setorial de Energias Renováveis do Ceará (CS Renováveis/CE)"/>
        <s v="Glasgow Financial Alliance for Net Zero (GFANZ)"/>
        <s v="Centro Brasileiro de Relações Internacionais (CEBRI)"/>
        <s v="Future Climate"/>
        <s v="AS-PTA – Agricultura Familiar e Agroecologia (AS-PTA)"/>
        <s v="Associação Brasileira das Entidades dos Mercados Financeiro e de Capitais (ANBIMA)"/>
        <s v="C40 Cities (C40)"/>
        <s v="Programa das Nações Unidas para os Assentamentos Humanos (ONU-Habitat)"/>
        <s v="Associação Nacional de Transportes Públicos (ANTP)"/>
        <s v="Governos Locais pela Sustentabilidade (ICLEI)"/>
        <s v="Programa das Nações Unidas para o Meio Ambiente (PNUMA)"/>
        <s v="Associação Brasileira das Empresas de Serviços de Conservação de Energia (ABESCO)"/>
        <s v="Associação Nacional das Empresas de Transportes Urbanos (NTU)"/>
        <s v="Instituto Nacional de Pesquisas Espaciais (INPE)"/>
        <s v="Coalizão Brasil Clima, Florestas e Agricultura"/>
        <s v="Sustainable Energy for All (SEforALL)"/>
        <s v="Global Covenant of Mayors for Climate &amp; Energy"/>
        <s v="Organização para a Cooperação e Desenvolvimento Econômico (OECD)"/>
        <s v="Centro Internacional de Pesquisa Florestal e Agroflorestal (CIFOR-ICRAF)"/>
        <s v="Organização das Cooperativas Brasileiras (OCB)"/>
        <s v="Fundo Internacional de Desenvolvimento Agrícola (IFAD)"/>
        <s v="Wellcome Trust"/>
        <s v="Associação Caatinga"/>
        <s v="Fundo Constitucional de Financiamento do Nordeste (FNE)"/>
        <s v="Articulação Semiárido Brasileiro (ASA Brasil)"/>
        <s v="Fundação Araripe"/>
        <s v="Centro de Manejo de Fauna da Caatinga (CEMAFauna)"/>
        <s v="Instituto Regional da Pequena Agropecuária Apropriada (IRPAA)"/>
        <s v="Global Energy Alliance for People and Planet (GEAPP)"/>
        <s v="Banco Nacional de Desenvolvimento Econômico e Social (BNDES)"/>
        <s v="Banco do Nordeste (BNB)"/>
        <s v="Banco do Brasil (BB)"/>
        <s v="Federação Brasileira de Bancos (Febraban)"/>
        <s v="B3 – Brasil, Bolsa, Balcão (B3)"/>
        <s v="Câmara de Comercialização de Energia Elétrica (CCEE)"/>
        <s v="Agência Nacional do Petróleo, Gás Natural e Biocombustíveis (ANP)"/>
        <s v="Agência Nacional de Águas e Saneamento Básico (ANA)"/>
        <s v="MapBiomas (MapBiomas)"/>
        <s v="Instituto Nacional do Semiárido (INSA)"/>
        <s v="Instituto de Desenvolvimento Sustentável Mamirauá (IDSM)"/>
        <s v="Instituto Centro de Vida (ICV)"/>
        <s v="Instituto Internacional de Educação do Brasil (IEB)"/>
        <s v="Fundação Vitória Amazônica (FVA)"/>
        <s v="Instituto Ouro Verde (IOV)"/>
        <s v="Instituto Sociedade, População e Natureza (ISPN)"/>
        <s v="Rede Cerrado (Rede Cerrado)"/>
        <s v="Associação Brasileira de Geração Distribuída (ABGD)"/>
        <s v="Associação Brasileira do Veículo Elétrico (ABVE)"/>
        <s v="Confederação Nacional do Transporte (CNT)"/>
        <s v="Departamento Nacional de Infraestrutura de Transportes (DNIT)"/>
        <s v="Agência Nacional de Aviação Civil (ANAC)"/>
        <s v="Associação Brasileira de Normas Técnicas (ABNT)"/>
        <s v="Câmara Brasileira da Indústria da Construção (CBIC)"/>
        <s v="Conselho de Arquitetura e Urbanismo do Brasil (CAU/BR)"/>
        <s v="Conselho Federal de Engenharia e Agronomia (Confea)"/>
        <s v="Instituto Nacional de Metrologia, Qualidade e Tecnologia (Inmetro)"/>
        <s v="Serviço Brasileiro de Apoio às Micro e Pequenas Empresas (SEBRAE)"/>
        <s v="União Nacional de Cooperativas da Agricultura Familiar e Economia Solidária (Unicafes)"/>
        <s v="Infocos Agri-Agency"/>
        <s v="Instituto Democracia e Sustentabilidade (IDS)"/>
        <s v="Instituto Cidades Sustentáveis"/>
        <s v="Rede Nossa São Paulo"/>
        <s v="Instituto Pólis"/>
        <s v="Instituto Escolhas"/>
        <s v="Instituto de Estudos Socioeconômicos (INESC)"/>
        <s v="Instituto Brasileiro de Defesa do Consumidor (Idec)"/>
        <s v="Greenpeace Brasil"/>
        <s v="Instituto Internacional Arayara (Arayara)"/>
        <s v="Rede Brasileira de Justiça Ambiental (RBJA)"/>
        <s v="Fundação Pró-Natureza (Funatura)"/>
        <s v="Instituto Cerrados (IC)"/>
        <s v="Operação Amazônia Nativa (OPAN)"/>
        <s v="Instituto Peabiru"/>
        <s v="Projeto Saúde e Alegria (PSA)"/>
        <s v="Articulação dos Povos Indígenas do Brasil (APIB)"/>
        <s v="Coordenação das Organizações Indígenas da Amazônia Brasileira (COIAB)"/>
        <s v="Conselho Indigenista Missionário (CIMI)"/>
        <s v="Comissão Pastoral da Terra (CPT)"/>
        <s v="Conselho Nacional das Populações Extrativistas (CNS)"/>
        <s v="Articulação Nacional de Agroecologia (ANA)"/>
        <s v="Diaconia"/>
        <s v="Cáritas Brasileira"/>
        <s v="Federação de Órgãos para Assistência Social e Educacional (FASE)"/>
        <s v="Centro de Estudos do Trabalho e de Assessoria ao Trabalhador e à Trabalhadora (CETRA)"/>
        <s v="Centro de Desenvolvimento Agroecológico Sabiá (Centro Sabiá)"/>
        <s v="Programa de Aplicação de Tecnologias Apropriadas às Comunidades (PATAC)"/>
        <s v="Instituto de Arquitetos do Brasil (IAB)"/>
        <s v="Deutsche Gesellschaft für Internationale Zusammenarbeit (GIZ)"/>
        <s v="Kreditanstalt für Wiederaufbau (KfW)"/>
        <s v="Deutsche Investitions- und Entwicklungsgesellschaft (DEG)"/>
        <s v="Agência Francesa de Desenvolvimento (AFD)"/>
        <s v="Proparco"/>
        <s v="Expertise France"/>
        <s v="Agência de Cooperação Internacional do Japão (JICA)"/>
        <s v="Agência de Cooperação Internacional da Coreia (KOICA)"/>
        <s v="Agência Espanhola de Cooperação Internacional para o Desenvolvimento (AECID)"/>
        <s v="Agência Italiana de Cooperação para o Desenvolvimento (AICS)"/>
        <s v="Agência Suíça para o Desenvolvimento e Cooperação (COSUDE)"/>
        <s v="Agência Sueca de Cooperação para o Desenvolvimento Internacional (Sida)"/>
        <s v="Agência Dinamarquesa para o Desenvolvimento Internacional (DANIDA)"/>
        <s v="Agência Norueguesa de Cooperação para o Desenvolvimento (Norad)"/>
        <s v="Iniciativa Internacional de Clima e Florestas da Noruega (NICFI)"/>
        <s v="Ministério das Relações Exteriores, Commonwealth e Desenvolvimento do Reino Unido (FCDO)"/>
        <s v="UK PACT"/>
        <s v="Delegação da União Europeia no Brasil (UE)"/>
        <s v="Banco Europeu de Investimento (BEI)"/>
        <s v="Lux-Development (LuxDev)"/>
        <s v="Irish Aid (Irish Aid)"/>
        <s v="Agência Austríaca de Desenvolvimento (ADA)"/>
        <s v="Camões – Instituto da Cooperação e da Língua (Camões, I.P.)"/>
        <s v="Misereor (Misereor)"/>
        <s v="Trias (Trias vzw)"/>
        <s v="Brot für die Welt (Brot für die Welt)"/>
        <s v="Catholic Agency for Overseas Development (CAFOD)"/>
        <s v="Fundação Heinrich Böll (Heinrich Böll Stiftung)"/>
        <s v="Fundação Friedrich Ebert (Friedrich-Ebert-Stiftung)"/>
        <s v="Fundação Konrad Adenauer (Konrad-Adenauer-Stiftung)"/>
        <s v="Fundação Rosa Luxemburgo (Rosa-Luxemburg-Stiftung)"/>
        <s v="Plan International Brasil (Plan International)"/>
        <s v="Save the Children Brasil (Save the Children)"/>
        <s v="Visão Mundial (Visão Mundial)"/>
        <s v="Movimento dos Trabalhadores Rurais Sem Terra (MST)"/>
        <s v="Movimento dos Trabalhadores Sem Teto (MTST)"/>
        <s v="Movimento dos Atingidos por Barragens (MAB)"/>
        <s v="Movimento dos Pequenos Agricultores (MPA)"/>
        <s v="Movimento pela Soberania Popular na Mineração (MAM)"/>
        <s v="Confederação Nacional dos Trabalhadores Rurais Agricultores e Agricultoras Familiares (CONTAG)"/>
        <s v="Coordenação Nacional de Articulação das Comunidades Negras Rurais Quilombolas (CONAQ)"/>
        <s v="Movimento Negro Unificado (MNU)"/>
        <s v="Movimento de Mulheres Camponesas (MMC)"/>
        <s v="Movimento Interestadual das Quebradeiras de Coco Babaçu (MIQCB)"/>
        <s v="Conselho Pastoral dos Pescadores (CPP)"/>
        <s v="Movimento Nacional de Catadores de Materiais Recicláveis (MNCR)"/>
        <s v="Central de Movimentos Populares (CMP)"/>
        <s v="Articulação dos Povos Indígenas do Nordeste, Minas Gerais e Espírito Santo (APOINME)"/>
        <s v="Federação das Organizações Indígenas do Rio Negro (FOIRN)"/>
        <s v="Conselho Indígena de Roraima (CIR)"/>
        <s v="Hutukara Associação Yanomami (HAY)"/>
        <s v="Movimento Xingu Vivo para Sempre"/>
        <s v="Rede Xingu+ (Rede Xingu+)"/>
        <s v="Movimento Tapajós Vivo"/>
        <s v="Articulação Nacional de Economia Solidária (FBES)"/>
        <s v="Movimento Atingidos pelas Renováveis (MAR)"/>
        <s v="Seridó Vivo (Seridó Vivo)"/>
        <s v="Coalizão Energia Limpa (Coalizão Energia Limpa)"/>
        <s v="União Nacional de Catadoras e Catadores (Unicatadores)"/>
        <s v="Confederação Nacional da Indústria (CNI)"/>
      </sharedItems>
    </cacheField>
    <cacheField name="Organization's sector" numFmtId="0">
      <sharedItems>
        <s v="Civil Society Organization (CSO)"/>
        <s v="Funders"/>
        <s v="Private sector"/>
        <s v="Public sector"/>
        <s v="Others"/>
      </sharedItems>
    </cacheField>
    <cacheField name="Type of organization" numFmtId="0">
      <sharedItems>
        <s v="Philanthropy foundations"/>
        <s v="Monitoring, Evaluation, and Learning"/>
        <s v="Multi-stakeholder initiatives"/>
        <s v="Alliances"/>
        <s v="Alliances "/>
        <s v="Industry platforms and sectoral initiatives"/>
        <s v="Think tanks"/>
        <s v="Institutional Investors"/>
        <s v="Private companies (large / leading)"/>
        <s v="Local implementers"/>
        <s v="Research centers"/>
        <s v="Public agencies and regulators"/>
        <s v="Development banks"/>
        <s v="Impact investors"/>
        <s v="Multilateral organizations"/>
        <s v="Private companies (SMEs / local enterprises)"/>
        <s v="Academia"/>
        <s v="Bilateral cooperation agencies"/>
        <s v="Federal Government"/>
        <s v="Grassroots networks"/>
        <s v="Research centers "/>
        <s v="Commercial banks"/>
        <s v="Social moviments "/>
        <s v="Multilateral development banks (MDBs)"/>
      </sharedItems>
    </cacheField>
    <cacheField name="Description of organization &amp; contribution to systemic transition&#10;(strategic focus)" numFmtId="0">
      <sharedItems>
        <s v="A grantmaking organization that supports organizations, movements, and collectives to drive structural transformations, with a focus on democracy/civic freedoms, racial equity, and agendas such as fair and sustainable food systems."/>
        <s v="A private, non-profit philanthropic institute that promotes science in Brazil; it funds research, training, and journalism/media initiatives to strengthen evidence-based public and private decision-making."/>
        <s v="A national, private, non-profit financial mechanism that mobilizes and manages resources for biodiversity conservation, supporting initiatives, projects, and financing arrangements in partnership with government, the private sector, and civil society."/>
        <s v="A regranter organization that supports tackling climate change by funding agendas and actors capable of accelerating a just and effective transition to a low-carbon economy."/>
        <s v="A non-profit regranting organization focused on strengthening strategic communication to advance climate, democracy, and justice agendas, creating social demand for public policy and impactful private action."/>
        <s v="An association/platform within Brazil’s philanthropy and private social investment ecosystem; it convenes a network, produces knowledge, and strengthens institutional capacities for strategic and coordinated action."/>
        <s v="A philanthropic movement/network that connects donors, organizations, and partners for systemic transformation, promoting a culture of giving, active citizenship, and the strengthening of the third sector, specially philanthropies in Brazil."/>
        <s v="a social impact organization that promotes a positive impact in the philanthropic ecosystem by fostering creativity, innovation, and collaboration, together with the engagement of civil society, the private sector and the government to solve systemic prob"/>
        <s v="A global grantmaking philanthropic foundation focused on rights, equity, justice, democracy, and human rights; it supports organizations and initiatives in multiple countries with a focus on structural change."/>
        <s v="A civil society organization network that mobilizes and supports companies toward socially responsible and sustainable management; it develops tools, indicators, and convening efforts to strengthen socio-environmental integrity and influence policy."/>
        <s v="A civil society organization that inspires, supports, and expands private social investment and its impact; it works through consulting/strategy, knowledge production, and strengthening the philanthropic ecosystem."/>
        <s v="A think-and-do tank that coordinates multi-stakeholder action and produces knowledge for systemic climate solutions; it connects actors (business, government, finance, and civil society) to accelerate a just transition and climate innovation."/>
        <s v="An international non-profit organization that runs corporate initiatives and coalitions (e.g., in energy/transport/industry) to accelerate net-zero targets, acting as a secretariat for alliances and mobilizing sectoral commitments."/>
        <s v="A civil society organization focused on early childhood; it mobilizes leaders, supports governments and public policy, and produces evidence to reduce inequalities from the very beginning of life."/>
        <s v="A foundation focused on social justice and the sustainable development of urban peripheries; it fosters initiatives and connects the state, research, and civil society to tackle socio-spatial inequalities and influence policy."/>
        <s v="A philanthropic foundation (venture philanthropy) focused on productive inclusion, employability, and organizational strengthening; it supports scalable solutions and a culture of evaluation/effectiveness to expand social impact."/>
        <s v="An independent think tank dedicated to climate policy in Brazil; it combines data, science, and dialogue to monitor, analyze, and influence public policy and climate governance, increasing transparency and decision quality."/>
        <s v="A civil society organization focused on the rights of children and adolescents; it works through advocacy, communication, and partnerships to ensure priority for childhood and promote integral development with socio-environmental justice."/>
        <s v="A publicly listed holding company; it invests in a portfolio of companies and can influence the transition through governance, ESG strategy, capital allocation, and engagement for sustainable development and positive impact."/>
        <s v="A Brazilian philanthropic organization that fosters and incubates networks and structuring initiatives to promote fair, inclusive, and low-carbon development; it convenes public/private actors and civil society to advance systemic solutions in climate, na"/>
        <s v="A non-profit philanthropic organization focused on enhancing the sustainable socioeconomic development of parks and protected areas, supporting management models, partnerships, and knowledge for conservation and visitation."/>
        <s v="An international grantmaking philanthropic foundation that funds agendas such as conservation/restoration of natural systems, climate, and community strengthening; it supports organizations and coalitions for structural, evidence-based change."/>
        <s v="A global company in the aluminum sector (bauxite, alumina, and aluminum); it contributes to the transition through industrial decarbonization, ESG standards, traceability, and engagement with supply chains and the territories where it operates."/>
        <s v="A global leader in aluminum and renewable energy; it can drive the transition through circular economy practices, emissions reductions, materials innovation, socio-environmental governance, and investment in low-carbon value chains."/>
        <s v="A Brazilian NGO (OSCIP) that defends the rights and territories of Indigenous Peoples and traditional communities and protects socio-environmental heritage; it contributes through advocacy, monitoring, and integrated solutions for conservation and socio-e"/>
        <s v="A science-based international conservation NGO; it develops local solutions to protect land and water, restore ecosystems, and design financing/arrangements for conservation, connecting the public and private sectors and communities."/>
        <s v="A conservation NGO that works with nature-based solutions, science, and partnerships to protect biodiversity and promote human well-being; it operates through field projects, policy work, and coalitions."/>
        <s v="A Brazilian NGO dedicated to conserving life and promoting a future in which society and nature live in harmony; it contributes through advocacy, projects, social mobilization, and influence on supply chains and public policy."/>
        <s v="A non-profit applied research and convening institution that turns evidence into action on climate, forests, cities, and land use; it supports public policy, planning, and implementation of low-carbon solutions through multi-stakeholder partnerships."/>
        <s v="A Brazilian environmental NGO whose mission is to inspire society to defend the Atlantic Forest; it works through monitoring, studies, demonstration projects, communication, and advocacy in public policy and territorial governance."/>
        <s v="A federal public company for agricultural R&amp;D; it contributes to systemic transition through innovation and technology diffusion for sustainable agriculture, climate adaptation, productivity, and reduced environmental impacts."/>
        <s v="A set of entities providing vocational training and public-interest services (e.g., SENAI, SESI, SESC, SENAC, etc.) financed through sectoral contributions; it contributes to the transition through training, reskilling, and innovation for work and product"/>
        <s v="A federal agency responsible for environmental enforcement and control; it contributes to systemic transition through regulation, licensing, monitoring, combating environmental crimes, and inducing socio-environmental compliance."/>
        <s v="A federal agency responsible for managing and overseeing federal protected areas; it contributes through biodiversity protection, restoration, protected-area management, and implementation of conservation policies."/>
        <s v="A non-profit scientific institution that produces research and solutions for forest conservation and socio-environmental development in the Amazon; it works with data, monitoring, policy evaluation, and projects."/>
        <s v="A non-profit civil society organization working for sustainable development in the Amazon through community programs and multi-stakeholder partnerships; it contributes to the transition through conservation combined with productive inclusion and territori"/>
        <s v="A non-profit civil association that promotes change in the agricultural and forestry sectors; it works with certifications, technical assistance, projects, and market/policy mechanisms for sustainable land use and emissions reduction."/>
        <s v="A private foundation that runs projects in education, culture, heritage, and the environment; it contributes to the transition through educational innovation, communication/engagement, and capacity building for sustainable development."/>
        <s v="A federal public research foundation that provides technical support for the formulation and evaluation of public policies; it contributes through evidence, indicators, and economic analysis to design and improve transition and development agendas."/>
        <s v="Federal school of government that trains civil servants, promotes innovation in public management, and strengthens state capacity for policy design, implementation, and evaluation."/>
        <s v="TCU’s training and knowledge institute focused on improving public governance, accountability, integrity, and oversight through education, research, and dissemination of best practices."/>
        <s v="Global mining company; can influence systemic transition through responsible mining, decarbonization targets, supply-chain standards, territorial development investments, and stronger ESG governance."/>
        <s v="Leading pulp and paper company; contributes via sustainable forestry, restoration and bioeconomy pathways, low-carbon product innovation, and responsible value chains."/>
        <s v="Federal regional development bank focused on the Amazon; mobilizes credit and financial instruments for sustainable development, bioeconomy value chains, productive inclusion, and low-carbon land-use solutions."/>
        <s v="Amazon-based NGO advancing conservation and sustainable development through territorial projects, sustainable value chains, and climate solutions (including finance mechanisms where applicable)."/>
        <s v="Nonprofit that structures and manages impact finance mechanisms (e.g., funds, blended finance, governance of philanthropic/impact resources), connecting capital to measurable socio-environmental outcomes."/>
        <s v="Impact investor/venture builder that mobilizes capital and supports impact ventures with strategy and investment, helping scale solutions aligned with inclusive and low-carbon development."/>
        <s v="Nonprofit accelerator and ecosystem builder for impact businesses in Brazil; strengthens entrepreneurs and scalable models that address inequality and socio-environmental challenges."/>
        <s v="Civil society organization that convenes business leaders and partners to foster corporate citizenship, social innovation, and multi-stakeholder collaboration for systemic change."/>
        <s v="Global network of impact innovation hubs (coworking + programs) that supports entrepreneurship, collaboration, and the scaling of socio-environmental solutions."/>
        <s v="Nonprofit that accelerates sustainable community-based enterprises, connecting cooperatives/associations to markets and finance to strengthen territorial resilience and the low-carbon transition."/>
        <s v="Platform that maps and connects impact businesses with investors, corporations, and partners; facilitates matchmaking and programs to scale impact solutions."/>
        <s v="Organization that supports and finances social businesses, connecting entrepreneurs to capital, networks, and corporate innovation to scale solutions that reduce inequality and generate socio-environmental impact."/>
        <s v="C&amp;A’s social investment institute in Brazil; mobilizes partners and programs to strengthen communities through inclusion and opportunity pathways, supporting broader equitable development."/>
        <s v="Nonprofit foundation that supports inclusive economic development and community benefit initiatives, often in partnership with local stakeholders and the private sector."/>
        <s v="NGO that supports micro and small entrepreneurs in vulnerable contexts through training, networks, and market access—strengthening inclusive local economies and productive inclusion."/>
        <s v="Philanthropic investment organization combining grants and investments to expand shared prosperity and opportunity, often backing initiatives that strengthen inclusion, institutions, and responsible technology."/>
        <s v="Nonprofit foundation maintained by the Boticário Group that funds and advances biodiversity conservation, protected areas, restoration, and nature-positive agendas (including water security and regenerative economy pathways)."/>
        <s v="Consumer goods company with strong commitments to sustainability; can drive systemic transition through responsible sourcing (including sociobiodiversity), circular economy practices, low-carbon innovation, and influence across value chains."/>
        <s v="UN development agency that provides technical cooperation, program implementation support, and policy assistance aligned with the SDGs (governance, inclusion, poverty reduction, and climate resilience)."/>
        <s v="Platform that strengthens entrepreneurship and the bioeconomy in the Amazon by offering capacity building, ecosystem convening, and connections to markets and investors for sustainable businesses."/>
        <s v="Impact-oriented food brand that works with Amazon-linked supply chains; contributes through fairer sourcing, product innovation, and strengthening local producers and sustainable value chains."/>
        <s v="Corporate institute that acts as an applied intelligence and partnership platform, supporting socio-environmental solutions, territorial development, and better corporate practices for sustainability."/>
        <s v="Impact accelerator/consultancy that supports impact ventures with mentoring, strategy and investment readiness, connecting entrepreneurs to capital and partners to scale solutions."/>
        <s v="Local enterprise linked to sustainable value chains (e.g., cacao/chocolate); can contribute via responsible sourcing, territorial development, and inclusive value creation with producers."/>
        <s v="System-innovation and inclusive-business organization working with companies, governments, and civil society to design scalable solutions, strengthen inclusive value chains, and generate evidence for systemic change."/>
        <s v="Higher education and research institution that trains leaders and produces applied knowledge in economics, business and public policy, supporting evidence-based decisions for sustainability transitions."/>
        <s v="Impact venture capital investor supporting startups with measurable social/environmental outcomes, accelerating innovation and scaling solutions for inclusive and low-carbon transitions."/>
        <s v="Foundation that supports responsible leadership and social innovation, convening cross-sector networks and programs to address complex societal challenges."/>
        <s v="Global philanthropic foundation focused on social justice and reducing inequality; supports organizations and systemic agendas, including intersections with climate justice and rights."/>
        <s v="Corporate social investment institute linked to Grupo Sabin; supports initiatives and partnerships (commonly in health, education and community development) that build local capacities and inclusion."/>
        <s v="Philanthropy organization that mobilizes donors and structures giving toward high-impact projects, strengthening the Brazilian giving ecosystem and scaling effective initiatives."/>
        <s v="Professional services firm that can support transitions through ESG strategy, governance, risk management, compliance, measurement, and implementation support for organizations."/>
        <s v="Applied sustainability research center that develops methods, metrics and convening to inform corporate strategies and public policies for low-carbon and inclusive transitions."/>
        <s v="Business school providing executive education and applied research; strengthens leadership, governance and organizational capabilities for sustainability and systemic transformation."/>
        <s v="Reference institution for corporate governance in Brazil; disseminates standards and training that strengthen accountability, transparency and long-term value creation aligned with sustainability."/>
        <s v="USP school dedicated to teaching and research in agrifood systems and land use; contributes via innovation for sustainable agriculture, climate adaptation and bioeconomy."/>
        <s v="Impact-oriented organization/consultancy that supports strategy, partnerships and implementation of socio-environmental projects, helping scale solutions across territories and value chains."/>
        <s v="Alliance of philanthropic foundations that aligns strategies and funding to reduce deforestation, improve land-use governance, and advance climate and nature outcomes with social benefits."/>
        <s v="Impact accelerator and investor focused on the Amazon region; supports impact enterprises that generate positive outcomes for forests and local populations, strengthening sustainable business models and access to finance/markets."/>
        <s v="Leading e-commerce and logistics company in Latin America; can influence systemic transition through low-carbon logistics, responsible packaging, supplier standards, and scaling access for SMEs and sustainable products."/>
        <s v="Global e-commerce, cloud and logistics company; can influence systemic transition via renewable energy procurement, low-carbon logistics, responsible supply chains, and scaling digital infrastructure for climate and inclusion solutions."/>
        <s v="Pre-competitive public–private cocoa-sector platform that aligns companies, government and partners to advance sustainable, forest-positive cocoa production, improve farmer livelihoods, and strengthen responsible value chains."/>
        <s v="Brazilian NGO combining science, education and socio-environmental innovation to conserve biodiversity and support sustainable development across multiple biomes through community-based projects and policy-relevant evidence."/>
        <s v="Civil society hub/think tank that builds bridges between public and private leadership to strengthen state capacity, improve public management, and structure collaborative solutions for sustainable development."/>
        <s v="Public research institution in health; contributes to systemic transition through science and innovation, public health systems strengthening, climate-and-health evidence, and applied knowledge for resilient and equitable development."/>
        <s v="Public university that contributes through research, teaching and policy engagement; supports systemic transition by generating evidence and training leaders for public policy, sustainability and innovation agendas."/>
        <s v="Public university in the Amazon region; contributes via research and training on socio-biodiversity, territorial development, climate and governance, supporting evidence-based solutions in the region."/>
        <s v="Public university and major research institution; contributes to systemic transition through high-impact research, innovation, and training across climate, nature, health, and sustainable development fields."/>
        <s v="Federal agency responsible for Indigenous peoples’ rights and protection; influences systemic transition by safeguarding territories, supporting socio-environmental governance, and enabling rights-based approaches to land use and development."/>
        <s v="Private non-profit foundation that generates knowledge and applied projects on sustainability; supports better policy and corporate practice through research, indicators and technical work on climate, land use and sustainable development."/>
        <s v="Organization specialized in land tenure conflict mediation and regularization; contributes to systemic transition by enabling legal security, inclusive urban development, and negotiated solutions that reduce social conflict and strengthen territorial gove"/>
        <s v="Infrastructure and environmental engineering group (e.g., water and sanitation); can support systemic transition through universal sanitation delivery, resilient infrastructure, and improved environmental performance in project design and operation."/>
        <s v="Civil society coalition created to address climate change in Brazil; produces analysis, monitoring and advocacy to strengthen climate governance, transparency and ambitious public policy."/>
        <s v="U.S. government development cooperation agency that provides funding, technical assistance, and partnerships to support international development priorities (e.g., governance, health, food security, climate resilience), helping scale solutions and strengt"/>
        <s v="International grantmaking foundation that funds science and environmental conservation, supporting evidence-based approaches, ecosystem protection, and systemic solutions for climate and nature."/>
        <s v="Latin American philanthropic organization focused on systemic change through collaboration; supports networks and initiatives that advance climate action, democratic innovation, and a fair/regenerative economy."/>
        <s v="International grantmaking foundation supporting programs such as climate/environment, governance, and equity; helps fund coalitions and institutions that enable long-term, structural change."/>
        <s v="Grantmaking foundation that supports organizations and networks to design and scale high-impact climate solutions, connecting funders and implementers to accelerate emissions reductions across sectors."/>
        <s v="Independent philanthropic organization that funds large-scale programs for children and adolescents and climate action, using evidence and partnerships to deliver measurable, systemic outcomes."/>
        <s v="International grantmaking foundation supporting issues such as environment/climate, human rights, and social justice; funds organizations and coalitions that pursue structural change."/>
        <s v="Federal ministry responsible for national policies and planning guidelines for energy and mining; central to enabling the energy transition through regulation, sector planning, and policy coordination."/>
        <s v="Public company that provides studies and research to support the MME and national energy planning (electricity, oil &amp; gas, and biofuels), strengthening evidence-based decisions for a low-carbon transition."/>
        <s v="Federal electricity regulator responsible for sector oversight and regulation; key to the transition through tariff/regulatory frameworks, quality/resilience requirements, and market rules that enable renewables and grid modernization."/>
        <s v="Non-profit system operator (private-law entity) responsible for coordinating and controlling generation and transmission operation of Brazil’s interconnected power system; essential for reliability, integration of renewables, and operational planning."/>
        <s v="Integrated utility (generation/transmission/distribution); can accelerate transition by expanding renewables, modernizing grids, improving efficiency, and scaling electrification solutions with stronger ESG performance."/>
        <s v="Integrated utility with strong distribution footprint; contributes through grid modernization, losses reduction, digitalization, and investments that enable distributed generation and clean electrification."/>
        <s v="Power generation company with a significant renewables portfolio; contributes via renewable expansion, decarbonization strategies, and long-term investment in clean energy assets and grid solutions."/>
        <s v="Energy company active in generation and distribution; can drive the transition through renewables, innovation (e.g., storage/digital), energy efficiency, and electrification programs."/>
        <s v="Integrated utility (distribution and generation) with focus on decarbonization; contributes via renewable investments, grid resilience, digital networks, and electrification (e.g., e-mobility infrastructure)."/>
        <s v="Major electricity company with large generation and transmission assets; can influence systemic transition through grid expansion, transmission reliability, renewable integration, and governance aligned with long-term decarbonization."/>
        <s v="Brazilian non-profit institute that produces technical evidence and policy analysis on energy, air quality, emissions and urban mobility, supporting better regulation and public decision-making for a low-carbon transition."/>
        <s v="Independent Brazilian think tank that develops data-driven analysis and policy proposals and convenes stakeholders to advance a just, efficient energy transition aligned with sustainable development."/>
        <s v="International grantmaking foundation that provides strategic and financial support to organizations working to tackle the climate crisis, strengthening coalitions and high-impact policies for decarbonization."/>
        <s v="Independent charitable foundation that funds climate solutions to reduce emissions, scale carbon removal, and strengthen resilience to climate impacts through grants and partnerships."/>
        <s v="Federal ministry responsible for urban development agendas (housing, sanitation, urban mobility and planning), shaping national policy frameworks, programs and financing instruments for inclusive and resilient cities."/>
        <s v="Federal regulatory agency that regulates, supervises and enforces land transport services and infrastructure concessions (roads/railways), influencing decarbonization and efficiency through sector rules, contracts and oversight."/>
        <s v="Federal regulatory agency for waterway transport and port infrastructure; key for cleaner logistics through regulation, supervision and enforcement of maritime and inland navigation and port operations."/>
        <s v="Major mobility infrastructure concessions group (highways, urban mobility and airports); can accelerate transition via low-carbon operations, resilient infrastructure, road safety, and enabling cleaner transport and logistics."/>
        <s v="Highway concessions operator; can support systemic transition by improving logistics efficiency, road safety and climate resilience, and embedding ESG standards in infrastructure operations and investments."/>
        <s v="Manufacturer of electric vehicles (including buses); contributes to the transition by scaling electrification, supporting charging ecosystems, and enabling lower-emission public transport fleets."/>
        <s v="Bus manufacturer and solutions provider; contributes through low/zero-emission bus technologies, fleet efficiency and safety innovations that support public transport decarbonization."/>
        <s v="Commercial vehicle manufacturer; can drive transition by advancing low-emission vehicle technologies, improving efficiency and safety, and supporting cleaner logistics and public transport solutions."/>
        <s v="Non-profit organization that supports governments to implement sustainable and equitable transport and urban development solutions, helping reduce emissions while improving access, safety and urban quality of life."/>
        <s v="Federal public bank central to housing finance and urban investment; can enable systemic transition by scaling affordable housing and resilient urban infrastructure financing (including low-carbon and energy-efficiency measures)."/>
        <s v="Large homebuilder; can contribute by scaling affordable housing, adopting low-carbon construction practices, improving energy efficiency, and strengthening social and environmental standards in developments."/>
        <s v="Homebuilder focused on affordable housing; contributes by expanding access to housing and adopting higher sustainability, efficiency and climate resilience standards in projects and operations."/>
        <s v="Large real estate developer; can contribute to systemic transition by scaling higher-efficiency building standards, reducing embodied carbon in materials, improving construction practices, and strengthening social and environmental safeguards in developme"/>
        <s v="Major cement producer; central to transition through clinker reduction, alternative fuels, energy efficiency, low-carbon cements, circularity (waste co-processing), and supply-chain decarbonization."/>
        <s v="Large cement producer; contributes to transition via process decarbonization, alternative fuels/materials, operational efficiency, circular economy solutions, and adoption of low-carbon cement products."/>
        <s v="Industry platform that promotes sustainable buildings and certification practices; supports market transformation through standards, capacity building, and dissemination of best practices in green construction."/>
        <s v="Federal ministry responsible for agriculture and livestock policy; key to systemic transition by shaping incentives, regulation, and programs for sustainable production, food security, and climate adaptation/mitigation in agrifood systems."/>
        <s v="Federal agency responsible for land reform and rural land administration; influences transition through land tenure regularization, settlement policies, and inclusive rural development with environmental compliance."/>
        <s v="Research and policy institute focused on agribusiness, land use and climate; provides evidence and proposals to enable low-carbon agriculture, deforestation-free supply chains, and better public policies."/>
        <s v="Global meat and food company; central to transition through deforestation-free sourcing, traceability, methane/emissions reduction, animal welfare, and strengthening governance across supply chains."/>
        <s v="Meat and food company; can drive transition through cattle traceability, deforestation-free supply chains, emissions reduction, and improved ESG governance and transparency."/>
        <s v="Agribusiness and trading group (grains, logistics); contributes via deforestation-free supply chains, compliance/traceability, low-carbon logistics, and adoption of sustainable production standards."/>
        <s v="Large-scale producer of grains/fibers; contributes through sustainable land management, climate-smart agriculture, responsible expansion, and improved measurement and reduction of emissions and impacts."/>
        <s v="Non-profit research institute focused on the Amazon; produces science, monitoring and policy proposals to curb deforestation, advance sustainable land use, and strengthen climate and territorial governance."/>
        <s v="Non-profit that works on supply-chain and finance levers to stop deforestation; produces data/tools and convenes stakeholders to improve accountability and drive forest-positive action."/>
        <s v="Philanthropic foundation supporting climate solutions (often focused on clean energy and systemic decarbonization); provides grants to accelerate policy and market shifts toward a low-carbon economy."/>
        <s v="Federal ministry responsible for social development and income-support policies; key to a just transition by reducing poverty/inequality and integrating social protection with food security and resilience policies."/>
        <s v="Federal leadership on nutrition policy within the health system; can drive systemic transition by strengthening food and nutrition security actions, healthy diets, monitoring of nutritional outcomes, and integration of nutrition with primary health care a"/>
        <s v="Multi-stakeholder councils for food and nutrition security that enable social participation, policy coordination and oversight; contribute by shaping priorities, improving governance and strengthening accountability in food systems and social protection."/>
        <s v="Major retail group; can influence systemic transition through responsible sourcing, healthier food environments, waste reduction, traceability, supplier standards and scaling sustainable products."/>
        <s v="Large cash-and-carry retailer; contributes via supplier engagement, responsible sourcing, food loss and waste reduction, and expanding access to affordable food with improved sustainability standards."/>
        <s v="Major retailer; can drive transition through deforestation-free supply chains, traceability, healthier food offerings, food waste reduction and strong ESG governance across suppliers."/>
        <s v="Large food and beverage company; contributes through sustainable agriculture programs, deforestation-free sourcing, nutrition/healthier product reformulation, and emissions reduction across value chains."/>
        <s v="Consumer goods company; can influence transition via sustainable sourcing, deforestation-free commodities, packaging circularity, waste reduction and supplier standards for climate and nature."/>
        <s v="Food company (dairy and nutrition); contributes through regenerative agriculture, methane reduction in dairy supply chains, nutrition and health initiatives, and low-carbon operations and packaging."/>
        <s v="Civil society network that produces evidence and mobilizes actors around food and nutrition security in Brazil; contributes by monitoring hunger, informing public policy and strengthening accountability and social engagement."/>
        <s v="Nonprofit that promotes sustainable and healthy food systems; supports innovation, communication and multi-stakeholder initiatives to shift diets, reduce waste and strengthen sustainable value chains."/>
        <s v="International non-profit that mobilizes science and multi-stakeholder action to transform food systems toward healthy diets within planetary boundaries; supports convening, advocacy and evidence-based agendas."/>
        <s v="FAO programmatic platform supporting countries to design and implement food systems transformation, including policy support, data, capacity building and partnerships for sustainable agrifood systems."/>
        <s v="Federal agency focused on forest governance; contributes via forest information systems, public forest management, concessions frameworks and policies that support sustainable forest use and conservation."/>
        <s v="Integrated forestry, pulp and paper company; contributes through sustainable forest management, restoration, low-carbon products, traceability and biodiversity protection in managed landscapes."/>
        <s v="Pulp producer; can support systemic transition via sustainable forestry, restoration, responsible land-use governance, and decarbonization of industrial processes and logistics."/>
        <s v="Building materials and wood-based products company; contributes through sustainable forestry inputs, lower-carbon materials, circularity, and responsible sourcing/traceability."/>
        <s v="Corporate venture capital arm; can accelerate transition by investing in and scaling innovations in bioeconomy, sustainable materials, decarbonization and nature-positive solutions."/>
        <s v="International NGO that works to conserve forests and biodiversity and improve livelihoods by transforming land-use supply chains through standards/certification, traceability, technical assistance and partnerships."/>
        <s v="Non-profit organization that generates data and analysis on forests, ecosystem services and finance, supporting transparency and better market/policy mechanisms to reduce deforestation and scale nature-positive investment."/>
        <s v="Non-profit research and innovation institute focused on reducing deforestation and accelerating low-carbon rural development through policy support, territorial strategies and partnerships with governments, producers and civil society."/>
        <s v="Philanthropic fund that provides large-scale grants to address climate change and protect nature, supporting high-impact initiatives across mitigation, conservation and environmental justice."/>
        <s v="Philanthropic organization that funds public health, cities, climate and governance initiatives; supports coalitions and policy implementation to accelerate decarbonization and improve urban resilience."/>
        <s v="Foundation focused on transforming key economic systems (e.g., built environment, industry, finance) to deliver climate action and a just transition through grants, partnerships and market-shaping initiatives."/>
        <s v="Foundation that supports social entrepreneurs and systems change initiatives, providing funding and networks to scale solutions to major social and environmental challenges."/>
        <s v="Grantmaking foundation that supports environmental conservation (including oceans and rivers), education and community development, funding long-term strategies and policy-oriented initiatives."/>
        <s v="Philanthropic organization supporting environmental and climate solutions; provides grants to protect ecosystems and strengthen policies and civil society capacity for systemic change."/>
        <s v="Conservation charity that funds the creation and expansion of protected areas and safeguards critical habitats, enabling biodiversity protection through partnerships with local organizations."/>
        <s v="International grantmaking foundation that supports systemic solutions across areas such as climate, justice and effective institutions, funding organizations and coalitions for long-term change."/>
        <s v="Foundation supporting democratic practice, economic fairness and sustainable development; funds climate and energy transition work, including policy and movement-building for systemic change."/>
        <s v="Interstate consortium of Brazil’s Northeast states that coordinates cooperation and joint strategies; can accelerate systemic transition by aligning policies, investments and programs on climate, development and regional resilience."/>
        <s v="Multi-stakeholder platform linked to the securities regulator that convenes regulators, market actors and experts to develop and disseminate sustainable finance innovations, reduce barriers to green/inclusive capital flows, and spread best practices."/>
        <s v="Business-led association that convenes major companies to advance sustainable development in Brazil; strengthens corporate commitments, policy dialogue and collective action to accelerate low-carbon and nature-positive transitions."/>
        <s v="Association representing Brazil’s development finance institutions; supports systemic transition by mobilizing long-term finance, aligning practices and standards, and strengthening the national development finance ecosystem for sustainable investment."/>
        <s v="Research and policy institute that produces data-driven analysis and technical support on climate policy and climate finance; improves policy design and investment decisions for decarbonization, resilience and a just transition."/>
        <s v="Capacity-building and applied research hub that develops science-based transition assessments and trains professionals to interpret climate transition risks/opportunities, strengthening capital allocation toward a low-carbon economy."/>
        <s v="Industry association representing the wind energy value chain; supports market expansion and enabling policies/regulation to scale wind generation, grid integration and a competitive renewables industry."/>
        <s v="Sector association that connects the solar PV value chain; advances regulation, market development and industry coordination to accelerate solar deployment (including distributed generation and enabling technologies)."/>
        <s v="Industry association promoting biogas/biomethane; supports enabling regulation, standards and investment to decarbonize energy, waste and agriculture through circular-economy pathways."/>
        <s v="Industry association supporting hydrogen market development (including low-carbon/green hydrogen); contributes through policy dialogue, standards, ecosystem coordination and project acceleration."/>
        <s v="Non-profit institute focused on energy efficiency; contributes through technical studies, policy advocacy and capacity building to reduce energy demand, costs and emissions across sectors."/>
        <s v="Federal regional development authority; can accelerate systemic transition by aligning regional strategies, incentives and investment pipelines for resilient, inclusive and low-carbon development in the Northeast."/>
        <s v="Association representing large industrial energy consumers and free-market consumers; influences transition by advocating for market design, competitiveness, contracting rules and reliable low-carbon supply."/>
        <s v="Renewable energy developer; contributes by developing large-scale wind/solar projects, enabling corporate decarbonization strategies (PPAs/autoproduction) and supporting new clean energy vectors."/>
        <s v="Energy-transition-focused company that supports decarbonization through solutions such as energy management, clean energy sourcing and/or distributed energy services for firms and territories."/>
        <s v="Energy company in the oil and gas segment; can contribute through stronger governance, operational efficiency and methane/emissions management, alongside transparent transition planning."/>
        <s v="Automotive group; can accelerate mobility transition by scaling electrified vehicles, improving fleet efficiency, advancing local supply chains and supporting charging/industrial decarbonization ecosystems."/>
        <s v="National trade and investment promotion agency; can support systemic transition by attracting sustainable investment, promoting competitive green exports and strengthening business internationalization aligned with low-carbon strategies."/>
        <s v="Port and industrial complex authority in Pernambuco; supports systemic transition by enabling logistics and industrial infrastructure, embedding ESG standards, improving energy efficiency, adopting low-carbon fuels in operations, and hosting new low-carbo"/>
        <s v="Port and industrial complex company in Ceará (integrated with ZPEs); can accelerate transition by anchoring low-carbon industrial investment, developing energy/logistics infrastructure, and enabling export-oriented value chains linked to renewables and gr"/>
        <s v="Global CEO-led coalition of companies and investors to accelerate clean hydrogen; contributes through advocacy, market studies, coordination of commitments, and reducing barriers to scaling projects and enabling regulation."/>
        <s v="Global platform convening energy leaders and experts; contributes through dialogue, reports and convening to support energy systems that are secure, affordable and sustainable, informing strategic transition decisions."/>
        <s v="State-level sector chamber that convenes stakeholders around renewables; supports transition by coordinating dialogue, proposing guidelines and helping shape policies/roadmaps for expanding renewables (including wind, solar and green hydrogen)."/>
        <s v="International finance-sector alliance to accelerate net-zero; contributes by convening financial institutions, promoting transition guidance and voluntary frameworks, mobilizing capital, and helping remove barriers to climate investment."/>
        <s v="Brazilian international relations think tank; contributes by producing analysis and convening dialogue on global governance, climate and development, connecting public sector, private sector and civil society."/>
        <s v="Climate tech and carbon market company; supports transition by providing climate intelligence and enabling access to carbon/finance mechanisms that can fund decarbonization and high-integrity climate solutions."/>
        <s v="Civil society organization strengthening family farming and agroecology; contributes through technical support, network building and advocacy for sustainable, resilient and equitable food systems."/>
        <s v="Financial and capital markets association with a representation and self-regulatory role; supports transition by promoting standards, transparency and best practices that can steer sustainable finance products and capital flows."/>
        <s v="Global network of cities committed to climate action; contributes through technical assistance, peer learning and implementation support for low-carbon urban policies (mobility, buildings, waste and adaptation)."/>
        <s v="UN agency for sustainable urban development; contributes through technical cooperation, standards and policy support for housing, urban planning, resilience and inclusive city development."/>
        <s v="Technical association for public transport and traffic; contributes by producing and disseminating knowledge, supporting policy dialogue and promoting best practices for efficient, safe and low-carbon urban mobility."/>
        <s v="Global network of local and subnational governments; accelerates transition by providing tools, technical support and convening for low-carbon, nature-based, equitable, resilient and circular development pathways."/>
        <s v="UN environment authority that supports countries with science, policy guidance, standards and partnerships to address climate, nature and pollution, strengthening environmental governance and enabling systemic transitions."/>
        <s v="Industry association representing energy service companies (ESCOs); accelerates transition by promoting energy efficiency markets, performance contracting and best practices that reduce energy demand and emissions."/>
        <s v="Association representing urban public transport operators; contributes to transition by advocating for quality, funding models and fleet modernization, including low/zero-emission buses and better service for equity."/>
        <s v="Federal research institute that produces Earth observation and climate science; supports systemic transition by generating authoritative data on deforestation, emissions and climate risks to inform policy and enforcement."/>
        <s v="Multi-stakeholder coalition that convenes agribusiness, civil society, academia and finance to advance policy proposals and commitments for low-carbon agriculture, forest protection and sustainable land use."/>
        <s v="International organization that supports governments and partners to achieve universal energy access and accelerate the clean energy transition through analytics, convening and technical assistance."/>
        <s v="Global coalition of city networks and local governments; supports systemic transition by enabling cities to set targets, plan and report climate action, access technical support and mobilize finance for low-carbon urban development."/>
        <s v="Intergovernmental organization that produces comparative evidence, standards and policy recommendations; supports transitions via guidance on climate policy, taxation, investment, governance and inclusive growth."/>
        <s v="International research center focused on forests, agroforestry and land use; supports systemic transition through science, data and policy engagement to reduce deforestation, improve livelihoods and scale nature-based solutions."/>
        <s v="National cooperative apex organization; contributes by strengthening cooperative governance and scaling inclusive, sustainable value chains in agriculture, finance and services."/>
        <s v="UN specialized agency and international financial institution focused on rural poverty reduction; provides concessional finance and technical support to strengthen smallholder agriculture, resilience and sustainable rural development."/>
        <s v="Global charitable foundation focused on health research; contributes to systemic transition by funding science on climate-and-health risks, innovation and evidence for resilient, equitable health systems."/>
        <s v="Brazilian NGO dedicated to Caatinga conservation; supports systemic transition through biodiversity protection, restoration, community-based projects and partnerships that strengthen sustainable territorial development."/>
        <s v="Constitutional regional fund operated via development finance; supports transition by providing long-term credit for productive investment, potentially steering capital toward low-carbon, resilient and inclusive regional development."/>
        <s v="Network of civil society organizations in the Semi-arid region; strengthens climate resilience and food/water security through social technologies, community mobilization and advocacy for inclusive development."/>
        <s v="Regional philanthropic foundation (linked to the Araripe territory); can support systemic transition by funding conservation, education and sustainable livelihoods initiatives aligned with territorial resilience and equity."/>
        <s v="Applied center focused on fauna management and conservation in the Caatinga; contributes through research, monitoring, rescue/rehabilitation and technical support for biodiversity protection and environmental licensing."/>
        <s v="Civil society organization that supports family farming in the Semi-arid; contributes through technical assistance, agroecology and water strategies that strengthen resilience, food security and sustainable rural development."/>
        <s v="Global alliance that mobilizes philanthropic, public and private partners to accelerate clean energy deployment and energy access; supports systemic transition through catalytic finance, project pipelines and policy/implementation partnerships."/>
        <s v="Brazil’s national development bank; enables systemic transition by providing long-term finance and structuring blended-finance/investment platforms for renewable energy, resilient infrastructure, low-carbon industry and sustainable land-use value chains."/>
        <s v="Regional development bank for the Northeast; accelerates transition by channeling credit and technical support to productive inclusion, resilient AFOLU systems in the Semiárido/Caatinga, clean energy projects and sustainable local infrastructure."/>
        <s v="Large commercial bank with strong role in rural finance; supports transition by steering credit, risk management and incentives toward sustainable agriculture, deforestation-free supply chains, climate resilience and inclusive green investment."/>
        <s v="Banking federation that coordinates sector commitments and standards; contributes by shaping sustainable finance practices (risk, disclosure, taxonomy/labels) and aligning banking products with low-carbon and nature-positive outcomes."/>
        <s v="Capital markets infrastructure (stock exchange and clearing); supports transition by enabling listings and sustainable instruments (e.g., green/transition bonds), improving transparency and disclosure, and strengthening market standards for ESG and climat"/>
        <s v="Electricity market operator for trading/settlement; enables energy transition by operating market mechanisms and data systems that support competition, renewable integration, contracting innovations and efficient price signals."/>
        <s v="Federal regulator for oil, gas and biofuels; influences transition through regulation of fuels markets, biofuels standards and oversight that can reduce emissions and support lower-carbon energy pathways."/>
        <s v="Federal water and sanitation regulator; contributes to systemic transition by strengthening water governance, resilience planning and regulatory frameworks critical for cities, energy systems and AFOLU—especially in water-stressed regions."/>
        <s v="Multi-institutional network producing high-resolution land-use and ecosystem monitoring; supports AFOLU transition by providing transparent data for deforestation control, land-use planning, enforcement and sustainable finance due diligence."/>
        <s v="Federal research institute focused on the Semi-arid; enables transition in the Caatinga by generating applied knowledge and innovation for water security, climate adaptation, sustainable production systems and territorial resilience."/>
        <s v="Applied research institute in the Amazon; supports systemic transition by combining science, monitoring and community-based models for conservation, sustainable livelihoods and nature-positive development pathways."/>
        <s v="Civil society organization working in the Amazon/Cerrado frontier; contributes through territorial governance, transparency, policy engagement and implementation to reduce deforestation and strengthen sustainable rural economies."/>
        <s v="NGO focused on capacity building and project support for socioenvironmental agendas; accelerates transition by strengthening local organizations, Indigenous/community initiatives and sustainable territorial development in forests and rural landscapes."/>
        <s v="Amazon-based NGO with strong territorial presence; supports transition through conservation, community partnerships and applied solutions that combine biodiversity protection with resilient livelihoods."/>
        <s v="NGO supporting family farming and sustainable value chains (notably in Amazon/Central-West); contributes by scaling agroecology, restoration-friendly production and inclusive market access that reduce land-use pressure."/>
        <s v="NGO with long-standing work in the Cerrado; supports AFOLU transition by strengthening community-based conservation, socio-biodiversity value chains and policy advocacy for equitable, nature-positive development."/>
        <s v="Network of civil society organizations and community groups; contributes by coordinating advocacy and territorial action to protect Cerrado ecosystems, community rights and sustainable livelihoods."/>
        <s v="Sector association for distributed generation; accelerates energy/buildings transition by advancing policies, standards and market development for solar DG, storage and local clean-energy solutions."/>
        <s v="Industry association for electric mobility; supports transport transition by promoting enabling regulation, charging infrastructure, fleet electrification and supply-chain development for low/zero-emission vehicles."/>
        <s v="National transport confederation; influences systemic transition through policy advocacy and sector coordination on logistics efficiency, safety, infrastructure planning and decarbonization pathways across transport modes."/>
        <s v="Federal agency responsible for transport infrastructure implementation/management; contributes to transition by integrating climate resilience, safety and low-carbon standards into planning, construction and operation of roads and logistics assets."/>
        <s v="Federal civil aviation regulator; supports transport transition by enabling efficiency improvements, operational decarbonization and frameworks that can facilitate sustainable aviation fuels and climate-resilient aviation infrastructure."/>
        <s v="National standards body; enables buildings/energy transition by developing technical standards that shape materials, performance, efficiency and safety—supporting consistent adoption of low-carbon and high-efficiency practices."/>
        <s v="National industry association for the construction sector; supports the buildings transition by coordinating business agendas, influencing regulation and standards, and accelerating low-carbon, resilient and productivity-enhancing construction practices."/>
        <s v="Federal professional council regulating architecture and urbanism; contributes to systemic transition by shaping professional standards and practice quality for sustainable buildings, urban planning, energy efficiency and climate-resilient cities."/>
        <s v="Federal professional council regulating engineering and agronomy; enables transition through professional regulation, technical standards enforcement and guidance that affect infrastructure quality, energy systems, and sustainable land-use practices."/>
        <s v="Federal metrology and quality authority; supports transition by setting measurement, certification and labeling frameworks that drive energy efficiency, product performance and safety across buildings, appliances and industrial systems."/>
        <s v="National SME support system; accelerates transition by providing technical assistance, capacity building and market access for small businesses in green innovation, efficient buildings, clean energy solutions and sustainable value chains."/>
        <s v="National federation representing family farming and solidarity-economy cooperatives; contributes to AFOLU transition by strengthening cooperative governance, inclusive markets, sustainable production and community-based value chains."/>
        <s v="Agri-agency that supports farmers’ organizations and cooperatives; contributes to AFOLU transition by strengthening organizational capacity, technical assistance and partnerships (including international cooperation) for resilient and sustainable agricult"/>
        <s v="Civil society think tank linking democratic governance and sustainability; supports transition by convening coalitions, producing policy-relevant analysis and advancing socio-environmental agendas in public debate and decision-making."/>
        <s v="Civil society institute focused on sustainable urban development; contributes to buildings/transport transition through indicators, policy guidance and advocacy for low-carbon, inclusive and resilient cities."/>
        <s v="Civic network focused on improving urban governance and quality of life; supports systemic transition by mobilizing civil society, tracking indicators and strengthening accountability for sustainable city policies."/>
        <s v="Public policy institute focused on urban rights and inclusive development; contributes to buildings/transport transition through research, technical support and advocacy for equitable, resilient and low-carbon urban planning."/>
        <s v="Independent institute producing evidence and proposals for sustainable development; contributes to transition by analyzing policy options and trade-offs across energy, land use and green industrial strategies."/>
        <s v="Civil society organization focused on public budget, rights and socio-environmental justice; supports transition by policy analysis and advocacy for equitable fiscal and regulatory frameworks aligned with climate and nature goals."/>
        <s v="Consumer rights organization; contributes to energy/buildings transition by advocating for fair, efficient and transparent energy and consumer markets, including efficiency, pricing and access issues."/>
        <s v="Environmental advocacy organization; contributes to systemic transition through campaigns and public pressure to accelerate climate action, protect forests and biodiversity, and shift corporate and public policies."/>
        <s v="Civil society organization focused on climate and energy transition; contributes by monitoring projects, engaging policy processes and supporting coalitions to reduce fossil dependence and expand clean energy."/>
        <s v="National network advancing environmental justice; contributes to systemic transition by connecting communities and organizations, amplifying socio-environmental impacts and influencing public debate and policy."/>
        <s v="Environmental NGO with long-standing conservation work (notably in the Cerrado); contributes to AFOLU transition through biodiversity protection, project implementation, community engagement and support to sustainable territorial management."/>
        <s v="Civil society organization focused on Cerrado conservation and sustainable development; contributes to AFOLU transition through projects, territorial governance support and promotion of sustainable production and conservation strategies."/>
        <s v="Brazilian civil society organization working with Indigenous peoples and traditional communities in the Amazon, combining rights-based approaches, territorial protection, and support to community-led sustainable development aligned with AFOLU and just tra"/>
        <s v="Civil society organization operating mainly in the Amazon (especially Pará), supporting community-based territorial development, socio-biodiversity value chains, and local governance arrangements that connect conservation with inclusive livelihoods."/>
        <s v="Non-profit initiative working in the Brazilian Amazon, promoting participatory and integrated community development (health, education, citizenship, and sustainable livelihoods), strengthening local resilience and inclusive territorial transitions."/>
        <s v="National Indigenous movement articulation that connects regional Indigenous organizations and agendas, with strong advocacy on territorial rights, protection of forests, climate justice, and human rights—central for AFOLU and territorial governance in Ama"/>
        <s v="Indigenous coordination in the Brazilian Amazon that supports collective representation, territorial rights, and protection of forests and communities, strengthening Indigenous governance and climate/AFOLU outcomes."/>
        <s v="Organization linked to the CNBB that supports Indigenous peoples’ rights in Brazil, including accompaniment of communities and advocacy/monitoring of rights violations—relevant for safeguards, land rights, and just territorial transitions."/>
        <s v="Rights-based organization that supports rural peoples and communities, documents land and environmental conflicts, and strengthens grassroots organization and advocacy for land/water rights and socio-environmental justice."/>
        <s v="National organization/movement representing extractive communities, advocating for public policies and collective-use territories that ensure socio-environmental sustainability and forest conservation (e.g., extractive reserves)."/>
        <s v="National space for convergence among movements, networks and civil society organizations engaged in agroecology and family farming, promoting knowledge exchange and policy advocacy for sustainable rural development."/>
        <s v="Civil society organization with strong presence in Brazil’s Northeast/Semi-arid, strengthening social processes and policy advocacy for rights, climate resilience, and sustainable community development—relevant to AFOLU and adaptation."/>
        <s v="Catholic humanitarian and social development network in Brazil working with vulnerable populations, human rights, food security and solidarity-based development (including emergency response and community resilience)."/>
        <s v="Brazilian NGO that strengthens grassroots groups and civic participation for rights, democracy and environmental justice, operating across multiple states in urban and rural contexts."/>
        <s v="Civil society organization providing technical and social advisory support to family farmers and rural workers, promoting agroecology, social technologies, and territorial development—relevant to AFOLU transitions and resilience in the Semi-arid."/>
        <s v="NGO that promotes family farming under agroecology principles, working with agroforestry systems, territorial rural economies and policy advocacy—relevant for AFOLU transitions and climate-resilient food systems."/>
        <s v="Civil society organization focused on disseminating appropriate/social technologies and strengthening family farming and agroecology, especially in semi-arid contexts—supporting climate resilience, food security, and inclusive AFOLU transitions."/>
        <s v="National professional institute for architects; supports the buildings transition by advancing technical debate, professional practice standards, and advocacy for sustainable, low-carbon and climate-resilient architecture and urban development."/>
        <s v="German international cooperation agency; supports systemic transition by providing technical assistance, capacity building and policy support for energy transition, sustainable transport, resilient cities/buildings and AFOLU initiatives."/>
        <s v="German development bank; enables transition through concessional finance and blended-finance structures for renewable energy, urban infrastructure, sustainable land use and climate resilience."/>
        <s v="German development finance institution (DFI) focused on private-sector investment; supports transition by financing companies and projects aligned with decarbonization, sustainable value chains, and resilient infrastructure."/>
        <s v="French development agency; supports systemic transition via financing and policy support for climate, biodiversity, sustainable cities, transport decarbonization and resilient infrastructure."/>
        <s v="French DFI focused on private-sector operations; accelerates transition by financing businesses and financial institutions for renewable energy, sustainable infrastructure, and nature-positive value chains."/>
        <s v="French technical cooperation agency; supports transition by implementing technical assistance and institutional strengthening in climate policy, energy, sustainable mobility, urban development and territorial governance."/>
        <s v="Japanese cooperation agency; supports transition through technical cooperation and financing windows for low-carbon energy, resilient infrastructure, disaster-risk management, sustainable transport and environmental governance."/>
        <s v="Korean cooperation agency; supports systemic transition via grants and technical assistance for climate solutions, sustainable cities, clean energy, and inclusive development."/>
        <s v="Spanish cooperation agency; contributes through grants and technical cooperation that strengthen institutions and implement programs aligned with climate resilience, sustainable urban systems and inclusive territorial development."/>
        <s v="Italian cooperation agency; supports transition by funding and implementing development programs that can include climate adaptation, sustainable agriculture, resilient infrastructure and inclusive local development."/>
        <s v="Swiss cooperation agency; supports systemic transition via technical cooperation and grants focused on climate resilience, natural resources governance, sustainable value chains and inclusive development."/>
        <s v="Swedish development agency; contributes through grants and partnerships strengthening climate action, democratic governance and inclusive, sustainable development—including nature and land-use agendas."/>
        <s v="Danish development cooperation; supports transition through financing and technical assistance for climate mitigation/adaptation, clean energy, resilient infrastructure and sustainable development programs."/>
        <s v="Norwegian development cooperation agency; supports systemic transition via funding and oversight of programs related to climate, forests, renewable energy and inclusive development."/>
        <s v="Norwegian international initiative focused on climate and forests; supports AFOLU transition by financing forest conservation, deforestation reduction and partnerships that strengthen governance and results-based approaches."/>
        <s v="UK government ministry leading international development and diplomacy; supports systemic transition by setting strategy and funding international cooperation in climate, energy transition, sustainable infrastructure and nature."/>
        <s v="UK program providing technical assistance and capacity building for climate policy and implementation; supports transition by accelerating decarbonization solutions in energy, transport, cities/buildings and land-use agendas through partnerships."/>
        <s v="EU representation that coordinates cooperation and partnerships; supports transition by mobilizing programs and partnerships for climate, energy transition, sustainable transport, resilient cities and nature-positive development."/>
        <s v="European multilateral development bank; enables systemic transition through long-term finance and de-risking for renewable energy, sustainable transport, resilient urban infrastructure and climate/nature investments."/>
        <s v="Luxembourg’s development cooperation agency; supports systemic transition through grants and technical cooperation for climate, resilient infrastructure, sustainable value chains and inclusive development in partner countries."/>
        <s v="Ireland’s development cooperation program; supports systemic transition through funding and partnerships focused on poverty reduction, resilience, climate action and sustainable development."/>
        <s v="Austria’s development cooperation agency; contributes via grants and technical assistance supporting climate mitigation/adaptation, sustainable infrastructure and inclusive local development."/>
        <s v="Portugal’s institute for international cooperation and language; supports systemic transition through cooperation programs, institutional strengthening and partnerships that may include climate and sustainable development agendas."/>
        <s v="German Catholic development organization (grantmaker/partner); supports systemic transition by funding civil society, rights-based approaches and sustainable livelihoods, often connected to land rights, food systems and environmental justice."/>
        <s v="International NGO focused on strengthening entrepreneurship and cooperatives; supports AFOLU and inclusive transition by building capacities of farmers’ organizations, SMEs and value chains for resilient, sustainable local economies."/>
        <s v="Protestant development organization (grantmaker/partner); supports systemic transition by funding civil society and community-based programs on rights, food systems, climate resilience and environmental justice."/>
        <s v="UK Catholic development NGO; supports systemic transition through rights-based humanitarian and development work, including climate resilience, livelihoods, and advocacy aligned with just transition outcomes."/>
        <s v="Political foundation linked to the German Green movement; supports systemic transition through policy dialogue, research, convening and grants focused on climate, democracy, gender and socio-environmental justice."/>
        <s v="Political foundation linked to German social democracy; supports transition through policy dialogue, research and partnerships on inclusive development, decent work, governance and climate/energy debates."/>
        <s v="Political foundation linked to German Christian democracy; contributes through policy dialogue, governance support and programs that may include sustainable development, energy transition and institutional strengthening."/>
        <s v="Political foundation linked to democratic socialism; supports systemic transition via research, convening and partnerships emphasizing social justice, rights, and critical perspectives on development and climate."/>
        <s v="International NGO focused on children’s and girls’ rights; supports systemic transition by strengthening resilience, education and protection, with programs that can intersect with climate impacts and inclusive urban/rural development."/>
        <s v="International NGO focused on children’s rights and humanitarian response; supports systemic transition by addressing vulnerability, resilience and protection, including in climate-affected contexts."/>
        <s v="International humanitarian and development NGO; supports systemic transition through community-based development, emergency response and resilience building, including in climate-vulnerable territories."/>
        <s v="Mass social movement for agrarian reform and rural rights; influences AFOLU transition through advocacy, territorial organization, agroecology and food sovereignty agendas."/>
        <s v="Urban housing rights movement; relevant to buildings/urban transition through advocacy for inclusive housing policy, urban services and just city development."/>
        <s v="Movement representing communities affected by dams and energy projects; relevant to energy transition governance, safeguards, compensation and rights-based infrastructure planning."/>
        <s v="Rural movement representing small farmers; supports AFOLU transition through agroecology, food sovereignty and advocacy for inclusive rural policies and resilient production systems."/>
        <s v="Social movement focused on mining impacts and sovereignty; relevant to just transition by advocating for socio-environmental safeguards, community rights and responsible mineral supply chains."/>
        <s v="National confederation representing rural workers and family farmers; central to AFOLU transition via advocacy, collective organization, and policy engagement for inclusive, resilient rural development."/>
        <s v="National articulation of Quilombola communities; critical for territorial rights, socio-environmental justice and nature-positive development aligned with AFOLU and just transition goals."/>
        <s v="Black movement organization advocating racial justice; relevant for just transition by linking climate and development agendas to equity, rights and anti-racism in policy and governance."/>
        <s v="Movement of peasant women; supports AFOLU transition through agroecology, food systems, gender justice and rural livelihoods advocacy."/>
        <s v="Movement representing babaçu coconut breakers; relevant to AFOLU transition through defense of access rights, socio-biodiversity value chains and community-based forest/agroextractive economies."/>
        <s v="Rights-based pastoral organization supporting artisanal fishing communities; relevant to just transition and AFOLU by advocating for livelihoods, territorial waters rights and protection of traditional communities."/>
        <s v="National movement of recyclables collectors; relevant to buildings/cities transition via circular economy, waste management justice and inclusion of waste picker cooperatives."/>
        <s v="Umbrella movement connecting popular urban and rural organizations; relevant to just transition by mobilizing civil society for inclusive policies on housing, services, and rights."/>
        <s v="Regional Indigenous articulation; supports territorial rights and climate/AFOLU agendas through representation and coordination of Indigenous organizations."/>
        <s v="Indigenous federation in the Rio Negro region; central for territorial governance, rights protection and community-led conservation in the Amazon."/>
        <s v="Indigenous council representing peoples in Roraima; supports territorial rights, governance and protection of forests and communities."/>
        <s v="Yanomami association supporting territorial protection, health and rights; relevant to AFOLU and just transition through safeguarding Indigenous lands and addressing illegal pressures."/>
        <s v="Social movement coalition in the Xingu region; relevant to energy and AFOLU transitions through advocacy on rights, safeguards and territorial protection in infrastructure and land-use decisions."/>
        <s v="Network of Indigenous and traditional peoples and partners in the Xingu basin; supports territorial governance, restoration and sustainable livelihoods aligned with AFOLU and just transition goals."/>
        <s v="Social movement coalition in the Tapajós region; relevant to energy and AFOLU transitions through advocacy on territorial rights, safeguards and responsible infrastructure planning."/>
        <s v="National forum/network for solidarity economy; supports transition through cooperative and inclusive economic models, strengthening community enterprises in green and circular value chains."/>
        <s v="Movement focused on communities affected by renewable energy projects; relevant to energy transition by advocating safeguards, fair benefit-sharing and community rights in clean energy expansion."/>
        <s v="Regional network/initiative in the Seridó (Semi-arid Northeast); supports AFOLU and resilience by mobilizing territorial action around water security, sustainable livelihoods and climate adaptation."/>
        <s v="Civil society coalition advocating for clean energy and a just energy transition; supports systemic transition through coordination, policy engagement and public communication."/>
        <s v="National union/network of waste picker cooperatives; supports transition through circular economy inclusion, improved livelihoods and advocacy for fair waste management systems in cities."/>
        <s v="Brazil’s peak industry confederation representing industrial federations and sectoral associations; convenes private-sector stakeholders and engages in policy advocacy, technical studies, and programs on competitiveness, innovation, energy/industrial tran"/>
      </sharedItems>
    </cacheField>
    <cacheField name="Territorial focus&#10;(national, region, city)" numFmtId="0">
      <sharedItems>
        <s v="National"/>
        <s v="Cross-border / international"/>
        <s v="Regional"/>
        <s v="State-level"/>
        <s v="Regional "/>
      </sharedItems>
    </cacheField>
    <cacheField name="Primary impact area &#10;(sector of interest / Nexuses)" numFmtId="0">
      <sharedItems containsBlank="1">
        <s v="&quot;Land, Food and Forest&quot;"/>
        <s v="Buildings &amp; Transport, Energy, &quot;Land, Food and Forest&quot;"/>
        <s v="Buildings &amp; Transport, &quot;Land, Food and Forest&quot;"/>
        <s v="Buildings &amp; Transport, Energy, &quot;Land, Food and Forest&quot;, Emergency response"/>
        <s v="Buildings &amp; Transport, Emergency response, Energy, &quot;Land, Food and Forest&quot;"/>
        <s v="Buildings &amp; Transport, Energy"/>
        <m/>
        <s v="Emergency response, &quot;Land, Food and Forest&quot;"/>
        <s v="Energy, &quot;Land, Food and Forest&quot;"/>
        <s v="Buildings &amp; Transport"/>
        <s v="Energy"/>
        <s v="Buildings &amp; Transport, Emergency response"/>
        <s v="Emergency response"/>
        <s v="Emergency response, Energy, &quot;Land, Food and Forest&quot;"/>
      </sharedItems>
    </cacheField>
    <cacheField name="Primary Territory lens&#10;(Biome) " numFmtId="0">
      <sharedItems containsBlank="1">
        <s v="Amazonia"/>
        <m/>
        <s v="Amazonia, Caatinga, Cerrado"/>
        <s v="Amazonia, Cerrado"/>
        <s v="Cerrado"/>
        <s v="Amazonia, Caatinga"/>
        <s v="Caatinga, Cerrado"/>
        <s v="Caatinga"/>
      </sharedItems>
    </cacheField>
    <cacheField name="Secondary Territory lens&#10;(Biome) " numFmtId="0">
      <sharedItems containsBlank="1">
        <m/>
        <s v="Mata&amp;Atlântica, Pantanal, Pampa, Coastal&amp;maritime"/>
        <s v="Mata&amp;Atlântica"/>
        <s v="Coastal&amp;maritime"/>
        <s v="Mata&amp;Atlântica, Coastal&amp;maritime"/>
        <s v="Pantanal, Mata&amp;Atlântica"/>
        <s v="Mata&amp;Atlântica, Pampa"/>
        <s v="Mata&amp;Atlântica, Pampa, Pantanal"/>
        <s v="Mata&amp;Atlântica, Pantanal"/>
        <s v="Pantanal"/>
        <s v="Coastal&amp;maritime, Mata&amp;Atlântica"/>
        <s v="Mata&amp;Atlântica, Pantanal, Pampa"/>
      </sharedItems>
    </cacheField>
    <cacheField name="Biome focus rationale (only when the organization has explicit project/action targeting by biome)" numFmtId="0">
      <sharedItems>
        <s v="Grantmaking is organized by themes such as democracy, racial equity and fair food systems, not by ecological territories. Funding can reach many regions, but biome targeting is not used as an allocation rule."/>
        <s v="Portfolio follows scientific fields, fellowships and science communication priorities. Projects may occur in different places, yet the institute does not manage programs using biomes as the operating unit."/>
        <s v="Multi biome financial mechanism with recurring biodiversity pipelines in Amazonia and Cerrado. Other biomes appear through specific funds and projects, but with lower frequency in the core flow of managed initiatives."/>
        <s v="Grantmaking frequently connects climate and land use priorities in Amazonia, Cerrado and Caatinga. Additional biomes are supported through partners and calls, but are not the main recurring anchors of the portfolio."/>
        <s v="Work is centered on strategic communication and policy influence rather than place based delivery. Campaign geography varies by agenda, so no stable biome delimitation is consistently observable."/>
        <s v="Acts as a philanthropy platform focused on standards, learning and capacity building. Its territorial reach depends on members and partners, making biome classification non essential for its operating model."/>
        <s v="Network to mobilize giving and strengthen civil society across Brazil. Territorial footprint is partner driven and campaign driven, without a consistent program design structured by biome boundaries."/>
        <s v="NA"/>
        <s v="Global rights and democracy funder with broad country portfolios. In this mapping, Brazil support is not publicly organized in a way that allows a consistent biome based segmentation, but has a mention about impact in Amazon region."/>
        <s v="Corporate integrity and sustainability work often engages high deforestation risk supply chains, making Amazonia the most recurrent reference. National advocacy and tools also apply beyond Amazonia, but not as a biome specific portfolio."/>
        <s v="Operates as a philanthropy and social investment advisor and ecosystem builder. Workstreams are instrument and strategy based, so biome delimitation is not a meaningful organizing lens."/>
        <s v="Coordinates climate solutions with strong land use and regional transition interfaces, often most salient in Amazonia, Cerrado and Caatinga. Other biomes enter through specific coalitions, not as the primary recurring focus."/>
        <s v="Runs global corporate coalitions and sector commitments. Brazil engagement is typically framed by companies and policies, not by territorially delimited biome programs."/>
        <s v="Focuses on early childhood evidence and public policy adoption by states and municipalities. Implementation geography is administrative and service based, not ecosystem based."/>
        <s v="Prioritizes urban peripheries and socio spatial inequality agendas. The operating territory is metropolitan and social, so biomes are not used to define programs."/>
        <s v="Venture philanthropy for employability and productive inclusion, oriented to scalable solutions and organizational strengthening. No consistent biome targeting appears in how programs are selected or reported."/>
        <s v="Produces climate governance analysis where Amazonia and Cerrado repeatedly dominate national debates on land use and NDC ambition. Other biomes are covered in broader policy discussion rather than dedicated biome programs."/>
        <s v="Works on children and adolescent rights with advocacy and communication strategies. Actions are not designed around biome defined geographies."/>
        <s v="Influence is exercised through portfolio governance, ESG and capital allocation. No public strategy indicates biome specific territorial programming."/>
        <s v="Sustained territorial convening and networks are most visibly linked to Amazonia, with additional recurring work connected to Mata Atlântica agendas. The biome tagging reflects where long term coalitions and place based initiatives concentrate."/>
        <s v="Parks and protected areas agenda spans multiple regions, with recurring relevance in Amazonia and Cerrado due to scale and pressure dynamics. Other biomes appear through specific protected area partnerships and knowledge products."/>
        <s v="International grantmaker with broad environment and community portfolios. This list does not provide a stable Brazil facing biome structured program line to classify."/>
        <s v="Operational footprint and risk management are most consistently associated with Amazonia. Coastal maritime appears as a secondary interface through logistics and export corridors rather than a dedicated conservation program."/>
        <s v="Industrial and mining assets create a strong linkage to Amazonia. Coastal maritime is included as a secondary lens due to transport and port logistics interfaces that shape impacts and mitigation needs."/>
        <s v="Long running rights and territorial governance work is strongly anchored in Amazonia. A secondary linkage to Mata Atlântica reflects additional initiatives and advocacy connected to that biome domain."/>
        <s v="Territorial programs and partnerships are most robust in Amazonia and Cerrado. Mata Atlântica and Coastal maritime appear through complementary water, restoration and coastal linked initiatives."/>
        <s v="Multi biome conservation portfolio with recurring emphasis on Amazonia and Cerrado. Mata Atlântica and Coastal maritime show up through specific projects and themes rather than being the main program anchors."/>
        <s v="High visibility campaigns and projects frequently center on Amazonia and Cerrado. Pantanal and Mata Atlântica remain relevant through water, biodiversity and climate risk agendas in a secondary layer."/>
        <s v="Evidence to action work often focuses on land use and transition challenges most salient in Amazonia, Cerrado and Caatinga. Mata Atlântica appears through cities, infrastructure and policy work that intersects that biome footprint."/>
        <s v="Mission, monitoring and advocacy are explicitly dedicated to Mata Atlântica. This single biome focus is consistent across programs and public positioning."/>
        <s v="National agricultural research network with core innovation and adaptation agendas strongly present in Cerrado, Caatinga and Amazonia. Other biomes are covered institutionally but are less central in the most recurrent transition narratives."/>
        <s v="Delivery model is based on training networks, sectoral services and local units. Programs are not defined by biomes, so biome tagging is not operationally meaningful."/>
        <s v="National enforcement and licensing mandate covers all biomes, but pressure hotspots make Amazonia, Cerrado and Caatinga the most recurrent references. Remaining biomes are still within scope, yet not a distinctive program delimitation."/>
        <s v="Manages federal protected areas across all biomes by mandate. The primary tags reflect where protected area scale and conflict pressures are most pronounced, while other biomes remain part of nationwide coverage."/>
        <s v="Research and monitoring are explicitly focused on Amazonia forest dynamics and governance. There is no recurring second biome portfolio line in the institute core work."/>
        <s v="Community based conservation and livelihoods programs are designed for Amazonia territories. Territorial focus is stable and central to the operating model."/>
        <s v="Certification and technical assistance in forest and agricultural supply chains are most recurrent in Amazonia and Cerrado, with added relevance in Caatinga through land use and production systems. Mata Atlântica and Pampa appear through specific chains a"/>
        <s v="Portfolio is broad and partnership driven across education and culture, with variable environmental projects. No stable biome based program boundary is consistently identifiable from this entry."/>
        <s v="Produces national policy research, indicators and evaluation with sector based framing. Biomes are not used as the primary unit to organize outputs or operations."/>
        <s v="Civil service training and innovation in public management are national and institution focused. Territorial framing follows government levels, not biome ecosystems."/>
        <s v="Strengthens governance and oversight through training and knowledge products. Work is transversal and not organized as place based biome initiatives."/>
        <s v="Operational presence and risk exposure are significant in Amazonia and Cerrado, with additional material interfaces in Mata Atlântica states. Biome tagging reflects where footprint and supply chain dynamics concentrate."/>
        <s v="Forestry and industrial landscapes connect strongly to Cerrado and Amazonia, with a sustained linkage to Mata Atlântica domains through assets and restoration agendas. The tags follow managed landscape concentration and reporting focus."/>
        <s v="Institutional mandate and financial instruments are oriented to Amazonia development and bioeconomy. This creates a clear single biome anchor for territorial focus."/>
        <s v="Projects and value chains are consistently rooted in Amazonia territories and forest positive development. The organization identity and program design are explicitly Amazon focused."/>
        <s v="Structures impact finance and governance mechanisms across themes and sectors. Geographic reach depends on deals and partners, so no stable biome specific allocation logic is evident."/>
        <s v="Invests and builds ventures by impact thesis and market opportunity across Brazil. Portfolio is not disclosed as a biome delimited strategy."/>
        <s v="Accelerates impact businesses through programs and networks, mostly organized by target population and business model. It does not consistently categorize its work by biome."/>
        <s v="Convening and corporate citizenship work is agenda and network driven. It is not implemented through territorially bounded biome programs."/>
        <s v="Global innovation hub network with local ecosystem programming. Biomes are not used as the unit of action, since operations are city and community based."/>
        <s v="Community enterprise acceleration is strongly present in Amazonia, Cerrado and Caatinga through socio biodiversity value chains and territorial businesses. Mata Atlântica and Pampa appear as secondary through additional regional networks and projects."/>
        <s v="Matchmaking platform for impact ventures and investors, organized by sectors and portfolios. No consistent biome delimited implementation layer is observable."/>
        <s v="Supports social businesses via investment readiness, capital and partnerships. The territorial footprint is opportunity driven and not structured by biomes as a program boundary."/>
        <s v="Corporate social investment focused on inclusion and opportunities, implemented through partners and programs. It does not present a consistent biome targeted approach in this mapping."/>
        <s v="International foundation with broad inclusive development work. This entry does not provide a stable Brazil facing biome structured program set to classify."/>
        <s v="Works with micro and small entrepreneurs through training and market access in vulnerable contexts. Territorial reach is defined by communities and cities, not by biome ecosystems."/>
        <s v="Combines grants and investments globally to expand inclusion and strong institutions. In this dataset, a consistent Brazil biome based segmentation is not documented for classification."/>
        <s v="Flagship conservation and restoration initiatives maintain clear linkages to Cerrado and Mata Atlântica. The tags reflect where long term reserves, partnerships and public programs are most explicitly concentrated."/>
        <s v="Sociobiodiversity sourcing and forest positive supply chains create a strong anchor in Amazonia, with important interfaces in Cerrado. Other biomes are part of corporate reach, but are less consistently presented as core territorial program lines."/>
        <s v="Cooperation is organized by SDG programs and government counterparts, with implementation varying by project. This entry does not show a stable biome specific portfolio structure to apply systematically."/>
        <s v="It operated explicitly as an Amazon-region platform and delivered bioeconomy/entrepreneurship support anchored in Amazonia."/>
        <s v="It used Amazon-linked supply chains and supported producers connected to the Amazonia biome."/>
        <s v="It operated through corporate social investment and partnerships and did not maintain a public biome-specific program cut."/>
        <s v="It accelerated ventures across themes and did not classify its programs by biome."/>
        <s v="It was linked to value chains at state level, but no clear public evidence of biome-targeted initiatives was identified in this mapping."/>
        <s v="It worked on inclusive business/system innovation across sectors and did not use Brazilian biomes as a standard program boundary."/>
        <s v="It operated as an academic institution and did not present biome-defined projects as a primary organizing lens in this list."/>
        <s v="A venture capital firm that invests in early-stage startups committed to generating positive and measurable social and environmental impact."/>
        <s v="It ran leadership and social innovation programs internationally and did not provide a Brazil-biome-specific portfolio cut."/>
        <s v="It funded broad social-justice agendas and did not define a consistent Brazil-biome program cut for this dataset."/>
        <s v="It focused on health/education/community partnerships and did not operate with a biome-based territorial strategy."/>
        <s v="It mobilized donors and structured giving nationally and did not target interventions using biome boundaries."/>
        <s v="It provided advisory services across sectors and geographies and did not apply a biome-specific delivery model."/>
        <s v="It produced applied research and convening and did not define its work through biome-specific implementation portfolios."/>
        <s v="It delivered executive education and applied research and did not organize activities through biome-based cuts."/>
        <s v="It disseminated governance standards and training nationally and did not use biomes as an operational lens."/>
        <s v="It operated as an academic/research school and did not present a stable set of biome-targeted projects in this list."/>
        <s v="It supported projects across territories and value chains, but no consistent biome-defined portfolio was identified in this mapping."/>
        <s v="It aligned funding to reduce deforestation with a clear emphasis on Amazonia and also supported land-use governance agendas linked to Cerrado."/>
        <s v="It focused its acceleration and investment mandate on the Amazon region, which anchored its work in Amazonia."/>
        <s v="It operated through regional logistics and platform services and did not define actions using Brazilian biome boundaries."/>
        <s v="It ran global logistics/cloud operations and did not structure Brazil activities by biome in a way that was identifiable for this mapping."/>
        <s v="It supported cocoa value chains strongly linked to Bahia (Mata Atlântica) and also connected to Amazon-region cocoa expansion/production landscapes (Amazonia)."/>
        <s v="It implemented flagship landscape conservation/restoration work in the Atlantic Forest and also maintained projects/partnerships linked to the Amazon region."/>
        <s v="It worked on state capacity and collaborative governance and did not use biomes as an implementation boundary."/>
        <s v="It operated nationally in health research/policy and did not frame its core programs through biome-specific cuts."/>
        <s v="It operated in the Cerrado territory and maintained research and outreach agendas strongly associated with Cerrado socio-environmental issues."/>
        <s v="It was based in the Amazon region and delivered research/training linked to Amazonian socio-biodiversity and territorial development."/>
        <s v="It produced broad research and training and did not present a biome-targeted portfolio cut that could be consistently assigned here."/>
        <s v="It held a nationwide mandate across Indigenous territories and did not operate through a single or stable biome-defined program boundary in this mapping."/>
        <s v="It worked through applied studies and projects across themes and did not disclose a consistent biome-targeted portfolio."/>
        <s v="It delivered mediation/regularization services across territories and did not define operations by biome."/>
        <s v="It implemented infrastructure projects by client/municipality and did not use biomes as an organizing lens."/>
        <s v="It focused on national climate governance and policy advocacy and did not maintain a biome-specific implementation portfolio."/>
        <s v="It funded multi-sector international cooperation and did not provide a stable Brazil-biome-specific cut in this mapping."/>
        <s v="It funded global conservation/science agendas and did not present a consistent Brazil-biome segmentation in this dataset."/>
        <s v="It supported regional systemic-change agendas and did not structure its Brazil work by biome boundaries in this mapping."/>
        <s v="It funded broad international programs and did not provide a Brazil-biome-specific portfolio cut here."/>
        <s v="It funded global climate networks and did not define Brazil activities through biome-specific program boundaries in this mapping."/>
        <s v="It funded global portfolios (children/climate) and did not maintain a clear Brazil-biome-based classification in this dataset."/>
        <s v="It funded broad international agendas and did not disclose a consistent Brazil-biome-specific portfolio cut for this mapping."/>
        <s v="No biome lens was assigned because it acted through national policy and planning instruments rather than biome-targeted programs."/>
        <s v="No biome lens was assigned because it produced national planning studies without a stable portfolio organized by biome."/>
        <s v="No biome lens was assigned because it regulated the sector nationally and did not operate through biome-specific projects."/>
        <s v="No biome lens was assigned because it performed system operation for the national grid and was not structured around biome-defined interventions."/>
        <s v="No biome lens was assigned because the company’s publicly visible transition agenda was framed by assets and concession areas, not by biome-delimited programs."/>
        <s v="No biome lens was assigned because actions were typically reported by operational footprint and concessions, not by biome-based initiatives."/>
        <s v="No biome lens was assigned because the transition contribution was reported by generation assets and projects without a consistent biome cut."/>
        <s v="No biome lens was assigned because programs were not clearly organized or communicated using biome boundaries as the primary territorial frame."/>
        <s v="No biome lens was assigned because the portfolio was presented by business lines and concessions rather than biome-targeted action."/>
        <s v="No biome lens was assigned because transition-relevant actions were linked to system assets and corporate strategy, not to explicit biome-based programs."/>
        <s v="The biome tagging reflects where Brazil’s decarbonization and air-quality agendas are structurally shaped by land-use pressure, diesel/logistics corridors, and energy system constraints."/>
        <s v="The primary biomes capture where the “just transition” framing and energy-system transformation are most tightly coupled with regional development and equity trade-offs."/>
        <s v="No biome lens was assigned because Brazil-related support was not consistently publicized as a biome-delimited portfolio in this mapping."/>
        <s v="No biome lens was assigned because the grant strategy was not mapped here through explicit Brazil biome-cut initiatives."/>
        <s v="No biome lens was assigned because it acted through nationwide urban policy instruments and program rules, not biome-specific territorial initiatives."/>
        <s v="No biome lens was assigned because it regulated concessions and services nationally and did not implement programs framed by biomes."/>
        <s v="No biome lens was assigned because it operated as a national regulator and the mapping did not identify biome-delimited initiatives."/>
        <s v="No biome lens was assigned because actions were structured around concessions/projects and ESG programs, not biome-defined territorial cuts."/>
        <s v="No biome lens was assigned because its operational footprint was concession-based and not communicated through biome-framed initiatives."/>
        <s v="No biome lens was assigned because the contribution was market/technology-based and did not use biomes as a programmatic territorial frame."/>
        <s v="No biome lens was assigned because activities were organized around fleets/markets and not mapped to biome-specific programs."/>
        <s v="No biome lens was assigned because the contribution was industrial/market-driven and not associated with biome-delimited initiatives."/>
        <s v="No biome lens was assigned because implementation was city/corridor-based and not typically defined by biome boundaries."/>
        <s v="No biome lens was assigned because financing programs were national and eligibility/operations were not structured by biome."/>
        <s v="No biome lens was assigned because projects were reported by cities/markets and not by biome-based portfolios."/>
        <s v="No biome lens was assigned because the operating model was city/market-based and did not use biomes as the territorial unit."/>
        <s v="No biome lens was assigned because activity was market-driven and not tied to explicit biome-delimited programs."/>
        <s v="No biome lens was assigned because decarbonization actions were process/plant-based and the mapping did not identify biome-specific programs."/>
        <s v="No biome lens was assigned because actions were industrial/process-based and not organized by biome in publicly visible initiatives."/>
        <s v="No biome lens was assigned because it operated through standards/certification and not through biome-delimited territorial programs."/>
        <s v="No biome lens was assigned because instruments were national and the mapping did not isolate biome-specific programs as the main operational cut."/>
        <s v="No biome lens was assigned because land governance actions were national and were not mapped here as biome-specific initiatives."/>
        <s v="It produced policy and supply-chain work explicitly centered on deforestation and land-use agendas typically framed around Amazonia and Cerrado."/>
        <s v="It implemented deforestation-free sourcing and cattle traceability agendas that were publicly associated with Amazonia and Cerrado supply chains and also faced material exposure in Pantanal cattle landscapes."/>
        <s v="It advanced cattle traceability and deforestation-risk management that were publicly tied to Amazonia and Cerrado and also intersected with Pantanal sourcing dynamics."/>
        <s v="It operated grain production/logistics in frontier and transition landscapes commonly framed by Cerrado and Amazonia and it reported supply-chain compliance around these territories."/>
        <s v="It operated large-scale cropping predominantly in Cerrado landscapes and it expanded/managed farms in frontier interfaces that were commonly described as connected to Amazonia transition zones."/>
        <s v="It worked explicitly on Amazonia-focused science and policy and it addressed linked land-use and deforestation dynamics at the Amazonia–Cerrado interface."/>
        <s v="It produced deforestation-risk tools and accountability agendas that, in Brazil, were commonly framed around Amazonia and Cerrado commodity frontiers."/>
        <s v="No biome lens was assigned because the mapping did not identify a Brazil portfolio publicly structured by biome-specific programs."/>
        <s v="No biome lens was assigned because social protection and hunger policies were national and not implemented through a biome-based targeting logic."/>
        <s v="No biome lens was assigned because health/nutrition policies were nationwide and were not organized or monitored by biome as a primary territorial cut."/>
        <s v="No biome lens was assigned because governance and oversight were national and did not correspond to a stable biome-delimited portfolio."/>
        <s v="No biome lens was assigned because the mapping did not identify supplier programs explicitly framed by Brazilian biomes."/>
        <s v="No biome lens was assigned because supply initiatives were not mapped here as biome-specific programs."/>
        <s v="It implemented deforestation-free sourcing and traceability commitments that were publicly anchored in Amazonia and Cerrado commodity-risk supply chains."/>
        <s v="No biome lens was assigned because the mapping did not confirm a consistent portfolio of initiatives explicitly delimited by Brazilian biomes."/>
        <s v="No biome lens was assigned because Brazil-related initiatives were not identified here with an explicit biome cut robust enough for classification."/>
        <s v="No biome lens was assigned because the mapping did not identify a biome-delimited set of projects or sourcing initiatives as a consistent territorial lens."/>
        <s v="No biome lens was assigned because it operated through national monitoring/advocacy and was not organized around biome-delimited initiatives."/>
        <s v="No biome lens was assigned because its portfolio was thematic (food systems/innovation) and did not present a consistent public biome cut."/>
        <s v="No biome lens was assigned because Brazil-related work was not mapped here through a stable biome-specific portfolio."/>
        <s v="No biome lens was assigned because the program operated nationally and the mapping did not isolate biome-delimited program lines as a consistent territorial lens."/>
        <s v="It managed public forest governance and concession frameworks that were most visibly associated with Amazonia, while its forest information and management instruments were also applicable to other forest biomes."/>
        <s v="It operated forestry and industrial landscapes predominantly in the Atlantic Forest domain and reported sustainability/restoration efforts tied to these managed territories."/>
        <s v="It operated forestry/industrial assets in areas where Mata Atlântica predominated and it maintained relevant interfaces with Cerrado landscapes through plantations, sourcing and territorial footprints in the Southeast/Northeast."/>
        <s v="No biome lens was assigned because the mapping did not confirm a consistent set of publicly identifiable biome-targeted projects beyond general responsible sourcing."/>
        <s v="No biome lens was assigned because investment theses were thematic/technology-based and were not reported as a biome-delimited operational portfolio."/>
        <s v="It operated certification and supply-chain transformation that were commonly linked to forest-risk commodities and landscapes in Amazonia and Mata Atlântica, and it also covered Cerrado-linked agricultural supply chains through standards and verification."/>
        <s v="It produced deforestation and forest-finance transparency work that, in Brazil, was most consistently framed around Amazonia and Cerrado commodity frontiers."/>
        <s v="It implemented deforestation-reduction and rural low-carbon strategies centered on Amazonia and it also worked on transition dynamics in the Amazonia–Cerrado interface."/>
        <s v="No biome lens was assigned because the mapping did not confirm a Brazil grant portfolio explicitly structured by biome-specific initiatives."/>
        <s v="No biome lens was assigned because the mapped work was policy/cities-oriented and was not organized using Brazilian biomes as the primary territorial cut."/>
        <s v="No biome lens was assigned because the mapped strategy was sector/system-based and did not rely on biome-targeted program lines."/>
        <s v="No biome lens was assigned because Brazil-related support was not mapped here through explicit biome-delimited initiatives."/>
        <s v="No biome lens was assigned because the mapping did not identify Brazil projects clearly tied to specific biomes in a consistent way."/>
        <s v="No biome lens was assigned because the mapping did not confirm a Brazil portfolio with biome-delimited programmatic focus."/>
        <s v="No biome lens was assigned because specific Brazil protected-area actions were not identified here with a stable biome cut for classification."/>
        <s v="No biome lens was assigned because the mapping did not confirm biome-specific Brazil initiatives as a consistent portfolio lens."/>
        <s v="No biome lens was assigned because Brazil-related work was not mapped here through biome-delimited projects."/>
        <s v="It coordinated regional strategies in the Northeast where Caatinga predominated and it also addressed coastal and Atlantic Forest-zone challenges through multi-state planning and resilience agendas."/>
        <s v="No biome lens was assigned because it acted through financial-market innovation and standards rather than biome-targeted implementation."/>
        <s v="No biome lens was assigned because its work was cross-sector and national and did not operate through biome-delimited program execution."/>
        <s v="No biome lens was assigned because it acted at ecosystem/finance standards level and was not structured around biome-specific initiatives."/>
        <s v="It produced Brazil-facing land-use and climate-finance analysis that was most consistently framed around Amazonia and Cerrado deforestation and agricultural transition dynamics."/>
        <s v="No biome lens was assigned because it focused on training/assessment frameworks and did not present a biome-delimited implementation portfolio."/>
        <s v="No biome lens was assigned because it operated as a national sector association and did not maintain a program portfolio structured by biomes."/>
        <s v="No biome lens was assigned because it acted nationally on regulation/market coordination and was not organized by biome-specific initiatives."/>
        <s v="No biome lens was assigned because it operated as a national market/policy association without biome-delimited programs."/>
        <s v="No biome lens was assigned because it coordinated nationally and did not implement biome-targeted initiatives."/>
        <s v="No biome lens was assigned because its work was technical/policy-oriented and not tied to biome-delimited implementation territories."/>
        <s v="It supported regional development in the Northeast where Caatinga predominated and it also addressed coastal and Atlantic Forest-zone territories through regional planning and incentive instruments."/>
        <s v="No biome lens was assigned because it operated through market advocacy and was not associated with biome-specific programs."/>
        <s v="It developed major wind/renewables in the Northeast where Caatinga landscapes predominated and it also operated in coastal wind corridors, making a coastal interface recurrent."/>
        <s v="It developed renewables in Northeast territories commonly associated with Caatinga and it maintained a relevant footprint in coastal renewable corridors and port-linked logistics interfaces."/>
        <s v="No biome lens was assigned because the mapping did not confirm a stable set of publicly identifiable projects tied to specific biomes."/>
        <s v="No biome lens was assigned because manufacturing/market actions were not organized by biome-based territorial programs."/>
        <s v="No biome lens was assigned because it acted via national trade/investment promotion tools rather than biome-delimited initiatives."/>
        <s v="It operated a port/industrial hub directly located in coastal/marine interface territories, making the coastal-maritime lens the most consistent territorial cut."/>
        <s v="It operated a port/industrial hub on the coastline and it anchored transition investments (including new energy vectors) through a coastal-maritime territorial interface."/>
        <s v="No biome lens was assigned because it acted globally through market/policy coordination and was not mapped as a Brazil biome-targeted actor."/>
        <s v="No biome lens was assigned because it operated through global convening/knowledge products rather than biome-delimited implementation."/>
        <s v="It convened renewable-energy expansion in Ceará where Caatinga predominated and it also addressed coastal renewable corridors and port-linked energy vectors through a coastal interface."/>
        <s v="No biome lens was assigned because it operated through global finance frameworks and was not mapped as a biome-delimited Brazil implementation actor."/>
        <s v="No biome lens was assigned because it operated through policy dialogue and research without a biome-delimited implementation portfolio."/>
        <s v="No biome lens was assigned because the mapping did not confirm publicly identifiable, biome-specific project execution."/>
        <s v="It implemented agroecology and family-farming support strongly linked to the Semi-arid (Caatinga) and it also operated in Atlantic Forest-zone rural territories via networks and field initiatives."/>
        <s v="No biome lens was assigned because it acted through market standards/self-regulation rather than biome-delimited initiatives."/>
        <s v="No biome lens was assigned because it operated through city-based programming (municipal networks) rather than biome-defined territorial cuts."/>
        <s v="No biome lens was assigned because the work was structured around urban policy and human settlements, not biome-delimited initiatives."/>
        <s v="No biome lens was assigned because it operated through national technical guidance and sector dialogue without biome-specific implementation."/>
        <s v="No biome lens was assigned because it operated through municipal/subnational governance support rather than biome-delimited territorial programming."/>
        <s v="No biome lens was assigned because the mapped support was policy/standards-oriented and not organized as biome-specific projects in this list."/>
        <s v="No biome lens was assigned because it worked via market development and contracting models, not biome-delimited initiatives."/>
        <s v="No biome lens was assigned because it acted through national sector advocacy and service modernization, not biome-specific initiatives."/>
        <s v="It produced authoritative deforestation and land-use monitoring with recurrent emphasis on Amazonia and Cerrado, while its observation systems also covered the other biomes."/>
        <s v="It pursued land-use and deforestation-free agendas most consistently tied to Amazonia and Cerrado commodity frontiers, while it also addressed broader forest and wetland governance debates."/>
        <s v="No biome lens was assigned because it operated through national energy-access and transition analytics rather than biome-delimited territorial implementation."/>
        <s v="No biome lens was assigned because it operated through city commitments and reporting frameworks, not biome-delimited initiatives."/>
        <s v="No biome lens was assigned because it acted through cross-country policy guidance and standards, not biome-targeted programs."/>
        <s v="It developed forest and agroforestry research and policy engagement most commonly linked to Amazonia and Cerrado land-use dynamics, while it also supported broader restoration/landscape agendas beyond those cores."/>
        <s v="No biome lens was assigned because cooperative strengthening was cross-sector and not structured by biome-delimited initiatives."/>
        <s v="No biome lens was assigned because the mapping did not confirm a specific, publicly identifiable biome-cut project portfolio in Brazil for this entry."/>
        <s v="No biome lens was assigned because its support was research/health-systems oriented and not organized as biome-delimited initiatives in this mapping."/>
        <s v="It operated explicitly as a Caatinga-focused conservation organization with projects anchored in that biome."/>
        <s v="It operated as a Northeast-focused finance instrument where Caatinga predominated, while financing also reached coastal economies with strong coastal-maritime interfaces."/>
        <s v="It operated explicitly in the Semi-arid territory and implemented water/food resilience actions anchored in the Caatinga biome."/>
        <s v="It operated in the Araripe/Semi-arid context and funded territorial initiatives associated with the Caatinga biome."/>
        <s v="It operated as a Caatinga fauna management and conservation center with activities explicitly delimited to that biome."/>
        <s v="It implemented semi-arid family-farming and water strategies explicitly tied to the Caatinga context."/>
        <s v="No biome lens was assigned because it operated through global energy-access/finance pipelines and was not mapped here as biome-delimited implementation in Brazil."/>
        <s v="No biome lens was assigned because financing was cross-sector/national and the mapping did not isolate a stable biome-specific operational portfolio."/>
        <s v="It operated with a Northeast mandate where Caatinga predominated and it also financed/coordinated activities in coastal zones with strong coastal-maritime interfaces."/>
        <s v="No biome lens was assigned because its rural and corporate finance operated nationally and was not structured as a biome-delimited program portfolio in this mapping."/>
        <s v="No biome lens was assigned because it operated through sector coordination/standards rather than biome-delimited initiatives."/>
        <s v="No biome lens was assigned because it operated through market infrastructure and disclosure standards without biome-delimited implementation."/>
        <s v="No biome lens was assigned because it operated through national electricity market rules/settlement systems and not biome-specific initiatives."/>
        <s v="No biome lens was assigned because regulatory oversight was national/sectoral and not organized through biome-delimited programs in this mapping."/>
        <s v="No biome lens was assigned because regulation and governance instruments were national and not mapped as biome-delimited initiatives for this entry."/>
        <s v="It published biome-explicit land-use and ecosystem series with strongest recurrent attention to Amazonia and Cerrado transitions, while it also maintained consistent coverage across the remaining biomes."/>
        <s v="It operated explicitly as a Semi-arid institute and produced applied research anchored in the Caatinga biome."/>
        <s v="It operated in Amazon floodplain/forest contexts and implemented conservation and livelihoods models explicitly tied to the Amazonia biome."/>
        <s v="It operated primarily in the Amazonia biome while working across frontier municipalities with strong Cerrado interfaces in land-use governance and deforestation control."/>
        <s v="It implemented capacity-building and project support with recurrent emphasis on forest and socio-biodiversity territories linked to Amazonia, while it also supported Cerrado-related territorial initiatives through partners and programs."/>
        <s v="It maintained an Amazon-focused territorial presence and implemented conservation and community programs explicitly tied to the Amazonia biome."/>
        <s v="It operated in Central-West/Amazon frontier territories with strong Amazonia linkages and maintained relevant work across Cerrado landscapes through agroecology and value-chain initiatives."/>
        <s v="It operated with an explicit Cerrado focus and implemented socio-biodiversity and community-conservation initiatives anchored in that biome."/>
        <s v="It coordinated ecosystem protection and community-rights agendas explicitly tied to the Cerrado biome."/>
        <s v="No biome lens was assigned because it operated through national market/regulatory advocacy and not biome-delimited project execution."/>
        <s v="No biome lens was assigned because it operated through national industry coordination and enabling regulation rather than biome-specific initiatives."/>
        <s v="No biome lens was assigned because it acted through sector advocacy and planning inputs, not biome-delimited initiatives."/>
        <s v="No biome lens was assigned because infrastructure delivery was national and project-by-project, and this mapping did not identify a consistent biome-targeted program lens."/>
        <s v="No biome lens was assigned because aviation regulation was sectoral/national and not organized around biome-delimited initiatives."/>
        <s v="No biome lens was assigned because standard-setting was transversal and not tied to biome-delimited territorial initiatives."/>
        <s v="No biome lens was assigned because it operated through sector coordination and policy/standards, not biome-delimited initiatives."/>
        <s v="No biome lens was assigned because professional regulation was national and practice-based, without a biome-delimited operational portfolio."/>
        <s v="No biome lens was assigned because professional regulation and guidance were national and not mapped as biome-specific initiatives."/>
        <s v="No biome lens was assigned because it operated through national standards/certification systems rather than biome-delimited initiatives."/>
        <s v="No biome lens was assigned because support was delivered via nationwide programs and local units without a consistent, biome-specific project delimitation in this mapping."/>
        <s v="It supported family-farming cooperative networks strongly present in Caatinga and Cerrado territories and it also engaged cooperative value chains in Amazônia and Mata Atlântica contexts."/>
        <s v="No biome lens was assigned because a publicly identifiable Brazil-focused, biome-delimited implementation portfolio was not confirmed for this entry."/>
        <s v="No biome lens was assigned because it acted through policy debate/coalition building without a biome-delimited project portfolio in this mapping."/>
        <s v="No biome lens was assigned because it worked through city-based indicators and governance agendas rather than biome-delimited territorial initiatives."/>
        <s v="It operated primarily in São Paulo’s urban region, which sat within the Mata Atlântica biome footprint, and it did not present a second biome-delimited agenda."/>
        <s v="No biome lens was assigned because it operated through urban policy work across municipalities without a biome-delimited implementation focus."/>
        <s v="No biome lens was assigned because it produced cross-sector policy analysis and the mapping did not confirm biome-delimited project execution."/>
        <s v="No biome lens was assigned because it acted through national budget/rights advocacy rather than biome-delimited initiatives."/>
        <s v="No biome lens was assigned because it worked through national consumer/market advocacy and not biome-delimited initiatives."/>
        <s v="It conducted high-visibility forest and land-use campaigns most consistently associated with Amazônia and Cerrado pressures, while it also engaged recurring agendas linked to Mata Atlântica and Pantanal conservation."/>
        <s v="No biome lens was assigned because it operated via energy-policy monitoring and project advocacy without a stable biome-delimited portfolio in this mapping."/>
        <s v="No biome lens was assigned because it functioned as a rights/justice network across cases and territories without a consistent biome-delimited initiative set."/>
        <s v="It implemented a conservation portfolio strongly linked to the Cerrado and it also engaged forest and protected-area agendas connected to Amazônia through projects/partnerships."/>
        <s v="It implemented projects and territorial governance work explicitly tied to the Cerrado biome."/>
        <s v="It operated primarily with Amazon Indigenous and traditional territories and implemented programs explicitly linked to the Amazônia biome."/>
        <s v="It implemented territorial development and socio-biodiversity chain initiatives mainly in Pará/Amazon contexts and maintained an explicit Amazônia biome linkage."/>
        <s v="It implemented integrated community development in Amazon territories and maintained a clear Amazônia biome focus."/>
        <s v="It mobilized advocacy and rights-based agendas most visibly linked to Amazônia and Cerrado Indigenous territorial pressures, while it also engaged national struggles affecting Caatinga and Mata Atlântica Indigenous territories."/>
        <s v="It coordinated Indigenous organizations explicitly within the Amazônia biome and anchored action in Amazon territories."/>
        <s v="It monitored conflicts and supported Indigenous rights across Brazil with recurrent prominence in Amazônia and Cerrado land-rights disputes, while it also acted in Mata Atlântica and Caatinga contexts through national coverage."/>
        <s v="It documented and engaged land/conflict dynamics frequently concentrated in Amazônia and Cerrado frontiers, while it also covered rural conflict and rights agendas in Caatinga and Mata Atlântica areas."/>
        <s v="It represented extractive-reserve and forest-based livelihoods strongly anchored in Amazônia and it also engaged extractive/community territories in Mata Atlântica contexts where applicable."/>
        <s v="It convened agroecology networks with strong presence in Caatinga and Cerrado family-farming territories and it also mobilized agendas across Mata Atlântica and Amazônia through national articulation."/>
        <s v="It implemented programs strongly associated with the Semi-arid Caatinga and it also operated in coastal Northeast communities with coastal-maritime interfaces."/>
        <s v="No biome lens was assigned because humanitarian and social development actions were delivered across diverse territories without a consistent biome-delimited operational framing in this mapping."/>
        <s v="No biome lens was assigned because it operated through civic participation and rights agendas across states without a stable biome-delimited project portfolio in this mapping."/>
        <s v="It implemented agroecology and social-technology support for family farming in Semi-arid territories explicitly tied to the Caatinga biome."/>
        <s v="It operated in Pernambuco with strong Mata Atlântica-zone rural territories and it also engaged Semi-arid interfaces connected to Caatinga through agroecology/agroforestry programming."/>
        <s v="It implemented social technologies and agroecology initiatives explicitly concentrated in Semi-arid territories linked to the Caatinga biome."/>
        <s v="No biome lens was assigned because it operated through professional standards and advocacy rather than biome-delimited initiatives."/>
        <s v="No biome lens was assigned because the entry described broad technical cooperation and did not specify a consistent, biome-delimited portfolio in Brazil within this mapping."/>
        <s v="No biome lens was assigned because financing operated across sectors and the mapping did not isolate a stable, biome-specific project portfolio for this entry."/>
        <s v="No biome lens was assigned because investments were transaction-based and no consistent biome-delimited portfolio was identified in this mapping."/>
        <s v="No biome lens was assigned because the entry did not specify a biome-delimited Brazil portfolio and support was described as cross-sectoral."/>
        <s v="No biome lens was assigned because the mapping did not confirm a stable biome-delimited investment portfolio for this entry."/>
        <s v="No biome lens was assigned because the mapping did not confirm a consistent biome-delimited Brazil implementation portfolio for this entry."/>
        <s v="No biome lens was assigned because the entry did not specify a stable biome-delimited portfolio in Brazil within this mapping."/>
        <s v="No biome lens was assigned because the entry described broad cooperation and did not identify biome-delimited projects in Brazil for classification."/>
        <s v="No biome lens was assigned because a specific biome-delimited Brazil portfolio was not identified for this entry in the mapping."/>
        <s v="No biome lens was assigned because the entry did not confirm publicly identifiable, biome-delimited implementation in Brazil for classification."/>
        <s v="No biome lens was assigned because the mapping did not confirm a stable biome-delimited Brazil portfolio for this entry."/>
        <s v="No biome lens was assigned because the entry described broad grantmaking/partnerships and did not identify biome-delimited implementation in Brazil for this mapping."/>
        <s v="No biome lens was assigned because a Brazil-facing, biome-delimited portfolio was not confirmed in this mapping entry."/>
        <s v="It supported forest and climate programming most visibly associated with Amazon protection and it also engaged land-use governance agendas connected to the Cerrado."/>
        <s v="It financed large-scale forest and deforestation-reduction efforts most consistently linked to the Amazon and it also supported forest-positive agendas relevant to the Cerrado frontier."/>
        <s v="No biome lens was assigned because the entry described broad international cooperation and did not confirm a biome-delimited Brazil implementation focus."/>
        <s v="No biome lens was assigned because the portfolio was described as cross-sector policy/TA and this mapping did not confirm stable, biome-delimited projects."/>
        <s v="No biome lens was assigned because the entry did not specify biome-delimited implementation in Brazil for classification."/>
        <s v="No biome lens was assigned because financing was transaction-based and no consistent biome-delimited Brazil portfolio was identified in this mapping entry."/>
        <s v="No biome lens was assigned because a Brazil-facing, biome-delimited implementation portfolio was not confirmed for this entry."/>
        <s v="No biome lens was assigned because the entry did not confirm biome-delimited implementation in Brazil within this mapping."/>
        <s v="No biome lens was assigned because the entry did not identify biome-delimited initiatives in Brazil for classification."/>
        <s v="No biome lens was assigned because the mapping did not confirm a consistent, Brazil-specific biome-delimited implementation portfolio for this entry."/>
        <s v="No biome lens was assigned because a biome-delimited Brazil portfolio was not confirmed for this entry."/>
        <s v="No biome lens was assigned because the entry did not confirm biome-delimited implementation in Brazil for classification."/>
        <s v="No biome lens was assigned because the entry did not confirm a stable, biome-delimited Brazil portfolio in this mapping."/>
        <s v="No biome lens was assigned because it operated through policy dialogue/grants and the mapping did not confirm biome-delimited Brazil initiatives for classification."/>
        <s v="No biome lens was assigned because it acted through policy dialogue and the mapping did not confirm biome-delimited Brazil programs for classification."/>
        <s v="No biome lens was assigned because biome-delimited implementation in Brazil was not confirmed for this entry."/>
        <s v="No biome lens was assigned because the entry described convening/research and did not confirm biome-delimited Brazil initiatives."/>
        <s v="No biome lens was assigned because the entry did not indicate a biome-delimited portfolio and programs were organized by communities/municipalities rather than biomes."/>
        <s v="No biome lens was assigned because the mapping did not confirm a biome-delimited Brazil implementation portfolio for this entry."/>
        <s v="No biome lens was assigned because the entry did not confirm biome-delimited programming and actions were organized by communities/regions rather than biomes."/>
        <s v="It organized land/agroecology struggles strongly present in Cerrado and Mata Atlântica rural zones and it also operated in Caatinga and Amazônia territories through national capillarity."/>
        <s v="No biome lens was assigned because it operated as an urban movement and the territorial unit was metropolitan/peripheral areas rather than biomes."/>
        <s v="It mobilized around large hydropower and river-basin conflicts prominently affecting Amazon and Atlantic Forest regions and it also acted in Cerrado and Caatinga basins through national coverage."/>
        <s v="It organized smallholder and agroecology agendas strongly associated with Semi-arid Caatinga and Cerrado family-farming territories and it also acted in Mata Atlântica and Amazônia contexts via national presence."/>
        <s v="It mobilized around mining frontiers and socio-environmental conflicts frequently concentrated in Amazônia and mining corridors in Mata Atlântica states and it also engaged Cerrado mining expansion areas."/>
        <s v="It represented large family-farming bases strongly present in Caatinga and Cerrado territories and it also engaged national agendas affecting Mata Atlântica and Amazônia rural workers."/>
        <s v="It defended Quilombola territorial rights with strong incidence in Mata Atlântica and Cerrado areas and it also engaged Amazon and Caatinga quilombola territories through national articulation."/>
        <s v="No biome lens was assigned because it operated through social/political advocacy without biome-delimited initiatives in this mapping."/>
        <s v="It advanced agroecology and rural women’s organizing strongly present in Caatinga and Mata Atlântica rural territories and it also operated in Cerrado and Amazônia contexts through national reach."/>
        <s v="It operated in the babaçu zone strongly associated with Cerrado transition areas and it also engaged forest–frontier territories connected to Amazônia interfaces."/>
        <s v="It supported artisanal fishing agendas primarily in coastal-maritime territories and it also engaged riverine/fishing conflicts linked to Amazônia and Mata Atlântica coastal states."/>
        <s v="No biome lens was assigned because it operated in urban waste systems across municipalities rather than biome-delimited territories."/>
        <s v="No biome lens was assigned because it acted as a cross-territory social articulation without biome-delimited initiatives in this mapping."/>
        <s v="It coordinated Indigenous organizations across the Northeast with strong Caatinga presence and it also covered Minas Gerais/Espírito Santo territories linked to Mata Atlântica."/>
        <s v="It operated in the Rio Negro Amazon region and maintained an explicit Amazônia biome linkage."/>
        <s v="It acted in Roraima with strong Amazon territorial linkage and it also operated across savanna/transition landscapes connected to Cerrado-like formations in the state."/>
        <s v="It operated to safeguard Yanomami territories located in the Amazônia biome."/>
        <s v="It mobilized around the Xingu basin strongly linked to Amazônia and it also engaged the Amazon–Cerrado interface where frontier pressures were relevant."/>
        <s v="It supported territorial governance and restoration in the Xingu basin within Amazônia and it also operated across Cerrado transition areas in the wider basin."/>
        <s v="It operated in Tapajós territories explicitly linked to the Amazônia biome."/>
        <s v="No biome lens was assigned because it acted through socio-economic organizing across territories and did not present biome-delimited initiatives in this mapping."/>
        <s v="It engaged conflicts and safeguard agendas strongly associated with wind/renewables expansion in Caatinga-region states and it also connected to Cerrado and coastal-maritime project corridors through national action."/>
        <s v="It operated in the Semi-arid Seridó territory and aligned action with the Caatinga biome."/>
        <s v="No biome lens was assigned because it operated through national energy policy advocacy rather than biome-delimited initiatives."/>
        <s v="No biome lens was assigned because it acted through national industrial policy and sector coordination without biome-delimited implementation in this mapping."/>
      </sharedItems>
    </cacheField>
    <cacheField name="Role within the ecosystem" numFmtId="0">
      <sharedItems>
        <s v="Funder, Strategic partner"/>
        <s v="Funder, Technical assistance / research, Strategic partner"/>
        <s v="Funder, Capital provider / Financial intermediary"/>
        <s v="Funder, Strategic partner, Convenor/enablers, Capital provider / Financial intermediary"/>
        <s v="Project developer / Implementer, Policy influence / regulation"/>
        <s v="Convenor/enablers"/>
        <s v="Funder, Convenor/enablers"/>
        <s v="Convenor/enablers, Policy influence / regulation"/>
        <s v="Technical assistance / research, Convenor/enablers"/>
        <s v="Convenor/enablers, Project developer / Implementer"/>
        <s v="Convenor/enablers, Strategic partner"/>
        <s v="Funder, Territorial anchor"/>
        <s v="Technical assistance / research, Policy influence / regulation"/>
        <s v="Funder, Policy influence / regulation, Strategic partner , Community legitimacy / proximate leadership"/>
        <s v="Strategic partner, Capital provider / Financial intermediary"/>
        <s v="Funder, Strategic partner, Territorial anchor"/>
        <s v="Technical assistance / research, Project developer / Implementer, Funder"/>
        <s v="Strategic partner, Implementation capacity (delivery)"/>
        <s v="Project developer / Implementer, Community legitimacy / proximate leadership"/>
        <s v="Strategic partner, Project developer / Implementer"/>
        <s v="Strategic partner, Project developer / Implementer, Policy influence / regulation"/>
        <s v="Strategic partner, Technical assistance / research, Policy influence / regulation"/>
        <s v="Policy influence / regulation, Implementation capacity (delivery)"/>
        <s v="Technical assistance / research, Territorial anchor"/>
        <s v="Implementation capacity (delivery), Technical assistance / research"/>
        <s v="Policy influence / regulation, Territorial anchor"/>
        <s v="Technical assistance / research, Data / MRV / platforms"/>
        <s v="Project developer / Implementer, Territorial anchor"/>
        <s v="Convenor/enablers, Implementation capacity (delivery)"/>
        <s v="Capital provider / Financial intermediary, Territorial anchor"/>
        <s v="Project developer / Implementer, Technical assistance / research"/>
        <s v="Capital provider / Financial intermediary, Project developer / Implementer"/>
        <s v="Capital provider / Financial intermediary"/>
        <s v="Convenor/enablers, Technical assistance / research"/>
        <s v="Capital provider / Financial intermediary, Implementation capacity (delivery)"/>
        <s v="Data / MRV / platforms, Convenor/enablers"/>
        <s v="Implementation capacity (delivery)"/>
        <s v="Funder, Project developer / Implementer"/>
        <s v="Strategic partner, Convenor/enablers, Project developer / Implementer"/>
        <s v="Technical assistance / research, Implementation capacity (delivery)"/>
        <s v="Implementation capacity (delivery), Convenor/enablers"/>
        <s v="Technical assistance / research"/>
        <s v="Project developer / Implementer, Convenor/enablers, Implementation capacity (delivery)"/>
        <s v="Policy influence / regulation, Convenor/enablers"/>
        <s v="Technical assistance / research, Project developer / Implementer"/>
        <s v="Technical assistance / research, Strategic partner"/>
        <s v="Funder, Strategic partner, Convenor/enablers"/>
        <s v="Funder, Strategic partner, Technical assistance / research"/>
        <s v="Policy influence / regulation"/>
        <s v="Policy influence / regulation, Data / MRV / platforms"/>
        <s v="Data / MRV / platforms, Policy influence / regulation"/>
        <s v="Policy influence / regulation, Community legitimacy / proximate leadership"/>
        <s v="Strategic partner, Convenor/enablers, Technical assistance / research"/>
        <s v="Funder"/>
        <s v="Territorial anchor, Policy influence / regulation"/>
        <s v="Convenor/enablers, Capital provider / Financial intermediary"/>
        <s v="Territorial anchor, Implementation capacity (delivery)"/>
        <s v="Territorial anchor, Convenor/enablers"/>
        <s v="Strategic partner, Convenor/enablers, Territorial anchor"/>
        <s v="Strategic partner, Project developer / Implementer, Technical assistance / research"/>
        <s v="Strategic partner, Policy influence / regulation, Convenor/enablers"/>
        <s v="Strategic partner, Convenor/enablers"/>
        <s v="Convenor/enablers, Territorial anchor"/>
        <s v="Policy influence / regulation, Technical assistance / research"/>
        <s v="Convenor/enablers, Community legitimacy / proximate leadership"/>
        <s v="Funder, Capital provider / Financial intermediary, Strategic partner"/>
        <s v="Funder, Technical assistance / research"/>
        <s v="Community legitimacy / proximate leadership, Implementation capacity (delivery)"/>
        <s v="Strategic partner, Funder, Convenor/enablers"/>
        <s v="Capital provider / Financial intermediary, Territorial anchor, Funder"/>
        <s v="Data / MRV / platforms, Technical assistance / research"/>
        <s v="Project developer / Implementer, Data / MRV / platforms"/>
        <s v="Project developer / Implementer, Implementation capacity (delivery)"/>
        <s v="Community legitimacy / proximate leadership, Convenor/enablers"/>
        <s v="Policy influence / regulation, Project developer / Implementer"/>
        <s v="Project developer / Implementer"/>
        <s v="Community legitimacy / proximate leadership, Policy influence / regulation"/>
        <s v="Community legitimacy / proximate leadership, Territorial anchor"/>
        <s v="Strategic partner, Technical assistance / research, Funder"/>
        <s v="Capital provider / Financial intermediary, Strategic partner"/>
        <s v="Policy influence / regulation, Funder, Strategic partner"/>
        <s v="Funder, Technical assistance / research, Policy influence / regulation"/>
        <s v="Community legitimacy / proximate leadership"/>
        <s v="Implementation capacity (delivery), Community legitimacy / proximate leadership"/>
      </sharedItems>
    </cacheField>
    <cacheField name="Position in the value chain" numFmtId="0">
      <sharedItems>
        <s v="Midstream"/>
        <s v="Upstream"/>
        <s v="Downstream"/>
      </sharedItems>
    </cacheField>
    <cacheField name="Potential partnership with IKF" numFmtId="0">
      <sharedItems containsBlank="1">
        <s v="Co-funding partner"/>
        <s v="Strategic partner"/>
        <s v="Grant recipient"/>
        <s v="Implementing partner"/>
        <s v="Blended finance partner"/>
        <m/>
        <s v="Capacity building partner"/>
      </sharedItems>
    </cacheField>
    <cacheField name="Headquarters location" numFmtId="0">
      <sharedItems>
        <s v="Rio de Janeiro, RJ, Brazil"/>
        <s v="São Paulo, SP, Brazil"/>
        <s v="New York, NY, USA"/>
        <s v="London, United Kingdom"/>
        <s v="Brasília, DF, Brazil"/>
        <s v="Los Altos, CA, USA"/>
        <s v="Pittsburgh, PA, USA"/>
        <s v="Oslo, Norway"/>
        <s v="Arlington, VA, USA"/>
        <s v="Belém, PA, Brazil"/>
        <s v="Manaus, AM, Brazil"/>
        <s v="Piracicaba, SP, Brazil"/>
        <s v="Vienna, Austria"/>
        <s v="Wiesbaden, Germany"/>
        <s v="Barueri, SP, Brazil"/>
        <s v="Vancouver, BC, Canada"/>
        <s v="Curitiba, PR, Brazil"/>
        <s v="Redwood City, CA, USA"/>
        <s v="Cajamar, SP, Brazil"/>
        <s v="Ilhéus, BA, Brazil"/>
        <s v="Berlin, Germany"/>
        <s v="Munich, Germany"/>
        <s v="Nova Lima, MG, Brazil"/>
        <s v="San Francisco, CA, USA"/>
        <s v="Buenos Aires, Argentina"/>
        <s v="Seattle, WA, USA"/>
        <s v="Nazaré Paulista, SP, Brazil"/>
        <s v="Belo Horizonte, MG, Brazil"/>
        <s v="Washington, DC, USA"/>
        <s v="Palo Alto, CA, USA"/>
        <s v="Panama City, Panama"/>
        <s v="Menlo Park, CA, USA"/>
        <s v="Geneva, Switzerland"/>
        <s v="Campinas, SP, Brazil"/>
        <s v="Florianópolis, SC, Brazil"/>
        <s v="São Bernardo do Campo, SP, Brazil"/>
        <s v="Cuiabá, MT, Brazil"/>
        <s v="Porto Alegre, RS, Brazil"/>
        <s v="Bentonville, AR, USA"/>
        <s v="Charlottesville, VA, USA"/>
        <s v="Warrenton, VA, USA"/>
        <s v="Chicago, IL, USA"/>
        <s v="Salvador, BA, Brazil"/>
        <s v="Recife, PE, Brazil"/>
        <s v="Fortaleza, CE, Brazil"/>
        <s v="Ipojuca, PE, Brazil"/>
        <s v="São Gonçalo do Amarante, CE, Brazil"/>
        <s v="Brussels, Belgium"/>
        <s v="São José dos Campos, SP, Brazil"/>
        <s v="Paris, France"/>
        <s v="Crato, CE, Brazil"/>
        <s v="Petrolina, PE, Brazil"/>
        <s v="Juazeiro, BA, Brazil"/>
        <s v="Campina Grande, PB, Brazil"/>
        <s v="Tefé, AM, Brazil"/>
        <s v="Alta Floresta, MT, Brazil"/>
        <s v="Duque de Caxias, RJ, Brazil"/>
        <s v="Goiânia, GO, Brazil"/>
        <s v="Santarém, PA, Brazil"/>
        <s v="Luxembourg, Luxembourg"/>
        <s v="Aachen, Germany"/>
        <s v="Passo Fundo, RS, Brazil"/>
        <s v="São Luís, MA, Brazil"/>
        <s v="São Gabriel da Cachoeira, AM, Brazil"/>
        <s v="Boa Vista, RR, Brazil"/>
        <s v="Altamira, PA, Brazil"/>
        <s v="Caicó, RN, Brazil"/>
      </sharedItems>
    </cacheField>
    <cacheField name="Funding Role" numFmtId="0">
      <sharedItems containsBlank="1">
        <s v="Donor"/>
        <s v="Re-granter"/>
        <s v="Grantee"/>
        <m/>
      </sharedItems>
    </cacheField>
    <cacheField name="Contact &#10;(name, role and e-mail)" numFmtId="0">
      <sharedItems containsBlank="1">
        <s v="André Degenszajn (Executive Director)"/>
        <s v="Hugo Aguilaniu  (President)"/>
        <s v="Rosa Lemos de Sá (Executive Director)"/>
        <s v="Maria Netto Schnider"/>
        <s v="Marco Kelson Kertzman"/>
        <s v="Carolla Matarazzo (Chairman)"/>
        <s v="Carolla Matarazzo (Executive Director)"/>
        <s v="Cristiane Sultani (Funder and Chairman)"/>
        <s v="Pedro Abramovay (Vice-President)"/>
        <s v="Caio Magri (President)"/>
        <s v="Paula Jancso Fabiani"/>
        <s v="Daniel Contrucci &amp; Ricardo Gravnina (Co-Directors)"/>
        <s v="Champa Patel (Global Governance Director)"/>
        <s v="Mariana Luz (Executive Director)"/>
        <s v="Mariana Almeida (Executive Director)"/>
        <s v="Viviane Naigeborin (Executive Director)"/>
        <s v="Natalie Unterstell"/>
        <s v="Ana Lúcia Villela (President) &amp; Marcos Nisti (Vice-President)"/>
        <s v="Marcelo Furtado (Sustainable Head)"/>
        <s v="Renata Piazzon (CEO)"/>
        <s v="Fernando Pieroni (Executive Director)"/>
        <m/>
        <s v="Adriana Ramos (Policy Director)"/>
        <s v="João Alegria (CEO)"/>
        <s v="Paola Bleicker (Executive Director)"/>
        <s v="Priscila Martins (Co-Director)"/>
        <s v="Carla Duprat (Execiutive Director) "/>
        <s v="Fabíola Zerbini (Executive Director)"/>
        <s v="Mariana Fonseca (Director) "/>
        <s v="Walter Campos is the General Manager"/>
        <s v="Carolina Borghesi (VP)"/>
        <s v="Malu Nunes (Executive Director) "/>
        <s v="Luciana Aguiar (Country Program Director) "/>
        <s v="Raphael Medeiros (Executive Director)"/>
        <s v="Rafael Gioielli (Executive Director)"/>
        <s v="Nana Baffour (Director)"/>
        <s v="Sandra Ortiz (Latin America Director) "/>
        <s v="Atila Rock (Brazil Country Director) "/>
        <s v="Raquel Ribeiro Vaz (President) "/>
        <s v="Luíza Serpa (Executive Director) "/>
        <s v="Atila Rock (FFoundation BRAZIL Country Director) "/>
        <s v="SIB &quot;arm&quot; in the Amazon, as a spin-off of IDESAM. Could be a fund holder for SIB in the Amazon."/>
        <s v="Gabriel Francisco (Associate Director Latin America) "/>
        <s v="André Ferreira (Executive Director)"/>
        <s v="Johannes"/>
        <s v="Lucas Araripe (Director) "/>
        <s v="Rodrigo Perpétuo (Latin American Director) "/>
      </sharedItems>
    </cacheField>
    <cacheField name="Site / related links " numFmtId="0">
      <sharedItems containsBlank="1">
        <s v="https://ibirapitanga.org.br/"/>
        <s v="https://serrapilheira.org/"/>
        <s v="https://www.funbio.org.br/"/>
        <s v="https://climaesociedade.org/"/>
        <s v="https://www.iccibr.org/en/home"/>
        <s v="https://gife.org.br/"/>
        <s v="https://movimentobemmaior.org.br/"/>
        <s v="https://institutobeja.org/homepage/"/>
        <s v="https://www.opensocietyfoundations.org/newsroom/a-open-society-na-america-latina-e-no-caribe/pt"/>
        <s v="https://www.ethos.org.br/"/>
        <s v="https://www.idis.org.br/"/>
        <s v="https://www.climateventures.co/"/>
        <s v="https://www.theclimategroup.org/"/>
        <s v="https://fundacaomariacecilia.org.br/"/>
        <s v="https://fundacaotidesetubal.org.br/"/>
        <s v="https://arymax.org.br/"/>
        <s v="https://institutotalanoa.org/"/>
        <s v="https://alana.org.br/"/>
        <s v="https://www.itausa.com.br/"/>
        <s v="https://arapyau.org.br/"/>
        <s v="https://semeia.org.br/"/>
        <s v="https://www.packard.org/"/>
        <s v="https://www.alcoa.com/brasil/pt"/>
        <s v="https://www.hydro.com/br"/>
        <m/>
        <s v="https://www.frm.org.br/"/>
        <s v="https://idesam.org/"/>
        <s v="https://artemisia.org.br/"/>
        <s v="https://ice.org.br/"/>
        <s v="https://www.conexsus.org/"/>
        <s v="https://pipe.social/"/>
        <s v="https://yunusns.com/"/>
        <s v="https://www.lundinfoundation.org/"/>
        <s v="https://institutocea.org.br/"/>
        <s v="https://fundacaogrupoboticario.org.br/"/>
        <s v="https://www.natura.com.br/"/>
        <s v="https://www.undp.org/pt/brazil"/>
        <s v="https://centroamazonia.org.br/"/>
        <s v="https://sistemabbrasil.org/empresas-b"/>
        <s v="https://www.institutovotorantim.org.br/"/>
        <s v="https://www.quintessa.org.br/"/>
        <s v="https://www.demendes.com.br/"/>
        <s v="https://www.insper.edu.br/pt"/>
        <s v="https://www.bmw-foundation.org/"/>
        <s v="https://www.fordfoundation.org/our-work-around-the-world/brazil-pt/"/>
        <s v="https://institutosabin.org.br/"/>
        <s v="Instituto Phi"/>
        <s v="https://climateandlandusealliance.org › ..."/>
        <s v="https://www.climateworks.org/"/>
        <s v="https://ciff.org/"/>
        <s v="https://oakfnd.org/"/>
        <s v="https://energiaeambiente.org.br/"/>
        <s v="https://europeanclimate.org/"/>
        <s v="https://www.porticus.com/what-we-do/earth/good-energies-foundation/"/>
        <s v="https://casadosventos.com.br/"/>
        <s v="https://aspta.org.br/"/>
        <s v="https://www.bndes.gov.br/wps/portal/site/home"/>
      </sharedItems>
    </cacheField>
    <cacheField name="General notes / Refs" numFmtId="0">
      <sharedItems containsBlank="1">
        <s v="Could be a relevant partner for co-funding efforts on food systems in the Amazon. "/>
        <s v="Could be a relevant partner for co-funding efforts on science-based approaches, advocacy and communications   "/>
        <s v="Potential co-funding, strategic partner &amp; regranter to work in all Brazilan Biomes, with trackrecord as a financial mechanism to work on bioodiversituy, climate change and civil society stregnthening in all regions with a diverisity of national and intern"/>
        <s v="Regrenter organization well posionetd in Brazil in different arenas to address climate change issues  "/>
        <s v="A new player with great potential to advance climate change communication strategies in Brazil. "/>
        <s v="The most relevant network of Philanthropies in Brazil. Could be a strategic partner to address IKF workin Brazil. "/>
        <s v="A Philanthropy established 5 years ago by  9 business leaders to enhance the grant making space in Brazil. Looking foward to co-finance strategies with other philanthropies (national and international). Could be a strategic partner for IKF in Brazil.  "/>
        <s v="A recently established Philantropy, with a similar role of  Movoimento Bem Maior, to advance the givin culture in Brazil. Could be a relevant co-funder and strategic partner for IKF in Brazil."/>
        <s v="They have a strong presence in Brazil. Could be a strategic partner, specially to give inputs on strategy development, approaches and lessosn learned."/>
        <s v="Together with GIFE (Philantropy network), Ethos was stablished in Brazil  as strong network to address social corporate responsability in the 90's. Would be interesting to talk to them to test their apetite to collaborate with IKF Impact Areas strategies."/>
        <s v="Provide services to develop civil society organizations in Brazil. Hosts and endowment fund to develop Philantropies in Brazil."/>
        <s v="Could be an important grantee in the cosytem to address climate solutions in Brazil."/>
        <s v="Potential partner. Intrested in working more in Brazil."/>
        <s v="Explore possibilities to be a partner. The largest endowment fund in Brazil."/>
        <s v="Could be a co-funding partener in urban startegies in targeted cities (as SP), supporting vulnerable comunities. "/>
        <s v="Potential co-funding partner in Social Impact Business (SIB) in Brazil. The org. Lead helped establishing policies and frameworks and is a reference on SIB in Brazil. "/>
        <s v="A relevant thecnical partner in Brazil (policy, adaptation and mitigation) "/>
        <s v="Could be a co-finding partner on targeted audience. Works a lot in advocacy, campaigns and information foucesed on young generation) "/>
        <s v="Interested in the  climate change. Alredy finance a lot of different effort, hubs and networks. Could be a co-funding partner for IKF in Brazil.  "/>
        <s v="Relevant partner to co-fund initiatives in teh Amazon. Also works a lot in terrritorial development in Bahia. Guilherme Leal's philanthropy (one of Natura's owner)"/>
        <s v="Interesting partner to understand and potentially co-fund strategies to address Public and Private Prtnerships (PPPs) in IKF impact areas. Perdo Passos' philanthropy (one of Natura's owner)."/>
        <s v="Potential partner in Brazil. Explore a range of sustainable territorial development  approaches and lessons lerned funding initiatives in Brazil. "/>
        <s v="Could be a potential co-funding partner in targeted geographies, linkes to IKF impact areas. "/>
        <m/>
        <s v="Could be a relevant partner to work on capacity building of vulnerable communities in Brazil.  They Work  in the whole country. Great capilarity"/>
        <s v="Relevant SIB partner in the Amazon."/>
        <s v="Great partner to implement SIB strategies in Brazil. "/>
        <s v="Relevant partner in the SIB arena in Brazil."/>
        <s v="Relevant implementing partner for SIB in the Amazon."/>
        <s v="Relevant SIB finance plataform. "/>
        <s v="Strategic and potential partner for SIB in Brazil."/>
        <s v="Could be an important co-funding parter in assignes supply chain for IKF targeted geographies."/>
        <s v="Could be an important co-funding partenr for IKF in Brazil."/>
        <s v="Strategic partner for IKF impact areas and biomes."/>
        <s v="Relevant implementing org addressing SIB in the Amazon."/>
        <s v="Could be a potential grantee in the food arean in the Amazon (Pará State)."/>
        <s v="Important co-funding partner on tge SIB in Brazil. Track reccord on funding in the northeast of the country."/>
        <s v="Relevant SIB plataform of investments."/>
        <s v="could be a potential grantee in the food - cocoa supply chain in Brazil."/>
        <s v="Great plavce to explore data assessment on a range of IFK impact areas and biomes in Brazil."/>
        <s v="A strategic co-funding partner on ecossystem transformation, using SIB as a key element  to get there. "/>
        <s v="Key partner to address climate change funding in the Amazon, specially on the forest and community based approaches."/>
        <s v="Could be a partner to co-fund a portfolio of projects in targeted cities (co-benefit agenda) "/>
        <s v="A relevant potential regreting organizatio to addres international Foundation work in Brazil. Track reccord doing that (LATIMPACTO, among others). "/>
        <s v="Could be a research parner for IKF in Brazil."/>
        <s v="Could be an important partner to advance governance in philanthropy in Brazil. "/>
        <s v="Relkevant strategic and co-funding partner for IKF in Brazil in different arenas: biomes and impact areas."/>
        <s v="It was very relevant in the past funding for the Amazon in Brazil."/>
        <s v="One on the most relevant co-funding partner for the Amazon in Brazil."/>
        <s v="An important player at the national level + in Latin America. "/>
        <s v="work in Brazil for a while on climate isues. Co-Funder of the two most relevant climate alliances (CLUA and  LARCI /ICS)."/>
        <s v="The most relevant international funder  on climte. A lot of lessons leraned and intrested on enhancing funding streams for climate change in Brazil. "/>
        <s v="work in Brazil for a while on climate isues. Co-Funder of LARCI /ICS."/>
        <s v="A strategic partner to provide  reliable data on energy in Brazil. A Think Thank on energy transition information in Brazil."/>
        <s v="Could brink knowleage to climate initiatives in Brazil. "/>
        <s v="Implementing partner for urban and transport work  on capitals in Brazil."/>
        <s v="Important imnplementer as a CSO in the Amazon of Brazil."/>
        <s v="Relevant co-funder for the Brazilian Amazon"/>
        <s v="Relevant co-funding partner for food systems in Brazil. Helped establishes Pacto Contra a Fome organization. A CSO in charge with food system transformation in Brazil."/>
        <s v="supermarket chain in Ceará State,. Could be a co-funding partner for food system ."/>
        <s v="supermarket chain in Ceará State. Could be a co-funding partner for the food system ."/>
        <s v="supermarket chain in Ceará State.  Could be a co-funding partner for the food system ."/>
        <s v="Could be a grantee  for the  food system ."/>
        <s v="Relevant partner for food systems in Brazil."/>
        <s v="Funding  sustainable cities in Brazil"/>
        <s v="Funding SIB  ecossytem in Brazil."/>
        <s v="Relevant partner at the Northesat"/>
        <s v="Releant player on data for different biomes and sector in Brazil. Worth  getting to know the team. "/>
        <s v="Potential partner for  climate funding sollutions in Brazil. "/>
        <s v="Key player on the northeast. Worth it getting to know them.  "/>
        <s v="Strategic implementing partner at the northeast "/>
        <s v="Could be an imporytant partner at the city level. "/>
        <s v="Important player for Caatinga Biome. Based on Ceará State. "/>
        <s v="Potential co-funding partenr for Caatinga Biome. "/>
        <s v="Important player for Caatinga Biome. Based on Pernambuco State. "/>
        <s v="Runs the Amazon Fund, among mmany other funding streams. Would very important to talk to them and address a constructive partnership devolpment. "/>
        <s v="Relevant strategic and implementing partner for climate change and related impact areas and biomes for IKF work in Brazil. "/>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ainel" cacheId="0" dataCaption="" compact="0" compactData="0">
  <location ref="B3:D9" firstHeaderRow="0" firstDataRow="2" firstDataCol="0"/>
  <pivotFields>
    <pivotField name="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t="default"/>
      </items>
    </pivotField>
    <pivotField name="Stakeholder " dataField="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t="default"/>
      </items>
    </pivotField>
    <pivotField name="Organization's sector" axis="axisRow" dataField="1" compact="0" outline="0" multipleItemSelectionAllowed="1" showAll="0" sortType="ascending">
      <items>
        <item x="0"/>
        <item x="1"/>
        <item x="4"/>
        <item x="2"/>
        <item x="3"/>
        <item t="default"/>
      </items>
    </pivotField>
    <pivotField name="Type of organization"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Description of organization &amp; contribution to systemic transition&#10;(strategic focu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t="default"/>
      </items>
    </pivotField>
    <pivotField name="Territorial focus&#10;(national, region, city)" compact="0" outline="0" multipleItemSelectionAllowed="1" showAll="0">
      <items>
        <item x="0"/>
        <item x="1"/>
        <item x="2"/>
        <item x="3"/>
        <item x="4"/>
        <item t="default"/>
      </items>
    </pivotField>
    <pivotField name="Primary impact area &#10;(sector of interest / Nexuses)" compact="0" outline="0" multipleItemSelectionAllowed="1" showAll="0">
      <items>
        <item x="0"/>
        <item x="1"/>
        <item x="2"/>
        <item x="3"/>
        <item x="4"/>
        <item x="5"/>
        <item x="6"/>
        <item x="7"/>
        <item x="8"/>
        <item x="9"/>
        <item x="10"/>
        <item x="11"/>
        <item x="12"/>
        <item x="13"/>
        <item t="default"/>
      </items>
    </pivotField>
    <pivotField name="Primary Territory lens&#10;(Biome) " compact="0" outline="0" multipleItemSelectionAllowed="1" showAll="0">
      <items>
        <item x="0"/>
        <item x="1"/>
        <item x="2"/>
        <item x="3"/>
        <item x="4"/>
        <item x="5"/>
        <item x="6"/>
        <item x="7"/>
        <item t="default"/>
      </items>
    </pivotField>
    <pivotField name="Secondary Territory lens&#10;(Biome) " compact="0" outline="0" multipleItemSelectionAllowed="1" showAll="0">
      <items>
        <item x="0"/>
        <item x="1"/>
        <item x="2"/>
        <item x="3"/>
        <item x="4"/>
        <item x="5"/>
        <item x="6"/>
        <item x="7"/>
        <item x="8"/>
        <item x="9"/>
        <item x="10"/>
        <item x="11"/>
        <item t="default"/>
      </items>
    </pivotField>
    <pivotField name="Biome focus rationale (only when the organization has explicit project/action targeting by bio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t="default"/>
      </items>
    </pivotField>
    <pivotField name="Role within the ecosystem"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t="default"/>
      </items>
    </pivotField>
    <pivotField name="Position in the value chain" compact="0" outline="0" multipleItemSelectionAllowed="1" showAll="0">
      <items>
        <item x="0"/>
        <item x="1"/>
        <item x="2"/>
        <item t="default"/>
      </items>
    </pivotField>
    <pivotField name="Potential partnership with IKF" compact="0" outline="0" multipleItemSelectionAllowed="1" showAll="0">
      <items>
        <item x="0"/>
        <item x="1"/>
        <item x="2"/>
        <item x="3"/>
        <item x="4"/>
        <item x="5"/>
        <item x="6"/>
        <item t="default"/>
      </items>
    </pivotField>
    <pivotField name="Headquarters locatio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t="default"/>
      </items>
    </pivotField>
    <pivotField name="Funding Role" compact="0" outline="0" multipleItemSelectionAllowed="1" showAll="0">
      <items>
        <item x="0"/>
        <item x="1"/>
        <item x="2"/>
        <item x="3"/>
        <item t="default"/>
      </items>
    </pivotField>
    <pivotField name="Contact &#10;(name, role and e-mail)"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Site / related links "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t="default"/>
      </items>
    </pivotField>
    <pivotField name="General notes / Ref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t="default"/>
      </items>
    </pivotField>
  </pivotFields>
  <rowFields>
    <field x="2"/>
  </rowFields>
  <colFields>
    <field x="-2"/>
  </colFields>
  <dataFields>
    <dataField name="Total" fld="1" subtotal="count" baseField="0"/>
    <dataField name="%" fld="2" subtotal="count" showDataAs="percentOfTotal" baseField="0" numFmtId="10"/>
  </dataFields>
</pivotTableDefinition>
</file>

<file path=xl/pivotTables/pivotTable2.xml><?xml version="1.0" encoding="utf-8"?>
<pivotTableDefinition xmlns="http://schemas.openxmlformats.org/spreadsheetml/2006/main" name="Painel 2" cacheId="0" dataCaption="" compact="0" compactData="0">
  <location ref="G3:I18" firstHeaderRow="0" firstDataRow="2" firstDataCol="0"/>
  <pivotFields>
    <pivotField name="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t="default"/>
      </items>
    </pivotField>
    <pivotField name="Stakeholder " dataField="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t="default"/>
      </items>
    </pivotField>
    <pivotField name="Organization's sector" dataField="1" compact="0" outline="0" multipleItemSelectionAllowed="1" showAll="0">
      <items>
        <item x="0"/>
        <item x="1"/>
        <item x="2"/>
        <item x="3"/>
        <item x="4"/>
        <item t="default"/>
      </items>
    </pivotField>
    <pivotField name="Type of organization"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Description of organization &amp; contribution to systemic transition&#10;(strategic focu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t="default"/>
      </items>
    </pivotField>
    <pivotField name="Territorial focus&#10;(national, region, city)" compact="0" outline="0" multipleItemSelectionAllowed="1" showAll="0">
      <items>
        <item x="0"/>
        <item x="1"/>
        <item x="2"/>
        <item x="3"/>
        <item x="4"/>
        <item t="default"/>
      </items>
    </pivotField>
    <pivotField name="Primary impact area &#10;(sector of interest / Nexuses)" axis="axisRow" compact="0" outline="0" multipleItemSelectionAllowed="1" showAll="0" sortType="ascending">
      <items>
        <item x="6"/>
        <item x="0"/>
        <item x="9"/>
        <item x="2"/>
        <item x="11"/>
        <item x="4"/>
        <item x="5"/>
        <item x="1"/>
        <item x="3"/>
        <item x="12"/>
        <item x="7"/>
        <item x="13"/>
        <item x="10"/>
        <item x="8"/>
        <item t="default"/>
      </items>
    </pivotField>
    <pivotField name="Primary Territory lens&#10;(Biome) " compact="0" outline="0" multipleItemSelectionAllowed="1" showAll="0">
      <items>
        <item x="0"/>
        <item x="1"/>
        <item x="2"/>
        <item x="3"/>
        <item x="4"/>
        <item x="5"/>
        <item x="6"/>
        <item x="7"/>
        <item t="default"/>
      </items>
    </pivotField>
    <pivotField name="Secondary Territory lens&#10;(Biome) " compact="0" outline="0" multipleItemSelectionAllowed="1" showAll="0">
      <items>
        <item x="0"/>
        <item x="1"/>
        <item x="2"/>
        <item x="3"/>
        <item x="4"/>
        <item x="5"/>
        <item x="6"/>
        <item x="7"/>
        <item x="8"/>
        <item x="9"/>
        <item x="10"/>
        <item x="11"/>
        <item t="default"/>
      </items>
    </pivotField>
    <pivotField name="Biome focus rationale (only when the organization has explicit project/action targeting by bio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t="default"/>
      </items>
    </pivotField>
    <pivotField name="Role within the ecosystem"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t="default"/>
      </items>
    </pivotField>
    <pivotField name="Position in the value chain" compact="0" outline="0" multipleItemSelectionAllowed="1" showAll="0">
      <items>
        <item x="0"/>
        <item x="1"/>
        <item x="2"/>
        <item t="default"/>
      </items>
    </pivotField>
    <pivotField name="Potential partnership with IKF" compact="0" outline="0" multipleItemSelectionAllowed="1" showAll="0">
      <items>
        <item x="0"/>
        <item x="1"/>
        <item x="2"/>
        <item x="3"/>
        <item x="4"/>
        <item x="5"/>
        <item x="6"/>
        <item t="default"/>
      </items>
    </pivotField>
    <pivotField name="Headquarters locatio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t="default"/>
      </items>
    </pivotField>
    <pivotField name="Funding Role" compact="0" outline="0" multipleItemSelectionAllowed="1" showAll="0">
      <items>
        <item x="0"/>
        <item x="1"/>
        <item x="2"/>
        <item x="3"/>
        <item t="default"/>
      </items>
    </pivotField>
    <pivotField name="Contact &#10;(name, role and e-mail)"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Site / related links "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t="default"/>
      </items>
    </pivotField>
    <pivotField name="General notes / Ref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t="default"/>
      </items>
    </pivotField>
  </pivotFields>
  <rowFields>
    <field x="6"/>
  </rowFields>
  <colFields>
    <field x="-2"/>
  </colFields>
  <dataFields>
    <dataField name="Total" fld="1" subtotal="count" baseField="0"/>
    <dataField name="%" fld="2" subtotal="count" showDataAs="percentOfTotal" baseField="0" numFmtId="10"/>
  </dataFields>
</pivotTableDefinition>
</file>

<file path=xl/pivotTables/pivotTable3.xml><?xml version="1.0" encoding="utf-8"?>
<pivotTableDefinition xmlns="http://schemas.openxmlformats.org/spreadsheetml/2006/main" name="Painel 3" cacheId="0" dataCaption="" compact="0" compactData="0">
  <location ref="B11:D17" firstHeaderRow="0" firstDataRow="2" firstDataCol="0"/>
  <pivotFields>
    <pivotField name="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t="default"/>
      </items>
    </pivotField>
    <pivotField name="Stakeholder " dataField="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t="default"/>
      </items>
    </pivotField>
    <pivotField name="Organization's sector" dataField="1" compact="0" outline="0" multipleItemSelectionAllowed="1" showAll="0">
      <items>
        <item x="0"/>
        <item x="1"/>
        <item x="2"/>
        <item x="3"/>
        <item x="4"/>
        <item t="default"/>
      </items>
    </pivotField>
    <pivotField name="Type of organization"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Description of organization &amp; contribution to systemic transition&#10;(strategic focu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t="default"/>
      </items>
    </pivotField>
    <pivotField name="Territorial focus&#10;(national, region, city)" axis="axisRow" compact="0" outline="0" multipleItemSelectionAllowed="1" showAll="0" sortType="ascending">
      <items>
        <item x="1"/>
        <item x="0"/>
        <item x="2"/>
        <item x="4"/>
        <item x="3"/>
        <item t="default"/>
      </items>
    </pivotField>
    <pivotField name="Primary impact area &#10;(sector of interest / Nexuses)" compact="0" outline="0" multipleItemSelectionAllowed="1" showAll="0">
      <items>
        <item x="0"/>
        <item x="1"/>
        <item x="2"/>
        <item x="3"/>
        <item x="4"/>
        <item x="5"/>
        <item x="6"/>
        <item x="7"/>
        <item x="8"/>
        <item x="9"/>
        <item x="10"/>
        <item x="11"/>
        <item x="12"/>
        <item x="13"/>
        <item t="default"/>
      </items>
    </pivotField>
    <pivotField name="Primary Territory lens&#10;(Biome) " compact="0" outline="0" multipleItemSelectionAllowed="1" showAll="0">
      <items>
        <item x="0"/>
        <item x="1"/>
        <item x="2"/>
        <item x="3"/>
        <item x="4"/>
        <item x="5"/>
        <item x="6"/>
        <item x="7"/>
        <item t="default"/>
      </items>
    </pivotField>
    <pivotField name="Secondary Territory lens&#10;(Biome) " compact="0" outline="0" multipleItemSelectionAllowed="1" showAll="0">
      <items>
        <item x="0"/>
        <item x="1"/>
        <item x="2"/>
        <item x="3"/>
        <item x="4"/>
        <item x="5"/>
        <item x="6"/>
        <item x="7"/>
        <item x="8"/>
        <item x="9"/>
        <item x="10"/>
        <item x="11"/>
        <item t="default"/>
      </items>
    </pivotField>
    <pivotField name="Biome focus rationale (only when the organization has explicit project/action targeting by bio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t="default"/>
      </items>
    </pivotField>
    <pivotField name="Role within the ecosystem"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t="default"/>
      </items>
    </pivotField>
    <pivotField name="Position in the value chain" compact="0" outline="0" multipleItemSelectionAllowed="1" showAll="0">
      <items>
        <item x="0"/>
        <item x="1"/>
        <item x="2"/>
        <item t="default"/>
      </items>
    </pivotField>
    <pivotField name="Potential partnership with IKF" compact="0" outline="0" multipleItemSelectionAllowed="1" showAll="0">
      <items>
        <item x="0"/>
        <item x="1"/>
        <item x="2"/>
        <item x="3"/>
        <item x="4"/>
        <item x="5"/>
        <item x="6"/>
        <item t="default"/>
      </items>
    </pivotField>
    <pivotField name="Headquarters locatio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t="default"/>
      </items>
    </pivotField>
    <pivotField name="Funding Role" compact="0" outline="0" multipleItemSelectionAllowed="1" showAll="0">
      <items>
        <item x="0"/>
        <item x="1"/>
        <item x="2"/>
        <item x="3"/>
        <item t="default"/>
      </items>
    </pivotField>
    <pivotField name="Contact &#10;(name, role and e-mail)"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Site / related links "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t="default"/>
      </items>
    </pivotField>
    <pivotField name="General notes / Ref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t="default"/>
      </items>
    </pivotField>
  </pivotFields>
  <rowFields>
    <field x="5"/>
  </rowFields>
  <colFields>
    <field x="-2"/>
  </colFields>
  <dataFields>
    <dataField name="Total" fld="1" subtotal="count" baseField="0"/>
    <dataField name="%" fld="2" subtotal="count" showDataAs="percentOfTotal" baseField="0" numFmtId="10"/>
  </dataFields>
</pivotTableDefinition>
</file>

<file path=xl/pivotTables/pivotTable4.xml><?xml version="1.0" encoding="utf-8"?>
<pivotTableDefinition xmlns="http://schemas.openxmlformats.org/spreadsheetml/2006/main" name="Painel 4" cacheId="0" dataCaption="" compact="0" compactData="0">
  <location ref="G19:I28" firstHeaderRow="0" firstDataRow="2" firstDataCol="0"/>
  <pivotFields>
    <pivotField name="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t="default"/>
      </items>
    </pivotField>
    <pivotField name="Stakeholder " dataField="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t="default"/>
      </items>
    </pivotField>
    <pivotField name="Organization's sector" dataField="1" compact="0" outline="0" multipleItemSelectionAllowed="1" showAll="0">
      <items>
        <item x="0"/>
        <item x="1"/>
        <item x="2"/>
        <item x="3"/>
        <item x="4"/>
        <item t="default"/>
      </items>
    </pivotField>
    <pivotField name="Type of organization"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Description of organization &amp; contribution to systemic transition&#10;(strategic focu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t="default"/>
      </items>
    </pivotField>
    <pivotField name="Territorial focus&#10;(national, region, city)" compact="0" outline="0" multipleItemSelectionAllowed="1" showAll="0">
      <items>
        <item x="0"/>
        <item x="1"/>
        <item x="2"/>
        <item x="3"/>
        <item x="4"/>
        <item t="default"/>
      </items>
    </pivotField>
    <pivotField name="Primary impact area &#10;(sector of interest / Nexuses)" compact="0" outline="0" multipleItemSelectionAllowed="1" showAll="0">
      <items>
        <item x="0"/>
        <item x="1"/>
        <item x="2"/>
        <item x="3"/>
        <item x="4"/>
        <item x="5"/>
        <item x="6"/>
        <item x="7"/>
        <item x="8"/>
        <item x="9"/>
        <item x="10"/>
        <item x="11"/>
        <item x="12"/>
        <item x="13"/>
        <item t="default"/>
      </items>
    </pivotField>
    <pivotField name="Primary Territory lens&#10;(Biome) " axis="axisRow" compact="0" outline="0" multipleItemSelectionAllowed="1" showAll="0" sortType="ascending">
      <items>
        <item x="1"/>
        <item x="0"/>
        <item x="5"/>
        <item x="2"/>
        <item x="3"/>
        <item x="7"/>
        <item x="6"/>
        <item x="4"/>
        <item t="default"/>
      </items>
    </pivotField>
    <pivotField name="Secondary Territory lens&#10;(Biome) " compact="0" outline="0" multipleItemSelectionAllowed="1" showAll="0">
      <items>
        <item x="0"/>
        <item x="1"/>
        <item x="2"/>
        <item x="3"/>
        <item x="4"/>
        <item x="5"/>
        <item x="6"/>
        <item x="7"/>
        <item x="8"/>
        <item x="9"/>
        <item x="10"/>
        <item x="11"/>
        <item t="default"/>
      </items>
    </pivotField>
    <pivotField name="Biome focus rationale (only when the organization has explicit project/action targeting by bio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t="default"/>
      </items>
    </pivotField>
    <pivotField name="Role within the ecosystem"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t="default"/>
      </items>
    </pivotField>
    <pivotField name="Position in the value chain" compact="0" outline="0" multipleItemSelectionAllowed="1" showAll="0">
      <items>
        <item x="0"/>
        <item x="1"/>
        <item x="2"/>
        <item t="default"/>
      </items>
    </pivotField>
    <pivotField name="Potential partnership with IKF" compact="0" outline="0" multipleItemSelectionAllowed="1" showAll="0">
      <items>
        <item x="0"/>
        <item x="1"/>
        <item x="2"/>
        <item x="3"/>
        <item x="4"/>
        <item x="5"/>
        <item x="6"/>
        <item t="default"/>
      </items>
    </pivotField>
    <pivotField name="Headquarters locatio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t="default"/>
      </items>
    </pivotField>
    <pivotField name="Funding Role" compact="0" outline="0" multipleItemSelectionAllowed="1" showAll="0">
      <items>
        <item x="0"/>
        <item x="1"/>
        <item x="2"/>
        <item x="3"/>
        <item t="default"/>
      </items>
    </pivotField>
    <pivotField name="Contact &#10;(name, role and e-mail)"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Site / related links "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t="default"/>
      </items>
    </pivotField>
    <pivotField name="General notes / Ref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t="default"/>
      </items>
    </pivotField>
  </pivotFields>
  <rowFields>
    <field x="7"/>
  </rowFields>
  <colFields>
    <field x="-2"/>
  </colFields>
  <dataFields>
    <dataField name="Total" fld="1" subtotal="count" baseField="0"/>
    <dataField name="%" fld="2" subtotal="count" showDataAs="percentOfTotal" baseField="0" numFmtId="10"/>
  </dataFields>
</pivotTableDefinition>
</file>

<file path=xl/pivotTables/pivotTable5.xml><?xml version="1.0" encoding="utf-8"?>
<pivotTableDefinition xmlns="http://schemas.openxmlformats.org/spreadsheetml/2006/main" name="Painel 5" cacheId="0" dataCaption="" compact="0" compactData="0">
  <location ref="B20:D45" firstHeaderRow="0" firstDataRow="2" firstDataCol="0"/>
  <pivotFields>
    <pivotField name="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t="default"/>
      </items>
    </pivotField>
    <pivotField name="Stakeholder " dataField="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t="default"/>
      </items>
    </pivotField>
    <pivotField name="Organization's sector" dataField="1" compact="0" outline="0" multipleItemSelectionAllowed="1" showAll="0">
      <items>
        <item x="0"/>
        <item x="1"/>
        <item x="2"/>
        <item x="3"/>
        <item x="4"/>
        <item t="default"/>
      </items>
    </pivotField>
    <pivotField name="Type of organization" axis="axisRow" compact="0" outline="0" multipleItemSelectionAllowed="1" showAll="0" sortType="ascending">
      <items>
        <item x="16"/>
        <item x="3"/>
        <item x="4"/>
        <item x="17"/>
        <item x="21"/>
        <item x="12"/>
        <item x="18"/>
        <item x="19"/>
        <item x="13"/>
        <item x="5"/>
        <item x="7"/>
        <item x="9"/>
        <item x="1"/>
        <item x="2"/>
        <item x="23"/>
        <item x="14"/>
        <item x="0"/>
        <item x="8"/>
        <item x="15"/>
        <item x="11"/>
        <item x="10"/>
        <item x="20"/>
        <item x="22"/>
        <item x="6"/>
        <item t="default"/>
      </items>
    </pivotField>
    <pivotField name="Description of organization &amp; contribution to systemic transition&#10;(strategic focu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t="default"/>
      </items>
    </pivotField>
    <pivotField name="Territorial focus&#10;(national, region, city)" compact="0" outline="0" multipleItemSelectionAllowed="1" showAll="0">
      <items>
        <item x="0"/>
        <item x="1"/>
        <item x="2"/>
        <item x="3"/>
        <item x="4"/>
        <item t="default"/>
      </items>
    </pivotField>
    <pivotField name="Primary impact area &#10;(sector of interest / Nexuses)" compact="0" outline="0" multipleItemSelectionAllowed="1" showAll="0">
      <items>
        <item x="0"/>
        <item x="1"/>
        <item x="2"/>
        <item x="3"/>
        <item x="4"/>
        <item x="5"/>
        <item x="6"/>
        <item x="7"/>
        <item x="8"/>
        <item x="9"/>
        <item x="10"/>
        <item x="11"/>
        <item x="12"/>
        <item x="13"/>
        <item t="default"/>
      </items>
    </pivotField>
    <pivotField name="Primary Territory lens&#10;(Biome) " compact="0" outline="0" multipleItemSelectionAllowed="1" showAll="0">
      <items>
        <item x="0"/>
        <item x="1"/>
        <item x="2"/>
        <item x="3"/>
        <item x="4"/>
        <item x="5"/>
        <item x="6"/>
        <item x="7"/>
        <item t="default"/>
      </items>
    </pivotField>
    <pivotField name="Secondary Territory lens&#10;(Biome) " compact="0" outline="0" multipleItemSelectionAllowed="1" showAll="0">
      <items>
        <item x="0"/>
        <item x="1"/>
        <item x="2"/>
        <item x="3"/>
        <item x="4"/>
        <item x="5"/>
        <item x="6"/>
        <item x="7"/>
        <item x="8"/>
        <item x="9"/>
        <item x="10"/>
        <item x="11"/>
        <item t="default"/>
      </items>
    </pivotField>
    <pivotField name="Biome focus rationale (only when the organization has explicit project/action targeting by bio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t="default"/>
      </items>
    </pivotField>
    <pivotField name="Role within the ecosystem"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t="default"/>
      </items>
    </pivotField>
    <pivotField name="Position in the value chain" compact="0" outline="0" multipleItemSelectionAllowed="1" showAll="0">
      <items>
        <item x="0"/>
        <item x="1"/>
        <item x="2"/>
        <item t="default"/>
      </items>
    </pivotField>
    <pivotField name="Potential partnership with IKF" compact="0" outline="0" multipleItemSelectionAllowed="1" showAll="0">
      <items>
        <item x="0"/>
        <item x="1"/>
        <item x="2"/>
        <item x="3"/>
        <item x="4"/>
        <item x="5"/>
        <item x="6"/>
        <item t="default"/>
      </items>
    </pivotField>
    <pivotField name="Headquarters locatio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t="default"/>
      </items>
    </pivotField>
    <pivotField name="Funding Role" compact="0" outline="0" multipleItemSelectionAllowed="1" showAll="0">
      <items>
        <item x="0"/>
        <item x="1"/>
        <item x="2"/>
        <item x="3"/>
        <item t="default"/>
      </items>
    </pivotField>
    <pivotField name="Contact &#10;(name, role and e-mail)"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Site / related links "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t="default"/>
      </items>
    </pivotField>
    <pivotField name="General notes / Ref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t="default"/>
      </items>
    </pivotField>
  </pivotFields>
  <rowFields>
    <field x="3"/>
  </rowFields>
  <colFields>
    <field x="-2"/>
  </colFields>
  <dataFields>
    <dataField name="Total" fld="1" subtotal="count" baseField="0"/>
    <dataField name="%" fld="2" subtotal="count" showDataAs="percentOfTotal" baseField="0" numFmtId="10"/>
  </dataFields>
</pivotTableDefinition>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5-12-30T13:58:39.00" personId="{99b0b6b7-2822-4e6b-8748-13bf99d60ff0}" id="{18eb6b97-1d7f-474d-86c9-8a66a255f741}" done="0">
    <x18tc:text xml:space="preserve">Considero que aqui responde o seguinte: Mesmo não sendo o core da atuação, onde este ator gera efeitos sistêmicos relevantes?
Secondary impact area reflects relevant indirect, enabling, or spillover effects generated by the stakeholder’s action, beyond its primary nexus of intervention, particularly where such effects shape system-wide incentives, policies, or structural conditions.
Considera-se aqui: 
1. O impacto é estrutural
2. Atua como alavanca, lock-in ou desbloqueio
3. Ajuda a entender onde a filantropia pode entrar melhor
Critérios: 
☐ O stakeholder atua diretamente em mais de um setor?
☐ A atuação principal gera efeitos relevantes fora do seu core?
☐ Esses efeitos externos são estruturais e recorrentes (não pontuais)?
☐ O impacto ocorre porque o stakeholder atua como enabler, influenciador ou indutor sistêmico?
☐ É possível identificar claramente uma área onde esse impacto indireto se manifesta?
☐ Essa área é diferente do Nexus primário do stakeholder?
Regra de ouro – Secondary impact area
Só preencha a Secondary impact area quando o impacto indireto do stakeholder altera o funcionamento do sistema em outro setor — e não apenas o desempenho do setor onde ele atua.</x18tc:text>
  </x18tc:threadedComment>
  <x18tc:threadedComment ref="A1" dT="2025-12-23T14:49:50.00" personId="{99b0b6b7-2822-4e6b-8748-13bf99d60ff0}" id="{d8a5b4ea-9569-49b1-bffd-dbca41d15cdf}" done="0">
    <x18tc:text xml:space="preserve">critério: 
low: 
medium:
high: alta conexão com projetos ou investimentos diretos nos biomas ou nos centros de influência</x18tc:text>
  </x18tc:threadedComment>
  <x18tc:threadedComment ref="D6" dT="2026-01-16T11:52:08.00" personId="{7756187c-a4a5-4059-9381-a2e6b1b29641}" id="{7973ec52-6012-4094-a379-acfb463822ac}" done="0">
    <x18tc:text xml:space="preserve">Academia</x18tc:text>
  </x18tc:threadedComment>
  <x18tc:threadedComment ref="N6" dT="2025-12-30T14:13:26.00" personId="{99b0b6b7-2822-4e6b-8748-13bf99d60ff0}" id="{e88accf4-851b-464e-b2a7-49b281fa2911}" done="0">
    <x18tc:text xml:space="preserve">🤝 Potential partnership with IKF (Coluna M) – critérios em 6 perguntas
☐ A missão, valores e Theory of Change do stakeholder são claramente alinhados aos objetivos estratégicos da IKF?
(se não, parar aqui → Exploratory engagement)
☐ O stakeholder atua em nexuses e territórios prioritários para a IKF neste momento?
(se não, → Exploratory engagement ou Research partner)
☐ O stakeholder tem capacidade comprovada de entregar impacto sistêmico (escala, influência, track record)?
(se não, → Capacity building partner ou Grant recipient)
☐ Existe complementaridade clara entre o papel da IKF e o papel deste stakeholder?
(capital, convening power, conhecimento, risco)
☐ O tipo de parceria envolve apenas funding, ou inclui co-criação estratégica?
– Apenas funding → Grant recipient
– Co-criação → seguir
☐ O stakeholder está disposto e apto a compartilhar riscos, governança e aprendizado?
– Sim → Strategic / Co-funding / Blended finance / Coalition partner
– Não → Implementing / Policy dialogue / Research partner
🧠 Regra de ouro – Coluna M
Classifique o stakeholder pelo tipo de parceria que maximiza o impacto sistêmico para a IKF — não pelo tipo de relação mais confortável ou tradicional.
Ou, ainda mais direta:
Que tipo de parceria a IKF deveria priorizar com este ator para destravar mudança estrutural?
🔍 Guia rápido de correspondência (para evitar confusão)
Strategic partner → co-criação de agenda, alto alinhamento, longo prazo
Grant recipient → funding para execução específica
Co-funding partner → recursos financeiros compartilhados
Blended finance partner → alavancagem de capital público/privado
Implementing partner → entrega no território
Research &amp; knowledge partner → dados, análises, frameworks
Capacity building partner → fortalecimento institucional
Coalition partner → articulação multistakeholder
Policy dialogue partner → mudança regulatória / política
Exploratory engagement → relacionamen</x18tc:text>
  </x18tc:threadedComment>
  <x18tc:threadedComment ref="J6" dT="2026-01-05T21:51:35.00" personId="{7756187c-a4a5-4059-9381-a2e6b1b29641}" id="{9ce1f1f8-cdf4-48f8-b599-3cdc6f7e52cb}" done="1">
    <x18tc:text xml:space="preserve">Preencher até este campo (Lucas).</x18tc:text>
  </x18tc:threadedComment>
  <x18tc:threadedComment ref="M6" dT="2025-12-30T14:12:11.00" personId="{99b0b6b7-2822-4e6b-8748-13bf99d60ff0}" id="{d983816e-5918-49c0-a8d0-c475935019e3}" done="0">
    <x18tc:text xml:space="preserve">🔗 Position in the value chain (Coluna L) – critérios em 6 perguntas
☐ O stakeholder atua principalmente criando condições, insumos, regras, capital ou conhecimento antes da implementação?
→ Upstream
☐ Sua principal função é estruturar, intermediar, financiar, coordenar ou viabilizar a transição entre concepção e execução?
→ Midstream
☐ O stakeholder entrega, opera ou implementa soluções no território ou no uso final?
→ Downstream
☐ A atuação do stakeholder se concentra antes, durante ou depois da materialização do impacto no mundo real?
→ Upstream / Midstream / Downstream
☐ Onde o stakeholder assume maior responsabilidade operacional, reputacional ou de risco?
→ Indica a posição dominante
☐ Se este stakeholder saísse do sistema, em qual etapa da cadeia o fluxo de valor seria mais interrompido?
→ Define a posição final
🧠 Regra de ouro – Coluna L
Classifique o stakeholder pela etapa da cadeia onde sua ausência quebraria o fluxo de valor da transição.</x18tc:text>
  </x18tc:threadedComment>
  <x18tc:threadedComment ref="G6" dT="2025-12-30T14:06:54.00" personId="{99b0b6b7-2822-4e6b-8748-13bf99d60ff0}" id="{a27cdf83-37e8-47d0-b41e-6f60be2b82bd}" done="0">
    <x18tc:text xml:space="preserve">Sugiro o seguinte critério (mas podemos lapidar/melhorar)
☐ A atuação do stakeholder é desenhada para influenciar políticas, mercados ou sistemas em escala país?
→ National
☐ O foco territorial está associado a uma macrorregião funcional (ex.: Nordeste, Amazônia Legal, bacias, corredores logísticos)?
→ Regional
☐ A atuação ocorre principalmente por meio de governos estaduais, agências ou políticas subnacionais?
→ State-level
☐ A implementação acontece majoritariamente em cidades, municípios ou territórios locais específicos?
→ Municipal / local
☐ O stakeholder opera de forma recorrente entre países, com fluxos internacionais de capital, conhecimento ou governança?
→ Cross-border / international
☐ Essa escala territorial é onde o impacto mais relevante do stakeholder se materializa (e não apenas onde ele tem presença formal)?
Regra de ouro (implícita no uso)
Escolher a escala onde a mudança acontece, não onde está o escritório.</x18tc:text>
  </x18tc:threadedComment>
  <x18tc:threadedComment ref="H6" dT="2025-12-29T14:32:12.00" personId="{99b0b6b7-2822-4e6b-8748-13bf99d60ff0}" id="{c3f89785-de83-4a73-8ae3-91075fc37c36}" done="0">
    <x18tc:text xml:space="preserve">ADICIONARIA (2º filtro) (como consequencia) as opcoes de selecao da seguinte forma: 
Estrutura (exemplo):
Nexus Primário: Energy x Buildings
Nexus Secundário: Energy x  Transport
Critérios: 
Checklist essencial (6 perguntas)
☐ A atuação do stakeholder gera impacto direto no uso final de energia neste nexus?
☐ É neste nexus que os principais resultados e benefícios se materializam?
☐ O stakeholder tem capacidade real de implementação aqui (projetos, políticas, ativos, delivery)?
☐ A atuação neste nexus é recorrente e estratégica, não pontual?
☐ O stakeholder assume riscos, trade-offs ou responsabilidades neste domínio?
☐ Se este nexus não avançar, o impacto esperado do stakeholder cai significativamente?
Regra de ouro – Definição do Nexus Primário
O Nexus Primário é aquele sem o qual o impacto sistêmico central do stakeholder simplesmente não acontece.</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5" Type="http://schemas.openxmlformats.org/officeDocument/2006/relationships/pivotTable" Target="../pivotTables/pivotTable5.xml"/><Relationship Id="rId6"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s://centroamazonia.org.br/" TargetMode="External"/><Relationship Id="rId42" Type="http://schemas.openxmlformats.org/officeDocument/2006/relationships/hyperlink" Target="https://www.institutovotorantim.org.br/" TargetMode="External"/><Relationship Id="rId41" Type="http://schemas.openxmlformats.org/officeDocument/2006/relationships/hyperlink" Target="https://sistemabbrasil.org/empresas-b" TargetMode="External"/><Relationship Id="rId44" Type="http://schemas.openxmlformats.org/officeDocument/2006/relationships/hyperlink" Target="https://www.demendes.com.br/" TargetMode="External"/><Relationship Id="rId43" Type="http://schemas.openxmlformats.org/officeDocument/2006/relationships/hyperlink" Target="https://www.quintessa.org.br/" TargetMode="External"/><Relationship Id="rId46" Type="http://schemas.openxmlformats.org/officeDocument/2006/relationships/hyperlink" Target="https://www.bmw-foundation.org/" TargetMode="External"/><Relationship Id="rId45" Type="http://schemas.openxmlformats.org/officeDocument/2006/relationships/hyperlink" Target="https://www.insper.edu.br/pt" TargetMode="Externa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s://ibirapitanga.org.br/" TargetMode="External"/><Relationship Id="rId9" Type="http://schemas.openxmlformats.org/officeDocument/2006/relationships/hyperlink" Target="https://gife.org.br/" TargetMode="External"/><Relationship Id="rId48" Type="http://schemas.openxmlformats.org/officeDocument/2006/relationships/hyperlink" Target="https://institutosabin.org.br/" TargetMode="External"/><Relationship Id="rId47" Type="http://schemas.openxmlformats.org/officeDocument/2006/relationships/hyperlink" Target="https://www.fordfoundation.org/our-work-around-the-world/brazil-pt/" TargetMode="External"/><Relationship Id="rId49" Type="http://schemas.openxmlformats.org/officeDocument/2006/relationships/hyperlink" Target="https://phi.org.br/" TargetMode="External"/><Relationship Id="rId5" Type="http://schemas.openxmlformats.org/officeDocument/2006/relationships/hyperlink" Target="https://serrapilheira.org/" TargetMode="External"/><Relationship Id="rId6" Type="http://schemas.openxmlformats.org/officeDocument/2006/relationships/hyperlink" Target="https://www.funbio.org.br/" TargetMode="External"/><Relationship Id="rId7" Type="http://schemas.openxmlformats.org/officeDocument/2006/relationships/hyperlink" Target="https://climaesociedade.org/" TargetMode="External"/><Relationship Id="rId8" Type="http://schemas.openxmlformats.org/officeDocument/2006/relationships/hyperlink" Target="https://www.iccibr.org/en/home" TargetMode="External"/><Relationship Id="rId31" Type="http://schemas.openxmlformats.org/officeDocument/2006/relationships/hyperlink" Target="https://ice.org.br/" TargetMode="External"/><Relationship Id="rId30" Type="http://schemas.openxmlformats.org/officeDocument/2006/relationships/hyperlink" Target="https://artemisia.org.br/" TargetMode="External"/><Relationship Id="rId33" Type="http://schemas.openxmlformats.org/officeDocument/2006/relationships/hyperlink" Target="https://pipe.social/" TargetMode="External"/><Relationship Id="rId32" Type="http://schemas.openxmlformats.org/officeDocument/2006/relationships/hyperlink" Target="https://www.conexsus.org/" TargetMode="External"/><Relationship Id="rId35" Type="http://schemas.openxmlformats.org/officeDocument/2006/relationships/hyperlink" Target="https://www.lundinfoundation.org/" TargetMode="External"/><Relationship Id="rId34" Type="http://schemas.openxmlformats.org/officeDocument/2006/relationships/hyperlink" Target="https://yunusns.com/" TargetMode="External"/><Relationship Id="rId37" Type="http://schemas.openxmlformats.org/officeDocument/2006/relationships/hyperlink" Target="https://fundacaogrupoboticario.org.br/" TargetMode="External"/><Relationship Id="rId36" Type="http://schemas.openxmlformats.org/officeDocument/2006/relationships/hyperlink" Target="https://institutocea.org.br/" TargetMode="External"/><Relationship Id="rId39" Type="http://schemas.openxmlformats.org/officeDocument/2006/relationships/hyperlink" Target="https://www.undp.org/pt/brazil" TargetMode="External"/><Relationship Id="rId38" Type="http://schemas.openxmlformats.org/officeDocument/2006/relationships/hyperlink" Target="https://www.natura.com.br/" TargetMode="External"/><Relationship Id="rId62" Type="http://schemas.openxmlformats.org/officeDocument/2006/relationships/vmlDrawing" Target="../drawings/vmlDrawing1.vml"/><Relationship Id="rId61" Type="http://schemas.openxmlformats.org/officeDocument/2006/relationships/drawing" Target="../drawings/drawing2.xml"/><Relationship Id="rId20" Type="http://schemas.openxmlformats.org/officeDocument/2006/relationships/hyperlink" Target="https://institutotalanoa.org/" TargetMode="External"/><Relationship Id="rId22" Type="http://schemas.openxmlformats.org/officeDocument/2006/relationships/hyperlink" Target="https://www.itausa.com.br/" TargetMode="External"/><Relationship Id="rId21" Type="http://schemas.openxmlformats.org/officeDocument/2006/relationships/hyperlink" Target="https://alana.org.br/" TargetMode="External"/><Relationship Id="rId24" Type="http://schemas.openxmlformats.org/officeDocument/2006/relationships/hyperlink" Target="https://semeia.org.br/" TargetMode="External"/><Relationship Id="rId23" Type="http://schemas.openxmlformats.org/officeDocument/2006/relationships/hyperlink" Target="https://arapyau.org.br/" TargetMode="External"/><Relationship Id="rId60" Type="http://schemas.openxmlformats.org/officeDocument/2006/relationships/hyperlink" Target="https://www.porticus.com/what-we-do/earth/good-energies-foundation/" TargetMode="External"/><Relationship Id="rId26" Type="http://schemas.openxmlformats.org/officeDocument/2006/relationships/hyperlink" Target="https://www.alcoa.com/brasil/pt" TargetMode="External"/><Relationship Id="rId25" Type="http://schemas.openxmlformats.org/officeDocument/2006/relationships/hyperlink" Target="https://www.packard.org/" TargetMode="External"/><Relationship Id="rId28" Type="http://schemas.openxmlformats.org/officeDocument/2006/relationships/hyperlink" Target="https://www.frm.org.br/" TargetMode="External"/><Relationship Id="rId27" Type="http://schemas.openxmlformats.org/officeDocument/2006/relationships/hyperlink" Target="https://www.hydro.com/br" TargetMode="External"/><Relationship Id="rId29" Type="http://schemas.openxmlformats.org/officeDocument/2006/relationships/hyperlink" Target="https://idesam.org/" TargetMode="External"/><Relationship Id="rId51" Type="http://schemas.openxmlformats.org/officeDocument/2006/relationships/hyperlink" Target="https://www.climateworks.org/" TargetMode="External"/><Relationship Id="rId50" Type="http://schemas.openxmlformats.org/officeDocument/2006/relationships/hyperlink" Target="https://climateandlandusealliance.org/?lang=pt-br" TargetMode="External"/><Relationship Id="rId53" Type="http://schemas.openxmlformats.org/officeDocument/2006/relationships/hyperlink" Target="https://oakfnd.org/" TargetMode="External"/><Relationship Id="rId52" Type="http://schemas.openxmlformats.org/officeDocument/2006/relationships/hyperlink" Target="https://ciff.org/" TargetMode="External"/><Relationship Id="rId11" Type="http://schemas.openxmlformats.org/officeDocument/2006/relationships/hyperlink" Target="https://institutobeja.org/homepage/" TargetMode="External"/><Relationship Id="rId55" Type="http://schemas.openxmlformats.org/officeDocument/2006/relationships/hyperlink" Target="https://europeanclimate.org/" TargetMode="External"/><Relationship Id="rId10" Type="http://schemas.openxmlformats.org/officeDocument/2006/relationships/hyperlink" Target="https://movimentobemmaior.org.br/" TargetMode="External"/><Relationship Id="rId54" Type="http://schemas.openxmlformats.org/officeDocument/2006/relationships/hyperlink" Target="https://energiaeambiente.org.br/" TargetMode="External"/><Relationship Id="rId13" Type="http://schemas.openxmlformats.org/officeDocument/2006/relationships/hyperlink" Target="https://www.ethos.org.br/" TargetMode="External"/><Relationship Id="rId57" Type="http://schemas.openxmlformats.org/officeDocument/2006/relationships/hyperlink" Target="https://casadosventos.com.br/" TargetMode="External"/><Relationship Id="rId12" Type="http://schemas.openxmlformats.org/officeDocument/2006/relationships/hyperlink" Target="https://www.opensocietyfoundations.org/newsroom/a-open-society-na-america-latina-e-no-caribe/pt" TargetMode="External"/><Relationship Id="rId56" Type="http://schemas.openxmlformats.org/officeDocument/2006/relationships/hyperlink" Target="https://www.porticus.com/what-we-do/earth/good-energies-foundation/" TargetMode="External"/><Relationship Id="rId15" Type="http://schemas.openxmlformats.org/officeDocument/2006/relationships/hyperlink" Target="https://www.climateventures.co/" TargetMode="External"/><Relationship Id="rId59" Type="http://schemas.openxmlformats.org/officeDocument/2006/relationships/hyperlink" Target="https://www.bndes.gov.br/wps/portal/site/home" TargetMode="External"/><Relationship Id="rId14" Type="http://schemas.openxmlformats.org/officeDocument/2006/relationships/hyperlink" Target="https://www.idis.org.br/" TargetMode="External"/><Relationship Id="rId58" Type="http://schemas.openxmlformats.org/officeDocument/2006/relationships/hyperlink" Target="https://aspta.org.br/" TargetMode="External"/><Relationship Id="rId17" Type="http://schemas.openxmlformats.org/officeDocument/2006/relationships/hyperlink" Target="https://fundacaomariacecilia.org.br/" TargetMode="External"/><Relationship Id="rId16" Type="http://schemas.openxmlformats.org/officeDocument/2006/relationships/hyperlink" Target="https://www.theclimategroup.org/" TargetMode="External"/><Relationship Id="rId19" Type="http://schemas.openxmlformats.org/officeDocument/2006/relationships/hyperlink" Target="https://arymax.org.br/" TargetMode="External"/><Relationship Id="rId18" Type="http://schemas.openxmlformats.org/officeDocument/2006/relationships/hyperlink" Target="https://fundacaotidesetubal.org.br/"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17.88"/>
    <col customWidth="1" min="2" max="2" width="34.25"/>
    <col customWidth="1" min="3" max="3" width="4.5"/>
    <col customWidth="1" min="4" max="4" width="7.63"/>
    <col customWidth="1" min="5" max="5" width="3.75"/>
    <col customWidth="1" min="7" max="7" width="58.63"/>
  </cols>
  <sheetData>
    <row r="3"/>
    <row r="4"/>
    <row r="5"/>
    <row r="6"/>
    <row r="7"/>
    <row r="8"/>
    <row r="9"/>
    <row r="10"/>
    <row r="11"/>
    <row r="12"/>
    <row r="13"/>
    <row r="14"/>
    <row r="15"/>
    <row r="16"/>
    <row r="17"/>
    <row r="18"/>
    <row r="19"/>
    <row r="20"/>
    <row r="21"/>
    <row r="22"/>
    <row r="23"/>
    <row r="24"/>
    <row r="25"/>
    <row r="26"/>
    <row r="27"/>
    <row r="28"/>
    <row r="29">
      <c r="G29" s="7"/>
      <c r="H29" s="7"/>
      <c r="I29" s="7"/>
    </row>
    <row r="30">
      <c r="G30" s="7"/>
      <c r="H30" s="7"/>
      <c r="I30" s="7"/>
    </row>
    <row r="31">
      <c r="G31" s="7"/>
      <c r="H31" s="7"/>
      <c r="I31" s="8"/>
    </row>
    <row r="32">
      <c r="G32" s="11" t="s">
        <v>50</v>
      </c>
      <c r="H32" s="12"/>
      <c r="I32" s="12"/>
    </row>
    <row r="33">
      <c r="G33" s="13" t="s">
        <v>52</v>
      </c>
    </row>
    <row r="34"/>
    <row r="35"/>
    <row r="36"/>
    <row r="37"/>
    <row r="38"/>
    <row r="39"/>
    <row r="40"/>
    <row r="41"/>
    <row r="42"/>
    <row r="43"/>
    <row r="44"/>
    <row r="45"/>
    <row r="46">
      <c r="G46" s="13"/>
      <c r="H46" s="13"/>
      <c r="I46" s="13"/>
    </row>
    <row r="47">
      <c r="G47" s="13"/>
      <c r="H47" s="13"/>
      <c r="I47" s="13"/>
    </row>
    <row r="48">
      <c r="G48" s="13"/>
      <c r="H48" s="13"/>
      <c r="I48" s="13"/>
    </row>
    <row r="49">
      <c r="G49" s="13"/>
      <c r="H49" s="13"/>
      <c r="I49" s="13"/>
    </row>
    <row r="50">
      <c r="G50" s="13"/>
      <c r="H50" s="13"/>
      <c r="I50" s="13"/>
    </row>
    <row r="51">
      <c r="G51" s="13"/>
      <c r="H51" s="13"/>
      <c r="I51" s="13"/>
    </row>
    <row r="52">
      <c r="G52" s="13"/>
      <c r="H52" s="13"/>
      <c r="I52" s="13"/>
    </row>
    <row r="53">
      <c r="G53" s="13"/>
      <c r="H53" s="13"/>
      <c r="I53" s="13"/>
    </row>
    <row r="54">
      <c r="G54" s="13"/>
      <c r="H54" s="13"/>
      <c r="I54" s="13"/>
    </row>
    <row r="55">
      <c r="G55" s="13"/>
      <c r="H55" s="13"/>
      <c r="I55" s="13"/>
    </row>
    <row r="56">
      <c r="G56" s="13"/>
      <c r="H56" s="13"/>
      <c r="I56" s="13"/>
    </row>
    <row r="57">
      <c r="G57" s="13"/>
      <c r="H57" s="13"/>
      <c r="I57" s="13"/>
    </row>
    <row r="58">
      <c r="G58" s="13"/>
      <c r="H58" s="13"/>
      <c r="I58" s="13"/>
    </row>
    <row r="59">
      <c r="G59" s="13"/>
      <c r="H59" s="13"/>
      <c r="I59" s="13"/>
    </row>
    <row r="60">
      <c r="G60" s="13"/>
      <c r="H60" s="13"/>
      <c r="I60" s="13"/>
    </row>
  </sheetData>
  <mergeCells count="1">
    <mergeCell ref="G33:I45"/>
  </mergeCells>
  <drawing r:id="rId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1.13"/>
    <col customWidth="1" min="2" max="2" width="3.0"/>
    <col customWidth="1" min="3" max="3" width="30.0"/>
    <col customWidth="1" min="4" max="4" width="24.25"/>
    <col customWidth="1" min="5" max="5" width="21.75"/>
    <col customWidth="1" min="6" max="6" width="51.63"/>
    <col customWidth="1" min="7" max="8" width="30.5"/>
    <col customWidth="1" min="9" max="10" width="23.0"/>
    <col customWidth="1" min="11" max="11" width="42.75"/>
    <col customWidth="1" min="12" max="12" width="23.13"/>
    <col customWidth="1" min="13" max="13" width="18.13"/>
    <col customWidth="1" min="14" max="14" width="29.38"/>
    <col customWidth="1" min="15" max="15" width="20.38"/>
    <col customWidth="1" min="16" max="16" width="14.75"/>
    <col customWidth="1" min="17" max="17" width="27.25"/>
    <col customWidth="1" min="18" max="18" width="18.88"/>
    <col customWidth="1" min="19" max="20" width="32.13"/>
  </cols>
  <sheetData>
    <row r="1">
      <c r="A1" s="14"/>
      <c r="B1" s="15"/>
      <c r="C1" s="16"/>
      <c r="D1" s="17"/>
      <c r="E1" s="18"/>
      <c r="F1" s="19"/>
      <c r="G1" s="18"/>
      <c r="H1" s="18"/>
      <c r="I1" s="20"/>
      <c r="J1" s="18"/>
      <c r="K1" s="18"/>
      <c r="L1" s="18"/>
      <c r="M1" s="21"/>
      <c r="N1" s="21"/>
      <c r="O1" s="21"/>
      <c r="P1" s="21"/>
      <c r="Q1" s="21"/>
      <c r="R1" s="21"/>
      <c r="S1" s="21"/>
      <c r="T1" s="18"/>
      <c r="U1" s="22"/>
      <c r="V1" s="22"/>
      <c r="W1" s="22"/>
      <c r="X1" s="22"/>
      <c r="Y1" s="22"/>
      <c r="Z1" s="22"/>
      <c r="AA1" s="22"/>
      <c r="AB1" s="22"/>
      <c r="AC1" s="22"/>
      <c r="AD1" s="22"/>
      <c r="AE1" s="22"/>
      <c r="AF1" s="22"/>
    </row>
    <row r="2">
      <c r="A2" s="21"/>
      <c r="B2" s="23" t="s">
        <v>64</v>
      </c>
      <c r="C2" s="15"/>
      <c r="D2" s="15"/>
      <c r="E2" s="15"/>
      <c r="F2" s="15"/>
      <c r="G2" s="15"/>
      <c r="H2" s="15"/>
      <c r="I2" s="15"/>
      <c r="J2" s="15"/>
      <c r="K2" s="15"/>
      <c r="L2" s="15"/>
      <c r="M2" s="15"/>
      <c r="N2" s="15"/>
      <c r="O2" s="15"/>
      <c r="P2" s="15"/>
      <c r="Q2" s="15"/>
      <c r="R2" s="15"/>
      <c r="S2" s="15"/>
      <c r="T2" s="16"/>
      <c r="U2" s="22"/>
      <c r="V2" s="22"/>
      <c r="W2" s="22"/>
      <c r="X2" s="22"/>
      <c r="Y2" s="22"/>
      <c r="Z2" s="22"/>
      <c r="AA2" s="22"/>
      <c r="AB2" s="22"/>
      <c r="AC2" s="22"/>
      <c r="AD2" s="22"/>
      <c r="AE2" s="22"/>
      <c r="AF2" s="22"/>
    </row>
    <row r="3">
      <c r="A3" s="24"/>
      <c r="B3" s="15"/>
      <c r="C3" s="16"/>
      <c r="D3" s="18"/>
      <c r="E3" s="25"/>
      <c r="F3" s="26"/>
      <c r="G3" s="25"/>
      <c r="H3" s="25"/>
      <c r="I3" s="25"/>
      <c r="J3" s="25"/>
      <c r="K3" s="25"/>
      <c r="L3" s="25"/>
      <c r="M3" s="27"/>
      <c r="N3" s="27"/>
      <c r="O3" s="27"/>
      <c r="P3" s="27"/>
      <c r="Q3" s="27"/>
      <c r="R3" s="27"/>
      <c r="S3" s="27"/>
      <c r="T3" s="25"/>
      <c r="U3" s="22"/>
      <c r="V3" s="22"/>
      <c r="W3" s="22"/>
      <c r="X3" s="22"/>
      <c r="Y3" s="22"/>
      <c r="Z3" s="22"/>
      <c r="AA3" s="22"/>
      <c r="AB3" s="22"/>
      <c r="AC3" s="22"/>
      <c r="AD3" s="22"/>
      <c r="AE3" s="22"/>
      <c r="AF3" s="22"/>
    </row>
    <row r="4">
      <c r="A4" s="21"/>
      <c r="B4" s="28" t="s">
        <v>65</v>
      </c>
      <c r="C4" s="15"/>
      <c r="D4" s="15"/>
      <c r="E4" s="15"/>
      <c r="F4" s="15"/>
      <c r="G4" s="15"/>
      <c r="H4" s="15"/>
      <c r="I4" s="15"/>
      <c r="J4" s="15"/>
      <c r="K4" s="15"/>
      <c r="L4" s="15"/>
      <c r="M4" s="15"/>
      <c r="N4" s="16"/>
      <c r="O4" s="29"/>
      <c r="P4" s="29"/>
      <c r="Q4" s="29"/>
      <c r="R4" s="29"/>
      <c r="S4" s="29"/>
      <c r="T4" s="30"/>
      <c r="U4" s="22"/>
      <c r="V4" s="22"/>
      <c r="W4" s="22"/>
      <c r="X4" s="22"/>
      <c r="Y4" s="22"/>
      <c r="Z4" s="22"/>
      <c r="AA4" s="22"/>
      <c r="AB4" s="22"/>
      <c r="AC4" s="22"/>
      <c r="AD4" s="22"/>
      <c r="AE4" s="22"/>
      <c r="AF4" s="22"/>
    </row>
    <row r="5">
      <c r="A5" s="21"/>
      <c r="B5" s="31" t="s">
        <v>66</v>
      </c>
      <c r="C5" s="15"/>
      <c r="D5" s="15"/>
      <c r="E5" s="15"/>
      <c r="F5" s="16"/>
      <c r="G5" s="32"/>
      <c r="H5" s="32"/>
      <c r="I5" s="32"/>
      <c r="J5" s="32"/>
      <c r="K5" s="32"/>
      <c r="L5" s="32"/>
      <c r="M5" s="33"/>
      <c r="N5" s="33"/>
      <c r="O5" s="29"/>
      <c r="P5" s="29"/>
      <c r="Q5" s="29"/>
      <c r="R5" s="29"/>
      <c r="S5" s="29"/>
      <c r="T5" s="30"/>
      <c r="U5" s="22"/>
      <c r="V5" s="22"/>
      <c r="W5" s="22"/>
      <c r="X5" s="22"/>
      <c r="Y5" s="22"/>
      <c r="Z5" s="22"/>
      <c r="AA5" s="22"/>
      <c r="AB5" s="22"/>
      <c r="AC5" s="22"/>
      <c r="AD5" s="22"/>
      <c r="AE5" s="22"/>
      <c r="AF5" s="22"/>
    </row>
    <row r="6" ht="44.25" customHeight="1">
      <c r="A6" s="34"/>
      <c r="B6" s="35" t="s">
        <v>67</v>
      </c>
      <c r="C6" s="36" t="s">
        <v>68</v>
      </c>
      <c r="D6" s="37" t="s">
        <v>0</v>
      </c>
      <c r="E6" s="37" t="s">
        <v>30</v>
      </c>
      <c r="F6" s="37" t="s">
        <v>69</v>
      </c>
      <c r="G6" s="38" t="s">
        <v>16</v>
      </c>
      <c r="H6" s="39" t="s">
        <v>3</v>
      </c>
      <c r="I6" s="40" t="s">
        <v>29</v>
      </c>
      <c r="J6" s="40" t="s">
        <v>70</v>
      </c>
      <c r="K6" s="41" t="s">
        <v>71</v>
      </c>
      <c r="L6" s="42" t="s">
        <v>72</v>
      </c>
      <c r="M6" s="37" t="s">
        <v>73</v>
      </c>
      <c r="N6" s="37" t="s">
        <v>74</v>
      </c>
      <c r="O6" s="37" t="s">
        <v>75</v>
      </c>
      <c r="P6" s="37" t="s">
        <v>76</v>
      </c>
      <c r="Q6" s="37" t="s">
        <v>77</v>
      </c>
      <c r="R6" s="37" t="s">
        <v>78</v>
      </c>
      <c r="S6" s="37" t="s">
        <v>79</v>
      </c>
      <c r="T6" s="37" t="s">
        <v>80</v>
      </c>
      <c r="U6" s="29"/>
      <c r="V6" s="29"/>
      <c r="W6" s="29"/>
      <c r="X6" s="29"/>
      <c r="Y6" s="29"/>
      <c r="Z6" s="29"/>
      <c r="AA6" s="29"/>
      <c r="AB6" s="29"/>
      <c r="AC6" s="29"/>
      <c r="AD6" s="29"/>
      <c r="AE6" s="29"/>
      <c r="AF6" s="29"/>
    </row>
    <row r="7">
      <c r="A7" s="21"/>
      <c r="B7" s="43">
        <v>1.0</v>
      </c>
      <c r="C7" s="44" t="s">
        <v>81</v>
      </c>
      <c r="D7" s="44" t="s">
        <v>4</v>
      </c>
      <c r="E7" s="45" t="s">
        <v>56</v>
      </c>
      <c r="F7" s="44" t="s">
        <v>82</v>
      </c>
      <c r="G7" s="46" t="s">
        <v>20</v>
      </c>
      <c r="H7" s="47" t="s">
        <v>6</v>
      </c>
      <c r="I7" s="48" t="s">
        <v>32</v>
      </c>
      <c r="J7" s="45"/>
      <c r="K7" s="45" t="s">
        <v>83</v>
      </c>
      <c r="L7" s="45" t="s">
        <v>84</v>
      </c>
      <c r="M7" s="49" t="s">
        <v>85</v>
      </c>
      <c r="N7" s="49" t="s">
        <v>86</v>
      </c>
      <c r="O7" s="50" t="s">
        <v>87</v>
      </c>
      <c r="P7" s="44" t="s">
        <v>88</v>
      </c>
      <c r="Q7" s="50" t="s">
        <v>89</v>
      </c>
      <c r="R7" s="51" t="s">
        <v>90</v>
      </c>
      <c r="S7" s="44" t="s">
        <v>91</v>
      </c>
      <c r="T7" s="44" t="s">
        <v>92</v>
      </c>
      <c r="U7" s="22"/>
      <c r="V7" s="22"/>
      <c r="W7" s="22"/>
      <c r="X7" s="22"/>
      <c r="Y7" s="22"/>
      <c r="Z7" s="22"/>
      <c r="AA7" s="22"/>
      <c r="AB7" s="22"/>
      <c r="AC7" s="22"/>
      <c r="AD7" s="22"/>
      <c r="AE7" s="22"/>
      <c r="AF7" s="22"/>
    </row>
    <row r="8">
      <c r="A8" s="21"/>
      <c r="B8" s="43">
        <f t="shared" ref="B8:B13" si="1">B7+1</f>
        <v>2</v>
      </c>
      <c r="C8" s="44" t="s">
        <v>93</v>
      </c>
      <c r="D8" s="44" t="s">
        <v>4</v>
      </c>
      <c r="E8" s="45" t="s">
        <v>56</v>
      </c>
      <c r="F8" s="44" t="s">
        <v>94</v>
      </c>
      <c r="G8" s="46" t="s">
        <v>20</v>
      </c>
      <c r="H8" s="47" t="s">
        <v>6</v>
      </c>
      <c r="I8" s="48"/>
      <c r="J8" s="52"/>
      <c r="K8" s="45" t="s">
        <v>95</v>
      </c>
      <c r="L8" s="45" t="s">
        <v>96</v>
      </c>
      <c r="M8" s="49" t="s">
        <v>85</v>
      </c>
      <c r="N8" s="49" t="s">
        <v>86</v>
      </c>
      <c r="O8" s="50" t="s">
        <v>87</v>
      </c>
      <c r="P8" s="44" t="s">
        <v>88</v>
      </c>
      <c r="Q8" s="53" t="s">
        <v>97</v>
      </c>
      <c r="R8" s="51" t="s">
        <v>98</v>
      </c>
      <c r="S8" s="44" t="s">
        <v>99</v>
      </c>
      <c r="T8" s="44" t="s">
        <v>92</v>
      </c>
      <c r="U8" s="22"/>
      <c r="V8" s="22"/>
      <c r="W8" s="22"/>
      <c r="X8" s="22"/>
      <c r="Y8" s="22"/>
      <c r="Z8" s="22"/>
      <c r="AA8" s="22"/>
      <c r="AB8" s="22"/>
      <c r="AC8" s="22"/>
      <c r="AD8" s="22"/>
      <c r="AE8" s="22"/>
      <c r="AF8" s="22"/>
    </row>
    <row r="9">
      <c r="A9" s="21"/>
      <c r="B9" s="43">
        <f t="shared" si="1"/>
        <v>3</v>
      </c>
      <c r="C9" s="44" t="s">
        <v>100</v>
      </c>
      <c r="D9" s="44" t="s">
        <v>4</v>
      </c>
      <c r="E9" s="45" t="s">
        <v>56</v>
      </c>
      <c r="F9" s="44" t="s">
        <v>101</v>
      </c>
      <c r="G9" s="46" t="s">
        <v>20</v>
      </c>
      <c r="H9" s="47" t="s">
        <v>6</v>
      </c>
      <c r="I9" s="48" t="s">
        <v>36</v>
      </c>
      <c r="J9" s="45" t="s">
        <v>102</v>
      </c>
      <c r="K9" s="45" t="s">
        <v>103</v>
      </c>
      <c r="L9" s="45" t="s">
        <v>104</v>
      </c>
      <c r="M9" s="54" t="s">
        <v>85</v>
      </c>
      <c r="N9" s="49" t="s">
        <v>86</v>
      </c>
      <c r="O9" s="50" t="s">
        <v>87</v>
      </c>
      <c r="P9" s="44" t="s">
        <v>105</v>
      </c>
      <c r="Q9" s="50" t="s">
        <v>106</v>
      </c>
      <c r="R9" s="51" t="s">
        <v>107</v>
      </c>
      <c r="S9" s="44" t="s">
        <v>108</v>
      </c>
      <c r="T9" s="44" t="s">
        <v>92</v>
      </c>
      <c r="U9" s="22"/>
      <c r="V9" s="22"/>
      <c r="W9" s="22"/>
      <c r="X9" s="22"/>
      <c r="Y9" s="22"/>
      <c r="Z9" s="22"/>
      <c r="AA9" s="22"/>
      <c r="AB9" s="22"/>
      <c r="AC9" s="22"/>
      <c r="AD9" s="22"/>
      <c r="AE9" s="22"/>
      <c r="AF9" s="22"/>
    </row>
    <row r="10">
      <c r="A10" s="21"/>
      <c r="B10" s="43">
        <f t="shared" si="1"/>
        <v>4</v>
      </c>
      <c r="C10" s="44" t="s">
        <v>109</v>
      </c>
      <c r="D10" s="44" t="s">
        <v>4</v>
      </c>
      <c r="E10" s="45" t="s">
        <v>51</v>
      </c>
      <c r="F10" s="44" t="s">
        <v>110</v>
      </c>
      <c r="G10" s="46" t="s">
        <v>20</v>
      </c>
      <c r="H10" s="47" t="s">
        <v>17</v>
      </c>
      <c r="I10" s="48" t="s">
        <v>36</v>
      </c>
      <c r="J10" s="45" t="s">
        <v>102</v>
      </c>
      <c r="K10" s="45" t="s">
        <v>111</v>
      </c>
      <c r="L10" s="45" t="s">
        <v>112</v>
      </c>
      <c r="M10" s="54" t="s">
        <v>113</v>
      </c>
      <c r="N10" s="49" t="s">
        <v>114</v>
      </c>
      <c r="O10" s="50" t="s">
        <v>87</v>
      </c>
      <c r="P10" s="44" t="s">
        <v>105</v>
      </c>
      <c r="Q10" s="50" t="s">
        <v>115</v>
      </c>
      <c r="R10" s="51" t="s">
        <v>116</v>
      </c>
      <c r="S10" s="44" t="s">
        <v>117</v>
      </c>
      <c r="T10" s="44" t="s">
        <v>118</v>
      </c>
      <c r="U10" s="22"/>
      <c r="V10" s="22"/>
      <c r="W10" s="22"/>
      <c r="X10" s="22"/>
      <c r="Y10" s="22"/>
      <c r="Z10" s="22"/>
      <c r="AA10" s="22"/>
      <c r="AB10" s="22"/>
      <c r="AC10" s="22"/>
      <c r="AD10" s="22"/>
      <c r="AE10" s="22"/>
      <c r="AF10" s="22"/>
    </row>
    <row r="11">
      <c r="A11" s="21"/>
      <c r="B11" s="43">
        <f t="shared" si="1"/>
        <v>5</v>
      </c>
      <c r="C11" s="44" t="s">
        <v>119</v>
      </c>
      <c r="D11" s="44" t="s">
        <v>4</v>
      </c>
      <c r="E11" s="45" t="s">
        <v>56</v>
      </c>
      <c r="F11" s="44" t="s">
        <v>120</v>
      </c>
      <c r="G11" s="46" t="s">
        <v>20</v>
      </c>
      <c r="H11" s="47" t="s">
        <v>17</v>
      </c>
      <c r="I11" s="48"/>
      <c r="J11" s="52"/>
      <c r="K11" s="45" t="s">
        <v>121</v>
      </c>
      <c r="L11" s="45" t="s">
        <v>122</v>
      </c>
      <c r="M11" s="54" t="s">
        <v>85</v>
      </c>
      <c r="N11" s="49" t="s">
        <v>123</v>
      </c>
      <c r="O11" s="50" t="s">
        <v>87</v>
      </c>
      <c r="P11" s="44" t="s">
        <v>105</v>
      </c>
      <c r="Q11" s="50" t="s">
        <v>124</v>
      </c>
      <c r="R11" s="51" t="s">
        <v>125</v>
      </c>
      <c r="S11" s="44" t="s">
        <v>126</v>
      </c>
      <c r="T11" s="44" t="s">
        <v>92</v>
      </c>
      <c r="U11" s="22"/>
      <c r="V11" s="22"/>
      <c r="W11" s="22"/>
      <c r="X11" s="22"/>
      <c r="Y11" s="22"/>
      <c r="Z11" s="22"/>
      <c r="AA11" s="22"/>
      <c r="AB11" s="22"/>
      <c r="AC11" s="22"/>
      <c r="AD11" s="22"/>
      <c r="AE11" s="22"/>
      <c r="AF11" s="22"/>
    </row>
    <row r="12">
      <c r="A12" s="21"/>
      <c r="B12" s="43">
        <f t="shared" si="1"/>
        <v>6</v>
      </c>
      <c r="C12" s="44" t="s">
        <v>127</v>
      </c>
      <c r="D12" s="44" t="s">
        <v>4</v>
      </c>
      <c r="E12" s="45" t="s">
        <v>53</v>
      </c>
      <c r="F12" s="44" t="s">
        <v>128</v>
      </c>
      <c r="G12" s="46" t="s">
        <v>20</v>
      </c>
      <c r="H12" s="47" t="s">
        <v>17</v>
      </c>
      <c r="I12" s="48"/>
      <c r="J12" s="45"/>
      <c r="K12" s="45" t="s">
        <v>129</v>
      </c>
      <c r="L12" s="52" t="s">
        <v>130</v>
      </c>
      <c r="M12" s="54" t="s">
        <v>113</v>
      </c>
      <c r="N12" s="49" t="s">
        <v>114</v>
      </c>
      <c r="O12" s="49" t="s">
        <v>131</v>
      </c>
      <c r="P12" s="45" t="s">
        <v>132</v>
      </c>
      <c r="Q12" s="49" t="s">
        <v>133</v>
      </c>
      <c r="R12" s="55" t="s">
        <v>134</v>
      </c>
      <c r="S12" s="45" t="s">
        <v>135</v>
      </c>
      <c r="T12" s="45" t="s">
        <v>92</v>
      </c>
      <c r="U12" s="22"/>
      <c r="V12" s="22"/>
      <c r="W12" s="22"/>
      <c r="X12" s="22"/>
      <c r="Y12" s="22"/>
      <c r="Z12" s="22"/>
      <c r="AA12" s="22"/>
      <c r="AB12" s="22"/>
      <c r="AC12" s="22"/>
      <c r="AD12" s="22"/>
      <c r="AE12" s="22"/>
      <c r="AF12" s="22"/>
    </row>
    <row r="13">
      <c r="A13" s="21"/>
      <c r="B13" s="43">
        <f t="shared" si="1"/>
        <v>7</v>
      </c>
      <c r="C13" s="44" t="s">
        <v>136</v>
      </c>
      <c r="D13" s="44" t="s">
        <v>4</v>
      </c>
      <c r="E13" s="45" t="s">
        <v>33</v>
      </c>
      <c r="F13" s="44" t="s">
        <v>137</v>
      </c>
      <c r="G13" s="46" t="s">
        <v>20</v>
      </c>
      <c r="H13" s="47" t="s">
        <v>10</v>
      </c>
      <c r="I13" s="48" t="s">
        <v>32</v>
      </c>
      <c r="J13" s="45"/>
      <c r="K13" s="45" t="s">
        <v>138</v>
      </c>
      <c r="L13" s="45" t="s">
        <v>139</v>
      </c>
      <c r="M13" s="54" t="s">
        <v>113</v>
      </c>
      <c r="N13" s="49" t="s">
        <v>86</v>
      </c>
      <c r="O13" s="49" t="s">
        <v>131</v>
      </c>
      <c r="P13" s="45" t="s">
        <v>88</v>
      </c>
      <c r="Q13" s="49" t="s">
        <v>140</v>
      </c>
      <c r="R13" s="55" t="s">
        <v>141</v>
      </c>
      <c r="S13" s="45" t="s">
        <v>142</v>
      </c>
      <c r="T13" s="45" t="s">
        <v>92</v>
      </c>
      <c r="U13" s="22"/>
      <c r="V13" s="22"/>
      <c r="W13" s="22"/>
      <c r="X13" s="22"/>
      <c r="Y13" s="22"/>
      <c r="Z13" s="22"/>
      <c r="AA13" s="22"/>
      <c r="AB13" s="22"/>
      <c r="AC13" s="22"/>
      <c r="AD13" s="22"/>
      <c r="AE13" s="22"/>
      <c r="AF13" s="22"/>
    </row>
    <row r="14">
      <c r="A14" s="21"/>
      <c r="B14" s="47">
        <v>8.0</v>
      </c>
      <c r="C14" s="44" t="s">
        <v>143</v>
      </c>
      <c r="D14" s="44" t="s">
        <v>4</v>
      </c>
      <c r="E14" s="45" t="s">
        <v>35</v>
      </c>
      <c r="F14" s="56" t="s">
        <v>144</v>
      </c>
      <c r="G14" s="46" t="s">
        <v>20</v>
      </c>
      <c r="H14" s="47" t="s">
        <v>19</v>
      </c>
      <c r="I14" s="48"/>
      <c r="J14" s="52"/>
      <c r="K14" s="45" t="s">
        <v>145</v>
      </c>
      <c r="L14" s="45" t="s">
        <v>139</v>
      </c>
      <c r="M14" s="49" t="s">
        <v>113</v>
      </c>
      <c r="N14" s="49" t="s">
        <v>86</v>
      </c>
      <c r="O14" s="49" t="s">
        <v>87</v>
      </c>
      <c r="P14" s="45" t="s">
        <v>88</v>
      </c>
      <c r="Q14" s="49" t="s">
        <v>146</v>
      </c>
      <c r="R14" s="55" t="s">
        <v>147</v>
      </c>
      <c r="S14" s="45" t="s">
        <v>148</v>
      </c>
      <c r="T14" s="45" t="s">
        <v>92</v>
      </c>
      <c r="U14" s="22"/>
      <c r="V14" s="22"/>
      <c r="W14" s="22"/>
      <c r="X14" s="22"/>
      <c r="Y14" s="22"/>
      <c r="Z14" s="22"/>
      <c r="AA14" s="22"/>
      <c r="AB14" s="22"/>
      <c r="AC14" s="22"/>
      <c r="AD14" s="22"/>
      <c r="AE14" s="22"/>
      <c r="AF14" s="22"/>
    </row>
    <row r="15">
      <c r="A15" s="21"/>
      <c r="B15" s="47">
        <v>9.0</v>
      </c>
      <c r="C15" s="44" t="s">
        <v>149</v>
      </c>
      <c r="D15" s="44" t="s">
        <v>5</v>
      </c>
      <c r="E15" s="45" t="s">
        <v>56</v>
      </c>
      <c r="F15" s="44" t="s">
        <v>150</v>
      </c>
      <c r="G15" s="46" t="s">
        <v>18</v>
      </c>
      <c r="H15" s="47" t="s">
        <v>14</v>
      </c>
      <c r="I15" s="48" t="s">
        <v>32</v>
      </c>
      <c r="J15" s="52"/>
      <c r="K15" s="45" t="s">
        <v>151</v>
      </c>
      <c r="L15" s="45" t="s">
        <v>84</v>
      </c>
      <c r="M15" s="54" t="s">
        <v>113</v>
      </c>
      <c r="N15" s="49" t="s">
        <v>86</v>
      </c>
      <c r="O15" s="49" t="s">
        <v>152</v>
      </c>
      <c r="P15" s="45" t="s">
        <v>88</v>
      </c>
      <c r="Q15" s="49" t="s">
        <v>153</v>
      </c>
      <c r="R15" s="57" t="s">
        <v>154</v>
      </c>
      <c r="S15" s="45" t="s">
        <v>155</v>
      </c>
      <c r="T15" s="45" t="s">
        <v>92</v>
      </c>
      <c r="U15" s="22"/>
      <c r="V15" s="22"/>
      <c r="W15" s="22"/>
      <c r="X15" s="22"/>
      <c r="Y15" s="22"/>
      <c r="Z15" s="22"/>
      <c r="AA15" s="22"/>
      <c r="AB15" s="22"/>
      <c r="AC15" s="22"/>
      <c r="AD15" s="22"/>
      <c r="AE15" s="22"/>
      <c r="AF15" s="22"/>
    </row>
    <row r="16">
      <c r="A16" s="21"/>
      <c r="B16" s="43">
        <f t="shared" ref="B16:B366" si="2">B15+1</f>
        <v>10</v>
      </c>
      <c r="C16" s="44" t="s">
        <v>156</v>
      </c>
      <c r="D16" s="44" t="s">
        <v>4</v>
      </c>
      <c r="E16" s="45" t="s">
        <v>47</v>
      </c>
      <c r="F16" s="44" t="s">
        <v>157</v>
      </c>
      <c r="G16" s="46" t="s">
        <v>20</v>
      </c>
      <c r="H16" s="47" t="s">
        <v>17</v>
      </c>
      <c r="I16" s="48" t="s">
        <v>32</v>
      </c>
      <c r="J16" s="45" t="s">
        <v>102</v>
      </c>
      <c r="K16" s="45" t="s">
        <v>158</v>
      </c>
      <c r="L16" s="45" t="s">
        <v>159</v>
      </c>
      <c r="M16" s="54" t="s">
        <v>113</v>
      </c>
      <c r="N16" s="49" t="s">
        <v>114</v>
      </c>
      <c r="O16" s="49" t="s">
        <v>131</v>
      </c>
      <c r="P16" s="45" t="s">
        <v>132</v>
      </c>
      <c r="Q16" s="49" t="s">
        <v>160</v>
      </c>
      <c r="R16" s="55" t="s">
        <v>161</v>
      </c>
      <c r="S16" s="45" t="s">
        <v>162</v>
      </c>
      <c r="T16" s="45" t="s">
        <v>92</v>
      </c>
      <c r="U16" s="22"/>
      <c r="V16" s="22"/>
      <c r="W16" s="22"/>
      <c r="X16" s="22"/>
      <c r="Y16" s="22"/>
      <c r="Z16" s="22"/>
      <c r="AA16" s="22"/>
      <c r="AB16" s="22"/>
      <c r="AC16" s="22"/>
      <c r="AD16" s="22"/>
      <c r="AE16" s="22"/>
      <c r="AF16" s="22"/>
    </row>
    <row r="17">
      <c r="A17" s="21"/>
      <c r="B17" s="43">
        <f t="shared" si="2"/>
        <v>11</v>
      </c>
      <c r="C17" s="44" t="s">
        <v>163</v>
      </c>
      <c r="D17" s="44" t="s">
        <v>4</v>
      </c>
      <c r="E17" s="45" t="s">
        <v>63</v>
      </c>
      <c r="F17" s="44" t="s">
        <v>164</v>
      </c>
      <c r="G17" s="46" t="s">
        <v>20</v>
      </c>
      <c r="H17" s="47" t="s">
        <v>17</v>
      </c>
      <c r="I17" s="48"/>
      <c r="J17" s="52"/>
      <c r="K17" s="45" t="s">
        <v>165</v>
      </c>
      <c r="L17" s="45" t="s">
        <v>166</v>
      </c>
      <c r="M17" s="54" t="s">
        <v>113</v>
      </c>
      <c r="N17" s="49" t="s">
        <v>123</v>
      </c>
      <c r="O17" s="49" t="s">
        <v>131</v>
      </c>
      <c r="P17" s="45" t="s">
        <v>132</v>
      </c>
      <c r="Q17" s="58" t="s">
        <v>167</v>
      </c>
      <c r="R17" s="59" t="s">
        <v>168</v>
      </c>
      <c r="S17" s="45" t="s">
        <v>169</v>
      </c>
      <c r="T17" s="45" t="s">
        <v>92</v>
      </c>
      <c r="U17" s="22"/>
      <c r="V17" s="22"/>
      <c r="W17" s="22"/>
      <c r="X17" s="22"/>
      <c r="Y17" s="22"/>
      <c r="Z17" s="22"/>
      <c r="AA17" s="22"/>
      <c r="AB17" s="22"/>
      <c r="AC17" s="22"/>
      <c r="AD17" s="22"/>
      <c r="AE17" s="22"/>
      <c r="AF17" s="22"/>
    </row>
    <row r="18" ht="39.75" customHeight="1">
      <c r="A18" s="21"/>
      <c r="B18" s="43">
        <f t="shared" si="2"/>
        <v>12</v>
      </c>
      <c r="C18" s="44" t="s">
        <v>170</v>
      </c>
      <c r="D18" s="44" t="s">
        <v>4</v>
      </c>
      <c r="E18" s="45" t="s">
        <v>63</v>
      </c>
      <c r="F18" s="44" t="s">
        <v>171</v>
      </c>
      <c r="G18" s="46" t="s">
        <v>20</v>
      </c>
      <c r="H18" s="47" t="s">
        <v>17</v>
      </c>
      <c r="I18" s="48" t="s">
        <v>36</v>
      </c>
      <c r="J18" s="45" t="s">
        <v>102</v>
      </c>
      <c r="K18" s="45" t="s">
        <v>172</v>
      </c>
      <c r="L18" s="45" t="s">
        <v>173</v>
      </c>
      <c r="M18" s="54" t="s">
        <v>85</v>
      </c>
      <c r="N18" s="49" t="s">
        <v>123</v>
      </c>
      <c r="O18" s="49" t="s">
        <v>131</v>
      </c>
      <c r="P18" s="45" t="s">
        <v>132</v>
      </c>
      <c r="Q18" s="45" t="s">
        <v>174</v>
      </c>
      <c r="R18" s="55" t="s">
        <v>175</v>
      </c>
      <c r="S18" s="45" t="s">
        <v>176</v>
      </c>
      <c r="T18" s="45" t="s">
        <v>92</v>
      </c>
      <c r="U18" s="22"/>
      <c r="V18" s="22"/>
      <c r="W18" s="22"/>
      <c r="X18" s="22"/>
      <c r="Y18" s="22"/>
      <c r="Z18" s="22"/>
      <c r="AA18" s="22"/>
      <c r="AB18" s="22"/>
      <c r="AC18" s="22"/>
      <c r="AD18" s="22"/>
      <c r="AE18" s="22"/>
      <c r="AF18" s="22"/>
    </row>
    <row r="19">
      <c r="A19" s="21"/>
      <c r="B19" s="43">
        <f t="shared" si="2"/>
        <v>13</v>
      </c>
      <c r="C19" s="44" t="s">
        <v>177</v>
      </c>
      <c r="D19" s="44" t="s">
        <v>4</v>
      </c>
      <c r="E19" s="45" t="s">
        <v>53</v>
      </c>
      <c r="F19" s="44" t="s">
        <v>178</v>
      </c>
      <c r="G19" s="46" t="s">
        <v>18</v>
      </c>
      <c r="H19" s="47" t="s">
        <v>15</v>
      </c>
      <c r="I19" s="48"/>
      <c r="J19" s="52"/>
      <c r="K19" s="45" t="s">
        <v>179</v>
      </c>
      <c r="L19" s="45" t="s">
        <v>180</v>
      </c>
      <c r="M19" s="54" t="s">
        <v>113</v>
      </c>
      <c r="N19" s="49" t="s">
        <v>123</v>
      </c>
      <c r="O19" s="49" t="s">
        <v>181</v>
      </c>
      <c r="P19" s="45" t="s">
        <v>132</v>
      </c>
      <c r="Q19" s="49" t="s">
        <v>182</v>
      </c>
      <c r="R19" s="55" t="s">
        <v>183</v>
      </c>
      <c r="S19" s="45" t="s">
        <v>184</v>
      </c>
      <c r="T19" s="45" t="s">
        <v>92</v>
      </c>
      <c r="U19" s="22"/>
      <c r="V19" s="22"/>
      <c r="W19" s="22"/>
      <c r="X19" s="22"/>
      <c r="Y19" s="22"/>
      <c r="Z19" s="22"/>
      <c r="AA19" s="22"/>
      <c r="AB19" s="22"/>
      <c r="AC19" s="22"/>
      <c r="AD19" s="22"/>
      <c r="AE19" s="22"/>
      <c r="AF19" s="22"/>
    </row>
    <row r="20">
      <c r="A20" s="21"/>
      <c r="B20" s="43">
        <f t="shared" si="2"/>
        <v>14</v>
      </c>
      <c r="C20" s="44" t="s">
        <v>185</v>
      </c>
      <c r="D20" s="44" t="s">
        <v>5</v>
      </c>
      <c r="E20" s="45" t="s">
        <v>56</v>
      </c>
      <c r="F20" s="44" t="s">
        <v>186</v>
      </c>
      <c r="G20" s="46" t="s">
        <v>20</v>
      </c>
      <c r="H20" s="47"/>
      <c r="I20" s="48"/>
      <c r="J20" s="52"/>
      <c r="K20" s="45" t="s">
        <v>187</v>
      </c>
      <c r="L20" s="45" t="s">
        <v>84</v>
      </c>
      <c r="M20" s="54" t="s">
        <v>113</v>
      </c>
      <c r="N20" s="49" t="s">
        <v>86</v>
      </c>
      <c r="O20" s="49" t="s">
        <v>131</v>
      </c>
      <c r="P20" s="45" t="s">
        <v>88</v>
      </c>
      <c r="Q20" s="49" t="s">
        <v>188</v>
      </c>
      <c r="R20" s="55" t="s">
        <v>189</v>
      </c>
      <c r="S20" s="45" t="s">
        <v>190</v>
      </c>
      <c r="T20" s="45" t="s">
        <v>92</v>
      </c>
      <c r="U20" s="22"/>
      <c r="V20" s="22"/>
      <c r="W20" s="22"/>
      <c r="X20" s="22"/>
      <c r="Y20" s="22"/>
      <c r="Z20" s="22"/>
      <c r="AA20" s="22"/>
      <c r="AB20" s="22"/>
      <c r="AC20" s="22"/>
      <c r="AD20" s="22"/>
      <c r="AE20" s="22"/>
      <c r="AF20" s="22"/>
    </row>
    <row r="21">
      <c r="A21" s="21"/>
      <c r="B21" s="43">
        <f t="shared" si="2"/>
        <v>15</v>
      </c>
      <c r="C21" s="44" t="s">
        <v>191</v>
      </c>
      <c r="D21" s="44" t="s">
        <v>5</v>
      </c>
      <c r="E21" s="45" t="s">
        <v>56</v>
      </c>
      <c r="F21" s="44" t="s">
        <v>192</v>
      </c>
      <c r="G21" s="46" t="s">
        <v>20</v>
      </c>
      <c r="H21" s="47"/>
      <c r="I21" s="48"/>
      <c r="J21" s="45" t="s">
        <v>193</v>
      </c>
      <c r="K21" s="45" t="s">
        <v>194</v>
      </c>
      <c r="L21" s="45" t="s">
        <v>195</v>
      </c>
      <c r="M21" s="49" t="s">
        <v>113</v>
      </c>
      <c r="N21" s="49" t="s">
        <v>86</v>
      </c>
      <c r="O21" s="49" t="s">
        <v>131</v>
      </c>
      <c r="P21" s="45" t="s">
        <v>88</v>
      </c>
      <c r="Q21" s="49" t="s">
        <v>196</v>
      </c>
      <c r="R21" s="55" t="s">
        <v>197</v>
      </c>
      <c r="S21" s="45" t="s">
        <v>198</v>
      </c>
      <c r="T21" s="45" t="s">
        <v>92</v>
      </c>
      <c r="U21" s="22"/>
      <c r="V21" s="22"/>
      <c r="W21" s="22"/>
      <c r="X21" s="22"/>
      <c r="Y21" s="22"/>
      <c r="Z21" s="22"/>
      <c r="AA21" s="22"/>
      <c r="AB21" s="22"/>
      <c r="AC21" s="22"/>
      <c r="AD21" s="22"/>
      <c r="AE21" s="22"/>
      <c r="AF21" s="22"/>
    </row>
    <row r="22">
      <c r="A22" s="21"/>
      <c r="B22" s="43">
        <f t="shared" si="2"/>
        <v>16</v>
      </c>
      <c r="C22" s="44" t="s">
        <v>199</v>
      </c>
      <c r="D22" s="44" t="s">
        <v>5</v>
      </c>
      <c r="E22" s="45" t="s">
        <v>56</v>
      </c>
      <c r="F22" s="44" t="s">
        <v>200</v>
      </c>
      <c r="G22" s="46" t="s">
        <v>20</v>
      </c>
      <c r="H22" s="47" t="s">
        <v>23</v>
      </c>
      <c r="I22" s="48"/>
      <c r="J22" s="52"/>
      <c r="K22" s="45" t="s">
        <v>201</v>
      </c>
      <c r="L22" s="45" t="s">
        <v>84</v>
      </c>
      <c r="M22" s="54" t="s">
        <v>113</v>
      </c>
      <c r="N22" s="49" t="s">
        <v>86</v>
      </c>
      <c r="O22" s="49" t="s">
        <v>131</v>
      </c>
      <c r="P22" s="45" t="s">
        <v>88</v>
      </c>
      <c r="Q22" s="49" t="s">
        <v>202</v>
      </c>
      <c r="R22" s="55" t="s">
        <v>203</v>
      </c>
      <c r="S22" s="45" t="s">
        <v>204</v>
      </c>
      <c r="T22" s="45" t="s">
        <v>92</v>
      </c>
      <c r="U22" s="22"/>
      <c r="V22" s="22"/>
      <c r="W22" s="22"/>
      <c r="X22" s="22"/>
      <c r="Y22" s="22"/>
      <c r="Z22" s="22"/>
      <c r="AA22" s="22"/>
      <c r="AB22" s="22"/>
      <c r="AC22" s="22"/>
      <c r="AD22" s="22"/>
      <c r="AE22" s="22"/>
      <c r="AF22" s="22"/>
    </row>
    <row r="23">
      <c r="A23" s="21"/>
      <c r="B23" s="43">
        <f t="shared" si="2"/>
        <v>17</v>
      </c>
      <c r="C23" s="44" t="s">
        <v>205</v>
      </c>
      <c r="D23" s="44" t="s">
        <v>4</v>
      </c>
      <c r="E23" s="45" t="s">
        <v>51</v>
      </c>
      <c r="F23" s="44" t="s">
        <v>206</v>
      </c>
      <c r="G23" s="46" t="s">
        <v>20</v>
      </c>
      <c r="H23" s="47" t="s">
        <v>17</v>
      </c>
      <c r="I23" s="48" t="s">
        <v>36</v>
      </c>
      <c r="J23" s="45" t="s">
        <v>102</v>
      </c>
      <c r="K23" s="45" t="s">
        <v>207</v>
      </c>
      <c r="L23" s="45" t="s">
        <v>208</v>
      </c>
      <c r="M23" s="54" t="s">
        <v>85</v>
      </c>
      <c r="N23" s="49" t="s">
        <v>114</v>
      </c>
      <c r="O23" s="49" t="s">
        <v>209</v>
      </c>
      <c r="P23" s="45" t="s">
        <v>132</v>
      </c>
      <c r="Q23" s="49" t="s">
        <v>210</v>
      </c>
      <c r="R23" s="55" t="s">
        <v>211</v>
      </c>
      <c r="S23" s="45" t="s">
        <v>212</v>
      </c>
      <c r="T23" s="45" t="s">
        <v>213</v>
      </c>
      <c r="U23" s="22"/>
      <c r="V23" s="22"/>
      <c r="W23" s="22"/>
      <c r="X23" s="22"/>
      <c r="Y23" s="22"/>
      <c r="Z23" s="22"/>
      <c r="AA23" s="22"/>
      <c r="AB23" s="22"/>
      <c r="AC23" s="22"/>
      <c r="AD23" s="22"/>
      <c r="AE23" s="22"/>
      <c r="AF23" s="22"/>
    </row>
    <row r="24">
      <c r="A24" s="21"/>
      <c r="B24" s="43">
        <f t="shared" si="2"/>
        <v>18</v>
      </c>
      <c r="C24" s="44" t="s">
        <v>214</v>
      </c>
      <c r="D24" s="44" t="s">
        <v>4</v>
      </c>
      <c r="E24" s="45" t="s">
        <v>56</v>
      </c>
      <c r="F24" s="44" t="s">
        <v>215</v>
      </c>
      <c r="G24" s="46" t="s">
        <v>20</v>
      </c>
      <c r="H24" s="47" t="s">
        <v>6</v>
      </c>
      <c r="I24" s="48" t="s">
        <v>36</v>
      </c>
      <c r="J24" s="45" t="s">
        <v>193</v>
      </c>
      <c r="K24" s="45" t="s">
        <v>216</v>
      </c>
      <c r="L24" s="45" t="s">
        <v>217</v>
      </c>
      <c r="M24" s="54" t="s">
        <v>85</v>
      </c>
      <c r="N24" s="49" t="s">
        <v>86</v>
      </c>
      <c r="O24" s="49" t="s">
        <v>131</v>
      </c>
      <c r="P24" s="45" t="s">
        <v>88</v>
      </c>
      <c r="Q24" s="45" t="s">
        <v>218</v>
      </c>
      <c r="R24" s="55" t="s">
        <v>219</v>
      </c>
      <c r="S24" s="45" t="s">
        <v>220</v>
      </c>
      <c r="T24" s="45" t="s">
        <v>92</v>
      </c>
      <c r="U24" s="22"/>
      <c r="V24" s="22"/>
      <c r="W24" s="22"/>
      <c r="X24" s="22"/>
      <c r="Y24" s="22"/>
      <c r="Z24" s="22"/>
      <c r="AA24" s="22"/>
      <c r="AB24" s="22"/>
      <c r="AC24" s="22"/>
      <c r="AD24" s="22"/>
      <c r="AE24" s="22"/>
      <c r="AF24" s="22"/>
    </row>
    <row r="25">
      <c r="A25" s="21"/>
      <c r="B25" s="43">
        <f t="shared" si="2"/>
        <v>19</v>
      </c>
      <c r="C25" s="44" t="s">
        <v>221</v>
      </c>
      <c r="D25" s="44" t="s">
        <v>9</v>
      </c>
      <c r="E25" s="45" t="s">
        <v>48</v>
      </c>
      <c r="F25" s="44" t="s">
        <v>222</v>
      </c>
      <c r="G25" s="46" t="s">
        <v>20</v>
      </c>
      <c r="H25" s="47" t="s">
        <v>17</v>
      </c>
      <c r="I25" s="48"/>
      <c r="J25" s="52"/>
      <c r="K25" s="45" t="s">
        <v>223</v>
      </c>
      <c r="L25" s="45" t="s">
        <v>224</v>
      </c>
      <c r="M25" s="54" t="s">
        <v>113</v>
      </c>
      <c r="N25" s="49" t="s">
        <v>86</v>
      </c>
      <c r="O25" s="49" t="s">
        <v>131</v>
      </c>
      <c r="P25" s="45" t="s">
        <v>105</v>
      </c>
      <c r="Q25" s="49" t="s">
        <v>225</v>
      </c>
      <c r="R25" s="55" t="s">
        <v>226</v>
      </c>
      <c r="S25" s="45" t="s">
        <v>227</v>
      </c>
      <c r="T25" s="45" t="s">
        <v>92</v>
      </c>
      <c r="U25" s="22"/>
      <c r="V25" s="22"/>
      <c r="W25" s="22"/>
      <c r="X25" s="22"/>
      <c r="Y25" s="22"/>
      <c r="Z25" s="22"/>
      <c r="AA25" s="22"/>
      <c r="AB25" s="22"/>
      <c r="AC25" s="22"/>
      <c r="AD25" s="22"/>
      <c r="AE25" s="22"/>
      <c r="AF25" s="22"/>
    </row>
    <row r="26">
      <c r="A26" s="21"/>
      <c r="B26" s="43">
        <f t="shared" si="2"/>
        <v>20</v>
      </c>
      <c r="C26" s="44" t="s">
        <v>228</v>
      </c>
      <c r="D26" s="44" t="s">
        <v>4</v>
      </c>
      <c r="E26" s="45" t="s">
        <v>56</v>
      </c>
      <c r="F26" s="44" t="s">
        <v>229</v>
      </c>
      <c r="G26" s="46" t="s">
        <v>20</v>
      </c>
      <c r="H26" s="47" t="s">
        <v>17</v>
      </c>
      <c r="I26" s="48" t="s">
        <v>32</v>
      </c>
      <c r="J26" s="45" t="s">
        <v>193</v>
      </c>
      <c r="K26" s="45" t="s">
        <v>230</v>
      </c>
      <c r="L26" s="45" t="s">
        <v>231</v>
      </c>
      <c r="M26" s="54" t="s">
        <v>85</v>
      </c>
      <c r="N26" s="49" t="s">
        <v>86</v>
      </c>
      <c r="O26" s="49" t="s">
        <v>131</v>
      </c>
      <c r="P26" s="45" t="s">
        <v>88</v>
      </c>
      <c r="Q26" s="49" t="s">
        <v>232</v>
      </c>
      <c r="R26" s="55" t="s">
        <v>233</v>
      </c>
      <c r="S26" s="45" t="s">
        <v>234</v>
      </c>
      <c r="T26" s="45" t="s">
        <v>92</v>
      </c>
      <c r="U26" s="22"/>
      <c r="V26" s="22"/>
      <c r="W26" s="22"/>
      <c r="X26" s="22"/>
      <c r="Y26" s="22"/>
      <c r="Z26" s="22"/>
      <c r="AA26" s="22"/>
      <c r="AB26" s="22"/>
      <c r="AC26" s="22"/>
      <c r="AD26" s="22"/>
      <c r="AE26" s="22"/>
      <c r="AF26" s="22"/>
    </row>
    <row r="27">
      <c r="A27" s="21"/>
      <c r="B27" s="43">
        <f t="shared" si="2"/>
        <v>21</v>
      </c>
      <c r="C27" s="44" t="s">
        <v>235</v>
      </c>
      <c r="D27" s="44" t="s">
        <v>4</v>
      </c>
      <c r="E27" s="45" t="s">
        <v>56</v>
      </c>
      <c r="F27" s="44" t="s">
        <v>236</v>
      </c>
      <c r="G27" s="46" t="s">
        <v>20</v>
      </c>
      <c r="H27" s="47" t="s">
        <v>6</v>
      </c>
      <c r="I27" s="60" t="s">
        <v>38</v>
      </c>
      <c r="J27" s="45" t="s">
        <v>102</v>
      </c>
      <c r="K27" s="45" t="s">
        <v>237</v>
      </c>
      <c r="L27" s="45" t="s">
        <v>238</v>
      </c>
      <c r="M27" s="54" t="s">
        <v>85</v>
      </c>
      <c r="N27" s="49" t="s">
        <v>86</v>
      </c>
      <c r="O27" s="49" t="s">
        <v>131</v>
      </c>
      <c r="P27" s="45" t="s">
        <v>88</v>
      </c>
      <c r="Q27" s="49" t="s">
        <v>239</v>
      </c>
      <c r="R27" s="55" t="s">
        <v>240</v>
      </c>
      <c r="S27" s="45" t="s">
        <v>241</v>
      </c>
      <c r="T27" s="45" t="s">
        <v>92</v>
      </c>
      <c r="U27" s="22"/>
      <c r="V27" s="22"/>
      <c r="W27" s="22"/>
      <c r="X27" s="22"/>
      <c r="Y27" s="22"/>
      <c r="Z27" s="22"/>
      <c r="AA27" s="22"/>
      <c r="AB27" s="22"/>
      <c r="AC27" s="22"/>
      <c r="AD27" s="22"/>
      <c r="AE27" s="22"/>
      <c r="AF27" s="22"/>
    </row>
    <row r="28">
      <c r="A28" s="21"/>
      <c r="B28" s="43">
        <f t="shared" si="2"/>
        <v>22</v>
      </c>
      <c r="C28" s="44" t="s">
        <v>242</v>
      </c>
      <c r="D28" s="44" t="s">
        <v>5</v>
      </c>
      <c r="E28" s="45" t="s">
        <v>56</v>
      </c>
      <c r="F28" s="44" t="s">
        <v>243</v>
      </c>
      <c r="G28" s="46" t="s">
        <v>18</v>
      </c>
      <c r="H28" s="47" t="s">
        <v>28</v>
      </c>
      <c r="I28" s="48"/>
      <c r="J28" s="52"/>
      <c r="K28" s="45" t="s">
        <v>244</v>
      </c>
      <c r="L28" s="45" t="s">
        <v>84</v>
      </c>
      <c r="M28" s="54" t="s">
        <v>113</v>
      </c>
      <c r="N28" s="49" t="s">
        <v>86</v>
      </c>
      <c r="O28" s="49" t="s">
        <v>245</v>
      </c>
      <c r="P28" s="45" t="s">
        <v>88</v>
      </c>
      <c r="Q28" s="61"/>
      <c r="R28" s="55" t="s">
        <v>246</v>
      </c>
      <c r="S28" s="45" t="s">
        <v>247</v>
      </c>
      <c r="T28" s="45" t="s">
        <v>92</v>
      </c>
      <c r="U28" s="22"/>
      <c r="V28" s="22"/>
      <c r="W28" s="22"/>
      <c r="X28" s="22"/>
      <c r="Y28" s="22"/>
      <c r="Z28" s="22"/>
      <c r="AA28" s="22"/>
      <c r="AB28" s="22"/>
      <c r="AC28" s="22"/>
      <c r="AD28" s="22"/>
      <c r="AE28" s="22"/>
      <c r="AF28" s="22"/>
    </row>
    <row r="29">
      <c r="A29" s="21"/>
      <c r="B29" s="43">
        <f t="shared" si="2"/>
        <v>23</v>
      </c>
      <c r="C29" s="44" t="s">
        <v>248</v>
      </c>
      <c r="D29" s="44" t="s">
        <v>9</v>
      </c>
      <c r="E29" s="45" t="s">
        <v>57</v>
      </c>
      <c r="F29" s="44" t="s">
        <v>249</v>
      </c>
      <c r="G29" s="46" t="s">
        <v>18</v>
      </c>
      <c r="H29" s="47" t="s">
        <v>15</v>
      </c>
      <c r="I29" s="48" t="s">
        <v>32</v>
      </c>
      <c r="J29" s="45" t="s">
        <v>250</v>
      </c>
      <c r="K29" s="45" t="s">
        <v>251</v>
      </c>
      <c r="L29" s="45" t="s">
        <v>252</v>
      </c>
      <c r="M29" s="54" t="s">
        <v>253</v>
      </c>
      <c r="N29" s="49" t="s">
        <v>86</v>
      </c>
      <c r="O29" s="49" t="s">
        <v>254</v>
      </c>
      <c r="P29" s="45" t="s">
        <v>88</v>
      </c>
      <c r="Q29" s="61"/>
      <c r="R29" s="55" t="s">
        <v>255</v>
      </c>
      <c r="S29" s="45" t="s">
        <v>256</v>
      </c>
      <c r="T29" s="45" t="s">
        <v>92</v>
      </c>
      <c r="U29" s="22"/>
      <c r="V29" s="22"/>
      <c r="W29" s="22"/>
      <c r="X29" s="22"/>
      <c r="Y29" s="22"/>
      <c r="Z29" s="22"/>
      <c r="AA29" s="22"/>
      <c r="AB29" s="22"/>
      <c r="AC29" s="22"/>
      <c r="AD29" s="22"/>
      <c r="AE29" s="22"/>
      <c r="AF29" s="22"/>
    </row>
    <row r="30">
      <c r="A30" s="21"/>
      <c r="B30" s="43">
        <f t="shared" si="2"/>
        <v>24</v>
      </c>
      <c r="C30" s="44" t="s">
        <v>257</v>
      </c>
      <c r="D30" s="44" t="s">
        <v>9</v>
      </c>
      <c r="E30" s="45" t="s">
        <v>57</v>
      </c>
      <c r="F30" s="44" t="s">
        <v>258</v>
      </c>
      <c r="G30" s="46" t="s">
        <v>18</v>
      </c>
      <c r="H30" s="47" t="s">
        <v>15</v>
      </c>
      <c r="I30" s="48" t="s">
        <v>32</v>
      </c>
      <c r="J30" s="45" t="s">
        <v>250</v>
      </c>
      <c r="K30" s="45" t="s">
        <v>259</v>
      </c>
      <c r="L30" s="45" t="s">
        <v>252</v>
      </c>
      <c r="M30" s="49" t="s">
        <v>85</v>
      </c>
      <c r="N30" s="49" t="s">
        <v>86</v>
      </c>
      <c r="O30" s="49" t="s">
        <v>260</v>
      </c>
      <c r="P30" s="45" t="s">
        <v>88</v>
      </c>
      <c r="Q30" s="61"/>
      <c r="R30" s="55" t="s">
        <v>261</v>
      </c>
      <c r="S30" s="45" t="s">
        <v>256</v>
      </c>
      <c r="T30" s="45" t="s">
        <v>92</v>
      </c>
      <c r="U30" s="22"/>
      <c r="V30" s="22"/>
      <c r="W30" s="22"/>
      <c r="X30" s="22"/>
      <c r="Y30" s="22"/>
      <c r="Z30" s="22"/>
      <c r="AA30" s="22"/>
      <c r="AB30" s="22"/>
      <c r="AC30" s="22"/>
      <c r="AD30" s="22"/>
      <c r="AE30" s="22"/>
      <c r="AF30" s="22"/>
    </row>
    <row r="31">
      <c r="A31" s="21"/>
      <c r="B31" s="43">
        <f t="shared" si="2"/>
        <v>25</v>
      </c>
      <c r="C31" s="44" t="s">
        <v>262</v>
      </c>
      <c r="D31" s="44" t="s">
        <v>4</v>
      </c>
      <c r="E31" s="45" t="s">
        <v>49</v>
      </c>
      <c r="F31" s="44" t="s">
        <v>263</v>
      </c>
      <c r="G31" s="46" t="s">
        <v>20</v>
      </c>
      <c r="H31" s="47" t="s">
        <v>6</v>
      </c>
      <c r="I31" s="48" t="s">
        <v>32</v>
      </c>
      <c r="J31" s="45" t="s">
        <v>193</v>
      </c>
      <c r="K31" s="45" t="s">
        <v>264</v>
      </c>
      <c r="L31" s="45" t="s">
        <v>265</v>
      </c>
      <c r="M31" s="54" t="s">
        <v>85</v>
      </c>
      <c r="N31" s="49" t="s">
        <v>266</v>
      </c>
      <c r="O31" s="49" t="s">
        <v>131</v>
      </c>
      <c r="P31" s="45" t="s">
        <v>132</v>
      </c>
      <c r="Q31" s="49" t="s">
        <v>267</v>
      </c>
      <c r="R31" s="61"/>
      <c r="S31" s="62"/>
      <c r="T31" s="62" t="s">
        <v>92</v>
      </c>
      <c r="U31" s="22"/>
      <c r="V31" s="22"/>
      <c r="W31" s="22"/>
      <c r="X31" s="22"/>
      <c r="Y31" s="22"/>
      <c r="Z31" s="22"/>
      <c r="AA31" s="22"/>
      <c r="AB31" s="22"/>
      <c r="AC31" s="22"/>
      <c r="AD31" s="22"/>
      <c r="AE31" s="22"/>
      <c r="AF31" s="22"/>
    </row>
    <row r="32">
      <c r="A32" s="21"/>
      <c r="B32" s="43">
        <f t="shared" si="2"/>
        <v>26</v>
      </c>
      <c r="C32" s="44" t="s">
        <v>268</v>
      </c>
      <c r="D32" s="44" t="s">
        <v>4</v>
      </c>
      <c r="E32" s="45" t="s">
        <v>49</v>
      </c>
      <c r="F32" s="44" t="s">
        <v>269</v>
      </c>
      <c r="G32" s="46" t="s">
        <v>18</v>
      </c>
      <c r="H32" s="47" t="s">
        <v>6</v>
      </c>
      <c r="I32" s="60" t="s">
        <v>38</v>
      </c>
      <c r="J32" s="45" t="s">
        <v>270</v>
      </c>
      <c r="K32" s="45" t="s">
        <v>271</v>
      </c>
      <c r="L32" s="45" t="s">
        <v>272</v>
      </c>
      <c r="M32" s="49" t="s">
        <v>113</v>
      </c>
      <c r="N32" s="49" t="s">
        <v>123</v>
      </c>
      <c r="O32" s="49" t="s">
        <v>273</v>
      </c>
      <c r="P32" s="45" t="s">
        <v>132</v>
      </c>
      <c r="Q32" s="61"/>
      <c r="R32" s="61"/>
      <c r="S32" s="62"/>
      <c r="T32" s="62" t="s">
        <v>92</v>
      </c>
      <c r="U32" s="22"/>
      <c r="V32" s="22"/>
      <c r="W32" s="22"/>
      <c r="X32" s="22"/>
      <c r="Y32" s="22"/>
      <c r="Z32" s="22"/>
      <c r="AA32" s="22"/>
      <c r="AB32" s="22"/>
      <c r="AC32" s="22"/>
      <c r="AD32" s="22"/>
      <c r="AE32" s="22"/>
      <c r="AF32" s="22"/>
    </row>
    <row r="33">
      <c r="A33" s="21"/>
      <c r="B33" s="43">
        <f t="shared" si="2"/>
        <v>27</v>
      </c>
      <c r="C33" s="44" t="s">
        <v>274</v>
      </c>
      <c r="D33" s="44" t="s">
        <v>4</v>
      </c>
      <c r="E33" s="45" t="s">
        <v>49</v>
      </c>
      <c r="F33" s="44" t="s">
        <v>275</v>
      </c>
      <c r="G33" s="46" t="s">
        <v>18</v>
      </c>
      <c r="H33" s="47" t="s">
        <v>6</v>
      </c>
      <c r="I33" s="60" t="s">
        <v>38</v>
      </c>
      <c r="J33" s="45" t="s">
        <v>270</v>
      </c>
      <c r="K33" s="45" t="s">
        <v>276</v>
      </c>
      <c r="L33" s="45" t="s">
        <v>272</v>
      </c>
      <c r="M33" s="49" t="s">
        <v>113</v>
      </c>
      <c r="N33" s="49" t="s">
        <v>123</v>
      </c>
      <c r="O33" s="49" t="s">
        <v>273</v>
      </c>
      <c r="P33" s="45" t="s">
        <v>132</v>
      </c>
      <c r="Q33" s="61"/>
      <c r="R33" s="61"/>
      <c r="S33" s="62"/>
      <c r="T33" s="62" t="s">
        <v>92</v>
      </c>
      <c r="U33" s="22"/>
      <c r="V33" s="22"/>
      <c r="W33" s="22"/>
      <c r="X33" s="22"/>
      <c r="Y33" s="22"/>
      <c r="Z33" s="22"/>
      <c r="AA33" s="22"/>
      <c r="AB33" s="22"/>
      <c r="AC33" s="22"/>
      <c r="AD33" s="22"/>
      <c r="AE33" s="22"/>
      <c r="AF33" s="22"/>
    </row>
    <row r="34">
      <c r="A34" s="21"/>
      <c r="B34" s="43">
        <f t="shared" si="2"/>
        <v>28</v>
      </c>
      <c r="C34" s="44" t="s">
        <v>277</v>
      </c>
      <c r="D34" s="44" t="s">
        <v>4</v>
      </c>
      <c r="E34" s="45" t="s">
        <v>49</v>
      </c>
      <c r="F34" s="44" t="s">
        <v>278</v>
      </c>
      <c r="G34" s="46" t="s">
        <v>18</v>
      </c>
      <c r="H34" s="47" t="s">
        <v>6</v>
      </c>
      <c r="I34" s="60" t="s">
        <v>38</v>
      </c>
      <c r="J34" s="45" t="s">
        <v>279</v>
      </c>
      <c r="K34" s="45" t="s">
        <v>280</v>
      </c>
      <c r="L34" s="45" t="s">
        <v>281</v>
      </c>
      <c r="M34" s="54" t="s">
        <v>85</v>
      </c>
      <c r="N34" s="49" t="s">
        <v>123</v>
      </c>
      <c r="O34" s="49" t="s">
        <v>209</v>
      </c>
      <c r="P34" s="45" t="s">
        <v>132</v>
      </c>
      <c r="Q34" s="61"/>
      <c r="R34" s="61"/>
      <c r="S34" s="62"/>
      <c r="T34" s="62" t="s">
        <v>92</v>
      </c>
      <c r="U34" s="22"/>
      <c r="V34" s="22"/>
      <c r="W34" s="22"/>
      <c r="X34" s="22"/>
      <c r="Y34" s="22"/>
      <c r="Z34" s="22"/>
      <c r="AA34" s="22"/>
      <c r="AB34" s="22"/>
      <c r="AC34" s="22"/>
      <c r="AD34" s="22"/>
      <c r="AE34" s="22"/>
      <c r="AF34" s="22"/>
    </row>
    <row r="35">
      <c r="A35" s="21"/>
      <c r="B35" s="43">
        <f t="shared" si="2"/>
        <v>29</v>
      </c>
      <c r="C35" s="44" t="s">
        <v>282</v>
      </c>
      <c r="D35" s="44" t="s">
        <v>4</v>
      </c>
      <c r="E35" s="45" t="s">
        <v>51</v>
      </c>
      <c r="F35" s="44" t="s">
        <v>283</v>
      </c>
      <c r="G35" s="46" t="s">
        <v>18</v>
      </c>
      <c r="H35" s="47" t="s">
        <v>17</v>
      </c>
      <c r="I35" s="48" t="s">
        <v>36</v>
      </c>
      <c r="J35" s="45" t="s">
        <v>193</v>
      </c>
      <c r="K35" s="45" t="s">
        <v>284</v>
      </c>
      <c r="L35" s="45" t="s">
        <v>285</v>
      </c>
      <c r="M35" s="54" t="s">
        <v>113</v>
      </c>
      <c r="N35" s="49" t="s">
        <v>123</v>
      </c>
      <c r="O35" s="49" t="s">
        <v>131</v>
      </c>
      <c r="P35" s="45" t="s">
        <v>132</v>
      </c>
      <c r="Q35" s="61"/>
      <c r="R35" s="61"/>
      <c r="S35" s="62"/>
      <c r="T35" s="62" t="s">
        <v>286</v>
      </c>
      <c r="U35" s="22"/>
      <c r="V35" s="22"/>
      <c r="W35" s="22"/>
      <c r="X35" s="22"/>
      <c r="Y35" s="22"/>
      <c r="Z35" s="22"/>
      <c r="AA35" s="22"/>
      <c r="AB35" s="22"/>
      <c r="AC35" s="22"/>
      <c r="AD35" s="22"/>
      <c r="AE35" s="22"/>
      <c r="AF35" s="22"/>
    </row>
    <row r="36">
      <c r="A36" s="21"/>
      <c r="B36" s="43">
        <f t="shared" si="2"/>
        <v>30</v>
      </c>
      <c r="C36" s="44" t="s">
        <v>287</v>
      </c>
      <c r="D36" s="44" t="s">
        <v>5</v>
      </c>
      <c r="E36" s="45" t="s">
        <v>51</v>
      </c>
      <c r="F36" s="44" t="s">
        <v>288</v>
      </c>
      <c r="G36" s="46" t="s">
        <v>20</v>
      </c>
      <c r="H36" s="47" t="s">
        <v>6</v>
      </c>
      <c r="I36" s="48"/>
      <c r="J36" s="45" t="s">
        <v>193</v>
      </c>
      <c r="K36" s="45" t="s">
        <v>289</v>
      </c>
      <c r="L36" s="45" t="s">
        <v>290</v>
      </c>
      <c r="M36" s="54" t="s">
        <v>85</v>
      </c>
      <c r="N36" s="49" t="s">
        <v>123</v>
      </c>
      <c r="O36" s="49" t="s">
        <v>131</v>
      </c>
      <c r="P36" s="45" t="s">
        <v>132</v>
      </c>
      <c r="Q36" s="61"/>
      <c r="R36" s="61"/>
      <c r="S36" s="62"/>
      <c r="T36" s="62" t="s">
        <v>291</v>
      </c>
      <c r="U36" s="22"/>
      <c r="V36" s="22"/>
      <c r="W36" s="22"/>
      <c r="X36" s="22"/>
      <c r="Y36" s="22"/>
      <c r="Z36" s="22"/>
      <c r="AA36" s="22"/>
      <c r="AB36" s="22"/>
      <c r="AC36" s="22"/>
      <c r="AD36" s="22"/>
      <c r="AE36" s="22"/>
      <c r="AF36" s="22"/>
    </row>
    <row r="37">
      <c r="A37" s="21"/>
      <c r="B37" s="43">
        <f t="shared" si="2"/>
        <v>31</v>
      </c>
      <c r="C37" s="44" t="s">
        <v>292</v>
      </c>
      <c r="D37" s="44" t="s">
        <v>11</v>
      </c>
      <c r="E37" s="45" t="s">
        <v>60</v>
      </c>
      <c r="F37" s="44" t="s">
        <v>293</v>
      </c>
      <c r="G37" s="46" t="s">
        <v>20</v>
      </c>
      <c r="H37" s="47" t="s">
        <v>6</v>
      </c>
      <c r="I37" s="48" t="s">
        <v>36</v>
      </c>
      <c r="J37" s="45" t="s">
        <v>102</v>
      </c>
      <c r="K37" s="45" t="s">
        <v>294</v>
      </c>
      <c r="L37" s="45" t="s">
        <v>295</v>
      </c>
      <c r="M37" s="54" t="s">
        <v>113</v>
      </c>
      <c r="N37" s="49" t="s">
        <v>114</v>
      </c>
      <c r="O37" s="49" t="s">
        <v>209</v>
      </c>
      <c r="P37" s="45" t="s">
        <v>132</v>
      </c>
      <c r="Q37" s="61"/>
      <c r="R37" s="61"/>
      <c r="S37" s="62"/>
      <c r="T37" s="62" t="s">
        <v>92</v>
      </c>
      <c r="U37" s="22"/>
      <c r="V37" s="22"/>
      <c r="W37" s="22"/>
      <c r="X37" s="22"/>
      <c r="Y37" s="22"/>
      <c r="Z37" s="22"/>
      <c r="AA37" s="22"/>
      <c r="AB37" s="22"/>
      <c r="AC37" s="22"/>
      <c r="AD37" s="22"/>
      <c r="AE37" s="22"/>
      <c r="AF37" s="22"/>
    </row>
    <row r="38">
      <c r="A38" s="21"/>
      <c r="B38" s="43">
        <f t="shared" si="2"/>
        <v>32</v>
      </c>
      <c r="C38" s="44" t="s">
        <v>296</v>
      </c>
      <c r="D38" s="44" t="s">
        <v>7</v>
      </c>
      <c r="E38" s="45" t="s">
        <v>47</v>
      </c>
      <c r="F38" s="44" t="s">
        <v>297</v>
      </c>
      <c r="G38" s="46" t="s">
        <v>20</v>
      </c>
      <c r="H38" s="47" t="s">
        <v>15</v>
      </c>
      <c r="I38" s="48"/>
      <c r="J38" s="52"/>
      <c r="K38" s="45" t="s">
        <v>298</v>
      </c>
      <c r="L38" s="45" t="s">
        <v>299</v>
      </c>
      <c r="M38" s="54" t="s">
        <v>85</v>
      </c>
      <c r="N38" s="49" t="s">
        <v>114</v>
      </c>
      <c r="O38" s="49" t="s">
        <v>209</v>
      </c>
      <c r="P38" s="45" t="s">
        <v>132</v>
      </c>
      <c r="Q38" s="61"/>
      <c r="R38" s="61"/>
      <c r="S38" s="62"/>
      <c r="T38" s="62" t="s">
        <v>92</v>
      </c>
      <c r="U38" s="22"/>
      <c r="V38" s="22"/>
      <c r="W38" s="22"/>
      <c r="X38" s="22"/>
      <c r="Y38" s="22"/>
      <c r="Z38" s="22"/>
      <c r="AA38" s="22"/>
      <c r="AB38" s="22"/>
      <c r="AC38" s="22"/>
      <c r="AD38" s="22"/>
      <c r="AE38" s="22"/>
      <c r="AF38" s="22"/>
    </row>
    <row r="39">
      <c r="A39" s="21"/>
      <c r="B39" s="43">
        <f t="shared" si="2"/>
        <v>33</v>
      </c>
      <c r="C39" s="44" t="s">
        <v>300</v>
      </c>
      <c r="D39" s="44" t="s">
        <v>11</v>
      </c>
      <c r="E39" s="45" t="s">
        <v>59</v>
      </c>
      <c r="F39" s="44" t="s">
        <v>301</v>
      </c>
      <c r="G39" s="46" t="s">
        <v>20</v>
      </c>
      <c r="H39" s="47" t="s">
        <v>28</v>
      </c>
      <c r="I39" s="48" t="s">
        <v>36</v>
      </c>
      <c r="J39" s="45" t="s">
        <v>102</v>
      </c>
      <c r="K39" s="45" t="s">
        <v>302</v>
      </c>
      <c r="L39" s="45" t="s">
        <v>303</v>
      </c>
      <c r="M39" s="54" t="s">
        <v>113</v>
      </c>
      <c r="N39" s="49" t="s">
        <v>114</v>
      </c>
      <c r="O39" s="49" t="s">
        <v>209</v>
      </c>
      <c r="P39" s="45" t="s">
        <v>132</v>
      </c>
      <c r="Q39" s="61"/>
      <c r="R39" s="61"/>
      <c r="S39" s="62"/>
      <c r="T39" s="62" t="s">
        <v>92</v>
      </c>
      <c r="U39" s="22"/>
      <c r="V39" s="22"/>
      <c r="W39" s="22"/>
      <c r="X39" s="22"/>
      <c r="Y39" s="22"/>
      <c r="Z39" s="22"/>
      <c r="AA39" s="22"/>
      <c r="AB39" s="22"/>
      <c r="AC39" s="22"/>
      <c r="AD39" s="22"/>
      <c r="AE39" s="22"/>
      <c r="AF39" s="22"/>
    </row>
    <row r="40">
      <c r="A40" s="21"/>
      <c r="B40" s="43">
        <f t="shared" si="2"/>
        <v>34</v>
      </c>
      <c r="C40" s="44" t="s">
        <v>304</v>
      </c>
      <c r="D40" s="44" t="s">
        <v>11</v>
      </c>
      <c r="E40" s="45" t="s">
        <v>59</v>
      </c>
      <c r="F40" s="44" t="s">
        <v>305</v>
      </c>
      <c r="G40" s="46" t="s">
        <v>20</v>
      </c>
      <c r="H40" s="47" t="s">
        <v>6</v>
      </c>
      <c r="I40" s="48" t="s">
        <v>36</v>
      </c>
      <c r="J40" s="45" t="s">
        <v>102</v>
      </c>
      <c r="K40" s="45" t="s">
        <v>306</v>
      </c>
      <c r="L40" s="45" t="s">
        <v>303</v>
      </c>
      <c r="M40" s="54" t="s">
        <v>113</v>
      </c>
      <c r="N40" s="49" t="s">
        <v>114</v>
      </c>
      <c r="O40" s="49" t="s">
        <v>209</v>
      </c>
      <c r="P40" s="45" t="s">
        <v>132</v>
      </c>
      <c r="Q40" s="61"/>
      <c r="R40" s="61"/>
      <c r="S40" s="62"/>
      <c r="T40" s="62" t="s">
        <v>92</v>
      </c>
      <c r="U40" s="22"/>
      <c r="V40" s="22"/>
      <c r="W40" s="22"/>
      <c r="X40" s="22"/>
      <c r="Y40" s="22"/>
      <c r="Z40" s="22"/>
      <c r="AA40" s="22"/>
      <c r="AB40" s="22"/>
      <c r="AC40" s="22"/>
      <c r="AD40" s="22"/>
      <c r="AE40" s="22"/>
      <c r="AF40" s="22"/>
    </row>
    <row r="41">
      <c r="A41" s="21"/>
      <c r="B41" s="43">
        <f t="shared" si="2"/>
        <v>35</v>
      </c>
      <c r="C41" s="44" t="s">
        <v>307</v>
      </c>
      <c r="D41" s="44" t="s">
        <v>4</v>
      </c>
      <c r="E41" s="45" t="s">
        <v>51</v>
      </c>
      <c r="F41" s="44" t="s">
        <v>308</v>
      </c>
      <c r="G41" s="46" t="s">
        <v>22</v>
      </c>
      <c r="H41" s="47" t="s">
        <v>6</v>
      </c>
      <c r="I41" s="48" t="s">
        <v>32</v>
      </c>
      <c r="J41" s="45"/>
      <c r="K41" s="45" t="s">
        <v>309</v>
      </c>
      <c r="L41" s="45" t="s">
        <v>310</v>
      </c>
      <c r="M41" s="54" t="s">
        <v>113</v>
      </c>
      <c r="N41" s="49" t="s">
        <v>123</v>
      </c>
      <c r="O41" s="49" t="s">
        <v>311</v>
      </c>
      <c r="P41" s="45" t="s">
        <v>132</v>
      </c>
      <c r="Q41" s="61"/>
      <c r="R41" s="61"/>
      <c r="S41" s="62"/>
      <c r="T41" s="62" t="s">
        <v>312</v>
      </c>
      <c r="U41" s="22"/>
      <c r="V41" s="22"/>
      <c r="W41" s="22"/>
      <c r="X41" s="22"/>
      <c r="Y41" s="22"/>
      <c r="Z41" s="22"/>
      <c r="AA41" s="22"/>
      <c r="AB41" s="22"/>
      <c r="AC41" s="22"/>
      <c r="AD41" s="22"/>
      <c r="AE41" s="22"/>
      <c r="AF41" s="22"/>
    </row>
    <row r="42">
      <c r="A42" s="21"/>
      <c r="B42" s="43">
        <f t="shared" si="2"/>
        <v>36</v>
      </c>
      <c r="C42" s="44" t="s">
        <v>313</v>
      </c>
      <c r="D42" s="44" t="s">
        <v>5</v>
      </c>
      <c r="E42" s="45" t="s">
        <v>49</v>
      </c>
      <c r="F42" s="44" t="s">
        <v>314</v>
      </c>
      <c r="G42" s="46" t="s">
        <v>26</v>
      </c>
      <c r="H42" s="47" t="s">
        <v>6</v>
      </c>
      <c r="I42" s="48" t="s">
        <v>32</v>
      </c>
      <c r="J42" s="45"/>
      <c r="K42" s="45" t="s">
        <v>315</v>
      </c>
      <c r="L42" s="45" t="s">
        <v>316</v>
      </c>
      <c r="M42" s="49" t="s">
        <v>85</v>
      </c>
      <c r="N42" s="49" t="s">
        <v>123</v>
      </c>
      <c r="O42" s="49" t="s">
        <v>317</v>
      </c>
      <c r="P42" s="45" t="s">
        <v>132</v>
      </c>
      <c r="Q42" s="61"/>
      <c r="R42" s="61"/>
      <c r="S42" s="62"/>
      <c r="T42" s="62" t="s">
        <v>92</v>
      </c>
      <c r="U42" s="22"/>
      <c r="V42" s="22"/>
      <c r="W42" s="22"/>
      <c r="X42" s="22"/>
      <c r="Y42" s="22"/>
      <c r="Z42" s="22"/>
      <c r="AA42" s="22"/>
      <c r="AB42" s="22"/>
      <c r="AC42" s="22"/>
      <c r="AD42" s="22"/>
      <c r="AE42" s="22"/>
      <c r="AF42" s="22"/>
    </row>
    <row r="43">
      <c r="A43" s="21"/>
      <c r="B43" s="43">
        <f t="shared" si="2"/>
        <v>37</v>
      </c>
      <c r="C43" s="44" t="s">
        <v>318</v>
      </c>
      <c r="D43" s="44" t="s">
        <v>4</v>
      </c>
      <c r="E43" s="45" t="s">
        <v>51</v>
      </c>
      <c r="F43" s="44" t="s">
        <v>319</v>
      </c>
      <c r="G43" s="46" t="s">
        <v>20</v>
      </c>
      <c r="H43" s="47" t="s">
        <v>6</v>
      </c>
      <c r="I43" s="48" t="s">
        <v>36</v>
      </c>
      <c r="J43" s="45" t="s">
        <v>320</v>
      </c>
      <c r="K43" s="45" t="s">
        <v>321</v>
      </c>
      <c r="L43" s="45" t="s">
        <v>310</v>
      </c>
      <c r="M43" s="54" t="s">
        <v>113</v>
      </c>
      <c r="N43" s="49" t="s">
        <v>123</v>
      </c>
      <c r="O43" s="49" t="s">
        <v>322</v>
      </c>
      <c r="P43" s="45" t="s">
        <v>132</v>
      </c>
      <c r="Q43" s="61"/>
      <c r="R43" s="61"/>
      <c r="S43" s="62"/>
      <c r="T43" s="62" t="s">
        <v>323</v>
      </c>
      <c r="U43" s="22"/>
      <c r="V43" s="22"/>
      <c r="W43" s="22"/>
      <c r="X43" s="22"/>
      <c r="Y43" s="22"/>
      <c r="Z43" s="22"/>
      <c r="AA43" s="22"/>
      <c r="AB43" s="22"/>
      <c r="AC43" s="22"/>
      <c r="AD43" s="22"/>
      <c r="AE43" s="22"/>
      <c r="AF43" s="22"/>
    </row>
    <row r="44">
      <c r="A44" s="21"/>
      <c r="B44" s="43">
        <f t="shared" si="2"/>
        <v>38</v>
      </c>
      <c r="C44" s="44" t="s">
        <v>324</v>
      </c>
      <c r="D44" s="44" t="s">
        <v>5</v>
      </c>
      <c r="E44" s="45" t="s">
        <v>56</v>
      </c>
      <c r="F44" s="44" t="s">
        <v>325</v>
      </c>
      <c r="G44" s="46" t="s">
        <v>20</v>
      </c>
      <c r="H44" s="47" t="s">
        <v>10</v>
      </c>
      <c r="I44" s="48"/>
      <c r="J44" s="52"/>
      <c r="K44" s="45" t="s">
        <v>326</v>
      </c>
      <c r="L44" s="45" t="s">
        <v>327</v>
      </c>
      <c r="M44" s="54" t="s">
        <v>85</v>
      </c>
      <c r="N44" s="49" t="s">
        <v>114</v>
      </c>
      <c r="O44" s="49" t="s">
        <v>87</v>
      </c>
      <c r="P44" s="45" t="s">
        <v>105</v>
      </c>
      <c r="Q44" s="49" t="s">
        <v>328</v>
      </c>
      <c r="R44" s="55" t="s">
        <v>329</v>
      </c>
      <c r="S44" s="45" t="s">
        <v>330</v>
      </c>
      <c r="T44" s="45" t="s">
        <v>92</v>
      </c>
      <c r="U44" s="22"/>
      <c r="V44" s="22"/>
      <c r="W44" s="22"/>
      <c r="X44" s="22"/>
      <c r="Y44" s="22"/>
      <c r="Z44" s="22"/>
      <c r="AA44" s="22"/>
      <c r="AB44" s="22"/>
      <c r="AC44" s="22"/>
      <c r="AD44" s="22"/>
      <c r="AE44" s="22"/>
      <c r="AF44" s="22"/>
    </row>
    <row r="45">
      <c r="A45" s="21"/>
      <c r="B45" s="43">
        <f t="shared" si="2"/>
        <v>39</v>
      </c>
      <c r="C45" s="44" t="s">
        <v>331</v>
      </c>
      <c r="D45" s="44" t="s">
        <v>11</v>
      </c>
      <c r="E45" s="45" t="s">
        <v>51</v>
      </c>
      <c r="F45" s="44" t="s">
        <v>332</v>
      </c>
      <c r="G45" s="46" t="s">
        <v>20</v>
      </c>
      <c r="H45" s="47"/>
      <c r="I45" s="48"/>
      <c r="J45" s="52"/>
      <c r="K45" s="45" t="s">
        <v>333</v>
      </c>
      <c r="L45" s="45" t="s">
        <v>208</v>
      </c>
      <c r="M45" s="54" t="s">
        <v>113</v>
      </c>
      <c r="N45" s="49" t="s">
        <v>114</v>
      </c>
      <c r="O45" s="49" t="s">
        <v>209</v>
      </c>
      <c r="P45" s="45" t="s">
        <v>132</v>
      </c>
      <c r="Q45" s="61"/>
      <c r="R45" s="61"/>
      <c r="S45" s="62"/>
      <c r="T45" s="62" t="s">
        <v>334</v>
      </c>
      <c r="U45" s="22"/>
      <c r="V45" s="22"/>
      <c r="W45" s="22"/>
      <c r="X45" s="22"/>
      <c r="Y45" s="22"/>
      <c r="Z45" s="22"/>
      <c r="AA45" s="22"/>
      <c r="AB45" s="22"/>
      <c r="AC45" s="22"/>
      <c r="AD45" s="22"/>
      <c r="AE45" s="22"/>
      <c r="AF45" s="22"/>
    </row>
    <row r="46">
      <c r="A46" s="21"/>
      <c r="B46" s="43">
        <f t="shared" si="2"/>
        <v>40</v>
      </c>
      <c r="C46" s="44" t="s">
        <v>335</v>
      </c>
      <c r="D46" s="44" t="s">
        <v>11</v>
      </c>
      <c r="E46" s="45" t="s">
        <v>59</v>
      </c>
      <c r="F46" s="44" t="s">
        <v>336</v>
      </c>
      <c r="G46" s="46" t="s">
        <v>20</v>
      </c>
      <c r="H46" s="47"/>
      <c r="I46" s="48"/>
      <c r="J46" s="52"/>
      <c r="K46" s="45" t="s">
        <v>337</v>
      </c>
      <c r="L46" s="45" t="s">
        <v>208</v>
      </c>
      <c r="M46" s="54" t="s">
        <v>113</v>
      </c>
      <c r="N46" s="49" t="s">
        <v>114</v>
      </c>
      <c r="O46" s="49" t="s">
        <v>209</v>
      </c>
      <c r="P46" s="45" t="s">
        <v>132</v>
      </c>
      <c r="Q46" s="61"/>
      <c r="R46" s="61"/>
      <c r="S46" s="62"/>
      <c r="T46" s="62" t="s">
        <v>92</v>
      </c>
      <c r="U46" s="22"/>
      <c r="V46" s="22"/>
      <c r="W46" s="22"/>
      <c r="X46" s="22"/>
      <c r="Y46" s="22"/>
      <c r="Z46" s="22"/>
      <c r="AA46" s="22"/>
      <c r="AB46" s="22"/>
      <c r="AC46" s="22"/>
      <c r="AD46" s="22"/>
      <c r="AE46" s="22"/>
      <c r="AF46" s="22"/>
    </row>
    <row r="47">
      <c r="A47" s="21"/>
      <c r="B47" s="43">
        <f t="shared" si="2"/>
        <v>41</v>
      </c>
      <c r="C47" s="44" t="s">
        <v>338</v>
      </c>
      <c r="D47" s="44" t="s">
        <v>11</v>
      </c>
      <c r="E47" s="45" t="s">
        <v>59</v>
      </c>
      <c r="F47" s="44" t="s">
        <v>339</v>
      </c>
      <c r="G47" s="46" t="s">
        <v>20</v>
      </c>
      <c r="H47" s="47" t="s">
        <v>17</v>
      </c>
      <c r="I47" s="48"/>
      <c r="J47" s="52"/>
      <c r="K47" s="45" t="s">
        <v>340</v>
      </c>
      <c r="L47" s="45" t="s">
        <v>208</v>
      </c>
      <c r="M47" s="54" t="s">
        <v>113</v>
      </c>
      <c r="N47" s="49" t="s">
        <v>114</v>
      </c>
      <c r="O47" s="49" t="s">
        <v>209</v>
      </c>
      <c r="P47" s="45" t="s">
        <v>132</v>
      </c>
      <c r="Q47" s="61"/>
      <c r="R47" s="61"/>
      <c r="S47" s="62"/>
      <c r="T47" s="62" t="s">
        <v>92</v>
      </c>
      <c r="U47" s="22"/>
      <c r="V47" s="22"/>
      <c r="W47" s="22"/>
      <c r="X47" s="22"/>
      <c r="Y47" s="22"/>
      <c r="Z47" s="22"/>
      <c r="AA47" s="22"/>
      <c r="AB47" s="22"/>
      <c r="AC47" s="22"/>
      <c r="AD47" s="22"/>
      <c r="AE47" s="22"/>
      <c r="AF47" s="22"/>
    </row>
    <row r="48">
      <c r="A48" s="21"/>
      <c r="B48" s="43">
        <f t="shared" si="2"/>
        <v>42</v>
      </c>
      <c r="C48" s="44" t="s">
        <v>341</v>
      </c>
      <c r="D48" s="44" t="s">
        <v>9</v>
      </c>
      <c r="E48" s="45" t="s">
        <v>57</v>
      </c>
      <c r="F48" s="44" t="s">
        <v>342</v>
      </c>
      <c r="G48" s="46" t="s">
        <v>18</v>
      </c>
      <c r="H48" s="47" t="s">
        <v>17</v>
      </c>
      <c r="I48" s="60" t="s">
        <v>38</v>
      </c>
      <c r="J48" s="45" t="s">
        <v>193</v>
      </c>
      <c r="K48" s="45" t="s">
        <v>343</v>
      </c>
      <c r="L48" s="45" t="s">
        <v>252</v>
      </c>
      <c r="M48" s="54" t="s">
        <v>253</v>
      </c>
      <c r="N48" s="49" t="s">
        <v>86</v>
      </c>
      <c r="O48" s="49" t="s">
        <v>87</v>
      </c>
      <c r="P48" s="45" t="s">
        <v>88</v>
      </c>
      <c r="Q48" s="61"/>
      <c r="R48" s="61"/>
      <c r="S48" s="62"/>
      <c r="T48" s="62" t="s">
        <v>92</v>
      </c>
      <c r="U48" s="22"/>
      <c r="V48" s="22"/>
      <c r="W48" s="22"/>
      <c r="X48" s="22"/>
      <c r="Y48" s="22"/>
      <c r="Z48" s="22"/>
      <c r="AA48" s="22"/>
      <c r="AB48" s="22"/>
      <c r="AC48" s="22"/>
      <c r="AD48" s="22"/>
      <c r="AE48" s="22"/>
      <c r="AF48" s="22"/>
    </row>
    <row r="49">
      <c r="A49" s="21"/>
      <c r="B49" s="43">
        <f t="shared" si="2"/>
        <v>43</v>
      </c>
      <c r="C49" s="44" t="s">
        <v>344</v>
      </c>
      <c r="D49" s="44" t="s">
        <v>9</v>
      </c>
      <c r="E49" s="45" t="s">
        <v>57</v>
      </c>
      <c r="F49" s="44" t="s">
        <v>345</v>
      </c>
      <c r="G49" s="46" t="s">
        <v>18</v>
      </c>
      <c r="H49" s="47" t="s">
        <v>28</v>
      </c>
      <c r="I49" s="60" t="s">
        <v>38</v>
      </c>
      <c r="J49" s="45" t="s">
        <v>193</v>
      </c>
      <c r="K49" s="45" t="s">
        <v>346</v>
      </c>
      <c r="L49" s="45" t="s">
        <v>252</v>
      </c>
      <c r="M49" s="54" t="s">
        <v>253</v>
      </c>
      <c r="N49" s="49" t="s">
        <v>86</v>
      </c>
      <c r="O49" s="49" t="s">
        <v>131</v>
      </c>
      <c r="P49" s="45" t="s">
        <v>88</v>
      </c>
      <c r="Q49" s="61"/>
      <c r="R49" s="61"/>
      <c r="S49" s="62"/>
      <c r="T49" s="62" t="s">
        <v>92</v>
      </c>
      <c r="U49" s="22"/>
      <c r="V49" s="22"/>
      <c r="W49" s="22"/>
      <c r="X49" s="22"/>
      <c r="Y49" s="22"/>
      <c r="Z49" s="22"/>
      <c r="AA49" s="22"/>
      <c r="AB49" s="22"/>
      <c r="AC49" s="22"/>
      <c r="AD49" s="22"/>
      <c r="AE49" s="22"/>
      <c r="AF49" s="22"/>
    </row>
    <row r="50">
      <c r="A50" s="21"/>
      <c r="B50" s="43">
        <f t="shared" si="2"/>
        <v>44</v>
      </c>
      <c r="C50" s="44" t="s">
        <v>347</v>
      </c>
      <c r="D50" s="44" t="s">
        <v>11</v>
      </c>
      <c r="E50" s="45" t="s">
        <v>41</v>
      </c>
      <c r="F50" s="44" t="s">
        <v>348</v>
      </c>
      <c r="G50" s="46" t="s">
        <v>22</v>
      </c>
      <c r="H50" s="47" t="s">
        <v>28</v>
      </c>
      <c r="I50" s="48" t="s">
        <v>32</v>
      </c>
      <c r="J50" s="45"/>
      <c r="K50" s="45" t="s">
        <v>349</v>
      </c>
      <c r="L50" s="45" t="s">
        <v>350</v>
      </c>
      <c r="M50" s="54" t="s">
        <v>85</v>
      </c>
      <c r="N50" s="49" t="s">
        <v>86</v>
      </c>
      <c r="O50" s="49" t="s">
        <v>311</v>
      </c>
      <c r="P50" s="45" t="s">
        <v>105</v>
      </c>
      <c r="Q50" s="61"/>
      <c r="R50" s="61"/>
      <c r="S50" s="62"/>
      <c r="T50" s="62" t="s">
        <v>92</v>
      </c>
      <c r="U50" s="22"/>
      <c r="V50" s="22"/>
      <c r="W50" s="22"/>
      <c r="X50" s="22"/>
      <c r="Y50" s="22"/>
      <c r="Z50" s="22"/>
      <c r="AA50" s="22"/>
      <c r="AB50" s="22"/>
      <c r="AC50" s="22"/>
      <c r="AD50" s="22"/>
      <c r="AE50" s="22"/>
      <c r="AF50" s="22"/>
    </row>
    <row r="51">
      <c r="A51" s="21"/>
      <c r="B51" s="43">
        <f t="shared" si="2"/>
        <v>45</v>
      </c>
      <c r="C51" s="44" t="s">
        <v>351</v>
      </c>
      <c r="D51" s="44" t="s">
        <v>4</v>
      </c>
      <c r="E51" s="45" t="s">
        <v>49</v>
      </c>
      <c r="F51" s="44" t="s">
        <v>352</v>
      </c>
      <c r="G51" s="46" t="s">
        <v>20</v>
      </c>
      <c r="H51" s="47" t="s">
        <v>6</v>
      </c>
      <c r="I51" s="48" t="s">
        <v>32</v>
      </c>
      <c r="J51" s="45"/>
      <c r="K51" s="45" t="s">
        <v>353</v>
      </c>
      <c r="L51" s="45" t="s">
        <v>354</v>
      </c>
      <c r="M51" s="54" t="s">
        <v>253</v>
      </c>
      <c r="N51" s="49" t="s">
        <v>123</v>
      </c>
      <c r="O51" s="49" t="s">
        <v>317</v>
      </c>
      <c r="P51" s="45" t="s">
        <v>132</v>
      </c>
      <c r="Q51" s="49" t="s">
        <v>355</v>
      </c>
      <c r="R51" s="55" t="s">
        <v>356</v>
      </c>
      <c r="S51" s="45" t="s">
        <v>357</v>
      </c>
      <c r="T51" s="45" t="s">
        <v>92</v>
      </c>
      <c r="U51" s="22"/>
      <c r="V51" s="22"/>
      <c r="W51" s="22"/>
      <c r="X51" s="22"/>
      <c r="Y51" s="22"/>
      <c r="Z51" s="22"/>
      <c r="AA51" s="22"/>
      <c r="AB51" s="22"/>
      <c r="AC51" s="22"/>
      <c r="AD51" s="22"/>
      <c r="AE51" s="22"/>
      <c r="AF51" s="22"/>
    </row>
    <row r="52">
      <c r="A52" s="21"/>
      <c r="B52" s="43">
        <f t="shared" si="2"/>
        <v>46</v>
      </c>
      <c r="C52" s="44" t="s">
        <v>358</v>
      </c>
      <c r="D52" s="44" t="s">
        <v>4</v>
      </c>
      <c r="E52" s="45" t="s">
        <v>46</v>
      </c>
      <c r="F52" s="44" t="s">
        <v>359</v>
      </c>
      <c r="G52" s="46" t="s">
        <v>20</v>
      </c>
      <c r="H52" s="47" t="s">
        <v>17</v>
      </c>
      <c r="I52" s="48"/>
      <c r="J52" s="52"/>
      <c r="K52" s="45" t="s">
        <v>360</v>
      </c>
      <c r="L52" s="45" t="s">
        <v>361</v>
      </c>
      <c r="M52" s="54" t="s">
        <v>85</v>
      </c>
      <c r="N52" s="49" t="s">
        <v>123</v>
      </c>
      <c r="O52" s="49" t="s">
        <v>131</v>
      </c>
      <c r="P52" s="45" t="s">
        <v>105</v>
      </c>
      <c r="Q52" s="61"/>
      <c r="R52" s="61"/>
      <c r="S52" s="62"/>
      <c r="T52" s="62" t="s">
        <v>92</v>
      </c>
      <c r="U52" s="22"/>
      <c r="V52" s="22"/>
      <c r="W52" s="22"/>
      <c r="X52" s="22"/>
      <c r="Y52" s="22"/>
      <c r="Z52" s="22"/>
      <c r="AA52" s="22"/>
      <c r="AB52" s="22"/>
      <c r="AC52" s="22"/>
      <c r="AD52" s="22"/>
      <c r="AE52" s="22"/>
      <c r="AF52" s="22"/>
    </row>
    <row r="53">
      <c r="A53" s="21"/>
      <c r="B53" s="43">
        <f t="shared" si="2"/>
        <v>47</v>
      </c>
      <c r="C53" s="44" t="s">
        <v>362</v>
      </c>
      <c r="D53" s="44" t="s">
        <v>9</v>
      </c>
      <c r="E53" s="45" t="s">
        <v>46</v>
      </c>
      <c r="F53" s="44" t="s">
        <v>363</v>
      </c>
      <c r="G53" s="46" t="s">
        <v>20</v>
      </c>
      <c r="H53" s="47" t="s">
        <v>17</v>
      </c>
      <c r="I53" s="48"/>
      <c r="J53" s="52"/>
      <c r="K53" s="45" t="s">
        <v>364</v>
      </c>
      <c r="L53" s="45" t="s">
        <v>365</v>
      </c>
      <c r="M53" s="54" t="s">
        <v>85</v>
      </c>
      <c r="N53" s="49" t="s">
        <v>123</v>
      </c>
      <c r="O53" s="49" t="s">
        <v>131</v>
      </c>
      <c r="P53" s="45" t="s">
        <v>105</v>
      </c>
      <c r="Q53" s="61"/>
      <c r="R53" s="61"/>
      <c r="S53" s="62"/>
      <c r="T53" s="62" t="s">
        <v>92</v>
      </c>
      <c r="U53" s="22"/>
      <c r="V53" s="22"/>
      <c r="W53" s="22"/>
      <c r="X53" s="22"/>
      <c r="Y53" s="22"/>
      <c r="Z53" s="22"/>
      <c r="AA53" s="22"/>
      <c r="AB53" s="22"/>
      <c r="AC53" s="22"/>
      <c r="AD53" s="22"/>
      <c r="AE53" s="22"/>
      <c r="AF53" s="22"/>
    </row>
    <row r="54">
      <c r="A54" s="21"/>
      <c r="B54" s="43">
        <f t="shared" si="2"/>
        <v>48</v>
      </c>
      <c r="C54" s="44" t="s">
        <v>366</v>
      </c>
      <c r="D54" s="44" t="s">
        <v>4</v>
      </c>
      <c r="E54" s="45" t="s">
        <v>49</v>
      </c>
      <c r="F54" s="44" t="s">
        <v>367</v>
      </c>
      <c r="G54" s="46" t="s">
        <v>20</v>
      </c>
      <c r="H54" s="47" t="s">
        <v>8</v>
      </c>
      <c r="I54" s="48"/>
      <c r="J54" s="52"/>
      <c r="K54" s="45" t="s">
        <v>368</v>
      </c>
      <c r="L54" s="45" t="s">
        <v>327</v>
      </c>
      <c r="M54" s="54" t="s">
        <v>85</v>
      </c>
      <c r="N54" s="49" t="s">
        <v>123</v>
      </c>
      <c r="O54" s="49" t="s">
        <v>131</v>
      </c>
      <c r="P54" s="45" t="s">
        <v>132</v>
      </c>
      <c r="Q54" s="49" t="s">
        <v>369</v>
      </c>
      <c r="R54" s="55" t="s">
        <v>370</v>
      </c>
      <c r="S54" s="45" t="s">
        <v>371</v>
      </c>
      <c r="T54" s="45" t="s">
        <v>92</v>
      </c>
      <c r="U54" s="22"/>
      <c r="V54" s="22"/>
      <c r="W54" s="22"/>
      <c r="X54" s="22"/>
      <c r="Y54" s="22"/>
      <c r="Z54" s="22"/>
      <c r="AA54" s="22"/>
      <c r="AB54" s="22"/>
      <c r="AC54" s="22"/>
      <c r="AD54" s="22"/>
      <c r="AE54" s="22"/>
      <c r="AF54" s="22"/>
    </row>
    <row r="55">
      <c r="A55" s="21"/>
      <c r="B55" s="43">
        <f t="shared" si="2"/>
        <v>49</v>
      </c>
      <c r="C55" s="44" t="s">
        <v>372</v>
      </c>
      <c r="D55" s="44" t="s">
        <v>4</v>
      </c>
      <c r="E55" s="45" t="s">
        <v>63</v>
      </c>
      <c r="F55" s="44" t="s">
        <v>373</v>
      </c>
      <c r="G55" s="46" t="s">
        <v>20</v>
      </c>
      <c r="H55" s="47"/>
      <c r="I55" s="48"/>
      <c r="J55" s="52"/>
      <c r="K55" s="45" t="s">
        <v>374</v>
      </c>
      <c r="L55" s="45" t="s">
        <v>375</v>
      </c>
      <c r="M55" s="54" t="s">
        <v>113</v>
      </c>
      <c r="N55" s="49" t="s">
        <v>123</v>
      </c>
      <c r="O55" s="49" t="s">
        <v>131</v>
      </c>
      <c r="P55" s="45" t="s">
        <v>132</v>
      </c>
      <c r="Q55" s="49" t="s">
        <v>376</v>
      </c>
      <c r="R55" s="55" t="s">
        <v>377</v>
      </c>
      <c r="S55" s="45" t="s">
        <v>378</v>
      </c>
      <c r="T55" s="45" t="s">
        <v>92</v>
      </c>
      <c r="U55" s="22"/>
      <c r="V55" s="22"/>
      <c r="W55" s="22"/>
      <c r="X55" s="22"/>
      <c r="Y55" s="22"/>
      <c r="Z55" s="22"/>
      <c r="AA55" s="22"/>
      <c r="AB55" s="22"/>
      <c r="AC55" s="22"/>
      <c r="AD55" s="22"/>
      <c r="AE55" s="22"/>
      <c r="AF55" s="22"/>
    </row>
    <row r="56">
      <c r="A56" s="21"/>
      <c r="B56" s="43">
        <f t="shared" si="2"/>
        <v>50</v>
      </c>
      <c r="C56" s="44" t="s">
        <v>379</v>
      </c>
      <c r="D56" s="44" t="s">
        <v>9</v>
      </c>
      <c r="E56" s="45" t="s">
        <v>53</v>
      </c>
      <c r="F56" s="44" t="s">
        <v>380</v>
      </c>
      <c r="G56" s="46" t="s">
        <v>18</v>
      </c>
      <c r="H56" s="47" t="s">
        <v>17</v>
      </c>
      <c r="I56" s="48"/>
      <c r="J56" s="52"/>
      <c r="K56" s="45" t="s">
        <v>381</v>
      </c>
      <c r="L56" s="45" t="s">
        <v>327</v>
      </c>
      <c r="M56" s="54" t="s">
        <v>85</v>
      </c>
      <c r="N56" s="49" t="s">
        <v>123</v>
      </c>
      <c r="O56" s="49" t="s">
        <v>382</v>
      </c>
      <c r="P56" s="45" t="s">
        <v>132</v>
      </c>
      <c r="Q56" s="61"/>
      <c r="R56" s="61"/>
      <c r="S56" s="62"/>
      <c r="T56" s="62" t="s">
        <v>92</v>
      </c>
      <c r="U56" s="22"/>
      <c r="V56" s="22"/>
      <c r="W56" s="22"/>
      <c r="X56" s="22"/>
      <c r="Y56" s="22"/>
      <c r="Z56" s="22"/>
      <c r="AA56" s="22"/>
      <c r="AB56" s="22"/>
      <c r="AC56" s="22"/>
      <c r="AD56" s="22"/>
      <c r="AE56" s="22"/>
      <c r="AF56" s="22"/>
    </row>
    <row r="57">
      <c r="A57" s="21"/>
      <c r="B57" s="43">
        <f t="shared" si="2"/>
        <v>51</v>
      </c>
      <c r="C57" s="44" t="s">
        <v>383</v>
      </c>
      <c r="D57" s="44" t="s">
        <v>4</v>
      </c>
      <c r="E57" s="45" t="s">
        <v>49</v>
      </c>
      <c r="F57" s="44" t="s">
        <v>384</v>
      </c>
      <c r="G57" s="46" t="s">
        <v>20</v>
      </c>
      <c r="H57" s="47" t="s">
        <v>6</v>
      </c>
      <c r="I57" s="48" t="s">
        <v>36</v>
      </c>
      <c r="J57" s="45" t="s">
        <v>320</v>
      </c>
      <c r="K57" s="45" t="s">
        <v>385</v>
      </c>
      <c r="L57" s="45" t="s">
        <v>386</v>
      </c>
      <c r="M57" s="54" t="s">
        <v>85</v>
      </c>
      <c r="N57" s="49" t="s">
        <v>123</v>
      </c>
      <c r="O57" s="49" t="s">
        <v>131</v>
      </c>
      <c r="P57" s="45" t="s">
        <v>105</v>
      </c>
      <c r="Q57" s="49" t="s">
        <v>387</v>
      </c>
      <c r="R57" s="55" t="s">
        <v>388</v>
      </c>
      <c r="S57" s="45" t="s">
        <v>389</v>
      </c>
      <c r="T57" s="45" t="s">
        <v>92</v>
      </c>
      <c r="U57" s="22"/>
      <c r="V57" s="22"/>
      <c r="W57" s="22"/>
      <c r="X57" s="22"/>
      <c r="Y57" s="22"/>
      <c r="Z57" s="22"/>
      <c r="AA57" s="22"/>
      <c r="AB57" s="22"/>
      <c r="AC57" s="22"/>
      <c r="AD57" s="22"/>
      <c r="AE57" s="22"/>
      <c r="AF57" s="22"/>
    </row>
    <row r="58">
      <c r="A58" s="21"/>
      <c r="B58" s="43">
        <f t="shared" si="2"/>
        <v>52</v>
      </c>
      <c r="C58" s="44" t="s">
        <v>390</v>
      </c>
      <c r="D58" s="44" t="s">
        <v>9</v>
      </c>
      <c r="E58" s="45" t="s">
        <v>53</v>
      </c>
      <c r="F58" s="44" t="s">
        <v>391</v>
      </c>
      <c r="G58" s="46" t="s">
        <v>20</v>
      </c>
      <c r="H58" s="47" t="s">
        <v>17</v>
      </c>
      <c r="I58" s="48"/>
      <c r="J58" s="52"/>
      <c r="K58" s="45" t="s">
        <v>392</v>
      </c>
      <c r="L58" s="45" t="s">
        <v>393</v>
      </c>
      <c r="M58" s="54" t="s">
        <v>113</v>
      </c>
      <c r="N58" s="49" t="s">
        <v>394</v>
      </c>
      <c r="O58" s="49" t="s">
        <v>131</v>
      </c>
      <c r="P58" s="45" t="s">
        <v>132</v>
      </c>
      <c r="Q58" s="49" t="s">
        <v>395</v>
      </c>
      <c r="R58" s="55" t="s">
        <v>396</v>
      </c>
      <c r="S58" s="45" t="s">
        <v>397</v>
      </c>
      <c r="T58" s="45" t="s">
        <v>92</v>
      </c>
      <c r="U58" s="22"/>
      <c r="V58" s="22"/>
      <c r="W58" s="22"/>
      <c r="X58" s="22"/>
      <c r="Y58" s="22"/>
      <c r="Z58" s="22"/>
      <c r="AA58" s="22"/>
      <c r="AB58" s="22"/>
      <c r="AC58" s="22"/>
      <c r="AD58" s="22"/>
      <c r="AE58" s="22"/>
      <c r="AF58" s="22"/>
    </row>
    <row r="59">
      <c r="A59" s="21"/>
      <c r="B59" s="43">
        <f t="shared" si="2"/>
        <v>53</v>
      </c>
      <c r="C59" s="44" t="s">
        <v>398</v>
      </c>
      <c r="D59" s="44" t="s">
        <v>9</v>
      </c>
      <c r="E59" s="45" t="s">
        <v>46</v>
      </c>
      <c r="F59" s="44" t="s">
        <v>399</v>
      </c>
      <c r="G59" s="46" t="s">
        <v>20</v>
      </c>
      <c r="H59" s="47" t="s">
        <v>17</v>
      </c>
      <c r="I59" s="48"/>
      <c r="J59" s="52"/>
      <c r="K59" s="45" t="s">
        <v>400</v>
      </c>
      <c r="L59" s="45" t="s">
        <v>386</v>
      </c>
      <c r="M59" s="54" t="s">
        <v>85</v>
      </c>
      <c r="N59" s="49" t="s">
        <v>86</v>
      </c>
      <c r="O59" s="49" t="s">
        <v>401</v>
      </c>
      <c r="P59" s="45" t="s">
        <v>105</v>
      </c>
      <c r="Q59" s="49" t="s">
        <v>402</v>
      </c>
      <c r="R59" s="55" t="s">
        <v>403</v>
      </c>
      <c r="S59" s="45" t="s">
        <v>404</v>
      </c>
      <c r="T59" s="45" t="s">
        <v>92</v>
      </c>
      <c r="U59" s="22"/>
      <c r="V59" s="22"/>
      <c r="W59" s="22"/>
      <c r="X59" s="22"/>
      <c r="Y59" s="22"/>
      <c r="Z59" s="22"/>
      <c r="AA59" s="22"/>
      <c r="AB59" s="22"/>
      <c r="AC59" s="22"/>
      <c r="AD59" s="22"/>
      <c r="AE59" s="22"/>
      <c r="AF59" s="22"/>
    </row>
    <row r="60">
      <c r="A60" s="21"/>
      <c r="B60" s="43">
        <f t="shared" si="2"/>
        <v>54</v>
      </c>
      <c r="C60" s="44" t="s">
        <v>405</v>
      </c>
      <c r="D60" s="44" t="s">
        <v>4</v>
      </c>
      <c r="E60" s="45" t="s">
        <v>56</v>
      </c>
      <c r="F60" s="44" t="s">
        <v>406</v>
      </c>
      <c r="G60" s="46" t="s">
        <v>20</v>
      </c>
      <c r="H60" s="47" t="s">
        <v>10</v>
      </c>
      <c r="I60" s="48"/>
      <c r="J60" s="52"/>
      <c r="K60" s="45" t="s">
        <v>407</v>
      </c>
      <c r="L60" s="45" t="s">
        <v>84</v>
      </c>
      <c r="M60" s="54" t="s">
        <v>113</v>
      </c>
      <c r="N60" s="49"/>
      <c r="O60" s="49" t="s">
        <v>408</v>
      </c>
      <c r="P60" s="45" t="s">
        <v>88</v>
      </c>
      <c r="Q60" s="61"/>
      <c r="R60" s="61"/>
      <c r="S60" s="62"/>
      <c r="T60" s="62" t="s">
        <v>92</v>
      </c>
      <c r="U60" s="22"/>
      <c r="V60" s="22"/>
      <c r="W60" s="22"/>
      <c r="X60" s="22"/>
      <c r="Y60" s="22"/>
      <c r="Z60" s="22"/>
      <c r="AA60" s="22"/>
      <c r="AB60" s="22"/>
      <c r="AC60" s="22"/>
      <c r="AD60" s="22"/>
      <c r="AE60" s="22"/>
      <c r="AF60" s="22"/>
    </row>
    <row r="61">
      <c r="A61" s="21"/>
      <c r="B61" s="43">
        <f t="shared" si="2"/>
        <v>55</v>
      </c>
      <c r="C61" s="44" t="s">
        <v>409</v>
      </c>
      <c r="D61" s="44" t="s">
        <v>5</v>
      </c>
      <c r="E61" s="45" t="s">
        <v>56</v>
      </c>
      <c r="F61" s="44" t="s">
        <v>410</v>
      </c>
      <c r="G61" s="46" t="s">
        <v>18</v>
      </c>
      <c r="H61" s="47" t="s">
        <v>6</v>
      </c>
      <c r="I61" s="48"/>
      <c r="J61" s="52"/>
      <c r="K61" s="45" t="s">
        <v>411</v>
      </c>
      <c r="L61" s="45" t="s">
        <v>84</v>
      </c>
      <c r="M61" s="54" t="s">
        <v>113</v>
      </c>
      <c r="N61" s="49" t="s">
        <v>86</v>
      </c>
      <c r="O61" s="49" t="s">
        <v>412</v>
      </c>
      <c r="P61" s="45" t="s">
        <v>88</v>
      </c>
      <c r="Q61" s="49"/>
      <c r="R61" s="55" t="s">
        <v>413</v>
      </c>
      <c r="S61" s="62"/>
      <c r="T61" s="62" t="s">
        <v>92</v>
      </c>
      <c r="U61" s="22"/>
      <c r="V61" s="22"/>
      <c r="W61" s="22"/>
      <c r="X61" s="22"/>
      <c r="Y61" s="22"/>
      <c r="Z61" s="22"/>
      <c r="AA61" s="22"/>
      <c r="AB61" s="22"/>
      <c r="AC61" s="22"/>
      <c r="AD61" s="22"/>
      <c r="AE61" s="22"/>
      <c r="AF61" s="22"/>
    </row>
    <row r="62">
      <c r="A62" s="21"/>
      <c r="B62" s="43">
        <f t="shared" si="2"/>
        <v>56</v>
      </c>
      <c r="C62" s="44" t="s">
        <v>414</v>
      </c>
      <c r="D62" s="44" t="s">
        <v>4</v>
      </c>
      <c r="E62" s="45" t="s">
        <v>49</v>
      </c>
      <c r="F62" s="44" t="s">
        <v>415</v>
      </c>
      <c r="G62" s="46" t="s">
        <v>20</v>
      </c>
      <c r="H62" s="47"/>
      <c r="I62" s="48"/>
      <c r="J62" s="52"/>
      <c r="K62" s="45" t="s">
        <v>416</v>
      </c>
      <c r="L62" s="52" t="s">
        <v>417</v>
      </c>
      <c r="M62" s="54" t="s">
        <v>253</v>
      </c>
      <c r="N62" s="49" t="s">
        <v>86</v>
      </c>
      <c r="O62" s="49" t="s">
        <v>418</v>
      </c>
      <c r="P62" s="45" t="s">
        <v>132</v>
      </c>
      <c r="Q62" s="49" t="s">
        <v>419</v>
      </c>
      <c r="R62" s="55" t="s">
        <v>420</v>
      </c>
      <c r="S62" s="45" t="s">
        <v>421</v>
      </c>
      <c r="T62" s="45" t="s">
        <v>92</v>
      </c>
      <c r="U62" s="22"/>
      <c r="V62" s="22"/>
      <c r="W62" s="22"/>
      <c r="X62" s="22"/>
      <c r="Y62" s="22"/>
      <c r="Z62" s="22"/>
      <c r="AA62" s="22"/>
      <c r="AB62" s="22"/>
      <c r="AC62" s="22"/>
      <c r="AD62" s="22"/>
      <c r="AE62" s="22"/>
      <c r="AF62" s="22"/>
    </row>
    <row r="63">
      <c r="A63" s="21"/>
      <c r="B63" s="43">
        <f t="shared" si="2"/>
        <v>57</v>
      </c>
      <c r="C63" s="44" t="s">
        <v>422</v>
      </c>
      <c r="D63" s="44" t="s">
        <v>5</v>
      </c>
      <c r="E63" s="45" t="s">
        <v>56</v>
      </c>
      <c r="F63" s="44" t="s">
        <v>423</v>
      </c>
      <c r="G63" s="46" t="s">
        <v>18</v>
      </c>
      <c r="H63" s="47"/>
      <c r="I63" s="48"/>
      <c r="J63" s="52"/>
      <c r="K63" s="45" t="s">
        <v>424</v>
      </c>
      <c r="L63" s="45" t="s">
        <v>84</v>
      </c>
      <c r="M63" s="54" t="s">
        <v>113</v>
      </c>
      <c r="N63" s="49" t="s">
        <v>86</v>
      </c>
      <c r="O63" s="49" t="s">
        <v>425</v>
      </c>
      <c r="P63" s="45" t="s">
        <v>88</v>
      </c>
      <c r="Q63" s="61"/>
      <c r="R63" s="61"/>
      <c r="S63" s="62"/>
      <c r="T63" s="62" t="s">
        <v>92</v>
      </c>
      <c r="U63" s="22"/>
      <c r="V63" s="22"/>
      <c r="W63" s="22"/>
      <c r="X63" s="22"/>
      <c r="Y63" s="22"/>
      <c r="Z63" s="22"/>
      <c r="AA63" s="22"/>
      <c r="AB63" s="22"/>
      <c r="AC63" s="22"/>
      <c r="AD63" s="22"/>
      <c r="AE63" s="22"/>
      <c r="AF63" s="22"/>
    </row>
    <row r="64">
      <c r="A64" s="21"/>
      <c r="B64" s="43">
        <f t="shared" si="2"/>
        <v>58</v>
      </c>
      <c r="C64" s="44" t="s">
        <v>426</v>
      </c>
      <c r="D64" s="44" t="s">
        <v>5</v>
      </c>
      <c r="E64" s="45" t="s">
        <v>56</v>
      </c>
      <c r="F64" s="44" t="s">
        <v>427</v>
      </c>
      <c r="G64" s="46" t="s">
        <v>20</v>
      </c>
      <c r="H64" s="47" t="s">
        <v>10</v>
      </c>
      <c r="I64" s="60" t="s">
        <v>44</v>
      </c>
      <c r="J64" s="45" t="s">
        <v>193</v>
      </c>
      <c r="K64" s="45" t="s">
        <v>428</v>
      </c>
      <c r="L64" s="45" t="s">
        <v>429</v>
      </c>
      <c r="M64" s="54" t="s">
        <v>113</v>
      </c>
      <c r="N64" s="49" t="s">
        <v>86</v>
      </c>
      <c r="O64" s="49" t="s">
        <v>418</v>
      </c>
      <c r="P64" s="45" t="s">
        <v>88</v>
      </c>
      <c r="Q64" s="49" t="s">
        <v>430</v>
      </c>
      <c r="R64" s="55" t="s">
        <v>431</v>
      </c>
      <c r="S64" s="45" t="s">
        <v>432</v>
      </c>
      <c r="T64" s="45" t="s">
        <v>92</v>
      </c>
      <c r="U64" s="22"/>
      <c r="V64" s="22"/>
      <c r="W64" s="22"/>
      <c r="X64" s="22"/>
      <c r="Y64" s="22"/>
      <c r="Z64" s="22"/>
      <c r="AA64" s="22"/>
      <c r="AB64" s="22"/>
      <c r="AC64" s="22"/>
      <c r="AD64" s="22"/>
      <c r="AE64" s="22"/>
      <c r="AF64" s="22"/>
    </row>
    <row r="65">
      <c r="A65" s="21"/>
      <c r="B65" s="43">
        <f t="shared" si="2"/>
        <v>59</v>
      </c>
      <c r="C65" s="44" t="s">
        <v>433</v>
      </c>
      <c r="D65" s="44" t="s">
        <v>9</v>
      </c>
      <c r="E65" s="45" t="s">
        <v>57</v>
      </c>
      <c r="F65" s="44" t="s">
        <v>434</v>
      </c>
      <c r="G65" s="46" t="s">
        <v>20</v>
      </c>
      <c r="H65" s="47" t="s">
        <v>6</v>
      </c>
      <c r="I65" s="60" t="s">
        <v>38</v>
      </c>
      <c r="J65" s="45" t="s">
        <v>435</v>
      </c>
      <c r="K65" s="45" t="s">
        <v>436</v>
      </c>
      <c r="L65" s="45" t="s">
        <v>252</v>
      </c>
      <c r="M65" s="54" t="s">
        <v>253</v>
      </c>
      <c r="N65" s="49" t="s">
        <v>86</v>
      </c>
      <c r="O65" s="49" t="s">
        <v>437</v>
      </c>
      <c r="P65" s="45" t="s">
        <v>88</v>
      </c>
      <c r="Q65" s="61"/>
      <c r="R65" s="55" t="s">
        <v>438</v>
      </c>
      <c r="S65" s="45" t="s">
        <v>432</v>
      </c>
      <c r="T65" s="45" t="s">
        <v>92</v>
      </c>
      <c r="U65" s="22"/>
      <c r="V65" s="22"/>
      <c r="W65" s="22"/>
      <c r="X65" s="22"/>
      <c r="Y65" s="22"/>
      <c r="Z65" s="22"/>
      <c r="AA65" s="22"/>
      <c r="AB65" s="22"/>
      <c r="AC65" s="22"/>
      <c r="AD65" s="22"/>
      <c r="AE65" s="22"/>
      <c r="AF65" s="22"/>
    </row>
    <row r="66">
      <c r="A66" s="21"/>
      <c r="B66" s="43">
        <f t="shared" si="2"/>
        <v>60</v>
      </c>
      <c r="C66" s="44" t="s">
        <v>439</v>
      </c>
      <c r="D66" s="44" t="s">
        <v>7</v>
      </c>
      <c r="E66" s="45" t="s">
        <v>55</v>
      </c>
      <c r="F66" s="44" t="s">
        <v>440</v>
      </c>
      <c r="G66" s="46" t="s">
        <v>18</v>
      </c>
      <c r="H66" s="47" t="s">
        <v>14</v>
      </c>
      <c r="I66" s="48"/>
      <c r="J66" s="52"/>
      <c r="K66" s="45" t="s">
        <v>441</v>
      </c>
      <c r="L66" s="45" t="s">
        <v>442</v>
      </c>
      <c r="M66" s="54" t="s">
        <v>85</v>
      </c>
      <c r="N66" s="49" t="s">
        <v>114</v>
      </c>
      <c r="O66" s="49" t="s">
        <v>152</v>
      </c>
      <c r="P66" s="45" t="s">
        <v>105</v>
      </c>
      <c r="Q66" s="49" t="s">
        <v>443</v>
      </c>
      <c r="R66" s="55" t="s">
        <v>444</v>
      </c>
      <c r="S66" s="45" t="s">
        <v>445</v>
      </c>
      <c r="T66" s="45" t="s">
        <v>92</v>
      </c>
      <c r="U66" s="22"/>
      <c r="V66" s="22"/>
      <c r="W66" s="22"/>
      <c r="X66" s="22"/>
      <c r="Y66" s="22"/>
      <c r="Z66" s="22"/>
      <c r="AA66" s="22"/>
      <c r="AB66" s="22"/>
      <c r="AC66" s="22"/>
      <c r="AD66" s="22"/>
      <c r="AE66" s="22"/>
      <c r="AF66" s="22"/>
    </row>
    <row r="67">
      <c r="A67" s="21"/>
      <c r="B67" s="43">
        <f t="shared" si="2"/>
        <v>61</v>
      </c>
      <c r="C67" s="44" t="s">
        <v>446</v>
      </c>
      <c r="D67" s="44" t="s">
        <v>7</v>
      </c>
      <c r="E67" s="45" t="s">
        <v>49</v>
      </c>
      <c r="F67" s="44" t="s">
        <v>447</v>
      </c>
      <c r="G67" s="46" t="s">
        <v>22</v>
      </c>
      <c r="H67" s="47" t="s">
        <v>6</v>
      </c>
      <c r="I67" s="48" t="s">
        <v>32</v>
      </c>
      <c r="J67" s="45"/>
      <c r="K67" s="45" t="s">
        <v>448</v>
      </c>
      <c r="L67" s="45" t="s">
        <v>449</v>
      </c>
      <c r="M67" s="54" t="s">
        <v>85</v>
      </c>
      <c r="N67" s="49" t="s">
        <v>123</v>
      </c>
      <c r="O67" s="49" t="s">
        <v>311</v>
      </c>
      <c r="P67" s="45" t="s">
        <v>132</v>
      </c>
      <c r="Q67" s="49" t="s">
        <v>450</v>
      </c>
      <c r="R67" s="55" t="s">
        <v>451</v>
      </c>
      <c r="S67" s="45" t="s">
        <v>452</v>
      </c>
      <c r="T67" s="45" t="s">
        <v>92</v>
      </c>
      <c r="U67" s="22"/>
      <c r="V67" s="22"/>
      <c r="W67" s="22"/>
      <c r="X67" s="22"/>
      <c r="Y67" s="22"/>
      <c r="Z67" s="22"/>
      <c r="AA67" s="22"/>
      <c r="AB67" s="22"/>
      <c r="AC67" s="22"/>
      <c r="AD67" s="22"/>
      <c r="AE67" s="22"/>
      <c r="AF67" s="22"/>
    </row>
    <row r="68">
      <c r="A68" s="63"/>
      <c r="B68" s="43">
        <f t="shared" si="2"/>
        <v>62</v>
      </c>
      <c r="C68" s="44" t="s">
        <v>453</v>
      </c>
      <c r="D68" s="44" t="s">
        <v>9</v>
      </c>
      <c r="E68" s="45" t="s">
        <v>58</v>
      </c>
      <c r="F68" s="44" t="s">
        <v>454</v>
      </c>
      <c r="G68" s="46" t="s">
        <v>24</v>
      </c>
      <c r="H68" s="47" t="s">
        <v>6</v>
      </c>
      <c r="I68" s="48" t="s">
        <v>32</v>
      </c>
      <c r="J68" s="45"/>
      <c r="K68" s="45" t="s">
        <v>455</v>
      </c>
      <c r="L68" s="52" t="s">
        <v>417</v>
      </c>
      <c r="M68" s="54" t="s">
        <v>253</v>
      </c>
      <c r="N68" s="49" t="s">
        <v>123</v>
      </c>
      <c r="O68" s="49" t="s">
        <v>131</v>
      </c>
      <c r="P68" s="45" t="s">
        <v>132</v>
      </c>
      <c r="Q68" s="61"/>
      <c r="R68" s="55" t="s">
        <v>456</v>
      </c>
      <c r="S68" s="45" t="s">
        <v>457</v>
      </c>
      <c r="T68" s="45" t="s">
        <v>92</v>
      </c>
      <c r="U68" s="22"/>
      <c r="V68" s="22"/>
      <c r="W68" s="22"/>
      <c r="X68" s="22"/>
      <c r="Y68" s="22"/>
      <c r="Z68" s="22"/>
      <c r="AA68" s="22"/>
      <c r="AB68" s="22"/>
      <c r="AC68" s="22"/>
      <c r="AD68" s="22"/>
      <c r="AE68" s="22"/>
      <c r="AF68" s="22"/>
    </row>
    <row r="69">
      <c r="A69" s="63"/>
      <c r="B69" s="43">
        <f t="shared" si="2"/>
        <v>63</v>
      </c>
      <c r="C69" s="44" t="s">
        <v>458</v>
      </c>
      <c r="D69" s="44" t="s">
        <v>4</v>
      </c>
      <c r="E69" s="45" t="s">
        <v>56</v>
      </c>
      <c r="F69" s="44" t="s">
        <v>459</v>
      </c>
      <c r="G69" s="46" t="s">
        <v>20</v>
      </c>
      <c r="H69" s="47" t="s">
        <v>17</v>
      </c>
      <c r="I69" s="48"/>
      <c r="J69" s="45"/>
      <c r="K69" s="45" t="s">
        <v>460</v>
      </c>
      <c r="L69" s="45" t="s">
        <v>84</v>
      </c>
      <c r="M69" s="54" t="s">
        <v>113</v>
      </c>
      <c r="N69" s="49" t="s">
        <v>86</v>
      </c>
      <c r="O69" s="49" t="s">
        <v>131</v>
      </c>
      <c r="P69" s="45" t="s">
        <v>88</v>
      </c>
      <c r="Q69" s="49" t="s">
        <v>461</v>
      </c>
      <c r="R69" s="55" t="s">
        <v>462</v>
      </c>
      <c r="S69" s="45" t="s">
        <v>463</v>
      </c>
      <c r="T69" s="45" t="s">
        <v>92</v>
      </c>
      <c r="U69" s="22"/>
      <c r="V69" s="22"/>
      <c r="W69" s="22"/>
      <c r="X69" s="22"/>
      <c r="Y69" s="22"/>
      <c r="Z69" s="22"/>
      <c r="AA69" s="22"/>
      <c r="AB69" s="22"/>
      <c r="AC69" s="22"/>
      <c r="AD69" s="22"/>
      <c r="AE69" s="22"/>
      <c r="AF69" s="22"/>
    </row>
    <row r="70">
      <c r="A70" s="63"/>
      <c r="B70" s="43">
        <f t="shared" si="2"/>
        <v>64</v>
      </c>
      <c r="C70" s="44" t="s">
        <v>464</v>
      </c>
      <c r="D70" s="44" t="s">
        <v>9</v>
      </c>
      <c r="E70" s="45" t="s">
        <v>46</v>
      </c>
      <c r="F70" s="44" t="s">
        <v>465</v>
      </c>
      <c r="G70" s="46" t="s">
        <v>20</v>
      </c>
      <c r="H70" s="47" t="s">
        <v>17</v>
      </c>
      <c r="I70" s="48"/>
      <c r="J70" s="52"/>
      <c r="K70" s="45" t="s">
        <v>466</v>
      </c>
      <c r="L70" s="45" t="s">
        <v>467</v>
      </c>
      <c r="M70" s="54" t="s">
        <v>85</v>
      </c>
      <c r="N70" s="49" t="s">
        <v>123</v>
      </c>
      <c r="O70" s="49" t="s">
        <v>131</v>
      </c>
      <c r="P70" s="45" t="s">
        <v>132</v>
      </c>
      <c r="Q70" s="49" t="s">
        <v>468</v>
      </c>
      <c r="R70" s="55" t="s">
        <v>469</v>
      </c>
      <c r="S70" s="45" t="s">
        <v>470</v>
      </c>
      <c r="T70" s="45" t="s">
        <v>92</v>
      </c>
      <c r="U70" s="22"/>
      <c r="V70" s="22"/>
      <c r="W70" s="22"/>
      <c r="X70" s="22"/>
      <c r="Y70" s="22"/>
      <c r="Z70" s="22"/>
      <c r="AA70" s="22"/>
      <c r="AB70" s="22"/>
      <c r="AC70" s="22"/>
      <c r="AD70" s="22"/>
      <c r="AE70" s="22"/>
      <c r="AF70" s="22"/>
    </row>
    <row r="71">
      <c r="A71" s="63"/>
      <c r="B71" s="43">
        <f t="shared" si="2"/>
        <v>65</v>
      </c>
      <c r="C71" s="44" t="s">
        <v>471</v>
      </c>
      <c r="D71" s="44" t="s">
        <v>9</v>
      </c>
      <c r="E71" s="45" t="s">
        <v>58</v>
      </c>
      <c r="F71" s="44" t="s">
        <v>472</v>
      </c>
      <c r="G71" s="46" t="s">
        <v>26</v>
      </c>
      <c r="H71" s="47" t="s">
        <v>6</v>
      </c>
      <c r="I71" s="48" t="s">
        <v>32</v>
      </c>
      <c r="J71" s="52"/>
      <c r="K71" s="45" t="s">
        <v>473</v>
      </c>
      <c r="L71" s="52" t="s">
        <v>417</v>
      </c>
      <c r="M71" s="54" t="s">
        <v>253</v>
      </c>
      <c r="N71" s="49" t="s">
        <v>123</v>
      </c>
      <c r="O71" s="49" t="s">
        <v>474</v>
      </c>
      <c r="P71" s="45" t="s">
        <v>132</v>
      </c>
      <c r="Q71" s="61"/>
      <c r="R71" s="55" t="s">
        <v>475</v>
      </c>
      <c r="S71" s="45" t="s">
        <v>476</v>
      </c>
      <c r="T71" s="45" t="s">
        <v>92</v>
      </c>
      <c r="U71" s="22"/>
      <c r="V71" s="22"/>
      <c r="W71" s="22"/>
      <c r="X71" s="22"/>
      <c r="Y71" s="22"/>
      <c r="Z71" s="22"/>
      <c r="AA71" s="22"/>
      <c r="AB71" s="22"/>
      <c r="AC71" s="22"/>
      <c r="AD71" s="22"/>
      <c r="AE71" s="22"/>
      <c r="AF71" s="22"/>
    </row>
    <row r="72">
      <c r="A72" s="63"/>
      <c r="B72" s="43">
        <f t="shared" si="2"/>
        <v>66</v>
      </c>
      <c r="C72" s="44" t="s">
        <v>477</v>
      </c>
      <c r="D72" s="44" t="s">
        <v>4</v>
      </c>
      <c r="E72" s="45" t="s">
        <v>63</v>
      </c>
      <c r="F72" s="44" t="s">
        <v>478</v>
      </c>
      <c r="G72" s="46" t="s">
        <v>18</v>
      </c>
      <c r="H72" s="47" t="s">
        <v>6</v>
      </c>
      <c r="I72" s="48"/>
      <c r="J72" s="52"/>
      <c r="K72" s="45" t="s">
        <v>479</v>
      </c>
      <c r="L72" s="52" t="s">
        <v>480</v>
      </c>
      <c r="M72" s="54" t="s">
        <v>113</v>
      </c>
      <c r="N72" s="49" t="s">
        <v>123</v>
      </c>
      <c r="O72" s="49" t="s">
        <v>481</v>
      </c>
      <c r="P72" s="45" t="s">
        <v>132</v>
      </c>
      <c r="Q72" s="61"/>
      <c r="R72" s="61"/>
      <c r="S72" s="62"/>
      <c r="T72" s="62" t="s">
        <v>92</v>
      </c>
      <c r="U72" s="22"/>
      <c r="V72" s="22"/>
      <c r="W72" s="22"/>
      <c r="X72" s="22"/>
      <c r="Y72" s="22"/>
      <c r="Z72" s="22"/>
      <c r="AA72" s="22"/>
      <c r="AB72" s="22"/>
      <c r="AC72" s="22"/>
      <c r="AD72" s="22"/>
      <c r="AE72" s="22"/>
      <c r="AF72" s="22"/>
    </row>
    <row r="73">
      <c r="A73" s="63"/>
      <c r="B73" s="43">
        <f t="shared" si="2"/>
        <v>67</v>
      </c>
      <c r="C73" s="44" t="s">
        <v>482</v>
      </c>
      <c r="D73" s="44" t="s">
        <v>4</v>
      </c>
      <c r="E73" s="45" t="s">
        <v>31</v>
      </c>
      <c r="F73" s="44" t="s">
        <v>483</v>
      </c>
      <c r="G73" s="46" t="s">
        <v>26</v>
      </c>
      <c r="H73" s="47"/>
      <c r="I73" s="48"/>
      <c r="J73" s="52"/>
      <c r="K73" s="45" t="s">
        <v>484</v>
      </c>
      <c r="L73" s="52" t="s">
        <v>480</v>
      </c>
      <c r="M73" s="54" t="s">
        <v>113</v>
      </c>
      <c r="N73" s="49" t="s">
        <v>114</v>
      </c>
      <c r="O73" s="49" t="s">
        <v>131</v>
      </c>
      <c r="P73" s="45" t="s">
        <v>132</v>
      </c>
      <c r="Q73" s="61"/>
      <c r="R73" s="55" t="s">
        <v>485</v>
      </c>
      <c r="S73" s="45" t="s">
        <v>486</v>
      </c>
      <c r="T73" s="45" t="s">
        <v>92</v>
      </c>
      <c r="U73" s="22"/>
      <c r="V73" s="22"/>
      <c r="W73" s="22"/>
      <c r="X73" s="22"/>
      <c r="Y73" s="22"/>
      <c r="Z73" s="22"/>
      <c r="AA73" s="22"/>
      <c r="AB73" s="22"/>
      <c r="AC73" s="22"/>
      <c r="AD73" s="22"/>
      <c r="AE73" s="22"/>
      <c r="AF73" s="22"/>
    </row>
    <row r="74">
      <c r="A74" s="63"/>
      <c r="B74" s="43">
        <f t="shared" si="2"/>
        <v>68</v>
      </c>
      <c r="C74" s="44" t="s">
        <v>487</v>
      </c>
      <c r="D74" s="44" t="s">
        <v>9</v>
      </c>
      <c r="E74" s="45" t="s">
        <v>46</v>
      </c>
      <c r="F74" s="44" t="s">
        <v>488</v>
      </c>
      <c r="G74" s="46" t="s">
        <v>20</v>
      </c>
      <c r="H74" s="47" t="s">
        <v>10</v>
      </c>
      <c r="I74" s="48"/>
      <c r="J74" s="52"/>
      <c r="K74" s="45" t="s">
        <v>489</v>
      </c>
      <c r="L74" s="45" t="s">
        <v>365</v>
      </c>
      <c r="M74" s="54" t="s">
        <v>85</v>
      </c>
      <c r="N74" s="49" t="s">
        <v>123</v>
      </c>
      <c r="O74" s="49" t="s">
        <v>131</v>
      </c>
      <c r="P74" s="45" t="s">
        <v>105</v>
      </c>
      <c r="Q74" s="61"/>
      <c r="R74" s="61"/>
      <c r="S74" s="62"/>
      <c r="T74" s="62" t="s">
        <v>92</v>
      </c>
      <c r="U74" s="22"/>
      <c r="V74" s="22"/>
      <c r="W74" s="22"/>
      <c r="X74" s="22"/>
      <c r="Y74" s="22"/>
      <c r="Z74" s="22"/>
      <c r="AA74" s="22"/>
      <c r="AB74" s="22"/>
      <c r="AC74" s="22"/>
      <c r="AD74" s="22"/>
      <c r="AE74" s="22"/>
      <c r="AF74" s="22"/>
    </row>
    <row r="75">
      <c r="A75" s="63"/>
      <c r="B75" s="43">
        <f t="shared" si="2"/>
        <v>69</v>
      </c>
      <c r="C75" s="44" t="s">
        <v>490</v>
      </c>
      <c r="D75" s="44" t="s">
        <v>5</v>
      </c>
      <c r="E75" s="45" t="s">
        <v>56</v>
      </c>
      <c r="F75" s="44" t="s">
        <v>491</v>
      </c>
      <c r="G75" s="46" t="s">
        <v>18</v>
      </c>
      <c r="H75" s="47"/>
      <c r="I75" s="48"/>
      <c r="J75" s="52"/>
      <c r="K75" s="45" t="s">
        <v>492</v>
      </c>
      <c r="L75" s="45" t="s">
        <v>139</v>
      </c>
      <c r="M75" s="54" t="s">
        <v>113</v>
      </c>
      <c r="N75" s="49" t="s">
        <v>86</v>
      </c>
      <c r="O75" s="49" t="s">
        <v>493</v>
      </c>
      <c r="P75" s="45" t="s">
        <v>88</v>
      </c>
      <c r="Q75" s="49" t="s">
        <v>494</v>
      </c>
      <c r="R75" s="55" t="s">
        <v>495</v>
      </c>
      <c r="S75" s="45" t="s">
        <v>496</v>
      </c>
      <c r="T75" s="45" t="s">
        <v>92</v>
      </c>
      <c r="U75" s="22"/>
      <c r="V75" s="22"/>
      <c r="W75" s="22"/>
      <c r="X75" s="22"/>
      <c r="Y75" s="22"/>
      <c r="Z75" s="22"/>
      <c r="AA75" s="22"/>
      <c r="AB75" s="22"/>
      <c r="AC75" s="22"/>
      <c r="AD75" s="22"/>
      <c r="AE75" s="22"/>
      <c r="AF75" s="22"/>
    </row>
    <row r="76">
      <c r="A76" s="63"/>
      <c r="B76" s="43">
        <f t="shared" si="2"/>
        <v>70</v>
      </c>
      <c r="C76" s="44" t="s">
        <v>497</v>
      </c>
      <c r="D76" s="44" t="s">
        <v>5</v>
      </c>
      <c r="E76" s="45" t="s">
        <v>56</v>
      </c>
      <c r="F76" s="44" t="s">
        <v>498</v>
      </c>
      <c r="G76" s="46" t="s">
        <v>18</v>
      </c>
      <c r="H76" s="47" t="s">
        <v>6</v>
      </c>
      <c r="I76" s="48"/>
      <c r="J76" s="52"/>
      <c r="K76" s="45" t="s">
        <v>499</v>
      </c>
      <c r="L76" s="45" t="s">
        <v>84</v>
      </c>
      <c r="M76" s="54" t="s">
        <v>113</v>
      </c>
      <c r="N76" s="49" t="s">
        <v>86</v>
      </c>
      <c r="O76" s="49" t="s">
        <v>152</v>
      </c>
      <c r="P76" s="45" t="s">
        <v>88</v>
      </c>
      <c r="Q76" s="49" t="s">
        <v>500</v>
      </c>
      <c r="R76" s="57" t="s">
        <v>501</v>
      </c>
      <c r="S76" s="45" t="s">
        <v>502</v>
      </c>
      <c r="T76" s="45" t="s">
        <v>92</v>
      </c>
      <c r="U76" s="22"/>
      <c r="V76" s="22"/>
      <c r="W76" s="22"/>
      <c r="X76" s="22"/>
      <c r="Y76" s="22"/>
      <c r="Z76" s="22"/>
      <c r="AA76" s="22"/>
      <c r="AB76" s="22"/>
      <c r="AC76" s="22"/>
      <c r="AD76" s="22"/>
      <c r="AE76" s="22"/>
      <c r="AF76" s="22"/>
    </row>
    <row r="77">
      <c r="A77" s="63"/>
      <c r="B77" s="43">
        <f t="shared" si="2"/>
        <v>71</v>
      </c>
      <c r="C77" s="44" t="s">
        <v>503</v>
      </c>
      <c r="D77" s="44" t="s">
        <v>4</v>
      </c>
      <c r="E77" s="45" t="s">
        <v>56</v>
      </c>
      <c r="F77" s="44" t="s">
        <v>504</v>
      </c>
      <c r="G77" s="46" t="s">
        <v>20</v>
      </c>
      <c r="H77" s="47"/>
      <c r="I77" s="48"/>
      <c r="J77" s="52"/>
      <c r="K77" s="45" t="s">
        <v>505</v>
      </c>
      <c r="L77" s="45" t="s">
        <v>195</v>
      </c>
      <c r="M77" s="54" t="s">
        <v>113</v>
      </c>
      <c r="N77" s="49" t="s">
        <v>86</v>
      </c>
      <c r="O77" s="49" t="s">
        <v>209</v>
      </c>
      <c r="P77" s="45" t="s">
        <v>88</v>
      </c>
      <c r="Q77" s="49" t="s">
        <v>506</v>
      </c>
      <c r="R77" s="55" t="s">
        <v>507</v>
      </c>
      <c r="S77" s="45" t="s">
        <v>508</v>
      </c>
      <c r="T77" s="45" t="s">
        <v>92</v>
      </c>
      <c r="U77" s="22"/>
      <c r="V77" s="22"/>
      <c r="W77" s="22"/>
      <c r="X77" s="22"/>
      <c r="Y77" s="22"/>
      <c r="Z77" s="22"/>
      <c r="AA77" s="22"/>
      <c r="AB77" s="22"/>
      <c r="AC77" s="22"/>
      <c r="AD77" s="22"/>
      <c r="AE77" s="22"/>
      <c r="AF77" s="22"/>
    </row>
    <row r="78">
      <c r="A78" s="63"/>
      <c r="B78" s="43">
        <f t="shared" si="2"/>
        <v>72</v>
      </c>
      <c r="C78" s="44" t="s">
        <v>509</v>
      </c>
      <c r="D78" s="44" t="s">
        <v>4</v>
      </c>
      <c r="E78" s="45" t="s">
        <v>56</v>
      </c>
      <c r="F78" s="44" t="s">
        <v>510</v>
      </c>
      <c r="G78" s="46" t="s">
        <v>20</v>
      </c>
      <c r="H78" s="47" t="s">
        <v>17</v>
      </c>
      <c r="I78" s="48"/>
      <c r="J78" s="52"/>
      <c r="K78" s="52" t="s">
        <v>511</v>
      </c>
      <c r="L78" s="45" t="s">
        <v>512</v>
      </c>
      <c r="M78" s="54" t="s">
        <v>85</v>
      </c>
      <c r="N78" s="49" t="s">
        <v>123</v>
      </c>
      <c r="O78" s="49" t="s">
        <v>87</v>
      </c>
      <c r="P78" s="45" t="s">
        <v>132</v>
      </c>
      <c r="Q78" s="49" t="s">
        <v>513</v>
      </c>
      <c r="R78" s="64" t="s">
        <v>509</v>
      </c>
      <c r="S78" s="45" t="s">
        <v>514</v>
      </c>
      <c r="T78" s="45" t="s">
        <v>92</v>
      </c>
      <c r="U78" s="22"/>
      <c r="V78" s="22"/>
      <c r="W78" s="22"/>
      <c r="X78" s="22"/>
      <c r="Y78" s="22"/>
      <c r="Z78" s="22"/>
      <c r="AA78" s="22"/>
      <c r="AB78" s="22"/>
      <c r="AC78" s="22"/>
      <c r="AD78" s="22"/>
      <c r="AE78" s="22"/>
      <c r="AF78" s="22"/>
    </row>
    <row r="79">
      <c r="A79" s="63"/>
      <c r="B79" s="43">
        <f t="shared" si="2"/>
        <v>73</v>
      </c>
      <c r="C79" s="44" t="s">
        <v>515</v>
      </c>
      <c r="D79" s="44" t="s">
        <v>9</v>
      </c>
      <c r="E79" s="45" t="s">
        <v>57</v>
      </c>
      <c r="F79" s="44" t="s">
        <v>516</v>
      </c>
      <c r="G79" s="46" t="s">
        <v>18</v>
      </c>
      <c r="H79" s="47"/>
      <c r="I79" s="48"/>
      <c r="J79" s="52"/>
      <c r="K79" s="52" t="s">
        <v>517</v>
      </c>
      <c r="L79" s="45" t="s">
        <v>310</v>
      </c>
      <c r="M79" s="54" t="s">
        <v>113</v>
      </c>
      <c r="N79" s="49" t="s">
        <v>86</v>
      </c>
      <c r="O79" s="49" t="s">
        <v>181</v>
      </c>
      <c r="P79" s="45" t="s">
        <v>88</v>
      </c>
      <c r="Q79" s="61"/>
      <c r="R79" s="61"/>
      <c r="S79" s="62"/>
      <c r="T79" s="62" t="s">
        <v>92</v>
      </c>
      <c r="U79" s="22"/>
      <c r="V79" s="22"/>
      <c r="W79" s="22"/>
      <c r="X79" s="22"/>
      <c r="Y79" s="22"/>
      <c r="Z79" s="22"/>
      <c r="AA79" s="22"/>
      <c r="AB79" s="22"/>
      <c r="AC79" s="22"/>
      <c r="AD79" s="22"/>
      <c r="AE79" s="22"/>
      <c r="AF79" s="22"/>
    </row>
    <row r="80">
      <c r="A80" s="63"/>
      <c r="B80" s="43">
        <f t="shared" si="2"/>
        <v>74</v>
      </c>
      <c r="C80" s="44" t="s">
        <v>518</v>
      </c>
      <c r="D80" s="44" t="s">
        <v>5</v>
      </c>
      <c r="E80" s="45" t="s">
        <v>51</v>
      </c>
      <c r="F80" s="44" t="s">
        <v>519</v>
      </c>
      <c r="G80" s="46" t="s">
        <v>20</v>
      </c>
      <c r="H80" s="47" t="s">
        <v>14</v>
      </c>
      <c r="I80" s="48"/>
      <c r="J80" s="45"/>
      <c r="K80" s="52" t="s">
        <v>520</v>
      </c>
      <c r="L80" s="45" t="s">
        <v>310</v>
      </c>
      <c r="M80" s="54" t="s">
        <v>113</v>
      </c>
      <c r="N80" s="49" t="s">
        <v>123</v>
      </c>
      <c r="O80" s="49" t="s">
        <v>131</v>
      </c>
      <c r="P80" s="45" t="s">
        <v>132</v>
      </c>
      <c r="Q80" s="61"/>
      <c r="R80" s="61"/>
      <c r="S80" s="45" t="s">
        <v>521</v>
      </c>
      <c r="T80" s="45" t="s">
        <v>522</v>
      </c>
      <c r="U80" s="22"/>
      <c r="V80" s="22"/>
      <c r="W80" s="22"/>
      <c r="X80" s="22"/>
      <c r="Y80" s="22"/>
      <c r="Z80" s="22"/>
      <c r="AA80" s="22"/>
      <c r="AB80" s="22"/>
      <c r="AC80" s="22"/>
      <c r="AD80" s="22"/>
      <c r="AE80" s="22"/>
      <c r="AF80" s="22"/>
    </row>
    <row r="81">
      <c r="A81" s="63"/>
      <c r="B81" s="43">
        <f t="shared" si="2"/>
        <v>75</v>
      </c>
      <c r="C81" s="44" t="s">
        <v>523</v>
      </c>
      <c r="D81" s="44" t="s">
        <v>5</v>
      </c>
      <c r="E81" s="45" t="s">
        <v>31</v>
      </c>
      <c r="F81" s="44" t="s">
        <v>524</v>
      </c>
      <c r="G81" s="46" t="s">
        <v>20</v>
      </c>
      <c r="H81" s="47"/>
      <c r="I81" s="48"/>
      <c r="J81" s="52"/>
      <c r="K81" s="52" t="s">
        <v>525</v>
      </c>
      <c r="L81" s="52" t="s">
        <v>480</v>
      </c>
      <c r="M81" s="54" t="s">
        <v>113</v>
      </c>
      <c r="N81" s="49" t="s">
        <v>123</v>
      </c>
      <c r="O81" s="49" t="s">
        <v>526</v>
      </c>
      <c r="P81" s="45" t="s">
        <v>132</v>
      </c>
      <c r="Q81" s="61"/>
      <c r="R81" s="61"/>
      <c r="S81" s="45" t="s">
        <v>521</v>
      </c>
      <c r="T81" s="45" t="s">
        <v>92</v>
      </c>
      <c r="U81" s="65"/>
      <c r="V81" s="65"/>
      <c r="W81" s="65"/>
      <c r="X81" s="65"/>
      <c r="Y81" s="65"/>
      <c r="Z81" s="65"/>
      <c r="AA81" s="65"/>
      <c r="AB81" s="65"/>
      <c r="AC81" s="65"/>
      <c r="AD81" s="65"/>
      <c r="AE81" s="65"/>
      <c r="AF81" s="65"/>
    </row>
    <row r="82">
      <c r="A82" s="63"/>
      <c r="B82" s="43">
        <f t="shared" si="2"/>
        <v>76</v>
      </c>
      <c r="C82" s="44" t="s">
        <v>527</v>
      </c>
      <c r="D82" s="44" t="s">
        <v>4</v>
      </c>
      <c r="E82" s="45" t="s">
        <v>47</v>
      </c>
      <c r="F82" s="44" t="s">
        <v>528</v>
      </c>
      <c r="G82" s="46" t="s">
        <v>20</v>
      </c>
      <c r="H82" s="47"/>
      <c r="I82" s="48"/>
      <c r="J82" s="52"/>
      <c r="K82" s="52" t="s">
        <v>529</v>
      </c>
      <c r="L82" s="45" t="s">
        <v>530</v>
      </c>
      <c r="M82" s="54" t="s">
        <v>113</v>
      </c>
      <c r="N82" s="49" t="s">
        <v>123</v>
      </c>
      <c r="O82" s="49" t="s">
        <v>131</v>
      </c>
      <c r="P82" s="45" t="s">
        <v>132</v>
      </c>
      <c r="Q82" s="61"/>
      <c r="R82" s="49"/>
      <c r="S82" s="45" t="s">
        <v>531</v>
      </c>
      <c r="T82" s="45" t="s">
        <v>92</v>
      </c>
      <c r="U82" s="65"/>
      <c r="V82" s="65"/>
      <c r="W82" s="65"/>
      <c r="X82" s="65"/>
      <c r="Y82" s="65"/>
      <c r="Z82" s="65"/>
      <c r="AA82" s="65"/>
      <c r="AB82" s="65"/>
      <c r="AC82" s="65"/>
      <c r="AD82" s="65"/>
      <c r="AE82" s="65"/>
      <c r="AF82" s="65"/>
    </row>
    <row r="83">
      <c r="A83" s="63"/>
      <c r="B83" s="43">
        <f t="shared" si="2"/>
        <v>77</v>
      </c>
      <c r="C83" s="44" t="s">
        <v>532</v>
      </c>
      <c r="D83" s="44" t="s">
        <v>11</v>
      </c>
      <c r="E83" s="45" t="s">
        <v>31</v>
      </c>
      <c r="F83" s="44" t="s">
        <v>533</v>
      </c>
      <c r="G83" s="46" t="s">
        <v>26</v>
      </c>
      <c r="H83" s="47"/>
      <c r="I83" s="48"/>
      <c r="J83" s="52"/>
      <c r="K83" s="52" t="s">
        <v>534</v>
      </c>
      <c r="L83" s="52" t="s">
        <v>480</v>
      </c>
      <c r="M83" s="54" t="s">
        <v>113</v>
      </c>
      <c r="N83" s="49" t="s">
        <v>123</v>
      </c>
      <c r="O83" s="49" t="s">
        <v>322</v>
      </c>
      <c r="P83" s="45" t="s">
        <v>132</v>
      </c>
      <c r="Q83" s="61"/>
      <c r="R83" s="49"/>
      <c r="S83" s="45" t="s">
        <v>531</v>
      </c>
      <c r="T83" s="45" t="s">
        <v>92</v>
      </c>
      <c r="U83" s="65"/>
      <c r="V83" s="65"/>
      <c r="W83" s="65"/>
      <c r="X83" s="65"/>
      <c r="Y83" s="65"/>
      <c r="Z83" s="65"/>
      <c r="AA83" s="65"/>
      <c r="AB83" s="65"/>
      <c r="AC83" s="65"/>
      <c r="AD83" s="65"/>
      <c r="AE83" s="65"/>
      <c r="AF83" s="65"/>
    </row>
    <row r="84">
      <c r="A84" s="63"/>
      <c r="B84" s="43">
        <f t="shared" si="2"/>
        <v>78</v>
      </c>
      <c r="C84" s="44" t="s">
        <v>535</v>
      </c>
      <c r="D84" s="44" t="s">
        <v>9</v>
      </c>
      <c r="E84" s="45" t="s">
        <v>58</v>
      </c>
      <c r="F84" s="44" t="s">
        <v>536</v>
      </c>
      <c r="G84" s="46" t="s">
        <v>20</v>
      </c>
      <c r="H84" s="47" t="s">
        <v>17</v>
      </c>
      <c r="I84" s="48"/>
      <c r="J84" s="52"/>
      <c r="K84" s="52" t="s">
        <v>537</v>
      </c>
      <c r="L84" s="45" t="s">
        <v>365</v>
      </c>
      <c r="M84" s="54" t="s">
        <v>85</v>
      </c>
      <c r="N84" s="49" t="s">
        <v>86</v>
      </c>
      <c r="O84" s="49" t="s">
        <v>131</v>
      </c>
      <c r="P84" s="45" t="s">
        <v>105</v>
      </c>
      <c r="Q84" s="61"/>
      <c r="R84" s="49"/>
      <c r="S84" s="62"/>
      <c r="T84" s="62" t="s">
        <v>92</v>
      </c>
      <c r="U84" s="65"/>
      <c r="V84" s="65"/>
      <c r="W84" s="65"/>
      <c r="X84" s="65"/>
      <c r="Y84" s="65"/>
      <c r="Z84" s="65"/>
      <c r="AA84" s="65"/>
      <c r="AB84" s="65"/>
      <c r="AC84" s="65"/>
      <c r="AD84" s="65"/>
      <c r="AE84" s="65"/>
      <c r="AF84" s="65"/>
    </row>
    <row r="85">
      <c r="A85" s="63"/>
      <c r="B85" s="43">
        <f t="shared" si="2"/>
        <v>79</v>
      </c>
      <c r="C85" s="44" t="s">
        <v>538</v>
      </c>
      <c r="D85" s="44" t="s">
        <v>5</v>
      </c>
      <c r="E85" s="45" t="s">
        <v>33</v>
      </c>
      <c r="F85" s="44" t="s">
        <v>539</v>
      </c>
      <c r="G85" s="46" t="s">
        <v>18</v>
      </c>
      <c r="H85" s="47" t="s">
        <v>6</v>
      </c>
      <c r="I85" s="60" t="s">
        <v>38</v>
      </c>
      <c r="J85" s="52"/>
      <c r="K85" s="52" t="s">
        <v>540</v>
      </c>
      <c r="L85" s="45" t="s">
        <v>84</v>
      </c>
      <c r="M85" s="54" t="s">
        <v>113</v>
      </c>
      <c r="N85" s="49" t="s">
        <v>86</v>
      </c>
      <c r="O85" s="49" t="s">
        <v>541</v>
      </c>
      <c r="P85" s="45" t="s">
        <v>88</v>
      </c>
      <c r="Q85" s="49" t="s">
        <v>542</v>
      </c>
      <c r="R85" s="66" t="s">
        <v>543</v>
      </c>
      <c r="S85" s="45" t="s">
        <v>544</v>
      </c>
      <c r="T85" s="45" t="s">
        <v>92</v>
      </c>
      <c r="U85" s="65"/>
      <c r="V85" s="65"/>
      <c r="W85" s="65"/>
      <c r="X85" s="65"/>
      <c r="Y85" s="65"/>
      <c r="Z85" s="65"/>
      <c r="AA85" s="65"/>
      <c r="AB85" s="65"/>
      <c r="AC85" s="65"/>
      <c r="AD85" s="65"/>
      <c r="AE85" s="65"/>
      <c r="AF85" s="65"/>
    </row>
    <row r="86">
      <c r="A86" s="67"/>
      <c r="B86" s="43">
        <f t="shared" si="2"/>
        <v>80</v>
      </c>
      <c r="C86" s="44" t="s">
        <v>545</v>
      </c>
      <c r="D86" s="44" t="s">
        <v>4</v>
      </c>
      <c r="E86" s="45" t="s">
        <v>46</v>
      </c>
      <c r="F86" s="44" t="s">
        <v>546</v>
      </c>
      <c r="G86" s="46" t="s">
        <v>22</v>
      </c>
      <c r="H86" s="47" t="s">
        <v>6</v>
      </c>
      <c r="I86" s="48" t="s">
        <v>32</v>
      </c>
      <c r="J86" s="52"/>
      <c r="K86" s="52" t="s">
        <v>547</v>
      </c>
      <c r="L86" s="45" t="s">
        <v>365</v>
      </c>
      <c r="M86" s="54" t="s">
        <v>85</v>
      </c>
      <c r="N86" s="49" t="s">
        <v>123</v>
      </c>
      <c r="O86" s="49" t="s">
        <v>317</v>
      </c>
      <c r="P86" s="45" t="s">
        <v>105</v>
      </c>
      <c r="Q86" s="49" t="s">
        <v>548</v>
      </c>
      <c r="R86" s="61"/>
      <c r="S86" s="62"/>
      <c r="T86" s="62" t="s">
        <v>92</v>
      </c>
      <c r="U86" s="67"/>
      <c r="V86" s="67"/>
      <c r="W86" s="67"/>
      <c r="X86" s="67"/>
      <c r="Y86" s="67"/>
      <c r="Z86" s="67"/>
      <c r="AA86" s="67"/>
      <c r="AB86" s="67"/>
      <c r="AC86" s="67"/>
      <c r="AD86" s="67"/>
      <c r="AE86" s="67"/>
      <c r="AF86" s="67"/>
    </row>
    <row r="87">
      <c r="A87" s="67"/>
      <c r="B87" s="43">
        <f t="shared" si="2"/>
        <v>81</v>
      </c>
      <c r="C87" s="44" t="s">
        <v>549</v>
      </c>
      <c r="D87" s="44" t="s">
        <v>9</v>
      </c>
      <c r="E87" s="45" t="s">
        <v>57</v>
      </c>
      <c r="F87" s="44" t="s">
        <v>550</v>
      </c>
      <c r="G87" s="46" t="s">
        <v>18</v>
      </c>
      <c r="H87" s="47" t="s">
        <v>8</v>
      </c>
      <c r="I87" s="48"/>
      <c r="J87" s="52"/>
      <c r="K87" s="52" t="s">
        <v>551</v>
      </c>
      <c r="L87" s="45" t="s">
        <v>252</v>
      </c>
      <c r="M87" s="54" t="s">
        <v>253</v>
      </c>
      <c r="N87" s="49" t="s">
        <v>86</v>
      </c>
      <c r="O87" s="49" t="s">
        <v>552</v>
      </c>
      <c r="P87" s="45" t="s">
        <v>88</v>
      </c>
      <c r="Q87" s="61"/>
      <c r="R87" s="61"/>
      <c r="S87" s="62"/>
      <c r="T87" s="62" t="s">
        <v>92</v>
      </c>
      <c r="U87" s="67"/>
      <c r="V87" s="67"/>
      <c r="W87" s="67"/>
      <c r="X87" s="67"/>
      <c r="Y87" s="67"/>
      <c r="Z87" s="67"/>
      <c r="AA87" s="67"/>
      <c r="AB87" s="67"/>
      <c r="AC87" s="67"/>
      <c r="AD87" s="67"/>
      <c r="AE87" s="67"/>
      <c r="AF87" s="67"/>
    </row>
    <row r="88">
      <c r="A88" s="67"/>
      <c r="B88" s="43">
        <f t="shared" si="2"/>
        <v>82</v>
      </c>
      <c r="C88" s="44" t="s">
        <v>553</v>
      </c>
      <c r="D88" s="44" t="s">
        <v>9</v>
      </c>
      <c r="E88" s="45" t="s">
        <v>57</v>
      </c>
      <c r="F88" s="44" t="s">
        <v>554</v>
      </c>
      <c r="G88" s="46" t="s">
        <v>18</v>
      </c>
      <c r="H88" s="47" t="s">
        <v>8</v>
      </c>
      <c r="I88" s="48"/>
      <c r="J88" s="52"/>
      <c r="K88" s="52" t="s">
        <v>555</v>
      </c>
      <c r="L88" s="45" t="s">
        <v>252</v>
      </c>
      <c r="M88" s="54" t="s">
        <v>253</v>
      </c>
      <c r="N88" s="49" t="s">
        <v>86</v>
      </c>
      <c r="O88" s="49" t="s">
        <v>556</v>
      </c>
      <c r="P88" s="45" t="s">
        <v>88</v>
      </c>
      <c r="Q88" s="61"/>
      <c r="R88" s="61"/>
      <c r="S88" s="62"/>
      <c r="T88" s="62" t="s">
        <v>92</v>
      </c>
      <c r="U88" s="67"/>
      <c r="V88" s="67"/>
      <c r="W88" s="67"/>
      <c r="X88" s="67"/>
      <c r="Y88" s="67"/>
      <c r="Z88" s="67"/>
      <c r="AA88" s="67"/>
      <c r="AB88" s="67"/>
      <c r="AC88" s="67"/>
      <c r="AD88" s="67"/>
      <c r="AE88" s="67"/>
      <c r="AF88" s="67"/>
    </row>
    <row r="89">
      <c r="A89" s="67"/>
      <c r="B89" s="43">
        <f t="shared" si="2"/>
        <v>83</v>
      </c>
      <c r="C89" s="44" t="s">
        <v>557</v>
      </c>
      <c r="D89" s="44" t="s">
        <v>7</v>
      </c>
      <c r="E89" s="45" t="s">
        <v>53</v>
      </c>
      <c r="F89" s="44" t="s">
        <v>558</v>
      </c>
      <c r="G89" s="46" t="s">
        <v>20</v>
      </c>
      <c r="H89" s="47" t="s">
        <v>6</v>
      </c>
      <c r="I89" s="48" t="s">
        <v>32</v>
      </c>
      <c r="J89" s="45" t="s">
        <v>193</v>
      </c>
      <c r="K89" s="52" t="s">
        <v>559</v>
      </c>
      <c r="L89" s="45" t="s">
        <v>173</v>
      </c>
      <c r="M89" s="54" t="s">
        <v>85</v>
      </c>
      <c r="N89" s="49" t="s">
        <v>86</v>
      </c>
      <c r="O89" s="49" t="s">
        <v>131</v>
      </c>
      <c r="P89" s="45" t="s">
        <v>88</v>
      </c>
      <c r="Q89" s="61"/>
      <c r="R89" s="61"/>
      <c r="S89" s="62"/>
      <c r="T89" s="62" t="s">
        <v>92</v>
      </c>
      <c r="U89" s="67"/>
      <c r="V89" s="67"/>
      <c r="W89" s="67"/>
      <c r="X89" s="67"/>
      <c r="Y89" s="67"/>
      <c r="Z89" s="67"/>
      <c r="AA89" s="67"/>
      <c r="AB89" s="67"/>
      <c r="AC89" s="67"/>
      <c r="AD89" s="67"/>
      <c r="AE89" s="67"/>
      <c r="AF89" s="67"/>
    </row>
    <row r="90">
      <c r="A90" s="67"/>
      <c r="B90" s="43">
        <f t="shared" si="2"/>
        <v>84</v>
      </c>
      <c r="C90" s="44" t="s">
        <v>560</v>
      </c>
      <c r="D90" s="44" t="s">
        <v>4</v>
      </c>
      <c r="E90" s="45" t="s">
        <v>49</v>
      </c>
      <c r="F90" s="44" t="s">
        <v>561</v>
      </c>
      <c r="G90" s="46" t="s">
        <v>20</v>
      </c>
      <c r="H90" s="47" t="s">
        <v>6</v>
      </c>
      <c r="I90" s="48" t="s">
        <v>32</v>
      </c>
      <c r="J90" s="45" t="s">
        <v>562</v>
      </c>
      <c r="K90" s="52" t="s">
        <v>563</v>
      </c>
      <c r="L90" s="45" t="s">
        <v>564</v>
      </c>
      <c r="M90" s="54" t="s">
        <v>253</v>
      </c>
      <c r="N90" s="49" t="s">
        <v>123</v>
      </c>
      <c r="O90" s="49" t="s">
        <v>565</v>
      </c>
      <c r="P90" s="45" t="s">
        <v>132</v>
      </c>
      <c r="Q90" s="61"/>
      <c r="R90" s="61"/>
      <c r="S90" s="62"/>
      <c r="T90" s="62" t="s">
        <v>92</v>
      </c>
      <c r="U90" s="67"/>
      <c r="V90" s="67"/>
      <c r="W90" s="67"/>
      <c r="X90" s="67"/>
      <c r="Y90" s="67"/>
      <c r="Z90" s="67"/>
      <c r="AA90" s="67"/>
      <c r="AB90" s="67"/>
      <c r="AC90" s="67"/>
      <c r="AD90" s="67"/>
      <c r="AE90" s="67"/>
      <c r="AF90" s="67"/>
    </row>
    <row r="91">
      <c r="A91" s="67"/>
      <c r="B91" s="43">
        <f t="shared" si="2"/>
        <v>85</v>
      </c>
      <c r="C91" s="44" t="s">
        <v>566</v>
      </c>
      <c r="D91" s="44" t="s">
        <v>4</v>
      </c>
      <c r="E91" s="45" t="s">
        <v>53</v>
      </c>
      <c r="F91" s="44" t="s">
        <v>567</v>
      </c>
      <c r="G91" s="46" t="s">
        <v>20</v>
      </c>
      <c r="H91" s="47" t="s">
        <v>17</v>
      </c>
      <c r="I91" s="48"/>
      <c r="J91" s="52"/>
      <c r="K91" s="52" t="s">
        <v>568</v>
      </c>
      <c r="L91" s="45" t="s">
        <v>159</v>
      </c>
      <c r="M91" s="54" t="s">
        <v>85</v>
      </c>
      <c r="N91" s="49" t="s">
        <v>123</v>
      </c>
      <c r="O91" s="49" t="s">
        <v>131</v>
      </c>
      <c r="P91" s="45" t="s">
        <v>132</v>
      </c>
      <c r="Q91" s="61"/>
      <c r="R91" s="61"/>
      <c r="S91" s="62"/>
      <c r="T91" s="62" t="s">
        <v>92</v>
      </c>
      <c r="U91" s="67"/>
      <c r="V91" s="67"/>
      <c r="W91" s="67"/>
      <c r="X91" s="67"/>
      <c r="Y91" s="67"/>
      <c r="Z91" s="67"/>
      <c r="AA91" s="67"/>
      <c r="AB91" s="67"/>
      <c r="AC91" s="67"/>
      <c r="AD91" s="67"/>
      <c r="AE91" s="67"/>
      <c r="AF91" s="67"/>
    </row>
    <row r="92">
      <c r="A92" s="67"/>
      <c r="B92" s="43">
        <f t="shared" si="2"/>
        <v>86</v>
      </c>
      <c r="C92" s="44" t="s">
        <v>569</v>
      </c>
      <c r="D92" s="44" t="s">
        <v>11</v>
      </c>
      <c r="E92" s="45" t="s">
        <v>60</v>
      </c>
      <c r="F92" s="44" t="s">
        <v>570</v>
      </c>
      <c r="G92" s="46" t="s">
        <v>20</v>
      </c>
      <c r="H92" s="47" t="s">
        <v>23</v>
      </c>
      <c r="I92" s="48"/>
      <c r="J92" s="52"/>
      <c r="K92" s="52" t="s">
        <v>571</v>
      </c>
      <c r="L92" s="45" t="s">
        <v>295</v>
      </c>
      <c r="M92" s="54" t="s">
        <v>113</v>
      </c>
      <c r="N92" s="49" t="s">
        <v>114</v>
      </c>
      <c r="O92" s="49" t="s">
        <v>87</v>
      </c>
      <c r="P92" s="45" t="s">
        <v>132</v>
      </c>
      <c r="Q92" s="61"/>
      <c r="R92" s="61"/>
      <c r="S92" s="62"/>
      <c r="T92" s="62" t="s">
        <v>92</v>
      </c>
      <c r="U92" s="67"/>
      <c r="V92" s="67"/>
      <c r="W92" s="67"/>
      <c r="X92" s="67"/>
      <c r="Y92" s="67"/>
      <c r="Z92" s="67"/>
      <c r="AA92" s="67"/>
      <c r="AB92" s="67"/>
      <c r="AC92" s="67"/>
      <c r="AD92" s="67"/>
      <c r="AE92" s="67"/>
      <c r="AF92" s="67"/>
    </row>
    <row r="93">
      <c r="A93" s="67"/>
      <c r="B93" s="43">
        <f t="shared" si="2"/>
        <v>87</v>
      </c>
      <c r="C93" s="44" t="s">
        <v>572</v>
      </c>
      <c r="D93" s="44" t="s">
        <v>11</v>
      </c>
      <c r="E93" s="45" t="s">
        <v>31</v>
      </c>
      <c r="F93" s="44" t="s">
        <v>573</v>
      </c>
      <c r="G93" s="46" t="s">
        <v>26</v>
      </c>
      <c r="H93" s="47"/>
      <c r="I93" s="48"/>
      <c r="J93" s="52"/>
      <c r="K93" s="52" t="s">
        <v>574</v>
      </c>
      <c r="L93" s="52" t="s">
        <v>480</v>
      </c>
      <c r="M93" s="54" t="s">
        <v>113</v>
      </c>
      <c r="N93" s="49" t="s">
        <v>114</v>
      </c>
      <c r="O93" s="49" t="s">
        <v>209</v>
      </c>
      <c r="P93" s="45" t="s">
        <v>132</v>
      </c>
      <c r="Q93" s="61"/>
      <c r="R93" s="61"/>
      <c r="S93" s="62"/>
      <c r="T93" s="62" t="s">
        <v>92</v>
      </c>
      <c r="U93" s="67"/>
      <c r="V93" s="67"/>
      <c r="W93" s="67"/>
      <c r="X93" s="67"/>
      <c r="Y93" s="67"/>
      <c r="Z93" s="67"/>
      <c r="AA93" s="67"/>
      <c r="AB93" s="67"/>
      <c r="AC93" s="67"/>
      <c r="AD93" s="67"/>
      <c r="AE93" s="67"/>
      <c r="AF93" s="67"/>
    </row>
    <row r="94">
      <c r="A94" s="67"/>
      <c r="B94" s="43">
        <f t="shared" si="2"/>
        <v>88</v>
      </c>
      <c r="C94" s="44" t="s">
        <v>575</v>
      </c>
      <c r="D94" s="44" t="s">
        <v>11</v>
      </c>
      <c r="E94" s="45" t="s">
        <v>31</v>
      </c>
      <c r="F94" s="44" t="s">
        <v>576</v>
      </c>
      <c r="G94" s="46" t="s">
        <v>26</v>
      </c>
      <c r="H94" s="47"/>
      <c r="I94" s="48"/>
      <c r="J94" s="52"/>
      <c r="K94" s="52" t="s">
        <v>577</v>
      </c>
      <c r="L94" s="45" t="s">
        <v>295</v>
      </c>
      <c r="M94" s="54" t="s">
        <v>113</v>
      </c>
      <c r="N94" s="49" t="s">
        <v>114</v>
      </c>
      <c r="O94" s="49" t="s">
        <v>311</v>
      </c>
      <c r="P94" s="45" t="s">
        <v>132</v>
      </c>
      <c r="Q94" s="61"/>
      <c r="R94" s="61"/>
      <c r="S94" s="62"/>
      <c r="T94" s="62" t="s">
        <v>92</v>
      </c>
      <c r="U94" s="67"/>
      <c r="V94" s="67"/>
      <c r="W94" s="67"/>
      <c r="X94" s="67"/>
      <c r="Y94" s="67"/>
      <c r="Z94" s="67"/>
      <c r="AA94" s="67"/>
      <c r="AB94" s="67"/>
      <c r="AC94" s="67"/>
      <c r="AD94" s="67"/>
      <c r="AE94" s="67"/>
      <c r="AF94" s="67"/>
    </row>
    <row r="95">
      <c r="A95" s="67"/>
      <c r="B95" s="43">
        <f t="shared" si="2"/>
        <v>89</v>
      </c>
      <c r="C95" s="44" t="s">
        <v>578</v>
      </c>
      <c r="D95" s="44" t="s">
        <v>11</v>
      </c>
      <c r="E95" s="45" t="s">
        <v>31</v>
      </c>
      <c r="F95" s="44" t="s">
        <v>579</v>
      </c>
      <c r="G95" s="46" t="s">
        <v>26</v>
      </c>
      <c r="H95" s="47"/>
      <c r="I95" s="48"/>
      <c r="J95" s="52"/>
      <c r="K95" s="52" t="s">
        <v>580</v>
      </c>
      <c r="L95" s="52" t="s">
        <v>480</v>
      </c>
      <c r="M95" s="54" t="s">
        <v>113</v>
      </c>
      <c r="N95" s="49" t="s">
        <v>114</v>
      </c>
      <c r="O95" s="49" t="s">
        <v>131</v>
      </c>
      <c r="P95" s="45" t="s">
        <v>132</v>
      </c>
      <c r="Q95" s="61"/>
      <c r="R95" s="61"/>
      <c r="S95" s="62"/>
      <c r="T95" s="62" t="s">
        <v>92</v>
      </c>
      <c r="U95" s="67"/>
      <c r="V95" s="67"/>
      <c r="W95" s="67"/>
      <c r="X95" s="67"/>
      <c r="Y95" s="67"/>
      <c r="Z95" s="67"/>
      <c r="AA95" s="67"/>
      <c r="AB95" s="67"/>
      <c r="AC95" s="67"/>
      <c r="AD95" s="67"/>
      <c r="AE95" s="67"/>
      <c r="AF95" s="67"/>
    </row>
    <row r="96">
      <c r="A96" s="67"/>
      <c r="B96" s="43">
        <f t="shared" si="2"/>
        <v>90</v>
      </c>
      <c r="C96" s="44" t="s">
        <v>581</v>
      </c>
      <c r="D96" s="44" t="s">
        <v>11</v>
      </c>
      <c r="E96" s="45" t="s">
        <v>59</v>
      </c>
      <c r="F96" s="44" t="s">
        <v>582</v>
      </c>
      <c r="G96" s="46" t="s">
        <v>20</v>
      </c>
      <c r="H96" s="47" t="s">
        <v>6</v>
      </c>
      <c r="I96" s="48" t="s">
        <v>36</v>
      </c>
      <c r="J96" s="45" t="s">
        <v>102</v>
      </c>
      <c r="K96" s="52" t="s">
        <v>583</v>
      </c>
      <c r="L96" s="45" t="s">
        <v>303</v>
      </c>
      <c r="M96" s="54" t="s">
        <v>113</v>
      </c>
      <c r="N96" s="49" t="s">
        <v>114</v>
      </c>
      <c r="O96" s="49" t="s">
        <v>209</v>
      </c>
      <c r="P96" s="45" t="s">
        <v>132</v>
      </c>
      <c r="Q96" s="61"/>
      <c r="R96" s="61"/>
      <c r="S96" s="62"/>
      <c r="T96" s="62" t="s">
        <v>92</v>
      </c>
      <c r="U96" s="67"/>
      <c r="V96" s="67"/>
      <c r="W96" s="67"/>
      <c r="X96" s="67"/>
      <c r="Y96" s="67"/>
      <c r="Z96" s="67"/>
      <c r="AA96" s="67"/>
      <c r="AB96" s="67"/>
      <c r="AC96" s="67"/>
      <c r="AD96" s="67"/>
      <c r="AE96" s="67"/>
      <c r="AF96" s="67"/>
    </row>
    <row r="97">
      <c r="A97" s="67"/>
      <c r="B97" s="43">
        <f t="shared" si="2"/>
        <v>91</v>
      </c>
      <c r="C97" s="44" t="s">
        <v>584</v>
      </c>
      <c r="D97" s="44" t="s">
        <v>4</v>
      </c>
      <c r="E97" s="45" t="s">
        <v>63</v>
      </c>
      <c r="F97" s="44" t="s">
        <v>585</v>
      </c>
      <c r="G97" s="46" t="s">
        <v>20</v>
      </c>
      <c r="H97" s="47" t="s">
        <v>17</v>
      </c>
      <c r="I97" s="48"/>
      <c r="J97" s="52"/>
      <c r="K97" s="52" t="s">
        <v>586</v>
      </c>
      <c r="L97" s="45" t="s">
        <v>587</v>
      </c>
      <c r="M97" s="54" t="s">
        <v>113</v>
      </c>
      <c r="N97" s="49" t="s">
        <v>123</v>
      </c>
      <c r="O97" s="49" t="s">
        <v>87</v>
      </c>
      <c r="P97" s="45" t="s">
        <v>132</v>
      </c>
      <c r="Q97" s="61"/>
      <c r="R97" s="61"/>
      <c r="S97" s="62"/>
      <c r="T97" s="62" t="s">
        <v>92</v>
      </c>
      <c r="U97" s="67"/>
      <c r="V97" s="67"/>
      <c r="W97" s="67"/>
      <c r="X97" s="67"/>
      <c r="Y97" s="67"/>
      <c r="Z97" s="67"/>
      <c r="AA97" s="67"/>
      <c r="AB97" s="67"/>
      <c r="AC97" s="67"/>
      <c r="AD97" s="67"/>
      <c r="AE97" s="67"/>
      <c r="AF97" s="67"/>
    </row>
    <row r="98">
      <c r="A98" s="67"/>
      <c r="B98" s="43">
        <f t="shared" si="2"/>
        <v>92</v>
      </c>
      <c r="C98" s="44" t="s">
        <v>588</v>
      </c>
      <c r="D98" s="44" t="s">
        <v>9</v>
      </c>
      <c r="E98" s="45" t="s">
        <v>58</v>
      </c>
      <c r="F98" s="44" t="s">
        <v>589</v>
      </c>
      <c r="G98" s="46" t="s">
        <v>20</v>
      </c>
      <c r="H98" s="47" t="s">
        <v>6</v>
      </c>
      <c r="I98" s="48"/>
      <c r="J98" s="52"/>
      <c r="K98" s="52" t="s">
        <v>590</v>
      </c>
      <c r="L98" s="52" t="s">
        <v>417</v>
      </c>
      <c r="M98" s="54" t="s">
        <v>253</v>
      </c>
      <c r="N98" s="49" t="s">
        <v>86</v>
      </c>
      <c r="O98" s="49" t="s">
        <v>131</v>
      </c>
      <c r="P98" s="49" t="s">
        <v>132</v>
      </c>
      <c r="Q98" s="61"/>
      <c r="R98" s="61"/>
      <c r="S98" s="61"/>
      <c r="T98" s="61" t="s">
        <v>92</v>
      </c>
      <c r="U98" s="67"/>
      <c r="V98" s="67"/>
      <c r="W98" s="67"/>
      <c r="X98" s="67"/>
      <c r="Y98" s="67"/>
      <c r="Z98" s="67"/>
      <c r="AA98" s="67"/>
      <c r="AB98" s="67"/>
      <c r="AC98" s="67"/>
      <c r="AD98" s="67"/>
      <c r="AE98" s="67"/>
      <c r="AF98" s="67"/>
    </row>
    <row r="99">
      <c r="A99" s="67"/>
      <c r="B99" s="43">
        <f t="shared" si="2"/>
        <v>93</v>
      </c>
      <c r="C99" s="44" t="s">
        <v>591</v>
      </c>
      <c r="D99" s="44" t="s">
        <v>9</v>
      </c>
      <c r="E99" s="45" t="s">
        <v>57</v>
      </c>
      <c r="F99" s="44" t="s">
        <v>592</v>
      </c>
      <c r="G99" s="46" t="s">
        <v>20</v>
      </c>
      <c r="H99" s="47" t="s">
        <v>8</v>
      </c>
      <c r="I99" s="48"/>
      <c r="J99" s="52"/>
      <c r="K99" s="52" t="s">
        <v>593</v>
      </c>
      <c r="L99" s="52" t="s">
        <v>417</v>
      </c>
      <c r="M99" s="54" t="s">
        <v>253</v>
      </c>
      <c r="N99" s="49" t="s">
        <v>86</v>
      </c>
      <c r="O99" s="49" t="s">
        <v>594</v>
      </c>
      <c r="P99" s="49" t="s">
        <v>132</v>
      </c>
      <c r="Q99" s="61"/>
      <c r="R99" s="61"/>
      <c r="S99" s="61"/>
      <c r="T99" s="61" t="s">
        <v>92</v>
      </c>
      <c r="U99" s="67"/>
      <c r="V99" s="67"/>
      <c r="W99" s="67"/>
      <c r="X99" s="67"/>
      <c r="Y99" s="67"/>
      <c r="Z99" s="67"/>
      <c r="AA99" s="67"/>
      <c r="AB99" s="67"/>
      <c r="AC99" s="67"/>
      <c r="AD99" s="67"/>
      <c r="AE99" s="67"/>
      <c r="AF99" s="67"/>
    </row>
    <row r="100">
      <c r="A100" s="67"/>
      <c r="B100" s="43">
        <f t="shared" si="2"/>
        <v>94</v>
      </c>
      <c r="C100" s="44" t="s">
        <v>595</v>
      </c>
      <c r="D100" s="44" t="s">
        <v>4</v>
      </c>
      <c r="E100" s="45" t="s">
        <v>51</v>
      </c>
      <c r="F100" s="44" t="s">
        <v>596</v>
      </c>
      <c r="G100" s="46" t="s">
        <v>20</v>
      </c>
      <c r="H100" s="47" t="s">
        <v>17</v>
      </c>
      <c r="I100" s="48"/>
      <c r="J100" s="52"/>
      <c r="K100" s="52" t="s">
        <v>597</v>
      </c>
      <c r="L100" s="45" t="s">
        <v>530</v>
      </c>
      <c r="M100" s="54" t="s">
        <v>113</v>
      </c>
      <c r="N100" s="49" t="s">
        <v>123</v>
      </c>
      <c r="O100" s="49" t="s">
        <v>209</v>
      </c>
      <c r="P100" s="49" t="s">
        <v>132</v>
      </c>
      <c r="Q100" s="61"/>
      <c r="R100" s="61"/>
      <c r="S100" s="61"/>
      <c r="T100" s="62" t="s">
        <v>598</v>
      </c>
      <c r="U100" s="67"/>
      <c r="V100" s="67"/>
      <c r="W100" s="67"/>
      <c r="X100" s="67"/>
      <c r="Y100" s="67"/>
      <c r="Z100" s="67"/>
      <c r="AA100" s="67"/>
      <c r="AB100" s="67"/>
      <c r="AC100" s="67"/>
      <c r="AD100" s="67"/>
      <c r="AE100" s="67"/>
      <c r="AF100" s="67"/>
    </row>
    <row r="101">
      <c r="A101" s="67"/>
      <c r="B101" s="43">
        <f t="shared" si="2"/>
        <v>95</v>
      </c>
      <c r="C101" s="44" t="s">
        <v>599</v>
      </c>
      <c r="D101" s="44" t="s">
        <v>11</v>
      </c>
      <c r="E101" s="45" t="s">
        <v>37</v>
      </c>
      <c r="F101" s="44" t="s">
        <v>600</v>
      </c>
      <c r="G101" s="46" t="s">
        <v>18</v>
      </c>
      <c r="H101" s="47" t="s">
        <v>14</v>
      </c>
      <c r="I101" s="48"/>
      <c r="J101" s="52"/>
      <c r="K101" s="52" t="s">
        <v>601</v>
      </c>
      <c r="L101" s="45" t="s">
        <v>84</v>
      </c>
      <c r="M101" s="54" t="s">
        <v>113</v>
      </c>
      <c r="N101" s="49" t="s">
        <v>86</v>
      </c>
      <c r="O101" s="49" t="s">
        <v>602</v>
      </c>
      <c r="P101" s="49" t="s">
        <v>88</v>
      </c>
      <c r="Q101" s="61"/>
      <c r="R101" s="61"/>
      <c r="S101" s="49" t="s">
        <v>603</v>
      </c>
      <c r="T101" s="49" t="s">
        <v>92</v>
      </c>
      <c r="U101" s="67"/>
      <c r="V101" s="67"/>
      <c r="W101" s="67"/>
      <c r="X101" s="67"/>
      <c r="Y101" s="67"/>
      <c r="Z101" s="67"/>
      <c r="AA101" s="67"/>
      <c r="AB101" s="67"/>
      <c r="AC101" s="67"/>
      <c r="AD101" s="67"/>
      <c r="AE101" s="67"/>
      <c r="AF101" s="67"/>
    </row>
    <row r="102">
      <c r="A102" s="67"/>
      <c r="B102" s="43">
        <f t="shared" si="2"/>
        <v>96</v>
      </c>
      <c r="C102" s="44" t="s">
        <v>604</v>
      </c>
      <c r="D102" s="44" t="s">
        <v>5</v>
      </c>
      <c r="E102" s="45" t="s">
        <v>56</v>
      </c>
      <c r="F102" s="44" t="s">
        <v>605</v>
      </c>
      <c r="G102" s="46" t="s">
        <v>18</v>
      </c>
      <c r="H102" s="47" t="s">
        <v>28</v>
      </c>
      <c r="I102" s="48" t="s">
        <v>32</v>
      </c>
      <c r="J102" s="52"/>
      <c r="K102" s="52" t="s">
        <v>606</v>
      </c>
      <c r="L102" s="45" t="s">
        <v>84</v>
      </c>
      <c r="M102" s="54" t="s">
        <v>113</v>
      </c>
      <c r="N102" s="49" t="s">
        <v>86</v>
      </c>
      <c r="O102" s="49" t="s">
        <v>607</v>
      </c>
      <c r="P102" s="49" t="s">
        <v>88</v>
      </c>
      <c r="Q102" s="61"/>
      <c r="R102" s="61"/>
      <c r="S102" s="49" t="s">
        <v>608</v>
      </c>
      <c r="T102" s="49" t="s">
        <v>92</v>
      </c>
      <c r="U102" s="67"/>
      <c r="V102" s="67"/>
      <c r="W102" s="67"/>
      <c r="X102" s="67"/>
      <c r="Y102" s="67"/>
      <c r="Z102" s="67"/>
      <c r="AA102" s="67"/>
      <c r="AB102" s="67"/>
      <c r="AC102" s="67"/>
      <c r="AD102" s="67"/>
      <c r="AE102" s="67"/>
      <c r="AF102" s="67"/>
    </row>
    <row r="103">
      <c r="A103" s="67"/>
      <c r="B103" s="43">
        <f t="shared" si="2"/>
        <v>97</v>
      </c>
      <c r="C103" s="44" t="s">
        <v>609</v>
      </c>
      <c r="D103" s="44" t="s">
        <v>5</v>
      </c>
      <c r="E103" s="45" t="s">
        <v>56</v>
      </c>
      <c r="F103" s="44" t="s">
        <v>610</v>
      </c>
      <c r="G103" s="46" t="s">
        <v>18</v>
      </c>
      <c r="H103" s="47" t="s">
        <v>6</v>
      </c>
      <c r="I103" s="48"/>
      <c r="J103" s="52"/>
      <c r="K103" s="52" t="s">
        <v>611</v>
      </c>
      <c r="L103" s="45" t="s">
        <v>612</v>
      </c>
      <c r="M103" s="54" t="s">
        <v>85</v>
      </c>
      <c r="N103" s="49" t="s">
        <v>114</v>
      </c>
      <c r="O103" s="49" t="s">
        <v>613</v>
      </c>
      <c r="P103" s="45" t="s">
        <v>88</v>
      </c>
      <c r="Q103" s="61"/>
      <c r="R103" s="61"/>
      <c r="S103" s="45" t="s">
        <v>614</v>
      </c>
      <c r="T103" s="45" t="s">
        <v>92</v>
      </c>
      <c r="U103" s="67"/>
      <c r="V103" s="67"/>
      <c r="W103" s="67"/>
      <c r="X103" s="67"/>
      <c r="Y103" s="67"/>
      <c r="Z103" s="67"/>
      <c r="AA103" s="67"/>
      <c r="AB103" s="67"/>
      <c r="AC103" s="67"/>
      <c r="AD103" s="67"/>
      <c r="AE103" s="67"/>
      <c r="AF103" s="67"/>
    </row>
    <row r="104">
      <c r="A104" s="67"/>
      <c r="B104" s="43">
        <f t="shared" si="2"/>
        <v>98</v>
      </c>
      <c r="C104" s="44" t="s">
        <v>615</v>
      </c>
      <c r="D104" s="44" t="s">
        <v>5</v>
      </c>
      <c r="E104" s="45" t="s">
        <v>56</v>
      </c>
      <c r="F104" s="44" t="s">
        <v>616</v>
      </c>
      <c r="G104" s="46" t="s">
        <v>18</v>
      </c>
      <c r="H104" s="47" t="s">
        <v>17</v>
      </c>
      <c r="I104" s="48"/>
      <c r="J104" s="52"/>
      <c r="K104" s="52" t="s">
        <v>617</v>
      </c>
      <c r="L104" s="45" t="s">
        <v>84</v>
      </c>
      <c r="M104" s="54" t="s">
        <v>113</v>
      </c>
      <c r="N104" s="49" t="s">
        <v>86</v>
      </c>
      <c r="O104" s="49" t="s">
        <v>618</v>
      </c>
      <c r="P104" s="45" t="s">
        <v>88</v>
      </c>
      <c r="Q104" s="61"/>
      <c r="R104" s="61"/>
      <c r="S104" s="45" t="s">
        <v>619</v>
      </c>
      <c r="T104" s="45" t="s">
        <v>92</v>
      </c>
      <c r="U104" s="67"/>
      <c r="V104" s="67"/>
      <c r="W104" s="67"/>
      <c r="X104" s="67"/>
      <c r="Y104" s="67"/>
      <c r="Z104" s="67"/>
      <c r="AA104" s="67"/>
      <c r="AB104" s="67"/>
      <c r="AC104" s="67"/>
      <c r="AD104" s="67"/>
      <c r="AE104" s="67"/>
      <c r="AF104" s="67"/>
    </row>
    <row r="105">
      <c r="A105" s="67"/>
      <c r="B105" s="43">
        <f t="shared" si="2"/>
        <v>99</v>
      </c>
      <c r="C105" s="44" t="s">
        <v>620</v>
      </c>
      <c r="D105" s="44" t="s">
        <v>5</v>
      </c>
      <c r="E105" s="45" t="s">
        <v>51</v>
      </c>
      <c r="F105" s="44" t="s">
        <v>621</v>
      </c>
      <c r="G105" s="46" t="s">
        <v>18</v>
      </c>
      <c r="H105" s="47" t="s">
        <v>15</v>
      </c>
      <c r="I105" s="48"/>
      <c r="J105" s="52"/>
      <c r="K105" s="52" t="s">
        <v>622</v>
      </c>
      <c r="L105" s="45" t="s">
        <v>623</v>
      </c>
      <c r="M105" s="54" t="s">
        <v>113</v>
      </c>
      <c r="N105" s="49" t="s">
        <v>86</v>
      </c>
      <c r="O105" s="49" t="s">
        <v>541</v>
      </c>
      <c r="P105" s="45" t="s">
        <v>88</v>
      </c>
      <c r="Q105" s="45" t="s">
        <v>624</v>
      </c>
      <c r="R105" s="55" t="s">
        <v>625</v>
      </c>
      <c r="S105" s="45" t="s">
        <v>626</v>
      </c>
      <c r="T105" s="45" t="s">
        <v>627</v>
      </c>
      <c r="U105" s="67"/>
      <c r="V105" s="67"/>
      <c r="W105" s="67"/>
      <c r="X105" s="67"/>
      <c r="Y105" s="67"/>
      <c r="Z105" s="67"/>
      <c r="AA105" s="67"/>
      <c r="AB105" s="67"/>
      <c r="AC105" s="67"/>
      <c r="AD105" s="67"/>
      <c r="AE105" s="67"/>
      <c r="AF105" s="67"/>
    </row>
    <row r="106">
      <c r="A106" s="67"/>
      <c r="B106" s="43">
        <f t="shared" si="2"/>
        <v>100</v>
      </c>
      <c r="C106" s="44" t="s">
        <v>628</v>
      </c>
      <c r="D106" s="44" t="s">
        <v>5</v>
      </c>
      <c r="E106" s="45" t="s">
        <v>51</v>
      </c>
      <c r="F106" s="44" t="s">
        <v>629</v>
      </c>
      <c r="G106" s="46" t="s">
        <v>18</v>
      </c>
      <c r="H106" s="47" t="s">
        <v>14</v>
      </c>
      <c r="I106" s="48"/>
      <c r="J106" s="52"/>
      <c r="K106" s="52" t="s">
        <v>630</v>
      </c>
      <c r="L106" s="45" t="s">
        <v>84</v>
      </c>
      <c r="M106" s="54" t="s">
        <v>113</v>
      </c>
      <c r="N106" s="49" t="s">
        <v>86</v>
      </c>
      <c r="O106" s="49" t="s">
        <v>181</v>
      </c>
      <c r="P106" s="45" t="s">
        <v>88</v>
      </c>
      <c r="Q106" s="61"/>
      <c r="R106" s="55" t="s">
        <v>631</v>
      </c>
      <c r="S106" s="45" t="s">
        <v>632</v>
      </c>
      <c r="T106" s="45" t="s">
        <v>633</v>
      </c>
      <c r="U106" s="67"/>
      <c r="V106" s="67"/>
      <c r="W106" s="67"/>
      <c r="X106" s="67"/>
      <c r="Y106" s="67"/>
      <c r="Z106" s="67"/>
      <c r="AA106" s="67"/>
      <c r="AB106" s="67"/>
      <c r="AC106" s="67"/>
      <c r="AD106" s="67"/>
      <c r="AE106" s="67"/>
      <c r="AF106" s="67"/>
    </row>
    <row r="107">
      <c r="A107" s="67"/>
      <c r="B107" s="43">
        <f t="shared" si="2"/>
        <v>101</v>
      </c>
      <c r="C107" s="44" t="s">
        <v>634</v>
      </c>
      <c r="D107" s="44" t="s">
        <v>5</v>
      </c>
      <c r="E107" s="45" t="s">
        <v>56</v>
      </c>
      <c r="F107" s="44" t="s">
        <v>635</v>
      </c>
      <c r="G107" s="46" t="s">
        <v>18</v>
      </c>
      <c r="H107" s="47" t="s">
        <v>14</v>
      </c>
      <c r="I107" s="48"/>
      <c r="J107" s="52"/>
      <c r="K107" s="52" t="s">
        <v>636</v>
      </c>
      <c r="L107" s="45" t="s">
        <v>84</v>
      </c>
      <c r="M107" s="54" t="s">
        <v>113</v>
      </c>
      <c r="N107" s="49" t="s">
        <v>86</v>
      </c>
      <c r="O107" s="49" t="s">
        <v>637</v>
      </c>
      <c r="P107" s="45" t="s">
        <v>88</v>
      </c>
      <c r="Q107" s="61"/>
      <c r="R107" s="55" t="s">
        <v>638</v>
      </c>
      <c r="S107" s="45" t="s">
        <v>632</v>
      </c>
      <c r="T107" s="45" t="s">
        <v>92</v>
      </c>
      <c r="U107" s="67"/>
      <c r="V107" s="67"/>
      <c r="W107" s="67"/>
      <c r="X107" s="67"/>
      <c r="Y107" s="67"/>
      <c r="Z107" s="67"/>
      <c r="AA107" s="67"/>
      <c r="AB107" s="67"/>
      <c r="AC107" s="67"/>
      <c r="AD107" s="67"/>
      <c r="AE107" s="67"/>
      <c r="AF107" s="67"/>
    </row>
    <row r="108">
      <c r="A108" s="67"/>
      <c r="B108" s="43">
        <f t="shared" si="2"/>
        <v>102</v>
      </c>
      <c r="C108" s="44" t="s">
        <v>639</v>
      </c>
      <c r="D108" s="44" t="s">
        <v>11</v>
      </c>
      <c r="E108" s="45" t="s">
        <v>43</v>
      </c>
      <c r="F108" s="44" t="s">
        <v>640</v>
      </c>
      <c r="G108" s="46" t="s">
        <v>20</v>
      </c>
      <c r="H108" s="47" t="s">
        <v>27</v>
      </c>
      <c r="I108" s="48"/>
      <c r="J108" s="52"/>
      <c r="K108" s="45" t="s">
        <v>641</v>
      </c>
      <c r="L108" s="52" t="s">
        <v>642</v>
      </c>
      <c r="M108" s="54" t="s">
        <v>113</v>
      </c>
      <c r="N108" s="49" t="s">
        <v>114</v>
      </c>
      <c r="O108" s="49" t="s">
        <v>209</v>
      </c>
      <c r="P108" s="52"/>
      <c r="Q108" s="61"/>
      <c r="R108" s="61"/>
      <c r="S108" s="45"/>
      <c r="T108" s="45" t="s">
        <v>92</v>
      </c>
      <c r="U108" s="67"/>
      <c r="V108" s="67"/>
      <c r="W108" s="67"/>
      <c r="X108" s="67"/>
      <c r="Y108" s="67"/>
      <c r="Z108" s="67"/>
      <c r="AA108" s="67"/>
      <c r="AB108" s="67"/>
      <c r="AC108" s="67"/>
      <c r="AD108" s="67"/>
      <c r="AE108" s="67"/>
      <c r="AF108" s="67"/>
    </row>
    <row r="109">
      <c r="A109" s="67"/>
      <c r="B109" s="43">
        <f t="shared" si="2"/>
        <v>103</v>
      </c>
      <c r="C109" s="44" t="s">
        <v>643</v>
      </c>
      <c r="D109" s="44" t="s">
        <v>11</v>
      </c>
      <c r="E109" s="45" t="s">
        <v>51</v>
      </c>
      <c r="F109" s="44" t="s">
        <v>644</v>
      </c>
      <c r="G109" s="46" t="s">
        <v>20</v>
      </c>
      <c r="H109" s="47" t="s">
        <v>27</v>
      </c>
      <c r="I109" s="48"/>
      <c r="J109" s="52"/>
      <c r="K109" s="45" t="s">
        <v>645</v>
      </c>
      <c r="L109" s="45" t="s">
        <v>208</v>
      </c>
      <c r="M109" s="54" t="s">
        <v>113</v>
      </c>
      <c r="N109" s="49" t="s">
        <v>114</v>
      </c>
      <c r="O109" s="49" t="s">
        <v>87</v>
      </c>
      <c r="P109" s="61"/>
      <c r="Q109" s="61"/>
      <c r="R109" s="61"/>
      <c r="S109" s="61"/>
      <c r="T109" s="62" t="s">
        <v>646</v>
      </c>
      <c r="U109" s="67"/>
      <c r="V109" s="67"/>
      <c r="W109" s="67"/>
      <c r="X109" s="67"/>
      <c r="Y109" s="67"/>
      <c r="Z109" s="67"/>
      <c r="AA109" s="67"/>
      <c r="AB109" s="67"/>
      <c r="AC109" s="67"/>
      <c r="AD109" s="67"/>
      <c r="AE109" s="67"/>
      <c r="AF109" s="67"/>
    </row>
    <row r="110">
      <c r="A110" s="67"/>
      <c r="B110" s="43">
        <f t="shared" si="2"/>
        <v>104</v>
      </c>
      <c r="C110" s="44" t="s">
        <v>647</v>
      </c>
      <c r="D110" s="44" t="s">
        <v>11</v>
      </c>
      <c r="E110" s="45" t="s">
        <v>59</v>
      </c>
      <c r="F110" s="44" t="s">
        <v>648</v>
      </c>
      <c r="G110" s="46" t="s">
        <v>20</v>
      </c>
      <c r="H110" s="47" t="s">
        <v>27</v>
      </c>
      <c r="I110" s="48"/>
      <c r="J110" s="52"/>
      <c r="K110" s="45" t="s">
        <v>649</v>
      </c>
      <c r="L110" s="52" t="s">
        <v>642</v>
      </c>
      <c r="M110" s="54" t="s">
        <v>113</v>
      </c>
      <c r="N110" s="49" t="s">
        <v>114</v>
      </c>
      <c r="O110" s="49" t="s">
        <v>209</v>
      </c>
      <c r="P110" s="61"/>
      <c r="Q110" s="61"/>
      <c r="R110" s="61"/>
      <c r="S110" s="61"/>
      <c r="T110" s="61" t="s">
        <v>92</v>
      </c>
      <c r="U110" s="67"/>
      <c r="V110" s="67"/>
      <c r="W110" s="67"/>
      <c r="X110" s="67"/>
      <c r="Y110" s="67"/>
      <c r="Z110" s="67"/>
      <c r="AA110" s="67"/>
      <c r="AB110" s="67"/>
      <c r="AC110" s="67"/>
      <c r="AD110" s="67"/>
      <c r="AE110" s="67"/>
      <c r="AF110" s="67"/>
    </row>
    <row r="111">
      <c r="A111" s="67"/>
      <c r="B111" s="43">
        <f t="shared" si="2"/>
        <v>105</v>
      </c>
      <c r="C111" s="44" t="s">
        <v>650</v>
      </c>
      <c r="D111" s="44" t="s">
        <v>11</v>
      </c>
      <c r="E111" s="45" t="s">
        <v>47</v>
      </c>
      <c r="F111" s="44" t="s">
        <v>651</v>
      </c>
      <c r="G111" s="46" t="s">
        <v>20</v>
      </c>
      <c r="H111" s="47" t="s">
        <v>27</v>
      </c>
      <c r="I111" s="48"/>
      <c r="J111" s="52"/>
      <c r="K111" s="45" t="s">
        <v>652</v>
      </c>
      <c r="L111" s="45" t="s">
        <v>653</v>
      </c>
      <c r="M111" s="54" t="s">
        <v>113</v>
      </c>
      <c r="N111" s="49" t="s">
        <v>114</v>
      </c>
      <c r="O111" s="49" t="s">
        <v>87</v>
      </c>
      <c r="P111" s="61"/>
      <c r="Q111" s="61"/>
      <c r="R111" s="61"/>
      <c r="S111" s="61"/>
      <c r="T111" s="61" t="s">
        <v>92</v>
      </c>
      <c r="U111" s="67"/>
      <c r="V111" s="67"/>
      <c r="W111" s="67"/>
      <c r="X111" s="67"/>
      <c r="Y111" s="67"/>
      <c r="Z111" s="67"/>
      <c r="AA111" s="67"/>
      <c r="AB111" s="67"/>
      <c r="AC111" s="67"/>
      <c r="AD111" s="67"/>
      <c r="AE111" s="67"/>
      <c r="AF111" s="67"/>
    </row>
    <row r="112">
      <c r="A112" s="67"/>
      <c r="B112" s="43">
        <f t="shared" si="2"/>
        <v>106</v>
      </c>
      <c r="C112" s="44" t="s">
        <v>654</v>
      </c>
      <c r="D112" s="44" t="s">
        <v>9</v>
      </c>
      <c r="E112" s="45" t="s">
        <v>57</v>
      </c>
      <c r="F112" s="44" t="s">
        <v>655</v>
      </c>
      <c r="G112" s="46" t="s">
        <v>18</v>
      </c>
      <c r="H112" s="47" t="s">
        <v>27</v>
      </c>
      <c r="I112" s="48"/>
      <c r="J112" s="52"/>
      <c r="K112" s="45" t="s">
        <v>656</v>
      </c>
      <c r="L112" s="45" t="s">
        <v>252</v>
      </c>
      <c r="M112" s="54" t="s">
        <v>253</v>
      </c>
      <c r="N112" s="49" t="s">
        <v>86</v>
      </c>
      <c r="O112" s="49" t="s">
        <v>87</v>
      </c>
      <c r="P112" s="49" t="s">
        <v>88</v>
      </c>
      <c r="Q112" s="61"/>
      <c r="R112" s="61"/>
      <c r="S112" s="61"/>
      <c r="T112" s="61" t="s">
        <v>92</v>
      </c>
      <c r="U112" s="67"/>
      <c r="V112" s="67"/>
      <c r="W112" s="67"/>
      <c r="X112" s="67"/>
      <c r="Y112" s="67"/>
      <c r="Z112" s="67"/>
      <c r="AA112" s="67"/>
      <c r="AB112" s="67"/>
      <c r="AC112" s="67"/>
      <c r="AD112" s="67"/>
      <c r="AE112" s="67"/>
      <c r="AF112" s="67"/>
    </row>
    <row r="113">
      <c r="A113" s="67"/>
      <c r="B113" s="43">
        <f t="shared" si="2"/>
        <v>107</v>
      </c>
      <c r="C113" s="44" t="s">
        <v>657</v>
      </c>
      <c r="D113" s="44" t="s">
        <v>9</v>
      </c>
      <c r="E113" s="45" t="s">
        <v>57</v>
      </c>
      <c r="F113" s="44" t="s">
        <v>658</v>
      </c>
      <c r="G113" s="46" t="s">
        <v>18</v>
      </c>
      <c r="H113" s="47" t="s">
        <v>27</v>
      </c>
      <c r="I113" s="48"/>
      <c r="J113" s="52"/>
      <c r="K113" s="45" t="s">
        <v>659</v>
      </c>
      <c r="L113" s="45" t="s">
        <v>252</v>
      </c>
      <c r="M113" s="54" t="s">
        <v>253</v>
      </c>
      <c r="N113" s="49" t="s">
        <v>86</v>
      </c>
      <c r="O113" s="49" t="s">
        <v>660</v>
      </c>
      <c r="P113" s="49" t="s">
        <v>88</v>
      </c>
      <c r="Q113" s="61"/>
      <c r="R113" s="61"/>
      <c r="S113" s="61"/>
      <c r="T113" s="61" t="s">
        <v>92</v>
      </c>
      <c r="U113" s="67"/>
      <c r="V113" s="67"/>
      <c r="W113" s="67"/>
      <c r="X113" s="67"/>
      <c r="Y113" s="67"/>
      <c r="Z113" s="67"/>
      <c r="AA113" s="67"/>
      <c r="AB113" s="67"/>
      <c r="AC113" s="67"/>
      <c r="AD113" s="67"/>
      <c r="AE113" s="67"/>
      <c r="AF113" s="67"/>
    </row>
    <row r="114">
      <c r="A114" s="67"/>
      <c r="B114" s="43">
        <f t="shared" si="2"/>
        <v>108</v>
      </c>
      <c r="C114" s="44" t="s">
        <v>661</v>
      </c>
      <c r="D114" s="44" t="s">
        <v>9</v>
      </c>
      <c r="E114" s="45" t="s">
        <v>57</v>
      </c>
      <c r="F114" s="44" t="s">
        <v>662</v>
      </c>
      <c r="G114" s="46" t="s">
        <v>18</v>
      </c>
      <c r="H114" s="47" t="s">
        <v>27</v>
      </c>
      <c r="I114" s="48"/>
      <c r="J114" s="52"/>
      <c r="K114" s="45" t="s">
        <v>663</v>
      </c>
      <c r="L114" s="45" t="s">
        <v>252</v>
      </c>
      <c r="M114" s="54" t="s">
        <v>253</v>
      </c>
      <c r="N114" s="49" t="s">
        <v>86</v>
      </c>
      <c r="O114" s="49" t="s">
        <v>664</v>
      </c>
      <c r="P114" s="49" t="s">
        <v>88</v>
      </c>
      <c r="Q114" s="61"/>
      <c r="R114" s="61"/>
      <c r="S114" s="61"/>
      <c r="T114" s="61" t="s">
        <v>92</v>
      </c>
      <c r="U114" s="67"/>
      <c r="V114" s="67"/>
      <c r="W114" s="67"/>
      <c r="X114" s="67"/>
      <c r="Y114" s="67"/>
      <c r="Z114" s="67"/>
      <c r="AA114" s="67"/>
      <c r="AB114" s="67"/>
      <c r="AC114" s="67"/>
      <c r="AD114" s="67"/>
      <c r="AE114" s="67"/>
      <c r="AF114" s="67"/>
    </row>
    <row r="115">
      <c r="A115" s="67"/>
      <c r="B115" s="43">
        <f t="shared" si="2"/>
        <v>109</v>
      </c>
      <c r="C115" s="44" t="s">
        <v>665</v>
      </c>
      <c r="D115" s="44" t="s">
        <v>9</v>
      </c>
      <c r="E115" s="45" t="s">
        <v>57</v>
      </c>
      <c r="F115" s="44" t="s">
        <v>666</v>
      </c>
      <c r="G115" s="46" t="s">
        <v>18</v>
      </c>
      <c r="H115" s="47" t="s">
        <v>27</v>
      </c>
      <c r="I115" s="48"/>
      <c r="J115" s="52"/>
      <c r="K115" s="45" t="s">
        <v>667</v>
      </c>
      <c r="L115" s="45" t="s">
        <v>252</v>
      </c>
      <c r="M115" s="54" t="s">
        <v>253</v>
      </c>
      <c r="N115" s="49" t="s">
        <v>86</v>
      </c>
      <c r="O115" s="49" t="s">
        <v>131</v>
      </c>
      <c r="P115" s="49" t="s">
        <v>88</v>
      </c>
      <c r="Q115" s="61"/>
      <c r="R115" s="61"/>
      <c r="S115" s="61"/>
      <c r="T115" s="61" t="s">
        <v>92</v>
      </c>
      <c r="U115" s="67"/>
      <c r="V115" s="67"/>
      <c r="W115" s="67"/>
      <c r="X115" s="67"/>
      <c r="Y115" s="67"/>
      <c r="Z115" s="67"/>
      <c r="AA115" s="67"/>
      <c r="AB115" s="67"/>
      <c r="AC115" s="67"/>
      <c r="AD115" s="67"/>
      <c r="AE115" s="67"/>
      <c r="AF115" s="67"/>
    </row>
    <row r="116">
      <c r="A116" s="67"/>
      <c r="B116" s="43">
        <f t="shared" si="2"/>
        <v>110</v>
      </c>
      <c r="C116" s="44" t="s">
        <v>668</v>
      </c>
      <c r="D116" s="44" t="s">
        <v>9</v>
      </c>
      <c r="E116" s="45" t="s">
        <v>57</v>
      </c>
      <c r="F116" s="44" t="s">
        <v>669</v>
      </c>
      <c r="G116" s="46" t="s">
        <v>18</v>
      </c>
      <c r="H116" s="47" t="s">
        <v>27</v>
      </c>
      <c r="I116" s="48"/>
      <c r="J116" s="52"/>
      <c r="K116" s="45" t="s">
        <v>670</v>
      </c>
      <c r="L116" s="45" t="s">
        <v>252</v>
      </c>
      <c r="M116" s="54" t="s">
        <v>253</v>
      </c>
      <c r="N116" s="49" t="s">
        <v>86</v>
      </c>
      <c r="O116" s="49" t="s">
        <v>131</v>
      </c>
      <c r="P116" s="49" t="s">
        <v>88</v>
      </c>
      <c r="Q116" s="61"/>
      <c r="R116" s="61"/>
      <c r="S116" s="61"/>
      <c r="T116" s="61" t="s">
        <v>92</v>
      </c>
      <c r="U116" s="67"/>
      <c r="V116" s="67"/>
      <c r="W116" s="67"/>
      <c r="X116" s="67"/>
      <c r="Y116" s="67"/>
      <c r="Z116" s="67"/>
      <c r="AA116" s="67"/>
      <c r="AB116" s="67"/>
      <c r="AC116" s="67"/>
      <c r="AD116" s="67"/>
      <c r="AE116" s="67"/>
      <c r="AF116" s="67"/>
    </row>
    <row r="117">
      <c r="A117" s="67"/>
      <c r="B117" s="43">
        <f t="shared" si="2"/>
        <v>111</v>
      </c>
      <c r="C117" s="44" t="s">
        <v>671</v>
      </c>
      <c r="D117" s="44" t="s">
        <v>9</v>
      </c>
      <c r="E117" s="45" t="s">
        <v>57</v>
      </c>
      <c r="F117" s="44" t="s">
        <v>672</v>
      </c>
      <c r="G117" s="46" t="s">
        <v>20</v>
      </c>
      <c r="H117" s="47" t="s">
        <v>27</v>
      </c>
      <c r="I117" s="48"/>
      <c r="J117" s="52"/>
      <c r="K117" s="45" t="s">
        <v>673</v>
      </c>
      <c r="L117" s="45" t="s">
        <v>252</v>
      </c>
      <c r="M117" s="54" t="s">
        <v>253</v>
      </c>
      <c r="N117" s="49" t="s">
        <v>86</v>
      </c>
      <c r="O117" s="49" t="s">
        <v>87</v>
      </c>
      <c r="P117" s="49" t="s">
        <v>88</v>
      </c>
      <c r="Q117" s="61"/>
      <c r="R117" s="61"/>
      <c r="S117" s="61"/>
      <c r="T117" s="61" t="s">
        <v>92</v>
      </c>
      <c r="U117" s="67"/>
      <c r="V117" s="67"/>
      <c r="W117" s="67"/>
      <c r="X117" s="67"/>
      <c r="Y117" s="67"/>
      <c r="Z117" s="67"/>
      <c r="AA117" s="67"/>
      <c r="AB117" s="67"/>
      <c r="AC117" s="67"/>
      <c r="AD117" s="67"/>
      <c r="AE117" s="67"/>
      <c r="AF117" s="67"/>
    </row>
    <row r="118">
      <c r="A118" s="67"/>
      <c r="B118" s="43">
        <f t="shared" si="2"/>
        <v>112</v>
      </c>
      <c r="C118" s="44" t="s">
        <v>674</v>
      </c>
      <c r="D118" s="44" t="s">
        <v>4</v>
      </c>
      <c r="E118" s="45" t="s">
        <v>51</v>
      </c>
      <c r="F118" s="44" t="s">
        <v>675</v>
      </c>
      <c r="G118" s="46" t="s">
        <v>20</v>
      </c>
      <c r="H118" s="47" t="s">
        <v>17</v>
      </c>
      <c r="I118" s="48" t="s">
        <v>36</v>
      </c>
      <c r="J118" s="45" t="s">
        <v>562</v>
      </c>
      <c r="K118" s="45" t="s">
        <v>676</v>
      </c>
      <c r="L118" s="45" t="s">
        <v>208</v>
      </c>
      <c r="M118" s="54" t="s">
        <v>113</v>
      </c>
      <c r="N118" s="49" t="s">
        <v>123</v>
      </c>
      <c r="O118" s="49" t="s">
        <v>131</v>
      </c>
      <c r="P118" s="45" t="s">
        <v>132</v>
      </c>
      <c r="Q118" s="49" t="s">
        <v>677</v>
      </c>
      <c r="R118" s="55" t="s">
        <v>678</v>
      </c>
      <c r="S118" s="45" t="s">
        <v>679</v>
      </c>
      <c r="T118" s="45" t="s">
        <v>680</v>
      </c>
      <c r="U118" s="67"/>
      <c r="V118" s="67"/>
      <c r="W118" s="67"/>
      <c r="X118" s="67"/>
      <c r="Y118" s="67"/>
      <c r="Z118" s="67"/>
      <c r="AA118" s="67"/>
      <c r="AB118" s="67"/>
      <c r="AC118" s="67"/>
      <c r="AD118" s="67"/>
      <c r="AE118" s="67"/>
      <c r="AF118" s="67"/>
    </row>
    <row r="119">
      <c r="A119" s="67"/>
      <c r="B119" s="43">
        <f t="shared" si="2"/>
        <v>113</v>
      </c>
      <c r="C119" s="44" t="s">
        <v>681</v>
      </c>
      <c r="D119" s="44" t="s">
        <v>4</v>
      </c>
      <c r="E119" s="45" t="s">
        <v>63</v>
      </c>
      <c r="F119" s="44" t="s">
        <v>682</v>
      </c>
      <c r="G119" s="46" t="s">
        <v>20</v>
      </c>
      <c r="H119" s="47" t="s">
        <v>27</v>
      </c>
      <c r="I119" s="48" t="s">
        <v>34</v>
      </c>
      <c r="J119" s="45" t="s">
        <v>193</v>
      </c>
      <c r="K119" s="45" t="s">
        <v>683</v>
      </c>
      <c r="L119" s="45" t="s">
        <v>208</v>
      </c>
      <c r="M119" s="54" t="s">
        <v>113</v>
      </c>
      <c r="N119" s="49" t="s">
        <v>123</v>
      </c>
      <c r="O119" s="49" t="s">
        <v>131</v>
      </c>
      <c r="P119" s="49" t="s">
        <v>132</v>
      </c>
      <c r="Q119" s="61"/>
      <c r="R119" s="61"/>
      <c r="S119" s="61"/>
      <c r="T119" s="61" t="s">
        <v>92</v>
      </c>
      <c r="U119" s="67"/>
      <c r="V119" s="67"/>
      <c r="W119" s="67"/>
      <c r="X119" s="67"/>
      <c r="Y119" s="67"/>
      <c r="Z119" s="67"/>
      <c r="AA119" s="67"/>
      <c r="AB119" s="67"/>
      <c r="AC119" s="67"/>
      <c r="AD119" s="67"/>
      <c r="AE119" s="67"/>
      <c r="AF119" s="67"/>
    </row>
    <row r="120">
      <c r="A120" s="67"/>
      <c r="B120" s="43">
        <f t="shared" si="2"/>
        <v>114</v>
      </c>
      <c r="C120" s="44" t="s">
        <v>684</v>
      </c>
      <c r="D120" s="44" t="s">
        <v>5</v>
      </c>
      <c r="E120" s="45" t="s">
        <v>56</v>
      </c>
      <c r="F120" s="44" t="s">
        <v>685</v>
      </c>
      <c r="G120" s="46" t="s">
        <v>18</v>
      </c>
      <c r="H120" s="47" t="s">
        <v>17</v>
      </c>
      <c r="I120" s="48"/>
      <c r="J120" s="52"/>
      <c r="K120" s="45" t="s">
        <v>686</v>
      </c>
      <c r="L120" s="45" t="s">
        <v>84</v>
      </c>
      <c r="M120" s="54" t="s">
        <v>113</v>
      </c>
      <c r="N120" s="49" t="s">
        <v>86</v>
      </c>
      <c r="O120" s="49" t="s">
        <v>131</v>
      </c>
      <c r="P120" s="49" t="s">
        <v>88</v>
      </c>
      <c r="Q120" s="61"/>
      <c r="R120" s="55" t="s">
        <v>687</v>
      </c>
      <c r="S120" s="49" t="s">
        <v>688</v>
      </c>
      <c r="T120" s="49" t="s">
        <v>92</v>
      </c>
      <c r="U120" s="67"/>
      <c r="V120" s="67"/>
      <c r="W120" s="67"/>
      <c r="X120" s="67"/>
      <c r="Y120" s="67"/>
      <c r="Z120" s="67"/>
      <c r="AA120" s="67"/>
      <c r="AB120" s="67"/>
      <c r="AC120" s="67"/>
      <c r="AD120" s="67"/>
      <c r="AE120" s="67"/>
      <c r="AF120" s="67"/>
    </row>
    <row r="121">
      <c r="A121" s="67"/>
      <c r="B121" s="43">
        <f t="shared" si="2"/>
        <v>115</v>
      </c>
      <c r="C121" s="44" t="s">
        <v>689</v>
      </c>
      <c r="D121" s="44" t="s">
        <v>5</v>
      </c>
      <c r="E121" s="45" t="s">
        <v>56</v>
      </c>
      <c r="F121" s="44" t="s">
        <v>690</v>
      </c>
      <c r="G121" s="46" t="s">
        <v>18</v>
      </c>
      <c r="H121" s="47" t="s">
        <v>17</v>
      </c>
      <c r="I121" s="48"/>
      <c r="J121" s="52"/>
      <c r="K121" s="45" t="s">
        <v>691</v>
      </c>
      <c r="L121" s="45" t="s">
        <v>84</v>
      </c>
      <c r="M121" s="54" t="s">
        <v>113</v>
      </c>
      <c r="N121" s="49" t="s">
        <v>86</v>
      </c>
      <c r="O121" s="49" t="s">
        <v>131</v>
      </c>
      <c r="P121" s="49" t="s">
        <v>88</v>
      </c>
      <c r="Q121" s="61"/>
      <c r="R121" s="61"/>
      <c r="S121" s="61"/>
      <c r="T121" s="61" t="s">
        <v>92</v>
      </c>
      <c r="U121" s="67"/>
      <c r="V121" s="67"/>
      <c r="W121" s="67"/>
      <c r="X121" s="67"/>
      <c r="Y121" s="67"/>
      <c r="Z121" s="67"/>
      <c r="AA121" s="67"/>
      <c r="AB121" s="67"/>
      <c r="AC121" s="67"/>
      <c r="AD121" s="67"/>
      <c r="AE121" s="67"/>
      <c r="AF121" s="67"/>
    </row>
    <row r="122">
      <c r="A122" s="67"/>
      <c r="B122" s="43">
        <f t="shared" si="2"/>
        <v>116</v>
      </c>
      <c r="C122" s="44" t="s">
        <v>692</v>
      </c>
      <c r="D122" s="44" t="s">
        <v>11</v>
      </c>
      <c r="E122" s="45" t="s">
        <v>43</v>
      </c>
      <c r="F122" s="44" t="s">
        <v>693</v>
      </c>
      <c r="G122" s="46" t="s">
        <v>20</v>
      </c>
      <c r="H122" s="47" t="s">
        <v>8</v>
      </c>
      <c r="I122" s="48"/>
      <c r="J122" s="52"/>
      <c r="K122" s="45" t="s">
        <v>694</v>
      </c>
      <c r="L122" s="45" t="s">
        <v>303</v>
      </c>
      <c r="M122" s="54" t="s">
        <v>113</v>
      </c>
      <c r="N122" s="49" t="s">
        <v>114</v>
      </c>
      <c r="O122" s="49" t="s">
        <v>209</v>
      </c>
      <c r="P122" s="61"/>
      <c r="Q122" s="61"/>
      <c r="R122" s="61"/>
      <c r="S122" s="61"/>
      <c r="T122" s="61" t="s">
        <v>92</v>
      </c>
      <c r="U122" s="67"/>
      <c r="V122" s="67"/>
      <c r="W122" s="67"/>
      <c r="X122" s="67"/>
      <c r="Y122" s="67"/>
      <c r="Z122" s="67"/>
      <c r="AA122" s="67"/>
      <c r="AB122" s="67"/>
      <c r="AC122" s="67"/>
      <c r="AD122" s="67"/>
      <c r="AE122" s="67"/>
      <c r="AF122" s="67"/>
    </row>
    <row r="123">
      <c r="A123" s="67"/>
      <c r="B123" s="43">
        <f t="shared" si="2"/>
        <v>117</v>
      </c>
      <c r="C123" s="44" t="s">
        <v>695</v>
      </c>
      <c r="D123" s="44" t="s">
        <v>11</v>
      </c>
      <c r="E123" s="45" t="s">
        <v>59</v>
      </c>
      <c r="F123" s="44" t="s">
        <v>696</v>
      </c>
      <c r="G123" s="46" t="s">
        <v>20</v>
      </c>
      <c r="H123" s="47" t="s">
        <v>8</v>
      </c>
      <c r="I123" s="48"/>
      <c r="J123" s="52"/>
      <c r="K123" s="45" t="s">
        <v>697</v>
      </c>
      <c r="L123" s="52" t="s">
        <v>642</v>
      </c>
      <c r="M123" s="54" t="s">
        <v>113</v>
      </c>
      <c r="N123" s="49" t="s">
        <v>114</v>
      </c>
      <c r="O123" s="49" t="s">
        <v>209</v>
      </c>
      <c r="P123" s="49" t="s">
        <v>132</v>
      </c>
      <c r="Q123" s="61"/>
      <c r="R123" s="61"/>
      <c r="S123" s="61"/>
      <c r="T123" s="61" t="s">
        <v>92</v>
      </c>
      <c r="U123" s="67"/>
      <c r="V123" s="67"/>
      <c r="W123" s="67"/>
      <c r="X123" s="67"/>
      <c r="Y123" s="67"/>
      <c r="Z123" s="67"/>
      <c r="AA123" s="67"/>
      <c r="AB123" s="67"/>
      <c r="AC123" s="67"/>
      <c r="AD123" s="67"/>
      <c r="AE123" s="67"/>
      <c r="AF123" s="67"/>
    </row>
    <row r="124">
      <c r="A124" s="67"/>
      <c r="B124" s="43">
        <f t="shared" si="2"/>
        <v>118</v>
      </c>
      <c r="C124" s="44" t="s">
        <v>698</v>
      </c>
      <c r="D124" s="44" t="s">
        <v>11</v>
      </c>
      <c r="E124" s="45" t="s">
        <v>59</v>
      </c>
      <c r="F124" s="44" t="s">
        <v>699</v>
      </c>
      <c r="G124" s="46" t="s">
        <v>20</v>
      </c>
      <c r="H124" s="47" t="s">
        <v>8</v>
      </c>
      <c r="I124" s="48"/>
      <c r="J124" s="52"/>
      <c r="K124" s="45" t="s">
        <v>700</v>
      </c>
      <c r="L124" s="52" t="s">
        <v>642</v>
      </c>
      <c r="M124" s="54" t="s">
        <v>113</v>
      </c>
      <c r="N124" s="49" t="s">
        <v>114</v>
      </c>
      <c r="O124" s="49" t="s">
        <v>209</v>
      </c>
      <c r="P124" s="49" t="s">
        <v>132</v>
      </c>
      <c r="Q124" s="61"/>
      <c r="R124" s="61"/>
      <c r="S124" s="61"/>
      <c r="T124" s="61" t="s">
        <v>92</v>
      </c>
      <c r="U124" s="67"/>
      <c r="V124" s="67"/>
      <c r="W124" s="67"/>
      <c r="X124" s="67"/>
      <c r="Y124" s="67"/>
      <c r="Z124" s="67"/>
      <c r="AA124" s="67"/>
      <c r="AB124" s="67"/>
      <c r="AC124" s="67"/>
      <c r="AD124" s="67"/>
      <c r="AE124" s="67"/>
      <c r="AF124" s="67"/>
    </row>
    <row r="125">
      <c r="A125" s="67"/>
      <c r="B125" s="43">
        <f t="shared" si="2"/>
        <v>119</v>
      </c>
      <c r="C125" s="44" t="s">
        <v>701</v>
      </c>
      <c r="D125" s="44" t="s">
        <v>9</v>
      </c>
      <c r="E125" s="45" t="s">
        <v>57</v>
      </c>
      <c r="F125" s="44" t="s">
        <v>702</v>
      </c>
      <c r="G125" s="46" t="s">
        <v>18</v>
      </c>
      <c r="H125" s="47" t="s">
        <v>8</v>
      </c>
      <c r="I125" s="48"/>
      <c r="J125" s="52"/>
      <c r="K125" s="45" t="s">
        <v>703</v>
      </c>
      <c r="L125" s="45" t="s">
        <v>252</v>
      </c>
      <c r="M125" s="54" t="s">
        <v>253</v>
      </c>
      <c r="N125" s="49" t="s">
        <v>114</v>
      </c>
      <c r="O125" s="49" t="s">
        <v>131</v>
      </c>
      <c r="P125" s="49" t="s">
        <v>88</v>
      </c>
      <c r="Q125" s="61"/>
      <c r="R125" s="61"/>
      <c r="S125" s="61"/>
      <c r="T125" s="61" t="s">
        <v>92</v>
      </c>
      <c r="U125" s="67"/>
      <c r="V125" s="67"/>
      <c r="W125" s="67"/>
      <c r="X125" s="67"/>
      <c r="Y125" s="67"/>
      <c r="Z125" s="67"/>
      <c r="AA125" s="67"/>
      <c r="AB125" s="67"/>
      <c r="AC125" s="67"/>
      <c r="AD125" s="67"/>
      <c r="AE125" s="67"/>
      <c r="AF125" s="67"/>
    </row>
    <row r="126">
      <c r="A126" s="67"/>
      <c r="B126" s="43">
        <f t="shared" si="2"/>
        <v>120</v>
      </c>
      <c r="C126" s="44" t="s">
        <v>704</v>
      </c>
      <c r="D126" s="44" t="s">
        <v>9</v>
      </c>
      <c r="E126" s="45" t="s">
        <v>57</v>
      </c>
      <c r="F126" s="44" t="s">
        <v>705</v>
      </c>
      <c r="G126" s="46" t="s">
        <v>18</v>
      </c>
      <c r="H126" s="47" t="s">
        <v>8</v>
      </c>
      <c r="I126" s="48"/>
      <c r="J126" s="52"/>
      <c r="K126" s="45" t="s">
        <v>706</v>
      </c>
      <c r="L126" s="45" t="s">
        <v>252</v>
      </c>
      <c r="M126" s="54" t="s">
        <v>253</v>
      </c>
      <c r="N126" s="49" t="s">
        <v>114</v>
      </c>
      <c r="O126" s="49" t="s">
        <v>131</v>
      </c>
      <c r="P126" s="49" t="s">
        <v>88</v>
      </c>
      <c r="Q126" s="61"/>
      <c r="R126" s="61"/>
      <c r="S126" s="61"/>
      <c r="T126" s="61" t="s">
        <v>92</v>
      </c>
      <c r="U126" s="67"/>
      <c r="V126" s="67"/>
      <c r="W126" s="67"/>
      <c r="X126" s="67"/>
      <c r="Y126" s="67"/>
      <c r="Z126" s="67"/>
      <c r="AA126" s="67"/>
      <c r="AB126" s="67"/>
      <c r="AC126" s="67"/>
      <c r="AD126" s="67"/>
      <c r="AE126" s="67"/>
      <c r="AF126" s="67"/>
    </row>
    <row r="127">
      <c r="A127" s="67"/>
      <c r="B127" s="43">
        <f t="shared" si="2"/>
        <v>121</v>
      </c>
      <c r="C127" s="44" t="s">
        <v>707</v>
      </c>
      <c r="D127" s="44" t="s">
        <v>9</v>
      </c>
      <c r="E127" s="45" t="s">
        <v>57</v>
      </c>
      <c r="F127" s="44" t="s">
        <v>708</v>
      </c>
      <c r="G127" s="46" t="s">
        <v>18</v>
      </c>
      <c r="H127" s="47" t="s">
        <v>17</v>
      </c>
      <c r="I127" s="48"/>
      <c r="J127" s="52"/>
      <c r="K127" s="45" t="s">
        <v>709</v>
      </c>
      <c r="L127" s="45" t="s">
        <v>252</v>
      </c>
      <c r="M127" s="54" t="s">
        <v>253</v>
      </c>
      <c r="N127" s="49" t="s">
        <v>86</v>
      </c>
      <c r="O127" s="49" t="s">
        <v>131</v>
      </c>
      <c r="P127" s="49" t="s">
        <v>88</v>
      </c>
      <c r="Q127" s="61"/>
      <c r="R127" s="61"/>
      <c r="S127" s="61"/>
      <c r="T127" s="61" t="s">
        <v>92</v>
      </c>
      <c r="U127" s="67"/>
      <c r="V127" s="67"/>
      <c r="W127" s="67"/>
      <c r="X127" s="67"/>
      <c r="Y127" s="67"/>
      <c r="Z127" s="67"/>
      <c r="AA127" s="67"/>
      <c r="AB127" s="67"/>
      <c r="AC127" s="67"/>
      <c r="AD127" s="67"/>
      <c r="AE127" s="67"/>
      <c r="AF127" s="67"/>
    </row>
    <row r="128">
      <c r="A128" s="67"/>
      <c r="B128" s="43">
        <f t="shared" si="2"/>
        <v>122</v>
      </c>
      <c r="C128" s="44" t="s">
        <v>710</v>
      </c>
      <c r="D128" s="44" t="s">
        <v>9</v>
      </c>
      <c r="E128" s="45" t="s">
        <v>57</v>
      </c>
      <c r="F128" s="44" t="s">
        <v>711</v>
      </c>
      <c r="G128" s="46" t="s">
        <v>18</v>
      </c>
      <c r="H128" s="47" t="s">
        <v>8</v>
      </c>
      <c r="I128" s="48"/>
      <c r="J128" s="52"/>
      <c r="K128" s="45" t="s">
        <v>712</v>
      </c>
      <c r="L128" s="45" t="s">
        <v>252</v>
      </c>
      <c r="M128" s="54" t="s">
        <v>253</v>
      </c>
      <c r="N128" s="49" t="s">
        <v>86</v>
      </c>
      <c r="O128" s="49" t="s">
        <v>418</v>
      </c>
      <c r="P128" s="49" t="s">
        <v>88</v>
      </c>
      <c r="Q128" s="61"/>
      <c r="R128" s="61"/>
      <c r="S128" s="61"/>
      <c r="T128" s="61" t="s">
        <v>92</v>
      </c>
      <c r="U128" s="67"/>
      <c r="V128" s="67"/>
      <c r="W128" s="67"/>
      <c r="X128" s="67"/>
      <c r="Y128" s="67"/>
      <c r="Z128" s="67"/>
      <c r="AA128" s="67"/>
      <c r="AB128" s="67"/>
      <c r="AC128" s="67"/>
      <c r="AD128" s="67"/>
      <c r="AE128" s="67"/>
      <c r="AF128" s="67"/>
    </row>
    <row r="129">
      <c r="A129" s="67"/>
      <c r="B129" s="43">
        <f t="shared" si="2"/>
        <v>123</v>
      </c>
      <c r="C129" s="44" t="s">
        <v>713</v>
      </c>
      <c r="D129" s="44" t="s">
        <v>9</v>
      </c>
      <c r="E129" s="45" t="s">
        <v>57</v>
      </c>
      <c r="F129" s="44" t="s">
        <v>714</v>
      </c>
      <c r="G129" s="46" t="s">
        <v>18</v>
      </c>
      <c r="H129" s="47" t="s">
        <v>8</v>
      </c>
      <c r="I129" s="48"/>
      <c r="J129" s="52"/>
      <c r="K129" s="45" t="s">
        <v>715</v>
      </c>
      <c r="L129" s="45" t="s">
        <v>252</v>
      </c>
      <c r="M129" s="54" t="s">
        <v>253</v>
      </c>
      <c r="N129" s="49" t="s">
        <v>86</v>
      </c>
      <c r="O129" s="49" t="s">
        <v>716</v>
      </c>
      <c r="P129" s="49" t="s">
        <v>88</v>
      </c>
      <c r="Q129" s="61"/>
      <c r="R129" s="61"/>
      <c r="S129" s="61"/>
      <c r="T129" s="61" t="s">
        <v>92</v>
      </c>
      <c r="U129" s="67"/>
      <c r="V129" s="67"/>
      <c r="W129" s="67"/>
      <c r="X129" s="67"/>
      <c r="Y129" s="67"/>
      <c r="Z129" s="67"/>
      <c r="AA129" s="67"/>
      <c r="AB129" s="67"/>
      <c r="AC129" s="67"/>
      <c r="AD129" s="67"/>
      <c r="AE129" s="67"/>
      <c r="AF129" s="67"/>
    </row>
    <row r="130">
      <c r="A130" s="67"/>
      <c r="B130" s="43">
        <f t="shared" si="2"/>
        <v>124</v>
      </c>
      <c r="C130" s="44" t="s">
        <v>717</v>
      </c>
      <c r="D130" s="44" t="s">
        <v>4</v>
      </c>
      <c r="E130" s="45" t="s">
        <v>35</v>
      </c>
      <c r="F130" s="44" t="s">
        <v>718</v>
      </c>
      <c r="G130" s="46" t="s">
        <v>20</v>
      </c>
      <c r="H130" s="47" t="s">
        <v>8</v>
      </c>
      <c r="I130" s="48"/>
      <c r="J130" s="52"/>
      <c r="K130" s="45" t="s">
        <v>719</v>
      </c>
      <c r="L130" s="45" t="s">
        <v>208</v>
      </c>
      <c r="M130" s="54" t="s">
        <v>113</v>
      </c>
      <c r="N130" s="49" t="s">
        <v>123</v>
      </c>
      <c r="O130" s="49" t="s">
        <v>87</v>
      </c>
      <c r="P130" s="45" t="s">
        <v>132</v>
      </c>
      <c r="Q130" s="61"/>
      <c r="R130" s="61"/>
      <c r="S130" s="45" t="s">
        <v>720</v>
      </c>
      <c r="T130" s="45" t="s">
        <v>92</v>
      </c>
      <c r="U130" s="67"/>
      <c r="V130" s="67"/>
      <c r="W130" s="67"/>
      <c r="X130" s="67"/>
      <c r="Y130" s="67"/>
      <c r="Z130" s="67"/>
      <c r="AA130" s="67"/>
      <c r="AB130" s="67"/>
      <c r="AC130" s="67"/>
      <c r="AD130" s="67"/>
      <c r="AE130" s="67"/>
      <c r="AF130" s="67"/>
    </row>
    <row r="131">
      <c r="A131" s="67"/>
      <c r="B131" s="43">
        <f t="shared" si="2"/>
        <v>125</v>
      </c>
      <c r="C131" s="44" t="s">
        <v>721</v>
      </c>
      <c r="D131" s="44" t="s">
        <v>11</v>
      </c>
      <c r="E131" s="45" t="s">
        <v>41</v>
      </c>
      <c r="F131" s="44" t="s">
        <v>722</v>
      </c>
      <c r="G131" s="46" t="s">
        <v>20</v>
      </c>
      <c r="H131" s="47" t="s">
        <v>14</v>
      </c>
      <c r="I131" s="48"/>
      <c r="J131" s="52"/>
      <c r="K131" s="45" t="s">
        <v>723</v>
      </c>
      <c r="L131" s="45" t="s">
        <v>350</v>
      </c>
      <c r="M131" s="54" t="s">
        <v>85</v>
      </c>
      <c r="N131" s="49" t="s">
        <v>86</v>
      </c>
      <c r="O131" s="49" t="s">
        <v>209</v>
      </c>
      <c r="P131" s="49" t="s">
        <v>105</v>
      </c>
      <c r="Q131" s="61"/>
      <c r="R131" s="61"/>
      <c r="S131" s="61"/>
      <c r="T131" s="61" t="s">
        <v>92</v>
      </c>
      <c r="U131" s="67"/>
      <c r="V131" s="67"/>
      <c r="W131" s="67"/>
      <c r="X131" s="67"/>
      <c r="Y131" s="67"/>
      <c r="Z131" s="67"/>
      <c r="AA131" s="67"/>
      <c r="AB131" s="67"/>
      <c r="AC131" s="67"/>
      <c r="AD131" s="67"/>
      <c r="AE131" s="67"/>
      <c r="AF131" s="67"/>
    </row>
    <row r="132">
      <c r="A132" s="67"/>
      <c r="B132" s="43">
        <f t="shared" si="2"/>
        <v>126</v>
      </c>
      <c r="C132" s="44" t="s">
        <v>724</v>
      </c>
      <c r="D132" s="44" t="s">
        <v>9</v>
      </c>
      <c r="E132" s="45" t="s">
        <v>57</v>
      </c>
      <c r="F132" s="44" t="s">
        <v>725</v>
      </c>
      <c r="G132" s="46" t="s">
        <v>20</v>
      </c>
      <c r="H132" s="47" t="s">
        <v>8</v>
      </c>
      <c r="I132" s="48"/>
      <c r="J132" s="52"/>
      <c r="K132" s="45" t="s">
        <v>726</v>
      </c>
      <c r="L132" s="52" t="s">
        <v>417</v>
      </c>
      <c r="M132" s="54" t="s">
        <v>253</v>
      </c>
      <c r="N132" s="49" t="s">
        <v>86</v>
      </c>
      <c r="O132" s="49" t="s">
        <v>594</v>
      </c>
      <c r="P132" s="49" t="s">
        <v>88</v>
      </c>
      <c r="Q132" s="61"/>
      <c r="R132" s="61"/>
      <c r="S132" s="61"/>
      <c r="T132" s="61" t="s">
        <v>92</v>
      </c>
      <c r="U132" s="67"/>
      <c r="V132" s="67"/>
      <c r="W132" s="67"/>
      <c r="X132" s="67"/>
      <c r="Y132" s="67"/>
      <c r="Z132" s="67"/>
      <c r="AA132" s="67"/>
      <c r="AB132" s="67"/>
      <c r="AC132" s="67"/>
      <c r="AD132" s="67"/>
      <c r="AE132" s="67"/>
      <c r="AF132" s="67"/>
    </row>
    <row r="133">
      <c r="A133" s="67"/>
      <c r="B133" s="43">
        <f t="shared" si="2"/>
        <v>127</v>
      </c>
      <c r="C133" s="44" t="s">
        <v>727</v>
      </c>
      <c r="D133" s="44" t="s">
        <v>9</v>
      </c>
      <c r="E133" s="45" t="s">
        <v>57</v>
      </c>
      <c r="F133" s="44" t="s">
        <v>728</v>
      </c>
      <c r="G133" s="46" t="s">
        <v>20</v>
      </c>
      <c r="H133" s="47" t="s">
        <v>8</v>
      </c>
      <c r="I133" s="48"/>
      <c r="J133" s="52"/>
      <c r="K133" s="45" t="s">
        <v>729</v>
      </c>
      <c r="L133" s="52" t="s">
        <v>417</v>
      </c>
      <c r="M133" s="54" t="s">
        <v>253</v>
      </c>
      <c r="N133" s="49" t="s">
        <v>86</v>
      </c>
      <c r="O133" s="49" t="s">
        <v>131</v>
      </c>
      <c r="P133" s="49" t="s">
        <v>88</v>
      </c>
      <c r="Q133" s="61"/>
      <c r="R133" s="61"/>
      <c r="S133" s="61"/>
      <c r="T133" s="61" t="s">
        <v>92</v>
      </c>
      <c r="U133" s="67"/>
      <c r="V133" s="67"/>
      <c r="W133" s="67"/>
      <c r="X133" s="67"/>
      <c r="Y133" s="67"/>
      <c r="Z133" s="67"/>
      <c r="AA133" s="67"/>
      <c r="AB133" s="67"/>
      <c r="AC133" s="67"/>
      <c r="AD133" s="67"/>
      <c r="AE133" s="67"/>
      <c r="AF133" s="67"/>
    </row>
    <row r="134">
      <c r="A134" s="67"/>
      <c r="B134" s="43">
        <f t="shared" si="2"/>
        <v>128</v>
      </c>
      <c r="C134" s="44" t="s">
        <v>730</v>
      </c>
      <c r="D134" s="44" t="s">
        <v>9</v>
      </c>
      <c r="E134" s="45" t="s">
        <v>57</v>
      </c>
      <c r="F134" s="44" t="s">
        <v>731</v>
      </c>
      <c r="G134" s="46" t="s">
        <v>20</v>
      </c>
      <c r="H134" s="47" t="s">
        <v>8</v>
      </c>
      <c r="I134" s="48"/>
      <c r="J134" s="52"/>
      <c r="K134" s="45" t="s">
        <v>732</v>
      </c>
      <c r="L134" s="52" t="s">
        <v>417</v>
      </c>
      <c r="M134" s="54" t="s">
        <v>253</v>
      </c>
      <c r="N134" s="49" t="s">
        <v>86</v>
      </c>
      <c r="O134" s="49" t="s">
        <v>131</v>
      </c>
      <c r="P134" s="49" t="s">
        <v>88</v>
      </c>
      <c r="Q134" s="61"/>
      <c r="R134" s="61"/>
      <c r="S134" s="61"/>
      <c r="T134" s="61" t="s">
        <v>92</v>
      </c>
      <c r="U134" s="67"/>
      <c r="V134" s="67"/>
      <c r="W134" s="67"/>
      <c r="X134" s="67"/>
      <c r="Y134" s="67"/>
      <c r="Z134" s="67"/>
      <c r="AA134" s="67"/>
      <c r="AB134" s="67"/>
      <c r="AC134" s="67"/>
      <c r="AD134" s="67"/>
      <c r="AE134" s="67"/>
      <c r="AF134" s="67"/>
    </row>
    <row r="135">
      <c r="A135" s="67"/>
      <c r="B135" s="43">
        <f t="shared" si="2"/>
        <v>129</v>
      </c>
      <c r="C135" s="44" t="s">
        <v>733</v>
      </c>
      <c r="D135" s="44" t="s">
        <v>9</v>
      </c>
      <c r="E135" s="45" t="s">
        <v>57</v>
      </c>
      <c r="F135" s="44" t="s">
        <v>734</v>
      </c>
      <c r="G135" s="46" t="s">
        <v>18</v>
      </c>
      <c r="H135" s="47" t="s">
        <v>15</v>
      </c>
      <c r="I135" s="48"/>
      <c r="J135" s="52"/>
      <c r="K135" s="45" t="s">
        <v>735</v>
      </c>
      <c r="L135" s="52" t="s">
        <v>417</v>
      </c>
      <c r="M135" s="54" t="s">
        <v>253</v>
      </c>
      <c r="N135" s="49" t="s">
        <v>86</v>
      </c>
      <c r="O135" s="49" t="s">
        <v>131</v>
      </c>
      <c r="P135" s="49" t="s">
        <v>88</v>
      </c>
      <c r="Q135" s="61"/>
      <c r="R135" s="61"/>
      <c r="S135" s="61"/>
      <c r="T135" s="61" t="s">
        <v>92</v>
      </c>
      <c r="U135" s="67"/>
      <c r="V135" s="67"/>
      <c r="W135" s="67"/>
      <c r="X135" s="67"/>
      <c r="Y135" s="67"/>
      <c r="Z135" s="67"/>
      <c r="AA135" s="67"/>
      <c r="AB135" s="67"/>
      <c r="AC135" s="67"/>
      <c r="AD135" s="67"/>
      <c r="AE135" s="67"/>
      <c r="AF135" s="67"/>
    </row>
    <row r="136">
      <c r="A136" s="67"/>
      <c r="B136" s="43">
        <f t="shared" si="2"/>
        <v>130</v>
      </c>
      <c r="C136" s="44" t="s">
        <v>736</v>
      </c>
      <c r="D136" s="44" t="s">
        <v>9</v>
      </c>
      <c r="E136" s="45" t="s">
        <v>57</v>
      </c>
      <c r="F136" s="44" t="s">
        <v>737</v>
      </c>
      <c r="G136" s="46" t="s">
        <v>18</v>
      </c>
      <c r="H136" s="47" t="s">
        <v>15</v>
      </c>
      <c r="I136" s="48"/>
      <c r="J136" s="52"/>
      <c r="K136" s="45" t="s">
        <v>738</v>
      </c>
      <c r="L136" s="52" t="s">
        <v>417</v>
      </c>
      <c r="M136" s="54" t="s">
        <v>253</v>
      </c>
      <c r="N136" s="49" t="s">
        <v>86</v>
      </c>
      <c r="O136" s="49" t="s">
        <v>131</v>
      </c>
      <c r="P136" s="49" t="s">
        <v>88</v>
      </c>
      <c r="Q136" s="61"/>
      <c r="R136" s="61"/>
      <c r="S136" s="61"/>
      <c r="T136" s="61" t="s">
        <v>92</v>
      </c>
      <c r="U136" s="67"/>
      <c r="V136" s="67"/>
      <c r="W136" s="67"/>
      <c r="X136" s="67"/>
      <c r="Y136" s="67"/>
      <c r="Z136" s="67"/>
      <c r="AA136" s="67"/>
      <c r="AB136" s="67"/>
      <c r="AC136" s="67"/>
      <c r="AD136" s="67"/>
      <c r="AE136" s="67"/>
      <c r="AF136" s="67"/>
    </row>
    <row r="137">
      <c r="A137" s="67"/>
      <c r="B137" s="43">
        <f t="shared" si="2"/>
        <v>131</v>
      </c>
      <c r="C137" s="44" t="s">
        <v>739</v>
      </c>
      <c r="D137" s="44" t="s">
        <v>4</v>
      </c>
      <c r="E137" s="45" t="s">
        <v>47</v>
      </c>
      <c r="F137" s="44" t="s">
        <v>740</v>
      </c>
      <c r="G137" s="46" t="s">
        <v>20</v>
      </c>
      <c r="H137" s="47" t="s">
        <v>15</v>
      </c>
      <c r="I137" s="48"/>
      <c r="J137" s="52"/>
      <c r="K137" s="45" t="s">
        <v>741</v>
      </c>
      <c r="L137" s="45" t="s">
        <v>166</v>
      </c>
      <c r="M137" s="54" t="s">
        <v>113</v>
      </c>
      <c r="N137" s="49" t="s">
        <v>123</v>
      </c>
      <c r="O137" s="49" t="s">
        <v>131</v>
      </c>
      <c r="P137" s="49" t="s">
        <v>132</v>
      </c>
      <c r="Q137" s="61"/>
      <c r="R137" s="61"/>
      <c r="S137" s="61"/>
      <c r="T137" s="61" t="s">
        <v>92</v>
      </c>
      <c r="U137" s="67"/>
      <c r="V137" s="67"/>
      <c r="W137" s="67"/>
      <c r="X137" s="67"/>
      <c r="Y137" s="67"/>
      <c r="Z137" s="67"/>
      <c r="AA137" s="67"/>
      <c r="AB137" s="67"/>
      <c r="AC137" s="67"/>
      <c r="AD137" s="67"/>
      <c r="AE137" s="67"/>
      <c r="AF137" s="67"/>
    </row>
    <row r="138">
      <c r="A138" s="67"/>
      <c r="B138" s="43">
        <f t="shared" si="2"/>
        <v>132</v>
      </c>
      <c r="C138" s="44" t="s">
        <v>742</v>
      </c>
      <c r="D138" s="44" t="s">
        <v>11</v>
      </c>
      <c r="E138" s="45" t="s">
        <v>43</v>
      </c>
      <c r="F138" s="44" t="s">
        <v>743</v>
      </c>
      <c r="G138" s="46" t="s">
        <v>20</v>
      </c>
      <c r="H138" s="47" t="s">
        <v>6</v>
      </c>
      <c r="I138" s="48"/>
      <c r="J138" s="52"/>
      <c r="K138" s="45" t="s">
        <v>744</v>
      </c>
      <c r="L138" s="52" t="s">
        <v>642</v>
      </c>
      <c r="M138" s="54" t="s">
        <v>113</v>
      </c>
      <c r="N138" s="49" t="s">
        <v>114</v>
      </c>
      <c r="O138" s="49" t="s">
        <v>209</v>
      </c>
      <c r="P138" s="61"/>
      <c r="Q138" s="61"/>
      <c r="R138" s="61"/>
      <c r="S138" s="61"/>
      <c r="T138" s="61" t="s">
        <v>92</v>
      </c>
      <c r="U138" s="67"/>
      <c r="V138" s="67"/>
      <c r="W138" s="67"/>
      <c r="X138" s="67"/>
      <c r="Y138" s="67"/>
      <c r="Z138" s="67"/>
      <c r="AA138" s="67"/>
      <c r="AB138" s="67"/>
      <c r="AC138" s="67"/>
      <c r="AD138" s="67"/>
      <c r="AE138" s="67"/>
      <c r="AF138" s="67"/>
    </row>
    <row r="139">
      <c r="A139" s="67"/>
      <c r="B139" s="43">
        <f t="shared" si="2"/>
        <v>133</v>
      </c>
      <c r="C139" s="44" t="s">
        <v>745</v>
      </c>
      <c r="D139" s="44" t="s">
        <v>11</v>
      </c>
      <c r="E139" s="45" t="s">
        <v>59</v>
      </c>
      <c r="F139" s="44" t="s">
        <v>746</v>
      </c>
      <c r="G139" s="46" t="s">
        <v>20</v>
      </c>
      <c r="H139" s="47" t="s">
        <v>23</v>
      </c>
      <c r="I139" s="48"/>
      <c r="J139" s="52"/>
      <c r="K139" s="45" t="s">
        <v>747</v>
      </c>
      <c r="L139" s="45" t="s">
        <v>303</v>
      </c>
      <c r="M139" s="54" t="s">
        <v>113</v>
      </c>
      <c r="N139" s="49" t="s">
        <v>114</v>
      </c>
      <c r="O139" s="49" t="s">
        <v>209</v>
      </c>
      <c r="P139" s="49" t="s">
        <v>132</v>
      </c>
      <c r="Q139" s="61"/>
      <c r="R139" s="61"/>
      <c r="S139" s="61"/>
      <c r="T139" s="61" t="s">
        <v>92</v>
      </c>
      <c r="U139" s="67"/>
      <c r="V139" s="67"/>
      <c r="W139" s="67"/>
      <c r="X139" s="67"/>
      <c r="Y139" s="67"/>
      <c r="Z139" s="67"/>
      <c r="AA139" s="67"/>
      <c r="AB139" s="67"/>
      <c r="AC139" s="67"/>
      <c r="AD139" s="67"/>
      <c r="AE139" s="67"/>
      <c r="AF139" s="67"/>
    </row>
    <row r="140">
      <c r="A140" s="67"/>
      <c r="B140" s="43">
        <f t="shared" si="2"/>
        <v>134</v>
      </c>
      <c r="C140" s="44" t="s">
        <v>748</v>
      </c>
      <c r="D140" s="44" t="s">
        <v>4</v>
      </c>
      <c r="E140" s="45" t="s">
        <v>63</v>
      </c>
      <c r="F140" s="44" t="s">
        <v>749</v>
      </c>
      <c r="G140" s="46" t="s">
        <v>20</v>
      </c>
      <c r="H140" s="47" t="s">
        <v>6</v>
      </c>
      <c r="I140" s="60" t="s">
        <v>38</v>
      </c>
      <c r="J140" s="68"/>
      <c r="K140" s="45" t="s">
        <v>750</v>
      </c>
      <c r="L140" s="45" t="s">
        <v>208</v>
      </c>
      <c r="M140" s="54" t="s">
        <v>113</v>
      </c>
      <c r="N140" s="49" t="s">
        <v>86</v>
      </c>
      <c r="O140" s="49" t="s">
        <v>131</v>
      </c>
      <c r="P140" s="49" t="s">
        <v>88</v>
      </c>
      <c r="Q140" s="61"/>
      <c r="R140" s="61"/>
      <c r="S140" s="61"/>
      <c r="T140" s="61" t="s">
        <v>92</v>
      </c>
      <c r="U140" s="67"/>
      <c r="V140" s="67"/>
      <c r="W140" s="67"/>
      <c r="X140" s="67"/>
      <c r="Y140" s="67"/>
      <c r="Z140" s="67"/>
      <c r="AA140" s="67"/>
      <c r="AB140" s="67"/>
      <c r="AC140" s="67"/>
      <c r="AD140" s="67"/>
      <c r="AE140" s="67"/>
      <c r="AF140" s="67"/>
    </row>
    <row r="141">
      <c r="A141" s="67"/>
      <c r="B141" s="43">
        <f t="shared" si="2"/>
        <v>135</v>
      </c>
      <c r="C141" s="44" t="s">
        <v>751</v>
      </c>
      <c r="D141" s="44" t="s">
        <v>9</v>
      </c>
      <c r="E141" s="45" t="s">
        <v>57</v>
      </c>
      <c r="F141" s="44" t="s">
        <v>752</v>
      </c>
      <c r="G141" s="46" t="s">
        <v>18</v>
      </c>
      <c r="H141" s="47" t="s">
        <v>10</v>
      </c>
      <c r="I141" s="60" t="s">
        <v>38</v>
      </c>
      <c r="J141" s="45" t="s">
        <v>753</v>
      </c>
      <c r="K141" s="45" t="s">
        <v>754</v>
      </c>
      <c r="L141" s="45" t="s">
        <v>252</v>
      </c>
      <c r="M141" s="54" t="s">
        <v>253</v>
      </c>
      <c r="N141" s="49" t="s">
        <v>86</v>
      </c>
      <c r="O141" s="49" t="s">
        <v>131</v>
      </c>
      <c r="P141" s="49" t="s">
        <v>88</v>
      </c>
      <c r="Q141" s="61"/>
      <c r="R141" s="61"/>
      <c r="S141" s="61"/>
      <c r="T141" s="61" t="s">
        <v>92</v>
      </c>
      <c r="U141" s="67"/>
      <c r="V141" s="67"/>
      <c r="W141" s="67"/>
      <c r="X141" s="67"/>
      <c r="Y141" s="67"/>
      <c r="Z141" s="67"/>
      <c r="AA141" s="67"/>
      <c r="AB141" s="67"/>
      <c r="AC141" s="67"/>
      <c r="AD141" s="67"/>
      <c r="AE141" s="67"/>
      <c r="AF141" s="67"/>
    </row>
    <row r="142">
      <c r="A142" s="67"/>
      <c r="B142" s="43">
        <f t="shared" si="2"/>
        <v>136</v>
      </c>
      <c r="C142" s="44" t="s">
        <v>755</v>
      </c>
      <c r="D142" s="44" t="s">
        <v>9</v>
      </c>
      <c r="E142" s="45" t="s">
        <v>57</v>
      </c>
      <c r="F142" s="44" t="s">
        <v>756</v>
      </c>
      <c r="G142" s="46" t="s">
        <v>18</v>
      </c>
      <c r="H142" s="47" t="s">
        <v>10</v>
      </c>
      <c r="I142" s="60" t="s">
        <v>38</v>
      </c>
      <c r="J142" s="45" t="s">
        <v>753</v>
      </c>
      <c r="K142" s="45" t="s">
        <v>757</v>
      </c>
      <c r="L142" s="45" t="s">
        <v>252</v>
      </c>
      <c r="M142" s="54" t="s">
        <v>253</v>
      </c>
      <c r="N142" s="49" t="s">
        <v>86</v>
      </c>
      <c r="O142" s="49" t="s">
        <v>131</v>
      </c>
      <c r="P142" s="49" t="s">
        <v>88</v>
      </c>
      <c r="Q142" s="61"/>
      <c r="R142" s="61"/>
      <c r="S142" s="61"/>
      <c r="T142" s="61" t="s">
        <v>92</v>
      </c>
      <c r="U142" s="67"/>
      <c r="V142" s="67"/>
      <c r="W142" s="67"/>
      <c r="X142" s="67"/>
      <c r="Y142" s="67"/>
      <c r="Z142" s="67"/>
      <c r="AA142" s="67"/>
      <c r="AB142" s="67"/>
      <c r="AC142" s="67"/>
      <c r="AD142" s="67"/>
      <c r="AE142" s="67"/>
      <c r="AF142" s="67"/>
    </row>
    <row r="143">
      <c r="A143" s="67"/>
      <c r="B143" s="43">
        <f t="shared" si="2"/>
        <v>137</v>
      </c>
      <c r="C143" s="44" t="s">
        <v>758</v>
      </c>
      <c r="D143" s="44" t="s">
        <v>9</v>
      </c>
      <c r="E143" s="45" t="s">
        <v>57</v>
      </c>
      <c r="F143" s="44" t="s">
        <v>759</v>
      </c>
      <c r="G143" s="46" t="s">
        <v>18</v>
      </c>
      <c r="H143" s="47" t="s">
        <v>10</v>
      </c>
      <c r="I143" s="60" t="s">
        <v>38</v>
      </c>
      <c r="J143" s="45" t="s">
        <v>753</v>
      </c>
      <c r="K143" s="45" t="s">
        <v>760</v>
      </c>
      <c r="L143" s="45" t="s">
        <v>252</v>
      </c>
      <c r="M143" s="54" t="s">
        <v>253</v>
      </c>
      <c r="N143" s="49" t="s">
        <v>86</v>
      </c>
      <c r="O143" s="49" t="s">
        <v>761</v>
      </c>
      <c r="P143" s="49" t="s">
        <v>88</v>
      </c>
      <c r="Q143" s="61"/>
      <c r="R143" s="61"/>
      <c r="S143" s="61"/>
      <c r="T143" s="61" t="s">
        <v>92</v>
      </c>
      <c r="U143" s="67"/>
      <c r="V143" s="67"/>
      <c r="W143" s="67"/>
      <c r="X143" s="67"/>
      <c r="Y143" s="67"/>
      <c r="Z143" s="67"/>
      <c r="AA143" s="67"/>
      <c r="AB143" s="67"/>
      <c r="AC143" s="67"/>
      <c r="AD143" s="67"/>
      <c r="AE143" s="67"/>
      <c r="AF143" s="67"/>
    </row>
    <row r="144">
      <c r="A144" s="67"/>
      <c r="B144" s="43">
        <f t="shared" si="2"/>
        <v>138</v>
      </c>
      <c r="C144" s="44" t="s">
        <v>762</v>
      </c>
      <c r="D144" s="44" t="s">
        <v>9</v>
      </c>
      <c r="E144" s="45" t="s">
        <v>57</v>
      </c>
      <c r="F144" s="44" t="s">
        <v>763</v>
      </c>
      <c r="G144" s="46" t="s">
        <v>22</v>
      </c>
      <c r="H144" s="47" t="s">
        <v>10</v>
      </c>
      <c r="I144" s="60" t="s">
        <v>38</v>
      </c>
      <c r="J144" s="45" t="s">
        <v>753</v>
      </c>
      <c r="K144" s="45" t="s">
        <v>764</v>
      </c>
      <c r="L144" s="52" t="s">
        <v>417</v>
      </c>
      <c r="M144" s="54" t="s">
        <v>253</v>
      </c>
      <c r="N144" s="49" t="s">
        <v>123</v>
      </c>
      <c r="O144" s="49" t="s">
        <v>765</v>
      </c>
      <c r="P144" s="49" t="s">
        <v>88</v>
      </c>
      <c r="Q144" s="61"/>
      <c r="R144" s="61"/>
      <c r="S144" s="61"/>
      <c r="T144" s="61" t="s">
        <v>92</v>
      </c>
      <c r="U144" s="67"/>
      <c r="V144" s="67"/>
      <c r="W144" s="67"/>
      <c r="X144" s="67"/>
      <c r="Y144" s="67"/>
      <c r="Z144" s="67"/>
      <c r="AA144" s="67"/>
      <c r="AB144" s="67"/>
      <c r="AC144" s="67"/>
      <c r="AD144" s="67"/>
      <c r="AE144" s="67"/>
      <c r="AF144" s="67"/>
    </row>
    <row r="145">
      <c r="A145" s="67"/>
      <c r="B145" s="43">
        <f t="shared" si="2"/>
        <v>139</v>
      </c>
      <c r="C145" s="44" t="s">
        <v>766</v>
      </c>
      <c r="D145" s="44" t="s">
        <v>4</v>
      </c>
      <c r="E145" s="45" t="s">
        <v>51</v>
      </c>
      <c r="F145" s="44" t="s">
        <v>767</v>
      </c>
      <c r="G145" s="46" t="s">
        <v>22</v>
      </c>
      <c r="H145" s="47" t="s">
        <v>6</v>
      </c>
      <c r="I145" s="60" t="s">
        <v>38</v>
      </c>
      <c r="J145" s="45"/>
      <c r="K145" s="45" t="s">
        <v>768</v>
      </c>
      <c r="L145" s="45" t="s">
        <v>208</v>
      </c>
      <c r="M145" s="54" t="s">
        <v>113</v>
      </c>
      <c r="N145" s="49" t="s">
        <v>123</v>
      </c>
      <c r="O145" s="49" t="s">
        <v>209</v>
      </c>
      <c r="P145" s="49" t="s">
        <v>132</v>
      </c>
      <c r="Q145" s="61"/>
      <c r="R145" s="61"/>
      <c r="S145" s="49" t="s">
        <v>769</v>
      </c>
      <c r="T145" s="45" t="s">
        <v>770</v>
      </c>
      <c r="U145" s="67"/>
      <c r="V145" s="67"/>
      <c r="W145" s="67"/>
      <c r="X145" s="67"/>
      <c r="Y145" s="67"/>
      <c r="Z145" s="67"/>
      <c r="AA145" s="67"/>
      <c r="AB145" s="67"/>
      <c r="AC145" s="67"/>
      <c r="AD145" s="67"/>
      <c r="AE145" s="67"/>
      <c r="AF145" s="67"/>
    </row>
    <row r="146">
      <c r="A146" s="67"/>
      <c r="B146" s="43">
        <f t="shared" si="2"/>
        <v>140</v>
      </c>
      <c r="C146" s="44" t="s">
        <v>771</v>
      </c>
      <c r="D146" s="44" t="s">
        <v>4</v>
      </c>
      <c r="E146" s="45" t="s">
        <v>51</v>
      </c>
      <c r="F146" s="44" t="s">
        <v>772</v>
      </c>
      <c r="G146" s="46" t="s">
        <v>18</v>
      </c>
      <c r="H146" s="47" t="s">
        <v>6</v>
      </c>
      <c r="I146" s="60" t="s">
        <v>38</v>
      </c>
      <c r="J146" s="68"/>
      <c r="K146" s="45" t="s">
        <v>773</v>
      </c>
      <c r="L146" s="45" t="s">
        <v>774</v>
      </c>
      <c r="M146" s="54" t="s">
        <v>113</v>
      </c>
      <c r="N146" s="49" t="s">
        <v>123</v>
      </c>
      <c r="O146" s="49" t="s">
        <v>131</v>
      </c>
      <c r="P146" s="49" t="s">
        <v>132</v>
      </c>
      <c r="Q146" s="61"/>
      <c r="R146" s="61"/>
      <c r="S146" s="61"/>
      <c r="T146" s="62" t="s">
        <v>775</v>
      </c>
      <c r="U146" s="67"/>
      <c r="V146" s="67"/>
      <c r="W146" s="67"/>
      <c r="X146" s="67"/>
      <c r="Y146" s="67"/>
      <c r="Z146" s="67"/>
      <c r="AA146" s="67"/>
      <c r="AB146" s="67"/>
      <c r="AC146" s="67"/>
      <c r="AD146" s="67"/>
      <c r="AE146" s="67"/>
      <c r="AF146" s="67"/>
    </row>
    <row r="147">
      <c r="A147" s="67"/>
      <c r="B147" s="43">
        <f t="shared" si="2"/>
        <v>141</v>
      </c>
      <c r="C147" s="44" t="s">
        <v>776</v>
      </c>
      <c r="D147" s="44" t="s">
        <v>5</v>
      </c>
      <c r="E147" s="45" t="s">
        <v>56</v>
      </c>
      <c r="F147" s="44" t="s">
        <v>777</v>
      </c>
      <c r="G147" s="46" t="s">
        <v>18</v>
      </c>
      <c r="H147" s="47" t="s">
        <v>27</v>
      </c>
      <c r="I147" s="48" t="s">
        <v>32</v>
      </c>
      <c r="J147" s="45" t="s">
        <v>193</v>
      </c>
      <c r="K147" s="45" t="s">
        <v>778</v>
      </c>
      <c r="L147" s="45" t="s">
        <v>84</v>
      </c>
      <c r="M147" s="54" t="s">
        <v>113</v>
      </c>
      <c r="N147" s="49" t="s">
        <v>86</v>
      </c>
      <c r="O147" s="49" t="s">
        <v>131</v>
      </c>
      <c r="P147" s="49" t="s">
        <v>88</v>
      </c>
      <c r="Q147" s="49" t="s">
        <v>779</v>
      </c>
      <c r="R147" s="57" t="s">
        <v>780</v>
      </c>
      <c r="S147" s="49" t="s">
        <v>781</v>
      </c>
      <c r="T147" s="49" t="s">
        <v>92</v>
      </c>
      <c r="U147" s="67"/>
      <c r="V147" s="67"/>
      <c r="W147" s="67"/>
      <c r="X147" s="67"/>
      <c r="Y147" s="67"/>
      <c r="Z147" s="67"/>
      <c r="AA147" s="67"/>
      <c r="AB147" s="67"/>
      <c r="AC147" s="67"/>
      <c r="AD147" s="67"/>
      <c r="AE147" s="67"/>
      <c r="AF147" s="67"/>
    </row>
    <row r="148">
      <c r="A148" s="67"/>
      <c r="B148" s="43">
        <f t="shared" si="2"/>
        <v>142</v>
      </c>
      <c r="C148" s="44" t="s">
        <v>782</v>
      </c>
      <c r="D148" s="44" t="s">
        <v>11</v>
      </c>
      <c r="E148" s="45" t="s">
        <v>43</v>
      </c>
      <c r="F148" s="44" t="s">
        <v>783</v>
      </c>
      <c r="G148" s="46" t="s">
        <v>20</v>
      </c>
      <c r="H148" s="47" t="s">
        <v>23</v>
      </c>
      <c r="I148" s="48"/>
      <c r="J148" s="52"/>
      <c r="K148" s="45" t="s">
        <v>784</v>
      </c>
      <c r="L148" s="45" t="s">
        <v>303</v>
      </c>
      <c r="M148" s="54" t="s">
        <v>113</v>
      </c>
      <c r="N148" s="49" t="s">
        <v>114</v>
      </c>
      <c r="O148" s="49" t="s">
        <v>209</v>
      </c>
      <c r="P148" s="61"/>
      <c r="Q148" s="61"/>
      <c r="R148" s="61"/>
      <c r="S148" s="61"/>
      <c r="T148" s="61" t="s">
        <v>92</v>
      </c>
      <c r="U148" s="67"/>
      <c r="V148" s="67"/>
      <c r="W148" s="67"/>
      <c r="X148" s="67"/>
      <c r="Y148" s="67"/>
      <c r="Z148" s="67"/>
      <c r="AA148" s="67"/>
      <c r="AB148" s="67"/>
      <c r="AC148" s="67"/>
      <c r="AD148" s="67"/>
      <c r="AE148" s="67"/>
      <c r="AF148" s="67"/>
    </row>
    <row r="149">
      <c r="A149" s="67"/>
      <c r="B149" s="43">
        <f t="shared" si="2"/>
        <v>143</v>
      </c>
      <c r="C149" s="44" t="s">
        <v>785</v>
      </c>
      <c r="D149" s="44" t="s">
        <v>11</v>
      </c>
      <c r="E149" s="45" t="s">
        <v>43</v>
      </c>
      <c r="F149" s="44" t="s">
        <v>786</v>
      </c>
      <c r="G149" s="46" t="s">
        <v>20</v>
      </c>
      <c r="H149" s="47"/>
      <c r="I149" s="48"/>
      <c r="J149" s="52"/>
      <c r="K149" s="45" t="s">
        <v>787</v>
      </c>
      <c r="L149" s="52" t="s">
        <v>642</v>
      </c>
      <c r="M149" s="54" t="s">
        <v>113</v>
      </c>
      <c r="N149" s="49" t="s">
        <v>114</v>
      </c>
      <c r="O149" s="49" t="s">
        <v>209</v>
      </c>
      <c r="P149" s="61"/>
      <c r="Q149" s="61"/>
      <c r="R149" s="61"/>
      <c r="S149" s="61"/>
      <c r="T149" s="61" t="s">
        <v>92</v>
      </c>
      <c r="U149" s="67"/>
      <c r="V149" s="67"/>
      <c r="W149" s="67"/>
      <c r="X149" s="67"/>
      <c r="Y149" s="67"/>
      <c r="Z149" s="67"/>
      <c r="AA149" s="67"/>
      <c r="AB149" s="67"/>
      <c r="AC149" s="67"/>
      <c r="AD149" s="67"/>
      <c r="AE149" s="67"/>
      <c r="AF149" s="67"/>
    </row>
    <row r="150">
      <c r="A150" s="67"/>
      <c r="B150" s="43">
        <f t="shared" si="2"/>
        <v>144</v>
      </c>
      <c r="C150" s="44" t="s">
        <v>788</v>
      </c>
      <c r="D150" s="44" t="s">
        <v>7</v>
      </c>
      <c r="E150" s="45" t="s">
        <v>53</v>
      </c>
      <c r="F150" s="44" t="s">
        <v>789</v>
      </c>
      <c r="G150" s="46" t="s">
        <v>20</v>
      </c>
      <c r="H150" s="47" t="s">
        <v>23</v>
      </c>
      <c r="I150" s="48"/>
      <c r="J150" s="52"/>
      <c r="K150" s="45" t="s">
        <v>790</v>
      </c>
      <c r="L150" s="45" t="s">
        <v>791</v>
      </c>
      <c r="M150" s="54" t="s">
        <v>113</v>
      </c>
      <c r="N150" s="49" t="s">
        <v>114</v>
      </c>
      <c r="O150" s="49" t="s">
        <v>209</v>
      </c>
      <c r="P150" s="49" t="s">
        <v>132</v>
      </c>
      <c r="Q150" s="61"/>
      <c r="R150" s="61"/>
      <c r="S150" s="61"/>
      <c r="T150" s="61" t="s">
        <v>92</v>
      </c>
      <c r="U150" s="67"/>
      <c r="V150" s="67"/>
      <c r="W150" s="67"/>
      <c r="X150" s="67"/>
      <c r="Y150" s="67"/>
      <c r="Z150" s="67"/>
      <c r="AA150" s="67"/>
      <c r="AB150" s="67"/>
      <c r="AC150" s="67"/>
      <c r="AD150" s="67"/>
      <c r="AE150" s="67"/>
      <c r="AF150" s="67"/>
    </row>
    <row r="151">
      <c r="A151" s="67"/>
      <c r="B151" s="43">
        <f t="shared" si="2"/>
        <v>145</v>
      </c>
      <c r="C151" s="44" t="s">
        <v>792</v>
      </c>
      <c r="D151" s="44" t="s">
        <v>9</v>
      </c>
      <c r="E151" s="45" t="s">
        <v>57</v>
      </c>
      <c r="F151" s="44" t="s">
        <v>793</v>
      </c>
      <c r="G151" s="46" t="s">
        <v>20</v>
      </c>
      <c r="H151" s="47" t="s">
        <v>10</v>
      </c>
      <c r="I151" s="48"/>
      <c r="J151" s="52"/>
      <c r="K151" s="45" t="s">
        <v>794</v>
      </c>
      <c r="L151" s="45" t="s">
        <v>252</v>
      </c>
      <c r="M151" s="54" t="s">
        <v>253</v>
      </c>
      <c r="N151" s="49" t="s">
        <v>86</v>
      </c>
      <c r="O151" s="49" t="s">
        <v>131</v>
      </c>
      <c r="P151" s="45" t="s">
        <v>88</v>
      </c>
      <c r="Q151" s="61"/>
      <c r="R151" s="61"/>
      <c r="S151" s="45" t="s">
        <v>795</v>
      </c>
      <c r="T151" s="45" t="s">
        <v>92</v>
      </c>
      <c r="U151" s="67"/>
      <c r="V151" s="67"/>
      <c r="W151" s="67"/>
      <c r="X151" s="67"/>
      <c r="Y151" s="67"/>
      <c r="Z151" s="67"/>
      <c r="AA151" s="67"/>
      <c r="AB151" s="67"/>
      <c r="AC151" s="67"/>
      <c r="AD151" s="67"/>
      <c r="AE151" s="67"/>
      <c r="AF151" s="67"/>
    </row>
    <row r="152">
      <c r="A152" s="67"/>
      <c r="B152" s="43">
        <f t="shared" si="2"/>
        <v>146</v>
      </c>
      <c r="C152" s="44" t="s">
        <v>796</v>
      </c>
      <c r="D152" s="44" t="s">
        <v>9</v>
      </c>
      <c r="E152" s="45" t="s">
        <v>57</v>
      </c>
      <c r="F152" s="44" t="s">
        <v>797</v>
      </c>
      <c r="G152" s="46" t="s">
        <v>20</v>
      </c>
      <c r="H152" s="47" t="s">
        <v>10</v>
      </c>
      <c r="I152" s="48"/>
      <c r="J152" s="52"/>
      <c r="K152" s="45" t="s">
        <v>798</v>
      </c>
      <c r="L152" s="45" t="s">
        <v>252</v>
      </c>
      <c r="M152" s="54" t="s">
        <v>253</v>
      </c>
      <c r="N152" s="49" t="s">
        <v>86</v>
      </c>
      <c r="O152" s="49" t="s">
        <v>131</v>
      </c>
      <c r="P152" s="45" t="s">
        <v>88</v>
      </c>
      <c r="Q152" s="61"/>
      <c r="R152" s="61"/>
      <c r="S152" s="45" t="s">
        <v>799</v>
      </c>
      <c r="T152" s="45" t="s">
        <v>92</v>
      </c>
      <c r="U152" s="67"/>
      <c r="V152" s="67"/>
      <c r="W152" s="67"/>
      <c r="X152" s="67"/>
      <c r="Y152" s="67"/>
      <c r="Z152" s="67"/>
      <c r="AA152" s="67"/>
      <c r="AB152" s="67"/>
      <c r="AC152" s="67"/>
      <c r="AD152" s="67"/>
      <c r="AE152" s="67"/>
      <c r="AF152" s="67"/>
    </row>
    <row r="153">
      <c r="A153" s="67"/>
      <c r="B153" s="43">
        <f t="shared" si="2"/>
        <v>147</v>
      </c>
      <c r="C153" s="44" t="s">
        <v>800</v>
      </c>
      <c r="D153" s="44" t="s">
        <v>9</v>
      </c>
      <c r="E153" s="45" t="s">
        <v>57</v>
      </c>
      <c r="F153" s="44" t="s">
        <v>801</v>
      </c>
      <c r="G153" s="46" t="s">
        <v>18</v>
      </c>
      <c r="H153" s="47" t="s">
        <v>10</v>
      </c>
      <c r="I153" s="60" t="s">
        <v>38</v>
      </c>
      <c r="J153" s="68"/>
      <c r="K153" s="45" t="s">
        <v>802</v>
      </c>
      <c r="L153" s="45" t="s">
        <v>252</v>
      </c>
      <c r="M153" s="54" t="s">
        <v>253</v>
      </c>
      <c r="N153" s="49" t="s">
        <v>86</v>
      </c>
      <c r="O153" s="49" t="s">
        <v>408</v>
      </c>
      <c r="P153" s="45" t="s">
        <v>88</v>
      </c>
      <c r="Q153" s="61"/>
      <c r="R153" s="61"/>
      <c r="S153" s="45" t="s">
        <v>803</v>
      </c>
      <c r="T153" s="45" t="s">
        <v>92</v>
      </c>
      <c r="U153" s="67"/>
      <c r="V153" s="67"/>
      <c r="W153" s="67"/>
      <c r="X153" s="67"/>
      <c r="Y153" s="67"/>
      <c r="Z153" s="67"/>
      <c r="AA153" s="67"/>
      <c r="AB153" s="67"/>
      <c r="AC153" s="67"/>
      <c r="AD153" s="67"/>
      <c r="AE153" s="67"/>
      <c r="AF153" s="67"/>
    </row>
    <row r="154">
      <c r="A154" s="67"/>
      <c r="B154" s="43">
        <f t="shared" si="2"/>
        <v>148</v>
      </c>
      <c r="C154" s="44" t="s">
        <v>804</v>
      </c>
      <c r="D154" s="44" t="s">
        <v>9</v>
      </c>
      <c r="E154" s="45" t="s">
        <v>57</v>
      </c>
      <c r="F154" s="44" t="s">
        <v>805</v>
      </c>
      <c r="G154" s="46" t="s">
        <v>18</v>
      </c>
      <c r="H154" s="47" t="s">
        <v>10</v>
      </c>
      <c r="I154" s="48" t="s">
        <v>44</v>
      </c>
      <c r="J154" s="45" t="s">
        <v>193</v>
      </c>
      <c r="K154" s="45" t="s">
        <v>806</v>
      </c>
      <c r="L154" s="45" t="s">
        <v>252</v>
      </c>
      <c r="M154" s="54" t="s">
        <v>253</v>
      </c>
      <c r="N154" s="49" t="s">
        <v>86</v>
      </c>
      <c r="O154" s="49" t="s">
        <v>131</v>
      </c>
      <c r="P154" s="45" t="s">
        <v>88</v>
      </c>
      <c r="Q154" s="61"/>
      <c r="R154" s="61"/>
      <c r="S154" s="45" t="s">
        <v>803</v>
      </c>
      <c r="T154" s="45" t="s">
        <v>92</v>
      </c>
      <c r="U154" s="67"/>
      <c r="V154" s="67"/>
      <c r="W154" s="67"/>
      <c r="X154" s="67"/>
      <c r="Y154" s="67"/>
      <c r="Z154" s="67"/>
      <c r="AA154" s="67"/>
      <c r="AB154" s="67"/>
      <c r="AC154" s="67"/>
      <c r="AD154" s="67"/>
      <c r="AE154" s="67"/>
      <c r="AF154" s="67"/>
    </row>
    <row r="155">
      <c r="A155" s="67"/>
      <c r="B155" s="43">
        <f t="shared" si="2"/>
        <v>149</v>
      </c>
      <c r="C155" s="44" t="s">
        <v>807</v>
      </c>
      <c r="D155" s="44" t="s">
        <v>9</v>
      </c>
      <c r="E155" s="45" t="s">
        <v>57</v>
      </c>
      <c r="F155" s="44" t="s">
        <v>808</v>
      </c>
      <c r="G155" s="46" t="s">
        <v>18</v>
      </c>
      <c r="H155" s="47" t="s">
        <v>10</v>
      </c>
      <c r="I155" s="48"/>
      <c r="J155" s="52"/>
      <c r="K155" s="45" t="s">
        <v>809</v>
      </c>
      <c r="L155" s="45" t="s">
        <v>252</v>
      </c>
      <c r="M155" s="54" t="s">
        <v>253</v>
      </c>
      <c r="N155" s="49" t="s">
        <v>86</v>
      </c>
      <c r="O155" s="49" t="s">
        <v>131</v>
      </c>
      <c r="P155" s="45" t="s">
        <v>88</v>
      </c>
      <c r="Q155" s="61"/>
      <c r="R155" s="61"/>
      <c r="S155" s="45" t="s">
        <v>810</v>
      </c>
      <c r="T155" s="45" t="s">
        <v>92</v>
      </c>
      <c r="U155" s="67"/>
      <c r="V155" s="67"/>
      <c r="W155" s="67"/>
      <c r="X155" s="67"/>
      <c r="Y155" s="67"/>
      <c r="Z155" s="67"/>
      <c r="AA155" s="67"/>
      <c r="AB155" s="67"/>
      <c r="AC155" s="67"/>
      <c r="AD155" s="67"/>
      <c r="AE155" s="67"/>
      <c r="AF155" s="67"/>
    </row>
    <row r="156">
      <c r="A156" s="67"/>
      <c r="B156" s="43">
        <f t="shared" si="2"/>
        <v>150</v>
      </c>
      <c r="C156" s="44" t="s">
        <v>811</v>
      </c>
      <c r="D156" s="44" t="s">
        <v>9</v>
      </c>
      <c r="E156" s="45" t="s">
        <v>57</v>
      </c>
      <c r="F156" s="44" t="s">
        <v>812</v>
      </c>
      <c r="G156" s="46" t="s">
        <v>18</v>
      </c>
      <c r="H156" s="47" t="s">
        <v>10</v>
      </c>
      <c r="I156" s="48"/>
      <c r="J156" s="52"/>
      <c r="K156" s="45" t="s">
        <v>813</v>
      </c>
      <c r="L156" s="45" t="s">
        <v>252</v>
      </c>
      <c r="M156" s="54" t="s">
        <v>253</v>
      </c>
      <c r="N156" s="49" t="s">
        <v>86</v>
      </c>
      <c r="O156" s="49" t="s">
        <v>131</v>
      </c>
      <c r="P156" s="45" t="s">
        <v>88</v>
      </c>
      <c r="Q156" s="61"/>
      <c r="R156" s="61"/>
      <c r="S156" s="45" t="s">
        <v>803</v>
      </c>
      <c r="T156" s="45" t="s">
        <v>92</v>
      </c>
      <c r="U156" s="67"/>
      <c r="V156" s="67"/>
      <c r="W156" s="67"/>
      <c r="X156" s="67"/>
      <c r="Y156" s="67"/>
      <c r="Z156" s="67"/>
      <c r="AA156" s="67"/>
      <c r="AB156" s="67"/>
      <c r="AC156" s="67"/>
      <c r="AD156" s="67"/>
      <c r="AE156" s="67"/>
      <c r="AF156" s="67"/>
    </row>
    <row r="157">
      <c r="A157" s="67"/>
      <c r="B157" s="43">
        <f t="shared" si="2"/>
        <v>151</v>
      </c>
      <c r="C157" s="44" t="s">
        <v>814</v>
      </c>
      <c r="D157" s="44" t="s">
        <v>4</v>
      </c>
      <c r="E157" s="45" t="s">
        <v>51</v>
      </c>
      <c r="F157" s="44" t="s">
        <v>815</v>
      </c>
      <c r="G157" s="46" t="s">
        <v>20</v>
      </c>
      <c r="H157" s="47" t="s">
        <v>6</v>
      </c>
      <c r="I157" s="48"/>
      <c r="J157" s="52"/>
      <c r="K157" s="45" t="s">
        <v>816</v>
      </c>
      <c r="L157" s="45" t="s">
        <v>310</v>
      </c>
      <c r="M157" s="54" t="s">
        <v>113</v>
      </c>
      <c r="N157" s="49" t="s">
        <v>123</v>
      </c>
      <c r="O157" s="49" t="s">
        <v>131</v>
      </c>
      <c r="P157" s="49" t="s">
        <v>132</v>
      </c>
      <c r="Q157" s="61"/>
      <c r="R157" s="61"/>
      <c r="S157" s="61"/>
      <c r="T157" s="62" t="s">
        <v>817</v>
      </c>
      <c r="U157" s="67"/>
      <c r="V157" s="67"/>
      <c r="W157" s="67"/>
      <c r="X157" s="67"/>
      <c r="Y157" s="67"/>
      <c r="Z157" s="67"/>
      <c r="AA157" s="67"/>
      <c r="AB157" s="67"/>
      <c r="AC157" s="67"/>
      <c r="AD157" s="67"/>
      <c r="AE157" s="67"/>
      <c r="AF157" s="67"/>
    </row>
    <row r="158">
      <c r="A158" s="67"/>
      <c r="B158" s="43">
        <f t="shared" si="2"/>
        <v>152</v>
      </c>
      <c r="C158" s="44" t="s">
        <v>818</v>
      </c>
      <c r="D158" s="44" t="s">
        <v>4</v>
      </c>
      <c r="E158" s="45" t="s">
        <v>49</v>
      </c>
      <c r="F158" s="44" t="s">
        <v>819</v>
      </c>
      <c r="G158" s="46" t="s">
        <v>20</v>
      </c>
      <c r="H158" s="47" t="s">
        <v>6</v>
      </c>
      <c r="I158" s="48"/>
      <c r="J158" s="52"/>
      <c r="K158" s="45" t="s">
        <v>820</v>
      </c>
      <c r="L158" s="45" t="s">
        <v>122</v>
      </c>
      <c r="M158" s="54" t="s">
        <v>85</v>
      </c>
      <c r="N158" s="49" t="s">
        <v>123</v>
      </c>
      <c r="O158" s="49" t="s">
        <v>87</v>
      </c>
      <c r="P158" s="45" t="s">
        <v>132</v>
      </c>
      <c r="Q158" s="61"/>
      <c r="R158" s="61"/>
      <c r="S158" s="45" t="s">
        <v>821</v>
      </c>
      <c r="T158" s="45" t="s">
        <v>92</v>
      </c>
      <c r="U158" s="67"/>
      <c r="V158" s="67"/>
      <c r="W158" s="67"/>
      <c r="X158" s="67"/>
      <c r="Y158" s="67"/>
      <c r="Z158" s="67"/>
      <c r="AA158" s="67"/>
      <c r="AB158" s="67"/>
      <c r="AC158" s="67"/>
      <c r="AD158" s="67"/>
      <c r="AE158" s="67"/>
      <c r="AF158" s="67"/>
    </row>
    <row r="159">
      <c r="A159" s="67"/>
      <c r="B159" s="43">
        <f t="shared" si="2"/>
        <v>153</v>
      </c>
      <c r="C159" s="44" t="s">
        <v>822</v>
      </c>
      <c r="D159" s="44" t="s">
        <v>5</v>
      </c>
      <c r="E159" s="45" t="s">
        <v>56</v>
      </c>
      <c r="F159" s="44" t="s">
        <v>823</v>
      </c>
      <c r="G159" s="46" t="s">
        <v>18</v>
      </c>
      <c r="H159" s="47" t="s">
        <v>6</v>
      </c>
      <c r="I159" s="48"/>
      <c r="J159" s="52"/>
      <c r="K159" s="45" t="s">
        <v>824</v>
      </c>
      <c r="L159" s="45" t="s">
        <v>587</v>
      </c>
      <c r="M159" s="54" t="s">
        <v>113</v>
      </c>
      <c r="N159" s="49" t="s">
        <v>86</v>
      </c>
      <c r="O159" s="49" t="s">
        <v>260</v>
      </c>
      <c r="P159" s="49" t="s">
        <v>88</v>
      </c>
      <c r="Q159" s="61"/>
      <c r="R159" s="61"/>
      <c r="S159" s="61"/>
      <c r="T159" s="61" t="s">
        <v>92</v>
      </c>
      <c r="U159" s="67"/>
      <c r="V159" s="67"/>
      <c r="W159" s="67"/>
      <c r="X159" s="67"/>
      <c r="Y159" s="67"/>
      <c r="Z159" s="67"/>
      <c r="AA159" s="67"/>
      <c r="AB159" s="67"/>
      <c r="AC159" s="67"/>
      <c r="AD159" s="67"/>
      <c r="AE159" s="67"/>
      <c r="AF159" s="67"/>
    </row>
    <row r="160">
      <c r="A160" s="67"/>
      <c r="B160" s="43">
        <f t="shared" si="2"/>
        <v>154</v>
      </c>
      <c r="C160" s="44" t="s">
        <v>825</v>
      </c>
      <c r="D160" s="44" t="s">
        <v>7</v>
      </c>
      <c r="E160" s="45" t="s">
        <v>55</v>
      </c>
      <c r="F160" s="44" t="s">
        <v>826</v>
      </c>
      <c r="G160" s="46" t="s">
        <v>20</v>
      </c>
      <c r="H160" s="47" t="s">
        <v>6</v>
      </c>
      <c r="I160" s="48"/>
      <c r="J160" s="52"/>
      <c r="K160" s="45" t="s">
        <v>827</v>
      </c>
      <c r="L160" s="45" t="s">
        <v>828</v>
      </c>
      <c r="M160" s="54" t="s">
        <v>85</v>
      </c>
      <c r="N160" s="49" t="s">
        <v>114</v>
      </c>
      <c r="O160" s="49" t="s">
        <v>209</v>
      </c>
      <c r="P160" s="49" t="s">
        <v>132</v>
      </c>
      <c r="Q160" s="61"/>
      <c r="R160" s="61"/>
      <c r="S160" s="49" t="s">
        <v>829</v>
      </c>
      <c r="T160" s="49" t="s">
        <v>92</v>
      </c>
      <c r="U160" s="67"/>
      <c r="V160" s="67"/>
      <c r="W160" s="67"/>
      <c r="X160" s="67"/>
      <c r="Y160" s="67"/>
      <c r="Z160" s="67"/>
      <c r="AA160" s="67"/>
      <c r="AB160" s="67"/>
      <c r="AC160" s="67"/>
      <c r="AD160" s="67"/>
      <c r="AE160" s="67"/>
      <c r="AF160" s="67"/>
    </row>
    <row r="161">
      <c r="A161" s="67"/>
      <c r="B161" s="43">
        <f t="shared" si="2"/>
        <v>155</v>
      </c>
      <c r="C161" s="44" t="s">
        <v>830</v>
      </c>
      <c r="D161" s="44" t="s">
        <v>11</v>
      </c>
      <c r="E161" s="45" t="s">
        <v>51</v>
      </c>
      <c r="F161" s="44" t="s">
        <v>831</v>
      </c>
      <c r="G161" s="46" t="s">
        <v>20</v>
      </c>
      <c r="H161" s="47" t="s">
        <v>6</v>
      </c>
      <c r="I161" s="60" t="s">
        <v>38</v>
      </c>
      <c r="J161" s="45" t="s">
        <v>193</v>
      </c>
      <c r="K161" s="45" t="s">
        <v>832</v>
      </c>
      <c r="L161" s="45" t="s">
        <v>653</v>
      </c>
      <c r="M161" s="54" t="s">
        <v>113</v>
      </c>
      <c r="N161" s="49" t="s">
        <v>114</v>
      </c>
      <c r="O161" s="49" t="s">
        <v>209</v>
      </c>
      <c r="P161" s="61"/>
      <c r="Q161" s="61"/>
      <c r="R161" s="61"/>
      <c r="S161" s="61"/>
      <c r="T161" s="62" t="s">
        <v>833</v>
      </c>
      <c r="U161" s="67"/>
      <c r="V161" s="67"/>
      <c r="W161" s="67"/>
      <c r="X161" s="67"/>
      <c r="Y161" s="67"/>
      <c r="Z161" s="67"/>
      <c r="AA161" s="67"/>
      <c r="AB161" s="67"/>
      <c r="AC161" s="67"/>
      <c r="AD161" s="67"/>
      <c r="AE161" s="67"/>
      <c r="AF161" s="67"/>
    </row>
    <row r="162">
      <c r="A162" s="67"/>
      <c r="B162" s="43">
        <f t="shared" si="2"/>
        <v>156</v>
      </c>
      <c r="C162" s="44" t="s">
        <v>834</v>
      </c>
      <c r="D162" s="44" t="s">
        <v>9</v>
      </c>
      <c r="E162" s="45" t="s">
        <v>57</v>
      </c>
      <c r="F162" s="44" t="s">
        <v>835</v>
      </c>
      <c r="G162" s="46" t="s">
        <v>20</v>
      </c>
      <c r="H162" s="47" t="s">
        <v>17</v>
      </c>
      <c r="I162" s="69" t="s">
        <v>44</v>
      </c>
      <c r="J162" s="45" t="s">
        <v>193</v>
      </c>
      <c r="K162" s="45" t="s">
        <v>836</v>
      </c>
      <c r="L162" s="45" t="s">
        <v>252</v>
      </c>
      <c r="M162" s="54" t="s">
        <v>253</v>
      </c>
      <c r="N162" s="49" t="s">
        <v>86</v>
      </c>
      <c r="O162" s="49" t="s">
        <v>131</v>
      </c>
      <c r="P162" s="49" t="s">
        <v>88</v>
      </c>
      <c r="Q162" s="61"/>
      <c r="R162" s="61"/>
      <c r="S162" s="61"/>
      <c r="T162" s="61" t="s">
        <v>92</v>
      </c>
      <c r="U162" s="67"/>
      <c r="V162" s="67"/>
      <c r="W162" s="67"/>
      <c r="X162" s="67"/>
      <c r="Y162" s="67"/>
      <c r="Z162" s="67"/>
      <c r="AA162" s="67"/>
      <c r="AB162" s="67"/>
      <c r="AC162" s="67"/>
      <c r="AD162" s="67"/>
      <c r="AE162" s="67"/>
      <c r="AF162" s="67"/>
    </row>
    <row r="163">
      <c r="A163" s="67"/>
      <c r="B163" s="43">
        <f t="shared" si="2"/>
        <v>157</v>
      </c>
      <c r="C163" s="44" t="s">
        <v>837</v>
      </c>
      <c r="D163" s="44" t="s">
        <v>9</v>
      </c>
      <c r="E163" s="45" t="s">
        <v>57</v>
      </c>
      <c r="F163" s="44" t="s">
        <v>838</v>
      </c>
      <c r="G163" s="46" t="s">
        <v>18</v>
      </c>
      <c r="H163" s="47" t="s">
        <v>10</v>
      </c>
      <c r="I163" s="48" t="s">
        <v>44</v>
      </c>
      <c r="J163" s="45"/>
      <c r="K163" s="45" t="s">
        <v>839</v>
      </c>
      <c r="L163" s="52" t="s">
        <v>417</v>
      </c>
      <c r="M163" s="54" t="s">
        <v>253</v>
      </c>
      <c r="N163" s="49" t="s">
        <v>86</v>
      </c>
      <c r="O163" s="49" t="s">
        <v>131</v>
      </c>
      <c r="P163" s="49" t="s">
        <v>88</v>
      </c>
      <c r="Q163" s="61"/>
      <c r="R163" s="61"/>
      <c r="S163" s="61"/>
      <c r="T163" s="61" t="s">
        <v>92</v>
      </c>
      <c r="U163" s="67"/>
      <c r="V163" s="67"/>
      <c r="W163" s="67"/>
      <c r="X163" s="67"/>
      <c r="Y163" s="67"/>
      <c r="Z163" s="67"/>
      <c r="AA163" s="67"/>
      <c r="AB163" s="67"/>
      <c r="AC163" s="67"/>
      <c r="AD163" s="67"/>
      <c r="AE163" s="67"/>
      <c r="AF163" s="67"/>
    </row>
    <row r="164">
      <c r="A164" s="67"/>
      <c r="B164" s="43">
        <f t="shared" si="2"/>
        <v>158</v>
      </c>
      <c r="C164" s="44" t="s">
        <v>840</v>
      </c>
      <c r="D164" s="44" t="s">
        <v>9</v>
      </c>
      <c r="E164" s="45" t="s">
        <v>57</v>
      </c>
      <c r="F164" s="44" t="s">
        <v>841</v>
      </c>
      <c r="G164" s="46" t="s">
        <v>20</v>
      </c>
      <c r="H164" s="47" t="s">
        <v>10</v>
      </c>
      <c r="I164" s="48"/>
      <c r="J164" s="52"/>
      <c r="K164" s="45" t="s">
        <v>842</v>
      </c>
      <c r="L164" s="52" t="s">
        <v>417</v>
      </c>
      <c r="M164" s="54" t="s">
        <v>253</v>
      </c>
      <c r="N164" s="49" t="s">
        <v>86</v>
      </c>
      <c r="O164" s="49" t="s">
        <v>131</v>
      </c>
      <c r="P164" s="49" t="s">
        <v>88</v>
      </c>
      <c r="Q164" s="61"/>
      <c r="R164" s="61"/>
      <c r="S164" s="61"/>
      <c r="T164" s="61" t="s">
        <v>92</v>
      </c>
      <c r="U164" s="67"/>
      <c r="V164" s="67"/>
      <c r="W164" s="67"/>
      <c r="X164" s="67"/>
      <c r="Y164" s="67"/>
      <c r="Z164" s="67"/>
      <c r="AA164" s="67"/>
      <c r="AB164" s="67"/>
      <c r="AC164" s="67"/>
      <c r="AD164" s="67"/>
      <c r="AE164" s="67"/>
      <c r="AF164" s="67"/>
    </row>
    <row r="165">
      <c r="A165" s="67"/>
      <c r="B165" s="43">
        <f t="shared" si="2"/>
        <v>159</v>
      </c>
      <c r="C165" s="44" t="s">
        <v>843</v>
      </c>
      <c r="D165" s="44" t="s">
        <v>9</v>
      </c>
      <c r="E165" s="45" t="s">
        <v>46</v>
      </c>
      <c r="F165" s="44" t="s">
        <v>844</v>
      </c>
      <c r="G165" s="46" t="s">
        <v>20</v>
      </c>
      <c r="H165" s="47" t="s">
        <v>17</v>
      </c>
      <c r="I165" s="48"/>
      <c r="J165" s="52"/>
      <c r="K165" s="45" t="s">
        <v>845</v>
      </c>
      <c r="L165" s="45" t="s">
        <v>365</v>
      </c>
      <c r="M165" s="54" t="s">
        <v>85</v>
      </c>
      <c r="N165" s="49" t="s">
        <v>86</v>
      </c>
      <c r="O165" s="49" t="s">
        <v>131</v>
      </c>
      <c r="P165" s="49" t="s">
        <v>105</v>
      </c>
      <c r="Q165" s="61"/>
      <c r="R165" s="61"/>
      <c r="S165" s="61"/>
      <c r="T165" s="61" t="s">
        <v>92</v>
      </c>
      <c r="U165" s="67"/>
      <c r="V165" s="67"/>
      <c r="W165" s="67"/>
      <c r="X165" s="67"/>
      <c r="Y165" s="67"/>
      <c r="Z165" s="67"/>
      <c r="AA165" s="67"/>
      <c r="AB165" s="67"/>
      <c r="AC165" s="67"/>
      <c r="AD165" s="67"/>
      <c r="AE165" s="67"/>
      <c r="AF165" s="67"/>
    </row>
    <row r="166">
      <c r="A166" s="67"/>
      <c r="B166" s="43">
        <f t="shared" si="2"/>
        <v>160</v>
      </c>
      <c r="C166" s="44" t="s">
        <v>846</v>
      </c>
      <c r="D166" s="44" t="s">
        <v>4</v>
      </c>
      <c r="E166" s="45" t="s">
        <v>35</v>
      </c>
      <c r="F166" s="44" t="s">
        <v>847</v>
      </c>
      <c r="G166" s="46" t="s">
        <v>18</v>
      </c>
      <c r="H166" s="47" t="s">
        <v>6</v>
      </c>
      <c r="I166" s="60" t="s">
        <v>38</v>
      </c>
      <c r="J166" s="45" t="s">
        <v>193</v>
      </c>
      <c r="K166" s="45" t="s">
        <v>848</v>
      </c>
      <c r="L166" s="45" t="s">
        <v>564</v>
      </c>
      <c r="M166" s="54" t="s">
        <v>85</v>
      </c>
      <c r="N166" s="49" t="s">
        <v>123</v>
      </c>
      <c r="O166" s="49" t="s">
        <v>131</v>
      </c>
      <c r="P166" s="49" t="s">
        <v>132</v>
      </c>
      <c r="Q166" s="61"/>
      <c r="R166" s="61"/>
      <c r="S166" s="61"/>
      <c r="T166" s="61" t="s">
        <v>92</v>
      </c>
      <c r="U166" s="67"/>
      <c r="V166" s="67"/>
      <c r="W166" s="67"/>
      <c r="X166" s="67"/>
      <c r="Y166" s="67"/>
      <c r="Z166" s="67"/>
      <c r="AA166" s="67"/>
      <c r="AB166" s="67"/>
      <c r="AC166" s="67"/>
      <c r="AD166" s="67"/>
      <c r="AE166" s="67"/>
      <c r="AF166" s="67"/>
    </row>
    <row r="167">
      <c r="A167" s="67"/>
      <c r="B167" s="43">
        <f t="shared" si="2"/>
        <v>161</v>
      </c>
      <c r="C167" s="44" t="s">
        <v>849</v>
      </c>
      <c r="D167" s="44" t="s">
        <v>4</v>
      </c>
      <c r="E167" s="45" t="s">
        <v>51</v>
      </c>
      <c r="F167" s="44" t="s">
        <v>850</v>
      </c>
      <c r="G167" s="46" t="s">
        <v>18</v>
      </c>
      <c r="H167" s="47" t="s">
        <v>6</v>
      </c>
      <c r="I167" s="60" t="s">
        <v>38</v>
      </c>
      <c r="J167" s="68"/>
      <c r="K167" s="45" t="s">
        <v>851</v>
      </c>
      <c r="L167" s="45" t="s">
        <v>208</v>
      </c>
      <c r="M167" s="54" t="s">
        <v>85</v>
      </c>
      <c r="N167" s="49" t="s">
        <v>123</v>
      </c>
      <c r="O167" s="49" t="s">
        <v>602</v>
      </c>
      <c r="P167" s="49" t="s">
        <v>132</v>
      </c>
      <c r="Q167" s="61"/>
      <c r="R167" s="61"/>
      <c r="S167" s="61"/>
      <c r="T167" s="62" t="s">
        <v>852</v>
      </c>
      <c r="U167" s="67"/>
      <c r="V167" s="67"/>
      <c r="W167" s="67"/>
      <c r="X167" s="67"/>
      <c r="Y167" s="67"/>
      <c r="Z167" s="67"/>
      <c r="AA167" s="67"/>
      <c r="AB167" s="67"/>
      <c r="AC167" s="67"/>
      <c r="AD167" s="67"/>
      <c r="AE167" s="67"/>
      <c r="AF167" s="67"/>
    </row>
    <row r="168">
      <c r="A168" s="67"/>
      <c r="B168" s="43">
        <f t="shared" si="2"/>
        <v>162</v>
      </c>
      <c r="C168" s="44" t="s">
        <v>853</v>
      </c>
      <c r="D168" s="44" t="s">
        <v>4</v>
      </c>
      <c r="E168" s="45" t="s">
        <v>63</v>
      </c>
      <c r="F168" s="44" t="s">
        <v>854</v>
      </c>
      <c r="G168" s="46" t="s">
        <v>18</v>
      </c>
      <c r="H168" s="47" t="s">
        <v>6</v>
      </c>
      <c r="I168" s="60" t="s">
        <v>38</v>
      </c>
      <c r="J168" s="45"/>
      <c r="K168" s="45" t="s">
        <v>855</v>
      </c>
      <c r="L168" s="45" t="s">
        <v>208</v>
      </c>
      <c r="M168" s="54" t="s">
        <v>113</v>
      </c>
      <c r="N168" s="49" t="s">
        <v>123</v>
      </c>
      <c r="O168" s="49" t="s">
        <v>131</v>
      </c>
      <c r="P168" s="49" t="s">
        <v>132</v>
      </c>
      <c r="Q168" s="61"/>
      <c r="R168" s="61"/>
      <c r="S168" s="61"/>
      <c r="T168" s="61" t="s">
        <v>92</v>
      </c>
      <c r="U168" s="67"/>
      <c r="V168" s="67"/>
      <c r="W168" s="67"/>
      <c r="X168" s="67"/>
      <c r="Y168" s="67"/>
      <c r="Z168" s="67"/>
      <c r="AA168" s="67"/>
      <c r="AB168" s="67"/>
      <c r="AC168" s="67"/>
      <c r="AD168" s="67"/>
      <c r="AE168" s="67"/>
      <c r="AF168" s="67"/>
    </row>
    <row r="169">
      <c r="A169" s="67"/>
      <c r="B169" s="43">
        <f t="shared" si="2"/>
        <v>163</v>
      </c>
      <c r="C169" s="44" t="s">
        <v>856</v>
      </c>
      <c r="D169" s="44" t="s">
        <v>5</v>
      </c>
      <c r="E169" s="45" t="s">
        <v>56</v>
      </c>
      <c r="F169" s="44" t="s">
        <v>857</v>
      </c>
      <c r="G169" s="46" t="s">
        <v>18</v>
      </c>
      <c r="H169" s="47" t="s">
        <v>14</v>
      </c>
      <c r="I169" s="48"/>
      <c r="J169" s="52"/>
      <c r="K169" s="45" t="s">
        <v>858</v>
      </c>
      <c r="L169" s="45" t="s">
        <v>84</v>
      </c>
      <c r="M169" s="54" t="s">
        <v>113</v>
      </c>
      <c r="N169" s="49" t="s">
        <v>86</v>
      </c>
      <c r="O169" s="49" t="s">
        <v>556</v>
      </c>
      <c r="P169" s="49" t="s">
        <v>88</v>
      </c>
      <c r="Q169" s="61"/>
      <c r="R169" s="61"/>
      <c r="S169" s="61"/>
      <c r="T169" s="61" t="s">
        <v>92</v>
      </c>
      <c r="U169" s="67"/>
      <c r="V169" s="67"/>
      <c r="W169" s="67"/>
      <c r="X169" s="67"/>
      <c r="Y169" s="67"/>
      <c r="Z169" s="67"/>
      <c r="AA169" s="67"/>
      <c r="AB169" s="67"/>
      <c r="AC169" s="67"/>
      <c r="AD169" s="67"/>
      <c r="AE169" s="67"/>
      <c r="AF169" s="67"/>
    </row>
    <row r="170">
      <c r="A170" s="67"/>
      <c r="B170" s="43">
        <f t="shared" si="2"/>
        <v>164</v>
      </c>
      <c r="C170" s="44" t="s">
        <v>859</v>
      </c>
      <c r="D170" s="44" t="s">
        <v>5</v>
      </c>
      <c r="E170" s="45" t="s">
        <v>56</v>
      </c>
      <c r="F170" s="44" t="s">
        <v>860</v>
      </c>
      <c r="G170" s="46" t="s">
        <v>18</v>
      </c>
      <c r="H170" s="47" t="s">
        <v>14</v>
      </c>
      <c r="I170" s="48"/>
      <c r="J170" s="52"/>
      <c r="K170" s="45" t="s">
        <v>861</v>
      </c>
      <c r="L170" s="45" t="s">
        <v>84</v>
      </c>
      <c r="M170" s="54" t="s">
        <v>113</v>
      </c>
      <c r="N170" s="49" t="s">
        <v>86</v>
      </c>
      <c r="O170" s="49" t="s">
        <v>152</v>
      </c>
      <c r="P170" s="49" t="s">
        <v>88</v>
      </c>
      <c r="Q170" s="61"/>
      <c r="R170" s="61"/>
      <c r="S170" s="49" t="s">
        <v>862</v>
      </c>
      <c r="T170" s="49" t="s">
        <v>92</v>
      </c>
      <c r="U170" s="67"/>
      <c r="V170" s="67"/>
      <c r="W170" s="67"/>
      <c r="X170" s="67"/>
      <c r="Y170" s="67"/>
      <c r="Z170" s="67"/>
      <c r="AA170" s="67"/>
      <c r="AB170" s="67"/>
      <c r="AC170" s="67"/>
      <c r="AD170" s="67"/>
      <c r="AE170" s="67"/>
      <c r="AF170" s="67"/>
    </row>
    <row r="171">
      <c r="A171" s="67"/>
      <c r="B171" s="43">
        <f t="shared" si="2"/>
        <v>165</v>
      </c>
      <c r="C171" s="44" t="s">
        <v>863</v>
      </c>
      <c r="D171" s="44" t="s">
        <v>5</v>
      </c>
      <c r="E171" s="45" t="s">
        <v>56</v>
      </c>
      <c r="F171" s="44" t="s">
        <v>864</v>
      </c>
      <c r="G171" s="46" t="s">
        <v>18</v>
      </c>
      <c r="H171" s="47" t="s">
        <v>15</v>
      </c>
      <c r="I171" s="48"/>
      <c r="J171" s="52"/>
      <c r="K171" s="45" t="s">
        <v>865</v>
      </c>
      <c r="L171" s="45" t="s">
        <v>84</v>
      </c>
      <c r="M171" s="54" t="s">
        <v>113</v>
      </c>
      <c r="N171" s="49" t="s">
        <v>86</v>
      </c>
      <c r="O171" s="49" t="s">
        <v>131</v>
      </c>
      <c r="P171" s="49" t="s">
        <v>88</v>
      </c>
      <c r="Q171" s="61"/>
      <c r="R171" s="61"/>
      <c r="S171" s="61"/>
      <c r="T171" s="61" t="s">
        <v>92</v>
      </c>
      <c r="U171" s="67"/>
      <c r="V171" s="67"/>
      <c r="W171" s="67"/>
      <c r="X171" s="67"/>
      <c r="Y171" s="67"/>
      <c r="Z171" s="67"/>
      <c r="AA171" s="67"/>
      <c r="AB171" s="67"/>
      <c r="AC171" s="67"/>
      <c r="AD171" s="67"/>
      <c r="AE171" s="67"/>
      <c r="AF171" s="67"/>
    </row>
    <row r="172">
      <c r="A172" s="67"/>
      <c r="B172" s="43">
        <f t="shared" si="2"/>
        <v>166</v>
      </c>
      <c r="C172" s="44" t="s">
        <v>866</v>
      </c>
      <c r="D172" s="44" t="s">
        <v>5</v>
      </c>
      <c r="E172" s="45" t="s">
        <v>56</v>
      </c>
      <c r="F172" s="44" t="s">
        <v>867</v>
      </c>
      <c r="G172" s="46" t="s">
        <v>18</v>
      </c>
      <c r="H172" s="47" t="s">
        <v>14</v>
      </c>
      <c r="I172" s="48"/>
      <c r="J172" s="52"/>
      <c r="K172" s="45" t="s">
        <v>868</v>
      </c>
      <c r="L172" s="45" t="s">
        <v>84</v>
      </c>
      <c r="M172" s="54" t="s">
        <v>113</v>
      </c>
      <c r="N172" s="49" t="s">
        <v>86</v>
      </c>
      <c r="O172" s="49" t="s">
        <v>607</v>
      </c>
      <c r="P172" s="49" t="s">
        <v>88</v>
      </c>
      <c r="Q172" s="61"/>
      <c r="R172" s="61"/>
      <c r="S172" s="49" t="s">
        <v>869</v>
      </c>
      <c r="T172" s="49" t="s">
        <v>92</v>
      </c>
      <c r="U172" s="67"/>
      <c r="V172" s="67"/>
      <c r="W172" s="67"/>
      <c r="X172" s="67"/>
      <c r="Y172" s="67"/>
      <c r="Z172" s="67"/>
      <c r="AA172" s="67"/>
      <c r="AB172" s="67"/>
      <c r="AC172" s="67"/>
      <c r="AD172" s="67"/>
      <c r="AE172" s="67"/>
      <c r="AF172" s="67"/>
    </row>
    <row r="173">
      <c r="A173" s="67"/>
      <c r="B173" s="43">
        <f t="shared" si="2"/>
        <v>167</v>
      </c>
      <c r="C173" s="44" t="s">
        <v>870</v>
      </c>
      <c r="D173" s="44" t="s">
        <v>5</v>
      </c>
      <c r="E173" s="45" t="s">
        <v>56</v>
      </c>
      <c r="F173" s="44" t="s">
        <v>871</v>
      </c>
      <c r="G173" s="46" t="s">
        <v>18</v>
      </c>
      <c r="H173" s="47" t="s">
        <v>6</v>
      </c>
      <c r="I173" s="48"/>
      <c r="J173" s="52"/>
      <c r="K173" s="45" t="s">
        <v>872</v>
      </c>
      <c r="L173" s="45" t="s">
        <v>84</v>
      </c>
      <c r="M173" s="54" t="s">
        <v>113</v>
      </c>
      <c r="N173" s="49" t="s">
        <v>86</v>
      </c>
      <c r="O173" s="49" t="s">
        <v>873</v>
      </c>
      <c r="P173" s="49" t="s">
        <v>88</v>
      </c>
      <c r="Q173" s="61"/>
      <c r="R173" s="61"/>
      <c r="S173" s="61"/>
      <c r="T173" s="61" t="s">
        <v>92</v>
      </c>
      <c r="U173" s="67"/>
      <c r="V173" s="67"/>
      <c r="W173" s="67"/>
      <c r="X173" s="67"/>
      <c r="Y173" s="67"/>
      <c r="Z173" s="67"/>
      <c r="AA173" s="67"/>
      <c r="AB173" s="67"/>
      <c r="AC173" s="67"/>
      <c r="AD173" s="67"/>
      <c r="AE173" s="67"/>
      <c r="AF173" s="67"/>
    </row>
    <row r="174">
      <c r="A174" s="67"/>
      <c r="B174" s="43">
        <f t="shared" si="2"/>
        <v>168</v>
      </c>
      <c r="C174" s="44" t="s">
        <v>874</v>
      </c>
      <c r="D174" s="44" t="s">
        <v>5</v>
      </c>
      <c r="E174" s="45" t="s">
        <v>56</v>
      </c>
      <c r="F174" s="44" t="s">
        <v>875</v>
      </c>
      <c r="G174" s="46" t="s">
        <v>18</v>
      </c>
      <c r="H174" s="47" t="s">
        <v>28</v>
      </c>
      <c r="I174" s="48"/>
      <c r="J174" s="52"/>
      <c r="K174" s="45" t="s">
        <v>876</v>
      </c>
      <c r="L174" s="52" t="s">
        <v>877</v>
      </c>
      <c r="M174" s="54" t="s">
        <v>113</v>
      </c>
      <c r="N174" s="49" t="s">
        <v>86</v>
      </c>
      <c r="O174" s="49" t="s">
        <v>878</v>
      </c>
      <c r="P174" s="49" t="s">
        <v>88</v>
      </c>
      <c r="Q174" s="61"/>
      <c r="R174" s="61"/>
      <c r="S174" s="61"/>
      <c r="T174" s="61" t="s">
        <v>92</v>
      </c>
      <c r="U174" s="67"/>
      <c r="V174" s="67"/>
      <c r="W174" s="67"/>
      <c r="X174" s="67"/>
      <c r="Y174" s="67"/>
      <c r="Z174" s="67"/>
      <c r="AA174" s="67"/>
      <c r="AB174" s="67"/>
      <c r="AC174" s="67"/>
      <c r="AD174" s="67"/>
      <c r="AE174" s="67"/>
      <c r="AF174" s="67"/>
    </row>
    <row r="175">
      <c r="A175" s="67"/>
      <c r="B175" s="43">
        <f t="shared" si="2"/>
        <v>169</v>
      </c>
      <c r="C175" s="44" t="s">
        <v>879</v>
      </c>
      <c r="D175" s="44" t="s">
        <v>5</v>
      </c>
      <c r="E175" s="45" t="s">
        <v>56</v>
      </c>
      <c r="F175" s="44" t="s">
        <v>880</v>
      </c>
      <c r="G175" s="46" t="s">
        <v>18</v>
      </c>
      <c r="H175" s="47" t="s">
        <v>6</v>
      </c>
      <c r="I175" s="48"/>
      <c r="J175" s="52"/>
      <c r="K175" s="45" t="s">
        <v>881</v>
      </c>
      <c r="L175" s="45" t="s">
        <v>429</v>
      </c>
      <c r="M175" s="54" t="s">
        <v>113</v>
      </c>
      <c r="N175" s="49" t="s">
        <v>86</v>
      </c>
      <c r="O175" s="49" t="s">
        <v>882</v>
      </c>
      <c r="P175" s="49" t="s">
        <v>88</v>
      </c>
      <c r="Q175" s="61"/>
      <c r="R175" s="61"/>
      <c r="S175" s="61"/>
      <c r="T175" s="61" t="s">
        <v>92</v>
      </c>
      <c r="U175" s="67"/>
      <c r="V175" s="67"/>
      <c r="W175" s="67"/>
      <c r="X175" s="67"/>
      <c r="Y175" s="67"/>
      <c r="Z175" s="67"/>
      <c r="AA175" s="67"/>
      <c r="AB175" s="67"/>
      <c r="AC175" s="67"/>
      <c r="AD175" s="67"/>
      <c r="AE175" s="67"/>
      <c r="AF175" s="67"/>
    </row>
    <row r="176">
      <c r="A176" s="67"/>
      <c r="B176" s="43">
        <f t="shared" si="2"/>
        <v>170</v>
      </c>
      <c r="C176" s="44" t="s">
        <v>883</v>
      </c>
      <c r="D176" s="44" t="s">
        <v>5</v>
      </c>
      <c r="E176" s="45" t="s">
        <v>56</v>
      </c>
      <c r="F176" s="44" t="s">
        <v>884</v>
      </c>
      <c r="G176" s="46" t="s">
        <v>18</v>
      </c>
      <c r="H176" s="47" t="s">
        <v>14</v>
      </c>
      <c r="I176" s="48"/>
      <c r="J176" s="52"/>
      <c r="K176" s="45" t="s">
        <v>885</v>
      </c>
      <c r="L176" s="45" t="s">
        <v>84</v>
      </c>
      <c r="M176" s="54" t="s">
        <v>113</v>
      </c>
      <c r="N176" s="49" t="s">
        <v>86</v>
      </c>
      <c r="O176" s="49" t="s">
        <v>886</v>
      </c>
      <c r="P176" s="49" t="s">
        <v>88</v>
      </c>
      <c r="Q176" s="61"/>
      <c r="R176" s="61"/>
      <c r="S176" s="61"/>
      <c r="T176" s="61" t="s">
        <v>92</v>
      </c>
      <c r="U176" s="67"/>
      <c r="V176" s="67"/>
      <c r="W176" s="67"/>
      <c r="X176" s="67"/>
      <c r="Y176" s="67"/>
      <c r="Z176" s="67"/>
      <c r="AA176" s="67"/>
      <c r="AB176" s="67"/>
      <c r="AC176" s="67"/>
      <c r="AD176" s="67"/>
      <c r="AE176" s="67"/>
      <c r="AF176" s="67"/>
    </row>
    <row r="177">
      <c r="A177" s="67"/>
      <c r="B177" s="43">
        <f t="shared" si="2"/>
        <v>171</v>
      </c>
      <c r="C177" s="44" t="s">
        <v>887</v>
      </c>
      <c r="D177" s="44" t="s">
        <v>5</v>
      </c>
      <c r="E177" s="45" t="s">
        <v>56</v>
      </c>
      <c r="F177" s="44" t="s">
        <v>888</v>
      </c>
      <c r="G177" s="46" t="s">
        <v>18</v>
      </c>
      <c r="H177" s="47" t="s">
        <v>14</v>
      </c>
      <c r="I177" s="48"/>
      <c r="J177" s="52"/>
      <c r="K177" s="45" t="s">
        <v>889</v>
      </c>
      <c r="L177" s="45" t="s">
        <v>84</v>
      </c>
      <c r="M177" s="54" t="s">
        <v>113</v>
      </c>
      <c r="N177" s="49" t="s">
        <v>86</v>
      </c>
      <c r="O177" s="49" t="s">
        <v>152</v>
      </c>
      <c r="P177" s="49" t="s">
        <v>88</v>
      </c>
      <c r="Q177" s="61"/>
      <c r="R177" s="61"/>
      <c r="S177" s="61"/>
      <c r="T177" s="61" t="s">
        <v>92</v>
      </c>
      <c r="U177" s="67"/>
      <c r="V177" s="67"/>
      <c r="W177" s="67"/>
      <c r="X177" s="67"/>
      <c r="Y177" s="67"/>
      <c r="Z177" s="67"/>
      <c r="AA177" s="67"/>
      <c r="AB177" s="67"/>
      <c r="AC177" s="67"/>
      <c r="AD177" s="67"/>
      <c r="AE177" s="67"/>
      <c r="AF177" s="67"/>
    </row>
    <row r="178">
      <c r="A178" s="67"/>
      <c r="B178" s="43">
        <f t="shared" si="2"/>
        <v>172</v>
      </c>
      <c r="C178" s="44" t="s">
        <v>890</v>
      </c>
      <c r="D178" s="44" t="s">
        <v>11</v>
      </c>
      <c r="E178" s="45" t="s">
        <v>53</v>
      </c>
      <c r="F178" s="44" t="s">
        <v>891</v>
      </c>
      <c r="G178" s="46" t="s">
        <v>22</v>
      </c>
      <c r="H178" s="47" t="s">
        <v>17</v>
      </c>
      <c r="I178" s="48" t="s">
        <v>42</v>
      </c>
      <c r="J178" s="45" t="s">
        <v>892</v>
      </c>
      <c r="K178" s="45" t="s">
        <v>893</v>
      </c>
      <c r="L178" s="45" t="s">
        <v>894</v>
      </c>
      <c r="M178" s="54" t="s">
        <v>85</v>
      </c>
      <c r="N178" s="49" t="s">
        <v>114</v>
      </c>
      <c r="O178" s="49" t="s">
        <v>895</v>
      </c>
      <c r="P178" s="49" t="s">
        <v>132</v>
      </c>
      <c r="Q178" s="61"/>
      <c r="R178" s="61"/>
      <c r="S178" s="49" t="s">
        <v>896</v>
      </c>
      <c r="T178" s="49" t="s">
        <v>92</v>
      </c>
      <c r="U178" s="67"/>
      <c r="V178" s="67"/>
      <c r="W178" s="67"/>
      <c r="X178" s="67"/>
      <c r="Y178" s="67"/>
      <c r="Z178" s="67"/>
      <c r="AA178" s="67"/>
      <c r="AB178" s="67"/>
      <c r="AC178" s="67"/>
      <c r="AD178" s="67"/>
      <c r="AE178" s="67"/>
      <c r="AF178" s="67"/>
    </row>
    <row r="179">
      <c r="A179" s="67"/>
      <c r="B179" s="43">
        <f t="shared" si="2"/>
        <v>173</v>
      </c>
      <c r="C179" s="44" t="s">
        <v>897</v>
      </c>
      <c r="D179" s="44" t="s">
        <v>7</v>
      </c>
      <c r="E179" s="45" t="s">
        <v>53</v>
      </c>
      <c r="F179" s="44" t="s">
        <v>898</v>
      </c>
      <c r="G179" s="46" t="s">
        <v>20</v>
      </c>
      <c r="H179" s="47" t="s">
        <v>17</v>
      </c>
      <c r="I179" s="48"/>
      <c r="J179" s="52"/>
      <c r="K179" s="45" t="s">
        <v>899</v>
      </c>
      <c r="L179" s="45" t="s">
        <v>159</v>
      </c>
      <c r="M179" s="54" t="s">
        <v>113</v>
      </c>
      <c r="N179" s="49" t="s">
        <v>123</v>
      </c>
      <c r="O179" s="49" t="s">
        <v>87</v>
      </c>
      <c r="P179" s="49" t="s">
        <v>132</v>
      </c>
      <c r="Q179" s="61"/>
      <c r="R179" s="61"/>
      <c r="S179" s="61"/>
      <c r="T179" s="61" t="s">
        <v>92</v>
      </c>
      <c r="U179" s="67"/>
      <c r="V179" s="67"/>
      <c r="W179" s="67"/>
      <c r="X179" s="67"/>
      <c r="Y179" s="67"/>
      <c r="Z179" s="67"/>
      <c r="AA179" s="67"/>
      <c r="AB179" s="67"/>
      <c r="AC179" s="67"/>
      <c r="AD179" s="67"/>
      <c r="AE179" s="67"/>
      <c r="AF179" s="67"/>
    </row>
    <row r="180">
      <c r="A180" s="67"/>
      <c r="B180" s="43">
        <f t="shared" si="2"/>
        <v>174</v>
      </c>
      <c r="C180" s="44" t="s">
        <v>900</v>
      </c>
      <c r="D180" s="44" t="s">
        <v>4</v>
      </c>
      <c r="E180" s="45" t="s">
        <v>47</v>
      </c>
      <c r="F180" s="44" t="s">
        <v>901</v>
      </c>
      <c r="G180" s="46" t="s">
        <v>20</v>
      </c>
      <c r="H180" s="47" t="s">
        <v>17</v>
      </c>
      <c r="I180" s="48"/>
      <c r="J180" s="52"/>
      <c r="K180" s="45" t="s">
        <v>902</v>
      </c>
      <c r="L180" s="45" t="s">
        <v>159</v>
      </c>
      <c r="M180" s="54" t="s">
        <v>113</v>
      </c>
      <c r="N180" s="49" t="s">
        <v>123</v>
      </c>
      <c r="O180" s="49" t="s">
        <v>87</v>
      </c>
      <c r="P180" s="49" t="s">
        <v>132</v>
      </c>
      <c r="Q180" s="61"/>
      <c r="R180" s="61"/>
      <c r="S180" s="61"/>
      <c r="T180" s="61" t="s">
        <v>92</v>
      </c>
      <c r="U180" s="67"/>
      <c r="V180" s="67"/>
      <c r="W180" s="67"/>
      <c r="X180" s="67"/>
      <c r="Y180" s="67"/>
      <c r="Z180" s="67"/>
      <c r="AA180" s="67"/>
      <c r="AB180" s="67"/>
      <c r="AC180" s="67"/>
      <c r="AD180" s="67"/>
      <c r="AE180" s="67"/>
      <c r="AF180" s="67"/>
    </row>
    <row r="181">
      <c r="A181" s="67"/>
      <c r="B181" s="43">
        <f t="shared" si="2"/>
        <v>175</v>
      </c>
      <c r="C181" s="44" t="s">
        <v>903</v>
      </c>
      <c r="D181" s="44" t="s">
        <v>4</v>
      </c>
      <c r="E181" s="45" t="s">
        <v>47</v>
      </c>
      <c r="F181" s="44" t="s">
        <v>904</v>
      </c>
      <c r="G181" s="46" t="s">
        <v>20</v>
      </c>
      <c r="H181" s="47" t="s">
        <v>17</v>
      </c>
      <c r="I181" s="48"/>
      <c r="J181" s="52"/>
      <c r="K181" s="45" t="s">
        <v>905</v>
      </c>
      <c r="L181" s="45" t="s">
        <v>906</v>
      </c>
      <c r="M181" s="54" t="s">
        <v>85</v>
      </c>
      <c r="N181" s="49" t="s">
        <v>123</v>
      </c>
      <c r="O181" s="49" t="s">
        <v>209</v>
      </c>
      <c r="P181" s="49" t="s">
        <v>105</v>
      </c>
      <c r="Q181" s="61"/>
      <c r="R181" s="61"/>
      <c r="S181" s="61"/>
      <c r="T181" s="61" t="s">
        <v>92</v>
      </c>
      <c r="U181" s="67"/>
      <c r="V181" s="67"/>
      <c r="W181" s="67"/>
      <c r="X181" s="67"/>
      <c r="Y181" s="67"/>
      <c r="Z181" s="67"/>
      <c r="AA181" s="67"/>
      <c r="AB181" s="67"/>
      <c r="AC181" s="67"/>
      <c r="AD181" s="67"/>
      <c r="AE181" s="67"/>
      <c r="AF181" s="67"/>
    </row>
    <row r="182">
      <c r="A182" s="67"/>
      <c r="B182" s="43">
        <f t="shared" si="2"/>
        <v>176</v>
      </c>
      <c r="C182" s="44" t="s">
        <v>907</v>
      </c>
      <c r="D182" s="44" t="s">
        <v>4</v>
      </c>
      <c r="E182" s="45" t="s">
        <v>51</v>
      </c>
      <c r="F182" s="44" t="s">
        <v>908</v>
      </c>
      <c r="G182" s="46" t="s">
        <v>18</v>
      </c>
      <c r="H182" s="47" t="s">
        <v>28</v>
      </c>
      <c r="I182" s="48" t="s">
        <v>36</v>
      </c>
      <c r="J182" s="68"/>
      <c r="K182" s="45" t="s">
        <v>909</v>
      </c>
      <c r="L182" s="45" t="s">
        <v>208</v>
      </c>
      <c r="M182" s="54" t="s">
        <v>113</v>
      </c>
      <c r="N182" s="49" t="s">
        <v>123</v>
      </c>
      <c r="O182" s="49" t="s">
        <v>87</v>
      </c>
      <c r="P182" s="45" t="s">
        <v>132</v>
      </c>
      <c r="Q182" s="61"/>
      <c r="R182" s="61"/>
      <c r="S182" s="45" t="s">
        <v>910</v>
      </c>
      <c r="T182" s="45" t="s">
        <v>911</v>
      </c>
      <c r="U182" s="67"/>
      <c r="V182" s="67"/>
      <c r="W182" s="67"/>
      <c r="X182" s="67"/>
      <c r="Y182" s="67"/>
      <c r="Z182" s="67"/>
      <c r="AA182" s="67"/>
      <c r="AB182" s="67"/>
      <c r="AC182" s="67"/>
      <c r="AD182" s="67"/>
      <c r="AE182" s="67"/>
      <c r="AF182" s="67"/>
    </row>
    <row r="183">
      <c r="A183" s="67"/>
      <c r="B183" s="43">
        <f t="shared" si="2"/>
        <v>177</v>
      </c>
      <c r="C183" s="44" t="s">
        <v>912</v>
      </c>
      <c r="D183" s="44" t="s">
        <v>7</v>
      </c>
      <c r="E183" s="45" t="s">
        <v>51</v>
      </c>
      <c r="F183" s="44" t="s">
        <v>913</v>
      </c>
      <c r="G183" s="46" t="s">
        <v>20</v>
      </c>
      <c r="H183" s="47" t="s">
        <v>17</v>
      </c>
      <c r="I183" s="48"/>
      <c r="J183" s="52"/>
      <c r="K183" s="45" t="s">
        <v>914</v>
      </c>
      <c r="L183" s="45" t="s">
        <v>166</v>
      </c>
      <c r="M183" s="54" t="s">
        <v>85</v>
      </c>
      <c r="N183" s="49" t="s">
        <v>123</v>
      </c>
      <c r="O183" s="49" t="s">
        <v>131</v>
      </c>
      <c r="P183" s="49" t="s">
        <v>132</v>
      </c>
      <c r="Q183" s="61"/>
      <c r="R183" s="61"/>
      <c r="S183" s="49" t="s">
        <v>915</v>
      </c>
      <c r="T183" s="45" t="s">
        <v>916</v>
      </c>
      <c r="U183" s="67"/>
      <c r="V183" s="67"/>
      <c r="W183" s="67"/>
      <c r="X183" s="67"/>
      <c r="Y183" s="67"/>
      <c r="Z183" s="67"/>
      <c r="AA183" s="67"/>
      <c r="AB183" s="67"/>
      <c r="AC183" s="67"/>
      <c r="AD183" s="67"/>
      <c r="AE183" s="67"/>
      <c r="AF183" s="67"/>
    </row>
    <row r="184">
      <c r="A184" s="67"/>
      <c r="B184" s="43">
        <f t="shared" si="2"/>
        <v>178</v>
      </c>
      <c r="C184" s="44" t="s">
        <v>917</v>
      </c>
      <c r="D184" s="44" t="s">
        <v>4</v>
      </c>
      <c r="E184" s="45" t="s">
        <v>47</v>
      </c>
      <c r="F184" s="44" t="s">
        <v>918</v>
      </c>
      <c r="G184" s="46" t="s">
        <v>20</v>
      </c>
      <c r="H184" s="47" t="s">
        <v>27</v>
      </c>
      <c r="I184" s="48" t="s">
        <v>40</v>
      </c>
      <c r="J184" s="45" t="s">
        <v>250</v>
      </c>
      <c r="K184" s="45" t="s">
        <v>919</v>
      </c>
      <c r="L184" s="45" t="s">
        <v>530</v>
      </c>
      <c r="M184" s="54" t="s">
        <v>113</v>
      </c>
      <c r="N184" s="49" t="s">
        <v>114</v>
      </c>
      <c r="O184" s="49" t="s">
        <v>131</v>
      </c>
      <c r="P184" s="49" t="s">
        <v>132</v>
      </c>
      <c r="Q184" s="61"/>
      <c r="R184" s="61"/>
      <c r="S184" s="61"/>
      <c r="T184" s="61" t="s">
        <v>92</v>
      </c>
      <c r="U184" s="67"/>
      <c r="V184" s="67"/>
      <c r="W184" s="67"/>
      <c r="X184" s="67"/>
      <c r="Y184" s="67"/>
      <c r="Z184" s="67"/>
      <c r="AA184" s="67"/>
      <c r="AB184" s="67"/>
      <c r="AC184" s="67"/>
      <c r="AD184" s="67"/>
      <c r="AE184" s="67"/>
      <c r="AF184" s="67"/>
    </row>
    <row r="185">
      <c r="A185" s="67"/>
      <c r="B185" s="43">
        <f t="shared" si="2"/>
        <v>179</v>
      </c>
      <c r="C185" s="44" t="s">
        <v>920</v>
      </c>
      <c r="D185" s="44" t="s">
        <v>4</v>
      </c>
      <c r="E185" s="45" t="s">
        <v>47</v>
      </c>
      <c r="F185" s="44" t="s">
        <v>921</v>
      </c>
      <c r="G185" s="46" t="s">
        <v>20</v>
      </c>
      <c r="H185" s="47" t="s">
        <v>27</v>
      </c>
      <c r="I185" s="48" t="s">
        <v>42</v>
      </c>
      <c r="J185" s="45"/>
      <c r="K185" s="45" t="s">
        <v>922</v>
      </c>
      <c r="L185" s="45" t="s">
        <v>530</v>
      </c>
      <c r="M185" s="54" t="s">
        <v>113</v>
      </c>
      <c r="N185" s="49" t="s">
        <v>114</v>
      </c>
      <c r="O185" s="49" t="s">
        <v>131</v>
      </c>
      <c r="P185" s="49" t="s">
        <v>132</v>
      </c>
      <c r="Q185" s="61"/>
      <c r="R185" s="61"/>
      <c r="S185" s="61"/>
      <c r="T185" s="61" t="s">
        <v>92</v>
      </c>
      <c r="U185" s="67"/>
      <c r="V185" s="67"/>
      <c r="W185" s="67"/>
      <c r="X185" s="67"/>
      <c r="Y185" s="67"/>
      <c r="Z185" s="67"/>
      <c r="AA185" s="67"/>
      <c r="AB185" s="67"/>
      <c r="AC185" s="67"/>
      <c r="AD185" s="67"/>
      <c r="AE185" s="67"/>
      <c r="AF185" s="67"/>
    </row>
    <row r="186">
      <c r="A186" s="67"/>
      <c r="B186" s="43">
        <f t="shared" si="2"/>
        <v>180</v>
      </c>
      <c r="C186" s="44" t="s">
        <v>923</v>
      </c>
      <c r="D186" s="44" t="s">
        <v>4</v>
      </c>
      <c r="E186" s="45" t="s">
        <v>47</v>
      </c>
      <c r="F186" s="44" t="s">
        <v>924</v>
      </c>
      <c r="G186" s="46" t="s">
        <v>20</v>
      </c>
      <c r="H186" s="47" t="s">
        <v>27</v>
      </c>
      <c r="I186" s="48"/>
      <c r="J186" s="52"/>
      <c r="K186" s="45" t="s">
        <v>925</v>
      </c>
      <c r="L186" s="45" t="s">
        <v>530</v>
      </c>
      <c r="M186" s="54" t="s">
        <v>113</v>
      </c>
      <c r="N186" s="49" t="s">
        <v>114</v>
      </c>
      <c r="O186" s="49" t="s">
        <v>131</v>
      </c>
      <c r="P186" s="49" t="s">
        <v>132</v>
      </c>
      <c r="Q186" s="61"/>
      <c r="R186" s="61"/>
      <c r="S186" s="61"/>
      <c r="T186" s="61" t="s">
        <v>92</v>
      </c>
      <c r="U186" s="67"/>
      <c r="V186" s="67"/>
      <c r="W186" s="67"/>
      <c r="X186" s="67"/>
      <c r="Y186" s="67"/>
      <c r="Z186" s="67"/>
      <c r="AA186" s="67"/>
      <c r="AB186" s="67"/>
      <c r="AC186" s="67"/>
      <c r="AD186" s="67"/>
      <c r="AE186" s="67"/>
      <c r="AF186" s="67"/>
    </row>
    <row r="187">
      <c r="A187" s="67"/>
      <c r="B187" s="43">
        <f t="shared" si="2"/>
        <v>181</v>
      </c>
      <c r="C187" s="44" t="s">
        <v>926</v>
      </c>
      <c r="D187" s="44" t="s">
        <v>4</v>
      </c>
      <c r="E187" s="45" t="s">
        <v>47</v>
      </c>
      <c r="F187" s="44" t="s">
        <v>927</v>
      </c>
      <c r="G187" s="46" t="s">
        <v>20</v>
      </c>
      <c r="H187" s="47" t="s">
        <v>27</v>
      </c>
      <c r="I187" s="48"/>
      <c r="J187" s="52"/>
      <c r="K187" s="45" t="s">
        <v>928</v>
      </c>
      <c r="L187" s="45" t="s">
        <v>530</v>
      </c>
      <c r="M187" s="54" t="s">
        <v>113</v>
      </c>
      <c r="N187" s="49" t="s">
        <v>114</v>
      </c>
      <c r="O187" s="49" t="s">
        <v>131</v>
      </c>
      <c r="P187" s="49" t="s">
        <v>132</v>
      </c>
      <c r="Q187" s="61"/>
      <c r="R187" s="61"/>
      <c r="S187" s="61"/>
      <c r="T187" s="61" t="s">
        <v>92</v>
      </c>
      <c r="U187" s="67"/>
      <c r="V187" s="67"/>
      <c r="W187" s="67"/>
      <c r="X187" s="67"/>
      <c r="Y187" s="67"/>
      <c r="Z187" s="67"/>
      <c r="AA187" s="67"/>
      <c r="AB187" s="67"/>
      <c r="AC187" s="67"/>
      <c r="AD187" s="67"/>
      <c r="AE187" s="67"/>
      <c r="AF187" s="67"/>
    </row>
    <row r="188">
      <c r="A188" s="67"/>
      <c r="B188" s="43">
        <f t="shared" si="2"/>
        <v>182</v>
      </c>
      <c r="C188" s="44" t="s">
        <v>929</v>
      </c>
      <c r="D188" s="44" t="s">
        <v>4</v>
      </c>
      <c r="E188" s="45" t="s">
        <v>63</v>
      </c>
      <c r="F188" s="44" t="s">
        <v>930</v>
      </c>
      <c r="G188" s="46" t="s">
        <v>20</v>
      </c>
      <c r="H188" s="47" t="s">
        <v>27</v>
      </c>
      <c r="I188" s="48"/>
      <c r="J188" s="52"/>
      <c r="K188" s="45" t="s">
        <v>931</v>
      </c>
      <c r="L188" s="52" t="s">
        <v>480</v>
      </c>
      <c r="M188" s="54" t="s">
        <v>113</v>
      </c>
      <c r="N188" s="49" t="s">
        <v>114</v>
      </c>
      <c r="O188" s="49" t="s">
        <v>87</v>
      </c>
      <c r="P188" s="49" t="s">
        <v>132</v>
      </c>
      <c r="Q188" s="61"/>
      <c r="R188" s="61"/>
      <c r="S188" s="61"/>
      <c r="T188" s="61" t="s">
        <v>92</v>
      </c>
      <c r="U188" s="67"/>
      <c r="V188" s="67"/>
      <c r="W188" s="67"/>
      <c r="X188" s="67"/>
      <c r="Y188" s="67"/>
      <c r="Z188" s="67"/>
      <c r="AA188" s="67"/>
      <c r="AB188" s="67"/>
      <c r="AC188" s="67"/>
      <c r="AD188" s="67"/>
      <c r="AE188" s="67"/>
      <c r="AF188" s="67"/>
    </row>
    <row r="189">
      <c r="A189" s="67"/>
      <c r="B189" s="43">
        <f t="shared" si="2"/>
        <v>183</v>
      </c>
      <c r="C189" s="44" t="s">
        <v>932</v>
      </c>
      <c r="D189" s="44" t="s">
        <v>11</v>
      </c>
      <c r="E189" s="45" t="s">
        <v>43</v>
      </c>
      <c r="F189" s="44" t="s">
        <v>933</v>
      </c>
      <c r="G189" s="46" t="s">
        <v>22</v>
      </c>
      <c r="H189" s="47" t="s">
        <v>17</v>
      </c>
      <c r="I189" s="60" t="s">
        <v>40</v>
      </c>
      <c r="J189" s="45" t="s">
        <v>892</v>
      </c>
      <c r="K189" s="45" t="s">
        <v>934</v>
      </c>
      <c r="L189" s="45" t="s">
        <v>894</v>
      </c>
      <c r="M189" s="54" t="s">
        <v>113</v>
      </c>
      <c r="N189" s="49" t="s">
        <v>114</v>
      </c>
      <c r="O189" s="49" t="s">
        <v>935</v>
      </c>
      <c r="P189" s="49" t="s">
        <v>105</v>
      </c>
      <c r="Q189" s="61"/>
      <c r="R189" s="61"/>
      <c r="S189" s="61"/>
      <c r="T189" s="61" t="s">
        <v>92</v>
      </c>
      <c r="U189" s="67"/>
      <c r="V189" s="67"/>
      <c r="W189" s="67"/>
      <c r="X189" s="67"/>
      <c r="Y189" s="67"/>
      <c r="Z189" s="67"/>
      <c r="AA189" s="67"/>
      <c r="AB189" s="67"/>
      <c r="AC189" s="67"/>
      <c r="AD189" s="67"/>
      <c r="AE189" s="67"/>
      <c r="AF189" s="67"/>
    </row>
    <row r="190">
      <c r="A190" s="67"/>
      <c r="B190" s="43">
        <f t="shared" si="2"/>
        <v>184</v>
      </c>
      <c r="C190" s="44" t="s">
        <v>936</v>
      </c>
      <c r="D190" s="44" t="s">
        <v>4</v>
      </c>
      <c r="E190" s="45" t="s">
        <v>47</v>
      </c>
      <c r="F190" s="44" t="s">
        <v>937</v>
      </c>
      <c r="G190" s="46" t="s">
        <v>20</v>
      </c>
      <c r="H190" s="47" t="s">
        <v>27</v>
      </c>
      <c r="I190" s="48"/>
      <c r="J190" s="52"/>
      <c r="K190" s="45" t="s">
        <v>938</v>
      </c>
      <c r="L190" s="45" t="s">
        <v>530</v>
      </c>
      <c r="M190" s="54" t="s">
        <v>113</v>
      </c>
      <c r="N190" s="49" t="s">
        <v>114</v>
      </c>
      <c r="O190" s="49" t="s">
        <v>209</v>
      </c>
      <c r="P190" s="49" t="s">
        <v>132</v>
      </c>
      <c r="Q190" s="61"/>
      <c r="R190" s="61"/>
      <c r="S190" s="61"/>
      <c r="T190" s="61" t="s">
        <v>92</v>
      </c>
      <c r="U190" s="67"/>
      <c r="V190" s="67"/>
      <c r="W190" s="67"/>
      <c r="X190" s="67"/>
      <c r="Y190" s="67"/>
      <c r="Z190" s="67"/>
      <c r="AA190" s="67"/>
      <c r="AB190" s="67"/>
      <c r="AC190" s="67"/>
      <c r="AD190" s="67"/>
      <c r="AE190" s="67"/>
      <c r="AF190" s="67"/>
    </row>
    <row r="191">
      <c r="A191" s="67"/>
      <c r="B191" s="43">
        <f t="shared" si="2"/>
        <v>185</v>
      </c>
      <c r="C191" s="44" t="s">
        <v>939</v>
      </c>
      <c r="D191" s="44" t="s">
        <v>9</v>
      </c>
      <c r="E191" s="45" t="s">
        <v>57</v>
      </c>
      <c r="F191" s="44" t="s">
        <v>940</v>
      </c>
      <c r="G191" s="46" t="s">
        <v>20</v>
      </c>
      <c r="H191" s="47" t="s">
        <v>27</v>
      </c>
      <c r="I191" s="60" t="s">
        <v>40</v>
      </c>
      <c r="J191" s="45" t="s">
        <v>250</v>
      </c>
      <c r="K191" s="45" t="s">
        <v>941</v>
      </c>
      <c r="L191" s="52" t="s">
        <v>417</v>
      </c>
      <c r="M191" s="54" t="s">
        <v>253</v>
      </c>
      <c r="N191" s="49" t="s">
        <v>86</v>
      </c>
      <c r="O191" s="49" t="s">
        <v>942</v>
      </c>
      <c r="P191" s="45" t="s">
        <v>88</v>
      </c>
      <c r="Q191" s="49" t="s">
        <v>943</v>
      </c>
      <c r="R191" s="55" t="s">
        <v>944</v>
      </c>
      <c r="S191" s="45" t="s">
        <v>945</v>
      </c>
      <c r="T191" s="45" t="s">
        <v>92</v>
      </c>
      <c r="U191" s="67"/>
      <c r="V191" s="67"/>
      <c r="W191" s="67"/>
      <c r="X191" s="67"/>
      <c r="Y191" s="67"/>
      <c r="Z191" s="67"/>
      <c r="AA191" s="67"/>
      <c r="AB191" s="67"/>
      <c r="AC191" s="67"/>
      <c r="AD191" s="67"/>
      <c r="AE191" s="67"/>
      <c r="AF191" s="67"/>
    </row>
    <row r="192">
      <c r="A192" s="67"/>
      <c r="B192" s="43">
        <f t="shared" si="2"/>
        <v>186</v>
      </c>
      <c r="C192" s="44" t="s">
        <v>946</v>
      </c>
      <c r="D192" s="44" t="s">
        <v>9</v>
      </c>
      <c r="E192" s="45" t="s">
        <v>58</v>
      </c>
      <c r="F192" s="44" t="s">
        <v>947</v>
      </c>
      <c r="G192" s="46" t="s">
        <v>18</v>
      </c>
      <c r="H192" s="47" t="s">
        <v>27</v>
      </c>
      <c r="I192" s="60" t="s">
        <v>40</v>
      </c>
      <c r="J192" s="45" t="s">
        <v>250</v>
      </c>
      <c r="K192" s="45" t="s">
        <v>948</v>
      </c>
      <c r="L192" s="52" t="s">
        <v>417</v>
      </c>
      <c r="M192" s="54" t="s">
        <v>253</v>
      </c>
      <c r="N192" s="49" t="s">
        <v>86</v>
      </c>
      <c r="O192" s="49" t="s">
        <v>87</v>
      </c>
      <c r="P192" s="49" t="s">
        <v>88</v>
      </c>
      <c r="Q192" s="61"/>
      <c r="R192" s="61"/>
      <c r="S192" s="61"/>
      <c r="T192" s="61" t="s">
        <v>92</v>
      </c>
      <c r="U192" s="67"/>
      <c r="V192" s="67"/>
      <c r="W192" s="67"/>
      <c r="X192" s="67"/>
      <c r="Y192" s="67"/>
      <c r="Z192" s="67"/>
      <c r="AA192" s="67"/>
      <c r="AB192" s="67"/>
      <c r="AC192" s="67"/>
      <c r="AD192" s="67"/>
      <c r="AE192" s="67"/>
      <c r="AF192" s="67"/>
    </row>
    <row r="193">
      <c r="A193" s="67"/>
      <c r="B193" s="43">
        <f t="shared" si="2"/>
        <v>187</v>
      </c>
      <c r="C193" s="44" t="s">
        <v>949</v>
      </c>
      <c r="D193" s="44" t="s">
        <v>9</v>
      </c>
      <c r="E193" s="45" t="s">
        <v>57</v>
      </c>
      <c r="F193" s="44" t="s">
        <v>950</v>
      </c>
      <c r="G193" s="46" t="s">
        <v>20</v>
      </c>
      <c r="H193" s="47" t="s">
        <v>27</v>
      </c>
      <c r="I193" s="48"/>
      <c r="J193" s="52"/>
      <c r="K193" s="45" t="s">
        <v>951</v>
      </c>
      <c r="L193" s="52" t="s">
        <v>417</v>
      </c>
      <c r="M193" s="54" t="s">
        <v>253</v>
      </c>
      <c r="N193" s="49" t="s">
        <v>86</v>
      </c>
      <c r="O193" s="49" t="s">
        <v>87</v>
      </c>
      <c r="P193" s="49" t="s">
        <v>88</v>
      </c>
      <c r="Q193" s="61"/>
      <c r="R193" s="61"/>
      <c r="S193" s="61"/>
      <c r="T193" s="61" t="s">
        <v>92</v>
      </c>
      <c r="U193" s="67"/>
      <c r="V193" s="67"/>
      <c r="W193" s="67"/>
      <c r="X193" s="67"/>
      <c r="Y193" s="67"/>
      <c r="Z193" s="67"/>
      <c r="AA193" s="67"/>
      <c r="AB193" s="67"/>
      <c r="AC193" s="67"/>
      <c r="AD193" s="67"/>
      <c r="AE193" s="67"/>
      <c r="AF193" s="67"/>
    </row>
    <row r="194">
      <c r="A194" s="67"/>
      <c r="B194" s="43">
        <f t="shared" si="2"/>
        <v>188</v>
      </c>
      <c r="C194" s="44" t="s">
        <v>952</v>
      </c>
      <c r="D194" s="44" t="s">
        <v>9</v>
      </c>
      <c r="E194" s="45" t="s">
        <v>57</v>
      </c>
      <c r="F194" s="44" t="s">
        <v>953</v>
      </c>
      <c r="G194" s="46" t="s">
        <v>18</v>
      </c>
      <c r="H194" s="47" t="s">
        <v>27</v>
      </c>
      <c r="I194" s="48"/>
      <c r="J194" s="52"/>
      <c r="K194" s="45" t="s">
        <v>954</v>
      </c>
      <c r="L194" s="45" t="s">
        <v>252</v>
      </c>
      <c r="M194" s="54" t="s">
        <v>253</v>
      </c>
      <c r="N194" s="49" t="s">
        <v>86</v>
      </c>
      <c r="O194" s="49" t="s">
        <v>594</v>
      </c>
      <c r="P194" s="49" t="s">
        <v>88</v>
      </c>
      <c r="Q194" s="61"/>
      <c r="R194" s="61"/>
      <c r="S194" s="61"/>
      <c r="T194" s="61" t="s">
        <v>92</v>
      </c>
      <c r="U194" s="67"/>
      <c r="V194" s="67"/>
      <c r="W194" s="67"/>
      <c r="X194" s="67"/>
      <c r="Y194" s="67"/>
      <c r="Z194" s="67"/>
      <c r="AA194" s="67"/>
      <c r="AB194" s="67"/>
      <c r="AC194" s="67"/>
      <c r="AD194" s="67"/>
      <c r="AE194" s="67"/>
      <c r="AF194" s="67"/>
    </row>
    <row r="195">
      <c r="A195" s="67"/>
      <c r="B195" s="43">
        <f t="shared" si="2"/>
        <v>189</v>
      </c>
      <c r="C195" s="44" t="s">
        <v>955</v>
      </c>
      <c r="D195" s="44" t="s">
        <v>11</v>
      </c>
      <c r="E195" s="45" t="s">
        <v>59</v>
      </c>
      <c r="F195" s="44" t="s">
        <v>956</v>
      </c>
      <c r="G195" s="46" t="s">
        <v>20</v>
      </c>
      <c r="H195" s="47" t="s">
        <v>15</v>
      </c>
      <c r="I195" s="48"/>
      <c r="J195" s="52"/>
      <c r="K195" s="45" t="s">
        <v>957</v>
      </c>
      <c r="L195" s="45" t="s">
        <v>159</v>
      </c>
      <c r="M195" s="54" t="s">
        <v>85</v>
      </c>
      <c r="N195" s="49" t="s">
        <v>114</v>
      </c>
      <c r="O195" s="49" t="s">
        <v>209</v>
      </c>
      <c r="P195" s="49" t="s">
        <v>132</v>
      </c>
      <c r="Q195" s="61"/>
      <c r="R195" s="61"/>
      <c r="S195" s="61"/>
      <c r="T195" s="61" t="s">
        <v>92</v>
      </c>
      <c r="U195" s="67"/>
      <c r="V195" s="67"/>
      <c r="W195" s="67"/>
      <c r="X195" s="67"/>
      <c r="Y195" s="67"/>
      <c r="Z195" s="67"/>
      <c r="AA195" s="67"/>
      <c r="AB195" s="67"/>
      <c r="AC195" s="67"/>
      <c r="AD195" s="67"/>
      <c r="AE195" s="67"/>
      <c r="AF195" s="67"/>
    </row>
    <row r="196">
      <c r="A196" s="67"/>
      <c r="B196" s="43">
        <f t="shared" si="2"/>
        <v>190</v>
      </c>
      <c r="C196" s="44" t="s">
        <v>958</v>
      </c>
      <c r="D196" s="44" t="s">
        <v>11</v>
      </c>
      <c r="E196" s="45" t="s">
        <v>59</v>
      </c>
      <c r="F196" s="44" t="s">
        <v>959</v>
      </c>
      <c r="G196" s="46" t="s">
        <v>26</v>
      </c>
      <c r="H196" s="47" t="s">
        <v>15</v>
      </c>
      <c r="I196" s="48"/>
      <c r="J196" s="45" t="s">
        <v>250</v>
      </c>
      <c r="K196" s="45" t="s">
        <v>960</v>
      </c>
      <c r="L196" s="45" t="s">
        <v>961</v>
      </c>
      <c r="M196" s="54" t="s">
        <v>253</v>
      </c>
      <c r="N196" s="49" t="s">
        <v>114</v>
      </c>
      <c r="O196" s="49" t="s">
        <v>962</v>
      </c>
      <c r="P196" s="49" t="s">
        <v>132</v>
      </c>
      <c r="Q196" s="61"/>
      <c r="R196" s="61"/>
      <c r="S196" s="61"/>
      <c r="T196" s="61" t="s">
        <v>92</v>
      </c>
      <c r="U196" s="67"/>
      <c r="V196" s="67"/>
      <c r="W196" s="67"/>
      <c r="X196" s="67"/>
      <c r="Y196" s="67"/>
      <c r="Z196" s="67"/>
      <c r="AA196" s="67"/>
      <c r="AB196" s="67"/>
      <c r="AC196" s="67"/>
      <c r="AD196" s="67"/>
      <c r="AE196" s="67"/>
      <c r="AF196" s="67"/>
    </row>
    <row r="197">
      <c r="A197" s="67"/>
      <c r="B197" s="43">
        <f t="shared" si="2"/>
        <v>191</v>
      </c>
      <c r="C197" s="44" t="s">
        <v>963</v>
      </c>
      <c r="D197" s="44" t="s">
        <v>11</v>
      </c>
      <c r="E197" s="45" t="s">
        <v>59</v>
      </c>
      <c r="F197" s="44" t="s">
        <v>964</v>
      </c>
      <c r="G197" s="46" t="s">
        <v>26</v>
      </c>
      <c r="H197" s="47" t="s">
        <v>15</v>
      </c>
      <c r="I197" s="48"/>
      <c r="J197" s="45" t="s">
        <v>250</v>
      </c>
      <c r="K197" s="45" t="s">
        <v>965</v>
      </c>
      <c r="L197" s="45" t="s">
        <v>961</v>
      </c>
      <c r="M197" s="54" t="s">
        <v>253</v>
      </c>
      <c r="N197" s="49" t="s">
        <v>114</v>
      </c>
      <c r="O197" s="49" t="s">
        <v>966</v>
      </c>
      <c r="P197" s="49" t="s">
        <v>132</v>
      </c>
      <c r="Q197" s="61"/>
      <c r="R197" s="61"/>
      <c r="S197" s="61"/>
      <c r="T197" s="61" t="s">
        <v>92</v>
      </c>
      <c r="U197" s="67"/>
      <c r="V197" s="67"/>
      <c r="W197" s="67"/>
      <c r="X197" s="67"/>
      <c r="Y197" s="67"/>
      <c r="Z197" s="67"/>
      <c r="AA197" s="67"/>
      <c r="AB197" s="67"/>
      <c r="AC197" s="67"/>
      <c r="AD197" s="67"/>
      <c r="AE197" s="67"/>
      <c r="AF197" s="67"/>
    </row>
    <row r="198">
      <c r="A198" s="67"/>
      <c r="B198" s="43">
        <f t="shared" si="2"/>
        <v>192</v>
      </c>
      <c r="C198" s="44" t="s">
        <v>967</v>
      </c>
      <c r="D198" s="44" t="s">
        <v>4</v>
      </c>
      <c r="E198" s="45" t="s">
        <v>47</v>
      </c>
      <c r="F198" s="44" t="s">
        <v>968</v>
      </c>
      <c r="G198" s="46" t="s">
        <v>18</v>
      </c>
      <c r="H198" s="47" t="s">
        <v>15</v>
      </c>
      <c r="I198" s="48"/>
      <c r="J198" s="52"/>
      <c r="K198" s="45" t="s">
        <v>969</v>
      </c>
      <c r="L198" s="45" t="s">
        <v>159</v>
      </c>
      <c r="M198" s="54" t="s">
        <v>113</v>
      </c>
      <c r="N198" s="49" t="s">
        <v>123</v>
      </c>
      <c r="O198" s="49" t="s">
        <v>970</v>
      </c>
      <c r="P198" s="49" t="s">
        <v>132</v>
      </c>
      <c r="Q198" s="61"/>
      <c r="R198" s="61"/>
      <c r="S198" s="61"/>
      <c r="T198" s="61" t="s">
        <v>92</v>
      </c>
      <c r="U198" s="67"/>
      <c r="V198" s="67"/>
      <c r="W198" s="67"/>
      <c r="X198" s="67"/>
      <c r="Y198" s="67"/>
      <c r="Z198" s="67"/>
      <c r="AA198" s="67"/>
      <c r="AB198" s="67"/>
      <c r="AC198" s="67"/>
      <c r="AD198" s="67"/>
      <c r="AE198" s="67"/>
      <c r="AF198" s="67"/>
    </row>
    <row r="199">
      <c r="A199" s="67"/>
      <c r="B199" s="43">
        <f t="shared" si="2"/>
        <v>193</v>
      </c>
      <c r="C199" s="44" t="s">
        <v>971</v>
      </c>
      <c r="D199" s="44" t="s">
        <v>7</v>
      </c>
      <c r="E199" s="45" t="s">
        <v>53</v>
      </c>
      <c r="F199" s="44" t="s">
        <v>972</v>
      </c>
      <c r="G199" s="46" t="s">
        <v>18</v>
      </c>
      <c r="H199" s="47" t="s">
        <v>27</v>
      </c>
      <c r="I199" s="48"/>
      <c r="J199" s="52"/>
      <c r="K199" s="45" t="s">
        <v>973</v>
      </c>
      <c r="L199" s="45" t="s">
        <v>375</v>
      </c>
      <c r="M199" s="54" t="s">
        <v>113</v>
      </c>
      <c r="N199" s="49" t="s">
        <v>114</v>
      </c>
      <c r="O199" s="49" t="s">
        <v>181</v>
      </c>
      <c r="P199" s="49" t="s">
        <v>132</v>
      </c>
      <c r="Q199" s="61"/>
      <c r="R199" s="61"/>
      <c r="S199" s="61"/>
      <c r="T199" s="61" t="s">
        <v>92</v>
      </c>
      <c r="U199" s="67"/>
      <c r="V199" s="67"/>
      <c r="W199" s="67"/>
      <c r="X199" s="67"/>
      <c r="Y199" s="67"/>
      <c r="Z199" s="67"/>
      <c r="AA199" s="67"/>
      <c r="AB199" s="67"/>
      <c r="AC199" s="67"/>
      <c r="AD199" s="67"/>
      <c r="AE199" s="67"/>
      <c r="AF199" s="67"/>
    </row>
    <row r="200">
      <c r="A200" s="67"/>
      <c r="B200" s="43">
        <f t="shared" si="2"/>
        <v>194</v>
      </c>
      <c r="C200" s="44" t="s">
        <v>974</v>
      </c>
      <c r="D200" s="44" t="s">
        <v>11</v>
      </c>
      <c r="E200" s="45" t="s">
        <v>53</v>
      </c>
      <c r="F200" s="44" t="s">
        <v>975</v>
      </c>
      <c r="G200" s="46" t="s">
        <v>26</v>
      </c>
      <c r="H200" s="47" t="s">
        <v>27</v>
      </c>
      <c r="I200" s="60" t="s">
        <v>40</v>
      </c>
      <c r="J200" s="45" t="s">
        <v>250</v>
      </c>
      <c r="K200" s="45" t="s">
        <v>976</v>
      </c>
      <c r="L200" s="45" t="s">
        <v>977</v>
      </c>
      <c r="M200" s="54" t="s">
        <v>85</v>
      </c>
      <c r="N200" s="49" t="s">
        <v>114</v>
      </c>
      <c r="O200" s="49" t="s">
        <v>942</v>
      </c>
      <c r="P200" s="49" t="s">
        <v>132</v>
      </c>
      <c r="Q200" s="61"/>
      <c r="R200" s="61"/>
      <c r="S200" s="61"/>
      <c r="T200" s="61" t="s">
        <v>92</v>
      </c>
      <c r="U200" s="67"/>
      <c r="V200" s="67"/>
      <c r="W200" s="67"/>
      <c r="X200" s="67"/>
      <c r="Y200" s="67"/>
      <c r="Z200" s="67"/>
      <c r="AA200" s="67"/>
      <c r="AB200" s="67"/>
      <c r="AC200" s="67"/>
      <c r="AD200" s="67"/>
      <c r="AE200" s="67"/>
      <c r="AF200" s="67"/>
    </row>
    <row r="201">
      <c r="A201" s="67"/>
      <c r="B201" s="43">
        <f t="shared" si="2"/>
        <v>195</v>
      </c>
      <c r="C201" s="44" t="s">
        <v>978</v>
      </c>
      <c r="D201" s="44" t="s">
        <v>7</v>
      </c>
      <c r="E201" s="45" t="s">
        <v>33</v>
      </c>
      <c r="F201" s="44" t="s">
        <v>979</v>
      </c>
      <c r="G201" s="46" t="s">
        <v>18</v>
      </c>
      <c r="H201" s="47" t="s">
        <v>15</v>
      </c>
      <c r="I201" s="48"/>
      <c r="J201" s="52"/>
      <c r="K201" s="45" t="s">
        <v>980</v>
      </c>
      <c r="L201" s="45" t="s">
        <v>906</v>
      </c>
      <c r="M201" s="54" t="s">
        <v>85</v>
      </c>
      <c r="N201" s="49" t="s">
        <v>114</v>
      </c>
      <c r="O201" s="49" t="s">
        <v>152</v>
      </c>
      <c r="P201" s="49" t="s">
        <v>105</v>
      </c>
      <c r="Q201" s="61"/>
      <c r="R201" s="61"/>
      <c r="S201" s="61"/>
      <c r="T201" s="61" t="s">
        <v>92</v>
      </c>
      <c r="U201" s="67"/>
      <c r="V201" s="67"/>
      <c r="W201" s="67"/>
      <c r="X201" s="67"/>
      <c r="Y201" s="67"/>
      <c r="Z201" s="67"/>
      <c r="AA201" s="67"/>
      <c r="AB201" s="67"/>
      <c r="AC201" s="67"/>
      <c r="AD201" s="67"/>
      <c r="AE201" s="67"/>
      <c r="AF201" s="67"/>
    </row>
    <row r="202">
      <c r="A202" s="67"/>
      <c r="B202" s="43">
        <f t="shared" si="2"/>
        <v>196</v>
      </c>
      <c r="C202" s="44" t="s">
        <v>981</v>
      </c>
      <c r="D202" s="44" t="s">
        <v>4</v>
      </c>
      <c r="E202" s="45" t="s">
        <v>63</v>
      </c>
      <c r="F202" s="44" t="s">
        <v>982</v>
      </c>
      <c r="G202" s="46" t="s">
        <v>20</v>
      </c>
      <c r="H202" s="47" t="s">
        <v>17</v>
      </c>
      <c r="I202" s="48"/>
      <c r="J202" s="52"/>
      <c r="K202" s="45" t="s">
        <v>983</v>
      </c>
      <c r="L202" s="45" t="s">
        <v>208</v>
      </c>
      <c r="M202" s="54" t="s">
        <v>113</v>
      </c>
      <c r="N202" s="49" t="s">
        <v>123</v>
      </c>
      <c r="O202" s="49" t="s">
        <v>87</v>
      </c>
      <c r="P202" s="49" t="s">
        <v>132</v>
      </c>
      <c r="Q202" s="61"/>
      <c r="R202" s="61"/>
      <c r="S202" s="61"/>
      <c r="T202" s="61" t="s">
        <v>92</v>
      </c>
      <c r="U202" s="67"/>
      <c r="V202" s="67"/>
      <c r="W202" s="67"/>
      <c r="X202" s="67"/>
      <c r="Y202" s="67"/>
      <c r="Z202" s="67"/>
      <c r="AA202" s="67"/>
      <c r="AB202" s="67"/>
      <c r="AC202" s="67"/>
      <c r="AD202" s="67"/>
      <c r="AE202" s="67"/>
      <c r="AF202" s="67"/>
    </row>
    <row r="203">
      <c r="A203" s="67"/>
      <c r="B203" s="43">
        <f t="shared" si="2"/>
        <v>197</v>
      </c>
      <c r="C203" s="44" t="s">
        <v>984</v>
      </c>
      <c r="D203" s="44" t="s">
        <v>9</v>
      </c>
      <c r="E203" s="45" t="s">
        <v>58</v>
      </c>
      <c r="F203" s="44" t="s">
        <v>985</v>
      </c>
      <c r="G203" s="46" t="s">
        <v>20</v>
      </c>
      <c r="H203" s="47" t="s">
        <v>17</v>
      </c>
      <c r="I203" s="48"/>
      <c r="J203" s="52"/>
      <c r="K203" s="45" t="s">
        <v>986</v>
      </c>
      <c r="L203" s="52" t="s">
        <v>480</v>
      </c>
      <c r="M203" s="54" t="s">
        <v>113</v>
      </c>
      <c r="N203" s="49" t="s">
        <v>114</v>
      </c>
      <c r="O203" s="49" t="s">
        <v>131</v>
      </c>
      <c r="P203" s="49" t="s">
        <v>132</v>
      </c>
      <c r="Q203" s="61"/>
      <c r="R203" s="61"/>
      <c r="S203" s="61"/>
      <c r="T203" s="61" t="s">
        <v>92</v>
      </c>
      <c r="U203" s="67"/>
      <c r="V203" s="67"/>
      <c r="W203" s="67"/>
      <c r="X203" s="67"/>
      <c r="Y203" s="67"/>
      <c r="Z203" s="67"/>
      <c r="AA203" s="67"/>
      <c r="AB203" s="67"/>
      <c r="AC203" s="67"/>
      <c r="AD203" s="67"/>
      <c r="AE203" s="67"/>
      <c r="AF203" s="67"/>
    </row>
    <row r="204">
      <c r="A204" s="67"/>
      <c r="B204" s="43">
        <f t="shared" si="2"/>
        <v>198</v>
      </c>
      <c r="C204" s="44" t="s">
        <v>987</v>
      </c>
      <c r="D204" s="44" t="s">
        <v>4</v>
      </c>
      <c r="E204" s="45" t="s">
        <v>49</v>
      </c>
      <c r="F204" s="44" t="s">
        <v>988</v>
      </c>
      <c r="G204" s="46" t="s">
        <v>24</v>
      </c>
      <c r="H204" s="47" t="s">
        <v>28</v>
      </c>
      <c r="I204" s="60" t="s">
        <v>40</v>
      </c>
      <c r="J204" s="45" t="s">
        <v>193</v>
      </c>
      <c r="K204" s="45" t="s">
        <v>989</v>
      </c>
      <c r="L204" s="45" t="s">
        <v>265</v>
      </c>
      <c r="M204" s="54" t="s">
        <v>253</v>
      </c>
      <c r="N204" s="49" t="s">
        <v>123</v>
      </c>
      <c r="O204" s="49" t="s">
        <v>87</v>
      </c>
      <c r="P204" s="49" t="s">
        <v>132</v>
      </c>
      <c r="Q204" s="61"/>
      <c r="R204" s="55" t="s">
        <v>990</v>
      </c>
      <c r="S204" s="49" t="s">
        <v>991</v>
      </c>
      <c r="T204" s="49" t="s">
        <v>92</v>
      </c>
      <c r="U204" s="67"/>
      <c r="V204" s="67"/>
      <c r="W204" s="67"/>
      <c r="X204" s="67"/>
      <c r="Y204" s="67"/>
      <c r="Z204" s="67"/>
      <c r="AA204" s="67"/>
      <c r="AB204" s="67"/>
      <c r="AC204" s="67"/>
      <c r="AD204" s="67"/>
      <c r="AE204" s="67"/>
      <c r="AF204" s="67"/>
    </row>
    <row r="205">
      <c r="A205" s="67"/>
      <c r="B205" s="43">
        <f t="shared" si="2"/>
        <v>199</v>
      </c>
      <c r="C205" s="44" t="s">
        <v>992</v>
      </c>
      <c r="D205" s="44" t="s">
        <v>4</v>
      </c>
      <c r="E205" s="45" t="s">
        <v>47</v>
      </c>
      <c r="F205" s="44" t="s">
        <v>993</v>
      </c>
      <c r="G205" s="46" t="s">
        <v>20</v>
      </c>
      <c r="H205" s="47" t="s">
        <v>17</v>
      </c>
      <c r="I205" s="48"/>
      <c r="J205" s="52"/>
      <c r="K205" s="45" t="s">
        <v>994</v>
      </c>
      <c r="L205" s="45" t="s">
        <v>530</v>
      </c>
      <c r="M205" s="54" t="s">
        <v>113</v>
      </c>
      <c r="N205" s="49" t="s">
        <v>114</v>
      </c>
      <c r="O205" s="49" t="s">
        <v>131</v>
      </c>
      <c r="P205" s="49" t="s">
        <v>132</v>
      </c>
      <c r="Q205" s="61"/>
      <c r="R205" s="61"/>
      <c r="S205" s="61"/>
      <c r="T205" s="61" t="s">
        <v>92</v>
      </c>
      <c r="U205" s="67"/>
      <c r="V205" s="67"/>
      <c r="W205" s="67"/>
      <c r="X205" s="67"/>
      <c r="Y205" s="67"/>
      <c r="Z205" s="67"/>
      <c r="AA205" s="67"/>
      <c r="AB205" s="67"/>
      <c r="AC205" s="67"/>
      <c r="AD205" s="67"/>
      <c r="AE205" s="67"/>
      <c r="AF205" s="67"/>
    </row>
    <row r="206">
      <c r="A206" s="67"/>
      <c r="B206" s="43">
        <f t="shared" si="2"/>
        <v>200</v>
      </c>
      <c r="C206" s="44" t="s">
        <v>995</v>
      </c>
      <c r="D206" s="44" t="s">
        <v>4</v>
      </c>
      <c r="E206" s="45" t="s">
        <v>53</v>
      </c>
      <c r="F206" s="44" t="s">
        <v>996</v>
      </c>
      <c r="G206" s="46" t="s">
        <v>18</v>
      </c>
      <c r="H206" s="47" t="s">
        <v>10</v>
      </c>
      <c r="I206" s="48"/>
      <c r="J206" s="52"/>
      <c r="K206" s="45" t="s">
        <v>997</v>
      </c>
      <c r="L206" s="45" t="s">
        <v>998</v>
      </c>
      <c r="M206" s="54" t="s">
        <v>85</v>
      </c>
      <c r="N206" s="49" t="s">
        <v>114</v>
      </c>
      <c r="O206" s="49" t="s">
        <v>87</v>
      </c>
      <c r="P206" s="49" t="s">
        <v>132</v>
      </c>
      <c r="Q206" s="61"/>
      <c r="R206" s="49"/>
      <c r="S206" s="49" t="s">
        <v>999</v>
      </c>
      <c r="T206" s="49" t="s">
        <v>92</v>
      </c>
      <c r="U206" s="67"/>
      <c r="V206" s="67"/>
      <c r="W206" s="67"/>
      <c r="X206" s="67"/>
      <c r="Y206" s="67"/>
      <c r="Z206" s="67"/>
      <c r="AA206" s="67"/>
      <c r="AB206" s="67"/>
      <c r="AC206" s="67"/>
      <c r="AD206" s="67"/>
      <c r="AE206" s="67"/>
      <c r="AF206" s="67"/>
    </row>
    <row r="207">
      <c r="A207" s="67"/>
      <c r="B207" s="43">
        <f t="shared" si="2"/>
        <v>201</v>
      </c>
      <c r="C207" s="44" t="s">
        <v>1000</v>
      </c>
      <c r="D207" s="44" t="s">
        <v>7</v>
      </c>
      <c r="E207" s="45" t="s">
        <v>55</v>
      </c>
      <c r="F207" s="44" t="s">
        <v>1001</v>
      </c>
      <c r="G207" s="46" t="s">
        <v>18</v>
      </c>
      <c r="H207" s="47" t="s">
        <v>12</v>
      </c>
      <c r="I207" s="48"/>
      <c r="J207" s="52"/>
      <c r="K207" s="45" t="s">
        <v>1002</v>
      </c>
      <c r="L207" s="45" t="s">
        <v>1003</v>
      </c>
      <c r="M207" s="54" t="s">
        <v>85</v>
      </c>
      <c r="N207" s="49" t="s">
        <v>114</v>
      </c>
      <c r="O207" s="49" t="s">
        <v>87</v>
      </c>
      <c r="P207" s="49" t="s">
        <v>132</v>
      </c>
      <c r="Q207" s="61"/>
      <c r="R207" s="61"/>
      <c r="S207" s="61"/>
      <c r="T207" s="61" t="s">
        <v>92</v>
      </c>
      <c r="U207" s="67"/>
      <c r="V207" s="67"/>
      <c r="W207" s="67"/>
      <c r="X207" s="67"/>
      <c r="Y207" s="67"/>
      <c r="Z207" s="67"/>
      <c r="AA207" s="67"/>
      <c r="AB207" s="67"/>
      <c r="AC207" s="67"/>
      <c r="AD207" s="67"/>
      <c r="AE207" s="67"/>
      <c r="AF207" s="67"/>
    </row>
    <row r="208">
      <c r="A208" s="67"/>
      <c r="B208" s="43">
        <f t="shared" si="2"/>
        <v>202</v>
      </c>
      <c r="C208" s="44" t="s">
        <v>1004</v>
      </c>
      <c r="D208" s="44" t="s">
        <v>4</v>
      </c>
      <c r="E208" s="45" t="s">
        <v>47</v>
      </c>
      <c r="F208" s="44" t="s">
        <v>1005</v>
      </c>
      <c r="G208" s="46" t="s">
        <v>20</v>
      </c>
      <c r="H208" s="47" t="s">
        <v>8</v>
      </c>
      <c r="I208" s="48"/>
      <c r="J208" s="52"/>
      <c r="K208" s="45" t="s">
        <v>1006</v>
      </c>
      <c r="L208" s="45" t="s">
        <v>166</v>
      </c>
      <c r="M208" s="54" t="s">
        <v>113</v>
      </c>
      <c r="N208" s="49" t="s">
        <v>114</v>
      </c>
      <c r="O208" s="49" t="s">
        <v>131</v>
      </c>
      <c r="P208" s="49" t="s">
        <v>132</v>
      </c>
      <c r="Q208" s="61"/>
      <c r="R208" s="61"/>
      <c r="S208" s="61"/>
      <c r="T208" s="61" t="s">
        <v>92</v>
      </c>
      <c r="U208" s="67"/>
      <c r="V208" s="67"/>
      <c r="W208" s="67"/>
      <c r="X208" s="67"/>
      <c r="Y208" s="67"/>
      <c r="Z208" s="67"/>
      <c r="AA208" s="67"/>
      <c r="AB208" s="67"/>
      <c r="AC208" s="67"/>
      <c r="AD208" s="67"/>
      <c r="AE208" s="67"/>
      <c r="AF208" s="67"/>
    </row>
    <row r="209">
      <c r="A209" s="67"/>
      <c r="B209" s="43">
        <f t="shared" si="2"/>
        <v>203</v>
      </c>
      <c r="C209" s="44" t="s">
        <v>1007</v>
      </c>
      <c r="D209" s="44" t="s">
        <v>4</v>
      </c>
      <c r="E209" s="45" t="s">
        <v>53</v>
      </c>
      <c r="F209" s="44" t="s">
        <v>1008</v>
      </c>
      <c r="G209" s="46" t="s">
        <v>18</v>
      </c>
      <c r="H209" s="47" t="s">
        <v>17</v>
      </c>
      <c r="I209" s="48"/>
      <c r="J209" s="52"/>
      <c r="K209" s="45" t="s">
        <v>1009</v>
      </c>
      <c r="L209" s="45" t="s">
        <v>998</v>
      </c>
      <c r="M209" s="54" t="s">
        <v>85</v>
      </c>
      <c r="N209" s="49" t="s">
        <v>123</v>
      </c>
      <c r="O209" s="49" t="s">
        <v>131</v>
      </c>
      <c r="P209" s="49" t="s">
        <v>132</v>
      </c>
      <c r="Q209" s="49" t="s">
        <v>1010</v>
      </c>
      <c r="R209" s="61"/>
      <c r="S209" s="49" t="s">
        <v>999</v>
      </c>
      <c r="T209" s="49" t="s">
        <v>92</v>
      </c>
      <c r="U209" s="67"/>
      <c r="V209" s="67"/>
      <c r="W209" s="67"/>
      <c r="X209" s="67"/>
      <c r="Y209" s="67"/>
      <c r="Z209" s="67"/>
      <c r="AA209" s="67"/>
      <c r="AB209" s="67"/>
      <c r="AC209" s="67"/>
      <c r="AD209" s="67"/>
      <c r="AE209" s="67"/>
      <c r="AF209" s="67"/>
    </row>
    <row r="210">
      <c r="A210" s="67"/>
      <c r="B210" s="43">
        <f t="shared" si="2"/>
        <v>204</v>
      </c>
      <c r="C210" s="44" t="s">
        <v>1011</v>
      </c>
      <c r="D210" s="44" t="s">
        <v>7</v>
      </c>
      <c r="E210" s="45" t="s">
        <v>55</v>
      </c>
      <c r="F210" s="44" t="s">
        <v>1012</v>
      </c>
      <c r="G210" s="46" t="s">
        <v>18</v>
      </c>
      <c r="H210" s="47" t="s">
        <v>17</v>
      </c>
      <c r="I210" s="48"/>
      <c r="J210" s="52"/>
      <c r="K210" s="45" t="s">
        <v>1013</v>
      </c>
      <c r="L210" s="45" t="s">
        <v>1014</v>
      </c>
      <c r="M210" s="54" t="s">
        <v>113</v>
      </c>
      <c r="N210" s="49" t="s">
        <v>114</v>
      </c>
      <c r="O210" s="49" t="s">
        <v>209</v>
      </c>
      <c r="P210" s="49" t="s">
        <v>132</v>
      </c>
      <c r="Q210" s="61"/>
      <c r="R210" s="61"/>
      <c r="S210" s="61"/>
      <c r="T210" s="61" t="s">
        <v>92</v>
      </c>
      <c r="U210" s="67"/>
      <c r="V210" s="67"/>
      <c r="W210" s="67"/>
      <c r="X210" s="67"/>
      <c r="Y210" s="67"/>
      <c r="Z210" s="67"/>
      <c r="AA210" s="67"/>
      <c r="AB210" s="67"/>
      <c r="AC210" s="67"/>
      <c r="AD210" s="67"/>
      <c r="AE210" s="67"/>
      <c r="AF210" s="67"/>
    </row>
    <row r="211">
      <c r="A211" s="67"/>
      <c r="B211" s="43">
        <f t="shared" si="2"/>
        <v>205</v>
      </c>
      <c r="C211" s="44" t="s">
        <v>1015</v>
      </c>
      <c r="D211" s="44" t="s">
        <v>4</v>
      </c>
      <c r="E211" s="45" t="s">
        <v>47</v>
      </c>
      <c r="F211" s="44" t="s">
        <v>1016</v>
      </c>
      <c r="G211" s="46" t="s">
        <v>20</v>
      </c>
      <c r="H211" s="47" t="s">
        <v>15</v>
      </c>
      <c r="I211" s="48"/>
      <c r="J211" s="52"/>
      <c r="K211" s="45" t="s">
        <v>1017</v>
      </c>
      <c r="L211" s="45" t="s">
        <v>327</v>
      </c>
      <c r="M211" s="54" t="s">
        <v>85</v>
      </c>
      <c r="N211" s="49" t="s">
        <v>114</v>
      </c>
      <c r="O211" s="49" t="s">
        <v>131</v>
      </c>
      <c r="P211" s="49" t="s">
        <v>132</v>
      </c>
      <c r="Q211" s="61"/>
      <c r="R211" s="61"/>
      <c r="S211" s="61"/>
      <c r="T211" s="61" t="s">
        <v>92</v>
      </c>
      <c r="U211" s="67"/>
      <c r="V211" s="67"/>
      <c r="W211" s="67"/>
      <c r="X211" s="67"/>
      <c r="Y211" s="67"/>
      <c r="Z211" s="67"/>
      <c r="AA211" s="67"/>
      <c r="AB211" s="67"/>
      <c r="AC211" s="67"/>
      <c r="AD211" s="67"/>
      <c r="AE211" s="67"/>
      <c r="AF211" s="67"/>
    </row>
    <row r="212">
      <c r="A212" s="67"/>
      <c r="B212" s="43">
        <f t="shared" si="2"/>
        <v>206</v>
      </c>
      <c r="C212" s="44" t="s">
        <v>1018</v>
      </c>
      <c r="D212" s="44" t="s">
        <v>4</v>
      </c>
      <c r="E212" s="45" t="s">
        <v>47</v>
      </c>
      <c r="F212" s="44" t="s">
        <v>1019</v>
      </c>
      <c r="G212" s="46" t="s">
        <v>20</v>
      </c>
      <c r="H212" s="47" t="s">
        <v>8</v>
      </c>
      <c r="I212" s="48"/>
      <c r="J212" s="52"/>
      <c r="K212" s="45" t="s">
        <v>1020</v>
      </c>
      <c r="L212" s="45" t="s">
        <v>530</v>
      </c>
      <c r="M212" s="54" t="s">
        <v>113</v>
      </c>
      <c r="N212" s="49" t="s">
        <v>114</v>
      </c>
      <c r="O212" s="49" t="s">
        <v>209</v>
      </c>
      <c r="P212" s="49" t="s">
        <v>132</v>
      </c>
      <c r="Q212" s="61"/>
      <c r="R212" s="61"/>
      <c r="S212" s="61"/>
      <c r="T212" s="61" t="s">
        <v>92</v>
      </c>
      <c r="U212" s="67"/>
      <c r="V212" s="67"/>
      <c r="W212" s="67"/>
      <c r="X212" s="67"/>
      <c r="Y212" s="67"/>
      <c r="Z212" s="67"/>
      <c r="AA212" s="67"/>
      <c r="AB212" s="67"/>
      <c r="AC212" s="67"/>
      <c r="AD212" s="67"/>
      <c r="AE212" s="67"/>
      <c r="AF212" s="67"/>
    </row>
    <row r="213">
      <c r="A213" s="67"/>
      <c r="B213" s="43">
        <f t="shared" si="2"/>
        <v>207</v>
      </c>
      <c r="C213" s="44" t="s">
        <v>1021</v>
      </c>
      <c r="D213" s="44" t="s">
        <v>11</v>
      </c>
      <c r="E213" s="45" t="s">
        <v>51</v>
      </c>
      <c r="F213" s="44" t="s">
        <v>1022</v>
      </c>
      <c r="G213" s="46" t="s">
        <v>20</v>
      </c>
      <c r="H213" s="47" t="s">
        <v>6</v>
      </c>
      <c r="I213" s="60" t="s">
        <v>38</v>
      </c>
      <c r="J213" s="45" t="s">
        <v>102</v>
      </c>
      <c r="K213" s="45" t="s">
        <v>1023</v>
      </c>
      <c r="L213" s="45" t="s">
        <v>310</v>
      </c>
      <c r="M213" s="54" t="s">
        <v>113</v>
      </c>
      <c r="N213" s="49" t="s">
        <v>114</v>
      </c>
      <c r="O213" s="49" t="s">
        <v>1024</v>
      </c>
      <c r="P213" s="49" t="s">
        <v>132</v>
      </c>
      <c r="Q213" s="61"/>
      <c r="R213" s="61"/>
      <c r="S213" s="61"/>
      <c r="T213" s="62" t="s">
        <v>1025</v>
      </c>
      <c r="U213" s="67"/>
      <c r="V213" s="67"/>
      <c r="W213" s="67"/>
      <c r="X213" s="67"/>
      <c r="Y213" s="67"/>
      <c r="Z213" s="67"/>
      <c r="AA213" s="67"/>
      <c r="AB213" s="67"/>
      <c r="AC213" s="67"/>
      <c r="AD213" s="67"/>
      <c r="AE213" s="67"/>
      <c r="AF213" s="67"/>
    </row>
    <row r="214">
      <c r="A214" s="67"/>
      <c r="B214" s="43">
        <f t="shared" si="2"/>
        <v>208</v>
      </c>
      <c r="C214" s="44" t="s">
        <v>1026</v>
      </c>
      <c r="D214" s="44" t="s">
        <v>7</v>
      </c>
      <c r="E214" s="45" t="s">
        <v>33</v>
      </c>
      <c r="F214" s="44" t="s">
        <v>1027</v>
      </c>
      <c r="G214" s="46" t="s">
        <v>20</v>
      </c>
      <c r="H214" s="47" t="s">
        <v>6</v>
      </c>
      <c r="I214" s="60" t="s">
        <v>38</v>
      </c>
      <c r="J214" s="45" t="s">
        <v>562</v>
      </c>
      <c r="K214" s="45" t="s">
        <v>1028</v>
      </c>
      <c r="L214" s="45" t="s">
        <v>159</v>
      </c>
      <c r="M214" s="54" t="s">
        <v>113</v>
      </c>
      <c r="N214" s="49" t="s">
        <v>114</v>
      </c>
      <c r="O214" s="49" t="s">
        <v>131</v>
      </c>
      <c r="P214" s="49" t="s">
        <v>132</v>
      </c>
      <c r="Q214" s="61"/>
      <c r="R214" s="61"/>
      <c r="S214" s="61"/>
      <c r="T214" s="61" t="s">
        <v>92</v>
      </c>
      <c r="U214" s="67"/>
      <c r="V214" s="67"/>
      <c r="W214" s="67"/>
      <c r="X214" s="67"/>
      <c r="Y214" s="67"/>
      <c r="Z214" s="67"/>
      <c r="AA214" s="67"/>
      <c r="AB214" s="67"/>
      <c r="AC214" s="67"/>
      <c r="AD214" s="67"/>
      <c r="AE214" s="67"/>
      <c r="AF214" s="67"/>
    </row>
    <row r="215">
      <c r="A215" s="67"/>
      <c r="B215" s="43">
        <f t="shared" si="2"/>
        <v>209</v>
      </c>
      <c r="C215" s="44" t="s">
        <v>1029</v>
      </c>
      <c r="D215" s="44" t="s">
        <v>7</v>
      </c>
      <c r="E215" s="45" t="s">
        <v>53</v>
      </c>
      <c r="F215" s="44" t="s">
        <v>1030</v>
      </c>
      <c r="G215" s="46" t="s">
        <v>18</v>
      </c>
      <c r="H215" s="47" t="s">
        <v>27</v>
      </c>
      <c r="I215" s="48"/>
      <c r="J215" s="52"/>
      <c r="K215" s="45" t="s">
        <v>1031</v>
      </c>
      <c r="L215" s="45" t="s">
        <v>1032</v>
      </c>
      <c r="M215" s="54" t="s">
        <v>113</v>
      </c>
      <c r="N215" s="49" t="s">
        <v>114</v>
      </c>
      <c r="O215" s="49" t="s">
        <v>382</v>
      </c>
      <c r="P215" s="49" t="s">
        <v>132</v>
      </c>
      <c r="Q215" s="61"/>
      <c r="R215" s="61"/>
      <c r="S215" s="61"/>
      <c r="T215" s="61" t="s">
        <v>92</v>
      </c>
      <c r="U215" s="67"/>
      <c r="V215" s="67"/>
      <c r="W215" s="67"/>
      <c r="X215" s="67"/>
      <c r="Y215" s="67"/>
      <c r="Z215" s="67"/>
      <c r="AA215" s="67"/>
      <c r="AB215" s="67"/>
      <c r="AC215" s="67"/>
      <c r="AD215" s="67"/>
      <c r="AE215" s="67"/>
      <c r="AF215" s="67"/>
    </row>
    <row r="216">
      <c r="A216" s="67"/>
      <c r="B216" s="43">
        <f t="shared" si="2"/>
        <v>210</v>
      </c>
      <c r="C216" s="44" t="s">
        <v>1033</v>
      </c>
      <c r="D216" s="44" t="s">
        <v>7</v>
      </c>
      <c r="E216" s="45" t="s">
        <v>33</v>
      </c>
      <c r="F216" s="44" t="s">
        <v>1034</v>
      </c>
      <c r="G216" s="46" t="s">
        <v>18</v>
      </c>
      <c r="H216" s="47" t="s">
        <v>15</v>
      </c>
      <c r="I216" s="48"/>
      <c r="J216" s="52"/>
      <c r="K216" s="45" t="s">
        <v>1035</v>
      </c>
      <c r="L216" s="45" t="s">
        <v>1036</v>
      </c>
      <c r="M216" s="54" t="s">
        <v>85</v>
      </c>
      <c r="N216" s="49" t="s">
        <v>114</v>
      </c>
      <c r="O216" s="49" t="s">
        <v>970</v>
      </c>
      <c r="P216" s="49" t="s">
        <v>132</v>
      </c>
      <c r="Q216" s="61"/>
      <c r="R216" s="61"/>
      <c r="S216" s="61"/>
      <c r="T216" s="61" t="s">
        <v>92</v>
      </c>
      <c r="U216" s="67"/>
      <c r="V216" s="67"/>
      <c r="W216" s="67"/>
      <c r="X216" s="67"/>
      <c r="Y216" s="67"/>
      <c r="Z216" s="67"/>
      <c r="AA216" s="67"/>
      <c r="AB216" s="67"/>
      <c r="AC216" s="67"/>
      <c r="AD216" s="67"/>
      <c r="AE216" s="67"/>
      <c r="AF216" s="67"/>
    </row>
    <row r="217">
      <c r="A217" s="67"/>
      <c r="B217" s="43">
        <f t="shared" si="2"/>
        <v>211</v>
      </c>
      <c r="C217" s="44" t="s">
        <v>1037</v>
      </c>
      <c r="D217" s="44" t="s">
        <v>7</v>
      </c>
      <c r="E217" s="45" t="s">
        <v>55</v>
      </c>
      <c r="F217" s="44" t="s">
        <v>1038</v>
      </c>
      <c r="G217" s="46" t="s">
        <v>18</v>
      </c>
      <c r="H217" s="47" t="s">
        <v>17</v>
      </c>
      <c r="I217" s="48"/>
      <c r="J217" s="52"/>
      <c r="K217" s="45" t="s">
        <v>1039</v>
      </c>
      <c r="L217" s="45" t="s">
        <v>1040</v>
      </c>
      <c r="M217" s="54" t="s">
        <v>113</v>
      </c>
      <c r="N217" s="49" t="s">
        <v>114</v>
      </c>
      <c r="O217" s="49" t="s">
        <v>1041</v>
      </c>
      <c r="P217" s="49" t="s">
        <v>132</v>
      </c>
      <c r="Q217" s="61"/>
      <c r="R217" s="61"/>
      <c r="S217" s="61"/>
      <c r="T217" s="61" t="s">
        <v>92</v>
      </c>
      <c r="U217" s="67"/>
      <c r="V217" s="67"/>
      <c r="W217" s="67"/>
      <c r="X217" s="67"/>
      <c r="Y217" s="67"/>
      <c r="Z217" s="67"/>
      <c r="AA217" s="67"/>
      <c r="AB217" s="67"/>
      <c r="AC217" s="67"/>
      <c r="AD217" s="67"/>
      <c r="AE217" s="67"/>
      <c r="AF217" s="67"/>
    </row>
    <row r="218">
      <c r="A218" s="67"/>
      <c r="B218" s="43">
        <f t="shared" si="2"/>
        <v>212</v>
      </c>
      <c r="C218" s="44" t="s">
        <v>1042</v>
      </c>
      <c r="D218" s="44" t="s">
        <v>7</v>
      </c>
      <c r="E218" s="45" t="s">
        <v>51</v>
      </c>
      <c r="F218" s="44" t="s">
        <v>1043</v>
      </c>
      <c r="G218" s="46" t="s">
        <v>18</v>
      </c>
      <c r="H218" s="47" t="s">
        <v>6</v>
      </c>
      <c r="I218" s="60" t="s">
        <v>38</v>
      </c>
      <c r="J218" s="45" t="s">
        <v>193</v>
      </c>
      <c r="K218" s="45" t="s">
        <v>1044</v>
      </c>
      <c r="L218" s="45" t="s">
        <v>564</v>
      </c>
      <c r="M218" s="54" t="s">
        <v>113</v>
      </c>
      <c r="N218" s="49" t="s">
        <v>114</v>
      </c>
      <c r="O218" s="49" t="s">
        <v>209</v>
      </c>
      <c r="P218" s="49" t="s">
        <v>132</v>
      </c>
      <c r="Q218" s="61"/>
      <c r="R218" s="61"/>
      <c r="S218" s="61"/>
      <c r="T218" s="62" t="s">
        <v>1045</v>
      </c>
      <c r="U218" s="67"/>
      <c r="V218" s="67"/>
      <c r="W218" s="67"/>
      <c r="X218" s="67"/>
      <c r="Y218" s="67"/>
      <c r="Z218" s="67"/>
      <c r="AA218" s="67"/>
      <c r="AB218" s="67"/>
      <c r="AC218" s="67"/>
      <c r="AD218" s="67"/>
      <c r="AE218" s="67"/>
      <c r="AF218" s="67"/>
    </row>
    <row r="219">
      <c r="A219" s="67"/>
      <c r="B219" s="43">
        <f t="shared" si="2"/>
        <v>213</v>
      </c>
      <c r="C219" s="44" t="s">
        <v>1046</v>
      </c>
      <c r="D219" s="44" t="s">
        <v>4</v>
      </c>
      <c r="E219" s="45" t="s">
        <v>47</v>
      </c>
      <c r="F219" s="44" t="s">
        <v>1047</v>
      </c>
      <c r="G219" s="46" t="s">
        <v>20</v>
      </c>
      <c r="H219" s="47" t="s">
        <v>17</v>
      </c>
      <c r="I219" s="48"/>
      <c r="J219" s="52"/>
      <c r="K219" s="45" t="s">
        <v>1048</v>
      </c>
      <c r="L219" s="45" t="s">
        <v>1049</v>
      </c>
      <c r="M219" s="54" t="s">
        <v>85</v>
      </c>
      <c r="N219" s="49" t="s">
        <v>114</v>
      </c>
      <c r="O219" s="49" t="s">
        <v>209</v>
      </c>
      <c r="P219" s="49" t="s">
        <v>132</v>
      </c>
      <c r="Q219" s="61"/>
      <c r="R219" s="61"/>
      <c r="S219" s="61"/>
      <c r="T219" s="61" t="s">
        <v>92</v>
      </c>
      <c r="U219" s="67"/>
      <c r="V219" s="67"/>
      <c r="W219" s="67"/>
      <c r="X219" s="67"/>
      <c r="Y219" s="67"/>
      <c r="Z219" s="67"/>
      <c r="AA219" s="67"/>
      <c r="AB219" s="67"/>
      <c r="AC219" s="67"/>
      <c r="AD219" s="67"/>
      <c r="AE219" s="67"/>
      <c r="AF219" s="67"/>
    </row>
    <row r="220">
      <c r="A220" s="67"/>
      <c r="B220" s="43">
        <f t="shared" si="2"/>
        <v>214</v>
      </c>
      <c r="C220" s="44" t="s">
        <v>1050</v>
      </c>
      <c r="D220" s="44" t="s">
        <v>7</v>
      </c>
      <c r="E220" s="45" t="s">
        <v>55</v>
      </c>
      <c r="F220" s="44" t="s">
        <v>1051</v>
      </c>
      <c r="G220" s="46" t="s">
        <v>18</v>
      </c>
      <c r="H220" s="47" t="s">
        <v>6</v>
      </c>
      <c r="I220" s="48"/>
      <c r="J220" s="52"/>
      <c r="K220" s="45" t="s">
        <v>1052</v>
      </c>
      <c r="L220" s="45" t="s">
        <v>1053</v>
      </c>
      <c r="M220" s="54" t="s">
        <v>85</v>
      </c>
      <c r="N220" s="49" t="s">
        <v>114</v>
      </c>
      <c r="O220" s="49" t="s">
        <v>209</v>
      </c>
      <c r="P220" s="49" t="s">
        <v>105</v>
      </c>
      <c r="Q220" s="61"/>
      <c r="R220" s="61"/>
      <c r="S220" s="61"/>
      <c r="T220" s="61" t="s">
        <v>92</v>
      </c>
      <c r="U220" s="67"/>
      <c r="V220" s="67"/>
      <c r="W220" s="67"/>
      <c r="X220" s="67"/>
      <c r="Y220" s="67"/>
      <c r="Z220" s="67"/>
      <c r="AA220" s="67"/>
      <c r="AB220" s="67"/>
      <c r="AC220" s="67"/>
      <c r="AD220" s="67"/>
      <c r="AE220" s="67"/>
      <c r="AF220" s="67"/>
    </row>
    <row r="221">
      <c r="A221" s="67"/>
      <c r="B221" s="43">
        <f t="shared" si="2"/>
        <v>215</v>
      </c>
      <c r="C221" s="44" t="s">
        <v>1054</v>
      </c>
      <c r="D221" s="44" t="s">
        <v>5</v>
      </c>
      <c r="E221" s="45" t="s">
        <v>56</v>
      </c>
      <c r="F221" s="44" t="s">
        <v>1055</v>
      </c>
      <c r="G221" s="46" t="s">
        <v>18</v>
      </c>
      <c r="H221" s="47" t="s">
        <v>21</v>
      </c>
      <c r="I221" s="48"/>
      <c r="J221" s="52"/>
      <c r="K221" s="45" t="s">
        <v>1056</v>
      </c>
      <c r="L221" s="45" t="s">
        <v>1057</v>
      </c>
      <c r="M221" s="54" t="s">
        <v>113</v>
      </c>
      <c r="N221" s="49" t="s">
        <v>86</v>
      </c>
      <c r="O221" s="49" t="s">
        <v>181</v>
      </c>
      <c r="P221" s="49" t="s">
        <v>88</v>
      </c>
      <c r="Q221" s="61"/>
      <c r="R221" s="61"/>
      <c r="S221" s="61"/>
      <c r="T221" s="61" t="s">
        <v>92</v>
      </c>
      <c r="U221" s="67"/>
      <c r="V221" s="67"/>
      <c r="W221" s="67"/>
      <c r="X221" s="67"/>
      <c r="Y221" s="67"/>
      <c r="Z221" s="67"/>
      <c r="AA221" s="67"/>
      <c r="AB221" s="67"/>
      <c r="AC221" s="67"/>
      <c r="AD221" s="67"/>
      <c r="AE221" s="67"/>
      <c r="AF221" s="67"/>
    </row>
    <row r="222">
      <c r="A222" s="67"/>
      <c r="B222" s="43">
        <f t="shared" si="2"/>
        <v>216</v>
      </c>
      <c r="C222" s="44" t="s">
        <v>1058</v>
      </c>
      <c r="D222" s="44" t="s">
        <v>4</v>
      </c>
      <c r="E222" s="45" t="s">
        <v>49</v>
      </c>
      <c r="F222" s="44" t="s">
        <v>1059</v>
      </c>
      <c r="G222" s="46" t="s">
        <v>22</v>
      </c>
      <c r="H222" s="47" t="s">
        <v>6</v>
      </c>
      <c r="I222" s="60" t="s">
        <v>40</v>
      </c>
      <c r="J222" s="52"/>
      <c r="K222" s="45" t="s">
        <v>1060</v>
      </c>
      <c r="L222" s="45" t="s">
        <v>316</v>
      </c>
      <c r="M222" s="54" t="s">
        <v>253</v>
      </c>
      <c r="N222" s="49" t="s">
        <v>123</v>
      </c>
      <c r="O222" s="49" t="s">
        <v>942</v>
      </c>
      <c r="P222" s="45" t="s">
        <v>132</v>
      </c>
      <c r="Q222" s="61"/>
      <c r="R222" s="61"/>
      <c r="S222" s="45" t="s">
        <v>1061</v>
      </c>
      <c r="T222" s="45" t="s">
        <v>92</v>
      </c>
      <c r="U222" s="67"/>
      <c r="V222" s="67"/>
      <c r="W222" s="67"/>
      <c r="X222" s="67"/>
      <c r="Y222" s="67"/>
      <c r="Z222" s="67"/>
      <c r="AA222" s="67"/>
      <c r="AB222" s="67"/>
      <c r="AC222" s="67"/>
      <c r="AD222" s="67"/>
      <c r="AE222" s="67"/>
      <c r="AF222" s="67"/>
    </row>
    <row r="223">
      <c r="A223" s="67"/>
      <c r="B223" s="43">
        <f t="shared" si="2"/>
        <v>217</v>
      </c>
      <c r="C223" s="44" t="s">
        <v>1062</v>
      </c>
      <c r="D223" s="44" t="s">
        <v>11</v>
      </c>
      <c r="E223" s="45" t="s">
        <v>41</v>
      </c>
      <c r="F223" s="44" t="s">
        <v>1063</v>
      </c>
      <c r="G223" s="46" t="s">
        <v>22</v>
      </c>
      <c r="H223" s="47" t="s">
        <v>17</v>
      </c>
      <c r="I223" s="48" t="s">
        <v>42</v>
      </c>
      <c r="J223" s="45" t="s">
        <v>250</v>
      </c>
      <c r="K223" s="45" t="s">
        <v>1064</v>
      </c>
      <c r="L223" s="45" t="s">
        <v>365</v>
      </c>
      <c r="M223" s="54" t="s">
        <v>85</v>
      </c>
      <c r="N223" s="49" t="s">
        <v>86</v>
      </c>
      <c r="O223" s="49" t="s">
        <v>942</v>
      </c>
      <c r="P223" s="49" t="s">
        <v>105</v>
      </c>
      <c r="Q223" s="61"/>
      <c r="R223" s="61"/>
      <c r="S223" s="49" t="s">
        <v>1065</v>
      </c>
      <c r="T223" s="49" t="s">
        <v>92</v>
      </c>
      <c r="U223" s="67"/>
      <c r="V223" s="67"/>
      <c r="W223" s="67"/>
      <c r="X223" s="67"/>
      <c r="Y223" s="67"/>
      <c r="Z223" s="67"/>
      <c r="AA223" s="67"/>
      <c r="AB223" s="67"/>
      <c r="AC223" s="67"/>
      <c r="AD223" s="67"/>
      <c r="AE223" s="67"/>
      <c r="AF223" s="67"/>
    </row>
    <row r="224">
      <c r="A224" s="67"/>
      <c r="B224" s="43">
        <f t="shared" si="2"/>
        <v>218</v>
      </c>
      <c r="C224" s="44" t="s">
        <v>1066</v>
      </c>
      <c r="D224" s="44" t="s">
        <v>4</v>
      </c>
      <c r="E224" s="45" t="s">
        <v>45</v>
      </c>
      <c r="F224" s="44" t="s">
        <v>1067</v>
      </c>
      <c r="G224" s="46" t="s">
        <v>22</v>
      </c>
      <c r="H224" s="47" t="s">
        <v>6</v>
      </c>
      <c r="I224" s="60" t="s">
        <v>40</v>
      </c>
      <c r="J224" s="52"/>
      <c r="K224" s="45" t="s">
        <v>1068</v>
      </c>
      <c r="L224" s="45" t="s">
        <v>1069</v>
      </c>
      <c r="M224" s="54" t="s">
        <v>253</v>
      </c>
      <c r="N224" s="49" t="s">
        <v>123</v>
      </c>
      <c r="O224" s="49" t="s">
        <v>935</v>
      </c>
      <c r="P224" s="45" t="s">
        <v>132</v>
      </c>
      <c r="Q224" s="61"/>
      <c r="R224" s="61"/>
      <c r="S224" s="45" t="s">
        <v>1070</v>
      </c>
      <c r="T224" s="45" t="s">
        <v>92</v>
      </c>
      <c r="U224" s="67"/>
      <c r="V224" s="67"/>
      <c r="W224" s="67"/>
      <c r="X224" s="67"/>
      <c r="Y224" s="67"/>
      <c r="Z224" s="67"/>
      <c r="AA224" s="67"/>
      <c r="AB224" s="67"/>
      <c r="AC224" s="67"/>
      <c r="AD224" s="67"/>
      <c r="AE224" s="67"/>
      <c r="AF224" s="67"/>
    </row>
    <row r="225">
      <c r="A225" s="67"/>
      <c r="B225" s="43">
        <f t="shared" si="2"/>
        <v>219</v>
      </c>
      <c r="C225" s="44" t="s">
        <v>1071</v>
      </c>
      <c r="D225" s="44" t="s">
        <v>5</v>
      </c>
      <c r="E225" s="45" t="s">
        <v>56</v>
      </c>
      <c r="F225" s="44" t="s">
        <v>1072</v>
      </c>
      <c r="G225" s="46" t="s">
        <v>22</v>
      </c>
      <c r="H225" s="47" t="s">
        <v>6</v>
      </c>
      <c r="I225" s="60" t="s">
        <v>40</v>
      </c>
      <c r="J225" s="52"/>
      <c r="K225" s="45" t="s">
        <v>1073</v>
      </c>
      <c r="L225" s="45" t="s">
        <v>354</v>
      </c>
      <c r="M225" s="54" t="s">
        <v>253</v>
      </c>
      <c r="N225" s="49" t="s">
        <v>86</v>
      </c>
      <c r="O225" s="49" t="s">
        <v>1074</v>
      </c>
      <c r="P225" s="49" t="s">
        <v>132</v>
      </c>
      <c r="Q225" s="61"/>
      <c r="R225" s="61"/>
      <c r="S225" s="49" t="s">
        <v>1065</v>
      </c>
      <c r="T225" s="49" t="s">
        <v>92</v>
      </c>
      <c r="U225" s="67"/>
      <c r="V225" s="67"/>
      <c r="W225" s="67"/>
      <c r="X225" s="67"/>
      <c r="Y225" s="67"/>
      <c r="Z225" s="67"/>
      <c r="AA225" s="67"/>
      <c r="AB225" s="67"/>
      <c r="AC225" s="67"/>
      <c r="AD225" s="67"/>
      <c r="AE225" s="67"/>
      <c r="AF225" s="67"/>
    </row>
    <row r="226">
      <c r="A226" s="67"/>
      <c r="B226" s="43">
        <f t="shared" si="2"/>
        <v>220</v>
      </c>
      <c r="C226" s="44" t="s">
        <v>1075</v>
      </c>
      <c r="D226" s="44" t="s">
        <v>11</v>
      </c>
      <c r="E226" s="45" t="s">
        <v>60</v>
      </c>
      <c r="F226" s="44" t="s">
        <v>1076</v>
      </c>
      <c r="G226" s="46" t="s">
        <v>22</v>
      </c>
      <c r="H226" s="47" t="s">
        <v>6</v>
      </c>
      <c r="I226" s="60" t="s">
        <v>40</v>
      </c>
      <c r="J226" s="52"/>
      <c r="K226" s="45" t="s">
        <v>1077</v>
      </c>
      <c r="L226" s="52" t="s">
        <v>480</v>
      </c>
      <c r="M226" s="54" t="s">
        <v>113</v>
      </c>
      <c r="N226" s="49" t="s">
        <v>114</v>
      </c>
      <c r="O226" s="49" t="s">
        <v>1078</v>
      </c>
      <c r="P226" s="49" t="s">
        <v>132</v>
      </c>
      <c r="Q226" s="61"/>
      <c r="R226" s="61"/>
      <c r="S226" s="61"/>
      <c r="T226" s="61" t="s">
        <v>92</v>
      </c>
      <c r="U226" s="67"/>
      <c r="V226" s="67"/>
      <c r="W226" s="67"/>
      <c r="X226" s="67"/>
      <c r="Y226" s="67"/>
      <c r="Z226" s="67"/>
      <c r="AA226" s="67"/>
      <c r="AB226" s="67"/>
      <c r="AC226" s="67"/>
      <c r="AD226" s="67"/>
      <c r="AE226" s="67"/>
      <c r="AF226" s="67"/>
    </row>
    <row r="227">
      <c r="A227" s="67"/>
      <c r="B227" s="43">
        <f t="shared" si="2"/>
        <v>221</v>
      </c>
      <c r="C227" s="44" t="s">
        <v>1079</v>
      </c>
      <c r="D227" s="44" t="s">
        <v>4</v>
      </c>
      <c r="E227" s="45" t="s">
        <v>61</v>
      </c>
      <c r="F227" s="44" t="s">
        <v>1080</v>
      </c>
      <c r="G227" s="46" t="s">
        <v>26</v>
      </c>
      <c r="H227" s="47" t="s">
        <v>6</v>
      </c>
      <c r="I227" s="60" t="s">
        <v>40</v>
      </c>
      <c r="J227" s="52"/>
      <c r="K227" s="45" t="s">
        <v>1081</v>
      </c>
      <c r="L227" s="45" t="s">
        <v>265</v>
      </c>
      <c r="M227" s="54" t="s">
        <v>253</v>
      </c>
      <c r="N227" s="49" t="s">
        <v>114</v>
      </c>
      <c r="O227" s="49" t="s">
        <v>1082</v>
      </c>
      <c r="P227" s="49" t="s">
        <v>132</v>
      </c>
      <c r="Q227" s="61"/>
      <c r="R227" s="61"/>
      <c r="S227" s="61"/>
      <c r="T227" s="61" t="s">
        <v>92</v>
      </c>
      <c r="U227" s="67"/>
      <c r="V227" s="67"/>
      <c r="W227" s="67"/>
      <c r="X227" s="67"/>
      <c r="Y227" s="67"/>
      <c r="Z227" s="67"/>
      <c r="AA227" s="67"/>
      <c r="AB227" s="67"/>
      <c r="AC227" s="67"/>
      <c r="AD227" s="67"/>
      <c r="AE227" s="67"/>
      <c r="AF227" s="67"/>
    </row>
    <row r="228">
      <c r="A228" s="67"/>
      <c r="B228" s="43">
        <f t="shared" si="2"/>
        <v>222</v>
      </c>
      <c r="C228" s="44" t="s">
        <v>1083</v>
      </c>
      <c r="D228" s="44" t="s">
        <v>7</v>
      </c>
      <c r="E228" s="45" t="s">
        <v>33</v>
      </c>
      <c r="F228" s="44" t="s">
        <v>1084</v>
      </c>
      <c r="G228" s="46" t="s">
        <v>18</v>
      </c>
      <c r="H228" s="47" t="s">
        <v>27</v>
      </c>
      <c r="I228" s="48"/>
      <c r="J228" s="52"/>
      <c r="K228" s="45" t="s">
        <v>1085</v>
      </c>
      <c r="L228" s="45" t="s">
        <v>1086</v>
      </c>
      <c r="M228" s="54" t="s">
        <v>85</v>
      </c>
      <c r="N228" s="49" t="s">
        <v>114</v>
      </c>
      <c r="O228" s="49" t="s">
        <v>131</v>
      </c>
      <c r="P228" s="49" t="s">
        <v>88</v>
      </c>
      <c r="Q228" s="61"/>
      <c r="R228" s="61"/>
      <c r="S228" s="61"/>
      <c r="T228" s="61" t="s">
        <v>92</v>
      </c>
      <c r="U228" s="67"/>
      <c r="V228" s="67"/>
      <c r="W228" s="67"/>
      <c r="X228" s="67"/>
      <c r="Y228" s="67"/>
      <c r="Z228" s="67"/>
      <c r="AA228" s="67"/>
      <c r="AB228" s="67"/>
      <c r="AC228" s="67"/>
      <c r="AD228" s="67"/>
      <c r="AE228" s="67"/>
      <c r="AF228" s="67"/>
    </row>
    <row r="229">
      <c r="A229" s="67"/>
      <c r="B229" s="43">
        <f t="shared" si="2"/>
        <v>223</v>
      </c>
      <c r="C229" s="44" t="s">
        <v>1087</v>
      </c>
      <c r="D229" s="44" t="s">
        <v>11</v>
      </c>
      <c r="E229" s="45" t="s">
        <v>41</v>
      </c>
      <c r="F229" s="44" t="s">
        <v>1088</v>
      </c>
      <c r="G229" s="46" t="s">
        <v>20</v>
      </c>
      <c r="H229" s="47" t="s">
        <v>14</v>
      </c>
      <c r="I229" s="48"/>
      <c r="J229" s="52"/>
      <c r="K229" s="45" t="s">
        <v>1089</v>
      </c>
      <c r="L229" s="45" t="s">
        <v>1090</v>
      </c>
      <c r="M229" s="54" t="s">
        <v>85</v>
      </c>
      <c r="N229" s="49" t="s">
        <v>86</v>
      </c>
      <c r="O229" s="49" t="s">
        <v>87</v>
      </c>
      <c r="P229" s="45" t="s">
        <v>105</v>
      </c>
      <c r="Q229" s="61"/>
      <c r="R229" s="55" t="s">
        <v>1091</v>
      </c>
      <c r="S229" s="45" t="s">
        <v>1092</v>
      </c>
      <c r="T229" s="45" t="s">
        <v>92</v>
      </c>
      <c r="U229" s="67"/>
      <c r="V229" s="67"/>
      <c r="W229" s="67"/>
      <c r="X229" s="67"/>
      <c r="Y229" s="67"/>
      <c r="Z229" s="67"/>
      <c r="AA229" s="67"/>
      <c r="AB229" s="67"/>
      <c r="AC229" s="67"/>
      <c r="AD229" s="67"/>
      <c r="AE229" s="67"/>
      <c r="AF229" s="67"/>
    </row>
    <row r="230">
      <c r="A230" s="67"/>
      <c r="B230" s="43">
        <f t="shared" si="2"/>
        <v>224</v>
      </c>
      <c r="C230" s="44" t="s">
        <v>1093</v>
      </c>
      <c r="D230" s="44" t="s">
        <v>11</v>
      </c>
      <c r="E230" s="45" t="s">
        <v>41</v>
      </c>
      <c r="F230" s="44" t="s">
        <v>1094</v>
      </c>
      <c r="G230" s="46" t="s">
        <v>22</v>
      </c>
      <c r="H230" s="47" t="s">
        <v>17</v>
      </c>
      <c r="I230" s="60" t="s">
        <v>40</v>
      </c>
      <c r="J230" s="45" t="s">
        <v>250</v>
      </c>
      <c r="K230" s="45" t="s">
        <v>1095</v>
      </c>
      <c r="L230" s="45" t="s">
        <v>350</v>
      </c>
      <c r="M230" s="54" t="s">
        <v>85</v>
      </c>
      <c r="N230" s="49" t="s">
        <v>86</v>
      </c>
      <c r="O230" s="49" t="s">
        <v>942</v>
      </c>
      <c r="P230" s="49" t="s">
        <v>105</v>
      </c>
      <c r="Q230" s="61"/>
      <c r="R230" s="61"/>
      <c r="S230" s="61"/>
      <c r="T230" s="61" t="s">
        <v>92</v>
      </c>
      <c r="U230" s="67"/>
      <c r="V230" s="67"/>
      <c r="W230" s="67"/>
      <c r="X230" s="67"/>
      <c r="Y230" s="67"/>
      <c r="Z230" s="67"/>
      <c r="AA230" s="67"/>
      <c r="AB230" s="67"/>
      <c r="AC230" s="67"/>
      <c r="AD230" s="67"/>
      <c r="AE230" s="67"/>
      <c r="AF230" s="67"/>
    </row>
    <row r="231">
      <c r="A231" s="67"/>
      <c r="B231" s="43">
        <f t="shared" si="2"/>
        <v>225</v>
      </c>
      <c r="C231" s="44" t="s">
        <v>1096</v>
      </c>
      <c r="D231" s="44" t="s">
        <v>11</v>
      </c>
      <c r="E231" s="45" t="s">
        <v>39</v>
      </c>
      <c r="F231" s="44" t="s">
        <v>1097</v>
      </c>
      <c r="G231" s="46" t="s">
        <v>20</v>
      </c>
      <c r="H231" s="47" t="s">
        <v>17</v>
      </c>
      <c r="I231" s="48"/>
      <c r="J231" s="52"/>
      <c r="K231" s="45" t="s">
        <v>1098</v>
      </c>
      <c r="L231" s="45" t="s">
        <v>350</v>
      </c>
      <c r="M231" s="54" t="s">
        <v>85</v>
      </c>
      <c r="N231" s="49" t="s">
        <v>86</v>
      </c>
      <c r="O231" s="49" t="s">
        <v>209</v>
      </c>
      <c r="P231" s="49" t="s">
        <v>105</v>
      </c>
      <c r="Q231" s="61"/>
      <c r="R231" s="61"/>
      <c r="S231" s="61"/>
      <c r="T231" s="61" t="s">
        <v>92</v>
      </c>
      <c r="U231" s="67"/>
      <c r="V231" s="67"/>
      <c r="W231" s="67"/>
      <c r="X231" s="67"/>
      <c r="Y231" s="67"/>
      <c r="Z231" s="67"/>
      <c r="AA231" s="67"/>
      <c r="AB231" s="67"/>
      <c r="AC231" s="67"/>
      <c r="AD231" s="67"/>
      <c r="AE231" s="67"/>
      <c r="AF231" s="67"/>
    </row>
    <row r="232">
      <c r="A232" s="67"/>
      <c r="B232" s="43">
        <f t="shared" si="2"/>
        <v>226</v>
      </c>
      <c r="C232" s="44" t="s">
        <v>1099</v>
      </c>
      <c r="D232" s="44" t="s">
        <v>4</v>
      </c>
      <c r="E232" s="45" t="s">
        <v>47</v>
      </c>
      <c r="F232" s="44" t="s">
        <v>1100</v>
      </c>
      <c r="G232" s="46" t="s">
        <v>20</v>
      </c>
      <c r="H232" s="47"/>
      <c r="I232" s="48"/>
      <c r="J232" s="52"/>
      <c r="K232" s="45" t="s">
        <v>1101</v>
      </c>
      <c r="L232" s="45" t="s">
        <v>159</v>
      </c>
      <c r="M232" s="54" t="s">
        <v>113</v>
      </c>
      <c r="N232" s="49" t="s">
        <v>114</v>
      </c>
      <c r="O232" s="49" t="s">
        <v>131</v>
      </c>
      <c r="P232" s="49" t="s">
        <v>132</v>
      </c>
      <c r="Q232" s="61"/>
      <c r="R232" s="61"/>
      <c r="S232" s="61"/>
      <c r="T232" s="61" t="s">
        <v>92</v>
      </c>
      <c r="U232" s="67"/>
      <c r="V232" s="67"/>
      <c r="W232" s="67"/>
      <c r="X232" s="67"/>
      <c r="Y232" s="67"/>
      <c r="Z232" s="67"/>
      <c r="AA232" s="67"/>
      <c r="AB232" s="67"/>
      <c r="AC232" s="67"/>
      <c r="AD232" s="67"/>
      <c r="AE232" s="67"/>
      <c r="AF232" s="67"/>
    </row>
    <row r="233">
      <c r="A233" s="67"/>
      <c r="B233" s="43">
        <f t="shared" si="2"/>
        <v>227</v>
      </c>
      <c r="C233" s="44" t="s">
        <v>1102</v>
      </c>
      <c r="D233" s="44" t="s">
        <v>9</v>
      </c>
      <c r="E233" s="45" t="s">
        <v>57</v>
      </c>
      <c r="F233" s="44" t="s">
        <v>1103</v>
      </c>
      <c r="G233" s="46" t="s">
        <v>20</v>
      </c>
      <c r="H233" s="47"/>
      <c r="I233" s="48"/>
      <c r="J233" s="52"/>
      <c r="K233" s="45" t="s">
        <v>1104</v>
      </c>
      <c r="L233" s="45" t="s">
        <v>393</v>
      </c>
      <c r="M233" s="54" t="s">
        <v>85</v>
      </c>
      <c r="N233" s="49" t="s">
        <v>86</v>
      </c>
      <c r="O233" s="49" t="s">
        <v>131</v>
      </c>
      <c r="P233" s="49" t="s">
        <v>132</v>
      </c>
      <c r="Q233" s="61"/>
      <c r="R233" s="61"/>
      <c r="S233" s="61"/>
      <c r="T233" s="61" t="s">
        <v>92</v>
      </c>
      <c r="U233" s="67"/>
      <c r="V233" s="67"/>
      <c r="W233" s="67"/>
      <c r="X233" s="67"/>
      <c r="Y233" s="67"/>
      <c r="Z233" s="67"/>
      <c r="AA233" s="67"/>
      <c r="AB233" s="67"/>
      <c r="AC233" s="67"/>
      <c r="AD233" s="67"/>
      <c r="AE233" s="67"/>
      <c r="AF233" s="67"/>
    </row>
    <row r="234">
      <c r="A234" s="67"/>
      <c r="B234" s="43">
        <f t="shared" si="2"/>
        <v>228</v>
      </c>
      <c r="C234" s="44" t="s">
        <v>1105</v>
      </c>
      <c r="D234" s="44" t="s">
        <v>4</v>
      </c>
      <c r="E234" s="45" t="s">
        <v>47</v>
      </c>
      <c r="F234" s="44" t="s">
        <v>1106</v>
      </c>
      <c r="G234" s="46" t="s">
        <v>20</v>
      </c>
      <c r="H234" s="47" t="s">
        <v>27</v>
      </c>
      <c r="I234" s="48"/>
      <c r="J234" s="52"/>
      <c r="K234" s="45" t="s">
        <v>1107</v>
      </c>
      <c r="L234" s="45" t="s">
        <v>653</v>
      </c>
      <c r="M234" s="54" t="s">
        <v>113</v>
      </c>
      <c r="N234" s="49" t="s">
        <v>114</v>
      </c>
      <c r="O234" s="49" t="s">
        <v>131</v>
      </c>
      <c r="P234" s="49" t="s">
        <v>132</v>
      </c>
      <c r="Q234" s="61"/>
      <c r="R234" s="61"/>
      <c r="S234" s="61"/>
      <c r="T234" s="61" t="s">
        <v>92</v>
      </c>
      <c r="U234" s="67"/>
      <c r="V234" s="67"/>
      <c r="W234" s="67"/>
      <c r="X234" s="67"/>
      <c r="Y234" s="67"/>
      <c r="Z234" s="67"/>
      <c r="AA234" s="67"/>
      <c r="AB234" s="67"/>
      <c r="AC234" s="67"/>
      <c r="AD234" s="67"/>
      <c r="AE234" s="67"/>
      <c r="AF234" s="67"/>
    </row>
    <row r="235">
      <c r="A235" s="67"/>
      <c r="B235" s="43">
        <f t="shared" si="2"/>
        <v>229</v>
      </c>
      <c r="C235" s="44" t="s">
        <v>1108</v>
      </c>
      <c r="D235" s="44" t="s">
        <v>11</v>
      </c>
      <c r="E235" s="45" t="s">
        <v>59</v>
      </c>
      <c r="F235" s="44" t="s">
        <v>1109</v>
      </c>
      <c r="G235" s="46" t="s">
        <v>20</v>
      </c>
      <c r="H235" s="47" t="s">
        <v>15</v>
      </c>
      <c r="I235" s="48"/>
      <c r="J235" s="52"/>
      <c r="K235" s="45" t="s">
        <v>1110</v>
      </c>
      <c r="L235" s="52" t="s">
        <v>642</v>
      </c>
      <c r="M235" s="54" t="s">
        <v>113</v>
      </c>
      <c r="N235" s="49" t="s">
        <v>114</v>
      </c>
      <c r="O235" s="49" t="s">
        <v>87</v>
      </c>
      <c r="P235" s="49" t="s">
        <v>132</v>
      </c>
      <c r="Q235" s="61"/>
      <c r="R235" s="61"/>
      <c r="S235" s="61"/>
      <c r="T235" s="61" t="s">
        <v>92</v>
      </c>
      <c r="U235" s="67"/>
      <c r="V235" s="67"/>
      <c r="W235" s="67"/>
      <c r="X235" s="67"/>
      <c r="Y235" s="67"/>
      <c r="Z235" s="67"/>
      <c r="AA235" s="67"/>
      <c r="AB235" s="67"/>
      <c r="AC235" s="67"/>
      <c r="AD235" s="67"/>
      <c r="AE235" s="67"/>
      <c r="AF235" s="67"/>
    </row>
    <row r="236">
      <c r="A236" s="67"/>
      <c r="B236" s="43">
        <f t="shared" si="2"/>
        <v>230</v>
      </c>
      <c r="C236" s="44" t="s">
        <v>1111</v>
      </c>
      <c r="D236" s="44" t="s">
        <v>11</v>
      </c>
      <c r="E236" s="45" t="s">
        <v>59</v>
      </c>
      <c r="F236" s="44" t="s">
        <v>1112</v>
      </c>
      <c r="G236" s="46" t="s">
        <v>20</v>
      </c>
      <c r="H236" s="47" t="s">
        <v>17</v>
      </c>
      <c r="I236" s="48"/>
      <c r="J236" s="52"/>
      <c r="K236" s="45" t="s">
        <v>1113</v>
      </c>
      <c r="L236" s="45" t="s">
        <v>303</v>
      </c>
      <c r="M236" s="54" t="s">
        <v>113</v>
      </c>
      <c r="N236" s="49" t="s">
        <v>114</v>
      </c>
      <c r="O236" s="49" t="s">
        <v>209</v>
      </c>
      <c r="P236" s="49" t="s">
        <v>132</v>
      </c>
      <c r="Q236" s="61"/>
      <c r="R236" s="61"/>
      <c r="S236" s="61"/>
      <c r="T236" s="61" t="s">
        <v>92</v>
      </c>
      <c r="U236" s="67"/>
      <c r="V236" s="67"/>
      <c r="W236" s="67"/>
      <c r="X236" s="67"/>
      <c r="Y236" s="67"/>
      <c r="Z236" s="67"/>
      <c r="AA236" s="67"/>
      <c r="AB236" s="67"/>
      <c r="AC236" s="67"/>
      <c r="AD236" s="67"/>
      <c r="AE236" s="67"/>
      <c r="AF236" s="67"/>
    </row>
    <row r="237">
      <c r="A237" s="67"/>
      <c r="B237" s="43">
        <f t="shared" si="2"/>
        <v>231</v>
      </c>
      <c r="C237" s="44" t="s">
        <v>1114</v>
      </c>
      <c r="D237" s="44" t="s">
        <v>7</v>
      </c>
      <c r="E237" s="45" t="s">
        <v>51</v>
      </c>
      <c r="F237" s="44" t="s">
        <v>1115</v>
      </c>
      <c r="G237" s="46" t="s">
        <v>20</v>
      </c>
      <c r="H237" s="47" t="s">
        <v>6</v>
      </c>
      <c r="I237" s="48" t="s">
        <v>36</v>
      </c>
      <c r="J237" s="45" t="s">
        <v>102</v>
      </c>
      <c r="K237" s="45" t="s">
        <v>1116</v>
      </c>
      <c r="L237" s="45" t="s">
        <v>1117</v>
      </c>
      <c r="M237" s="54" t="s">
        <v>113</v>
      </c>
      <c r="N237" s="49" t="s">
        <v>123</v>
      </c>
      <c r="O237" s="49" t="s">
        <v>131</v>
      </c>
      <c r="P237" s="45" t="s">
        <v>132</v>
      </c>
      <c r="Q237" s="61"/>
      <c r="R237" s="61"/>
      <c r="S237" s="45" t="s">
        <v>1118</v>
      </c>
      <c r="T237" s="45" t="s">
        <v>1119</v>
      </c>
      <c r="U237" s="67"/>
      <c r="V237" s="67"/>
      <c r="W237" s="67"/>
      <c r="X237" s="67"/>
      <c r="Y237" s="67"/>
      <c r="Z237" s="67"/>
      <c r="AA237" s="67"/>
      <c r="AB237" s="67"/>
      <c r="AC237" s="67"/>
      <c r="AD237" s="67"/>
      <c r="AE237" s="67"/>
      <c r="AF237" s="67"/>
    </row>
    <row r="238">
      <c r="A238" s="67"/>
      <c r="B238" s="43">
        <f t="shared" si="2"/>
        <v>232</v>
      </c>
      <c r="C238" s="44" t="s">
        <v>1120</v>
      </c>
      <c r="D238" s="44" t="s">
        <v>11</v>
      </c>
      <c r="E238" s="45" t="s">
        <v>60</v>
      </c>
      <c r="F238" s="44" t="s">
        <v>1121</v>
      </c>
      <c r="G238" s="46" t="s">
        <v>22</v>
      </c>
      <c r="H238" s="47" t="s">
        <v>6</v>
      </c>
      <c r="I238" s="60" t="s">
        <v>40</v>
      </c>
      <c r="J238" s="52"/>
      <c r="K238" s="45" t="s">
        <v>1122</v>
      </c>
      <c r="L238" s="45" t="s">
        <v>295</v>
      </c>
      <c r="M238" s="54" t="s">
        <v>113</v>
      </c>
      <c r="N238" s="49" t="s">
        <v>114</v>
      </c>
      <c r="O238" s="49" t="s">
        <v>1123</v>
      </c>
      <c r="P238" s="49" t="s">
        <v>132</v>
      </c>
      <c r="Q238" s="61"/>
      <c r="R238" s="61"/>
      <c r="S238" s="61"/>
      <c r="T238" s="61" t="s">
        <v>92</v>
      </c>
      <c r="U238" s="67"/>
      <c r="V238" s="67"/>
      <c r="W238" s="67"/>
      <c r="X238" s="67"/>
      <c r="Y238" s="67"/>
      <c r="Z238" s="67"/>
      <c r="AA238" s="67"/>
      <c r="AB238" s="67"/>
      <c r="AC238" s="67"/>
      <c r="AD238" s="67"/>
      <c r="AE238" s="67"/>
      <c r="AF238" s="67"/>
    </row>
    <row r="239">
      <c r="A239" s="67"/>
      <c r="B239" s="43">
        <f t="shared" si="2"/>
        <v>233</v>
      </c>
      <c r="C239" s="44" t="s">
        <v>1124</v>
      </c>
      <c r="D239" s="44" t="s">
        <v>4</v>
      </c>
      <c r="E239" s="45" t="s">
        <v>51</v>
      </c>
      <c r="F239" s="44" t="s">
        <v>1125</v>
      </c>
      <c r="G239" s="46" t="s">
        <v>22</v>
      </c>
      <c r="H239" s="47" t="s">
        <v>6</v>
      </c>
      <c r="I239" s="48" t="s">
        <v>32</v>
      </c>
      <c r="J239" s="52"/>
      <c r="K239" s="45" t="s">
        <v>1126</v>
      </c>
      <c r="L239" s="45" t="s">
        <v>564</v>
      </c>
      <c r="M239" s="54" t="s">
        <v>253</v>
      </c>
      <c r="N239" s="49" t="s">
        <v>123</v>
      </c>
      <c r="O239" s="49" t="s">
        <v>1127</v>
      </c>
      <c r="P239" s="49" t="s">
        <v>132</v>
      </c>
      <c r="Q239" s="61"/>
      <c r="R239" s="61"/>
      <c r="S239" s="61"/>
      <c r="T239" s="62" t="s">
        <v>1128</v>
      </c>
      <c r="U239" s="67"/>
      <c r="V239" s="67"/>
      <c r="W239" s="67"/>
      <c r="X239" s="67"/>
      <c r="Y239" s="67"/>
      <c r="Z239" s="67"/>
      <c r="AA239" s="67"/>
      <c r="AB239" s="67"/>
      <c r="AC239" s="67"/>
      <c r="AD239" s="67"/>
      <c r="AE239" s="67"/>
      <c r="AF239" s="67"/>
    </row>
    <row r="240">
      <c r="A240" s="67"/>
      <c r="B240" s="43">
        <f t="shared" si="2"/>
        <v>234</v>
      </c>
      <c r="C240" s="44" t="s">
        <v>1129</v>
      </c>
      <c r="D240" s="44" t="s">
        <v>4</v>
      </c>
      <c r="E240" s="45" t="s">
        <v>51</v>
      </c>
      <c r="F240" s="44" t="s">
        <v>1130</v>
      </c>
      <c r="G240" s="46" t="s">
        <v>22</v>
      </c>
      <c r="H240" s="47" t="s">
        <v>6</v>
      </c>
      <c r="I240" s="60" t="s">
        <v>38</v>
      </c>
      <c r="J240" s="45"/>
      <c r="K240" s="45" t="s">
        <v>1131</v>
      </c>
      <c r="L240" s="45" t="s">
        <v>1132</v>
      </c>
      <c r="M240" s="54" t="s">
        <v>253</v>
      </c>
      <c r="N240" s="49" t="s">
        <v>123</v>
      </c>
      <c r="O240" s="49" t="s">
        <v>761</v>
      </c>
      <c r="P240" s="49" t="s">
        <v>132</v>
      </c>
      <c r="Q240" s="61"/>
      <c r="R240" s="61"/>
      <c r="S240" s="61"/>
      <c r="T240" s="62" t="s">
        <v>1133</v>
      </c>
      <c r="U240" s="67"/>
      <c r="V240" s="67"/>
      <c r="W240" s="67"/>
      <c r="X240" s="67"/>
      <c r="Y240" s="67"/>
      <c r="Z240" s="67"/>
      <c r="AA240" s="67"/>
      <c r="AB240" s="67"/>
      <c r="AC240" s="67"/>
      <c r="AD240" s="67"/>
      <c r="AE240" s="67"/>
      <c r="AF240" s="67"/>
    </row>
    <row r="241">
      <c r="A241" s="67"/>
      <c r="B241" s="43">
        <f t="shared" si="2"/>
        <v>235</v>
      </c>
      <c r="C241" s="44" t="s">
        <v>1134</v>
      </c>
      <c r="D241" s="44" t="s">
        <v>4</v>
      </c>
      <c r="E241" s="45" t="s">
        <v>49</v>
      </c>
      <c r="F241" s="44" t="s">
        <v>1135</v>
      </c>
      <c r="G241" s="46" t="s">
        <v>20</v>
      </c>
      <c r="H241" s="47" t="s">
        <v>6</v>
      </c>
      <c r="I241" s="60" t="s">
        <v>38</v>
      </c>
      <c r="J241" s="45"/>
      <c r="K241" s="45" t="s">
        <v>1136</v>
      </c>
      <c r="L241" s="45" t="s">
        <v>354</v>
      </c>
      <c r="M241" s="54" t="s">
        <v>85</v>
      </c>
      <c r="N241" s="49" t="s">
        <v>123</v>
      </c>
      <c r="O241" s="49" t="s">
        <v>209</v>
      </c>
      <c r="P241" s="49" t="s">
        <v>132</v>
      </c>
      <c r="Q241" s="61"/>
      <c r="R241" s="61"/>
      <c r="S241" s="61"/>
      <c r="T241" s="61" t="s">
        <v>92</v>
      </c>
      <c r="U241" s="67"/>
      <c r="V241" s="67"/>
      <c r="W241" s="67"/>
      <c r="X241" s="67"/>
      <c r="Y241" s="67"/>
      <c r="Z241" s="67"/>
      <c r="AA241" s="67"/>
      <c r="AB241" s="67"/>
      <c r="AC241" s="67"/>
      <c r="AD241" s="67"/>
      <c r="AE241" s="67"/>
      <c r="AF241" s="67"/>
    </row>
    <row r="242">
      <c r="A242" s="67"/>
      <c r="B242" s="43">
        <f t="shared" si="2"/>
        <v>236</v>
      </c>
      <c r="C242" s="44" t="s">
        <v>1137</v>
      </c>
      <c r="D242" s="44" t="s">
        <v>5</v>
      </c>
      <c r="E242" s="45" t="s">
        <v>49</v>
      </c>
      <c r="F242" s="44" t="s">
        <v>1138</v>
      </c>
      <c r="G242" s="46" t="s">
        <v>22</v>
      </c>
      <c r="H242" s="47" t="s">
        <v>6</v>
      </c>
      <c r="I242" s="48" t="s">
        <v>32</v>
      </c>
      <c r="J242" s="52"/>
      <c r="K242" s="45" t="s">
        <v>1139</v>
      </c>
      <c r="L242" s="45" t="s">
        <v>316</v>
      </c>
      <c r="M242" s="54" t="s">
        <v>253</v>
      </c>
      <c r="N242" s="49" t="s">
        <v>123</v>
      </c>
      <c r="O242" s="49" t="s">
        <v>317</v>
      </c>
      <c r="P242" s="49" t="s">
        <v>132</v>
      </c>
      <c r="Q242" s="61"/>
      <c r="R242" s="61"/>
      <c r="S242" s="61"/>
      <c r="T242" s="61" t="s">
        <v>92</v>
      </c>
      <c r="U242" s="67"/>
      <c r="V242" s="67"/>
      <c r="W242" s="67"/>
      <c r="X242" s="67"/>
      <c r="Y242" s="67"/>
      <c r="Z242" s="67"/>
      <c r="AA242" s="67"/>
      <c r="AB242" s="67"/>
      <c r="AC242" s="67"/>
      <c r="AD242" s="67"/>
      <c r="AE242" s="67"/>
      <c r="AF242" s="67"/>
    </row>
    <row r="243">
      <c r="A243" s="67"/>
      <c r="B243" s="43">
        <f t="shared" si="2"/>
        <v>237</v>
      </c>
      <c r="C243" s="44" t="s">
        <v>1140</v>
      </c>
      <c r="D243" s="44" t="s">
        <v>4</v>
      </c>
      <c r="E243" s="45" t="s">
        <v>49</v>
      </c>
      <c r="F243" s="44" t="s">
        <v>1141</v>
      </c>
      <c r="G243" s="46" t="s">
        <v>22</v>
      </c>
      <c r="H243" s="47" t="s">
        <v>6</v>
      </c>
      <c r="I243" s="60" t="s">
        <v>38</v>
      </c>
      <c r="J243" s="45"/>
      <c r="K243" s="45" t="s">
        <v>1142</v>
      </c>
      <c r="L243" s="45" t="s">
        <v>1143</v>
      </c>
      <c r="M243" s="54" t="s">
        <v>253</v>
      </c>
      <c r="N243" s="49" t="s">
        <v>123</v>
      </c>
      <c r="O243" s="49" t="s">
        <v>1144</v>
      </c>
      <c r="P243" s="49" t="s">
        <v>132</v>
      </c>
      <c r="Q243" s="61"/>
      <c r="R243" s="61"/>
      <c r="S243" s="61"/>
      <c r="T243" s="61" t="s">
        <v>92</v>
      </c>
      <c r="U243" s="67"/>
      <c r="V243" s="67"/>
      <c r="W243" s="67"/>
      <c r="X243" s="67"/>
      <c r="Y243" s="67"/>
      <c r="Z243" s="67"/>
      <c r="AA243" s="67"/>
      <c r="AB243" s="67"/>
      <c r="AC243" s="67"/>
      <c r="AD243" s="67"/>
      <c r="AE243" s="67"/>
      <c r="AF243" s="67"/>
    </row>
    <row r="244">
      <c r="A244" s="67"/>
      <c r="B244" s="43">
        <f t="shared" si="2"/>
        <v>238</v>
      </c>
      <c r="C244" s="44" t="s">
        <v>1145</v>
      </c>
      <c r="D244" s="44" t="s">
        <v>4</v>
      </c>
      <c r="E244" s="45" t="s">
        <v>49</v>
      </c>
      <c r="F244" s="44" t="s">
        <v>1146</v>
      </c>
      <c r="G244" s="46" t="s">
        <v>22</v>
      </c>
      <c r="H244" s="47" t="s">
        <v>6</v>
      </c>
      <c r="I244" s="60" t="s">
        <v>44</v>
      </c>
      <c r="J244" s="52"/>
      <c r="K244" s="45" t="s">
        <v>1147</v>
      </c>
      <c r="L244" s="45" t="s">
        <v>429</v>
      </c>
      <c r="M244" s="54" t="s">
        <v>85</v>
      </c>
      <c r="N244" s="49" t="s">
        <v>123</v>
      </c>
      <c r="O244" s="49" t="s">
        <v>209</v>
      </c>
      <c r="P244" s="49" t="s">
        <v>88</v>
      </c>
      <c r="Q244" s="61"/>
      <c r="R244" s="61"/>
      <c r="S244" s="61"/>
      <c r="T244" s="61" t="s">
        <v>92</v>
      </c>
      <c r="U244" s="67"/>
      <c r="V244" s="67"/>
      <c r="W244" s="67"/>
      <c r="X244" s="67"/>
      <c r="Y244" s="67"/>
      <c r="Z244" s="67"/>
      <c r="AA244" s="67"/>
      <c r="AB244" s="67"/>
      <c r="AC244" s="67"/>
      <c r="AD244" s="67"/>
      <c r="AE244" s="67"/>
      <c r="AF244" s="67"/>
    </row>
    <row r="245">
      <c r="A245" s="67"/>
      <c r="B245" s="43">
        <f t="shared" si="2"/>
        <v>239</v>
      </c>
      <c r="C245" s="44" t="s">
        <v>1148</v>
      </c>
      <c r="D245" s="44" t="s">
        <v>7</v>
      </c>
      <c r="E245" s="45" t="s">
        <v>45</v>
      </c>
      <c r="F245" s="44" t="s">
        <v>1149</v>
      </c>
      <c r="G245" s="46" t="s">
        <v>22</v>
      </c>
      <c r="H245" s="47" t="s">
        <v>6</v>
      </c>
      <c r="I245" s="60" t="s">
        <v>44</v>
      </c>
      <c r="J245" s="52"/>
      <c r="K245" s="45" t="s">
        <v>1150</v>
      </c>
      <c r="L245" s="45" t="s">
        <v>1151</v>
      </c>
      <c r="M245" s="54" t="s">
        <v>253</v>
      </c>
      <c r="N245" s="49" t="s">
        <v>123</v>
      </c>
      <c r="O245" s="49" t="s">
        <v>209</v>
      </c>
      <c r="P245" s="49" t="s">
        <v>132</v>
      </c>
      <c r="Q245" s="61"/>
      <c r="R245" s="61"/>
      <c r="S245" s="61"/>
      <c r="T245" s="61" t="s">
        <v>92</v>
      </c>
      <c r="U245" s="67"/>
      <c r="V245" s="67"/>
      <c r="W245" s="67"/>
      <c r="X245" s="67"/>
      <c r="Y245" s="67"/>
      <c r="Z245" s="67"/>
      <c r="AA245" s="67"/>
      <c r="AB245" s="67"/>
      <c r="AC245" s="67"/>
      <c r="AD245" s="67"/>
      <c r="AE245" s="67"/>
      <c r="AF245" s="67"/>
    </row>
    <row r="246">
      <c r="A246" s="67"/>
      <c r="B246" s="43">
        <f t="shared" si="2"/>
        <v>240</v>
      </c>
      <c r="C246" s="44" t="s">
        <v>1152</v>
      </c>
      <c r="D246" s="44" t="s">
        <v>4</v>
      </c>
      <c r="E246" s="45" t="s">
        <v>47</v>
      </c>
      <c r="F246" s="44" t="s">
        <v>1153</v>
      </c>
      <c r="G246" s="46" t="s">
        <v>20</v>
      </c>
      <c r="H246" s="47" t="s">
        <v>27</v>
      </c>
      <c r="I246" s="48"/>
      <c r="J246" s="52"/>
      <c r="K246" s="45" t="s">
        <v>1154</v>
      </c>
      <c r="L246" s="45" t="s">
        <v>530</v>
      </c>
      <c r="M246" s="54" t="s">
        <v>113</v>
      </c>
      <c r="N246" s="49" t="s">
        <v>123</v>
      </c>
      <c r="O246" s="49" t="s">
        <v>660</v>
      </c>
      <c r="P246" s="49" t="s">
        <v>132</v>
      </c>
      <c r="Q246" s="61"/>
      <c r="R246" s="61"/>
      <c r="S246" s="61"/>
      <c r="T246" s="61" t="s">
        <v>92</v>
      </c>
      <c r="U246" s="67"/>
      <c r="V246" s="67"/>
      <c r="W246" s="67"/>
      <c r="X246" s="67"/>
      <c r="Y246" s="67"/>
      <c r="Z246" s="67"/>
      <c r="AA246" s="67"/>
      <c r="AB246" s="67"/>
      <c r="AC246" s="67"/>
      <c r="AD246" s="67"/>
      <c r="AE246" s="67"/>
      <c r="AF246" s="67"/>
    </row>
    <row r="247">
      <c r="A247" s="67"/>
      <c r="B247" s="43">
        <f t="shared" si="2"/>
        <v>241</v>
      </c>
      <c r="C247" s="44" t="s">
        <v>1155</v>
      </c>
      <c r="D247" s="44" t="s">
        <v>4</v>
      </c>
      <c r="E247" s="45" t="s">
        <v>47</v>
      </c>
      <c r="F247" s="44" t="s">
        <v>1156</v>
      </c>
      <c r="G247" s="46" t="s">
        <v>20</v>
      </c>
      <c r="H247" s="47" t="s">
        <v>15</v>
      </c>
      <c r="I247" s="48"/>
      <c r="J247" s="52"/>
      <c r="K247" s="45" t="s">
        <v>1157</v>
      </c>
      <c r="L247" s="45" t="s">
        <v>530</v>
      </c>
      <c r="M247" s="54" t="s">
        <v>113</v>
      </c>
      <c r="N247" s="49" t="s">
        <v>123</v>
      </c>
      <c r="O247" s="49" t="s">
        <v>131</v>
      </c>
      <c r="P247" s="49" t="s">
        <v>132</v>
      </c>
      <c r="Q247" s="61"/>
      <c r="R247" s="61"/>
      <c r="S247" s="61"/>
      <c r="T247" s="61" t="s">
        <v>92</v>
      </c>
      <c r="U247" s="67"/>
      <c r="V247" s="67"/>
      <c r="W247" s="67"/>
      <c r="X247" s="67"/>
      <c r="Y247" s="67"/>
      <c r="Z247" s="67"/>
      <c r="AA247" s="67"/>
      <c r="AB247" s="67"/>
      <c r="AC247" s="67"/>
      <c r="AD247" s="67"/>
      <c r="AE247" s="67"/>
      <c r="AF247" s="67"/>
    </row>
    <row r="248">
      <c r="A248" s="67"/>
      <c r="B248" s="43">
        <f t="shared" si="2"/>
        <v>242</v>
      </c>
      <c r="C248" s="44" t="s">
        <v>1158</v>
      </c>
      <c r="D248" s="44" t="s">
        <v>4</v>
      </c>
      <c r="E248" s="45" t="s">
        <v>47</v>
      </c>
      <c r="F248" s="44" t="s">
        <v>1159</v>
      </c>
      <c r="G248" s="46" t="s">
        <v>20</v>
      </c>
      <c r="H248" s="47" t="s">
        <v>8</v>
      </c>
      <c r="I248" s="48"/>
      <c r="J248" s="52"/>
      <c r="K248" s="45" t="s">
        <v>1160</v>
      </c>
      <c r="L248" s="45" t="s">
        <v>530</v>
      </c>
      <c r="M248" s="54" t="s">
        <v>113</v>
      </c>
      <c r="N248" s="49" t="s">
        <v>123</v>
      </c>
      <c r="O248" s="49" t="s">
        <v>209</v>
      </c>
      <c r="P248" s="49" t="s">
        <v>132</v>
      </c>
      <c r="Q248" s="61"/>
      <c r="R248" s="61"/>
      <c r="S248" s="61"/>
      <c r="T248" s="61" t="s">
        <v>92</v>
      </c>
      <c r="U248" s="67"/>
      <c r="V248" s="67"/>
      <c r="W248" s="67"/>
      <c r="X248" s="67"/>
      <c r="Y248" s="67"/>
      <c r="Z248" s="67"/>
      <c r="AA248" s="67"/>
      <c r="AB248" s="67"/>
      <c r="AC248" s="67"/>
      <c r="AD248" s="67"/>
      <c r="AE248" s="67"/>
      <c r="AF248" s="67"/>
    </row>
    <row r="249">
      <c r="A249" s="67"/>
      <c r="B249" s="43">
        <f t="shared" si="2"/>
        <v>243</v>
      </c>
      <c r="C249" s="44" t="s">
        <v>1161</v>
      </c>
      <c r="D249" s="44" t="s">
        <v>11</v>
      </c>
      <c r="E249" s="45" t="s">
        <v>59</v>
      </c>
      <c r="F249" s="44" t="s">
        <v>1162</v>
      </c>
      <c r="G249" s="46" t="s">
        <v>20</v>
      </c>
      <c r="H249" s="47" t="s">
        <v>8</v>
      </c>
      <c r="I249" s="48"/>
      <c r="J249" s="52"/>
      <c r="K249" s="45" t="s">
        <v>1163</v>
      </c>
      <c r="L249" s="45" t="s">
        <v>303</v>
      </c>
      <c r="M249" s="54" t="s">
        <v>253</v>
      </c>
      <c r="N249" s="49" t="s">
        <v>123</v>
      </c>
      <c r="O249" s="49" t="s">
        <v>209</v>
      </c>
      <c r="P249" s="49" t="s">
        <v>132</v>
      </c>
      <c r="Q249" s="61"/>
      <c r="R249" s="61"/>
      <c r="S249" s="61"/>
      <c r="T249" s="61" t="s">
        <v>92</v>
      </c>
      <c r="U249" s="67"/>
      <c r="V249" s="67"/>
      <c r="W249" s="67"/>
      <c r="X249" s="67"/>
      <c r="Y249" s="67"/>
      <c r="Z249" s="67"/>
      <c r="AA249" s="67"/>
      <c r="AB249" s="67"/>
      <c r="AC249" s="67"/>
      <c r="AD249" s="67"/>
      <c r="AE249" s="67"/>
      <c r="AF249" s="67"/>
    </row>
    <row r="250">
      <c r="A250" s="67"/>
      <c r="B250" s="43">
        <f t="shared" si="2"/>
        <v>244</v>
      </c>
      <c r="C250" s="44" t="s">
        <v>1164</v>
      </c>
      <c r="D250" s="44" t="s">
        <v>11</v>
      </c>
      <c r="E250" s="45" t="s">
        <v>59</v>
      </c>
      <c r="F250" s="44" t="s">
        <v>1165</v>
      </c>
      <c r="G250" s="46" t="s">
        <v>20</v>
      </c>
      <c r="H250" s="47" t="s">
        <v>8</v>
      </c>
      <c r="I250" s="48"/>
      <c r="J250" s="52"/>
      <c r="K250" s="45" t="s">
        <v>1166</v>
      </c>
      <c r="L250" s="52" t="s">
        <v>642</v>
      </c>
      <c r="M250" s="54" t="s">
        <v>113</v>
      </c>
      <c r="N250" s="49" t="s">
        <v>123</v>
      </c>
      <c r="O250" s="49" t="s">
        <v>209</v>
      </c>
      <c r="P250" s="49" t="s">
        <v>132</v>
      </c>
      <c r="Q250" s="61"/>
      <c r="R250" s="61"/>
      <c r="S250" s="61"/>
      <c r="T250" s="61" t="s">
        <v>92</v>
      </c>
      <c r="U250" s="67"/>
      <c r="V250" s="67"/>
      <c r="W250" s="67"/>
      <c r="X250" s="67"/>
      <c r="Y250" s="67"/>
      <c r="Z250" s="67"/>
      <c r="AA250" s="67"/>
      <c r="AB250" s="67"/>
      <c r="AC250" s="67"/>
      <c r="AD250" s="67"/>
      <c r="AE250" s="67"/>
      <c r="AF250" s="67"/>
    </row>
    <row r="251">
      <c r="A251" s="67"/>
      <c r="B251" s="43">
        <f t="shared" si="2"/>
        <v>245</v>
      </c>
      <c r="C251" s="44" t="s">
        <v>1167</v>
      </c>
      <c r="D251" s="44" t="s">
        <v>4</v>
      </c>
      <c r="E251" s="45" t="s">
        <v>47</v>
      </c>
      <c r="F251" s="44" t="s">
        <v>1168</v>
      </c>
      <c r="G251" s="46" t="s">
        <v>20</v>
      </c>
      <c r="H251" s="47"/>
      <c r="I251" s="48"/>
      <c r="J251" s="52"/>
      <c r="K251" s="45" t="s">
        <v>1169</v>
      </c>
      <c r="L251" s="45" t="s">
        <v>208</v>
      </c>
      <c r="M251" s="54" t="s">
        <v>113</v>
      </c>
      <c r="N251" s="49" t="s">
        <v>123</v>
      </c>
      <c r="O251" s="49" t="s">
        <v>87</v>
      </c>
      <c r="P251" s="49" t="s">
        <v>132</v>
      </c>
      <c r="Q251" s="61"/>
      <c r="R251" s="61"/>
      <c r="S251" s="61"/>
      <c r="T251" s="61" t="s">
        <v>92</v>
      </c>
      <c r="U251" s="67"/>
      <c r="V251" s="67"/>
      <c r="W251" s="67"/>
      <c r="X251" s="67"/>
      <c r="Y251" s="67"/>
      <c r="Z251" s="67"/>
      <c r="AA251" s="67"/>
      <c r="AB251" s="67"/>
      <c r="AC251" s="67"/>
      <c r="AD251" s="67"/>
      <c r="AE251" s="67"/>
      <c r="AF251" s="67"/>
    </row>
    <row r="252">
      <c r="A252" s="67"/>
      <c r="B252" s="43">
        <f t="shared" si="2"/>
        <v>246</v>
      </c>
      <c r="C252" s="44" t="s">
        <v>1170</v>
      </c>
      <c r="D252" s="44" t="s">
        <v>4</v>
      </c>
      <c r="E252" s="45" t="s">
        <v>47</v>
      </c>
      <c r="F252" s="44" t="s">
        <v>1171</v>
      </c>
      <c r="G252" s="46" t="s">
        <v>20</v>
      </c>
      <c r="H252" s="47" t="s">
        <v>8</v>
      </c>
      <c r="I252" s="48"/>
      <c r="J252" s="52"/>
      <c r="K252" s="45" t="s">
        <v>1172</v>
      </c>
      <c r="L252" s="45" t="s">
        <v>159</v>
      </c>
      <c r="M252" s="54" t="s">
        <v>113</v>
      </c>
      <c r="N252" s="49" t="s">
        <v>123</v>
      </c>
      <c r="O252" s="49" t="s">
        <v>209</v>
      </c>
      <c r="P252" s="49" t="s">
        <v>132</v>
      </c>
      <c r="Q252" s="61"/>
      <c r="R252" s="61"/>
      <c r="S252" s="61"/>
      <c r="T252" s="61" t="s">
        <v>92</v>
      </c>
      <c r="U252" s="67"/>
      <c r="V252" s="67"/>
      <c r="W252" s="67"/>
      <c r="X252" s="67"/>
      <c r="Y252" s="67"/>
      <c r="Z252" s="67"/>
      <c r="AA252" s="67"/>
      <c r="AB252" s="67"/>
      <c r="AC252" s="67"/>
      <c r="AD252" s="67"/>
      <c r="AE252" s="67"/>
      <c r="AF252" s="67"/>
    </row>
    <row r="253">
      <c r="A253" s="67"/>
      <c r="B253" s="43">
        <f t="shared" si="2"/>
        <v>247</v>
      </c>
      <c r="C253" s="44" t="s">
        <v>1173</v>
      </c>
      <c r="D253" s="44" t="s">
        <v>11</v>
      </c>
      <c r="E253" s="45" t="s">
        <v>59</v>
      </c>
      <c r="F253" s="44" t="s">
        <v>1174</v>
      </c>
      <c r="G253" s="46" t="s">
        <v>20</v>
      </c>
      <c r="H253" s="47" t="s">
        <v>8</v>
      </c>
      <c r="I253" s="48"/>
      <c r="J253" s="52"/>
      <c r="K253" s="45" t="s">
        <v>1175</v>
      </c>
      <c r="L253" s="45" t="s">
        <v>1040</v>
      </c>
      <c r="M253" s="54" t="s">
        <v>113</v>
      </c>
      <c r="N253" s="49" t="s">
        <v>123</v>
      </c>
      <c r="O253" s="49" t="s">
        <v>209</v>
      </c>
      <c r="P253" s="49" t="s">
        <v>132</v>
      </c>
      <c r="Q253" s="61"/>
      <c r="R253" s="61"/>
      <c r="S253" s="61"/>
      <c r="T253" s="61" t="s">
        <v>92</v>
      </c>
      <c r="U253" s="67"/>
      <c r="V253" s="67"/>
      <c r="W253" s="67"/>
      <c r="X253" s="67"/>
      <c r="Y253" s="67"/>
      <c r="Z253" s="67"/>
      <c r="AA253" s="67"/>
      <c r="AB253" s="67"/>
      <c r="AC253" s="67"/>
      <c r="AD253" s="67"/>
      <c r="AE253" s="67"/>
      <c r="AF253" s="67"/>
    </row>
    <row r="254">
      <c r="A254" s="67"/>
      <c r="B254" s="43">
        <f t="shared" si="2"/>
        <v>248</v>
      </c>
      <c r="C254" s="44" t="s">
        <v>1176</v>
      </c>
      <c r="D254" s="44" t="s">
        <v>11</v>
      </c>
      <c r="E254" s="45" t="s">
        <v>59</v>
      </c>
      <c r="F254" s="44" t="s">
        <v>1177</v>
      </c>
      <c r="G254" s="46" t="s">
        <v>20</v>
      </c>
      <c r="H254" s="47" t="s">
        <v>6</v>
      </c>
      <c r="I254" s="48"/>
      <c r="J254" s="52"/>
      <c r="K254" s="45" t="s">
        <v>1178</v>
      </c>
      <c r="L254" s="52" t="s">
        <v>642</v>
      </c>
      <c r="M254" s="54" t="s">
        <v>113</v>
      </c>
      <c r="N254" s="49" t="s">
        <v>123</v>
      </c>
      <c r="O254" s="49" t="s">
        <v>209</v>
      </c>
      <c r="P254" s="49" t="s">
        <v>132</v>
      </c>
      <c r="Q254" s="61"/>
      <c r="R254" s="61"/>
      <c r="S254" s="61"/>
      <c r="T254" s="61" t="s">
        <v>92</v>
      </c>
      <c r="U254" s="67"/>
      <c r="V254" s="67"/>
      <c r="W254" s="67"/>
      <c r="X254" s="67"/>
      <c r="Y254" s="67"/>
      <c r="Z254" s="67"/>
      <c r="AA254" s="67"/>
      <c r="AB254" s="67"/>
      <c r="AC254" s="67"/>
      <c r="AD254" s="67"/>
      <c r="AE254" s="67"/>
      <c r="AF254" s="67"/>
    </row>
    <row r="255">
      <c r="A255" s="67"/>
      <c r="B255" s="43">
        <f t="shared" si="2"/>
        <v>249</v>
      </c>
      <c r="C255" s="44" t="s">
        <v>1179</v>
      </c>
      <c r="D255" s="44" t="s">
        <v>11</v>
      </c>
      <c r="E255" s="45" t="s">
        <v>59</v>
      </c>
      <c r="F255" s="44" t="s">
        <v>1180</v>
      </c>
      <c r="G255" s="46" t="s">
        <v>20</v>
      </c>
      <c r="H255" s="47"/>
      <c r="I255" s="48"/>
      <c r="J255" s="52"/>
      <c r="K255" s="45" t="s">
        <v>1181</v>
      </c>
      <c r="L255" s="45" t="s">
        <v>653</v>
      </c>
      <c r="M255" s="54" t="s">
        <v>113</v>
      </c>
      <c r="N255" s="49" t="s">
        <v>123</v>
      </c>
      <c r="O255" s="49" t="s">
        <v>1182</v>
      </c>
      <c r="P255" s="49" t="s">
        <v>132</v>
      </c>
      <c r="Q255" s="61"/>
      <c r="R255" s="61"/>
      <c r="S255" s="61"/>
      <c r="T255" s="61" t="s">
        <v>92</v>
      </c>
      <c r="U255" s="67"/>
      <c r="V255" s="67"/>
      <c r="W255" s="67"/>
      <c r="X255" s="67"/>
      <c r="Y255" s="67"/>
      <c r="Z255" s="67"/>
      <c r="AA255" s="67"/>
      <c r="AB255" s="67"/>
      <c r="AC255" s="67"/>
      <c r="AD255" s="67"/>
      <c r="AE255" s="67"/>
      <c r="AF255" s="67"/>
    </row>
    <row r="256">
      <c r="A256" s="67"/>
      <c r="B256" s="43">
        <f t="shared" si="2"/>
        <v>250</v>
      </c>
      <c r="C256" s="44" t="s">
        <v>1183</v>
      </c>
      <c r="D256" s="44" t="s">
        <v>7</v>
      </c>
      <c r="E256" s="45" t="s">
        <v>53</v>
      </c>
      <c r="F256" s="44" t="s">
        <v>1184</v>
      </c>
      <c r="G256" s="46" t="s">
        <v>20</v>
      </c>
      <c r="H256" s="47" t="s">
        <v>17</v>
      </c>
      <c r="I256" s="48"/>
      <c r="J256" s="52"/>
      <c r="K256" s="45" t="s">
        <v>1185</v>
      </c>
      <c r="L256" s="45" t="s">
        <v>299</v>
      </c>
      <c r="M256" s="54" t="s">
        <v>85</v>
      </c>
      <c r="N256" s="49" t="s">
        <v>123</v>
      </c>
      <c r="O256" s="49" t="s">
        <v>209</v>
      </c>
      <c r="P256" s="49" t="s">
        <v>132</v>
      </c>
      <c r="Q256" s="61"/>
      <c r="R256" s="61"/>
      <c r="S256" s="61"/>
      <c r="T256" s="61" t="s">
        <v>92</v>
      </c>
      <c r="U256" s="67"/>
      <c r="V256" s="67"/>
      <c r="W256" s="67"/>
      <c r="X256" s="67"/>
      <c r="Y256" s="67"/>
      <c r="Z256" s="67"/>
      <c r="AA256" s="67"/>
      <c r="AB256" s="67"/>
      <c r="AC256" s="67"/>
      <c r="AD256" s="67"/>
      <c r="AE256" s="67"/>
      <c r="AF256" s="67"/>
    </row>
    <row r="257">
      <c r="A257" s="67"/>
      <c r="B257" s="43">
        <f t="shared" si="2"/>
        <v>251</v>
      </c>
      <c r="C257" s="44" t="s">
        <v>1186</v>
      </c>
      <c r="D257" s="44" t="s">
        <v>4</v>
      </c>
      <c r="E257" s="45" t="s">
        <v>45</v>
      </c>
      <c r="F257" s="44" t="s">
        <v>1187</v>
      </c>
      <c r="G257" s="46" t="s">
        <v>20</v>
      </c>
      <c r="H257" s="47" t="s">
        <v>6</v>
      </c>
      <c r="I257" s="48" t="s">
        <v>36</v>
      </c>
      <c r="J257" s="45" t="s">
        <v>1188</v>
      </c>
      <c r="K257" s="45" t="s">
        <v>1189</v>
      </c>
      <c r="L257" s="45" t="s">
        <v>1151</v>
      </c>
      <c r="M257" s="54" t="s">
        <v>253</v>
      </c>
      <c r="N257" s="49" t="s">
        <v>123</v>
      </c>
      <c r="O257" s="49" t="s">
        <v>209</v>
      </c>
      <c r="P257" s="49" t="s">
        <v>132</v>
      </c>
      <c r="Q257" s="61"/>
      <c r="R257" s="61"/>
      <c r="S257" s="61"/>
      <c r="T257" s="61" t="s">
        <v>92</v>
      </c>
      <c r="U257" s="67"/>
      <c r="V257" s="67"/>
      <c r="W257" s="67"/>
      <c r="X257" s="67"/>
      <c r="Y257" s="67"/>
      <c r="Z257" s="67"/>
      <c r="AA257" s="67"/>
      <c r="AB257" s="67"/>
      <c r="AC257" s="67"/>
      <c r="AD257" s="67"/>
      <c r="AE257" s="67"/>
      <c r="AF257" s="67"/>
    </row>
    <row r="258">
      <c r="A258" s="67"/>
      <c r="B258" s="43">
        <f t="shared" si="2"/>
        <v>252</v>
      </c>
      <c r="C258" s="44" t="s">
        <v>1190</v>
      </c>
      <c r="D258" s="44" t="s">
        <v>4</v>
      </c>
      <c r="E258" s="45" t="s">
        <v>49</v>
      </c>
      <c r="F258" s="44" t="s">
        <v>1191</v>
      </c>
      <c r="G258" s="46" t="s">
        <v>18</v>
      </c>
      <c r="H258" s="47" t="s">
        <v>6</v>
      </c>
      <c r="I258" s="48"/>
      <c r="J258" s="52"/>
      <c r="K258" s="45" t="s">
        <v>1192</v>
      </c>
      <c r="L258" s="52" t="s">
        <v>480</v>
      </c>
      <c r="M258" s="54" t="s">
        <v>113</v>
      </c>
      <c r="N258" s="49" t="s">
        <v>123</v>
      </c>
      <c r="O258" s="49" t="s">
        <v>131</v>
      </c>
      <c r="P258" s="49" t="s">
        <v>132</v>
      </c>
      <c r="Q258" s="61"/>
      <c r="R258" s="61"/>
      <c r="S258" s="61"/>
      <c r="T258" s="61" t="s">
        <v>92</v>
      </c>
      <c r="U258" s="67"/>
      <c r="V258" s="67"/>
      <c r="W258" s="67"/>
      <c r="X258" s="67"/>
      <c r="Y258" s="67"/>
      <c r="Z258" s="67"/>
      <c r="AA258" s="67"/>
      <c r="AB258" s="67"/>
      <c r="AC258" s="67"/>
      <c r="AD258" s="67"/>
      <c r="AE258" s="67"/>
      <c r="AF258" s="67"/>
    </row>
    <row r="259">
      <c r="A259" s="67"/>
      <c r="B259" s="43">
        <f t="shared" si="2"/>
        <v>253</v>
      </c>
      <c r="C259" s="44" t="s">
        <v>1193</v>
      </c>
      <c r="D259" s="44" t="s">
        <v>4</v>
      </c>
      <c r="E259" s="45" t="s">
        <v>63</v>
      </c>
      <c r="F259" s="44" t="s">
        <v>1194</v>
      </c>
      <c r="G259" s="46" t="s">
        <v>20</v>
      </c>
      <c r="H259" s="47" t="s">
        <v>28</v>
      </c>
      <c r="I259" s="48"/>
      <c r="J259" s="52"/>
      <c r="K259" s="45" t="s">
        <v>1195</v>
      </c>
      <c r="L259" s="45" t="s">
        <v>1040</v>
      </c>
      <c r="M259" s="54" t="s">
        <v>113</v>
      </c>
      <c r="N259" s="49" t="s">
        <v>114</v>
      </c>
      <c r="O259" s="49" t="s">
        <v>209</v>
      </c>
      <c r="P259" s="49" t="s">
        <v>132</v>
      </c>
      <c r="Q259" s="61"/>
      <c r="R259" s="61"/>
      <c r="S259" s="61"/>
      <c r="T259" s="61" t="s">
        <v>92</v>
      </c>
      <c r="U259" s="67"/>
      <c r="V259" s="67"/>
      <c r="W259" s="67"/>
      <c r="X259" s="67"/>
      <c r="Y259" s="67"/>
      <c r="Z259" s="67"/>
      <c r="AA259" s="67"/>
      <c r="AB259" s="67"/>
      <c r="AC259" s="67"/>
      <c r="AD259" s="67"/>
      <c r="AE259" s="67"/>
      <c r="AF259" s="67"/>
    </row>
    <row r="260">
      <c r="A260" s="67"/>
      <c r="B260" s="43">
        <f t="shared" si="2"/>
        <v>254</v>
      </c>
      <c r="C260" s="44" t="s">
        <v>1196</v>
      </c>
      <c r="D260" s="44" t="s">
        <v>4</v>
      </c>
      <c r="E260" s="45" t="s">
        <v>51</v>
      </c>
      <c r="F260" s="44" t="s">
        <v>1197</v>
      </c>
      <c r="G260" s="46" t="s">
        <v>20</v>
      </c>
      <c r="H260" s="47" t="s">
        <v>8</v>
      </c>
      <c r="I260" s="48"/>
      <c r="J260" s="52"/>
      <c r="K260" s="45" t="s">
        <v>1198</v>
      </c>
      <c r="L260" s="45" t="s">
        <v>1132</v>
      </c>
      <c r="M260" s="54" t="s">
        <v>85</v>
      </c>
      <c r="N260" s="49" t="s">
        <v>123</v>
      </c>
      <c r="O260" s="49" t="s">
        <v>131</v>
      </c>
      <c r="P260" s="49" t="s">
        <v>132</v>
      </c>
      <c r="Q260" s="61"/>
      <c r="R260" s="61"/>
      <c r="S260" s="61"/>
      <c r="T260" s="62" t="s">
        <v>1199</v>
      </c>
      <c r="U260" s="67"/>
      <c r="V260" s="67"/>
      <c r="W260" s="67"/>
      <c r="X260" s="67"/>
      <c r="Y260" s="67"/>
      <c r="Z260" s="67"/>
      <c r="AA260" s="67"/>
      <c r="AB260" s="67"/>
      <c r="AC260" s="67"/>
      <c r="AD260" s="67"/>
      <c r="AE260" s="67"/>
      <c r="AF260" s="67"/>
    </row>
    <row r="261">
      <c r="A261" s="67"/>
      <c r="B261" s="43">
        <f t="shared" si="2"/>
        <v>255</v>
      </c>
      <c r="C261" s="44" t="s">
        <v>1200</v>
      </c>
      <c r="D261" s="44" t="s">
        <v>7</v>
      </c>
      <c r="E261" s="45" t="s">
        <v>33</v>
      </c>
      <c r="F261" s="44" t="s">
        <v>1201</v>
      </c>
      <c r="G261" s="46" t="s">
        <v>26</v>
      </c>
      <c r="H261" s="47" t="s">
        <v>8</v>
      </c>
      <c r="I261" s="48"/>
      <c r="J261" s="45" t="s">
        <v>193</v>
      </c>
      <c r="K261" s="45" t="s">
        <v>1202</v>
      </c>
      <c r="L261" s="45" t="s">
        <v>791</v>
      </c>
      <c r="M261" s="54" t="s">
        <v>253</v>
      </c>
      <c r="N261" s="49" t="s">
        <v>123</v>
      </c>
      <c r="O261" s="49" t="s">
        <v>131</v>
      </c>
      <c r="P261" s="49" t="s">
        <v>132</v>
      </c>
      <c r="Q261" s="61"/>
      <c r="R261" s="61"/>
      <c r="S261" s="61"/>
      <c r="T261" s="61" t="s">
        <v>92</v>
      </c>
      <c r="U261" s="67"/>
      <c r="V261" s="67"/>
      <c r="W261" s="67"/>
      <c r="X261" s="67"/>
      <c r="Y261" s="67"/>
      <c r="Z261" s="67"/>
      <c r="AA261" s="67"/>
      <c r="AB261" s="67"/>
      <c r="AC261" s="67"/>
      <c r="AD261" s="67"/>
      <c r="AE261" s="67"/>
      <c r="AF261" s="67"/>
    </row>
    <row r="262">
      <c r="A262" s="67"/>
      <c r="B262" s="43">
        <f t="shared" si="2"/>
        <v>256</v>
      </c>
      <c r="C262" s="44" t="s">
        <v>1203</v>
      </c>
      <c r="D262" s="44" t="s">
        <v>4</v>
      </c>
      <c r="E262" s="45" t="s">
        <v>63</v>
      </c>
      <c r="F262" s="44" t="s">
        <v>1204</v>
      </c>
      <c r="G262" s="46" t="s">
        <v>20</v>
      </c>
      <c r="H262" s="47" t="s">
        <v>8</v>
      </c>
      <c r="I262" s="48"/>
      <c r="J262" s="52"/>
      <c r="K262" s="45" t="s">
        <v>1205</v>
      </c>
      <c r="L262" s="45" t="s">
        <v>208</v>
      </c>
      <c r="M262" s="54" t="s">
        <v>113</v>
      </c>
      <c r="N262" s="49" t="s">
        <v>123</v>
      </c>
      <c r="O262" s="49" t="s">
        <v>131</v>
      </c>
      <c r="P262" s="49" t="s">
        <v>132</v>
      </c>
      <c r="Q262" s="61"/>
      <c r="R262" s="61"/>
      <c r="S262" s="61"/>
      <c r="T262" s="61" t="s">
        <v>92</v>
      </c>
      <c r="U262" s="67"/>
      <c r="V262" s="67"/>
      <c r="W262" s="67"/>
      <c r="X262" s="67"/>
      <c r="Y262" s="67"/>
      <c r="Z262" s="67"/>
      <c r="AA262" s="67"/>
      <c r="AB262" s="67"/>
      <c r="AC262" s="67"/>
      <c r="AD262" s="67"/>
      <c r="AE262" s="67"/>
      <c r="AF262" s="67"/>
    </row>
    <row r="263">
      <c r="A263" s="67"/>
      <c r="B263" s="43">
        <f t="shared" si="2"/>
        <v>257</v>
      </c>
      <c r="C263" s="44" t="s">
        <v>1206</v>
      </c>
      <c r="D263" s="44" t="s">
        <v>4</v>
      </c>
      <c r="E263" s="45" t="s">
        <v>63</v>
      </c>
      <c r="F263" s="44" t="s">
        <v>1207</v>
      </c>
      <c r="G263" s="46" t="s">
        <v>20</v>
      </c>
      <c r="H263" s="47" t="s">
        <v>28</v>
      </c>
      <c r="I263" s="48"/>
      <c r="J263" s="52"/>
      <c r="K263" s="45" t="s">
        <v>1208</v>
      </c>
      <c r="L263" s="45" t="s">
        <v>208</v>
      </c>
      <c r="M263" s="54" t="s">
        <v>113</v>
      </c>
      <c r="N263" s="49" t="s">
        <v>123</v>
      </c>
      <c r="O263" s="49" t="s">
        <v>131</v>
      </c>
      <c r="P263" s="49" t="s">
        <v>132</v>
      </c>
      <c r="Q263" s="61"/>
      <c r="R263" s="61"/>
      <c r="S263" s="61"/>
      <c r="T263" s="61" t="s">
        <v>92</v>
      </c>
      <c r="U263" s="67"/>
      <c r="V263" s="67"/>
      <c r="W263" s="67"/>
      <c r="X263" s="67"/>
      <c r="Y263" s="67"/>
      <c r="Z263" s="67"/>
      <c r="AA263" s="67"/>
      <c r="AB263" s="67"/>
      <c r="AC263" s="67"/>
      <c r="AD263" s="67"/>
      <c r="AE263" s="67"/>
      <c r="AF263" s="67"/>
    </row>
    <row r="264">
      <c r="A264" s="67"/>
      <c r="B264" s="43">
        <f t="shared" si="2"/>
        <v>258</v>
      </c>
      <c r="C264" s="44" t="s">
        <v>1209</v>
      </c>
      <c r="D264" s="44" t="s">
        <v>4</v>
      </c>
      <c r="E264" s="45" t="s">
        <v>63</v>
      </c>
      <c r="F264" s="44" t="s">
        <v>1210</v>
      </c>
      <c r="G264" s="46" t="s">
        <v>20</v>
      </c>
      <c r="H264" s="47" t="s">
        <v>28</v>
      </c>
      <c r="I264" s="48"/>
      <c r="J264" s="52"/>
      <c r="K264" s="45" t="s">
        <v>1211</v>
      </c>
      <c r="L264" s="45" t="s">
        <v>1040</v>
      </c>
      <c r="M264" s="54" t="s">
        <v>113</v>
      </c>
      <c r="N264" s="49" t="s">
        <v>123</v>
      </c>
      <c r="O264" s="49" t="s">
        <v>209</v>
      </c>
      <c r="P264" s="49" t="s">
        <v>132</v>
      </c>
      <c r="Q264" s="61"/>
      <c r="R264" s="61"/>
      <c r="S264" s="61"/>
      <c r="T264" s="61" t="s">
        <v>92</v>
      </c>
      <c r="U264" s="67"/>
      <c r="V264" s="67"/>
      <c r="W264" s="67"/>
      <c r="X264" s="67"/>
      <c r="Y264" s="67"/>
      <c r="Z264" s="67"/>
      <c r="AA264" s="67"/>
      <c r="AB264" s="67"/>
      <c r="AC264" s="67"/>
      <c r="AD264" s="67"/>
      <c r="AE264" s="67"/>
      <c r="AF264" s="67"/>
    </row>
    <row r="265">
      <c r="A265" s="67"/>
      <c r="B265" s="43">
        <f t="shared" si="2"/>
        <v>259</v>
      </c>
      <c r="C265" s="44" t="s">
        <v>1212</v>
      </c>
      <c r="D265" s="44" t="s">
        <v>4</v>
      </c>
      <c r="E265" s="45" t="s">
        <v>35</v>
      </c>
      <c r="F265" s="44" t="s">
        <v>1213</v>
      </c>
      <c r="G265" s="46" t="s">
        <v>20</v>
      </c>
      <c r="H265" s="47"/>
      <c r="I265" s="48"/>
      <c r="J265" s="52"/>
      <c r="K265" s="45" t="s">
        <v>1214</v>
      </c>
      <c r="L265" s="45" t="s">
        <v>791</v>
      </c>
      <c r="M265" s="54" t="s">
        <v>113</v>
      </c>
      <c r="N265" s="49" t="s">
        <v>123</v>
      </c>
      <c r="O265" s="49" t="s">
        <v>131</v>
      </c>
      <c r="P265" s="49" t="s">
        <v>132</v>
      </c>
      <c r="Q265" s="61"/>
      <c r="R265" s="61"/>
      <c r="S265" s="61"/>
      <c r="T265" s="61" t="s">
        <v>92</v>
      </c>
      <c r="U265" s="67"/>
      <c r="V265" s="67"/>
      <c r="W265" s="67"/>
      <c r="X265" s="67"/>
      <c r="Y265" s="67"/>
      <c r="Z265" s="67"/>
      <c r="AA265" s="67"/>
      <c r="AB265" s="67"/>
      <c r="AC265" s="67"/>
      <c r="AD265" s="67"/>
      <c r="AE265" s="67"/>
      <c r="AF265" s="67"/>
    </row>
    <row r="266">
      <c r="A266" s="67"/>
      <c r="B266" s="43">
        <f t="shared" si="2"/>
        <v>260</v>
      </c>
      <c r="C266" s="44" t="s">
        <v>1215</v>
      </c>
      <c r="D266" s="44" t="s">
        <v>4</v>
      </c>
      <c r="E266" s="45" t="s">
        <v>37</v>
      </c>
      <c r="F266" s="44" t="s">
        <v>1216</v>
      </c>
      <c r="G266" s="46" t="s">
        <v>18</v>
      </c>
      <c r="H266" s="47" t="s">
        <v>28</v>
      </c>
      <c r="I266" s="60" t="s">
        <v>38</v>
      </c>
      <c r="J266" s="45" t="s">
        <v>562</v>
      </c>
      <c r="K266" s="45" t="s">
        <v>1217</v>
      </c>
      <c r="L266" s="45" t="s">
        <v>1218</v>
      </c>
      <c r="M266" s="54" t="s">
        <v>253</v>
      </c>
      <c r="N266" s="49" t="s">
        <v>123</v>
      </c>
      <c r="O266" s="49" t="s">
        <v>131</v>
      </c>
      <c r="P266" s="49" t="s">
        <v>132</v>
      </c>
      <c r="Q266" s="61"/>
      <c r="R266" s="61"/>
      <c r="S266" s="61"/>
      <c r="T266" s="61" t="s">
        <v>92</v>
      </c>
      <c r="U266" s="67"/>
      <c r="V266" s="67"/>
      <c r="W266" s="67"/>
      <c r="X266" s="67"/>
      <c r="Y266" s="67"/>
      <c r="Z266" s="67"/>
      <c r="AA266" s="67"/>
      <c r="AB266" s="67"/>
      <c r="AC266" s="67"/>
      <c r="AD266" s="67"/>
      <c r="AE266" s="67"/>
      <c r="AF266" s="67"/>
    </row>
    <row r="267">
      <c r="A267" s="67"/>
      <c r="B267" s="43">
        <f t="shared" si="2"/>
        <v>261</v>
      </c>
      <c r="C267" s="44" t="s">
        <v>1219</v>
      </c>
      <c r="D267" s="44" t="s">
        <v>4</v>
      </c>
      <c r="E267" s="45" t="s">
        <v>49</v>
      </c>
      <c r="F267" s="44" t="s">
        <v>1220</v>
      </c>
      <c r="G267" s="46" t="s">
        <v>20</v>
      </c>
      <c r="H267" s="47" t="s">
        <v>28</v>
      </c>
      <c r="I267" s="48"/>
      <c r="J267" s="52"/>
      <c r="K267" s="45" t="s">
        <v>1221</v>
      </c>
      <c r="L267" s="45" t="s">
        <v>1040</v>
      </c>
      <c r="M267" s="54" t="s">
        <v>113</v>
      </c>
      <c r="N267" s="49" t="s">
        <v>123</v>
      </c>
      <c r="O267" s="49" t="s">
        <v>418</v>
      </c>
      <c r="P267" s="49" t="s">
        <v>132</v>
      </c>
      <c r="Q267" s="61"/>
      <c r="R267" s="61"/>
      <c r="S267" s="61"/>
      <c r="T267" s="61" t="s">
        <v>92</v>
      </c>
      <c r="U267" s="67"/>
      <c r="V267" s="67"/>
      <c r="W267" s="67"/>
      <c r="X267" s="67"/>
      <c r="Y267" s="67"/>
      <c r="Z267" s="67"/>
      <c r="AA267" s="67"/>
      <c r="AB267" s="67"/>
      <c r="AC267" s="67"/>
      <c r="AD267" s="67"/>
      <c r="AE267" s="67"/>
      <c r="AF267" s="67"/>
    </row>
    <row r="268">
      <c r="A268" s="67"/>
      <c r="B268" s="43">
        <f t="shared" si="2"/>
        <v>262</v>
      </c>
      <c r="C268" s="44" t="s">
        <v>1222</v>
      </c>
      <c r="D268" s="44" t="s">
        <v>7</v>
      </c>
      <c r="E268" s="45" t="s">
        <v>45</v>
      </c>
      <c r="F268" s="44" t="s">
        <v>1223</v>
      </c>
      <c r="G268" s="46" t="s">
        <v>20</v>
      </c>
      <c r="H268" s="47" t="s">
        <v>28</v>
      </c>
      <c r="I268" s="48"/>
      <c r="J268" s="52"/>
      <c r="K268" s="45" t="s">
        <v>1224</v>
      </c>
      <c r="L268" s="45" t="s">
        <v>791</v>
      </c>
      <c r="M268" s="54" t="s">
        <v>113</v>
      </c>
      <c r="N268" s="49" t="s">
        <v>114</v>
      </c>
      <c r="O268" s="49" t="s">
        <v>87</v>
      </c>
      <c r="P268" s="49" t="s">
        <v>132</v>
      </c>
      <c r="Q268" s="61"/>
      <c r="R268" s="61"/>
      <c r="S268" s="61"/>
      <c r="T268" s="61" t="s">
        <v>92</v>
      </c>
      <c r="U268" s="67"/>
      <c r="V268" s="67"/>
      <c r="W268" s="67"/>
      <c r="X268" s="67"/>
      <c r="Y268" s="67"/>
      <c r="Z268" s="67"/>
      <c r="AA268" s="67"/>
      <c r="AB268" s="67"/>
      <c r="AC268" s="67"/>
      <c r="AD268" s="67"/>
      <c r="AE268" s="67"/>
      <c r="AF268" s="67"/>
    </row>
    <row r="269">
      <c r="A269" s="67"/>
      <c r="B269" s="43">
        <f t="shared" si="2"/>
        <v>263</v>
      </c>
      <c r="C269" s="44" t="s">
        <v>1225</v>
      </c>
      <c r="D269" s="44" t="s">
        <v>5</v>
      </c>
      <c r="E269" s="45" t="s">
        <v>49</v>
      </c>
      <c r="F269" s="44" t="s">
        <v>1226</v>
      </c>
      <c r="G269" s="46" t="s">
        <v>20</v>
      </c>
      <c r="H269" s="47" t="s">
        <v>6</v>
      </c>
      <c r="I269" s="60" t="s">
        <v>38</v>
      </c>
      <c r="J269" s="45"/>
      <c r="K269" s="45" t="s">
        <v>1227</v>
      </c>
      <c r="L269" s="52" t="s">
        <v>1228</v>
      </c>
      <c r="M269" s="54" t="s">
        <v>253</v>
      </c>
      <c r="N269" s="49" t="s">
        <v>123</v>
      </c>
      <c r="O269" s="49" t="s">
        <v>209</v>
      </c>
      <c r="P269" s="49" t="s">
        <v>132</v>
      </c>
      <c r="Q269" s="61"/>
      <c r="R269" s="61"/>
      <c r="S269" s="61"/>
      <c r="T269" s="61" t="s">
        <v>92</v>
      </c>
      <c r="U269" s="67"/>
      <c r="V269" s="67"/>
      <c r="W269" s="67"/>
      <c r="X269" s="67"/>
      <c r="Y269" s="67"/>
      <c r="Z269" s="67"/>
      <c r="AA269" s="67"/>
      <c r="AB269" s="67"/>
      <c r="AC269" s="67"/>
      <c r="AD269" s="67"/>
      <c r="AE269" s="67"/>
      <c r="AF269" s="67"/>
    </row>
    <row r="270">
      <c r="A270" s="67"/>
      <c r="B270" s="43">
        <f t="shared" si="2"/>
        <v>264</v>
      </c>
      <c r="C270" s="44" t="s">
        <v>1229</v>
      </c>
      <c r="D270" s="44" t="s">
        <v>4</v>
      </c>
      <c r="E270" s="45" t="s">
        <v>51</v>
      </c>
      <c r="F270" s="44" t="s">
        <v>1230</v>
      </c>
      <c r="G270" s="46" t="s">
        <v>22</v>
      </c>
      <c r="H270" s="47" t="s">
        <v>6</v>
      </c>
      <c r="I270" s="60" t="s">
        <v>44</v>
      </c>
      <c r="J270" s="52"/>
      <c r="K270" s="45" t="s">
        <v>1231</v>
      </c>
      <c r="L270" s="45" t="s">
        <v>1132</v>
      </c>
      <c r="M270" s="54" t="s">
        <v>253</v>
      </c>
      <c r="N270" s="49" t="s">
        <v>123</v>
      </c>
      <c r="O270" s="49" t="s">
        <v>1232</v>
      </c>
      <c r="P270" s="49" t="s">
        <v>132</v>
      </c>
      <c r="Q270" s="61"/>
      <c r="R270" s="61"/>
      <c r="S270" s="61"/>
      <c r="T270" s="62" t="s">
        <v>1233</v>
      </c>
      <c r="U270" s="67"/>
      <c r="V270" s="67"/>
      <c r="W270" s="67"/>
      <c r="X270" s="67"/>
      <c r="Y270" s="67"/>
      <c r="Z270" s="67"/>
      <c r="AA270" s="67"/>
      <c r="AB270" s="67"/>
      <c r="AC270" s="67"/>
      <c r="AD270" s="67"/>
      <c r="AE270" s="67"/>
      <c r="AF270" s="67"/>
    </row>
    <row r="271">
      <c r="A271" s="67"/>
      <c r="B271" s="43">
        <f t="shared" si="2"/>
        <v>265</v>
      </c>
      <c r="C271" s="44" t="s">
        <v>1234</v>
      </c>
      <c r="D271" s="44" t="s">
        <v>4</v>
      </c>
      <c r="E271" s="45" t="s">
        <v>35</v>
      </c>
      <c r="F271" s="44" t="s">
        <v>1235</v>
      </c>
      <c r="G271" s="46" t="s">
        <v>22</v>
      </c>
      <c r="H271" s="47" t="s">
        <v>6</v>
      </c>
      <c r="I271" s="48" t="s">
        <v>32</v>
      </c>
      <c r="J271" s="52"/>
      <c r="K271" s="45" t="s">
        <v>1236</v>
      </c>
      <c r="L271" s="45" t="s">
        <v>265</v>
      </c>
      <c r="M271" s="54" t="s">
        <v>253</v>
      </c>
      <c r="N271" s="49" t="s">
        <v>123</v>
      </c>
      <c r="O271" s="49" t="s">
        <v>761</v>
      </c>
      <c r="P271" s="49" t="s">
        <v>132</v>
      </c>
      <c r="Q271" s="61"/>
      <c r="R271" s="61"/>
      <c r="S271" s="61"/>
      <c r="T271" s="61" t="s">
        <v>92</v>
      </c>
      <c r="U271" s="67"/>
      <c r="V271" s="67"/>
      <c r="W271" s="67"/>
      <c r="X271" s="67"/>
      <c r="Y271" s="67"/>
      <c r="Z271" s="67"/>
      <c r="AA271" s="67"/>
      <c r="AB271" s="67"/>
      <c r="AC271" s="67"/>
      <c r="AD271" s="67"/>
      <c r="AE271" s="67"/>
      <c r="AF271" s="67"/>
    </row>
    <row r="272">
      <c r="A272" s="67"/>
      <c r="B272" s="43">
        <f t="shared" si="2"/>
        <v>266</v>
      </c>
      <c r="C272" s="44" t="s">
        <v>1237</v>
      </c>
      <c r="D272" s="44" t="s">
        <v>4</v>
      </c>
      <c r="E272" s="45" t="s">
        <v>49</v>
      </c>
      <c r="F272" s="44" t="s">
        <v>1238</v>
      </c>
      <c r="G272" s="46" t="s">
        <v>22</v>
      </c>
      <c r="H272" s="47" t="s">
        <v>6</v>
      </c>
      <c r="I272" s="48" t="s">
        <v>32</v>
      </c>
      <c r="J272" s="52"/>
      <c r="K272" s="45" t="s">
        <v>1239</v>
      </c>
      <c r="L272" s="45" t="s">
        <v>316</v>
      </c>
      <c r="M272" s="54" t="s">
        <v>253</v>
      </c>
      <c r="N272" s="49" t="s">
        <v>123</v>
      </c>
      <c r="O272" s="49" t="s">
        <v>131</v>
      </c>
      <c r="P272" s="49" t="s">
        <v>132</v>
      </c>
      <c r="Q272" s="61"/>
      <c r="R272" s="61"/>
      <c r="S272" s="61"/>
      <c r="T272" s="61" t="s">
        <v>92</v>
      </c>
      <c r="U272" s="67"/>
      <c r="V272" s="67"/>
      <c r="W272" s="67"/>
      <c r="X272" s="67"/>
      <c r="Y272" s="67"/>
      <c r="Z272" s="67"/>
      <c r="AA272" s="67"/>
      <c r="AB272" s="67"/>
      <c r="AC272" s="67"/>
      <c r="AD272" s="67"/>
      <c r="AE272" s="67"/>
      <c r="AF272" s="67"/>
    </row>
    <row r="273">
      <c r="A273" s="67"/>
      <c r="B273" s="43">
        <f t="shared" si="2"/>
        <v>267</v>
      </c>
      <c r="C273" s="44" t="s">
        <v>1240</v>
      </c>
      <c r="D273" s="44" t="s">
        <v>4</v>
      </c>
      <c r="E273" s="45" t="s">
        <v>49</v>
      </c>
      <c r="F273" s="44" t="s">
        <v>1241</v>
      </c>
      <c r="G273" s="46" t="s">
        <v>22</v>
      </c>
      <c r="H273" s="47" t="s">
        <v>6</v>
      </c>
      <c r="I273" s="48" t="s">
        <v>32</v>
      </c>
      <c r="J273" s="52"/>
      <c r="K273" s="45" t="s">
        <v>1242</v>
      </c>
      <c r="L273" s="45" t="s">
        <v>265</v>
      </c>
      <c r="M273" s="54" t="s">
        <v>253</v>
      </c>
      <c r="N273" s="49" t="s">
        <v>123</v>
      </c>
      <c r="O273" s="49" t="s">
        <v>1243</v>
      </c>
      <c r="P273" s="49" t="s">
        <v>132</v>
      </c>
      <c r="Q273" s="61"/>
      <c r="R273" s="61"/>
      <c r="S273" s="61"/>
      <c r="T273" s="61" t="s">
        <v>92</v>
      </c>
      <c r="U273" s="67"/>
      <c r="V273" s="67"/>
      <c r="W273" s="67"/>
      <c r="X273" s="67"/>
      <c r="Y273" s="67"/>
      <c r="Z273" s="67"/>
      <c r="AA273" s="67"/>
      <c r="AB273" s="67"/>
      <c r="AC273" s="67"/>
      <c r="AD273" s="67"/>
      <c r="AE273" s="67"/>
      <c r="AF273" s="67"/>
    </row>
    <row r="274">
      <c r="A274" s="67"/>
      <c r="B274" s="43">
        <f t="shared" si="2"/>
        <v>268</v>
      </c>
      <c r="C274" s="44" t="s">
        <v>1244</v>
      </c>
      <c r="D274" s="44" t="s">
        <v>7</v>
      </c>
      <c r="E274" s="45" t="s">
        <v>45</v>
      </c>
      <c r="F274" s="44" t="s">
        <v>1245</v>
      </c>
      <c r="G274" s="46" t="s">
        <v>20</v>
      </c>
      <c r="H274" s="47" t="s">
        <v>6</v>
      </c>
      <c r="I274" s="48" t="s">
        <v>36</v>
      </c>
      <c r="J274" s="45" t="s">
        <v>193</v>
      </c>
      <c r="K274" s="45" t="s">
        <v>1246</v>
      </c>
      <c r="L274" s="45" t="s">
        <v>1247</v>
      </c>
      <c r="M274" s="54" t="s">
        <v>253</v>
      </c>
      <c r="N274" s="49" t="s">
        <v>114</v>
      </c>
      <c r="O274" s="49" t="s">
        <v>209</v>
      </c>
      <c r="P274" s="49" t="s">
        <v>132</v>
      </c>
      <c r="Q274" s="61"/>
      <c r="R274" s="61"/>
      <c r="S274" s="61"/>
      <c r="T274" s="61" t="s">
        <v>92</v>
      </c>
      <c r="U274" s="67"/>
      <c r="V274" s="67"/>
      <c r="W274" s="67"/>
      <c r="X274" s="67"/>
      <c r="Y274" s="67"/>
      <c r="Z274" s="67"/>
      <c r="AA274" s="67"/>
      <c r="AB274" s="67"/>
      <c r="AC274" s="67"/>
      <c r="AD274" s="67"/>
      <c r="AE274" s="67"/>
      <c r="AF274" s="67"/>
    </row>
    <row r="275">
      <c r="A275" s="67"/>
      <c r="B275" s="43">
        <f t="shared" si="2"/>
        <v>269</v>
      </c>
      <c r="C275" s="44" t="s">
        <v>1248</v>
      </c>
      <c r="D275" s="44" t="s">
        <v>7</v>
      </c>
      <c r="E275" s="45" t="s">
        <v>45</v>
      </c>
      <c r="F275" s="44" t="s">
        <v>1249</v>
      </c>
      <c r="G275" s="46" t="s">
        <v>22</v>
      </c>
      <c r="H275" s="47" t="s">
        <v>6</v>
      </c>
      <c r="I275" s="48" t="s">
        <v>32</v>
      </c>
      <c r="J275" s="52"/>
      <c r="K275" s="45" t="s">
        <v>1250</v>
      </c>
      <c r="L275" s="45" t="s">
        <v>1251</v>
      </c>
      <c r="M275" s="54" t="s">
        <v>253</v>
      </c>
      <c r="N275" s="49" t="s">
        <v>114</v>
      </c>
      <c r="O275" s="49" t="s">
        <v>317</v>
      </c>
      <c r="P275" s="49" t="s">
        <v>132</v>
      </c>
      <c r="Q275" s="61"/>
      <c r="R275" s="61"/>
      <c r="S275" s="61"/>
      <c r="T275" s="61" t="s">
        <v>92</v>
      </c>
      <c r="U275" s="67"/>
      <c r="V275" s="67"/>
      <c r="W275" s="67"/>
      <c r="X275" s="67"/>
      <c r="Y275" s="67"/>
      <c r="Z275" s="67"/>
      <c r="AA275" s="67"/>
      <c r="AB275" s="67"/>
      <c r="AC275" s="67"/>
      <c r="AD275" s="67"/>
      <c r="AE275" s="67"/>
      <c r="AF275" s="67"/>
    </row>
    <row r="276">
      <c r="A276" s="67"/>
      <c r="B276" s="43">
        <f t="shared" si="2"/>
        <v>270</v>
      </c>
      <c r="C276" s="44" t="s">
        <v>1252</v>
      </c>
      <c r="D276" s="44" t="s">
        <v>4</v>
      </c>
      <c r="E276" s="45" t="s">
        <v>49</v>
      </c>
      <c r="F276" s="44" t="s">
        <v>1253</v>
      </c>
      <c r="G276" s="46" t="s">
        <v>20</v>
      </c>
      <c r="H276" s="47" t="s">
        <v>6</v>
      </c>
      <c r="I276" s="48" t="s">
        <v>36</v>
      </c>
      <c r="J276" s="45" t="s">
        <v>193</v>
      </c>
      <c r="K276" s="45" t="s">
        <v>1254</v>
      </c>
      <c r="L276" s="45" t="s">
        <v>1247</v>
      </c>
      <c r="M276" s="54" t="s">
        <v>253</v>
      </c>
      <c r="N276" s="49" t="s">
        <v>114</v>
      </c>
      <c r="O276" s="49" t="s">
        <v>209</v>
      </c>
      <c r="P276" s="49" t="s">
        <v>132</v>
      </c>
      <c r="Q276" s="61"/>
      <c r="R276" s="61"/>
      <c r="S276" s="61"/>
      <c r="T276" s="61" t="s">
        <v>92</v>
      </c>
      <c r="U276" s="67"/>
      <c r="V276" s="67"/>
      <c r="W276" s="67"/>
      <c r="X276" s="67"/>
      <c r="Y276" s="67"/>
      <c r="Z276" s="67"/>
      <c r="AA276" s="67"/>
      <c r="AB276" s="67"/>
      <c r="AC276" s="67"/>
      <c r="AD276" s="67"/>
      <c r="AE276" s="67"/>
      <c r="AF276" s="67"/>
    </row>
    <row r="277">
      <c r="A277" s="67"/>
      <c r="B277" s="43">
        <f t="shared" si="2"/>
        <v>271</v>
      </c>
      <c r="C277" s="44" t="s">
        <v>1255</v>
      </c>
      <c r="D277" s="44" t="s">
        <v>4</v>
      </c>
      <c r="E277" s="45" t="s">
        <v>62</v>
      </c>
      <c r="F277" s="44" t="s">
        <v>1256</v>
      </c>
      <c r="G277" s="46" t="s">
        <v>20</v>
      </c>
      <c r="H277" s="47" t="s">
        <v>25</v>
      </c>
      <c r="I277" s="48" t="s">
        <v>36</v>
      </c>
      <c r="J277" s="45" t="s">
        <v>193</v>
      </c>
      <c r="K277" s="45" t="s">
        <v>1257</v>
      </c>
      <c r="L277" s="45" t="s">
        <v>1247</v>
      </c>
      <c r="M277" s="54" t="s">
        <v>253</v>
      </c>
      <c r="N277" s="49" t="s">
        <v>123</v>
      </c>
      <c r="O277" s="49" t="s">
        <v>1232</v>
      </c>
      <c r="P277" s="49" t="s">
        <v>132</v>
      </c>
      <c r="Q277" s="61"/>
      <c r="R277" s="61"/>
      <c r="S277" s="61"/>
      <c r="T277" s="61" t="s">
        <v>92</v>
      </c>
      <c r="U277" s="67"/>
      <c r="V277" s="67"/>
      <c r="W277" s="67"/>
      <c r="X277" s="67"/>
      <c r="Y277" s="67"/>
      <c r="Z277" s="67"/>
      <c r="AA277" s="67"/>
      <c r="AB277" s="67"/>
      <c r="AC277" s="67"/>
      <c r="AD277" s="67"/>
      <c r="AE277" s="67"/>
      <c r="AF277" s="67"/>
    </row>
    <row r="278">
      <c r="A278" s="67"/>
      <c r="B278" s="43">
        <f t="shared" si="2"/>
        <v>272</v>
      </c>
      <c r="C278" s="44" t="s">
        <v>1258</v>
      </c>
      <c r="D278" s="44" t="s">
        <v>7</v>
      </c>
      <c r="E278" s="45" t="s">
        <v>45</v>
      </c>
      <c r="F278" s="44" t="s">
        <v>1259</v>
      </c>
      <c r="G278" s="46" t="s">
        <v>20</v>
      </c>
      <c r="H278" s="47" t="s">
        <v>6</v>
      </c>
      <c r="I278" s="48" t="s">
        <v>36</v>
      </c>
      <c r="J278" s="45" t="s">
        <v>193</v>
      </c>
      <c r="K278" s="45" t="s">
        <v>1260</v>
      </c>
      <c r="L278" s="45" t="s">
        <v>1247</v>
      </c>
      <c r="M278" s="54" t="s">
        <v>253</v>
      </c>
      <c r="N278" s="49" t="s">
        <v>123</v>
      </c>
      <c r="O278" s="49" t="s">
        <v>209</v>
      </c>
      <c r="P278" s="49" t="s">
        <v>132</v>
      </c>
      <c r="Q278" s="61"/>
      <c r="R278" s="61"/>
      <c r="S278" s="61"/>
      <c r="T278" s="61" t="s">
        <v>92</v>
      </c>
      <c r="U278" s="67"/>
      <c r="V278" s="67"/>
      <c r="W278" s="67"/>
      <c r="X278" s="67"/>
      <c r="Y278" s="67"/>
      <c r="Z278" s="67"/>
      <c r="AA278" s="67"/>
      <c r="AB278" s="67"/>
      <c r="AC278" s="67"/>
      <c r="AD278" s="67"/>
      <c r="AE278" s="67"/>
      <c r="AF278" s="67"/>
    </row>
    <row r="279">
      <c r="A279" s="67"/>
      <c r="B279" s="43">
        <f t="shared" si="2"/>
        <v>273</v>
      </c>
      <c r="C279" s="44" t="s">
        <v>1261</v>
      </c>
      <c r="D279" s="44" t="s">
        <v>7</v>
      </c>
      <c r="E279" s="45" t="s">
        <v>45</v>
      </c>
      <c r="F279" s="44" t="s">
        <v>1262</v>
      </c>
      <c r="G279" s="46" t="s">
        <v>20</v>
      </c>
      <c r="H279" s="47" t="s">
        <v>6</v>
      </c>
      <c r="I279" s="48" t="s">
        <v>36</v>
      </c>
      <c r="J279" s="45" t="s">
        <v>193</v>
      </c>
      <c r="K279" s="45" t="s">
        <v>1263</v>
      </c>
      <c r="L279" s="45" t="s">
        <v>1049</v>
      </c>
      <c r="M279" s="54" t="s">
        <v>85</v>
      </c>
      <c r="N279" s="49" t="s">
        <v>114</v>
      </c>
      <c r="O279" s="49" t="s">
        <v>131</v>
      </c>
      <c r="P279" s="49" t="s">
        <v>132</v>
      </c>
      <c r="Q279" s="61"/>
      <c r="R279" s="61"/>
      <c r="S279" s="61"/>
      <c r="T279" s="61" t="s">
        <v>92</v>
      </c>
      <c r="U279" s="67"/>
      <c r="V279" s="67"/>
      <c r="W279" s="67"/>
      <c r="X279" s="67"/>
      <c r="Y279" s="67"/>
      <c r="Z279" s="67"/>
      <c r="AA279" s="67"/>
      <c r="AB279" s="67"/>
      <c r="AC279" s="67"/>
      <c r="AD279" s="67"/>
      <c r="AE279" s="67"/>
      <c r="AF279" s="67"/>
    </row>
    <row r="280">
      <c r="A280" s="67"/>
      <c r="B280" s="43">
        <f t="shared" si="2"/>
        <v>274</v>
      </c>
      <c r="C280" s="44" t="s">
        <v>1264</v>
      </c>
      <c r="D280" s="44" t="s">
        <v>4</v>
      </c>
      <c r="E280" s="45" t="s">
        <v>62</v>
      </c>
      <c r="F280" s="44" t="s">
        <v>1265</v>
      </c>
      <c r="G280" s="46" t="s">
        <v>20</v>
      </c>
      <c r="H280" s="47" t="s">
        <v>23</v>
      </c>
      <c r="I280" s="60" t="s">
        <v>40</v>
      </c>
      <c r="J280" s="45" t="s">
        <v>250</v>
      </c>
      <c r="K280" s="45" t="s">
        <v>1266</v>
      </c>
      <c r="L280" s="45" t="s">
        <v>1143</v>
      </c>
      <c r="M280" s="54" t="s">
        <v>253</v>
      </c>
      <c r="N280" s="49" t="s">
        <v>123</v>
      </c>
      <c r="O280" s="49" t="s">
        <v>935</v>
      </c>
      <c r="P280" s="49" t="s">
        <v>132</v>
      </c>
      <c r="Q280" s="61"/>
      <c r="R280" s="61"/>
      <c r="S280" s="61"/>
      <c r="T280" s="61" t="s">
        <v>92</v>
      </c>
      <c r="U280" s="67"/>
      <c r="V280" s="67"/>
      <c r="W280" s="67"/>
      <c r="X280" s="67"/>
      <c r="Y280" s="67"/>
      <c r="Z280" s="67"/>
      <c r="AA280" s="67"/>
      <c r="AB280" s="67"/>
      <c r="AC280" s="67"/>
      <c r="AD280" s="67"/>
      <c r="AE280" s="67"/>
      <c r="AF280" s="67"/>
    </row>
    <row r="281">
      <c r="A281" s="67"/>
      <c r="B281" s="43">
        <f t="shared" si="2"/>
        <v>275</v>
      </c>
      <c r="C281" s="44" t="s">
        <v>1267</v>
      </c>
      <c r="D281" s="44" t="s">
        <v>4</v>
      </c>
      <c r="E281" s="45" t="s">
        <v>62</v>
      </c>
      <c r="F281" s="44" t="s">
        <v>1268</v>
      </c>
      <c r="G281" s="46" t="s">
        <v>20</v>
      </c>
      <c r="H281" s="47" t="s">
        <v>23</v>
      </c>
      <c r="I281" s="48" t="s">
        <v>36</v>
      </c>
      <c r="J281" s="45" t="s">
        <v>193</v>
      </c>
      <c r="K281" s="45" t="s">
        <v>1269</v>
      </c>
      <c r="L281" s="45" t="s">
        <v>1143</v>
      </c>
      <c r="M281" s="54" t="s">
        <v>253</v>
      </c>
      <c r="N281" s="49" t="s">
        <v>123</v>
      </c>
      <c r="O281" s="49" t="s">
        <v>209</v>
      </c>
      <c r="P281" s="49" t="s">
        <v>132</v>
      </c>
      <c r="Q281" s="61"/>
      <c r="R281" s="61"/>
      <c r="S281" s="61"/>
      <c r="T281" s="61" t="s">
        <v>92</v>
      </c>
      <c r="U281" s="67"/>
      <c r="V281" s="67"/>
      <c r="W281" s="67"/>
      <c r="X281" s="67"/>
      <c r="Y281" s="67"/>
      <c r="Z281" s="67"/>
      <c r="AA281" s="67"/>
      <c r="AB281" s="67"/>
      <c r="AC281" s="67"/>
      <c r="AD281" s="67"/>
      <c r="AE281" s="67"/>
      <c r="AF281" s="67"/>
    </row>
    <row r="282">
      <c r="A282" s="67"/>
      <c r="B282" s="43">
        <f t="shared" si="2"/>
        <v>276</v>
      </c>
      <c r="C282" s="44" t="s">
        <v>1270</v>
      </c>
      <c r="D282" s="44" t="s">
        <v>4</v>
      </c>
      <c r="E282" s="45" t="s">
        <v>49</v>
      </c>
      <c r="F282" s="44" t="s">
        <v>1271</v>
      </c>
      <c r="G282" s="46" t="s">
        <v>20</v>
      </c>
      <c r="H282" s="47" t="s">
        <v>6</v>
      </c>
      <c r="I282" s="48"/>
      <c r="J282" s="52"/>
      <c r="K282" s="45" t="s">
        <v>1272</v>
      </c>
      <c r="L282" s="45" t="s">
        <v>122</v>
      </c>
      <c r="M282" s="54" t="s">
        <v>253</v>
      </c>
      <c r="N282" s="49" t="s">
        <v>123</v>
      </c>
      <c r="O282" s="49" t="s">
        <v>87</v>
      </c>
      <c r="P282" s="49" t="s">
        <v>132</v>
      </c>
      <c r="Q282" s="61"/>
      <c r="R282" s="61"/>
      <c r="S282" s="61"/>
      <c r="T282" s="61" t="s">
        <v>92</v>
      </c>
      <c r="U282" s="67"/>
      <c r="V282" s="67"/>
      <c r="W282" s="67"/>
      <c r="X282" s="67"/>
      <c r="Y282" s="67"/>
      <c r="Z282" s="67"/>
      <c r="AA282" s="67"/>
      <c r="AB282" s="67"/>
      <c r="AC282" s="67"/>
      <c r="AD282" s="67"/>
      <c r="AE282" s="67"/>
      <c r="AF282" s="67"/>
    </row>
    <row r="283">
      <c r="A283" s="67"/>
      <c r="B283" s="43">
        <f t="shared" si="2"/>
        <v>277</v>
      </c>
      <c r="C283" s="44" t="s">
        <v>1273</v>
      </c>
      <c r="D283" s="44" t="s">
        <v>4</v>
      </c>
      <c r="E283" s="45" t="s">
        <v>49</v>
      </c>
      <c r="F283" s="44" t="s">
        <v>1274</v>
      </c>
      <c r="G283" s="46" t="s">
        <v>26</v>
      </c>
      <c r="H283" s="47" t="s">
        <v>6</v>
      </c>
      <c r="I283" s="60" t="s">
        <v>40</v>
      </c>
      <c r="J283" s="52"/>
      <c r="K283" s="45" t="s">
        <v>1275</v>
      </c>
      <c r="L283" s="45" t="s">
        <v>1143</v>
      </c>
      <c r="M283" s="54" t="s">
        <v>253</v>
      </c>
      <c r="N283" s="49" t="s">
        <v>123</v>
      </c>
      <c r="O283" s="49" t="s">
        <v>942</v>
      </c>
      <c r="P283" s="49" t="s">
        <v>132</v>
      </c>
      <c r="Q283" s="61"/>
      <c r="R283" s="61"/>
      <c r="S283" s="61"/>
      <c r="T283" s="61" t="s">
        <v>92</v>
      </c>
      <c r="U283" s="67"/>
      <c r="V283" s="67"/>
      <c r="W283" s="67"/>
      <c r="X283" s="67"/>
      <c r="Y283" s="67"/>
      <c r="Z283" s="67"/>
      <c r="AA283" s="67"/>
      <c r="AB283" s="67"/>
      <c r="AC283" s="67"/>
      <c r="AD283" s="67"/>
      <c r="AE283" s="67"/>
      <c r="AF283" s="67"/>
    </row>
    <row r="284">
      <c r="A284" s="67"/>
      <c r="B284" s="43">
        <f t="shared" si="2"/>
        <v>278</v>
      </c>
      <c r="C284" s="44" t="s">
        <v>1276</v>
      </c>
      <c r="D284" s="44" t="s">
        <v>4</v>
      </c>
      <c r="E284" s="45" t="s">
        <v>49</v>
      </c>
      <c r="F284" s="44" t="s">
        <v>1277</v>
      </c>
      <c r="G284" s="46" t="s">
        <v>26</v>
      </c>
      <c r="H284" s="47" t="s">
        <v>6</v>
      </c>
      <c r="I284" s="48" t="s">
        <v>40</v>
      </c>
      <c r="J284" s="45" t="s">
        <v>193</v>
      </c>
      <c r="K284" s="45" t="s">
        <v>1278</v>
      </c>
      <c r="L284" s="45" t="s">
        <v>1143</v>
      </c>
      <c r="M284" s="54" t="s">
        <v>253</v>
      </c>
      <c r="N284" s="49" t="s">
        <v>123</v>
      </c>
      <c r="O284" s="49" t="s">
        <v>935</v>
      </c>
      <c r="P284" s="49" t="s">
        <v>132</v>
      </c>
      <c r="Q284" s="61"/>
      <c r="R284" s="61"/>
      <c r="S284" s="61"/>
      <c r="T284" s="61" t="s">
        <v>92</v>
      </c>
      <c r="U284" s="67"/>
      <c r="V284" s="67"/>
      <c r="W284" s="67"/>
      <c r="X284" s="67"/>
      <c r="Y284" s="67"/>
      <c r="Z284" s="67"/>
      <c r="AA284" s="67"/>
      <c r="AB284" s="67"/>
      <c r="AC284" s="67"/>
      <c r="AD284" s="67"/>
      <c r="AE284" s="67"/>
      <c r="AF284" s="67"/>
    </row>
    <row r="285">
      <c r="A285" s="67"/>
      <c r="B285" s="43">
        <f t="shared" si="2"/>
        <v>279</v>
      </c>
      <c r="C285" s="44" t="s">
        <v>1279</v>
      </c>
      <c r="D285" s="44" t="s">
        <v>4</v>
      </c>
      <c r="E285" s="45" t="s">
        <v>49</v>
      </c>
      <c r="F285" s="44" t="s">
        <v>1280</v>
      </c>
      <c r="G285" s="46" t="s">
        <v>26</v>
      </c>
      <c r="H285" s="47" t="s">
        <v>6</v>
      </c>
      <c r="I285" s="60" t="s">
        <v>40</v>
      </c>
      <c r="J285" s="52"/>
      <c r="K285" s="45" t="s">
        <v>1281</v>
      </c>
      <c r="L285" s="45" t="s">
        <v>1143</v>
      </c>
      <c r="M285" s="54" t="s">
        <v>253</v>
      </c>
      <c r="N285" s="49" t="s">
        <v>123</v>
      </c>
      <c r="O285" s="49" t="s">
        <v>1123</v>
      </c>
      <c r="P285" s="49" t="s">
        <v>132</v>
      </c>
      <c r="Q285" s="61"/>
      <c r="R285" s="61"/>
      <c r="S285" s="61"/>
      <c r="T285" s="61" t="s">
        <v>92</v>
      </c>
      <c r="U285" s="67"/>
      <c r="V285" s="67"/>
      <c r="W285" s="67"/>
      <c r="X285" s="67"/>
      <c r="Y285" s="67"/>
      <c r="Z285" s="67"/>
      <c r="AA285" s="67"/>
      <c r="AB285" s="67"/>
      <c r="AC285" s="67"/>
      <c r="AD285" s="67"/>
      <c r="AE285" s="67"/>
      <c r="AF285" s="67"/>
    </row>
    <row r="286">
      <c r="A286" s="67"/>
      <c r="B286" s="43">
        <f t="shared" si="2"/>
        <v>280</v>
      </c>
      <c r="C286" s="44" t="s">
        <v>1282</v>
      </c>
      <c r="D286" s="44" t="s">
        <v>4</v>
      </c>
      <c r="E286" s="45" t="s">
        <v>47</v>
      </c>
      <c r="F286" s="44" t="s">
        <v>1283</v>
      </c>
      <c r="G286" s="46" t="s">
        <v>20</v>
      </c>
      <c r="H286" s="47" t="s">
        <v>8</v>
      </c>
      <c r="I286" s="48"/>
      <c r="J286" s="52"/>
      <c r="K286" s="45" t="s">
        <v>1284</v>
      </c>
      <c r="L286" s="45" t="s">
        <v>208</v>
      </c>
      <c r="M286" s="54" t="s">
        <v>113</v>
      </c>
      <c r="N286" s="49" t="s">
        <v>123</v>
      </c>
      <c r="O286" s="49" t="s">
        <v>87</v>
      </c>
      <c r="P286" s="49" t="s">
        <v>132</v>
      </c>
      <c r="Q286" s="61"/>
      <c r="R286" s="61"/>
      <c r="S286" s="61"/>
      <c r="T286" s="61" t="s">
        <v>92</v>
      </c>
      <c r="U286" s="67"/>
      <c r="V286" s="67"/>
      <c r="W286" s="67"/>
      <c r="X286" s="67"/>
      <c r="Y286" s="67"/>
      <c r="Z286" s="67"/>
      <c r="AA286" s="67"/>
      <c r="AB286" s="67"/>
      <c r="AC286" s="67"/>
      <c r="AD286" s="67"/>
      <c r="AE286" s="67"/>
      <c r="AF286" s="67"/>
    </row>
    <row r="287">
      <c r="A287" s="67"/>
      <c r="B287" s="43">
        <f t="shared" si="2"/>
        <v>281</v>
      </c>
      <c r="C287" s="44" t="s">
        <v>1285</v>
      </c>
      <c r="D287" s="44" t="s">
        <v>7</v>
      </c>
      <c r="E287" s="45" t="s">
        <v>37</v>
      </c>
      <c r="F287" s="44" t="s">
        <v>1286</v>
      </c>
      <c r="G287" s="46" t="s">
        <v>18</v>
      </c>
      <c r="H287" s="47" t="s">
        <v>17</v>
      </c>
      <c r="I287" s="60" t="s">
        <v>38</v>
      </c>
      <c r="J287" s="52"/>
      <c r="K287" s="45" t="s">
        <v>1287</v>
      </c>
      <c r="L287" s="45" t="s">
        <v>1288</v>
      </c>
      <c r="M287" s="54" t="s">
        <v>85</v>
      </c>
      <c r="N287" s="49" t="s">
        <v>86</v>
      </c>
      <c r="O287" s="49" t="s">
        <v>209</v>
      </c>
      <c r="P287" s="49" t="s">
        <v>88</v>
      </c>
      <c r="Q287" s="61"/>
      <c r="R287" s="61"/>
      <c r="S287" s="61"/>
      <c r="T287" s="61" t="s">
        <v>92</v>
      </c>
      <c r="U287" s="67"/>
      <c r="V287" s="67"/>
      <c r="W287" s="67"/>
      <c r="X287" s="67"/>
      <c r="Y287" s="67"/>
      <c r="Z287" s="67"/>
      <c r="AA287" s="67"/>
      <c r="AB287" s="67"/>
      <c r="AC287" s="67"/>
      <c r="AD287" s="67"/>
      <c r="AE287" s="67"/>
      <c r="AF287" s="67"/>
    </row>
    <row r="288">
      <c r="A288" s="67"/>
      <c r="B288" s="43">
        <f t="shared" si="2"/>
        <v>282</v>
      </c>
      <c r="C288" s="44" t="s">
        <v>1289</v>
      </c>
      <c r="D288" s="44" t="s">
        <v>7</v>
      </c>
      <c r="E288" s="45" t="s">
        <v>41</v>
      </c>
      <c r="F288" s="44" t="s">
        <v>1290</v>
      </c>
      <c r="G288" s="46" t="s">
        <v>18</v>
      </c>
      <c r="H288" s="47" t="s">
        <v>17</v>
      </c>
      <c r="I288" s="48" t="s">
        <v>32</v>
      </c>
      <c r="J288" s="45" t="s">
        <v>193</v>
      </c>
      <c r="K288" s="45" t="s">
        <v>1291</v>
      </c>
      <c r="L288" s="45" t="s">
        <v>1292</v>
      </c>
      <c r="M288" s="54" t="s">
        <v>85</v>
      </c>
      <c r="N288" s="49" t="s">
        <v>86</v>
      </c>
      <c r="O288" s="49" t="s">
        <v>209</v>
      </c>
      <c r="P288" s="49" t="s">
        <v>105</v>
      </c>
      <c r="Q288" s="61"/>
      <c r="R288" s="61"/>
      <c r="S288" s="61"/>
      <c r="T288" s="61" t="s">
        <v>92</v>
      </c>
      <c r="U288" s="67"/>
      <c r="V288" s="67"/>
      <c r="W288" s="67"/>
      <c r="X288" s="67"/>
      <c r="Y288" s="67"/>
      <c r="Z288" s="67"/>
      <c r="AA288" s="67"/>
      <c r="AB288" s="67"/>
      <c r="AC288" s="67"/>
      <c r="AD288" s="67"/>
      <c r="AE288" s="67"/>
      <c r="AF288" s="67"/>
    </row>
    <row r="289">
      <c r="A289" s="67"/>
      <c r="B289" s="43">
        <f t="shared" si="2"/>
        <v>283</v>
      </c>
      <c r="C289" s="44" t="s">
        <v>1293</v>
      </c>
      <c r="D289" s="44" t="s">
        <v>7</v>
      </c>
      <c r="E289" s="45" t="s">
        <v>41</v>
      </c>
      <c r="F289" s="44" t="s">
        <v>1294</v>
      </c>
      <c r="G289" s="46" t="s">
        <v>18</v>
      </c>
      <c r="H289" s="47" t="s">
        <v>17</v>
      </c>
      <c r="I289" s="48"/>
      <c r="J289" s="52"/>
      <c r="K289" s="45" t="s">
        <v>1295</v>
      </c>
      <c r="L289" s="45" t="s">
        <v>365</v>
      </c>
      <c r="M289" s="54" t="s">
        <v>85</v>
      </c>
      <c r="N289" s="49" t="s">
        <v>86</v>
      </c>
      <c r="O289" s="49" t="s">
        <v>131</v>
      </c>
      <c r="P289" s="49" t="s">
        <v>105</v>
      </c>
      <c r="Q289" s="61"/>
      <c r="R289" s="61"/>
      <c r="S289" s="61"/>
      <c r="T289" s="61" t="s">
        <v>92</v>
      </c>
      <c r="U289" s="67"/>
      <c r="V289" s="67"/>
      <c r="W289" s="67"/>
      <c r="X289" s="67"/>
      <c r="Y289" s="67"/>
      <c r="Z289" s="67"/>
      <c r="AA289" s="67"/>
      <c r="AB289" s="67"/>
      <c r="AC289" s="67"/>
      <c r="AD289" s="67"/>
      <c r="AE289" s="67"/>
      <c r="AF289" s="67"/>
    </row>
    <row r="290">
      <c r="A290" s="67"/>
      <c r="B290" s="43">
        <f t="shared" si="2"/>
        <v>284</v>
      </c>
      <c r="C290" s="44" t="s">
        <v>1296</v>
      </c>
      <c r="D290" s="44" t="s">
        <v>7</v>
      </c>
      <c r="E290" s="45" t="s">
        <v>41</v>
      </c>
      <c r="F290" s="44" t="s">
        <v>1297</v>
      </c>
      <c r="G290" s="46" t="s">
        <v>18</v>
      </c>
      <c r="H290" s="47" t="s">
        <v>17</v>
      </c>
      <c r="I290" s="48"/>
      <c r="J290" s="52"/>
      <c r="K290" s="45" t="s">
        <v>1298</v>
      </c>
      <c r="L290" s="45" t="s">
        <v>1292</v>
      </c>
      <c r="M290" s="54" t="s">
        <v>85</v>
      </c>
      <c r="N290" s="49" t="s">
        <v>86</v>
      </c>
      <c r="O290" s="49" t="s">
        <v>209</v>
      </c>
      <c r="P290" s="49" t="s">
        <v>105</v>
      </c>
      <c r="Q290" s="61"/>
      <c r="R290" s="61"/>
      <c r="S290" s="61"/>
      <c r="T290" s="61" t="s">
        <v>92</v>
      </c>
      <c r="U290" s="67"/>
      <c r="V290" s="67"/>
      <c r="W290" s="67"/>
      <c r="X290" s="67"/>
      <c r="Y290" s="67"/>
      <c r="Z290" s="67"/>
      <c r="AA290" s="67"/>
      <c r="AB290" s="67"/>
      <c r="AC290" s="67"/>
      <c r="AD290" s="67"/>
      <c r="AE290" s="67"/>
      <c r="AF290" s="67"/>
    </row>
    <row r="291">
      <c r="A291" s="67"/>
      <c r="B291" s="43">
        <f t="shared" si="2"/>
        <v>285</v>
      </c>
      <c r="C291" s="44" t="s">
        <v>1299</v>
      </c>
      <c r="D291" s="44" t="s">
        <v>7</v>
      </c>
      <c r="E291" s="45" t="s">
        <v>41</v>
      </c>
      <c r="F291" s="44" t="s">
        <v>1300</v>
      </c>
      <c r="G291" s="46" t="s">
        <v>18</v>
      </c>
      <c r="H291" s="47" t="s">
        <v>17</v>
      </c>
      <c r="I291" s="48"/>
      <c r="J291" s="52"/>
      <c r="K291" s="45" t="s">
        <v>1301</v>
      </c>
      <c r="L291" s="45" t="s">
        <v>365</v>
      </c>
      <c r="M291" s="54" t="s">
        <v>85</v>
      </c>
      <c r="N291" s="49" t="s">
        <v>86</v>
      </c>
      <c r="O291" s="49" t="s">
        <v>209</v>
      </c>
      <c r="P291" s="49" t="s">
        <v>105</v>
      </c>
      <c r="Q291" s="61"/>
      <c r="R291" s="61"/>
      <c r="S291" s="61"/>
      <c r="T291" s="61" t="s">
        <v>92</v>
      </c>
      <c r="U291" s="67"/>
      <c r="V291" s="67"/>
      <c r="W291" s="67"/>
      <c r="X291" s="67"/>
      <c r="Y291" s="67"/>
      <c r="Z291" s="67"/>
      <c r="AA291" s="67"/>
      <c r="AB291" s="67"/>
      <c r="AC291" s="67"/>
      <c r="AD291" s="67"/>
      <c r="AE291" s="67"/>
      <c r="AF291" s="67"/>
    </row>
    <row r="292">
      <c r="A292" s="67"/>
      <c r="B292" s="43">
        <f t="shared" si="2"/>
        <v>286</v>
      </c>
      <c r="C292" s="44" t="s">
        <v>1302</v>
      </c>
      <c r="D292" s="44" t="s">
        <v>7</v>
      </c>
      <c r="E292" s="45" t="s">
        <v>37</v>
      </c>
      <c r="F292" s="44" t="s">
        <v>1303</v>
      </c>
      <c r="G292" s="46" t="s">
        <v>18</v>
      </c>
      <c r="H292" s="47" t="s">
        <v>17</v>
      </c>
      <c r="I292" s="48"/>
      <c r="J292" s="52"/>
      <c r="K292" s="45" t="s">
        <v>1304</v>
      </c>
      <c r="L292" s="45" t="s">
        <v>564</v>
      </c>
      <c r="M292" s="54" t="s">
        <v>85</v>
      </c>
      <c r="N292" s="49" t="s">
        <v>86</v>
      </c>
      <c r="O292" s="49" t="s">
        <v>209</v>
      </c>
      <c r="P292" s="49" t="s">
        <v>132</v>
      </c>
      <c r="Q292" s="61"/>
      <c r="R292" s="61"/>
      <c r="S292" s="61"/>
      <c r="T292" s="61" t="s">
        <v>92</v>
      </c>
      <c r="U292" s="67"/>
      <c r="V292" s="67"/>
      <c r="W292" s="67"/>
      <c r="X292" s="67"/>
      <c r="Y292" s="67"/>
      <c r="Z292" s="67"/>
      <c r="AA292" s="67"/>
      <c r="AB292" s="67"/>
      <c r="AC292" s="67"/>
      <c r="AD292" s="67"/>
      <c r="AE292" s="67"/>
      <c r="AF292" s="67"/>
    </row>
    <row r="293">
      <c r="A293" s="67"/>
      <c r="B293" s="43">
        <f t="shared" si="2"/>
        <v>287</v>
      </c>
      <c r="C293" s="44" t="s">
        <v>1305</v>
      </c>
      <c r="D293" s="44" t="s">
        <v>7</v>
      </c>
      <c r="E293" s="45" t="s">
        <v>37</v>
      </c>
      <c r="F293" s="44" t="s">
        <v>1306</v>
      </c>
      <c r="G293" s="46" t="s">
        <v>18</v>
      </c>
      <c r="H293" s="47" t="s">
        <v>17</v>
      </c>
      <c r="I293" s="48"/>
      <c r="J293" s="52"/>
      <c r="K293" s="45" t="s">
        <v>1307</v>
      </c>
      <c r="L293" s="45" t="s">
        <v>1292</v>
      </c>
      <c r="M293" s="54" t="s">
        <v>85</v>
      </c>
      <c r="N293" s="49" t="s">
        <v>86</v>
      </c>
      <c r="O293" s="49" t="s">
        <v>209</v>
      </c>
      <c r="P293" s="49" t="s">
        <v>105</v>
      </c>
      <c r="Q293" s="61"/>
      <c r="R293" s="61"/>
      <c r="S293" s="61"/>
      <c r="T293" s="61" t="s">
        <v>92</v>
      </c>
      <c r="U293" s="67"/>
      <c r="V293" s="67"/>
      <c r="W293" s="67"/>
      <c r="X293" s="67"/>
      <c r="Y293" s="67"/>
      <c r="Z293" s="67"/>
      <c r="AA293" s="67"/>
      <c r="AB293" s="67"/>
      <c r="AC293" s="67"/>
      <c r="AD293" s="67"/>
      <c r="AE293" s="67"/>
      <c r="AF293" s="67"/>
    </row>
    <row r="294">
      <c r="A294" s="67"/>
      <c r="B294" s="43">
        <f t="shared" si="2"/>
        <v>288</v>
      </c>
      <c r="C294" s="44" t="s">
        <v>1308</v>
      </c>
      <c r="D294" s="44" t="s">
        <v>7</v>
      </c>
      <c r="E294" s="45" t="s">
        <v>37</v>
      </c>
      <c r="F294" s="44" t="s">
        <v>1309</v>
      </c>
      <c r="G294" s="46" t="s">
        <v>18</v>
      </c>
      <c r="H294" s="47" t="s">
        <v>17</v>
      </c>
      <c r="I294" s="48"/>
      <c r="J294" s="52"/>
      <c r="K294" s="45" t="s">
        <v>1310</v>
      </c>
      <c r="L294" s="45" t="s">
        <v>429</v>
      </c>
      <c r="M294" s="54" t="s">
        <v>85</v>
      </c>
      <c r="N294" s="49" t="s">
        <v>86</v>
      </c>
      <c r="O294" s="49" t="s">
        <v>209</v>
      </c>
      <c r="P294" s="49" t="s">
        <v>88</v>
      </c>
      <c r="Q294" s="61"/>
      <c r="R294" s="61"/>
      <c r="S294" s="61"/>
      <c r="T294" s="61" t="s">
        <v>92</v>
      </c>
      <c r="U294" s="67"/>
      <c r="V294" s="67"/>
      <c r="W294" s="67"/>
      <c r="X294" s="67"/>
      <c r="Y294" s="67"/>
      <c r="Z294" s="67"/>
      <c r="AA294" s="67"/>
      <c r="AB294" s="67"/>
      <c r="AC294" s="67"/>
      <c r="AD294" s="67"/>
      <c r="AE294" s="67"/>
      <c r="AF294" s="67"/>
    </row>
    <row r="295">
      <c r="A295" s="67"/>
      <c r="B295" s="43">
        <f t="shared" si="2"/>
        <v>289</v>
      </c>
      <c r="C295" s="44" t="s">
        <v>1311</v>
      </c>
      <c r="D295" s="44" t="s">
        <v>7</v>
      </c>
      <c r="E295" s="45" t="s">
        <v>37</v>
      </c>
      <c r="F295" s="44" t="s">
        <v>1312</v>
      </c>
      <c r="G295" s="46" t="s">
        <v>18</v>
      </c>
      <c r="H295" s="47" t="s">
        <v>17</v>
      </c>
      <c r="I295" s="48"/>
      <c r="J295" s="52"/>
      <c r="K295" s="45" t="s">
        <v>1313</v>
      </c>
      <c r="L295" s="45" t="s">
        <v>429</v>
      </c>
      <c r="M295" s="54" t="s">
        <v>85</v>
      </c>
      <c r="N295" s="49" t="s">
        <v>86</v>
      </c>
      <c r="O295" s="49" t="s">
        <v>209</v>
      </c>
      <c r="P295" s="49" t="s">
        <v>88</v>
      </c>
      <c r="Q295" s="61"/>
      <c r="R295" s="61"/>
      <c r="S295" s="61"/>
      <c r="T295" s="61" t="s">
        <v>92</v>
      </c>
      <c r="U295" s="67"/>
      <c r="V295" s="67"/>
      <c r="W295" s="67"/>
      <c r="X295" s="67"/>
      <c r="Y295" s="67"/>
      <c r="Z295" s="67"/>
      <c r="AA295" s="67"/>
      <c r="AB295" s="67"/>
      <c r="AC295" s="67"/>
      <c r="AD295" s="67"/>
      <c r="AE295" s="67"/>
      <c r="AF295" s="67"/>
    </row>
    <row r="296">
      <c r="A296" s="67"/>
      <c r="B296" s="43">
        <f t="shared" si="2"/>
        <v>290</v>
      </c>
      <c r="C296" s="44" t="s">
        <v>1314</v>
      </c>
      <c r="D296" s="44" t="s">
        <v>7</v>
      </c>
      <c r="E296" s="45" t="s">
        <v>37</v>
      </c>
      <c r="F296" s="44" t="s">
        <v>1315</v>
      </c>
      <c r="G296" s="46" t="s">
        <v>18</v>
      </c>
      <c r="H296" s="47" t="s">
        <v>17</v>
      </c>
      <c r="I296" s="48"/>
      <c r="J296" s="52"/>
      <c r="K296" s="45" t="s">
        <v>1316</v>
      </c>
      <c r="L296" s="45" t="s">
        <v>429</v>
      </c>
      <c r="M296" s="54" t="s">
        <v>85</v>
      </c>
      <c r="N296" s="49" t="s">
        <v>86</v>
      </c>
      <c r="O296" s="49" t="s">
        <v>209</v>
      </c>
      <c r="P296" s="49" t="s">
        <v>88</v>
      </c>
      <c r="Q296" s="61"/>
      <c r="R296" s="61"/>
      <c r="S296" s="61"/>
      <c r="T296" s="61" t="s">
        <v>92</v>
      </c>
      <c r="U296" s="67"/>
      <c r="V296" s="67"/>
      <c r="W296" s="67"/>
      <c r="X296" s="67"/>
      <c r="Y296" s="67"/>
      <c r="Z296" s="67"/>
      <c r="AA296" s="67"/>
      <c r="AB296" s="67"/>
      <c r="AC296" s="67"/>
      <c r="AD296" s="67"/>
      <c r="AE296" s="67"/>
      <c r="AF296" s="67"/>
    </row>
    <row r="297">
      <c r="A297" s="67"/>
      <c r="B297" s="43">
        <f t="shared" si="2"/>
        <v>291</v>
      </c>
      <c r="C297" s="44" t="s">
        <v>1317</v>
      </c>
      <c r="D297" s="44" t="s">
        <v>7</v>
      </c>
      <c r="E297" s="45" t="s">
        <v>37</v>
      </c>
      <c r="F297" s="44" t="s">
        <v>1318</v>
      </c>
      <c r="G297" s="46" t="s">
        <v>18</v>
      </c>
      <c r="H297" s="47" t="s">
        <v>23</v>
      </c>
      <c r="I297" s="48"/>
      <c r="J297" s="52"/>
      <c r="K297" s="45" t="s">
        <v>1319</v>
      </c>
      <c r="L297" s="45" t="s">
        <v>84</v>
      </c>
      <c r="M297" s="54" t="s">
        <v>85</v>
      </c>
      <c r="N297" s="49" t="s">
        <v>86</v>
      </c>
      <c r="O297" s="49" t="s">
        <v>209</v>
      </c>
      <c r="P297" s="49" t="s">
        <v>88</v>
      </c>
      <c r="Q297" s="61"/>
      <c r="R297" s="61"/>
      <c r="S297" s="61"/>
      <c r="T297" s="61" t="s">
        <v>92</v>
      </c>
      <c r="U297" s="67"/>
      <c r="V297" s="67"/>
      <c r="W297" s="67"/>
      <c r="X297" s="67"/>
      <c r="Y297" s="67"/>
      <c r="Z297" s="67"/>
      <c r="AA297" s="67"/>
      <c r="AB297" s="67"/>
      <c r="AC297" s="67"/>
      <c r="AD297" s="67"/>
      <c r="AE297" s="67"/>
      <c r="AF297" s="67"/>
    </row>
    <row r="298">
      <c r="A298" s="67"/>
      <c r="B298" s="43">
        <f t="shared" si="2"/>
        <v>292</v>
      </c>
      <c r="C298" s="44" t="s">
        <v>1320</v>
      </c>
      <c r="D298" s="44" t="s">
        <v>7</v>
      </c>
      <c r="E298" s="45" t="s">
        <v>37</v>
      </c>
      <c r="F298" s="44" t="s">
        <v>1321</v>
      </c>
      <c r="G298" s="46" t="s">
        <v>18</v>
      </c>
      <c r="H298" s="47" t="s">
        <v>28</v>
      </c>
      <c r="I298" s="48"/>
      <c r="J298" s="52"/>
      <c r="K298" s="45" t="s">
        <v>1322</v>
      </c>
      <c r="L298" s="45" t="s">
        <v>84</v>
      </c>
      <c r="M298" s="54" t="s">
        <v>113</v>
      </c>
      <c r="N298" s="49" t="s">
        <v>86</v>
      </c>
      <c r="O298" s="49" t="s">
        <v>209</v>
      </c>
      <c r="P298" s="49" t="s">
        <v>88</v>
      </c>
      <c r="Q298" s="61"/>
      <c r="R298" s="61"/>
      <c r="S298" s="61"/>
      <c r="T298" s="61" t="s">
        <v>92</v>
      </c>
      <c r="U298" s="67"/>
      <c r="V298" s="67"/>
      <c r="W298" s="67"/>
      <c r="X298" s="67"/>
      <c r="Y298" s="67"/>
      <c r="Z298" s="67"/>
      <c r="AA298" s="67"/>
      <c r="AB298" s="67"/>
      <c r="AC298" s="67"/>
      <c r="AD298" s="67"/>
      <c r="AE298" s="67"/>
      <c r="AF298" s="67"/>
    </row>
    <row r="299">
      <c r="A299" s="67"/>
      <c r="B299" s="43">
        <f t="shared" si="2"/>
        <v>293</v>
      </c>
      <c r="C299" s="44" t="s">
        <v>1323</v>
      </c>
      <c r="D299" s="44" t="s">
        <v>7</v>
      </c>
      <c r="E299" s="45" t="s">
        <v>37</v>
      </c>
      <c r="F299" s="44" t="s">
        <v>1324</v>
      </c>
      <c r="G299" s="46" t="s">
        <v>18</v>
      </c>
      <c r="H299" s="47" t="s">
        <v>28</v>
      </c>
      <c r="I299" s="48"/>
      <c r="J299" s="52"/>
      <c r="K299" s="45" t="s">
        <v>1325</v>
      </c>
      <c r="L299" s="45" t="s">
        <v>84</v>
      </c>
      <c r="M299" s="54" t="s">
        <v>113</v>
      </c>
      <c r="N299" s="49" t="s">
        <v>86</v>
      </c>
      <c r="O299" s="49" t="s">
        <v>209</v>
      </c>
      <c r="P299" s="49" t="s">
        <v>88</v>
      </c>
      <c r="Q299" s="61"/>
      <c r="R299" s="61"/>
      <c r="S299" s="61"/>
      <c r="T299" s="61" t="s">
        <v>92</v>
      </c>
      <c r="U299" s="67"/>
      <c r="V299" s="67"/>
      <c r="W299" s="67"/>
      <c r="X299" s="67"/>
      <c r="Y299" s="67"/>
      <c r="Z299" s="67"/>
      <c r="AA299" s="67"/>
      <c r="AB299" s="67"/>
      <c r="AC299" s="67"/>
      <c r="AD299" s="67"/>
      <c r="AE299" s="67"/>
      <c r="AF299" s="67"/>
    </row>
    <row r="300">
      <c r="A300" s="67"/>
      <c r="B300" s="43">
        <f t="shared" si="2"/>
        <v>294</v>
      </c>
      <c r="C300" s="44" t="s">
        <v>1326</v>
      </c>
      <c r="D300" s="44" t="s">
        <v>7</v>
      </c>
      <c r="E300" s="45" t="s">
        <v>37</v>
      </c>
      <c r="F300" s="44" t="s">
        <v>1327</v>
      </c>
      <c r="G300" s="46" t="s">
        <v>18</v>
      </c>
      <c r="H300" s="47" t="s">
        <v>28</v>
      </c>
      <c r="I300" s="60" t="s">
        <v>38</v>
      </c>
      <c r="J300" s="45"/>
      <c r="K300" s="45" t="s">
        <v>1328</v>
      </c>
      <c r="L300" s="45" t="s">
        <v>84</v>
      </c>
      <c r="M300" s="54" t="s">
        <v>113</v>
      </c>
      <c r="N300" s="49" t="s">
        <v>86</v>
      </c>
      <c r="O300" s="49" t="s">
        <v>209</v>
      </c>
      <c r="P300" s="49" t="s">
        <v>88</v>
      </c>
      <c r="Q300" s="61"/>
      <c r="R300" s="61"/>
      <c r="S300" s="61"/>
      <c r="T300" s="61" t="s">
        <v>92</v>
      </c>
      <c r="U300" s="67"/>
      <c r="V300" s="67"/>
      <c r="W300" s="67"/>
      <c r="X300" s="67"/>
      <c r="Y300" s="67"/>
      <c r="Z300" s="67"/>
      <c r="AA300" s="67"/>
      <c r="AB300" s="67"/>
      <c r="AC300" s="67"/>
      <c r="AD300" s="67"/>
      <c r="AE300" s="67"/>
      <c r="AF300" s="67"/>
    </row>
    <row r="301">
      <c r="A301" s="67"/>
      <c r="B301" s="43">
        <f t="shared" si="2"/>
        <v>295</v>
      </c>
      <c r="C301" s="44" t="s">
        <v>1329</v>
      </c>
      <c r="D301" s="44" t="s">
        <v>7</v>
      </c>
      <c r="E301" s="45" t="s">
        <v>37</v>
      </c>
      <c r="F301" s="44" t="s">
        <v>1330</v>
      </c>
      <c r="G301" s="46" t="s">
        <v>18</v>
      </c>
      <c r="H301" s="47" t="s">
        <v>6</v>
      </c>
      <c r="I301" s="60" t="s">
        <v>38</v>
      </c>
      <c r="J301" s="45"/>
      <c r="K301" s="45" t="s">
        <v>1331</v>
      </c>
      <c r="L301" s="45" t="s">
        <v>84</v>
      </c>
      <c r="M301" s="54" t="s">
        <v>113</v>
      </c>
      <c r="N301" s="49" t="s">
        <v>86</v>
      </c>
      <c r="O301" s="49" t="s">
        <v>260</v>
      </c>
      <c r="P301" s="49" t="s">
        <v>88</v>
      </c>
      <c r="Q301" s="61"/>
      <c r="R301" s="61"/>
      <c r="S301" s="61"/>
      <c r="T301" s="61" t="s">
        <v>92</v>
      </c>
      <c r="U301" s="67"/>
      <c r="V301" s="67"/>
      <c r="W301" s="67"/>
      <c r="X301" s="67"/>
      <c r="Y301" s="67"/>
      <c r="Z301" s="67"/>
      <c r="AA301" s="67"/>
      <c r="AB301" s="67"/>
      <c r="AC301" s="67"/>
      <c r="AD301" s="67"/>
      <c r="AE301" s="67"/>
      <c r="AF301" s="67"/>
    </row>
    <row r="302">
      <c r="A302" s="67"/>
      <c r="B302" s="43">
        <f t="shared" si="2"/>
        <v>296</v>
      </c>
      <c r="C302" s="44" t="s">
        <v>1332</v>
      </c>
      <c r="D302" s="44" t="s">
        <v>11</v>
      </c>
      <c r="E302" s="45" t="s">
        <v>43</v>
      </c>
      <c r="F302" s="44" t="s">
        <v>1333</v>
      </c>
      <c r="G302" s="46" t="s">
        <v>18</v>
      </c>
      <c r="H302" s="47"/>
      <c r="I302" s="48"/>
      <c r="J302" s="52"/>
      <c r="K302" s="45" t="s">
        <v>1334</v>
      </c>
      <c r="L302" s="45" t="s">
        <v>84</v>
      </c>
      <c r="M302" s="54" t="s">
        <v>113</v>
      </c>
      <c r="N302" s="49" t="s">
        <v>114</v>
      </c>
      <c r="O302" s="49" t="s">
        <v>209</v>
      </c>
      <c r="P302" s="49" t="s">
        <v>88</v>
      </c>
      <c r="Q302" s="61"/>
      <c r="R302" s="61"/>
      <c r="S302" s="61"/>
      <c r="T302" s="61" t="s">
        <v>92</v>
      </c>
      <c r="U302" s="67"/>
      <c r="V302" s="67"/>
      <c r="W302" s="67"/>
      <c r="X302" s="67"/>
      <c r="Y302" s="67"/>
      <c r="Z302" s="67"/>
      <c r="AA302" s="67"/>
      <c r="AB302" s="67"/>
      <c r="AC302" s="67"/>
      <c r="AD302" s="67"/>
      <c r="AE302" s="67"/>
      <c r="AF302" s="67"/>
    </row>
    <row r="303">
      <c r="A303" s="67"/>
      <c r="B303" s="43">
        <f t="shared" si="2"/>
        <v>297</v>
      </c>
      <c r="C303" s="44" t="s">
        <v>1335</v>
      </c>
      <c r="D303" s="44" t="s">
        <v>7</v>
      </c>
      <c r="E303" s="45" t="s">
        <v>37</v>
      </c>
      <c r="F303" s="44" t="s">
        <v>1336</v>
      </c>
      <c r="G303" s="46" t="s">
        <v>18</v>
      </c>
      <c r="H303" s="47" t="s">
        <v>17</v>
      </c>
      <c r="I303" s="48"/>
      <c r="J303" s="52"/>
      <c r="K303" s="45" t="s">
        <v>1337</v>
      </c>
      <c r="L303" s="45" t="s">
        <v>1057</v>
      </c>
      <c r="M303" s="54" t="s">
        <v>85</v>
      </c>
      <c r="N303" s="49" t="s">
        <v>86</v>
      </c>
      <c r="O303" s="49" t="s">
        <v>209</v>
      </c>
      <c r="P303" s="49" t="s">
        <v>88</v>
      </c>
      <c r="Q303" s="61"/>
      <c r="R303" s="61"/>
      <c r="S303" s="61"/>
      <c r="T303" s="61" t="s">
        <v>92</v>
      </c>
      <c r="U303" s="67"/>
      <c r="V303" s="67"/>
      <c r="W303" s="67"/>
      <c r="X303" s="67"/>
      <c r="Y303" s="67"/>
      <c r="Z303" s="67"/>
      <c r="AA303" s="67"/>
      <c r="AB303" s="67"/>
      <c r="AC303" s="67"/>
      <c r="AD303" s="67"/>
      <c r="AE303" s="67"/>
      <c r="AF303" s="67"/>
    </row>
    <row r="304">
      <c r="A304" s="67"/>
      <c r="B304" s="43">
        <f t="shared" si="2"/>
        <v>298</v>
      </c>
      <c r="C304" s="44" t="s">
        <v>1338</v>
      </c>
      <c r="D304" s="44" t="s">
        <v>7</v>
      </c>
      <c r="E304" s="45" t="s">
        <v>55</v>
      </c>
      <c r="F304" s="44" t="s">
        <v>1339</v>
      </c>
      <c r="G304" s="46" t="s">
        <v>18</v>
      </c>
      <c r="H304" s="47" t="s">
        <v>17</v>
      </c>
      <c r="I304" s="48"/>
      <c r="J304" s="52"/>
      <c r="K304" s="45" t="s">
        <v>1340</v>
      </c>
      <c r="L304" s="45" t="s">
        <v>1341</v>
      </c>
      <c r="M304" s="54" t="s">
        <v>113</v>
      </c>
      <c r="N304" s="49" t="s">
        <v>86</v>
      </c>
      <c r="O304" s="49" t="s">
        <v>209</v>
      </c>
      <c r="P304" s="49" t="s">
        <v>88</v>
      </c>
      <c r="Q304" s="61"/>
      <c r="R304" s="61"/>
      <c r="S304" s="61"/>
      <c r="T304" s="61" t="s">
        <v>92</v>
      </c>
      <c r="U304" s="67"/>
      <c r="V304" s="67"/>
      <c r="W304" s="67"/>
      <c r="X304" s="67"/>
      <c r="Y304" s="67"/>
      <c r="Z304" s="67"/>
      <c r="AA304" s="67"/>
      <c r="AB304" s="67"/>
      <c r="AC304" s="67"/>
      <c r="AD304" s="67"/>
      <c r="AE304" s="67"/>
      <c r="AF304" s="67"/>
    </row>
    <row r="305">
      <c r="A305" s="67"/>
      <c r="B305" s="43">
        <f t="shared" si="2"/>
        <v>299</v>
      </c>
      <c r="C305" s="44" t="s">
        <v>1342</v>
      </c>
      <c r="D305" s="44" t="s">
        <v>7</v>
      </c>
      <c r="E305" s="45" t="s">
        <v>54</v>
      </c>
      <c r="F305" s="44" t="s">
        <v>1343</v>
      </c>
      <c r="G305" s="46" t="s">
        <v>18</v>
      </c>
      <c r="H305" s="47" t="s">
        <v>17</v>
      </c>
      <c r="I305" s="48"/>
      <c r="J305" s="52"/>
      <c r="K305" s="45" t="s">
        <v>1344</v>
      </c>
      <c r="L305" s="45" t="s">
        <v>1292</v>
      </c>
      <c r="M305" s="54" t="s">
        <v>85</v>
      </c>
      <c r="N305" s="49" t="s">
        <v>86</v>
      </c>
      <c r="O305" s="49" t="s">
        <v>131</v>
      </c>
      <c r="P305" s="49" t="s">
        <v>105</v>
      </c>
      <c r="Q305" s="61"/>
      <c r="R305" s="61"/>
      <c r="S305" s="61"/>
      <c r="T305" s="61" t="s">
        <v>92</v>
      </c>
      <c r="U305" s="67"/>
      <c r="V305" s="67"/>
      <c r="W305" s="67"/>
      <c r="X305" s="67"/>
      <c r="Y305" s="67"/>
      <c r="Z305" s="67"/>
      <c r="AA305" s="67"/>
      <c r="AB305" s="67"/>
      <c r="AC305" s="67"/>
      <c r="AD305" s="67"/>
      <c r="AE305" s="67"/>
      <c r="AF305" s="67"/>
    </row>
    <row r="306">
      <c r="A306" s="67"/>
      <c r="B306" s="43">
        <f t="shared" si="2"/>
        <v>300</v>
      </c>
      <c r="C306" s="44" t="s">
        <v>1345</v>
      </c>
      <c r="D306" s="44" t="s">
        <v>7</v>
      </c>
      <c r="E306" s="45" t="s">
        <v>37</v>
      </c>
      <c r="F306" s="44" t="s">
        <v>1346</v>
      </c>
      <c r="G306" s="46" t="s">
        <v>18</v>
      </c>
      <c r="H306" s="47" t="s">
        <v>17</v>
      </c>
      <c r="I306" s="48"/>
      <c r="J306" s="52"/>
      <c r="K306" s="45" t="s">
        <v>1347</v>
      </c>
      <c r="L306" s="52" t="s">
        <v>1228</v>
      </c>
      <c r="M306" s="54" t="s">
        <v>253</v>
      </c>
      <c r="N306" s="49" t="s">
        <v>86</v>
      </c>
      <c r="O306" s="49" t="s">
        <v>1348</v>
      </c>
      <c r="P306" s="49" t="s">
        <v>132</v>
      </c>
      <c r="Q306" s="61"/>
      <c r="R306" s="61"/>
      <c r="S306" s="61"/>
      <c r="T306" s="61" t="s">
        <v>92</v>
      </c>
      <c r="U306" s="67"/>
      <c r="V306" s="67"/>
      <c r="W306" s="67"/>
      <c r="X306" s="67"/>
      <c r="Y306" s="67"/>
      <c r="Z306" s="67"/>
      <c r="AA306" s="67"/>
      <c r="AB306" s="67"/>
      <c r="AC306" s="67"/>
      <c r="AD306" s="67"/>
      <c r="AE306" s="67"/>
      <c r="AF306" s="67"/>
    </row>
    <row r="307">
      <c r="A307" s="67"/>
      <c r="B307" s="43">
        <f t="shared" si="2"/>
        <v>301</v>
      </c>
      <c r="C307" s="44" t="s">
        <v>1349</v>
      </c>
      <c r="D307" s="44" t="s">
        <v>7</v>
      </c>
      <c r="E307" s="45" t="s">
        <v>37</v>
      </c>
      <c r="F307" s="44" t="s">
        <v>1350</v>
      </c>
      <c r="G307" s="46" t="s">
        <v>18</v>
      </c>
      <c r="H307" s="47" t="s">
        <v>14</v>
      </c>
      <c r="I307" s="48"/>
      <c r="J307" s="52"/>
      <c r="K307" s="45" t="s">
        <v>1351</v>
      </c>
      <c r="L307" s="52" t="s">
        <v>877</v>
      </c>
      <c r="M307" s="54" t="s">
        <v>113</v>
      </c>
      <c r="N307" s="49" t="s">
        <v>86</v>
      </c>
      <c r="O307" s="49" t="s">
        <v>209</v>
      </c>
      <c r="P307" s="49" t="s">
        <v>88</v>
      </c>
      <c r="Q307" s="61"/>
      <c r="R307" s="61"/>
      <c r="S307" s="61"/>
      <c r="T307" s="61" t="s">
        <v>92</v>
      </c>
      <c r="U307" s="67"/>
      <c r="V307" s="67"/>
      <c r="W307" s="67"/>
      <c r="X307" s="67"/>
      <c r="Y307" s="67"/>
      <c r="Z307" s="67"/>
      <c r="AA307" s="67"/>
      <c r="AB307" s="67"/>
      <c r="AC307" s="67"/>
      <c r="AD307" s="67"/>
      <c r="AE307" s="67"/>
      <c r="AF307" s="67"/>
    </row>
    <row r="308">
      <c r="A308" s="67"/>
      <c r="B308" s="43">
        <f t="shared" si="2"/>
        <v>302</v>
      </c>
      <c r="C308" s="44" t="s">
        <v>1352</v>
      </c>
      <c r="D308" s="44" t="s">
        <v>7</v>
      </c>
      <c r="E308" s="45" t="s">
        <v>37</v>
      </c>
      <c r="F308" s="44" t="s">
        <v>1353</v>
      </c>
      <c r="G308" s="46" t="s">
        <v>18</v>
      </c>
      <c r="H308" s="47" t="s">
        <v>17</v>
      </c>
      <c r="I308" s="48"/>
      <c r="J308" s="52"/>
      <c r="K308" s="45" t="s">
        <v>1325</v>
      </c>
      <c r="L308" s="52" t="s">
        <v>877</v>
      </c>
      <c r="M308" s="54" t="s">
        <v>113</v>
      </c>
      <c r="N308" s="49" t="s">
        <v>86</v>
      </c>
      <c r="O308" s="49" t="s">
        <v>209</v>
      </c>
      <c r="P308" s="49" t="s">
        <v>88</v>
      </c>
      <c r="Q308" s="61"/>
      <c r="R308" s="61"/>
      <c r="S308" s="61"/>
      <c r="T308" s="61" t="s">
        <v>92</v>
      </c>
      <c r="U308" s="67"/>
      <c r="V308" s="67"/>
      <c r="W308" s="67"/>
      <c r="X308" s="67"/>
      <c r="Y308" s="67"/>
      <c r="Z308" s="67"/>
      <c r="AA308" s="67"/>
      <c r="AB308" s="67"/>
      <c r="AC308" s="67"/>
      <c r="AD308" s="67"/>
      <c r="AE308" s="67"/>
      <c r="AF308" s="67"/>
    </row>
    <row r="309">
      <c r="A309" s="67"/>
      <c r="B309" s="43">
        <f t="shared" si="2"/>
        <v>303</v>
      </c>
      <c r="C309" s="44" t="s">
        <v>1354</v>
      </c>
      <c r="D309" s="44" t="s">
        <v>7</v>
      </c>
      <c r="E309" s="45" t="s">
        <v>37</v>
      </c>
      <c r="F309" s="44" t="s">
        <v>1355</v>
      </c>
      <c r="G309" s="46" t="s">
        <v>18</v>
      </c>
      <c r="H309" s="47" t="s">
        <v>17</v>
      </c>
      <c r="I309" s="48"/>
      <c r="J309" s="52"/>
      <c r="K309" s="45" t="s">
        <v>1356</v>
      </c>
      <c r="L309" s="45" t="s">
        <v>84</v>
      </c>
      <c r="M309" s="54" t="s">
        <v>113</v>
      </c>
      <c r="N309" s="49" t="s">
        <v>86</v>
      </c>
      <c r="O309" s="49" t="s">
        <v>209</v>
      </c>
      <c r="P309" s="49" t="s">
        <v>88</v>
      </c>
      <c r="Q309" s="61"/>
      <c r="R309" s="61"/>
      <c r="S309" s="61"/>
      <c r="T309" s="61" t="s">
        <v>92</v>
      </c>
      <c r="U309" s="67"/>
      <c r="V309" s="67"/>
      <c r="W309" s="67"/>
      <c r="X309" s="67"/>
      <c r="Y309" s="67"/>
      <c r="Z309" s="67"/>
      <c r="AA309" s="67"/>
      <c r="AB309" s="67"/>
      <c r="AC309" s="67"/>
      <c r="AD309" s="67"/>
      <c r="AE309" s="67"/>
      <c r="AF309" s="67"/>
    </row>
    <row r="310">
      <c r="A310" s="67"/>
      <c r="B310" s="43">
        <f t="shared" si="2"/>
        <v>304</v>
      </c>
      <c r="C310" s="44" t="s">
        <v>1357</v>
      </c>
      <c r="D310" s="44" t="s">
        <v>4</v>
      </c>
      <c r="E310" s="45" t="s">
        <v>37</v>
      </c>
      <c r="F310" s="44" t="s">
        <v>1358</v>
      </c>
      <c r="G310" s="46" t="s">
        <v>18</v>
      </c>
      <c r="H310" s="47" t="s">
        <v>6</v>
      </c>
      <c r="I310" s="60" t="s">
        <v>38</v>
      </c>
      <c r="J310" s="52"/>
      <c r="K310" s="45" t="s">
        <v>1359</v>
      </c>
      <c r="L310" s="45" t="s">
        <v>84</v>
      </c>
      <c r="M310" s="54" t="s">
        <v>113</v>
      </c>
      <c r="N310" s="49" t="s">
        <v>86</v>
      </c>
      <c r="O310" s="49" t="s">
        <v>1360</v>
      </c>
      <c r="P310" s="49" t="s">
        <v>88</v>
      </c>
      <c r="Q310" s="61"/>
      <c r="R310" s="61"/>
      <c r="S310" s="61"/>
      <c r="T310" s="61" t="s">
        <v>92</v>
      </c>
      <c r="U310" s="67"/>
      <c r="V310" s="67"/>
      <c r="W310" s="67"/>
      <c r="X310" s="67"/>
      <c r="Y310" s="67"/>
      <c r="Z310" s="67"/>
      <c r="AA310" s="67"/>
      <c r="AB310" s="67"/>
      <c r="AC310" s="67"/>
      <c r="AD310" s="67"/>
      <c r="AE310" s="67"/>
      <c r="AF310" s="67"/>
    </row>
    <row r="311">
      <c r="A311" s="67"/>
      <c r="B311" s="43">
        <f t="shared" si="2"/>
        <v>305</v>
      </c>
      <c r="C311" s="44" t="s">
        <v>1361</v>
      </c>
      <c r="D311" s="44" t="s">
        <v>4</v>
      </c>
      <c r="E311" s="45" t="s">
        <v>37</v>
      </c>
      <c r="F311" s="44" t="s">
        <v>1362</v>
      </c>
      <c r="G311" s="46" t="s">
        <v>18</v>
      </c>
      <c r="H311" s="47" t="s">
        <v>6</v>
      </c>
      <c r="I311" s="48" t="s">
        <v>36</v>
      </c>
      <c r="J311" s="52"/>
      <c r="K311" s="45" t="s">
        <v>1363</v>
      </c>
      <c r="L311" s="45" t="s">
        <v>1143</v>
      </c>
      <c r="M311" s="54" t="s">
        <v>253</v>
      </c>
      <c r="N311" s="49" t="s">
        <v>114</v>
      </c>
      <c r="O311" s="49" t="s">
        <v>970</v>
      </c>
      <c r="P311" s="49" t="s">
        <v>132</v>
      </c>
      <c r="Q311" s="61"/>
      <c r="R311" s="61"/>
      <c r="S311" s="61"/>
      <c r="T311" s="61" t="s">
        <v>92</v>
      </c>
      <c r="U311" s="67"/>
      <c r="V311" s="67"/>
      <c r="W311" s="67"/>
      <c r="X311" s="67"/>
      <c r="Y311" s="67"/>
      <c r="Z311" s="67"/>
      <c r="AA311" s="67"/>
      <c r="AB311" s="67"/>
      <c r="AC311" s="67"/>
      <c r="AD311" s="67"/>
      <c r="AE311" s="67"/>
      <c r="AF311" s="67"/>
    </row>
    <row r="312">
      <c r="A312" s="67"/>
      <c r="B312" s="43">
        <f t="shared" si="2"/>
        <v>306</v>
      </c>
      <c r="C312" s="44" t="s">
        <v>1364</v>
      </c>
      <c r="D312" s="44" t="s">
        <v>4</v>
      </c>
      <c r="E312" s="45" t="s">
        <v>37</v>
      </c>
      <c r="F312" s="44" t="s">
        <v>1365</v>
      </c>
      <c r="G312" s="46" t="s">
        <v>18</v>
      </c>
      <c r="H312" s="47" t="s">
        <v>23</v>
      </c>
      <c r="I312" s="60" t="s">
        <v>38</v>
      </c>
      <c r="J312" s="52"/>
      <c r="K312" s="45" t="s">
        <v>1366</v>
      </c>
      <c r="L312" s="45" t="s">
        <v>84</v>
      </c>
      <c r="M312" s="54" t="s">
        <v>113</v>
      </c>
      <c r="N312" s="49" t="s">
        <v>86</v>
      </c>
      <c r="O312" s="49" t="s">
        <v>481</v>
      </c>
      <c r="P312" s="49" t="s">
        <v>88</v>
      </c>
      <c r="Q312" s="61"/>
      <c r="R312" s="61"/>
      <c r="S312" s="61"/>
      <c r="T312" s="61" t="s">
        <v>92</v>
      </c>
      <c r="U312" s="67"/>
      <c r="V312" s="67"/>
      <c r="W312" s="67"/>
      <c r="X312" s="67"/>
      <c r="Y312" s="67"/>
      <c r="Z312" s="67"/>
      <c r="AA312" s="67"/>
      <c r="AB312" s="67"/>
      <c r="AC312" s="67"/>
      <c r="AD312" s="67"/>
      <c r="AE312" s="67"/>
      <c r="AF312" s="67"/>
    </row>
    <row r="313">
      <c r="A313" s="67"/>
      <c r="B313" s="43">
        <f t="shared" si="2"/>
        <v>307</v>
      </c>
      <c r="C313" s="44" t="s">
        <v>1367</v>
      </c>
      <c r="D313" s="44" t="s">
        <v>4</v>
      </c>
      <c r="E313" s="45" t="s">
        <v>37</v>
      </c>
      <c r="F313" s="44" t="s">
        <v>1368</v>
      </c>
      <c r="G313" s="46" t="s">
        <v>18</v>
      </c>
      <c r="H313" s="47" t="s">
        <v>23</v>
      </c>
      <c r="I313" s="48"/>
      <c r="J313" s="52"/>
      <c r="K313" s="45" t="s">
        <v>1369</v>
      </c>
      <c r="L313" s="45" t="s">
        <v>84</v>
      </c>
      <c r="M313" s="54" t="s">
        <v>113</v>
      </c>
      <c r="N313" s="49" t="s">
        <v>86</v>
      </c>
      <c r="O313" s="49" t="s">
        <v>131</v>
      </c>
      <c r="P313" s="49" t="s">
        <v>88</v>
      </c>
      <c r="Q313" s="61"/>
      <c r="R313" s="61"/>
      <c r="S313" s="61"/>
      <c r="T313" s="61" t="s">
        <v>92</v>
      </c>
      <c r="U313" s="67"/>
      <c r="V313" s="67"/>
      <c r="W313" s="67"/>
      <c r="X313" s="67"/>
      <c r="Y313" s="67"/>
      <c r="Z313" s="67"/>
      <c r="AA313" s="67"/>
      <c r="AB313" s="67"/>
      <c r="AC313" s="67"/>
      <c r="AD313" s="67"/>
      <c r="AE313" s="67"/>
      <c r="AF313" s="67"/>
    </row>
    <row r="314">
      <c r="A314" s="67"/>
      <c r="B314" s="43">
        <f t="shared" si="2"/>
        <v>308</v>
      </c>
      <c r="C314" s="44" t="s">
        <v>1370</v>
      </c>
      <c r="D314" s="44" t="s">
        <v>5</v>
      </c>
      <c r="E314" s="45" t="s">
        <v>56</v>
      </c>
      <c r="F314" s="44" t="s">
        <v>1371</v>
      </c>
      <c r="G314" s="46" t="s">
        <v>18</v>
      </c>
      <c r="H314" s="47" t="s">
        <v>28</v>
      </c>
      <c r="I314" s="48"/>
      <c r="J314" s="52"/>
      <c r="K314" s="45" t="s">
        <v>1372</v>
      </c>
      <c r="L314" s="45" t="s">
        <v>1373</v>
      </c>
      <c r="M314" s="54" t="s">
        <v>113</v>
      </c>
      <c r="N314" s="49" t="s">
        <v>86</v>
      </c>
      <c r="O314" s="49" t="s">
        <v>87</v>
      </c>
      <c r="P314" s="49" t="s">
        <v>88</v>
      </c>
      <c r="Q314" s="61"/>
      <c r="R314" s="61"/>
      <c r="S314" s="61"/>
      <c r="T314" s="61" t="s">
        <v>92</v>
      </c>
      <c r="U314" s="67"/>
      <c r="V314" s="67"/>
      <c r="W314" s="67"/>
      <c r="X314" s="67"/>
      <c r="Y314" s="67"/>
      <c r="Z314" s="67"/>
      <c r="AA314" s="67"/>
      <c r="AB314" s="67"/>
      <c r="AC314" s="67"/>
      <c r="AD314" s="67"/>
      <c r="AE314" s="67"/>
      <c r="AF314" s="67"/>
    </row>
    <row r="315">
      <c r="A315" s="67"/>
      <c r="B315" s="43">
        <f t="shared" si="2"/>
        <v>309</v>
      </c>
      <c r="C315" s="44" t="s">
        <v>1374</v>
      </c>
      <c r="D315" s="44" t="s">
        <v>5</v>
      </c>
      <c r="E315" s="45" t="s">
        <v>56</v>
      </c>
      <c r="F315" s="44" t="s">
        <v>1375</v>
      </c>
      <c r="G315" s="46" t="s">
        <v>18</v>
      </c>
      <c r="H315" s="47" t="s">
        <v>15</v>
      </c>
      <c r="I315" s="48"/>
      <c r="J315" s="52"/>
      <c r="K315" s="45" t="s">
        <v>1376</v>
      </c>
      <c r="L315" s="45" t="s">
        <v>1373</v>
      </c>
      <c r="M315" s="54" t="s">
        <v>113</v>
      </c>
      <c r="N315" s="49" t="s">
        <v>86</v>
      </c>
      <c r="O315" s="49" t="s">
        <v>131</v>
      </c>
      <c r="P315" s="49" t="s">
        <v>88</v>
      </c>
      <c r="Q315" s="61"/>
      <c r="R315" s="61"/>
      <c r="S315" s="61"/>
      <c r="T315" s="61" t="s">
        <v>92</v>
      </c>
      <c r="U315" s="67"/>
      <c r="V315" s="67"/>
      <c r="W315" s="67"/>
      <c r="X315" s="67"/>
      <c r="Y315" s="67"/>
      <c r="Z315" s="67"/>
      <c r="AA315" s="67"/>
      <c r="AB315" s="67"/>
      <c r="AC315" s="67"/>
      <c r="AD315" s="67"/>
      <c r="AE315" s="67"/>
      <c r="AF315" s="67"/>
    </row>
    <row r="316">
      <c r="A316" s="67"/>
      <c r="B316" s="43">
        <f t="shared" si="2"/>
        <v>310</v>
      </c>
      <c r="C316" s="44" t="s">
        <v>1377</v>
      </c>
      <c r="D316" s="44" t="s">
        <v>5</v>
      </c>
      <c r="E316" s="45" t="s">
        <v>56</v>
      </c>
      <c r="F316" s="44" t="s">
        <v>1378</v>
      </c>
      <c r="G316" s="46" t="s">
        <v>18</v>
      </c>
      <c r="H316" s="47" t="s">
        <v>15</v>
      </c>
      <c r="I316" s="48"/>
      <c r="J316" s="52"/>
      <c r="K316" s="45" t="s">
        <v>1379</v>
      </c>
      <c r="L316" s="45" t="s">
        <v>1373</v>
      </c>
      <c r="M316" s="54" t="s">
        <v>113</v>
      </c>
      <c r="N316" s="49" t="s">
        <v>86</v>
      </c>
      <c r="O316" s="49" t="s">
        <v>209</v>
      </c>
      <c r="P316" s="49" t="s">
        <v>88</v>
      </c>
      <c r="Q316" s="61"/>
      <c r="R316" s="61"/>
      <c r="S316" s="61"/>
      <c r="T316" s="61" t="s">
        <v>92</v>
      </c>
      <c r="U316" s="67"/>
      <c r="V316" s="67"/>
      <c r="W316" s="67"/>
      <c r="X316" s="67"/>
      <c r="Y316" s="67"/>
      <c r="Z316" s="67"/>
      <c r="AA316" s="67"/>
      <c r="AB316" s="67"/>
      <c r="AC316" s="67"/>
      <c r="AD316" s="67"/>
      <c r="AE316" s="67"/>
      <c r="AF316" s="67"/>
    </row>
    <row r="317">
      <c r="A317" s="67"/>
      <c r="B317" s="43">
        <f t="shared" si="2"/>
        <v>311</v>
      </c>
      <c r="C317" s="44" t="s">
        <v>1380</v>
      </c>
      <c r="D317" s="44" t="s">
        <v>5</v>
      </c>
      <c r="E317" s="45" t="s">
        <v>56</v>
      </c>
      <c r="F317" s="44" t="s">
        <v>1381</v>
      </c>
      <c r="G317" s="46" t="s">
        <v>18</v>
      </c>
      <c r="H317" s="47" t="s">
        <v>28</v>
      </c>
      <c r="I317" s="48"/>
      <c r="J317" s="52"/>
      <c r="K317" s="45" t="s">
        <v>1382</v>
      </c>
      <c r="L317" s="45" t="s">
        <v>1373</v>
      </c>
      <c r="M317" s="54" t="s">
        <v>113</v>
      </c>
      <c r="N317" s="49" t="s">
        <v>86</v>
      </c>
      <c r="O317" s="49" t="s">
        <v>131</v>
      </c>
      <c r="P317" s="49" t="s">
        <v>88</v>
      </c>
      <c r="Q317" s="61"/>
      <c r="R317" s="61"/>
      <c r="S317" s="61"/>
      <c r="T317" s="61" t="s">
        <v>92</v>
      </c>
      <c r="U317" s="67"/>
      <c r="V317" s="67"/>
      <c r="W317" s="67"/>
      <c r="X317" s="67"/>
      <c r="Y317" s="67"/>
      <c r="Z317" s="67"/>
      <c r="AA317" s="67"/>
      <c r="AB317" s="67"/>
      <c r="AC317" s="67"/>
      <c r="AD317" s="67"/>
      <c r="AE317" s="67"/>
      <c r="AF317" s="67"/>
    </row>
    <row r="318">
      <c r="A318" s="67"/>
      <c r="B318" s="43">
        <f t="shared" si="2"/>
        <v>312</v>
      </c>
      <c r="C318" s="44" t="s">
        <v>1383</v>
      </c>
      <c r="D318" s="44" t="s">
        <v>4</v>
      </c>
      <c r="E318" s="45" t="s">
        <v>37</v>
      </c>
      <c r="F318" s="44" t="s">
        <v>1384</v>
      </c>
      <c r="G318" s="46" t="s">
        <v>18</v>
      </c>
      <c r="H318" s="47" t="s">
        <v>21</v>
      </c>
      <c r="I318" s="48"/>
      <c r="J318" s="52"/>
      <c r="K318" s="45" t="s">
        <v>1385</v>
      </c>
      <c r="L318" s="45" t="s">
        <v>1143</v>
      </c>
      <c r="M318" s="54" t="s">
        <v>253</v>
      </c>
      <c r="N318" s="49" t="s">
        <v>1386</v>
      </c>
      <c r="O318" s="49" t="s">
        <v>131</v>
      </c>
      <c r="P318" s="49" t="s">
        <v>132</v>
      </c>
      <c r="Q318" s="61"/>
      <c r="R318" s="61"/>
      <c r="S318" s="61"/>
      <c r="T318" s="61" t="s">
        <v>92</v>
      </c>
      <c r="U318" s="67"/>
      <c r="V318" s="67"/>
      <c r="W318" s="67"/>
      <c r="X318" s="67"/>
      <c r="Y318" s="67"/>
      <c r="Z318" s="67"/>
      <c r="AA318" s="67"/>
      <c r="AB318" s="67"/>
      <c r="AC318" s="67"/>
      <c r="AD318" s="67"/>
      <c r="AE318" s="67"/>
      <c r="AF318" s="67"/>
    </row>
    <row r="319">
      <c r="A319" s="67"/>
      <c r="B319" s="43">
        <f t="shared" si="2"/>
        <v>313</v>
      </c>
      <c r="C319" s="44" t="s">
        <v>1387</v>
      </c>
      <c r="D319" s="44" t="s">
        <v>4</v>
      </c>
      <c r="E319" s="45" t="s">
        <v>37</v>
      </c>
      <c r="F319" s="44" t="s">
        <v>1388</v>
      </c>
      <c r="G319" s="46" t="s">
        <v>18</v>
      </c>
      <c r="H319" s="47" t="s">
        <v>21</v>
      </c>
      <c r="I319" s="48"/>
      <c r="J319" s="52"/>
      <c r="K319" s="45" t="s">
        <v>1389</v>
      </c>
      <c r="L319" s="45" t="s">
        <v>1143</v>
      </c>
      <c r="M319" s="54" t="s">
        <v>253</v>
      </c>
      <c r="N319" s="49" t="s">
        <v>1386</v>
      </c>
      <c r="O319" s="49" t="s">
        <v>131</v>
      </c>
      <c r="P319" s="49" t="s">
        <v>132</v>
      </c>
      <c r="Q319" s="61"/>
      <c r="R319" s="61"/>
      <c r="S319" s="61"/>
      <c r="T319" s="61" t="s">
        <v>92</v>
      </c>
      <c r="U319" s="67"/>
      <c r="V319" s="67"/>
      <c r="W319" s="67"/>
      <c r="X319" s="67"/>
      <c r="Y319" s="67"/>
      <c r="Z319" s="67"/>
      <c r="AA319" s="67"/>
      <c r="AB319" s="67"/>
      <c r="AC319" s="67"/>
      <c r="AD319" s="67"/>
      <c r="AE319" s="67"/>
      <c r="AF319" s="67"/>
    </row>
    <row r="320">
      <c r="A320" s="67"/>
      <c r="B320" s="43">
        <f t="shared" si="2"/>
        <v>314</v>
      </c>
      <c r="C320" s="44" t="s">
        <v>1390</v>
      </c>
      <c r="D320" s="44" t="s">
        <v>4</v>
      </c>
      <c r="E320" s="45" t="s">
        <v>37</v>
      </c>
      <c r="F320" s="44" t="s">
        <v>1391</v>
      </c>
      <c r="G320" s="46" t="s">
        <v>18</v>
      </c>
      <c r="H320" s="47" t="s">
        <v>21</v>
      </c>
      <c r="I320" s="48"/>
      <c r="J320" s="52"/>
      <c r="K320" s="45" t="s">
        <v>1392</v>
      </c>
      <c r="L320" s="45" t="s">
        <v>1143</v>
      </c>
      <c r="M320" s="54" t="s">
        <v>253</v>
      </c>
      <c r="N320" s="49" t="s">
        <v>1386</v>
      </c>
      <c r="O320" s="49" t="s">
        <v>131</v>
      </c>
      <c r="P320" s="49" t="s">
        <v>132</v>
      </c>
      <c r="Q320" s="61"/>
      <c r="R320" s="61"/>
      <c r="S320" s="61"/>
      <c r="T320" s="61" t="s">
        <v>92</v>
      </c>
      <c r="U320" s="67"/>
      <c r="V320" s="67"/>
      <c r="W320" s="67"/>
      <c r="X320" s="67"/>
      <c r="Y320" s="67"/>
      <c r="Z320" s="67"/>
      <c r="AA320" s="67"/>
      <c r="AB320" s="67"/>
      <c r="AC320" s="67"/>
      <c r="AD320" s="67"/>
      <c r="AE320" s="67"/>
      <c r="AF320" s="67"/>
    </row>
    <row r="321">
      <c r="A321" s="67"/>
      <c r="B321" s="43">
        <f t="shared" si="2"/>
        <v>315</v>
      </c>
      <c r="C321" s="44" t="s">
        <v>1393</v>
      </c>
      <c r="D321" s="44" t="s">
        <v>7</v>
      </c>
      <c r="E321" s="45" t="s">
        <v>62</v>
      </c>
      <c r="F321" s="44" t="s">
        <v>1394</v>
      </c>
      <c r="G321" s="46" t="s">
        <v>20</v>
      </c>
      <c r="H321" s="47" t="s">
        <v>23</v>
      </c>
      <c r="I321" s="48" t="s">
        <v>36</v>
      </c>
      <c r="J321" s="45" t="s">
        <v>1188</v>
      </c>
      <c r="K321" s="45" t="s">
        <v>1395</v>
      </c>
      <c r="L321" s="45" t="s">
        <v>1069</v>
      </c>
      <c r="M321" s="54" t="s">
        <v>253</v>
      </c>
      <c r="N321" s="49" t="s">
        <v>123</v>
      </c>
      <c r="O321" s="49" t="s">
        <v>131</v>
      </c>
      <c r="P321" s="49" t="s">
        <v>132</v>
      </c>
      <c r="Q321" s="61"/>
      <c r="R321" s="61"/>
      <c r="S321" s="61"/>
      <c r="T321" s="61" t="s">
        <v>92</v>
      </c>
      <c r="U321" s="67"/>
      <c r="V321" s="67"/>
      <c r="W321" s="67"/>
      <c r="X321" s="67"/>
      <c r="Y321" s="67"/>
      <c r="Z321" s="67"/>
      <c r="AA321" s="67"/>
      <c r="AB321" s="67"/>
      <c r="AC321" s="67"/>
      <c r="AD321" s="67"/>
      <c r="AE321" s="67"/>
      <c r="AF321" s="67"/>
    </row>
    <row r="322">
      <c r="A322" s="67"/>
      <c r="B322" s="43">
        <f t="shared" si="2"/>
        <v>316</v>
      </c>
      <c r="C322" s="44" t="s">
        <v>1396</v>
      </c>
      <c r="D322" s="44" t="s">
        <v>7</v>
      </c>
      <c r="E322" s="45" t="s">
        <v>62</v>
      </c>
      <c r="F322" s="44" t="s">
        <v>1397</v>
      </c>
      <c r="G322" s="46" t="s">
        <v>20</v>
      </c>
      <c r="H322" s="47" t="s">
        <v>8</v>
      </c>
      <c r="I322" s="48"/>
      <c r="J322" s="52"/>
      <c r="K322" s="45" t="s">
        <v>1398</v>
      </c>
      <c r="L322" s="45" t="s">
        <v>1247</v>
      </c>
      <c r="M322" s="54" t="s">
        <v>253</v>
      </c>
      <c r="N322" s="49" t="s">
        <v>123</v>
      </c>
      <c r="O322" s="49" t="s">
        <v>131</v>
      </c>
      <c r="P322" s="49" t="s">
        <v>132</v>
      </c>
      <c r="Q322" s="61"/>
      <c r="R322" s="61"/>
      <c r="S322" s="61"/>
      <c r="T322" s="61" t="s">
        <v>92</v>
      </c>
      <c r="U322" s="67"/>
      <c r="V322" s="67"/>
      <c r="W322" s="67"/>
      <c r="X322" s="67"/>
      <c r="Y322" s="67"/>
      <c r="Z322" s="67"/>
      <c r="AA322" s="67"/>
      <c r="AB322" s="67"/>
      <c r="AC322" s="67"/>
      <c r="AD322" s="67"/>
      <c r="AE322" s="67"/>
      <c r="AF322" s="67"/>
    </row>
    <row r="323">
      <c r="A323" s="67"/>
      <c r="B323" s="43">
        <f t="shared" si="2"/>
        <v>317</v>
      </c>
      <c r="C323" s="44" t="s">
        <v>1399</v>
      </c>
      <c r="D323" s="44" t="s">
        <v>7</v>
      </c>
      <c r="E323" s="45" t="s">
        <v>62</v>
      </c>
      <c r="F323" s="44" t="s">
        <v>1400</v>
      </c>
      <c r="G323" s="46" t="s">
        <v>20</v>
      </c>
      <c r="H323" s="47" t="s">
        <v>28</v>
      </c>
      <c r="I323" s="48" t="s">
        <v>36</v>
      </c>
      <c r="J323" s="45" t="s">
        <v>193</v>
      </c>
      <c r="K323" s="45" t="s">
        <v>1401</v>
      </c>
      <c r="L323" s="45" t="s">
        <v>1247</v>
      </c>
      <c r="M323" s="54" t="s">
        <v>253</v>
      </c>
      <c r="N323" s="49" t="s">
        <v>123</v>
      </c>
      <c r="O323" s="49" t="s">
        <v>209</v>
      </c>
      <c r="P323" s="49" t="s">
        <v>132</v>
      </c>
      <c r="Q323" s="61"/>
      <c r="R323" s="61"/>
      <c r="S323" s="61"/>
      <c r="T323" s="61" t="s">
        <v>92</v>
      </c>
      <c r="U323" s="67"/>
      <c r="V323" s="67"/>
      <c r="W323" s="67"/>
      <c r="X323" s="67"/>
      <c r="Y323" s="67"/>
      <c r="Z323" s="67"/>
      <c r="AA323" s="67"/>
      <c r="AB323" s="67"/>
      <c r="AC323" s="67"/>
      <c r="AD323" s="67"/>
      <c r="AE323" s="67"/>
      <c r="AF323" s="67"/>
    </row>
    <row r="324">
      <c r="A324" s="67"/>
      <c r="B324" s="43">
        <f t="shared" si="2"/>
        <v>318</v>
      </c>
      <c r="C324" s="44" t="s">
        <v>1402</v>
      </c>
      <c r="D324" s="44" t="s">
        <v>7</v>
      </c>
      <c r="E324" s="45" t="s">
        <v>62</v>
      </c>
      <c r="F324" s="44" t="s">
        <v>1403</v>
      </c>
      <c r="G324" s="46" t="s">
        <v>20</v>
      </c>
      <c r="H324" s="47" t="s">
        <v>6</v>
      </c>
      <c r="I324" s="48" t="s">
        <v>36</v>
      </c>
      <c r="J324" s="45" t="s">
        <v>193</v>
      </c>
      <c r="K324" s="45" t="s">
        <v>1404</v>
      </c>
      <c r="L324" s="45" t="s">
        <v>1069</v>
      </c>
      <c r="M324" s="54" t="s">
        <v>253</v>
      </c>
      <c r="N324" s="49" t="s">
        <v>123</v>
      </c>
      <c r="O324" s="49" t="s">
        <v>209</v>
      </c>
      <c r="P324" s="49" t="s">
        <v>132</v>
      </c>
      <c r="Q324" s="61"/>
      <c r="R324" s="61"/>
      <c r="S324" s="61"/>
      <c r="T324" s="61" t="s">
        <v>92</v>
      </c>
      <c r="U324" s="67"/>
      <c r="V324" s="67"/>
      <c r="W324" s="67"/>
      <c r="X324" s="67"/>
      <c r="Y324" s="67"/>
      <c r="Z324" s="67"/>
      <c r="AA324" s="67"/>
      <c r="AB324" s="67"/>
      <c r="AC324" s="67"/>
      <c r="AD324" s="67"/>
      <c r="AE324" s="67"/>
      <c r="AF324" s="67"/>
    </row>
    <row r="325">
      <c r="A325" s="67"/>
      <c r="B325" s="43">
        <f t="shared" si="2"/>
        <v>319</v>
      </c>
      <c r="C325" s="44" t="s">
        <v>1405</v>
      </c>
      <c r="D325" s="44" t="s">
        <v>7</v>
      </c>
      <c r="E325" s="45" t="s">
        <v>62</v>
      </c>
      <c r="F325" s="44" t="s">
        <v>1406</v>
      </c>
      <c r="G325" s="46" t="s">
        <v>20</v>
      </c>
      <c r="H325" s="47" t="s">
        <v>28</v>
      </c>
      <c r="I325" s="60" t="s">
        <v>38</v>
      </c>
      <c r="J325" s="45" t="s">
        <v>193</v>
      </c>
      <c r="K325" s="45" t="s">
        <v>1407</v>
      </c>
      <c r="L325" s="45" t="s">
        <v>1247</v>
      </c>
      <c r="M325" s="54" t="s">
        <v>253</v>
      </c>
      <c r="N325" s="49" t="s">
        <v>123</v>
      </c>
      <c r="O325" s="49" t="s">
        <v>594</v>
      </c>
      <c r="P325" s="49" t="s">
        <v>132</v>
      </c>
      <c r="Q325" s="61"/>
      <c r="R325" s="61"/>
      <c r="S325" s="61"/>
      <c r="T325" s="61" t="s">
        <v>92</v>
      </c>
      <c r="U325" s="67"/>
      <c r="V325" s="67"/>
      <c r="W325" s="67"/>
      <c r="X325" s="67"/>
      <c r="Y325" s="67"/>
      <c r="Z325" s="67"/>
      <c r="AA325" s="67"/>
      <c r="AB325" s="67"/>
      <c r="AC325" s="67"/>
      <c r="AD325" s="67"/>
      <c r="AE325" s="67"/>
      <c r="AF325" s="67"/>
    </row>
    <row r="326">
      <c r="A326" s="67"/>
      <c r="B326" s="43">
        <f t="shared" si="2"/>
        <v>320</v>
      </c>
      <c r="C326" s="44" t="s">
        <v>1408</v>
      </c>
      <c r="D326" s="44" t="s">
        <v>7</v>
      </c>
      <c r="E326" s="45" t="s">
        <v>62</v>
      </c>
      <c r="F326" s="44" t="s">
        <v>1409</v>
      </c>
      <c r="G326" s="46" t="s">
        <v>20</v>
      </c>
      <c r="H326" s="47" t="s">
        <v>6</v>
      </c>
      <c r="I326" s="48" t="s">
        <v>36</v>
      </c>
      <c r="J326" s="45" t="s">
        <v>1188</v>
      </c>
      <c r="K326" s="45" t="s">
        <v>1410</v>
      </c>
      <c r="L326" s="45" t="s">
        <v>1151</v>
      </c>
      <c r="M326" s="54" t="s">
        <v>85</v>
      </c>
      <c r="N326" s="49" t="s">
        <v>123</v>
      </c>
      <c r="O326" s="49" t="s">
        <v>209</v>
      </c>
      <c r="P326" s="49" t="s">
        <v>132</v>
      </c>
      <c r="Q326" s="61"/>
      <c r="R326" s="61"/>
      <c r="S326" s="61"/>
      <c r="T326" s="61" t="s">
        <v>92</v>
      </c>
      <c r="U326" s="67"/>
      <c r="V326" s="67"/>
      <c r="W326" s="67"/>
      <c r="X326" s="67"/>
      <c r="Y326" s="67"/>
      <c r="Z326" s="67"/>
      <c r="AA326" s="67"/>
      <c r="AB326" s="67"/>
      <c r="AC326" s="67"/>
      <c r="AD326" s="67"/>
      <c r="AE326" s="67"/>
      <c r="AF326" s="67"/>
    </row>
    <row r="327">
      <c r="A327" s="67"/>
      <c r="B327" s="43">
        <f t="shared" si="2"/>
        <v>321</v>
      </c>
      <c r="C327" s="44" t="s">
        <v>1411</v>
      </c>
      <c r="D327" s="44" t="s">
        <v>7</v>
      </c>
      <c r="E327" s="45" t="s">
        <v>62</v>
      </c>
      <c r="F327" s="44" t="s">
        <v>1412</v>
      </c>
      <c r="G327" s="46" t="s">
        <v>20</v>
      </c>
      <c r="H327" s="47" t="s">
        <v>6</v>
      </c>
      <c r="I327" s="48" t="s">
        <v>36</v>
      </c>
      <c r="J327" s="45" t="s">
        <v>1188</v>
      </c>
      <c r="K327" s="45" t="s">
        <v>1413</v>
      </c>
      <c r="L327" s="45" t="s">
        <v>1247</v>
      </c>
      <c r="M327" s="54" t="s">
        <v>253</v>
      </c>
      <c r="N327" s="49" t="s">
        <v>123</v>
      </c>
      <c r="O327" s="49" t="s">
        <v>209</v>
      </c>
      <c r="P327" s="49" t="s">
        <v>132</v>
      </c>
      <c r="Q327" s="61"/>
      <c r="R327" s="61"/>
      <c r="S327" s="61"/>
      <c r="T327" s="61" t="s">
        <v>92</v>
      </c>
      <c r="U327" s="67"/>
      <c r="V327" s="67"/>
      <c r="W327" s="67"/>
      <c r="X327" s="67"/>
      <c r="Y327" s="67"/>
      <c r="Z327" s="67"/>
      <c r="AA327" s="67"/>
      <c r="AB327" s="67"/>
      <c r="AC327" s="67"/>
      <c r="AD327" s="67"/>
      <c r="AE327" s="67"/>
      <c r="AF327" s="67"/>
    </row>
    <row r="328">
      <c r="A328" s="67"/>
      <c r="B328" s="43">
        <f t="shared" si="2"/>
        <v>322</v>
      </c>
      <c r="C328" s="44" t="s">
        <v>1414</v>
      </c>
      <c r="D328" s="44" t="s">
        <v>7</v>
      </c>
      <c r="E328" s="45" t="s">
        <v>62</v>
      </c>
      <c r="F328" s="44" t="s">
        <v>1415</v>
      </c>
      <c r="G328" s="46" t="s">
        <v>20</v>
      </c>
      <c r="H328" s="47"/>
      <c r="I328" s="48"/>
      <c r="J328" s="52"/>
      <c r="K328" s="45" t="s">
        <v>1416</v>
      </c>
      <c r="L328" s="45" t="s">
        <v>1247</v>
      </c>
      <c r="M328" s="54" t="s">
        <v>253</v>
      </c>
      <c r="N328" s="49" t="s">
        <v>123</v>
      </c>
      <c r="O328" s="49" t="s">
        <v>131</v>
      </c>
      <c r="P328" s="49" t="s">
        <v>132</v>
      </c>
      <c r="Q328" s="61"/>
      <c r="R328" s="61"/>
      <c r="S328" s="61"/>
      <c r="T328" s="61" t="s">
        <v>92</v>
      </c>
      <c r="U328" s="67"/>
      <c r="V328" s="67"/>
      <c r="W328" s="67"/>
      <c r="X328" s="67"/>
      <c r="Y328" s="67"/>
      <c r="Z328" s="67"/>
      <c r="AA328" s="67"/>
      <c r="AB328" s="67"/>
      <c r="AC328" s="67"/>
      <c r="AD328" s="67"/>
      <c r="AE328" s="67"/>
      <c r="AF328" s="67"/>
    </row>
    <row r="329">
      <c r="A329" s="67"/>
      <c r="B329" s="43">
        <f t="shared" si="2"/>
        <v>323</v>
      </c>
      <c r="C329" s="44" t="s">
        <v>1417</v>
      </c>
      <c r="D329" s="44" t="s">
        <v>7</v>
      </c>
      <c r="E329" s="45" t="s">
        <v>62</v>
      </c>
      <c r="F329" s="44" t="s">
        <v>1418</v>
      </c>
      <c r="G329" s="46" t="s">
        <v>20</v>
      </c>
      <c r="H329" s="47" t="s">
        <v>6</v>
      </c>
      <c r="I329" s="48" t="s">
        <v>36</v>
      </c>
      <c r="J329" s="45" t="s">
        <v>1188</v>
      </c>
      <c r="K329" s="45" t="s">
        <v>1419</v>
      </c>
      <c r="L329" s="45" t="s">
        <v>1420</v>
      </c>
      <c r="M329" s="54" t="s">
        <v>253</v>
      </c>
      <c r="N329" s="49" t="s">
        <v>123</v>
      </c>
      <c r="O329" s="49" t="s">
        <v>1421</v>
      </c>
      <c r="P329" s="49" t="s">
        <v>132</v>
      </c>
      <c r="Q329" s="61"/>
      <c r="R329" s="61"/>
      <c r="S329" s="61"/>
      <c r="T329" s="61" t="s">
        <v>92</v>
      </c>
      <c r="U329" s="67"/>
      <c r="V329" s="67"/>
      <c r="W329" s="67"/>
      <c r="X329" s="67"/>
      <c r="Y329" s="67"/>
      <c r="Z329" s="67"/>
      <c r="AA329" s="67"/>
      <c r="AB329" s="67"/>
      <c r="AC329" s="67"/>
      <c r="AD329" s="67"/>
      <c r="AE329" s="67"/>
      <c r="AF329" s="67"/>
    </row>
    <row r="330">
      <c r="A330" s="67"/>
      <c r="B330" s="43">
        <f t="shared" si="2"/>
        <v>324</v>
      </c>
      <c r="C330" s="44" t="s">
        <v>1422</v>
      </c>
      <c r="D330" s="44" t="s">
        <v>7</v>
      </c>
      <c r="E330" s="45" t="s">
        <v>62</v>
      </c>
      <c r="F330" s="44" t="s">
        <v>1423</v>
      </c>
      <c r="G330" s="46" t="s">
        <v>22</v>
      </c>
      <c r="H330" s="47" t="s">
        <v>6</v>
      </c>
      <c r="I330" s="60" t="s">
        <v>38</v>
      </c>
      <c r="J330" s="45"/>
      <c r="K330" s="45" t="s">
        <v>1424</v>
      </c>
      <c r="L330" s="45" t="s">
        <v>1251</v>
      </c>
      <c r="M330" s="54" t="s">
        <v>253</v>
      </c>
      <c r="N330" s="49" t="s">
        <v>123</v>
      </c>
      <c r="O330" s="49" t="s">
        <v>1425</v>
      </c>
      <c r="P330" s="49" t="s">
        <v>132</v>
      </c>
      <c r="Q330" s="61"/>
      <c r="R330" s="61"/>
      <c r="S330" s="61"/>
      <c r="T330" s="61" t="s">
        <v>92</v>
      </c>
      <c r="U330" s="67"/>
      <c r="V330" s="67"/>
      <c r="W330" s="67"/>
      <c r="X330" s="67"/>
      <c r="Y330" s="67"/>
      <c r="Z330" s="67"/>
      <c r="AA330" s="67"/>
      <c r="AB330" s="67"/>
      <c r="AC330" s="67"/>
      <c r="AD330" s="67"/>
      <c r="AE330" s="67"/>
      <c r="AF330" s="67"/>
    </row>
    <row r="331">
      <c r="A331" s="67"/>
      <c r="B331" s="43">
        <f t="shared" si="2"/>
        <v>325</v>
      </c>
      <c r="C331" s="44" t="s">
        <v>1426</v>
      </c>
      <c r="D331" s="44" t="s">
        <v>4</v>
      </c>
      <c r="E331" s="45" t="s">
        <v>62</v>
      </c>
      <c r="F331" s="44" t="s">
        <v>1427</v>
      </c>
      <c r="G331" s="46" t="s">
        <v>20</v>
      </c>
      <c r="H331" s="47" t="s">
        <v>6</v>
      </c>
      <c r="I331" s="48" t="s">
        <v>32</v>
      </c>
      <c r="J331" s="45" t="s">
        <v>892</v>
      </c>
      <c r="K331" s="45" t="s">
        <v>1428</v>
      </c>
      <c r="L331" s="45" t="s">
        <v>1420</v>
      </c>
      <c r="M331" s="54" t="s">
        <v>253</v>
      </c>
      <c r="N331" s="49" t="s">
        <v>123</v>
      </c>
      <c r="O331" s="49" t="s">
        <v>935</v>
      </c>
      <c r="P331" s="49" t="s">
        <v>132</v>
      </c>
      <c r="Q331" s="61"/>
      <c r="R331" s="61"/>
      <c r="S331" s="61"/>
      <c r="T331" s="61" t="s">
        <v>92</v>
      </c>
      <c r="U331" s="67"/>
      <c r="V331" s="67"/>
      <c r="W331" s="67"/>
      <c r="X331" s="67"/>
      <c r="Y331" s="67"/>
      <c r="Z331" s="67"/>
      <c r="AA331" s="67"/>
      <c r="AB331" s="67"/>
      <c r="AC331" s="67"/>
      <c r="AD331" s="67"/>
      <c r="AE331" s="67"/>
      <c r="AF331" s="67"/>
    </row>
    <row r="332">
      <c r="A332" s="67"/>
      <c r="B332" s="43">
        <f t="shared" si="2"/>
        <v>326</v>
      </c>
      <c r="C332" s="44" t="s">
        <v>1429</v>
      </c>
      <c r="D332" s="44" t="s">
        <v>7</v>
      </c>
      <c r="E332" s="45" t="s">
        <v>62</v>
      </c>
      <c r="F332" s="44" t="s">
        <v>1430</v>
      </c>
      <c r="G332" s="46" t="s">
        <v>20</v>
      </c>
      <c r="H332" s="47" t="s">
        <v>8</v>
      </c>
      <c r="I332" s="48"/>
      <c r="J332" s="52"/>
      <c r="K332" s="45" t="s">
        <v>1431</v>
      </c>
      <c r="L332" s="45" t="s">
        <v>1069</v>
      </c>
      <c r="M332" s="54" t="s">
        <v>253</v>
      </c>
      <c r="N332" s="49" t="s">
        <v>123</v>
      </c>
      <c r="O332" s="49" t="s">
        <v>131</v>
      </c>
      <c r="P332" s="49" t="s">
        <v>132</v>
      </c>
      <c r="Q332" s="61"/>
      <c r="R332" s="61"/>
      <c r="S332" s="61"/>
      <c r="T332" s="61" t="s">
        <v>92</v>
      </c>
      <c r="U332" s="67"/>
      <c r="V332" s="67"/>
      <c r="W332" s="67"/>
      <c r="X332" s="67"/>
      <c r="Y332" s="67"/>
      <c r="Z332" s="67"/>
      <c r="AA332" s="67"/>
      <c r="AB332" s="67"/>
      <c r="AC332" s="67"/>
      <c r="AD332" s="67"/>
      <c r="AE332" s="67"/>
      <c r="AF332" s="67"/>
    </row>
    <row r="333">
      <c r="A333" s="67"/>
      <c r="B333" s="43">
        <f t="shared" si="2"/>
        <v>327</v>
      </c>
      <c r="C333" s="44" t="s">
        <v>1432</v>
      </c>
      <c r="D333" s="44" t="s">
        <v>7</v>
      </c>
      <c r="E333" s="45" t="s">
        <v>62</v>
      </c>
      <c r="F333" s="44" t="s">
        <v>1433</v>
      </c>
      <c r="G333" s="46" t="s">
        <v>20</v>
      </c>
      <c r="H333" s="47"/>
      <c r="I333" s="48"/>
      <c r="J333" s="52"/>
      <c r="K333" s="45" t="s">
        <v>1434</v>
      </c>
      <c r="L333" s="45" t="s">
        <v>1247</v>
      </c>
      <c r="M333" s="54" t="s">
        <v>253</v>
      </c>
      <c r="N333" s="49" t="s">
        <v>123</v>
      </c>
      <c r="O333" s="49" t="s">
        <v>131</v>
      </c>
      <c r="P333" s="49" t="s">
        <v>132</v>
      </c>
      <c r="Q333" s="61"/>
      <c r="R333" s="61"/>
      <c r="S333" s="61"/>
      <c r="T333" s="61" t="s">
        <v>92</v>
      </c>
      <c r="U333" s="67"/>
      <c r="V333" s="67"/>
      <c r="W333" s="67"/>
      <c r="X333" s="67"/>
      <c r="Y333" s="67"/>
      <c r="Z333" s="67"/>
      <c r="AA333" s="67"/>
      <c r="AB333" s="67"/>
      <c r="AC333" s="67"/>
      <c r="AD333" s="67"/>
      <c r="AE333" s="67"/>
      <c r="AF333" s="67"/>
    </row>
    <row r="334">
      <c r="A334" s="67"/>
      <c r="B334" s="43">
        <f t="shared" si="2"/>
        <v>328</v>
      </c>
      <c r="C334" s="44" t="s">
        <v>1435</v>
      </c>
      <c r="D334" s="44" t="s">
        <v>7</v>
      </c>
      <c r="E334" s="45" t="s">
        <v>45</v>
      </c>
      <c r="F334" s="44" t="s">
        <v>1436</v>
      </c>
      <c r="G334" s="46" t="s">
        <v>22</v>
      </c>
      <c r="H334" s="47" t="s">
        <v>6</v>
      </c>
      <c r="I334" s="60" t="s">
        <v>40</v>
      </c>
      <c r="J334" s="45" t="s">
        <v>193</v>
      </c>
      <c r="K334" s="45" t="s">
        <v>1437</v>
      </c>
      <c r="L334" s="45" t="s">
        <v>1251</v>
      </c>
      <c r="M334" s="54" t="s">
        <v>253</v>
      </c>
      <c r="N334" s="49" t="s">
        <v>123</v>
      </c>
      <c r="O334" s="49" t="s">
        <v>895</v>
      </c>
      <c r="P334" s="49" t="s">
        <v>132</v>
      </c>
      <c r="Q334" s="61"/>
      <c r="R334" s="61"/>
      <c r="S334" s="61"/>
      <c r="T334" s="61" t="s">
        <v>92</v>
      </c>
      <c r="U334" s="67"/>
      <c r="V334" s="67"/>
      <c r="W334" s="67"/>
      <c r="X334" s="67"/>
      <c r="Y334" s="67"/>
      <c r="Z334" s="67"/>
      <c r="AA334" s="67"/>
      <c r="AB334" s="67"/>
      <c r="AC334" s="67"/>
      <c r="AD334" s="67"/>
      <c r="AE334" s="67"/>
      <c r="AF334" s="67"/>
    </row>
    <row r="335">
      <c r="A335" s="67"/>
      <c r="B335" s="43">
        <f t="shared" si="2"/>
        <v>329</v>
      </c>
      <c r="C335" s="44" t="s">
        <v>1438</v>
      </c>
      <c r="D335" s="44" t="s">
        <v>7</v>
      </c>
      <c r="E335" s="45" t="s">
        <v>45</v>
      </c>
      <c r="F335" s="44" t="s">
        <v>1439</v>
      </c>
      <c r="G335" s="46" t="s">
        <v>26</v>
      </c>
      <c r="H335" s="47" t="s">
        <v>6</v>
      </c>
      <c r="I335" s="48" t="s">
        <v>32</v>
      </c>
      <c r="J335" s="52"/>
      <c r="K335" s="45" t="s">
        <v>1440</v>
      </c>
      <c r="L335" s="45" t="s">
        <v>1251</v>
      </c>
      <c r="M335" s="54" t="s">
        <v>253</v>
      </c>
      <c r="N335" s="49" t="s">
        <v>123</v>
      </c>
      <c r="O335" s="49" t="s">
        <v>1441</v>
      </c>
      <c r="P335" s="49" t="s">
        <v>132</v>
      </c>
      <c r="Q335" s="61"/>
      <c r="R335" s="61"/>
      <c r="S335" s="61"/>
      <c r="T335" s="61" t="s">
        <v>92</v>
      </c>
      <c r="U335" s="67"/>
      <c r="V335" s="67"/>
      <c r="W335" s="67"/>
      <c r="X335" s="67"/>
      <c r="Y335" s="67"/>
      <c r="Z335" s="67"/>
      <c r="AA335" s="67"/>
      <c r="AB335" s="67"/>
      <c r="AC335" s="67"/>
      <c r="AD335" s="67"/>
      <c r="AE335" s="67"/>
      <c r="AF335" s="67"/>
    </row>
    <row r="336">
      <c r="A336" s="67"/>
      <c r="B336" s="43">
        <f t="shared" si="2"/>
        <v>330</v>
      </c>
      <c r="C336" s="44" t="s">
        <v>1442</v>
      </c>
      <c r="D336" s="44" t="s">
        <v>7</v>
      </c>
      <c r="E336" s="45" t="s">
        <v>45</v>
      </c>
      <c r="F336" s="44" t="s">
        <v>1443</v>
      </c>
      <c r="G336" s="46" t="s">
        <v>26</v>
      </c>
      <c r="H336" s="47" t="s">
        <v>6</v>
      </c>
      <c r="I336" s="60" t="s">
        <v>38</v>
      </c>
      <c r="J336" s="52"/>
      <c r="K336" s="45" t="s">
        <v>1444</v>
      </c>
      <c r="L336" s="45" t="s">
        <v>1251</v>
      </c>
      <c r="M336" s="54" t="s">
        <v>253</v>
      </c>
      <c r="N336" s="49" t="s">
        <v>123</v>
      </c>
      <c r="O336" s="49" t="s">
        <v>1445</v>
      </c>
      <c r="P336" s="49" t="s">
        <v>132</v>
      </c>
      <c r="Q336" s="61"/>
      <c r="R336" s="61"/>
      <c r="S336" s="61"/>
      <c r="T336" s="61" t="s">
        <v>92</v>
      </c>
      <c r="U336" s="67"/>
      <c r="V336" s="67"/>
      <c r="W336" s="67"/>
      <c r="X336" s="67"/>
      <c r="Y336" s="67"/>
      <c r="Z336" s="67"/>
      <c r="AA336" s="67"/>
      <c r="AB336" s="67"/>
      <c r="AC336" s="67"/>
      <c r="AD336" s="67"/>
      <c r="AE336" s="67"/>
      <c r="AF336" s="67"/>
    </row>
    <row r="337">
      <c r="A337" s="67"/>
      <c r="B337" s="43">
        <f t="shared" si="2"/>
        <v>331</v>
      </c>
      <c r="C337" s="44" t="s">
        <v>1446</v>
      </c>
      <c r="D337" s="44" t="s">
        <v>4</v>
      </c>
      <c r="E337" s="45" t="s">
        <v>45</v>
      </c>
      <c r="F337" s="44" t="s">
        <v>1447</v>
      </c>
      <c r="G337" s="46" t="s">
        <v>22</v>
      </c>
      <c r="H337" s="47" t="s">
        <v>6</v>
      </c>
      <c r="I337" s="48" t="s">
        <v>32</v>
      </c>
      <c r="J337" s="52"/>
      <c r="K337" s="45" t="s">
        <v>1448</v>
      </c>
      <c r="L337" s="45" t="s">
        <v>1251</v>
      </c>
      <c r="M337" s="54" t="s">
        <v>253</v>
      </c>
      <c r="N337" s="49" t="s">
        <v>123</v>
      </c>
      <c r="O337" s="49" t="s">
        <v>1445</v>
      </c>
      <c r="P337" s="49" t="s">
        <v>132</v>
      </c>
      <c r="Q337" s="61"/>
      <c r="R337" s="61"/>
      <c r="S337" s="61"/>
      <c r="T337" s="61" t="s">
        <v>92</v>
      </c>
      <c r="U337" s="67"/>
      <c r="V337" s="67"/>
      <c r="W337" s="67"/>
      <c r="X337" s="67"/>
      <c r="Y337" s="67"/>
      <c r="Z337" s="67"/>
      <c r="AA337" s="67"/>
      <c r="AB337" s="67"/>
      <c r="AC337" s="67"/>
      <c r="AD337" s="67"/>
      <c r="AE337" s="67"/>
      <c r="AF337" s="67"/>
    </row>
    <row r="338">
      <c r="A338" s="67"/>
      <c r="B338" s="43">
        <f t="shared" si="2"/>
        <v>332</v>
      </c>
      <c r="C338" s="44" t="s">
        <v>1449</v>
      </c>
      <c r="D338" s="44" t="s">
        <v>7</v>
      </c>
      <c r="E338" s="45" t="s">
        <v>62</v>
      </c>
      <c r="F338" s="44" t="s">
        <v>1450</v>
      </c>
      <c r="G338" s="46" t="s">
        <v>22</v>
      </c>
      <c r="H338" s="47" t="s">
        <v>28</v>
      </c>
      <c r="I338" s="60" t="s">
        <v>38</v>
      </c>
      <c r="J338" s="52"/>
      <c r="K338" s="45" t="s">
        <v>1451</v>
      </c>
      <c r="L338" s="45" t="s">
        <v>1247</v>
      </c>
      <c r="M338" s="54" t="s">
        <v>253</v>
      </c>
      <c r="N338" s="49" t="s">
        <v>123</v>
      </c>
      <c r="O338" s="49" t="s">
        <v>1452</v>
      </c>
      <c r="P338" s="49" t="s">
        <v>132</v>
      </c>
      <c r="Q338" s="61"/>
      <c r="R338" s="61"/>
      <c r="S338" s="61"/>
      <c r="T338" s="61" t="s">
        <v>92</v>
      </c>
      <c r="U338" s="67"/>
      <c r="V338" s="67"/>
      <c r="W338" s="67"/>
      <c r="X338" s="67"/>
      <c r="Y338" s="67"/>
      <c r="Z338" s="67"/>
      <c r="AA338" s="67"/>
      <c r="AB338" s="67"/>
      <c r="AC338" s="67"/>
      <c r="AD338" s="67"/>
      <c r="AE338" s="67"/>
      <c r="AF338" s="67"/>
    </row>
    <row r="339">
      <c r="A339" s="67"/>
      <c r="B339" s="43">
        <f t="shared" si="2"/>
        <v>333</v>
      </c>
      <c r="C339" s="44" t="s">
        <v>1453</v>
      </c>
      <c r="D339" s="44" t="s">
        <v>7</v>
      </c>
      <c r="E339" s="45" t="s">
        <v>45</v>
      </c>
      <c r="F339" s="44" t="s">
        <v>1454</v>
      </c>
      <c r="G339" s="46" t="s">
        <v>22</v>
      </c>
      <c r="H339" s="47" t="s">
        <v>6</v>
      </c>
      <c r="I339" s="60" t="s">
        <v>38</v>
      </c>
      <c r="J339" s="52"/>
      <c r="K339" s="45" t="s">
        <v>1455</v>
      </c>
      <c r="L339" s="45" t="s">
        <v>1049</v>
      </c>
      <c r="M339" s="54" t="s">
        <v>85</v>
      </c>
      <c r="N339" s="49" t="s">
        <v>123</v>
      </c>
      <c r="O339" s="49" t="s">
        <v>1452</v>
      </c>
      <c r="P339" s="49" t="s">
        <v>132</v>
      </c>
      <c r="Q339" s="61"/>
      <c r="R339" s="61"/>
      <c r="S339" s="61"/>
      <c r="T339" s="61" t="s">
        <v>92</v>
      </c>
      <c r="U339" s="67"/>
      <c r="V339" s="67"/>
      <c r="W339" s="67"/>
      <c r="X339" s="67"/>
      <c r="Y339" s="67"/>
      <c r="Z339" s="67"/>
      <c r="AA339" s="67"/>
      <c r="AB339" s="67"/>
      <c r="AC339" s="67"/>
      <c r="AD339" s="67"/>
      <c r="AE339" s="67"/>
      <c r="AF339" s="67"/>
    </row>
    <row r="340">
      <c r="A340" s="67"/>
      <c r="B340" s="43">
        <f t="shared" si="2"/>
        <v>334</v>
      </c>
      <c r="C340" s="44" t="s">
        <v>1456</v>
      </c>
      <c r="D340" s="44" t="s">
        <v>7</v>
      </c>
      <c r="E340" s="45" t="s">
        <v>62</v>
      </c>
      <c r="F340" s="44" t="s">
        <v>1457</v>
      </c>
      <c r="G340" s="46" t="s">
        <v>22</v>
      </c>
      <c r="H340" s="47" t="s">
        <v>28</v>
      </c>
      <c r="I340" s="48" t="s">
        <v>32</v>
      </c>
      <c r="J340" s="52"/>
      <c r="K340" s="45" t="s">
        <v>1458</v>
      </c>
      <c r="L340" s="45" t="s">
        <v>1420</v>
      </c>
      <c r="M340" s="54" t="s">
        <v>253</v>
      </c>
      <c r="N340" s="49" t="s">
        <v>123</v>
      </c>
      <c r="O340" s="49" t="s">
        <v>1243</v>
      </c>
      <c r="P340" s="49" t="s">
        <v>132</v>
      </c>
      <c r="Q340" s="61"/>
      <c r="R340" s="61"/>
      <c r="S340" s="61"/>
      <c r="T340" s="61" t="s">
        <v>92</v>
      </c>
      <c r="U340" s="67"/>
      <c r="V340" s="67"/>
      <c r="W340" s="67"/>
      <c r="X340" s="67"/>
      <c r="Y340" s="67"/>
      <c r="Z340" s="67"/>
      <c r="AA340" s="67"/>
      <c r="AB340" s="67"/>
      <c r="AC340" s="67"/>
      <c r="AD340" s="67"/>
      <c r="AE340" s="67"/>
      <c r="AF340" s="67"/>
    </row>
    <row r="341">
      <c r="A341" s="67"/>
      <c r="B341" s="43">
        <f t="shared" si="2"/>
        <v>335</v>
      </c>
      <c r="C341" s="44" t="s">
        <v>1459</v>
      </c>
      <c r="D341" s="44" t="s">
        <v>7</v>
      </c>
      <c r="E341" s="45" t="s">
        <v>45</v>
      </c>
      <c r="F341" s="44" t="s">
        <v>1460</v>
      </c>
      <c r="G341" s="46" t="s">
        <v>20</v>
      </c>
      <c r="H341" s="47" t="s">
        <v>10</v>
      </c>
      <c r="I341" s="48"/>
      <c r="J341" s="52"/>
      <c r="K341" s="45" t="s">
        <v>1461</v>
      </c>
      <c r="L341" s="45" t="s">
        <v>327</v>
      </c>
      <c r="M341" s="54" t="s">
        <v>85</v>
      </c>
      <c r="N341" s="49" t="s">
        <v>123</v>
      </c>
      <c r="O341" s="49" t="s">
        <v>209</v>
      </c>
      <c r="P341" s="49" t="s">
        <v>132</v>
      </c>
      <c r="Q341" s="61"/>
      <c r="R341" s="61"/>
      <c r="S341" s="61"/>
      <c r="T341" s="61" t="s">
        <v>92</v>
      </c>
      <c r="U341" s="67"/>
      <c r="V341" s="67"/>
      <c r="W341" s="67"/>
      <c r="X341" s="67"/>
      <c r="Y341" s="67"/>
      <c r="Z341" s="67"/>
      <c r="AA341" s="67"/>
      <c r="AB341" s="67"/>
      <c r="AC341" s="67"/>
      <c r="AD341" s="67"/>
      <c r="AE341" s="67"/>
      <c r="AF341" s="67"/>
    </row>
    <row r="342">
      <c r="A342" s="67"/>
      <c r="B342" s="43">
        <f t="shared" si="2"/>
        <v>336</v>
      </c>
      <c r="C342" s="44" t="s">
        <v>1462</v>
      </c>
      <c r="D342" s="44" t="s">
        <v>7</v>
      </c>
      <c r="E342" s="45" t="s">
        <v>62</v>
      </c>
      <c r="F342" s="44" t="s">
        <v>1463</v>
      </c>
      <c r="G342" s="46" t="s">
        <v>20</v>
      </c>
      <c r="H342" s="47" t="s">
        <v>27</v>
      </c>
      <c r="I342" s="48" t="s">
        <v>42</v>
      </c>
      <c r="J342" s="45"/>
      <c r="K342" s="45" t="s">
        <v>1464</v>
      </c>
      <c r="L342" s="45" t="s">
        <v>1247</v>
      </c>
      <c r="M342" s="54" t="s">
        <v>253</v>
      </c>
      <c r="N342" s="49" t="s">
        <v>123</v>
      </c>
      <c r="O342" s="49" t="s">
        <v>131</v>
      </c>
      <c r="P342" s="49" t="s">
        <v>132</v>
      </c>
      <c r="Q342" s="61"/>
      <c r="R342" s="61"/>
      <c r="S342" s="61"/>
      <c r="T342" s="61" t="s">
        <v>92</v>
      </c>
      <c r="U342" s="67"/>
      <c r="V342" s="67"/>
      <c r="W342" s="67"/>
      <c r="X342" s="67"/>
      <c r="Y342" s="67"/>
      <c r="Z342" s="67"/>
      <c r="AA342" s="67"/>
      <c r="AB342" s="67"/>
      <c r="AC342" s="67"/>
      <c r="AD342" s="67"/>
      <c r="AE342" s="67"/>
      <c r="AF342" s="67"/>
    </row>
    <row r="343">
      <c r="A343" s="67"/>
      <c r="B343" s="43">
        <f t="shared" si="2"/>
        <v>337</v>
      </c>
      <c r="C343" s="44" t="s">
        <v>1465</v>
      </c>
      <c r="D343" s="44" t="s">
        <v>7</v>
      </c>
      <c r="E343" s="45" t="s">
        <v>45</v>
      </c>
      <c r="F343" s="44" t="s">
        <v>1466</v>
      </c>
      <c r="G343" s="46" t="s">
        <v>22</v>
      </c>
      <c r="H343" s="47" t="s">
        <v>27</v>
      </c>
      <c r="I343" s="60" t="s">
        <v>40</v>
      </c>
      <c r="J343" s="52"/>
      <c r="K343" s="45" t="s">
        <v>1467</v>
      </c>
      <c r="L343" s="45" t="s">
        <v>1251</v>
      </c>
      <c r="M343" s="54" t="s">
        <v>253</v>
      </c>
      <c r="N343" s="49" t="s">
        <v>123</v>
      </c>
      <c r="O343" s="49" t="s">
        <v>1468</v>
      </c>
      <c r="P343" s="49" t="s">
        <v>132</v>
      </c>
      <c r="Q343" s="61"/>
      <c r="R343" s="61"/>
      <c r="S343" s="61"/>
      <c r="T343" s="61" t="s">
        <v>92</v>
      </c>
      <c r="U343" s="67"/>
      <c r="V343" s="67"/>
      <c r="W343" s="67"/>
      <c r="X343" s="67"/>
      <c r="Y343" s="67"/>
      <c r="Z343" s="67"/>
      <c r="AA343" s="67"/>
      <c r="AB343" s="67"/>
      <c r="AC343" s="67"/>
      <c r="AD343" s="67"/>
      <c r="AE343" s="67"/>
      <c r="AF343" s="67"/>
    </row>
    <row r="344">
      <c r="A344" s="67"/>
      <c r="B344" s="43">
        <f t="shared" si="2"/>
        <v>338</v>
      </c>
      <c r="C344" s="44" t="s">
        <v>1469</v>
      </c>
      <c r="D344" s="44" t="s">
        <v>7</v>
      </c>
      <c r="E344" s="45" t="s">
        <v>33</v>
      </c>
      <c r="F344" s="44" t="s">
        <v>1470</v>
      </c>
      <c r="G344" s="46" t="s">
        <v>20</v>
      </c>
      <c r="H344" s="47" t="s">
        <v>27</v>
      </c>
      <c r="I344" s="48"/>
      <c r="J344" s="52"/>
      <c r="K344" s="45" t="s">
        <v>1471</v>
      </c>
      <c r="L344" s="45" t="s">
        <v>530</v>
      </c>
      <c r="M344" s="54" t="s">
        <v>113</v>
      </c>
      <c r="N344" s="49" t="s">
        <v>123</v>
      </c>
      <c r="O344" s="49" t="s">
        <v>209</v>
      </c>
      <c r="P344" s="49" t="s">
        <v>132</v>
      </c>
      <c r="Q344" s="61"/>
      <c r="R344" s="61"/>
      <c r="S344" s="61"/>
      <c r="T344" s="61" t="s">
        <v>92</v>
      </c>
      <c r="U344" s="67"/>
      <c r="V344" s="67"/>
      <c r="W344" s="67"/>
      <c r="X344" s="67"/>
      <c r="Y344" s="67"/>
      <c r="Z344" s="67"/>
      <c r="AA344" s="67"/>
      <c r="AB344" s="67"/>
      <c r="AC344" s="67"/>
      <c r="AD344" s="67"/>
      <c r="AE344" s="67"/>
      <c r="AF344" s="67"/>
    </row>
    <row r="345">
      <c r="A345" s="67"/>
      <c r="B345" s="43">
        <f t="shared" si="2"/>
        <v>339</v>
      </c>
      <c r="C345" s="44" t="s">
        <v>1472</v>
      </c>
      <c r="D345" s="44" t="s">
        <v>7</v>
      </c>
      <c r="E345" s="45" t="s">
        <v>45</v>
      </c>
      <c r="F345" s="44" t="s">
        <v>1473</v>
      </c>
      <c r="G345" s="46" t="s">
        <v>20</v>
      </c>
      <c r="H345" s="47" t="s">
        <v>8</v>
      </c>
      <c r="I345" s="48"/>
      <c r="J345" s="52"/>
      <c r="K345" s="45" t="s">
        <v>1431</v>
      </c>
      <c r="L345" s="45" t="s">
        <v>1474</v>
      </c>
      <c r="M345" s="54" t="s">
        <v>253</v>
      </c>
      <c r="N345" s="49" t="s">
        <v>123</v>
      </c>
      <c r="O345" s="49" t="s">
        <v>131</v>
      </c>
      <c r="P345" s="49" t="s">
        <v>132</v>
      </c>
      <c r="Q345" s="61"/>
      <c r="R345" s="61"/>
      <c r="S345" s="61"/>
      <c r="T345" s="61" t="s">
        <v>92</v>
      </c>
      <c r="U345" s="67"/>
      <c r="V345" s="67"/>
      <c r="W345" s="67"/>
      <c r="X345" s="67"/>
      <c r="Y345" s="67"/>
      <c r="Z345" s="67"/>
      <c r="AA345" s="67"/>
      <c r="AB345" s="67"/>
      <c r="AC345" s="67"/>
      <c r="AD345" s="67"/>
      <c r="AE345" s="67"/>
      <c r="AF345" s="67"/>
    </row>
    <row r="346">
      <c r="A346" s="67"/>
      <c r="B346" s="43">
        <f t="shared" si="2"/>
        <v>340</v>
      </c>
      <c r="C346" s="44" t="s">
        <v>1475</v>
      </c>
      <c r="D346" s="44" t="s">
        <v>9</v>
      </c>
      <c r="E346" s="45" t="s">
        <v>47</v>
      </c>
      <c r="F346" s="44" t="s">
        <v>1476</v>
      </c>
      <c r="G346" s="46" t="s">
        <v>20</v>
      </c>
      <c r="H346" s="47" t="s">
        <v>17</v>
      </c>
      <c r="I346" s="48"/>
      <c r="J346" s="52"/>
      <c r="K346" s="45" t="s">
        <v>1477</v>
      </c>
      <c r="L346" s="45" t="s">
        <v>530</v>
      </c>
      <c r="M346" s="54" t="s">
        <v>113</v>
      </c>
      <c r="N346" s="49" t="s">
        <v>114</v>
      </c>
      <c r="O346" s="49" t="s">
        <v>209</v>
      </c>
      <c r="P346" s="49" t="s">
        <v>132</v>
      </c>
      <c r="Q346" s="61"/>
      <c r="R346" s="61"/>
      <c r="S346" s="61"/>
      <c r="T346" s="61" t="s">
        <v>92</v>
      </c>
      <c r="U346" s="67"/>
      <c r="V346" s="67"/>
      <c r="W346" s="67"/>
      <c r="X346" s="67"/>
      <c r="Y346" s="67"/>
      <c r="Z346" s="67"/>
      <c r="AA346" s="67"/>
      <c r="AB346" s="67"/>
      <c r="AC346" s="67"/>
      <c r="AD346" s="67"/>
      <c r="AE346" s="67"/>
      <c r="AF346" s="67"/>
    </row>
    <row r="347">
      <c r="A347" s="67"/>
      <c r="B347" s="43">
        <f t="shared" si="2"/>
        <v>341</v>
      </c>
      <c r="C347" s="44" t="s">
        <v>1478</v>
      </c>
      <c r="D347" s="44" t="s">
        <v>11</v>
      </c>
      <c r="E347" s="45" t="s">
        <v>47</v>
      </c>
      <c r="F347" s="44" t="s">
        <v>1479</v>
      </c>
      <c r="G347" s="46" t="s">
        <v>20</v>
      </c>
      <c r="H347" s="47" t="s">
        <v>27</v>
      </c>
      <c r="I347" s="70"/>
      <c r="J347" s="52"/>
      <c r="K347" s="45" t="s">
        <v>1480</v>
      </c>
      <c r="L347" s="45" t="s">
        <v>1481</v>
      </c>
      <c r="M347" s="49" t="s">
        <v>113</v>
      </c>
      <c r="N347" s="49" t="s">
        <v>114</v>
      </c>
      <c r="O347" s="49" t="s">
        <v>87</v>
      </c>
      <c r="P347" s="49" t="s">
        <v>88</v>
      </c>
      <c r="Q347" s="49"/>
      <c r="R347" s="49"/>
      <c r="S347" s="61"/>
      <c r="T347" s="61" t="s">
        <v>92</v>
      </c>
      <c r="U347" s="67"/>
      <c r="V347" s="67"/>
      <c r="W347" s="67"/>
      <c r="X347" s="67"/>
      <c r="Y347" s="67"/>
      <c r="Z347" s="67"/>
      <c r="AA347" s="67"/>
      <c r="AB347" s="67"/>
      <c r="AC347" s="67"/>
      <c r="AD347" s="67"/>
      <c r="AE347" s="67"/>
      <c r="AF347" s="67"/>
    </row>
    <row r="348">
      <c r="A348" s="67"/>
      <c r="B348" s="43">
        <f t="shared" si="2"/>
        <v>342</v>
      </c>
      <c r="C348" s="44" t="s">
        <v>1482</v>
      </c>
      <c r="D348" s="44" t="s">
        <v>11</v>
      </c>
      <c r="E348" s="45" t="s">
        <v>47</v>
      </c>
      <c r="F348" s="44" t="s">
        <v>1483</v>
      </c>
      <c r="G348" s="46" t="s">
        <v>20</v>
      </c>
      <c r="H348" s="47" t="s">
        <v>27</v>
      </c>
      <c r="I348" s="70"/>
      <c r="J348" s="52"/>
      <c r="K348" s="45" t="s">
        <v>1484</v>
      </c>
      <c r="L348" s="45" t="s">
        <v>1481</v>
      </c>
      <c r="M348" s="49" t="s">
        <v>85</v>
      </c>
      <c r="N348" s="49" t="s">
        <v>114</v>
      </c>
      <c r="O348" s="49" t="s">
        <v>87</v>
      </c>
      <c r="P348" s="49" t="s">
        <v>88</v>
      </c>
      <c r="Q348" s="49"/>
      <c r="R348" s="49"/>
      <c r="S348" s="61"/>
      <c r="T348" s="61" t="s">
        <v>92</v>
      </c>
      <c r="U348" s="67"/>
      <c r="V348" s="67"/>
      <c r="W348" s="67"/>
      <c r="X348" s="67"/>
      <c r="Y348" s="67"/>
      <c r="Z348" s="67"/>
      <c r="AA348" s="67"/>
      <c r="AB348" s="67"/>
      <c r="AC348" s="67"/>
      <c r="AD348" s="67"/>
      <c r="AE348" s="67"/>
      <c r="AF348" s="67"/>
    </row>
    <row r="349">
      <c r="A349" s="67"/>
      <c r="B349" s="43">
        <f t="shared" si="2"/>
        <v>343</v>
      </c>
      <c r="C349" s="44" t="s">
        <v>1485</v>
      </c>
      <c r="D349" s="44" t="s">
        <v>9</v>
      </c>
      <c r="E349" s="45" t="s">
        <v>46</v>
      </c>
      <c r="F349" s="44" t="s">
        <v>1486</v>
      </c>
      <c r="G349" s="46" t="s">
        <v>20</v>
      </c>
      <c r="H349" s="47" t="s">
        <v>28</v>
      </c>
      <c r="I349" s="70"/>
      <c r="J349" s="52"/>
      <c r="K349" s="45" t="s">
        <v>1487</v>
      </c>
      <c r="L349" s="45" t="s">
        <v>365</v>
      </c>
      <c r="M349" s="49" t="s">
        <v>113</v>
      </c>
      <c r="N349" s="49" t="s">
        <v>394</v>
      </c>
      <c r="O349" s="49" t="s">
        <v>131</v>
      </c>
      <c r="P349" s="49" t="s">
        <v>105</v>
      </c>
      <c r="Q349" s="49"/>
      <c r="R349" s="49"/>
      <c r="S349" s="61"/>
      <c r="T349" s="61" t="s">
        <v>92</v>
      </c>
      <c r="U349" s="67"/>
      <c r="V349" s="67"/>
      <c r="W349" s="67"/>
      <c r="X349" s="67"/>
      <c r="Y349" s="67"/>
      <c r="Z349" s="67"/>
      <c r="AA349" s="67"/>
      <c r="AB349" s="67"/>
      <c r="AC349" s="67"/>
      <c r="AD349" s="67"/>
      <c r="AE349" s="67"/>
      <c r="AF349" s="67"/>
    </row>
    <row r="350">
      <c r="A350" s="67"/>
      <c r="B350" s="43">
        <f t="shared" si="2"/>
        <v>344</v>
      </c>
      <c r="C350" s="44" t="s">
        <v>1488</v>
      </c>
      <c r="D350" s="44" t="s">
        <v>5</v>
      </c>
      <c r="E350" s="45" t="s">
        <v>46</v>
      </c>
      <c r="F350" s="44" t="s">
        <v>1489</v>
      </c>
      <c r="G350" s="46" t="s">
        <v>18</v>
      </c>
      <c r="H350" s="47" t="s">
        <v>6</v>
      </c>
      <c r="I350" s="70"/>
      <c r="J350" s="52"/>
      <c r="K350" s="45" t="s">
        <v>1490</v>
      </c>
      <c r="L350" s="45" t="s">
        <v>365</v>
      </c>
      <c r="M350" s="49" t="s">
        <v>113</v>
      </c>
      <c r="N350" s="49" t="s">
        <v>394</v>
      </c>
      <c r="O350" s="49" t="s">
        <v>131</v>
      </c>
      <c r="P350" s="49" t="s">
        <v>105</v>
      </c>
      <c r="Q350" s="49"/>
      <c r="R350" s="49"/>
      <c r="S350" s="61"/>
      <c r="T350" s="61" t="s">
        <v>92</v>
      </c>
      <c r="U350" s="67"/>
      <c r="V350" s="67"/>
      <c r="W350" s="67"/>
      <c r="X350" s="67"/>
      <c r="Y350" s="67"/>
      <c r="Z350" s="67"/>
      <c r="AA350" s="67"/>
      <c r="AB350" s="67"/>
      <c r="AC350" s="67"/>
      <c r="AD350" s="67"/>
      <c r="AE350" s="67"/>
      <c r="AF350" s="67"/>
    </row>
    <row r="351">
      <c r="A351" s="67"/>
      <c r="B351" s="43">
        <f t="shared" si="2"/>
        <v>345</v>
      </c>
      <c r="C351" s="44" t="s">
        <v>1491</v>
      </c>
      <c r="D351" s="44" t="s">
        <v>5</v>
      </c>
      <c r="E351" s="45" t="s">
        <v>56</v>
      </c>
      <c r="F351" s="44" t="s">
        <v>1492</v>
      </c>
      <c r="G351" s="46" t="s">
        <v>20</v>
      </c>
      <c r="H351" s="47" t="s">
        <v>6</v>
      </c>
      <c r="I351" s="48" t="s">
        <v>32</v>
      </c>
      <c r="J351" s="45" t="s">
        <v>193</v>
      </c>
      <c r="K351" s="45" t="s">
        <v>1493</v>
      </c>
      <c r="L351" s="45" t="s">
        <v>429</v>
      </c>
      <c r="M351" s="49" t="s">
        <v>113</v>
      </c>
      <c r="N351" s="49" t="s">
        <v>86</v>
      </c>
      <c r="O351" s="49" t="s">
        <v>87</v>
      </c>
      <c r="P351" s="49" t="s">
        <v>88</v>
      </c>
      <c r="Q351" s="49"/>
      <c r="R351" s="49"/>
      <c r="S351" s="61"/>
      <c r="T351" s="61" t="s">
        <v>92</v>
      </c>
      <c r="U351" s="67"/>
      <c r="V351" s="67"/>
      <c r="W351" s="67"/>
      <c r="X351" s="67"/>
      <c r="Y351" s="67"/>
      <c r="Z351" s="67"/>
      <c r="AA351" s="67"/>
      <c r="AB351" s="67"/>
      <c r="AC351" s="67"/>
      <c r="AD351" s="67"/>
      <c r="AE351" s="67"/>
      <c r="AF351" s="67"/>
    </row>
    <row r="352">
      <c r="A352" s="67"/>
      <c r="B352" s="43">
        <f t="shared" si="2"/>
        <v>346</v>
      </c>
      <c r="C352" s="44" t="s">
        <v>1494</v>
      </c>
      <c r="D352" s="44" t="s">
        <v>4</v>
      </c>
      <c r="E352" s="45" t="s">
        <v>56</v>
      </c>
      <c r="F352" s="44" t="s">
        <v>1495</v>
      </c>
      <c r="G352" s="46" t="s">
        <v>20</v>
      </c>
      <c r="H352" s="47" t="s">
        <v>21</v>
      </c>
      <c r="I352" s="70"/>
      <c r="J352" s="52"/>
      <c r="K352" s="45" t="s">
        <v>1496</v>
      </c>
      <c r="L352" s="45" t="s">
        <v>1497</v>
      </c>
      <c r="M352" s="49" t="s">
        <v>253</v>
      </c>
      <c r="N352" s="49" t="s">
        <v>1386</v>
      </c>
      <c r="O352" s="49" t="s">
        <v>131</v>
      </c>
      <c r="P352" s="49" t="s">
        <v>88</v>
      </c>
      <c r="Q352" s="49"/>
      <c r="R352" s="49"/>
      <c r="S352" s="61"/>
      <c r="T352" s="61" t="s">
        <v>92</v>
      </c>
      <c r="U352" s="67"/>
      <c r="V352" s="67"/>
      <c r="W352" s="67"/>
      <c r="X352" s="67"/>
      <c r="Y352" s="67"/>
      <c r="Z352" s="67"/>
      <c r="AA352" s="67"/>
      <c r="AB352" s="67"/>
      <c r="AC352" s="67"/>
      <c r="AD352" s="67"/>
      <c r="AE352" s="67"/>
      <c r="AF352" s="67"/>
    </row>
    <row r="353">
      <c r="A353" s="67"/>
      <c r="B353" s="43">
        <f t="shared" si="2"/>
        <v>347</v>
      </c>
      <c r="C353" s="44" t="s">
        <v>1498</v>
      </c>
      <c r="D353" s="44" t="s">
        <v>4</v>
      </c>
      <c r="E353" s="45" t="s">
        <v>51</v>
      </c>
      <c r="F353" s="44" t="s">
        <v>1499</v>
      </c>
      <c r="G353" s="46" t="s">
        <v>18</v>
      </c>
      <c r="H353" s="47" t="s">
        <v>6</v>
      </c>
      <c r="I353" s="48" t="s">
        <v>32</v>
      </c>
      <c r="J353" s="52"/>
      <c r="K353" s="45" t="s">
        <v>1500</v>
      </c>
      <c r="L353" s="45" t="s">
        <v>1501</v>
      </c>
      <c r="M353" s="49" t="s">
        <v>85</v>
      </c>
      <c r="N353" s="49" t="s">
        <v>114</v>
      </c>
      <c r="O353" s="49" t="s">
        <v>1502</v>
      </c>
      <c r="P353" s="49" t="s">
        <v>105</v>
      </c>
      <c r="Q353" s="49"/>
      <c r="R353" s="49"/>
      <c r="S353" s="61"/>
      <c r="T353" s="62" t="s">
        <v>1503</v>
      </c>
      <c r="U353" s="67"/>
      <c r="V353" s="67"/>
      <c r="W353" s="67"/>
      <c r="X353" s="67"/>
      <c r="Y353" s="67"/>
      <c r="Z353" s="67"/>
      <c r="AA353" s="67"/>
      <c r="AB353" s="67"/>
      <c r="AC353" s="67"/>
      <c r="AD353" s="67"/>
      <c r="AE353" s="67"/>
      <c r="AF353" s="67"/>
    </row>
    <row r="354">
      <c r="A354" s="67"/>
      <c r="B354" s="43">
        <f t="shared" si="2"/>
        <v>348</v>
      </c>
      <c r="C354" s="44" t="s">
        <v>1504</v>
      </c>
      <c r="D354" s="44" t="s">
        <v>5</v>
      </c>
      <c r="E354" s="45" t="s">
        <v>56</v>
      </c>
      <c r="F354" s="44" t="s">
        <v>1505</v>
      </c>
      <c r="G354" s="46" t="s">
        <v>22</v>
      </c>
      <c r="H354" s="47" t="s">
        <v>6</v>
      </c>
      <c r="I354" s="48" t="s">
        <v>32</v>
      </c>
      <c r="J354" s="52"/>
      <c r="K354" s="45" t="s">
        <v>1506</v>
      </c>
      <c r="L354" s="45" t="s">
        <v>877</v>
      </c>
      <c r="M354" s="49" t="s">
        <v>113</v>
      </c>
      <c r="N354" s="49" t="s">
        <v>86</v>
      </c>
      <c r="O354" s="49" t="s">
        <v>131</v>
      </c>
      <c r="P354" s="49" t="s">
        <v>88</v>
      </c>
      <c r="Q354" s="49"/>
      <c r="R354" s="49"/>
      <c r="S354" s="61"/>
      <c r="T354" s="61" t="s">
        <v>92</v>
      </c>
      <c r="U354" s="67"/>
      <c r="V354" s="67"/>
      <c r="W354" s="67"/>
      <c r="X354" s="67"/>
      <c r="Y354" s="67"/>
      <c r="Z354" s="67"/>
      <c r="AA354" s="67"/>
      <c r="AB354" s="67"/>
      <c r="AC354" s="67"/>
      <c r="AD354" s="67"/>
      <c r="AE354" s="67"/>
      <c r="AF354" s="67"/>
    </row>
    <row r="355">
      <c r="A355" s="67"/>
      <c r="B355" s="43">
        <f t="shared" si="2"/>
        <v>349</v>
      </c>
      <c r="C355" s="44" t="s">
        <v>1507</v>
      </c>
      <c r="D355" s="44" t="s">
        <v>4</v>
      </c>
      <c r="E355" s="45" t="s">
        <v>47</v>
      </c>
      <c r="F355" s="44" t="s">
        <v>1508</v>
      </c>
      <c r="G355" s="46" t="s">
        <v>22</v>
      </c>
      <c r="H355" s="47" t="s">
        <v>6</v>
      </c>
      <c r="I355" s="48" t="s">
        <v>32</v>
      </c>
      <c r="J355" s="52"/>
      <c r="K355" s="45" t="s">
        <v>1509</v>
      </c>
      <c r="L355" s="45" t="s">
        <v>1036</v>
      </c>
      <c r="M355" s="49" t="s">
        <v>85</v>
      </c>
      <c r="N355" s="49" t="s">
        <v>114</v>
      </c>
      <c r="O355" s="49" t="s">
        <v>311</v>
      </c>
      <c r="P355" s="49" t="s">
        <v>105</v>
      </c>
      <c r="Q355" s="49"/>
      <c r="R355" s="49"/>
      <c r="S355" s="61"/>
      <c r="T355" s="61" t="s">
        <v>92</v>
      </c>
      <c r="U355" s="67"/>
      <c r="V355" s="67"/>
      <c r="W355" s="67"/>
      <c r="X355" s="67"/>
      <c r="Y355" s="67"/>
      <c r="Z355" s="67"/>
      <c r="AA355" s="67"/>
      <c r="AB355" s="67"/>
      <c r="AC355" s="67"/>
      <c r="AD355" s="67"/>
      <c r="AE355" s="67"/>
      <c r="AF355" s="67"/>
    </row>
    <row r="356">
      <c r="A356" s="67"/>
      <c r="B356" s="43">
        <f t="shared" si="2"/>
        <v>350</v>
      </c>
      <c r="C356" s="44" t="s">
        <v>1510</v>
      </c>
      <c r="D356" s="44" t="s">
        <v>9</v>
      </c>
      <c r="E356" s="45" t="s">
        <v>57</v>
      </c>
      <c r="F356" s="44" t="s">
        <v>1511</v>
      </c>
      <c r="G356" s="46" t="s">
        <v>20</v>
      </c>
      <c r="H356" s="47" t="s">
        <v>6</v>
      </c>
      <c r="I356" s="48" t="s">
        <v>32</v>
      </c>
      <c r="J356" s="45" t="s">
        <v>193</v>
      </c>
      <c r="K356" s="45" t="s">
        <v>1512</v>
      </c>
      <c r="L356" s="45" t="s">
        <v>1513</v>
      </c>
      <c r="M356" s="49" t="s">
        <v>253</v>
      </c>
      <c r="N356" s="49" t="s">
        <v>266</v>
      </c>
      <c r="O356" s="49" t="s">
        <v>131</v>
      </c>
      <c r="P356" s="49" t="s">
        <v>88</v>
      </c>
      <c r="Q356" s="49"/>
      <c r="R356" s="49"/>
      <c r="S356" s="61"/>
      <c r="T356" s="61" t="s">
        <v>92</v>
      </c>
      <c r="U356" s="67"/>
      <c r="V356" s="67"/>
      <c r="W356" s="67"/>
      <c r="X356" s="67"/>
      <c r="Y356" s="67"/>
      <c r="Z356" s="67"/>
      <c r="AA356" s="67"/>
      <c r="AB356" s="67"/>
      <c r="AC356" s="67"/>
      <c r="AD356" s="67"/>
      <c r="AE356" s="67"/>
      <c r="AF356" s="67"/>
    </row>
    <row r="357">
      <c r="A357" s="67"/>
      <c r="B357" s="43">
        <f t="shared" si="2"/>
        <v>351</v>
      </c>
      <c r="C357" s="44" t="s">
        <v>1514</v>
      </c>
      <c r="D357" s="44" t="s">
        <v>4</v>
      </c>
      <c r="E357" s="45" t="s">
        <v>45</v>
      </c>
      <c r="F357" s="44" t="s">
        <v>1515</v>
      </c>
      <c r="G357" s="46" t="s">
        <v>20</v>
      </c>
      <c r="H357" s="47" t="s">
        <v>21</v>
      </c>
      <c r="I357" s="70"/>
      <c r="J357" s="52"/>
      <c r="K357" s="45" t="s">
        <v>1516</v>
      </c>
      <c r="L357" s="45" t="s">
        <v>1247</v>
      </c>
      <c r="M357" s="49" t="s">
        <v>253</v>
      </c>
      <c r="N357" s="49" t="s">
        <v>123</v>
      </c>
      <c r="O357" s="49" t="s">
        <v>131</v>
      </c>
      <c r="P357" s="49" t="s">
        <v>132</v>
      </c>
      <c r="Q357" s="49"/>
      <c r="R357" s="49"/>
      <c r="S357" s="61"/>
      <c r="T357" s="61" t="s">
        <v>92</v>
      </c>
      <c r="U357" s="67"/>
      <c r="V357" s="67"/>
      <c r="W357" s="67"/>
      <c r="X357" s="67"/>
      <c r="Y357" s="67"/>
      <c r="Z357" s="67"/>
      <c r="AA357" s="67"/>
      <c r="AB357" s="67"/>
      <c r="AC357" s="67"/>
      <c r="AD357" s="67"/>
      <c r="AE357" s="67"/>
      <c r="AF357" s="67"/>
    </row>
    <row r="358">
      <c r="A358" s="67"/>
      <c r="B358" s="43">
        <f t="shared" si="2"/>
        <v>352</v>
      </c>
      <c r="C358" s="44" t="s">
        <v>1517</v>
      </c>
      <c r="D358" s="44" t="s">
        <v>4</v>
      </c>
      <c r="E358" s="45" t="s">
        <v>45</v>
      </c>
      <c r="F358" s="44" t="s">
        <v>1518</v>
      </c>
      <c r="G358" s="46" t="s">
        <v>18</v>
      </c>
      <c r="H358" s="47" t="s">
        <v>21</v>
      </c>
      <c r="I358" s="70"/>
      <c r="J358" s="52"/>
      <c r="K358" s="45" t="s">
        <v>1519</v>
      </c>
      <c r="L358" s="45" t="s">
        <v>1151</v>
      </c>
      <c r="M358" s="49" t="s">
        <v>253</v>
      </c>
      <c r="N358" s="49" t="s">
        <v>1386</v>
      </c>
      <c r="O358" s="49" t="s">
        <v>1520</v>
      </c>
      <c r="P358" s="49" t="s">
        <v>132</v>
      </c>
      <c r="Q358" s="49"/>
      <c r="R358" s="49"/>
      <c r="S358" s="61"/>
      <c r="T358" s="61" t="s">
        <v>92</v>
      </c>
      <c r="U358" s="67"/>
      <c r="V358" s="67"/>
      <c r="W358" s="67"/>
      <c r="X358" s="67"/>
      <c r="Y358" s="67"/>
      <c r="Z358" s="67"/>
      <c r="AA358" s="67"/>
      <c r="AB358" s="67"/>
      <c r="AC358" s="67"/>
      <c r="AD358" s="67"/>
      <c r="AE358" s="67"/>
      <c r="AF358" s="67"/>
    </row>
    <row r="359">
      <c r="A359" s="67"/>
      <c r="B359" s="43">
        <f t="shared" si="2"/>
        <v>353</v>
      </c>
      <c r="C359" s="44" t="s">
        <v>1521</v>
      </c>
      <c r="D359" s="44" t="s">
        <v>4</v>
      </c>
      <c r="E359" s="45" t="s">
        <v>51</v>
      </c>
      <c r="F359" s="44" t="s">
        <v>1522</v>
      </c>
      <c r="G359" s="46" t="s">
        <v>18</v>
      </c>
      <c r="H359" s="47" t="s">
        <v>28</v>
      </c>
      <c r="I359" s="70"/>
      <c r="J359" s="52"/>
      <c r="K359" s="45" t="s">
        <v>1523</v>
      </c>
      <c r="L359" s="45" t="s">
        <v>774</v>
      </c>
      <c r="M359" s="49" t="s">
        <v>85</v>
      </c>
      <c r="N359" s="49" t="s">
        <v>114</v>
      </c>
      <c r="O359" s="49" t="s">
        <v>1524</v>
      </c>
      <c r="P359" s="49" t="s">
        <v>105</v>
      </c>
      <c r="Q359" s="49"/>
      <c r="R359" s="49"/>
      <c r="S359" s="61"/>
      <c r="T359" s="62" t="s">
        <v>1525</v>
      </c>
      <c r="U359" s="67"/>
      <c r="V359" s="67"/>
      <c r="W359" s="67"/>
      <c r="X359" s="67"/>
      <c r="Y359" s="67"/>
      <c r="Z359" s="67"/>
      <c r="AA359" s="67"/>
      <c r="AB359" s="67"/>
      <c r="AC359" s="67"/>
      <c r="AD359" s="67"/>
      <c r="AE359" s="67"/>
      <c r="AF359" s="67"/>
    </row>
    <row r="360">
      <c r="A360" s="67"/>
      <c r="B360" s="43">
        <f t="shared" si="2"/>
        <v>354</v>
      </c>
      <c r="C360" s="44" t="s">
        <v>1526</v>
      </c>
      <c r="D360" s="44" t="s">
        <v>5</v>
      </c>
      <c r="E360" s="45" t="s">
        <v>46</v>
      </c>
      <c r="F360" s="44" t="s">
        <v>1527</v>
      </c>
      <c r="G360" s="46" t="s">
        <v>20</v>
      </c>
      <c r="H360" s="47" t="s">
        <v>23</v>
      </c>
      <c r="I360" s="70"/>
      <c r="J360" s="52"/>
      <c r="K360" s="45" t="s">
        <v>1528</v>
      </c>
      <c r="L360" s="45" t="s">
        <v>1529</v>
      </c>
      <c r="M360" s="49" t="s">
        <v>113</v>
      </c>
      <c r="N360" s="49" t="s">
        <v>394</v>
      </c>
      <c r="O360" s="49" t="s">
        <v>131</v>
      </c>
      <c r="P360" s="49" t="s">
        <v>105</v>
      </c>
      <c r="Q360" s="49"/>
      <c r="R360" s="49"/>
      <c r="S360" s="61"/>
      <c r="T360" s="61" t="s">
        <v>92</v>
      </c>
      <c r="U360" s="67"/>
      <c r="V360" s="67"/>
      <c r="W360" s="67"/>
      <c r="X360" s="67"/>
      <c r="Y360" s="67"/>
      <c r="Z360" s="67"/>
      <c r="AA360" s="67"/>
      <c r="AB360" s="67"/>
      <c r="AC360" s="67"/>
      <c r="AD360" s="67"/>
      <c r="AE360" s="67"/>
      <c r="AF360" s="67"/>
    </row>
    <row r="361">
      <c r="A361" s="67"/>
      <c r="B361" s="43">
        <f t="shared" si="2"/>
        <v>355</v>
      </c>
      <c r="C361" s="44" t="s">
        <v>1530</v>
      </c>
      <c r="D361" s="44" t="s">
        <v>4</v>
      </c>
      <c r="E361" s="45" t="s">
        <v>45</v>
      </c>
      <c r="F361" s="44" t="s">
        <v>1531</v>
      </c>
      <c r="G361" s="46" t="s">
        <v>22</v>
      </c>
      <c r="H361" s="47" t="s">
        <v>6</v>
      </c>
      <c r="I361" s="48" t="s">
        <v>40</v>
      </c>
      <c r="J361" s="52"/>
      <c r="K361" s="45" t="s">
        <v>1532</v>
      </c>
      <c r="L361" s="45" t="s">
        <v>1533</v>
      </c>
      <c r="M361" s="49" t="s">
        <v>253</v>
      </c>
      <c r="N361" s="49" t="s">
        <v>123</v>
      </c>
      <c r="O361" s="49" t="s">
        <v>1534</v>
      </c>
      <c r="P361" s="49" t="s">
        <v>132</v>
      </c>
      <c r="Q361" s="49"/>
      <c r="R361" s="49"/>
      <c r="S361" s="61"/>
      <c r="T361" s="61" t="s">
        <v>92</v>
      </c>
      <c r="U361" s="67"/>
      <c r="V361" s="67"/>
      <c r="W361" s="67"/>
      <c r="X361" s="67"/>
      <c r="Y361" s="67"/>
      <c r="Z361" s="67"/>
      <c r="AA361" s="67"/>
      <c r="AB361" s="67"/>
      <c r="AC361" s="67"/>
      <c r="AD361" s="67"/>
      <c r="AE361" s="67"/>
      <c r="AF361" s="67"/>
    </row>
    <row r="362">
      <c r="A362" s="67"/>
      <c r="B362" s="43">
        <f t="shared" si="2"/>
        <v>356</v>
      </c>
      <c r="C362" s="44" t="s">
        <v>1535</v>
      </c>
      <c r="D362" s="44" t="s">
        <v>11</v>
      </c>
      <c r="E362" s="45" t="s">
        <v>51</v>
      </c>
      <c r="F362" s="44" t="s">
        <v>1536</v>
      </c>
      <c r="G362" s="46" t="s">
        <v>20</v>
      </c>
      <c r="H362" s="47" t="s">
        <v>28</v>
      </c>
      <c r="I362" s="70"/>
      <c r="J362" s="52"/>
      <c r="K362" s="45" t="s">
        <v>1537</v>
      </c>
      <c r="L362" s="45" t="s">
        <v>480</v>
      </c>
      <c r="M362" s="49" t="s">
        <v>85</v>
      </c>
      <c r="N362" s="49" t="s">
        <v>1538</v>
      </c>
      <c r="O362" s="49" t="s">
        <v>87</v>
      </c>
      <c r="P362" s="49" t="s">
        <v>132</v>
      </c>
      <c r="Q362" s="49"/>
      <c r="R362" s="49"/>
      <c r="S362" s="61"/>
      <c r="T362" s="62" t="s">
        <v>1539</v>
      </c>
      <c r="U362" s="67"/>
      <c r="V362" s="67"/>
      <c r="W362" s="67"/>
      <c r="X362" s="67"/>
      <c r="Y362" s="67"/>
      <c r="Z362" s="67"/>
      <c r="AA362" s="67"/>
      <c r="AB362" s="67"/>
      <c r="AC362" s="67"/>
      <c r="AD362" s="67"/>
      <c r="AE362" s="67"/>
      <c r="AF362" s="67"/>
    </row>
    <row r="363">
      <c r="A363" s="67"/>
      <c r="B363" s="43">
        <f t="shared" si="2"/>
        <v>357</v>
      </c>
      <c r="C363" s="44" t="s">
        <v>1540</v>
      </c>
      <c r="D363" s="44" t="s">
        <v>4</v>
      </c>
      <c r="E363" s="45" t="s">
        <v>60</v>
      </c>
      <c r="F363" s="44" t="s">
        <v>1541</v>
      </c>
      <c r="G363" s="46" t="s">
        <v>20</v>
      </c>
      <c r="H363" s="47" t="s">
        <v>28</v>
      </c>
      <c r="I363" s="70"/>
      <c r="J363" s="52"/>
      <c r="K363" s="45"/>
      <c r="L363" s="45" t="s">
        <v>1228</v>
      </c>
      <c r="M363" s="49" t="s">
        <v>253</v>
      </c>
      <c r="N363" s="49" t="s">
        <v>1538</v>
      </c>
      <c r="O363" s="49" t="s">
        <v>1542</v>
      </c>
      <c r="P363" s="49" t="s">
        <v>132</v>
      </c>
      <c r="Q363" s="49"/>
      <c r="R363" s="49"/>
      <c r="S363" s="61"/>
      <c r="T363" s="61" t="s">
        <v>92</v>
      </c>
      <c r="U363" s="67"/>
      <c r="V363" s="67"/>
      <c r="W363" s="67"/>
      <c r="X363" s="67"/>
      <c r="Y363" s="67"/>
      <c r="Z363" s="67"/>
      <c r="AA363" s="67"/>
      <c r="AB363" s="67"/>
      <c r="AC363" s="67"/>
      <c r="AD363" s="67"/>
      <c r="AE363" s="67"/>
      <c r="AF363" s="67"/>
    </row>
    <row r="364">
      <c r="A364" s="67"/>
      <c r="B364" s="43">
        <f t="shared" si="2"/>
        <v>358</v>
      </c>
      <c r="C364" s="44" t="s">
        <v>1543</v>
      </c>
      <c r="D364" s="44" t="s">
        <v>4</v>
      </c>
      <c r="E364" s="45" t="s">
        <v>55</v>
      </c>
      <c r="F364" s="44" t="s">
        <v>1544</v>
      </c>
      <c r="G364" s="46" t="s">
        <v>20</v>
      </c>
      <c r="H364" s="47" t="s">
        <v>6</v>
      </c>
      <c r="I364" s="48"/>
      <c r="J364" s="52"/>
      <c r="K364" s="45" t="s">
        <v>1545</v>
      </c>
      <c r="L364" s="45" t="s">
        <v>1546</v>
      </c>
      <c r="M364" s="49" t="s">
        <v>85</v>
      </c>
      <c r="N364" s="49" t="s">
        <v>114</v>
      </c>
      <c r="O364" s="49" t="s">
        <v>131</v>
      </c>
      <c r="P364" s="49" t="s">
        <v>132</v>
      </c>
      <c r="Q364" s="49"/>
      <c r="R364" s="49"/>
      <c r="S364" s="61"/>
      <c r="T364" s="61" t="s">
        <v>92</v>
      </c>
      <c r="U364" s="67"/>
      <c r="V364" s="67"/>
      <c r="W364" s="67"/>
      <c r="X364" s="67"/>
      <c r="Y364" s="67"/>
      <c r="Z364" s="67"/>
      <c r="AA364" s="67"/>
      <c r="AB364" s="67"/>
      <c r="AC364" s="67"/>
      <c r="AD364" s="67"/>
      <c r="AE364" s="67"/>
      <c r="AF364" s="67"/>
    </row>
    <row r="365">
      <c r="A365" s="67"/>
      <c r="B365" s="43">
        <f t="shared" si="2"/>
        <v>359</v>
      </c>
      <c r="C365" s="44" t="s">
        <v>1547</v>
      </c>
      <c r="D365" s="44" t="s">
        <v>5</v>
      </c>
      <c r="E365" s="45" t="s">
        <v>56</v>
      </c>
      <c r="F365" s="44" t="s">
        <v>1548</v>
      </c>
      <c r="G365" s="46" t="s">
        <v>18</v>
      </c>
      <c r="H365" s="47" t="s">
        <v>28</v>
      </c>
      <c r="I365" s="48"/>
      <c r="J365" s="52"/>
      <c r="K365" s="45" t="s">
        <v>1549</v>
      </c>
      <c r="L365" s="45" t="s">
        <v>877</v>
      </c>
      <c r="M365" s="49" t="s">
        <v>113</v>
      </c>
      <c r="N365" s="49" t="s">
        <v>86</v>
      </c>
      <c r="O365" s="49" t="s">
        <v>1550</v>
      </c>
      <c r="P365" s="49" t="s">
        <v>88</v>
      </c>
      <c r="Q365" s="49" t="s">
        <v>1551</v>
      </c>
      <c r="R365" s="55" t="s">
        <v>780</v>
      </c>
      <c r="S365" s="61"/>
      <c r="T365" s="61" t="s">
        <v>92</v>
      </c>
      <c r="U365" s="67"/>
      <c r="V365" s="67"/>
      <c r="W365" s="67"/>
      <c r="X365" s="67"/>
      <c r="Y365" s="67"/>
      <c r="Z365" s="67"/>
      <c r="AA365" s="67"/>
      <c r="AB365" s="67"/>
      <c r="AC365" s="67"/>
      <c r="AD365" s="67"/>
      <c r="AE365" s="67"/>
      <c r="AF365" s="67"/>
    </row>
    <row r="366">
      <c r="A366" s="67"/>
      <c r="B366" s="43">
        <f t="shared" si="2"/>
        <v>360</v>
      </c>
      <c r="C366" s="44" t="s">
        <v>1552</v>
      </c>
      <c r="D366" s="44" t="s">
        <v>5</v>
      </c>
      <c r="E366" s="45" t="s">
        <v>46</v>
      </c>
      <c r="F366" s="44" t="s">
        <v>1553</v>
      </c>
      <c r="G366" s="46" t="s">
        <v>20</v>
      </c>
      <c r="H366" s="47" t="s">
        <v>6</v>
      </c>
      <c r="I366" s="48" t="s">
        <v>32</v>
      </c>
      <c r="J366" s="52"/>
      <c r="K366" s="45" t="s">
        <v>1554</v>
      </c>
      <c r="L366" s="45" t="s">
        <v>365</v>
      </c>
      <c r="M366" s="49" t="s">
        <v>113</v>
      </c>
      <c r="N366" s="49" t="s">
        <v>394</v>
      </c>
      <c r="O366" s="49" t="s">
        <v>131</v>
      </c>
      <c r="P366" s="49" t="s">
        <v>105</v>
      </c>
      <c r="Q366" s="49"/>
      <c r="R366" s="49"/>
      <c r="S366" s="61"/>
      <c r="T366" s="61" t="s">
        <v>92</v>
      </c>
      <c r="U366" s="67"/>
      <c r="V366" s="67"/>
      <c r="W366" s="67"/>
      <c r="X366" s="67"/>
      <c r="Y366" s="67"/>
      <c r="Z366" s="67"/>
      <c r="AA366" s="67"/>
      <c r="AB366" s="67"/>
      <c r="AC366" s="67"/>
      <c r="AD366" s="67"/>
      <c r="AE366" s="67"/>
      <c r="AF366" s="67"/>
    </row>
  </sheetData>
  <autoFilter ref="$A$6:$AF$366"/>
  <mergeCells count="5">
    <mergeCell ref="A1:C1"/>
    <mergeCell ref="B2:T2"/>
    <mergeCell ref="A3:C3"/>
    <mergeCell ref="B4:N4"/>
    <mergeCell ref="B5:F5"/>
  </mergeCells>
  <dataValidations>
    <dataValidation type="list" allowBlank="1" showErrorMessage="1" sqref="D7:D366">
      <formula1>"Private sector,Public sector,Funders,Civil Society Organization (CSO),Others"</formula1>
    </dataValidation>
    <dataValidation type="list" allowBlank="1" showErrorMessage="1" sqref="M7:M366">
      <formula1>"Upstream,Midstream,Downstream"</formula1>
    </dataValidation>
    <dataValidation type="list" allowBlank="1" showErrorMessage="1" sqref="E7:E366">
      <formula1>"Federal Government,Private companies (large / leading),Private companies (SMEs / local enterprises),Think tanks,Social moviments ,IFs ,Institutional Investors ,Philanthropy foundations,Academia ,Research centers ,Multi-stakeholder initiatives,Local implem"&amp;"enters,Alliances ,Public agencies and regulators,Industry platforms and sectoral initiatives,Commercial banks,Development banks,Multilateral development banks (MDBs),Impact investors,Bilateral cooperation agencies,Grassroots networks,Multilateral organiza"&amp;"tions,Monitoring, Evaluation, and Learning"</formula1>
    </dataValidation>
    <dataValidation type="list" allowBlank="1" showErrorMessage="1" sqref="L7:L366">
      <formula1>"Funder ,Capital provider / Financial intermediary,Convenor/enablers,Project developer / Implementer ,Policy influence / regulation,Strategic partner ,Technical assistance / research,Implementation capacity (delivery),Data / MRV / platforms,Community legit"&amp;"imacy / proximate leadership,Territorial anchor"</formula1>
    </dataValidation>
    <dataValidation type="list" allowBlank="1" showErrorMessage="1" sqref="H7:H19 H22:H366">
      <formula1>"Energy,Buildings &amp; Transport,Land, Food and Forest,Emergency response,NA"</formula1>
    </dataValidation>
    <dataValidation type="list" allowBlank="1" showErrorMessage="1" sqref="N7:N366">
      <formula1>"Strategic partner,Grant recipient,Co-funding partner,Implementing partner,Blended finance partner,Research and knowledge partner,Capacity building partner,Coalition partner,Policy dialogue partner,Exploratory engagement"</formula1>
    </dataValidation>
    <dataValidation type="list" allowBlank="1" showErrorMessage="1" sqref="J7:J139 J141:J145 J147:J152 J154:J166 J168:J181 J183:J366">
      <formula1>"Mata&amp;Atlântica,Pantanal,Pampa,Coastal&amp;maritime"</formula1>
    </dataValidation>
    <dataValidation type="list" allowBlank="1" showErrorMessage="1" sqref="G12:G366">
      <formula1>"National,Regional ,State-level,Municipal / local,Cross-border / international"</formula1>
    </dataValidation>
    <dataValidation type="list" allowBlank="1" showErrorMessage="1" sqref="P7:P366">
      <formula1>"Donor,Re-granter,Grantee"</formula1>
    </dataValidation>
    <dataValidation type="list" allowBlank="1" showErrorMessage="1" sqref="G7:G11">
      <formula1>"Cross-border / international,National,Regional ,State-level,Municipal / local"</formula1>
    </dataValidation>
    <dataValidation type="list" allowBlank="1" showErrorMessage="1" sqref="I7:I139 I140:J140 I141:I145 I146:J146 I147:I152 I153:J153 I154:I166 I167:J167 I168:I181 I182:J182 I183:I366">
      <formula1>"Amazonia,Cerrado,Caatinga,NA"</formula1>
    </dataValidation>
  </dataValidations>
  <hyperlinks>
    <hyperlink r:id="rId4" ref="R7"/>
    <hyperlink r:id="rId5" ref="R8"/>
    <hyperlink r:id="rId6" ref="R9"/>
    <hyperlink r:id="rId7" ref="R10"/>
    <hyperlink r:id="rId8" ref="R11"/>
    <hyperlink r:id="rId9" ref="R12"/>
    <hyperlink r:id="rId10" ref="R13"/>
    <hyperlink r:id="rId11" ref="R14"/>
    <hyperlink r:id="rId12" ref="R15"/>
    <hyperlink r:id="rId13" ref="R16"/>
    <hyperlink r:id="rId14" ref="R17"/>
    <hyperlink r:id="rId15" ref="R18"/>
    <hyperlink r:id="rId16" ref="R19"/>
    <hyperlink r:id="rId17" ref="R20"/>
    <hyperlink r:id="rId18" ref="R21"/>
    <hyperlink r:id="rId19" ref="R22"/>
    <hyperlink r:id="rId20" ref="R23"/>
    <hyperlink r:id="rId21" ref="R24"/>
    <hyperlink r:id="rId22" ref="R25"/>
    <hyperlink r:id="rId23" ref="R26"/>
    <hyperlink r:id="rId24" ref="R27"/>
    <hyperlink r:id="rId25" ref="R28"/>
    <hyperlink r:id="rId26" ref="R29"/>
    <hyperlink r:id="rId27" ref="R30"/>
    <hyperlink r:id="rId28" ref="R44"/>
    <hyperlink r:id="rId29" ref="R51"/>
    <hyperlink r:id="rId30" ref="R54"/>
    <hyperlink r:id="rId31" ref="R55"/>
    <hyperlink r:id="rId32" ref="R57"/>
    <hyperlink r:id="rId33" ref="R58"/>
    <hyperlink r:id="rId34" ref="R59"/>
    <hyperlink r:id="rId35" ref="R61"/>
    <hyperlink r:id="rId36" ref="R62"/>
    <hyperlink r:id="rId37" ref="R64"/>
    <hyperlink r:id="rId38" ref="R65"/>
    <hyperlink r:id="rId39" ref="R66"/>
    <hyperlink r:id="rId40" ref="R67"/>
    <hyperlink r:id="rId41" ref="R68"/>
    <hyperlink r:id="rId42" ref="R69"/>
    <hyperlink r:id="rId43" ref="R70"/>
    <hyperlink r:id="rId44" ref="R71"/>
    <hyperlink r:id="rId45" ref="R73"/>
    <hyperlink r:id="rId46" ref="R75"/>
    <hyperlink r:id="rId47" ref="R76"/>
    <hyperlink r:id="rId48" ref="R77"/>
    <hyperlink r:id="rId49" ref="R78"/>
    <hyperlink r:id="rId50" ref="R85"/>
    <hyperlink r:id="rId51" ref="R105"/>
    <hyperlink r:id="rId52" ref="R106"/>
    <hyperlink r:id="rId53" ref="R107"/>
    <hyperlink r:id="rId54" ref="R118"/>
    <hyperlink r:id="rId55" ref="R120"/>
    <hyperlink r:id="rId56" ref="R147"/>
    <hyperlink r:id="rId57" ref="R191"/>
    <hyperlink r:id="rId58" ref="R204"/>
    <hyperlink r:id="rId59" ref="R229"/>
    <hyperlink r:id="rId60" ref="R365"/>
  </hyperlinks>
  <drawing r:id="rId61"/>
  <legacyDrawing r:id="rId6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0"/>
    <col customWidth="1" min="2" max="2" width="31.0"/>
    <col customWidth="1" min="3" max="3" width="22.13"/>
    <col customWidth="1" min="4" max="5" width="31.0"/>
    <col customWidth="1" min="6" max="6" width="19.88"/>
    <col customWidth="1" min="7" max="7" width="30.63"/>
    <col customWidth="1" min="8" max="8" width="20.5"/>
    <col customWidth="1" min="9" max="9" width="24.88"/>
    <col customWidth="1" min="10" max="10" width="31.0"/>
    <col customWidth="1" min="11" max="11" width="30.88"/>
    <col customWidth="1" min="12" max="12" width="21.63"/>
    <col customWidth="1" min="13" max="13" width="24.13"/>
    <col customWidth="1" min="14" max="14" width="25.5"/>
    <col customWidth="1" min="15" max="15" width="12.5"/>
    <col customWidth="1" min="16" max="16" width="30.75"/>
    <col customWidth="1" min="17" max="18" width="31.0"/>
    <col customWidth="1" min="19" max="23" width="30.88"/>
  </cols>
  <sheetData>
    <row r="1">
      <c r="A1" s="71" t="str">
        <f>'Stakeholder list'!B6</f>
        <v>ID</v>
      </c>
      <c r="B1" s="71" t="str">
        <f>'Stakeholder list'!C6</f>
        <v>Stakeholder </v>
      </c>
      <c r="C1" s="71" t="str">
        <f>'Stakeholder list'!D6</f>
        <v>Organization's sector</v>
      </c>
      <c r="D1" s="71" t="str">
        <f>'Stakeholder list'!E6</f>
        <v>Type of organization</v>
      </c>
      <c r="E1" s="71" t="str">
        <f>'Stakeholder list'!F6</f>
        <v>Description of organization &amp; contribution to systemic transition
(strategic focus)</v>
      </c>
      <c r="F1" s="71" t="str">
        <f>'Stakeholder list'!G6</f>
        <v>Territorial focus
(national, region, city)</v>
      </c>
      <c r="G1" s="71" t="str">
        <f>'Stakeholder list'!H6</f>
        <v>Primary impact area 
(sector of interest / Nexuses)</v>
      </c>
      <c r="H1" s="71" t="str">
        <f>'Stakeholder list'!I6</f>
        <v>Primary Territory lens
(Biome) </v>
      </c>
      <c r="I1" s="71" t="str">
        <f>'Stakeholder list'!J6</f>
        <v>Secondary Territory lens
(Biome) </v>
      </c>
      <c r="J1" s="71" t="str">
        <f>'Stakeholder list'!K6</f>
        <v>Biome focus rationale (only when the organization has explicit project/action targeting by biome)</v>
      </c>
      <c r="K1" s="71" t="str">
        <f>'Stakeholder list'!L6</f>
        <v>Role within the ecosystem</v>
      </c>
      <c r="L1" s="71" t="str">
        <f>'Stakeholder list'!M6</f>
        <v>Position in the value chain</v>
      </c>
      <c r="M1" s="71" t="str">
        <f>'Stakeholder list'!N6</f>
        <v>Potential partnership with IKF</v>
      </c>
      <c r="N1" s="71" t="str">
        <f>'Stakeholder list'!O6</f>
        <v>Headquarters location</v>
      </c>
      <c r="O1" s="71" t="str">
        <f>'Stakeholder list'!P6</f>
        <v>Funding Role</v>
      </c>
      <c r="P1" s="71" t="str">
        <f>'Stakeholder list'!Q6</f>
        <v>Contact 
(name, role and e-mail)</v>
      </c>
      <c r="Q1" s="71" t="str">
        <f>'Stakeholder list'!R6</f>
        <v>Site / related links </v>
      </c>
      <c r="R1" s="71" t="str">
        <f>'Stakeholder list'!S6</f>
        <v>General notes / Refs</v>
      </c>
      <c r="S1" s="72"/>
      <c r="T1" s="72"/>
      <c r="U1" s="72"/>
      <c r="V1" s="72"/>
      <c r="W1" s="72"/>
    </row>
    <row r="2">
      <c r="A2" s="71">
        <f>'Stakeholder list'!B7</f>
        <v>1</v>
      </c>
      <c r="B2" s="71" t="str">
        <f>'Stakeholder list'!C7</f>
        <v>Instituto Ibirapitanga</v>
      </c>
      <c r="C2" s="71" t="str">
        <f>'Stakeholder list'!D7</f>
        <v>Civil Society Organization (CSO)</v>
      </c>
      <c r="D2" s="71" t="str">
        <f>'Stakeholder list'!E7</f>
        <v>Philanthropy foundations</v>
      </c>
      <c r="E2" s="71" t="str">
        <f>'Stakeholder list'!F7</f>
        <v>A grantmaking organization that supports organizations, movements, and collectives to drive structural transformations, with a focus on democracy/civic freedoms, racial equity, and agendas such as fair and sustainable food systems.</v>
      </c>
      <c r="F2" s="71" t="str">
        <f>'Stakeholder list'!G7</f>
        <v>National</v>
      </c>
      <c r="G2" s="71" t="str">
        <f>'Stakeholder list'!H7</f>
        <v>"Land, Food and Forest"</v>
      </c>
      <c r="H2" s="71" t="str">
        <f>'Stakeholder list'!I7</f>
        <v>Amazonia</v>
      </c>
      <c r="I2" s="71" t="str">
        <f>'Stakeholder list'!J7</f>
        <v/>
      </c>
      <c r="J2" s="71" t="str">
        <f>'Stakeholder list'!K7</f>
        <v>Grantmaking is organized by themes such as democracy, racial equity and fair food systems, not by ecological territories. Funding can reach many regions, but biome targeting is not used as an allocation rule.</v>
      </c>
      <c r="K2" s="71" t="str">
        <f>'Stakeholder list'!L7</f>
        <v>Funder, Strategic partner</v>
      </c>
      <c r="L2" s="71" t="str">
        <f>'Stakeholder list'!M7</f>
        <v>Midstream</v>
      </c>
      <c r="M2" s="71" t="str">
        <f>'Stakeholder list'!N7</f>
        <v>Co-funding partner</v>
      </c>
      <c r="N2" s="71" t="str">
        <f>'Stakeholder list'!O7</f>
        <v>Rio de Janeiro, RJ, Brazil</v>
      </c>
      <c r="O2" s="71" t="str">
        <f>'Stakeholder list'!P7</f>
        <v>Donor</v>
      </c>
      <c r="P2" s="71" t="str">
        <f>'Stakeholder list'!Q7</f>
        <v>André Degenszajn (Executive Director)</v>
      </c>
      <c r="Q2" s="73" t="str">
        <f>'Stakeholder list'!R7</f>
        <v>https://ibirapitanga.org.br/</v>
      </c>
      <c r="R2" s="71" t="str">
        <f>'Stakeholder list'!S7</f>
        <v>Could be a relevant partner for co-funding efforts on food systems in the Amazon. </v>
      </c>
      <c r="S2" s="72"/>
      <c r="T2" s="72"/>
      <c r="U2" s="72"/>
      <c r="V2" s="72"/>
      <c r="W2" s="72"/>
    </row>
    <row r="3">
      <c r="A3" s="71">
        <f>'Stakeholder list'!B8</f>
        <v>2</v>
      </c>
      <c r="B3" s="71" t="str">
        <f>'Stakeholder list'!C8</f>
        <v>Instituto Serrapilheira</v>
      </c>
      <c r="C3" s="71" t="str">
        <f>'Stakeholder list'!D8</f>
        <v>Civil Society Organization (CSO)</v>
      </c>
      <c r="D3" s="71" t="str">
        <f>'Stakeholder list'!E8</f>
        <v>Philanthropy foundations</v>
      </c>
      <c r="E3" s="71" t="str">
        <f>'Stakeholder list'!F8</f>
        <v>A private, non-profit philanthropic institute that promotes science in Brazil; it funds research, training, and journalism/media initiatives to strengthen evidence-based public and private decision-making.</v>
      </c>
      <c r="F3" s="71" t="str">
        <f>'Stakeholder list'!G8</f>
        <v>National</v>
      </c>
      <c r="G3" s="71" t="str">
        <f>'Stakeholder list'!H8</f>
        <v>"Land, Food and Forest"</v>
      </c>
      <c r="H3" s="71" t="str">
        <f>'Stakeholder list'!I8</f>
        <v/>
      </c>
      <c r="I3" s="71" t="str">
        <f>'Stakeholder list'!J8</f>
        <v/>
      </c>
      <c r="J3" s="71" t="str">
        <f>'Stakeholder list'!K8</f>
        <v>Portfolio follows scientific fields, fellowships and science communication priorities. Projects may occur in different places, yet the institute does not manage programs using biomes as the operating unit.</v>
      </c>
      <c r="K3" s="71" t="str">
        <f>'Stakeholder list'!L8</f>
        <v>Funder, Technical assistance / research, Strategic partner</v>
      </c>
      <c r="L3" s="71" t="str">
        <f>'Stakeholder list'!M8</f>
        <v>Midstream</v>
      </c>
      <c r="M3" s="71" t="str">
        <f>'Stakeholder list'!N8</f>
        <v>Co-funding partner</v>
      </c>
      <c r="N3" s="71" t="str">
        <f>'Stakeholder list'!O8</f>
        <v>Rio de Janeiro, RJ, Brazil</v>
      </c>
      <c r="O3" s="71" t="str">
        <f>'Stakeholder list'!P8</f>
        <v>Donor</v>
      </c>
      <c r="P3" s="71" t="str">
        <f>'Stakeholder list'!Q8</f>
        <v>Hugo Aguilaniu  (President)</v>
      </c>
      <c r="Q3" s="73" t="str">
        <f>'Stakeholder list'!R8</f>
        <v>https://serrapilheira.org/</v>
      </c>
      <c r="R3" s="71" t="str">
        <f>'Stakeholder list'!S8</f>
        <v>Could be a relevant partner for co-funding efforts on science-based approaches, advocacy and communications   </v>
      </c>
      <c r="S3" s="72"/>
      <c r="T3" s="72"/>
      <c r="U3" s="72"/>
      <c r="V3" s="72"/>
      <c r="W3" s="72"/>
    </row>
    <row r="4">
      <c r="A4" s="71">
        <f>'Stakeholder list'!B9</f>
        <v>3</v>
      </c>
      <c r="B4" s="71" t="str">
        <f>'Stakeholder list'!C9</f>
        <v>Fundo Brasileiro para a Biodiversidade (FUNBIO)</v>
      </c>
      <c r="C4" s="71" t="str">
        <f>'Stakeholder list'!D9</f>
        <v>Civil Society Organization (CSO)</v>
      </c>
      <c r="D4" s="71" t="str">
        <f>'Stakeholder list'!E9</f>
        <v>Philanthropy foundations</v>
      </c>
      <c r="E4" s="71" t="str">
        <f>'Stakeholder list'!F9</f>
        <v>A national, private, non-profit financial mechanism that mobilizes and manages resources for biodiversity conservation, supporting initiatives, projects, and financing arrangements in partnership with government, the private sector, and civil society.</v>
      </c>
      <c r="F4" s="71" t="str">
        <f>'Stakeholder list'!G9</f>
        <v>National</v>
      </c>
      <c r="G4" s="71" t="str">
        <f>'Stakeholder list'!H9</f>
        <v>"Land, Food and Forest"</v>
      </c>
      <c r="H4" s="71" t="str">
        <f>'Stakeholder list'!I9</f>
        <v>Amazonia, Caatinga, Cerrado</v>
      </c>
      <c r="I4" s="71" t="str">
        <f>'Stakeholder list'!J9</f>
        <v>Mata&amp;Atlântica, Pantanal, Pampa, Coastal&amp;maritime</v>
      </c>
      <c r="J4" s="71" t="str">
        <f>'Stakeholder list'!K9</f>
        <v>Multi biome financial mechanism with recurring biodiversity pipelines in Amazonia and Cerrado. Other biomes appear through specific funds and projects, but with lower frequency in the core flow of managed initiatives.</v>
      </c>
      <c r="K4" s="71" t="str">
        <f>'Stakeholder list'!L9</f>
        <v>Funder, Capital provider / Financial intermediary</v>
      </c>
      <c r="L4" s="71" t="str">
        <f>'Stakeholder list'!M9</f>
        <v>Midstream</v>
      </c>
      <c r="M4" s="71" t="str">
        <f>'Stakeholder list'!N9</f>
        <v>Co-funding partner</v>
      </c>
      <c r="N4" s="71" t="str">
        <f>'Stakeholder list'!O9</f>
        <v>Rio de Janeiro, RJ, Brazil</v>
      </c>
      <c r="O4" s="71" t="str">
        <f>'Stakeholder list'!P9</f>
        <v>Re-granter</v>
      </c>
      <c r="P4" s="71" t="str">
        <f>'Stakeholder list'!Q9</f>
        <v>Rosa Lemos de Sá (Executive Director)</v>
      </c>
      <c r="Q4" s="73" t="str">
        <f>'Stakeholder list'!R9</f>
        <v>https://www.funbio.org.br/</v>
      </c>
      <c r="R4" s="71" t="str">
        <f>'Stakeholder list'!S9</f>
        <v>Potential co-funding, strategic partner &amp; regranter to work in all Brazilan Biomes, with trackrecord as a financial mechanism to work on bioodiversituy, climate change and civil society stregnthening in all regions with a diverisity of national and international partenrs    </v>
      </c>
      <c r="S4" s="72"/>
      <c r="T4" s="72"/>
      <c r="U4" s="72"/>
      <c r="V4" s="72"/>
      <c r="W4" s="72"/>
    </row>
    <row r="5">
      <c r="A5" s="71">
        <f>'Stakeholder list'!B10</f>
        <v>4</v>
      </c>
      <c r="B5" s="71" t="str">
        <f>'Stakeholder list'!C10</f>
        <v>Instituto Clima e Sociedade (iCS)</v>
      </c>
      <c r="C5" s="71" t="str">
        <f>'Stakeholder list'!D10</f>
        <v>Civil Society Organization (CSO)</v>
      </c>
      <c r="D5" s="71" t="str">
        <f>'Stakeholder list'!E10</f>
        <v>Monitoring, Evaluation, and Learning</v>
      </c>
      <c r="E5" s="71" t="str">
        <f>'Stakeholder list'!F10</f>
        <v>A regranter organization that supports tackling climate change by funding agendas and actors capable of accelerating a just and effective transition to a low-carbon economy.</v>
      </c>
      <c r="F5" s="71" t="str">
        <f>'Stakeholder list'!G10</f>
        <v>National</v>
      </c>
      <c r="G5" s="71" t="str">
        <f>'Stakeholder list'!H10</f>
        <v>Buildings &amp; Transport, Energy, "Land, Food and Forest"</v>
      </c>
      <c r="H5" s="71" t="str">
        <f>'Stakeholder list'!I10</f>
        <v>Amazonia, Caatinga, Cerrado</v>
      </c>
      <c r="I5" s="71" t="str">
        <f>'Stakeholder list'!J10</f>
        <v>Mata&amp;Atlântica, Pantanal, Pampa, Coastal&amp;maritime</v>
      </c>
      <c r="J5" s="71" t="str">
        <f>'Stakeholder list'!K10</f>
        <v>Grantmaking frequently connects climate and land use priorities in Amazonia, Cerrado and Caatinga. Additional biomes are supported through partners and calls, but are not the main recurring anchors of the portfolio.</v>
      </c>
      <c r="K5" s="71" t="str">
        <f>'Stakeholder list'!L10</f>
        <v>Funder, Strategic partner, Convenor/enablers, Capital provider / Financial intermediary</v>
      </c>
      <c r="L5" s="71" t="str">
        <f>'Stakeholder list'!M10</f>
        <v>Upstream</v>
      </c>
      <c r="M5" s="71" t="str">
        <f>'Stakeholder list'!N10</f>
        <v>Strategic partner</v>
      </c>
      <c r="N5" s="71" t="str">
        <f>'Stakeholder list'!O10</f>
        <v>Rio de Janeiro, RJ, Brazil</v>
      </c>
      <c r="O5" s="71" t="str">
        <f>'Stakeholder list'!P10</f>
        <v>Re-granter</v>
      </c>
      <c r="P5" s="71" t="str">
        <f>'Stakeholder list'!Q10</f>
        <v>Maria Netto Schnider</v>
      </c>
      <c r="Q5" s="73" t="str">
        <f>'Stakeholder list'!R10</f>
        <v>https://climaesociedade.org/</v>
      </c>
      <c r="R5" s="71" t="str">
        <f>'Stakeholder list'!S10</f>
        <v>Regrenter organization well posionetd in Brazil in different arenas to address climate change issues  </v>
      </c>
      <c r="S5" s="72"/>
      <c r="T5" s="72"/>
      <c r="U5" s="72"/>
      <c r="V5" s="72"/>
      <c r="W5" s="72"/>
    </row>
    <row r="6">
      <c r="A6" s="71">
        <f>'Stakeholder list'!B11</f>
        <v>5</v>
      </c>
      <c r="B6" s="71" t="str">
        <f>'Stakeholder list'!C11</f>
        <v>Instituto Cultura, Comunicação e Incidência (ICCI)</v>
      </c>
      <c r="C6" s="71" t="str">
        <f>'Stakeholder list'!D11</f>
        <v>Civil Society Organization (CSO)</v>
      </c>
      <c r="D6" s="71" t="str">
        <f>'Stakeholder list'!E11</f>
        <v>Philanthropy foundations</v>
      </c>
      <c r="E6" s="71" t="str">
        <f>'Stakeholder list'!F11</f>
        <v>A non-profit regranting organization focused on strengthening strategic communication to advance climate, democracy, and justice agendas, creating social demand for public policy and impactful private action.</v>
      </c>
      <c r="F6" s="71" t="str">
        <f>'Stakeholder list'!G11</f>
        <v>National</v>
      </c>
      <c r="G6" s="71" t="str">
        <f>'Stakeholder list'!H11</f>
        <v>Buildings &amp; Transport, Energy, "Land, Food and Forest"</v>
      </c>
      <c r="H6" s="71" t="str">
        <f>'Stakeholder list'!I11</f>
        <v/>
      </c>
      <c r="I6" s="71" t="str">
        <f>'Stakeholder list'!J11</f>
        <v/>
      </c>
      <c r="J6" s="71" t="str">
        <f>'Stakeholder list'!K11</f>
        <v>Work is centered on strategic communication and policy influence rather than place based delivery. Campaign geography varies by agenda, so no stable biome delimitation is consistently observable.</v>
      </c>
      <c r="K6" s="71" t="str">
        <f>'Stakeholder list'!L11</f>
        <v>Project developer / Implementer, Policy influence / regulation</v>
      </c>
      <c r="L6" s="71" t="str">
        <f>'Stakeholder list'!M11</f>
        <v>Midstream</v>
      </c>
      <c r="M6" s="71" t="str">
        <f>'Stakeholder list'!N11</f>
        <v>Grant recipient</v>
      </c>
      <c r="N6" s="71" t="str">
        <f>'Stakeholder list'!O11</f>
        <v>Rio de Janeiro, RJ, Brazil</v>
      </c>
      <c r="O6" s="71" t="str">
        <f>'Stakeholder list'!P11</f>
        <v>Re-granter</v>
      </c>
      <c r="P6" s="71" t="str">
        <f>'Stakeholder list'!Q11</f>
        <v>Marco Kelson Kertzman</v>
      </c>
      <c r="Q6" s="73" t="str">
        <f>'Stakeholder list'!R11</f>
        <v>https://www.iccibr.org/en/home</v>
      </c>
      <c r="R6" s="71" t="str">
        <f>'Stakeholder list'!S11</f>
        <v>A new player with great potential to advance climate change communication strategies in Brazil. </v>
      </c>
      <c r="S6" s="72"/>
      <c r="T6" s="72"/>
      <c r="U6" s="72"/>
      <c r="V6" s="72"/>
      <c r="W6" s="72"/>
    </row>
    <row r="7">
      <c r="A7" s="71">
        <f>'Stakeholder list'!B12</f>
        <v>6</v>
      </c>
      <c r="B7" s="71" t="str">
        <f>'Stakeholder list'!C12</f>
        <v>Grupo de Institutos, Fundações e Empresas (GIFE)</v>
      </c>
      <c r="C7" s="71" t="str">
        <f>'Stakeholder list'!D12</f>
        <v>Civil Society Organization (CSO)</v>
      </c>
      <c r="D7" s="71" t="str">
        <f>'Stakeholder list'!E12</f>
        <v>Multi-stakeholder initiatives</v>
      </c>
      <c r="E7" s="71" t="str">
        <f>'Stakeholder list'!F12</f>
        <v>An association/platform within Brazil’s philanthropy and private social investment ecosystem; it convenes a network, produces knowledge, and strengthens institutional capacities for strategic and coordinated action.</v>
      </c>
      <c r="F7" s="71" t="str">
        <f>'Stakeholder list'!G12</f>
        <v>National</v>
      </c>
      <c r="G7" s="71" t="str">
        <f>'Stakeholder list'!H12</f>
        <v>Buildings &amp; Transport, Energy, "Land, Food and Forest"</v>
      </c>
      <c r="H7" s="71" t="str">
        <f>'Stakeholder list'!I12</f>
        <v/>
      </c>
      <c r="I7" s="71" t="str">
        <f>'Stakeholder list'!J12</f>
        <v/>
      </c>
      <c r="J7" s="71" t="str">
        <f>'Stakeholder list'!K12</f>
        <v>Acts as a philanthropy platform focused on standards, learning and capacity building. Its territorial reach depends on members and partners, making biome classification non essential for its operating model.</v>
      </c>
      <c r="K7" s="71" t="str">
        <f>'Stakeholder list'!L12</f>
        <v>Convenor/enablers</v>
      </c>
      <c r="L7" s="71" t="str">
        <f>'Stakeholder list'!M12</f>
        <v>Upstream</v>
      </c>
      <c r="M7" s="71" t="str">
        <f>'Stakeholder list'!N12</f>
        <v>Strategic partner</v>
      </c>
      <c r="N7" s="71" t="str">
        <f>'Stakeholder list'!O12</f>
        <v>São Paulo, SP, Brazil</v>
      </c>
      <c r="O7" s="71" t="str">
        <f>'Stakeholder list'!P12</f>
        <v>Grantee</v>
      </c>
      <c r="P7" s="71" t="str">
        <f>'Stakeholder list'!Q12</f>
        <v>Carolla Matarazzo (Chairman)</v>
      </c>
      <c r="Q7" s="73" t="str">
        <f>'Stakeholder list'!R12</f>
        <v>https://gife.org.br/</v>
      </c>
      <c r="R7" s="71" t="str">
        <f>'Stakeholder list'!S12</f>
        <v>The most relevant network of Philanthropies in Brazil. Could be a strategic partner to address IKF workin Brazil. </v>
      </c>
      <c r="S7" s="72"/>
      <c r="T7" s="72"/>
      <c r="U7" s="72"/>
      <c r="V7" s="72"/>
      <c r="W7" s="72"/>
    </row>
    <row r="8">
      <c r="A8" s="71">
        <f>'Stakeholder list'!B13</f>
        <v>7</v>
      </c>
      <c r="B8" s="71" t="str">
        <f>'Stakeholder list'!C13</f>
        <v>Movimento Bem Maior (MBM)</v>
      </c>
      <c r="C8" s="71" t="str">
        <f>'Stakeholder list'!D13</f>
        <v>Civil Society Organization (CSO)</v>
      </c>
      <c r="D8" s="71" t="str">
        <f>'Stakeholder list'!E13</f>
        <v>Alliances</v>
      </c>
      <c r="E8" s="71" t="str">
        <f>'Stakeholder list'!F13</f>
        <v>A philanthropic movement/network that connects donors, organizations, and partners for systemic transformation, promoting a culture of giving, active citizenship, and the strengthening of the third sector, specially philanthropies in Brazil.</v>
      </c>
      <c r="F8" s="71" t="str">
        <f>'Stakeholder list'!G13</f>
        <v>National</v>
      </c>
      <c r="G8" s="71" t="str">
        <f>'Stakeholder list'!H13</f>
        <v>Buildings &amp; Transport, "Land, Food and Forest"</v>
      </c>
      <c r="H8" s="71" t="str">
        <f>'Stakeholder list'!I13</f>
        <v>Amazonia</v>
      </c>
      <c r="I8" s="71" t="str">
        <f>'Stakeholder list'!J13</f>
        <v/>
      </c>
      <c r="J8" s="71" t="str">
        <f>'Stakeholder list'!K13</f>
        <v>Network to mobilize giving and strengthen civil society across Brazil. Territorial footprint is partner driven and campaign driven, without a consistent program design structured by biome boundaries.</v>
      </c>
      <c r="K8" s="71" t="str">
        <f>'Stakeholder list'!L13</f>
        <v>Funder, Convenor/enablers</v>
      </c>
      <c r="L8" s="71" t="str">
        <f>'Stakeholder list'!M13</f>
        <v>Upstream</v>
      </c>
      <c r="M8" s="71" t="str">
        <f>'Stakeholder list'!N13</f>
        <v>Co-funding partner</v>
      </c>
      <c r="N8" s="71" t="str">
        <f>'Stakeholder list'!O13</f>
        <v>São Paulo, SP, Brazil</v>
      </c>
      <c r="O8" s="71" t="str">
        <f>'Stakeholder list'!P13</f>
        <v>Donor</v>
      </c>
      <c r="P8" s="71" t="str">
        <f>'Stakeholder list'!Q13</f>
        <v>Carolla Matarazzo (Executive Director)</v>
      </c>
      <c r="Q8" s="73" t="str">
        <f>'Stakeholder list'!R13</f>
        <v>https://movimentobemmaior.org.br/</v>
      </c>
      <c r="R8" s="71" t="str">
        <f>'Stakeholder list'!S13</f>
        <v>A Philanthropy established 5 years ago by  9 business leaders to enhance the grant making space in Brazil. Looking foward to co-finance strategies with other philanthropies (national and international). Could be a strategic partner for IKF in Brazil.  </v>
      </c>
      <c r="S8" s="72"/>
      <c r="T8" s="72"/>
      <c r="U8" s="72"/>
      <c r="V8" s="72"/>
      <c r="W8" s="72"/>
    </row>
    <row r="9">
      <c r="A9" s="71">
        <f>'Stakeholder list'!B14</f>
        <v>8</v>
      </c>
      <c r="B9" s="71" t="str">
        <f>'Stakeholder list'!C14</f>
        <v>Instituto Beija </v>
      </c>
      <c r="C9" s="71" t="str">
        <f>'Stakeholder list'!D14</f>
        <v>Civil Society Organization (CSO)</v>
      </c>
      <c r="D9" s="71" t="str">
        <f>'Stakeholder list'!E14</f>
        <v>Alliances </v>
      </c>
      <c r="E9" s="71" t="str">
        <f>'Stakeholder list'!F14</f>
        <v>a social impact organization that promotes a positive impact in the philanthropic ecosystem by fostering creativity, innovation, and collaboration, together with the engagement of civil society, the private sector and the government to solve systemic problems</v>
      </c>
      <c r="F9" s="71" t="str">
        <f>'Stakeholder list'!G14</f>
        <v>National</v>
      </c>
      <c r="G9" s="71" t="str">
        <f>'Stakeholder list'!H14</f>
        <v>Buildings &amp; Transport, Energy, "Land, Food and Forest", Emergency response</v>
      </c>
      <c r="H9" s="71" t="str">
        <f>'Stakeholder list'!I14</f>
        <v/>
      </c>
      <c r="I9" s="71" t="str">
        <f>'Stakeholder list'!J14</f>
        <v/>
      </c>
      <c r="J9" s="71" t="str">
        <f>'Stakeholder list'!K14</f>
        <v>NA</v>
      </c>
      <c r="K9" s="71" t="str">
        <f>'Stakeholder list'!L14</f>
        <v>Funder, Convenor/enablers</v>
      </c>
      <c r="L9" s="71" t="str">
        <f>'Stakeholder list'!M14</f>
        <v>Upstream</v>
      </c>
      <c r="M9" s="71" t="str">
        <f>'Stakeholder list'!N14</f>
        <v>Co-funding partner</v>
      </c>
      <c r="N9" s="71" t="str">
        <f>'Stakeholder list'!O14</f>
        <v>Rio de Janeiro, RJ, Brazil</v>
      </c>
      <c r="O9" s="71" t="str">
        <f>'Stakeholder list'!P14</f>
        <v>Donor</v>
      </c>
      <c r="P9" s="71" t="str">
        <f>'Stakeholder list'!Q14</f>
        <v>Cristiane Sultani (Funder and Chairman)</v>
      </c>
      <c r="Q9" s="73" t="str">
        <f>'Stakeholder list'!R14</f>
        <v>https://institutobeja.org/homepage/</v>
      </c>
      <c r="R9" s="71" t="str">
        <f>'Stakeholder list'!S14</f>
        <v>A recently established Philantropy, with a similar role of  Movoimento Bem Maior, to advance the givin culture in Brazil. Could be a relevant co-funder and strategic partner for IKF in Brazil.</v>
      </c>
      <c r="S9" s="72"/>
      <c r="T9" s="72"/>
      <c r="U9" s="72"/>
      <c r="V9" s="72"/>
      <c r="W9" s="72"/>
    </row>
    <row r="10">
      <c r="A10" s="71">
        <f>'Stakeholder list'!B15</f>
        <v>9</v>
      </c>
      <c r="B10" s="71" t="str">
        <f>'Stakeholder list'!C15</f>
        <v>Open Society Foundations</v>
      </c>
      <c r="C10" s="71" t="str">
        <f>'Stakeholder list'!D15</f>
        <v>Funders</v>
      </c>
      <c r="D10" s="71" t="str">
        <f>'Stakeholder list'!E15</f>
        <v>Philanthropy foundations</v>
      </c>
      <c r="E10" s="71" t="str">
        <f>'Stakeholder list'!F15</f>
        <v>A global grantmaking philanthropic foundation focused on rights, equity, justice, democracy, and human rights; it supports organizations and initiatives in multiple countries with a focus on structural change.</v>
      </c>
      <c r="F10" s="71" t="str">
        <f>'Stakeholder list'!G15</f>
        <v>Cross-border / international</v>
      </c>
      <c r="G10" s="71" t="str">
        <f>'Stakeholder list'!H15</f>
        <v>Buildings &amp; Transport, Emergency response, Energy, "Land, Food and Forest"</v>
      </c>
      <c r="H10" s="71" t="str">
        <f>'Stakeholder list'!I15</f>
        <v>Amazonia</v>
      </c>
      <c r="I10" s="71" t="str">
        <f>'Stakeholder list'!J15</f>
        <v/>
      </c>
      <c r="J10" s="71" t="str">
        <f>'Stakeholder list'!K15</f>
        <v>Global rights and democracy funder with broad country portfolios. In this mapping, Brazil support is not publicly organized in a way that allows a consistent biome based segmentation, but has a mention about impact in Amazon region.</v>
      </c>
      <c r="K10" s="71" t="str">
        <f>'Stakeholder list'!L15</f>
        <v>Funder, Strategic partner</v>
      </c>
      <c r="L10" s="71" t="str">
        <f>'Stakeholder list'!M15</f>
        <v>Upstream</v>
      </c>
      <c r="M10" s="71" t="str">
        <f>'Stakeholder list'!N15</f>
        <v>Co-funding partner</v>
      </c>
      <c r="N10" s="71" t="str">
        <f>'Stakeholder list'!O15</f>
        <v>New York, NY, USA</v>
      </c>
      <c r="O10" s="71" t="str">
        <f>'Stakeholder list'!P15</f>
        <v>Donor</v>
      </c>
      <c r="P10" s="71" t="str">
        <f>'Stakeholder list'!Q15</f>
        <v>Pedro Abramovay (Vice-President)</v>
      </c>
      <c r="Q10" s="73" t="str">
        <f>'Stakeholder list'!R15</f>
        <v>https://www.opensocietyfoundations.org/newsroom/a-open-society-na-america-latina-e-no-caribe/pt</v>
      </c>
      <c r="R10" s="71" t="str">
        <f>'Stakeholder list'!S15</f>
        <v>They have a strong presence in Brazil. Could be a strategic partner, specially to give inputs on strategy development, approaches and lessosn learned.</v>
      </c>
      <c r="S10" s="72"/>
      <c r="T10" s="72"/>
      <c r="U10" s="72"/>
      <c r="V10" s="72"/>
      <c r="W10" s="72"/>
    </row>
    <row r="11">
      <c r="A11" s="71">
        <f>'Stakeholder list'!B16</f>
        <v>10</v>
      </c>
      <c r="B11" s="71" t="str">
        <f>'Stakeholder list'!C16</f>
        <v>Instituto Ethos</v>
      </c>
      <c r="C11" s="71" t="str">
        <f>'Stakeholder list'!D16</f>
        <v>Civil Society Organization (CSO)</v>
      </c>
      <c r="D11" s="71" t="str">
        <f>'Stakeholder list'!E16</f>
        <v>Industry platforms and sectoral initiatives</v>
      </c>
      <c r="E11" s="71" t="str">
        <f>'Stakeholder list'!F16</f>
        <v>A civil society organization network that mobilizes and supports companies toward socially responsible and sustainable management; it develops tools, indicators, and convening efforts to strengthen socio-environmental integrity and influence policy.</v>
      </c>
      <c r="F11" s="71" t="str">
        <f>'Stakeholder list'!G16</f>
        <v>National</v>
      </c>
      <c r="G11" s="71" t="str">
        <f>'Stakeholder list'!H16</f>
        <v>Buildings &amp; Transport, Energy, "Land, Food and Forest"</v>
      </c>
      <c r="H11" s="71" t="str">
        <f>'Stakeholder list'!I16</f>
        <v>Amazonia</v>
      </c>
      <c r="I11" s="71" t="str">
        <f>'Stakeholder list'!J16</f>
        <v>Mata&amp;Atlântica, Pantanal, Pampa, Coastal&amp;maritime</v>
      </c>
      <c r="J11" s="71" t="str">
        <f>'Stakeholder list'!K16</f>
        <v>Corporate integrity and sustainability work often engages high deforestation risk supply chains, making Amazonia the most recurrent reference. National advocacy and tools also apply beyond Amazonia, but not as a biome specific portfolio.</v>
      </c>
      <c r="K11" s="71" t="str">
        <f>'Stakeholder list'!L16</f>
        <v>Convenor/enablers, Policy influence / regulation</v>
      </c>
      <c r="L11" s="71" t="str">
        <f>'Stakeholder list'!M16</f>
        <v>Upstream</v>
      </c>
      <c r="M11" s="71" t="str">
        <f>'Stakeholder list'!N16</f>
        <v>Strategic partner</v>
      </c>
      <c r="N11" s="71" t="str">
        <f>'Stakeholder list'!O16</f>
        <v>São Paulo, SP, Brazil</v>
      </c>
      <c r="O11" s="71" t="str">
        <f>'Stakeholder list'!P16</f>
        <v>Grantee</v>
      </c>
      <c r="P11" s="71" t="str">
        <f>'Stakeholder list'!Q16</f>
        <v>Caio Magri (President)</v>
      </c>
      <c r="Q11" s="73" t="str">
        <f>'Stakeholder list'!R16</f>
        <v>https://www.ethos.org.br/</v>
      </c>
      <c r="R11" s="71" t="str">
        <f>'Stakeholder list'!S16</f>
        <v>Together with GIFE (Philantropy network), Ethos was stablished in Brazil  as strong network to address social corporate responsability in the 90's. Would be interesting to talk to them to test their apetite to collaborate with IKF Impact Areas strategies.</v>
      </c>
      <c r="S11" s="72"/>
      <c r="T11" s="72"/>
      <c r="U11" s="72"/>
      <c r="V11" s="72"/>
      <c r="W11" s="72"/>
    </row>
    <row r="12">
      <c r="A12" s="71">
        <f>'Stakeholder list'!B17</f>
        <v>11</v>
      </c>
      <c r="B12" s="71" t="str">
        <f>'Stakeholder list'!C17</f>
        <v>Instituto para o Desenvolvimento do Investimento Social (IDIS)</v>
      </c>
      <c r="C12" s="71" t="str">
        <f>'Stakeholder list'!D17</f>
        <v>Civil Society Organization (CSO)</v>
      </c>
      <c r="D12" s="71" t="str">
        <f>'Stakeholder list'!E17</f>
        <v>Think tanks</v>
      </c>
      <c r="E12" s="71" t="str">
        <f>'Stakeholder list'!F17</f>
        <v>A civil society organization that inspires, supports, and expands private social investment and its impact; it works through consulting/strategy, knowledge production, and strengthening the philanthropic ecosystem.</v>
      </c>
      <c r="F12" s="71" t="str">
        <f>'Stakeholder list'!G17</f>
        <v>National</v>
      </c>
      <c r="G12" s="71" t="str">
        <f>'Stakeholder list'!H17</f>
        <v>Buildings &amp; Transport, Energy, "Land, Food and Forest"</v>
      </c>
      <c r="H12" s="71" t="str">
        <f>'Stakeholder list'!I17</f>
        <v/>
      </c>
      <c r="I12" s="71" t="str">
        <f>'Stakeholder list'!J17</f>
        <v/>
      </c>
      <c r="J12" s="71" t="str">
        <f>'Stakeholder list'!K17</f>
        <v>Operates as a philanthropy and social investment advisor and ecosystem builder. Workstreams are instrument and strategy based, so biome delimitation is not a meaningful organizing lens.</v>
      </c>
      <c r="K12" s="71" t="str">
        <f>'Stakeholder list'!L17</f>
        <v>Technical assistance / research, Convenor/enablers</v>
      </c>
      <c r="L12" s="71" t="str">
        <f>'Stakeholder list'!M17</f>
        <v>Upstream</v>
      </c>
      <c r="M12" s="71" t="str">
        <f>'Stakeholder list'!N17</f>
        <v>Grant recipient</v>
      </c>
      <c r="N12" s="71" t="str">
        <f>'Stakeholder list'!O17</f>
        <v>São Paulo, SP, Brazil</v>
      </c>
      <c r="O12" s="71" t="str">
        <f>'Stakeholder list'!P17</f>
        <v>Grantee</v>
      </c>
      <c r="P12" s="71" t="str">
        <f>'Stakeholder list'!Q17</f>
        <v>Paula Jancso Fabiani</v>
      </c>
      <c r="Q12" s="73" t="str">
        <f>'Stakeholder list'!R17</f>
        <v>https://www.idis.org.br/</v>
      </c>
      <c r="R12" s="71" t="str">
        <f>'Stakeholder list'!S17</f>
        <v>Provide services to develop civil society organizations in Brazil. Hosts and endowment fund to develop Philantropies in Brazil.</v>
      </c>
      <c r="S12" s="72"/>
      <c r="T12" s="72"/>
      <c r="U12" s="72"/>
      <c r="V12" s="72"/>
      <c r="W12" s="72"/>
    </row>
    <row r="13">
      <c r="A13" s="71">
        <f>'Stakeholder list'!B18</f>
        <v>12</v>
      </c>
      <c r="B13" s="71" t="str">
        <f>'Stakeholder list'!C18</f>
        <v>Instituto Climate Ventures Brasil (Climate Ventures)</v>
      </c>
      <c r="C13" s="71" t="str">
        <f>'Stakeholder list'!D18</f>
        <v>Civil Society Organization (CSO)</v>
      </c>
      <c r="D13" s="71" t="str">
        <f>'Stakeholder list'!E18</f>
        <v>Think tanks</v>
      </c>
      <c r="E13" s="71" t="str">
        <f>'Stakeholder list'!F18</f>
        <v>A think-and-do tank that coordinates multi-stakeholder action and produces knowledge for systemic climate solutions; it connects actors (business, government, finance, and civil society) to accelerate a just transition and climate innovation.</v>
      </c>
      <c r="F13" s="71" t="str">
        <f>'Stakeholder list'!G18</f>
        <v>National</v>
      </c>
      <c r="G13" s="71" t="str">
        <f>'Stakeholder list'!H18</f>
        <v>Buildings &amp; Transport, Energy, "Land, Food and Forest"</v>
      </c>
      <c r="H13" s="71" t="str">
        <f>'Stakeholder list'!I18</f>
        <v>Amazonia, Caatinga, Cerrado</v>
      </c>
      <c r="I13" s="71" t="str">
        <f>'Stakeholder list'!J18</f>
        <v>Mata&amp;Atlântica, Pantanal, Pampa, Coastal&amp;maritime</v>
      </c>
      <c r="J13" s="71" t="str">
        <f>'Stakeholder list'!K18</f>
        <v>Coordinates climate solutions with strong land use and regional transition interfaces, often most salient in Amazonia, Cerrado and Caatinga. Other biomes enter through specific coalitions, not as the primary recurring focus.</v>
      </c>
      <c r="K13" s="71" t="str">
        <f>'Stakeholder list'!L18</f>
        <v>Convenor/enablers, Project developer / Implementer</v>
      </c>
      <c r="L13" s="71" t="str">
        <f>'Stakeholder list'!M18</f>
        <v>Midstream</v>
      </c>
      <c r="M13" s="71" t="str">
        <f>'Stakeholder list'!N18</f>
        <v>Grant recipient</v>
      </c>
      <c r="N13" s="71" t="str">
        <f>'Stakeholder list'!O18</f>
        <v>São Paulo, SP, Brazil</v>
      </c>
      <c r="O13" s="71" t="str">
        <f>'Stakeholder list'!P18</f>
        <v>Grantee</v>
      </c>
      <c r="P13" s="71" t="str">
        <f>'Stakeholder list'!Q18</f>
        <v>Daniel Contrucci &amp; Ricardo Gravnina (Co-Directors)</v>
      </c>
      <c r="Q13" s="73" t="str">
        <f>'Stakeholder list'!R18</f>
        <v>https://www.climateventures.co/</v>
      </c>
      <c r="R13" s="71" t="str">
        <f>'Stakeholder list'!S18</f>
        <v>Could be an important grantee in the cosytem to address climate solutions in Brazil.</v>
      </c>
      <c r="S13" s="72"/>
      <c r="T13" s="72"/>
      <c r="U13" s="72"/>
      <c r="V13" s="72"/>
      <c r="W13" s="72"/>
    </row>
    <row r="14">
      <c r="A14" s="71">
        <f>'Stakeholder list'!B19</f>
        <v>13</v>
      </c>
      <c r="B14" s="71" t="str">
        <f>'Stakeholder list'!C19</f>
        <v>The Climate Group</v>
      </c>
      <c r="C14" s="71" t="str">
        <f>'Stakeholder list'!D19</f>
        <v>Civil Society Organization (CSO)</v>
      </c>
      <c r="D14" s="71" t="str">
        <f>'Stakeholder list'!E19</f>
        <v>Multi-stakeholder initiatives</v>
      </c>
      <c r="E14" s="71" t="str">
        <f>'Stakeholder list'!F19</f>
        <v>An international non-profit organization that runs corporate initiatives and coalitions (e.g., in energy/transport/industry) to accelerate net-zero targets, acting as a secretariat for alliances and mobilizing sectoral commitments.</v>
      </c>
      <c r="F14" s="71" t="str">
        <f>'Stakeholder list'!G19</f>
        <v>Cross-border / international</v>
      </c>
      <c r="G14" s="71" t="str">
        <f>'Stakeholder list'!H19</f>
        <v>Buildings &amp; Transport, Energy</v>
      </c>
      <c r="H14" s="71" t="str">
        <f>'Stakeholder list'!I19</f>
        <v/>
      </c>
      <c r="I14" s="71" t="str">
        <f>'Stakeholder list'!J19</f>
        <v/>
      </c>
      <c r="J14" s="71" t="str">
        <f>'Stakeholder list'!K19</f>
        <v>Runs global corporate coalitions and sector commitments. Brazil engagement is typically framed by companies and policies, not by territorially delimited biome programs.</v>
      </c>
      <c r="K14" s="71" t="str">
        <f>'Stakeholder list'!L19</f>
        <v>Convenor/enablers, Strategic partner</v>
      </c>
      <c r="L14" s="71" t="str">
        <f>'Stakeholder list'!M19</f>
        <v>Upstream</v>
      </c>
      <c r="M14" s="71" t="str">
        <f>'Stakeholder list'!N19</f>
        <v>Grant recipient</v>
      </c>
      <c r="N14" s="71" t="str">
        <f>'Stakeholder list'!O19</f>
        <v>London, United Kingdom</v>
      </c>
      <c r="O14" s="71" t="str">
        <f>'Stakeholder list'!P19</f>
        <v>Grantee</v>
      </c>
      <c r="P14" s="71" t="str">
        <f>'Stakeholder list'!Q19</f>
        <v>Champa Patel (Global Governance Director)</v>
      </c>
      <c r="Q14" s="73" t="str">
        <f>'Stakeholder list'!R19</f>
        <v>https://www.theclimategroup.org/</v>
      </c>
      <c r="R14" s="71" t="str">
        <f>'Stakeholder list'!S19</f>
        <v>Potential partner. Intrested in working more in Brazil.</v>
      </c>
      <c r="S14" s="72"/>
      <c r="T14" s="72"/>
      <c r="U14" s="72"/>
      <c r="V14" s="72"/>
      <c r="W14" s="72"/>
    </row>
    <row r="15">
      <c r="A15" s="71">
        <f>'Stakeholder list'!B20</f>
        <v>14</v>
      </c>
      <c r="B15" s="71" t="str">
        <f>'Stakeholder list'!C20</f>
        <v>Fundação Maria Cecilia Souto Vidigal</v>
      </c>
      <c r="C15" s="71" t="str">
        <f>'Stakeholder list'!D20</f>
        <v>Funders</v>
      </c>
      <c r="D15" s="71" t="str">
        <f>'Stakeholder list'!E20</f>
        <v>Philanthropy foundations</v>
      </c>
      <c r="E15" s="71" t="str">
        <f>'Stakeholder list'!F20</f>
        <v>A civil society organization focused on early childhood; it mobilizes leaders, supports governments and public policy, and produces evidence to reduce inequalities from the very beginning of life.</v>
      </c>
      <c r="F15" s="71" t="str">
        <f>'Stakeholder list'!G20</f>
        <v>National</v>
      </c>
      <c r="G15" s="71" t="str">
        <f>'Stakeholder list'!H20</f>
        <v/>
      </c>
      <c r="H15" s="71" t="str">
        <f>'Stakeholder list'!I20</f>
        <v/>
      </c>
      <c r="I15" s="71" t="str">
        <f>'Stakeholder list'!J20</f>
        <v/>
      </c>
      <c r="J15" s="71" t="str">
        <f>'Stakeholder list'!K20</f>
        <v>Focuses on early childhood evidence and public policy adoption by states and municipalities. Implementation geography is administrative and service based, not ecosystem based.</v>
      </c>
      <c r="K15" s="71" t="str">
        <f>'Stakeholder list'!L20</f>
        <v>Funder, Strategic partner</v>
      </c>
      <c r="L15" s="71" t="str">
        <f>'Stakeholder list'!M20</f>
        <v>Upstream</v>
      </c>
      <c r="M15" s="71" t="str">
        <f>'Stakeholder list'!N20</f>
        <v>Co-funding partner</v>
      </c>
      <c r="N15" s="71" t="str">
        <f>'Stakeholder list'!O20</f>
        <v>São Paulo, SP, Brazil</v>
      </c>
      <c r="O15" s="71" t="str">
        <f>'Stakeholder list'!P20</f>
        <v>Donor</v>
      </c>
      <c r="P15" s="71" t="str">
        <f>'Stakeholder list'!Q20</f>
        <v>Mariana Luz (Executive Director)</v>
      </c>
      <c r="Q15" s="73" t="str">
        <f>'Stakeholder list'!R20</f>
        <v>https://fundacaomariacecilia.org.br/</v>
      </c>
      <c r="R15" s="71" t="str">
        <f>'Stakeholder list'!S20</f>
        <v>Explore possibilities to be a partner. The largest endowment fund in Brazil.</v>
      </c>
      <c r="S15" s="71" t="str">
        <f>'Stakeholder list'!T20</f>
        <v>—</v>
      </c>
      <c r="T15" s="71" t="str">
        <f>'Stakeholder list'!U20</f>
        <v/>
      </c>
      <c r="U15" s="71" t="str">
        <f>'Stakeholder list'!V20</f>
        <v/>
      </c>
      <c r="V15" s="71" t="str">
        <f>'Stakeholder list'!W20</f>
        <v/>
      </c>
      <c r="W15" s="71" t="str">
        <f>'Stakeholder list'!X20</f>
        <v/>
      </c>
    </row>
    <row r="16">
      <c r="A16" s="71">
        <f>'Stakeholder list'!B21</f>
        <v>15</v>
      </c>
      <c r="B16" s="71" t="str">
        <f>'Stakeholder list'!C21</f>
        <v>Fundação Tide Setúbal</v>
      </c>
      <c r="C16" s="71" t="str">
        <f>'Stakeholder list'!D21</f>
        <v>Funders</v>
      </c>
      <c r="D16" s="71" t="str">
        <f>'Stakeholder list'!E21</f>
        <v>Philanthropy foundations</v>
      </c>
      <c r="E16" s="71" t="str">
        <f>'Stakeholder list'!F21</f>
        <v>A foundation focused on social justice and the sustainable development of urban peripheries; it fosters initiatives and connects the state, research, and civil society to tackle socio-spatial inequalities and influence policy.</v>
      </c>
      <c r="F16" s="71" t="str">
        <f>'Stakeholder list'!G21</f>
        <v>National</v>
      </c>
      <c r="G16" s="71" t="str">
        <f>'Stakeholder list'!H21</f>
        <v/>
      </c>
      <c r="H16" s="71" t="str">
        <f>'Stakeholder list'!I21</f>
        <v/>
      </c>
      <c r="I16" s="71" t="str">
        <f>'Stakeholder list'!J21</f>
        <v>Mata&amp;Atlântica</v>
      </c>
      <c r="J16" s="71" t="str">
        <f>'Stakeholder list'!K21</f>
        <v>Prioritizes urban peripheries and socio spatial inequality agendas. The operating territory is metropolitan and social, so biomes are not used to define programs.</v>
      </c>
      <c r="K16" s="71" t="str">
        <f>'Stakeholder list'!L21</f>
        <v>Funder, Territorial anchor</v>
      </c>
      <c r="L16" s="71" t="str">
        <f>'Stakeholder list'!M21</f>
        <v>Upstream</v>
      </c>
      <c r="M16" s="71" t="str">
        <f>'Stakeholder list'!N21</f>
        <v>Co-funding partner</v>
      </c>
      <c r="N16" s="71" t="str">
        <f>'Stakeholder list'!O21</f>
        <v>São Paulo, SP, Brazil</v>
      </c>
      <c r="O16" s="71" t="str">
        <f>'Stakeholder list'!P21</f>
        <v>Donor</v>
      </c>
      <c r="P16" s="71" t="str">
        <f>'Stakeholder list'!Q21</f>
        <v>Mariana Almeida (Executive Director)</v>
      </c>
      <c r="Q16" s="73" t="str">
        <f>'Stakeholder list'!R21</f>
        <v>https://fundacaotidesetubal.org.br/</v>
      </c>
      <c r="R16" s="71" t="str">
        <f>'Stakeholder list'!S21</f>
        <v>Could be a co-funding partener in urban startegies in targeted cities (as SP), supporting vulnerable comunities. </v>
      </c>
      <c r="S16" s="71" t="str">
        <f>'Stakeholder list'!T21</f>
        <v>—</v>
      </c>
      <c r="T16" s="71" t="str">
        <f>'Stakeholder list'!U21</f>
        <v/>
      </c>
      <c r="U16" s="71" t="str">
        <f>'Stakeholder list'!V21</f>
        <v/>
      </c>
      <c r="V16" s="71" t="str">
        <f>'Stakeholder list'!W21</f>
        <v/>
      </c>
      <c r="W16" s="71" t="str">
        <f>'Stakeholder list'!X21</f>
        <v/>
      </c>
    </row>
    <row r="17">
      <c r="A17" s="71">
        <f>'Stakeholder list'!B22</f>
        <v>16</v>
      </c>
      <c r="B17" s="71" t="str">
        <f>'Stakeholder list'!C22</f>
        <v>Fundação Arymax</v>
      </c>
      <c r="C17" s="71" t="str">
        <f>'Stakeholder list'!D22</f>
        <v>Funders</v>
      </c>
      <c r="D17" s="71" t="str">
        <f>'Stakeholder list'!E22</f>
        <v>Philanthropy foundations</v>
      </c>
      <c r="E17" s="71" t="str">
        <f>'Stakeholder list'!F22</f>
        <v>A philanthropic foundation (venture philanthropy) focused on productive inclusion, employability, and organizational strengthening; it supports scalable solutions and a culture of evaluation/effectiveness to expand social impact.</v>
      </c>
      <c r="F17" s="71" t="str">
        <f>'Stakeholder list'!G22</f>
        <v>National</v>
      </c>
      <c r="G17" s="71" t="str">
        <f>'Stakeholder list'!H22</f>
        <v>Emergency response, "Land, Food and Forest"</v>
      </c>
      <c r="H17" s="71" t="str">
        <f>'Stakeholder list'!I22</f>
        <v/>
      </c>
      <c r="I17" s="71" t="str">
        <f>'Stakeholder list'!J22</f>
        <v/>
      </c>
      <c r="J17" s="71" t="str">
        <f>'Stakeholder list'!K22</f>
        <v>Venture philanthropy for employability and productive inclusion, oriented to scalable solutions and organizational strengthening. No consistent biome targeting appears in how programs are selected or reported.</v>
      </c>
      <c r="K17" s="71" t="str">
        <f>'Stakeholder list'!L22</f>
        <v>Funder, Strategic partner</v>
      </c>
      <c r="L17" s="71" t="str">
        <f>'Stakeholder list'!M22</f>
        <v>Upstream</v>
      </c>
      <c r="M17" s="71" t="str">
        <f>'Stakeholder list'!N22</f>
        <v>Co-funding partner</v>
      </c>
      <c r="N17" s="71" t="str">
        <f>'Stakeholder list'!O22</f>
        <v>São Paulo, SP, Brazil</v>
      </c>
      <c r="O17" s="71" t="str">
        <f>'Stakeholder list'!P22</f>
        <v>Donor</v>
      </c>
      <c r="P17" s="71" t="str">
        <f>'Stakeholder list'!Q22</f>
        <v>Viviane Naigeborin (Executive Director)</v>
      </c>
      <c r="Q17" s="73" t="str">
        <f>'Stakeholder list'!R22</f>
        <v>https://arymax.org.br/</v>
      </c>
      <c r="R17" s="71" t="str">
        <f>'Stakeholder list'!S22</f>
        <v>Potential co-funding partner in Social Impact Business (SIB) in Brazil. The org. Lead helped establishing policies and frameworks and is a reference on SIB in Brazil. </v>
      </c>
      <c r="S17" s="71" t="str">
        <f>'Stakeholder list'!T22</f>
        <v>—</v>
      </c>
      <c r="T17" s="71" t="str">
        <f>'Stakeholder list'!U22</f>
        <v/>
      </c>
      <c r="U17" s="71" t="str">
        <f>'Stakeholder list'!V22</f>
        <v/>
      </c>
      <c r="V17" s="71" t="str">
        <f>'Stakeholder list'!W22</f>
        <v/>
      </c>
      <c r="W17" s="71" t="str">
        <f>'Stakeholder list'!X22</f>
        <v/>
      </c>
    </row>
    <row r="18">
      <c r="A18" s="71">
        <f>'Stakeholder list'!B23</f>
        <v>17</v>
      </c>
      <c r="B18" s="71" t="str">
        <f>'Stakeholder list'!C23</f>
        <v>Instituto Talanoa</v>
      </c>
      <c r="C18" s="71" t="str">
        <f>'Stakeholder list'!D23</f>
        <v>Civil Society Organization (CSO)</v>
      </c>
      <c r="D18" s="71" t="str">
        <f>'Stakeholder list'!E23</f>
        <v>Monitoring, Evaluation, and Learning</v>
      </c>
      <c r="E18" s="71" t="str">
        <f>'Stakeholder list'!F23</f>
        <v>An independent think tank dedicated to climate policy in Brazil; it combines data, science, and dialogue to monitor, analyze, and influence public policy and climate governance, increasing transparency and decision quality.</v>
      </c>
      <c r="F18" s="71" t="str">
        <f>'Stakeholder list'!G23</f>
        <v>National</v>
      </c>
      <c r="G18" s="71" t="str">
        <f>'Stakeholder list'!H23</f>
        <v>Buildings &amp; Transport, Energy, "Land, Food and Forest"</v>
      </c>
      <c r="H18" s="71" t="str">
        <f>'Stakeholder list'!I23</f>
        <v>Amazonia, Caatinga, Cerrado</v>
      </c>
      <c r="I18" s="71" t="str">
        <f>'Stakeholder list'!J23</f>
        <v>Mata&amp;Atlântica, Pantanal, Pampa, Coastal&amp;maritime</v>
      </c>
      <c r="J18" s="71" t="str">
        <f>'Stakeholder list'!K23</f>
        <v>Produces climate governance analysis where Amazonia and Cerrado repeatedly dominate national debates on land use and NDC ambition. Other biomes are covered in broader policy discussion rather than dedicated biome programs.</v>
      </c>
      <c r="K18" s="71" t="str">
        <f>'Stakeholder list'!L23</f>
        <v>Technical assistance / research, Policy influence / regulation</v>
      </c>
      <c r="L18" s="71" t="str">
        <f>'Stakeholder list'!M23</f>
        <v>Midstream</v>
      </c>
      <c r="M18" s="71" t="str">
        <f>'Stakeholder list'!N23</f>
        <v>Strategic partner</v>
      </c>
      <c r="N18" s="71" t="str">
        <f>'Stakeholder list'!O23</f>
        <v>Brasília, DF, Brazil</v>
      </c>
      <c r="O18" s="71" t="str">
        <f>'Stakeholder list'!P23</f>
        <v>Grantee</v>
      </c>
      <c r="P18" s="71" t="str">
        <f>'Stakeholder list'!Q23</f>
        <v>Natalie Unterstell</v>
      </c>
      <c r="Q18" s="73" t="str">
        <f>'Stakeholder list'!R23</f>
        <v>https://institutotalanoa.org/</v>
      </c>
      <c r="R18" s="71" t="str">
        <f>'Stakeholder list'!S23</f>
        <v>A relevant thecnical partner in Brazil (policy, adaptation and mitigation) </v>
      </c>
      <c r="S18" s="71" t="str">
        <f>'Stakeholder list'!T23</f>
        <v>Climate policy monitoring, data-driven analysis and transparency of climate governance</v>
      </c>
      <c r="T18" s="71" t="str">
        <f>'Stakeholder list'!U23</f>
        <v/>
      </c>
      <c r="U18" s="71" t="str">
        <f>'Stakeholder list'!V23</f>
        <v/>
      </c>
      <c r="V18" s="71" t="str">
        <f>'Stakeholder list'!W23</f>
        <v/>
      </c>
      <c r="W18" s="71" t="str">
        <f>'Stakeholder list'!X23</f>
        <v/>
      </c>
    </row>
    <row r="19">
      <c r="A19" s="71">
        <f>'Stakeholder list'!B24</f>
        <v>18</v>
      </c>
      <c r="B19" s="71" t="str">
        <f>'Stakeholder list'!C24</f>
        <v>Instituto Alana</v>
      </c>
      <c r="C19" s="71" t="str">
        <f>'Stakeholder list'!D24</f>
        <v>Civil Society Organization (CSO)</v>
      </c>
      <c r="D19" s="71" t="str">
        <f>'Stakeholder list'!E24</f>
        <v>Philanthropy foundations</v>
      </c>
      <c r="E19" s="71" t="str">
        <f>'Stakeholder list'!F24</f>
        <v>A civil society organization focused on the rights of children and adolescents; it works through advocacy, communication, and partnerships to ensure priority for childhood and promote integral development with socio-environmental justice.</v>
      </c>
      <c r="F19" s="71" t="str">
        <f>'Stakeholder list'!G24</f>
        <v>National</v>
      </c>
      <c r="G19" s="71" t="str">
        <f>'Stakeholder list'!H24</f>
        <v>"Land, Food and Forest"</v>
      </c>
      <c r="H19" s="71" t="str">
        <f>'Stakeholder list'!I24</f>
        <v>Amazonia, Caatinga, Cerrado</v>
      </c>
      <c r="I19" s="71" t="str">
        <f>'Stakeholder list'!J24</f>
        <v>Mata&amp;Atlântica</v>
      </c>
      <c r="J19" s="71" t="str">
        <f>'Stakeholder list'!K24</f>
        <v>Works on children and adolescent rights with advocacy and communication strategies. Actions are not designed around biome defined geographies.</v>
      </c>
      <c r="K19" s="71" t="str">
        <f>'Stakeholder list'!L24</f>
        <v>Funder, Policy influence / regulation, Strategic partner , Community legitimacy / proximate leadership</v>
      </c>
      <c r="L19" s="71" t="str">
        <f>'Stakeholder list'!M24</f>
        <v>Midstream</v>
      </c>
      <c r="M19" s="71" t="str">
        <f>'Stakeholder list'!N24</f>
        <v>Co-funding partner</v>
      </c>
      <c r="N19" s="71" t="str">
        <f>'Stakeholder list'!O24</f>
        <v>São Paulo, SP, Brazil</v>
      </c>
      <c r="O19" s="71" t="str">
        <f>'Stakeholder list'!P24</f>
        <v>Donor</v>
      </c>
      <c r="P19" s="71" t="str">
        <f>'Stakeholder list'!Q24</f>
        <v>Ana Lúcia Villela (President) &amp; Marcos Nisti (Vice-President)</v>
      </c>
      <c r="Q19" s="73" t="str">
        <f>'Stakeholder list'!R24</f>
        <v>https://alana.org.br/</v>
      </c>
      <c r="R19" s="71" t="str">
        <f>'Stakeholder list'!S24</f>
        <v>Could be a co-finding partner on targeted audience. Works a lot in advocacy, campaigns and information foucesed on young generation) </v>
      </c>
      <c r="S19" s="71" t="str">
        <f>'Stakeholder list'!T24</f>
        <v>—</v>
      </c>
      <c r="T19" s="71" t="str">
        <f>'Stakeholder list'!U24</f>
        <v/>
      </c>
      <c r="U19" s="71" t="str">
        <f>'Stakeholder list'!V24</f>
        <v/>
      </c>
      <c r="V19" s="71" t="str">
        <f>'Stakeholder list'!W24</f>
        <v/>
      </c>
      <c r="W19" s="71" t="str">
        <f>'Stakeholder list'!X24</f>
        <v/>
      </c>
    </row>
    <row r="20">
      <c r="A20" s="71">
        <f>'Stakeholder list'!B25</f>
        <v>19</v>
      </c>
      <c r="B20" s="71" t="str">
        <f>'Stakeholder list'!C25</f>
        <v>Itaúsa (Itaúsa S.A.)</v>
      </c>
      <c r="C20" s="71" t="str">
        <f>'Stakeholder list'!D25</f>
        <v>Private sector</v>
      </c>
      <c r="D20" s="71" t="str">
        <f>'Stakeholder list'!E25</f>
        <v>Institutional Investors</v>
      </c>
      <c r="E20" s="71" t="str">
        <f>'Stakeholder list'!F25</f>
        <v>A publicly listed holding company; it invests in a portfolio of companies and can influence the transition through governance, ESG strategy, capital allocation, and engagement for sustainable development and positive impact.</v>
      </c>
      <c r="F20" s="71" t="str">
        <f>'Stakeholder list'!G25</f>
        <v>National</v>
      </c>
      <c r="G20" s="71" t="str">
        <f>'Stakeholder list'!H25</f>
        <v>Buildings &amp; Transport, Energy, "Land, Food and Forest"</v>
      </c>
      <c r="H20" s="71" t="str">
        <f>'Stakeholder list'!I25</f>
        <v/>
      </c>
      <c r="I20" s="71" t="str">
        <f>'Stakeholder list'!J25</f>
        <v/>
      </c>
      <c r="J20" s="71" t="str">
        <f>'Stakeholder list'!K25</f>
        <v>Influence is exercised through portfolio governance, ESG and capital allocation. No public strategy indicates biome specific territorial programming.</v>
      </c>
      <c r="K20" s="71" t="str">
        <f>'Stakeholder list'!L25</f>
        <v>Strategic partner, Capital provider / Financial intermediary</v>
      </c>
      <c r="L20" s="71" t="str">
        <f>'Stakeholder list'!M25</f>
        <v>Upstream</v>
      </c>
      <c r="M20" s="71" t="str">
        <f>'Stakeholder list'!N25</f>
        <v>Co-funding partner</v>
      </c>
      <c r="N20" s="71" t="str">
        <f>'Stakeholder list'!O25</f>
        <v>São Paulo, SP, Brazil</v>
      </c>
      <c r="O20" s="71" t="str">
        <f>'Stakeholder list'!P25</f>
        <v>Re-granter</v>
      </c>
      <c r="P20" s="71" t="str">
        <f>'Stakeholder list'!Q25</f>
        <v>Marcelo Furtado (Sustainable Head)</v>
      </c>
      <c r="Q20" s="73" t="str">
        <f>'Stakeholder list'!R25</f>
        <v>https://www.itausa.com.br/</v>
      </c>
      <c r="R20" s="71" t="str">
        <f>'Stakeholder list'!S25</f>
        <v>Interested in the  climate change. Alredy finance a lot of different effort, hubs and networks. Could be a co-funding partner for IKF in Brazil.  </v>
      </c>
      <c r="S20" s="71" t="str">
        <f>'Stakeholder list'!T25</f>
        <v>—</v>
      </c>
      <c r="T20" s="71" t="str">
        <f>'Stakeholder list'!U25</f>
        <v/>
      </c>
      <c r="U20" s="71" t="str">
        <f>'Stakeholder list'!V25</f>
        <v/>
      </c>
      <c r="V20" s="71" t="str">
        <f>'Stakeholder list'!W25</f>
        <v/>
      </c>
      <c r="W20" s="71" t="str">
        <f>'Stakeholder list'!X25</f>
        <v/>
      </c>
    </row>
    <row r="21">
      <c r="A21" s="71">
        <f>'Stakeholder list'!B26</f>
        <v>20</v>
      </c>
      <c r="B21" s="71" t="str">
        <f>'Stakeholder list'!C26</f>
        <v>Instituto Arapyaú</v>
      </c>
      <c r="C21" s="71" t="str">
        <f>'Stakeholder list'!D26</f>
        <v>Civil Society Organization (CSO)</v>
      </c>
      <c r="D21" s="71" t="str">
        <f>'Stakeholder list'!E26</f>
        <v>Philanthropy foundations</v>
      </c>
      <c r="E21" s="71" t="str">
        <f>'Stakeholder list'!F26</f>
        <v>A Brazilian philanthropic organization that fosters and incubates networks and structuring initiatives to promote fair, inclusive, and low-carbon development; it convenes public/private actors and civil society to advance systemic solutions in climate, nature, and the economy.</v>
      </c>
      <c r="F21" s="71" t="str">
        <f>'Stakeholder list'!G26</f>
        <v>National</v>
      </c>
      <c r="G21" s="71" t="str">
        <f>'Stakeholder list'!H26</f>
        <v>Buildings &amp; Transport, Energy, "Land, Food and Forest"</v>
      </c>
      <c r="H21" s="71" t="str">
        <f>'Stakeholder list'!I26</f>
        <v>Amazonia</v>
      </c>
      <c r="I21" s="71" t="str">
        <f>'Stakeholder list'!J26</f>
        <v>Mata&amp;Atlântica</v>
      </c>
      <c r="J21" s="71" t="str">
        <f>'Stakeholder list'!K26</f>
        <v>Sustained territorial convening and networks are most visibly linked to Amazonia, with additional recurring work connected to Mata Atlântica agendas. The biome tagging reflects where long term coalitions and place based initiatives concentrate.</v>
      </c>
      <c r="K21" s="71" t="str">
        <f>'Stakeholder list'!L26</f>
        <v>Funder, Strategic partner, Territorial anchor</v>
      </c>
      <c r="L21" s="71" t="str">
        <f>'Stakeholder list'!M26</f>
        <v>Midstream</v>
      </c>
      <c r="M21" s="71" t="str">
        <f>'Stakeholder list'!N26</f>
        <v>Co-funding partner</v>
      </c>
      <c r="N21" s="71" t="str">
        <f>'Stakeholder list'!O26</f>
        <v>São Paulo, SP, Brazil</v>
      </c>
      <c r="O21" s="71" t="str">
        <f>'Stakeholder list'!P26</f>
        <v>Donor</v>
      </c>
      <c r="P21" s="71" t="str">
        <f>'Stakeholder list'!Q26</f>
        <v>Renata Piazzon (CEO)</v>
      </c>
      <c r="Q21" s="73" t="str">
        <f>'Stakeholder list'!R26</f>
        <v>https://arapyau.org.br/</v>
      </c>
      <c r="R21" s="71" t="str">
        <f>'Stakeholder list'!S26</f>
        <v>Relevant partner to co-fund initiatives in teh Amazon. Also works a lot in terrritorial development in Bahia. Guilherme Leal's philanthropy (one of Natura's owner)</v>
      </c>
      <c r="S21" s="71" t="str">
        <f>'Stakeholder list'!T26</f>
        <v>—</v>
      </c>
      <c r="T21" s="71" t="str">
        <f>'Stakeholder list'!U26</f>
        <v/>
      </c>
      <c r="U21" s="71" t="str">
        <f>'Stakeholder list'!V26</f>
        <v/>
      </c>
      <c r="V21" s="71" t="str">
        <f>'Stakeholder list'!W26</f>
        <v/>
      </c>
      <c r="W21" s="71" t="str">
        <f>'Stakeholder list'!X26</f>
        <v/>
      </c>
    </row>
    <row r="22">
      <c r="A22" s="71">
        <f>'Stakeholder list'!B27</f>
        <v>21</v>
      </c>
      <c r="B22" s="71" t="str">
        <f>'Stakeholder list'!C27</f>
        <v>Instituto Semeia</v>
      </c>
      <c r="C22" s="71" t="str">
        <f>'Stakeholder list'!D27</f>
        <v>Civil Society Organization (CSO)</v>
      </c>
      <c r="D22" s="71" t="str">
        <f>'Stakeholder list'!E27</f>
        <v>Philanthropy foundations</v>
      </c>
      <c r="E22" s="71" t="str">
        <f>'Stakeholder list'!F27</f>
        <v>A non-profit philanthropic organization focused on enhancing the sustainable socioeconomic development of parks and protected areas, supporting management models, partnerships, and knowledge for conservation and visitation.</v>
      </c>
      <c r="F22" s="71" t="str">
        <f>'Stakeholder list'!G27</f>
        <v>National</v>
      </c>
      <c r="G22" s="71" t="str">
        <f>'Stakeholder list'!H27</f>
        <v>"Land, Food and Forest"</v>
      </c>
      <c r="H22" s="71" t="str">
        <f>'Stakeholder list'!I27</f>
        <v>Amazonia, Cerrado</v>
      </c>
      <c r="I22" s="71" t="str">
        <f>'Stakeholder list'!J27</f>
        <v>Mata&amp;Atlântica, Pantanal, Pampa, Coastal&amp;maritime</v>
      </c>
      <c r="J22" s="71" t="str">
        <f>'Stakeholder list'!K27</f>
        <v>Parks and protected areas agenda spans multiple regions, with recurring relevance in Amazonia and Cerrado due to scale and pressure dynamics. Other biomes appear through specific protected area partnerships and knowledge products.</v>
      </c>
      <c r="K22" s="71" t="str">
        <f>'Stakeholder list'!L27</f>
        <v>Technical assistance / research, Project developer / Implementer, Funder</v>
      </c>
      <c r="L22" s="71" t="str">
        <f>'Stakeholder list'!M27</f>
        <v>Midstream</v>
      </c>
      <c r="M22" s="71" t="str">
        <f>'Stakeholder list'!N27</f>
        <v>Co-funding partner</v>
      </c>
      <c r="N22" s="71" t="str">
        <f>'Stakeholder list'!O27</f>
        <v>São Paulo, SP, Brazil</v>
      </c>
      <c r="O22" s="71" t="str">
        <f>'Stakeholder list'!P27</f>
        <v>Donor</v>
      </c>
      <c r="P22" s="71" t="str">
        <f>'Stakeholder list'!Q27</f>
        <v>Fernando Pieroni (Executive Director)</v>
      </c>
      <c r="Q22" s="73" t="str">
        <f>'Stakeholder list'!R27</f>
        <v>https://semeia.org.br/</v>
      </c>
      <c r="R22" s="71" t="str">
        <f>'Stakeholder list'!S27</f>
        <v>Interesting partner to understand and potentially co-fund strategies to address Public and Private Prtnerships (PPPs) in IKF impact areas. Perdo Passos' philanthropy (one of Natura's owner).</v>
      </c>
      <c r="S22" s="71" t="str">
        <f>'Stakeholder list'!T27</f>
        <v>—</v>
      </c>
      <c r="T22" s="71" t="str">
        <f>'Stakeholder list'!U27</f>
        <v/>
      </c>
      <c r="U22" s="71" t="str">
        <f>'Stakeholder list'!V27</f>
        <v/>
      </c>
      <c r="V22" s="71" t="str">
        <f>'Stakeholder list'!W27</f>
        <v/>
      </c>
      <c r="W22" s="71" t="str">
        <f>'Stakeholder list'!X27</f>
        <v/>
      </c>
    </row>
    <row r="23">
      <c r="A23" s="71">
        <f>'Stakeholder list'!B28</f>
        <v>22</v>
      </c>
      <c r="B23" s="71" t="str">
        <f>'Stakeholder list'!C28</f>
        <v>The David and Lucile Packard Foundation</v>
      </c>
      <c r="C23" s="71" t="str">
        <f>'Stakeholder list'!D28</f>
        <v>Funders</v>
      </c>
      <c r="D23" s="71" t="str">
        <f>'Stakeholder list'!E28</f>
        <v>Philanthropy foundations</v>
      </c>
      <c r="E23" s="71" t="str">
        <f>'Stakeholder list'!F28</f>
        <v>An international grantmaking philanthropic foundation that funds agendas such as conservation/restoration of natural systems, climate, and community strengthening; it supports organizations and coalitions for structural, evidence-based change.</v>
      </c>
      <c r="F23" s="71" t="str">
        <f>'Stakeholder list'!G28</f>
        <v>Cross-border / international</v>
      </c>
      <c r="G23" s="71" t="str">
        <f>'Stakeholder list'!H28</f>
        <v>Energy, "Land, Food and Forest"</v>
      </c>
      <c r="H23" s="71" t="str">
        <f>'Stakeholder list'!I28</f>
        <v/>
      </c>
      <c r="I23" s="71" t="str">
        <f>'Stakeholder list'!J28</f>
        <v/>
      </c>
      <c r="J23" s="71" t="str">
        <f>'Stakeholder list'!K28</f>
        <v>International grantmaker with broad environment and community portfolios. This list does not provide a stable Brazil facing biome structured program line to classify.</v>
      </c>
      <c r="K23" s="71" t="str">
        <f>'Stakeholder list'!L28</f>
        <v>Funder, Strategic partner</v>
      </c>
      <c r="L23" s="71" t="str">
        <f>'Stakeholder list'!M28</f>
        <v>Upstream</v>
      </c>
      <c r="M23" s="71" t="str">
        <f>'Stakeholder list'!N28</f>
        <v>Co-funding partner</v>
      </c>
      <c r="N23" s="71" t="str">
        <f>'Stakeholder list'!O28</f>
        <v>Los Altos, CA, USA</v>
      </c>
      <c r="O23" s="71" t="str">
        <f>'Stakeholder list'!P28</f>
        <v>Donor</v>
      </c>
      <c r="P23" s="71" t="str">
        <f>'Stakeholder list'!Q28</f>
        <v/>
      </c>
      <c r="Q23" s="73" t="str">
        <f>'Stakeholder list'!R28</f>
        <v>https://www.packard.org/</v>
      </c>
      <c r="R23" s="71" t="str">
        <f>'Stakeholder list'!S28</f>
        <v>Potential partner in Brazil. Explore a range of sustainable territorial development  approaches and lessons lerned funding initiatives in Brazil. </v>
      </c>
      <c r="S23" s="71" t="str">
        <f>'Stakeholder list'!T28</f>
        <v>—</v>
      </c>
      <c r="T23" s="71" t="str">
        <f>'Stakeholder list'!U28</f>
        <v/>
      </c>
      <c r="U23" s="71" t="str">
        <f>'Stakeholder list'!V28</f>
        <v/>
      </c>
      <c r="V23" s="71" t="str">
        <f>'Stakeholder list'!W28</f>
        <v/>
      </c>
      <c r="W23" s="71" t="str">
        <f>'Stakeholder list'!X28</f>
        <v/>
      </c>
    </row>
    <row r="24">
      <c r="A24" s="71">
        <f>'Stakeholder list'!B29</f>
        <v>23</v>
      </c>
      <c r="B24" s="71" t="str">
        <f>'Stakeholder list'!C29</f>
        <v>Alcoa</v>
      </c>
      <c r="C24" s="71" t="str">
        <f>'Stakeholder list'!D29</f>
        <v>Private sector</v>
      </c>
      <c r="D24" s="71" t="str">
        <f>'Stakeholder list'!E29</f>
        <v>Private companies (large / leading)</v>
      </c>
      <c r="E24" s="71" t="str">
        <f>'Stakeholder list'!F29</f>
        <v>A global company in the aluminum sector (bauxite, alumina, and aluminum); it contributes to the transition through industrial decarbonization, ESG standards, traceability, and engagement with supply chains and the territories where it operates.</v>
      </c>
      <c r="F24" s="71" t="str">
        <f>'Stakeholder list'!G29</f>
        <v>Cross-border / international</v>
      </c>
      <c r="G24" s="71" t="str">
        <f>'Stakeholder list'!H29</f>
        <v>Buildings &amp; Transport, Energy</v>
      </c>
      <c r="H24" s="71" t="str">
        <f>'Stakeholder list'!I29</f>
        <v>Amazonia</v>
      </c>
      <c r="I24" s="71" t="str">
        <f>'Stakeholder list'!J29</f>
        <v>Coastal&amp;maritime</v>
      </c>
      <c r="J24" s="71" t="str">
        <f>'Stakeholder list'!K29</f>
        <v>Operational footprint and risk management are most consistently associated with Amazonia. Coastal maritime appears as a secondary interface through logistics and export corridors rather than a dedicated conservation program.</v>
      </c>
      <c r="K24" s="71" t="str">
        <f>'Stakeholder list'!L29</f>
        <v>Strategic partner, Implementation capacity (delivery)</v>
      </c>
      <c r="L24" s="71" t="str">
        <f>'Stakeholder list'!M29</f>
        <v>Downstream</v>
      </c>
      <c r="M24" s="71" t="str">
        <f>'Stakeholder list'!N29</f>
        <v>Co-funding partner</v>
      </c>
      <c r="N24" s="71" t="str">
        <f>'Stakeholder list'!O29</f>
        <v>Pittsburgh, PA, USA</v>
      </c>
      <c r="O24" s="71" t="str">
        <f>'Stakeholder list'!P29</f>
        <v>Donor</v>
      </c>
      <c r="P24" s="71" t="str">
        <f>'Stakeholder list'!Q29</f>
        <v/>
      </c>
      <c r="Q24" s="73" t="str">
        <f>'Stakeholder list'!R29</f>
        <v>https://www.alcoa.com/brasil/pt</v>
      </c>
      <c r="R24" s="71" t="str">
        <f>'Stakeholder list'!S29</f>
        <v>Could be a potential co-funding partner in targeted geographies, linkes to IKF impact areas. </v>
      </c>
      <c r="S24" s="71" t="str">
        <f>'Stakeholder list'!T29</f>
        <v>—</v>
      </c>
      <c r="T24" s="71" t="str">
        <f>'Stakeholder list'!U29</f>
        <v/>
      </c>
      <c r="U24" s="71" t="str">
        <f>'Stakeholder list'!V29</f>
        <v/>
      </c>
      <c r="V24" s="71" t="str">
        <f>'Stakeholder list'!W29</f>
        <v/>
      </c>
      <c r="W24" s="71" t="str">
        <f>'Stakeholder list'!X29</f>
        <v/>
      </c>
    </row>
    <row r="25">
      <c r="A25" s="71">
        <f>'Stakeholder list'!B30</f>
        <v>24</v>
      </c>
      <c r="B25" s="71" t="str">
        <f>'Stakeholder list'!C30</f>
        <v>Norsk Hydro ASA (Hydro)</v>
      </c>
      <c r="C25" s="71" t="str">
        <f>'Stakeholder list'!D30</f>
        <v>Private sector</v>
      </c>
      <c r="D25" s="71" t="str">
        <f>'Stakeholder list'!E30</f>
        <v>Private companies (large / leading)</v>
      </c>
      <c r="E25" s="71" t="str">
        <f>'Stakeholder list'!F30</f>
        <v>A global leader in aluminum and renewable energy; it can drive the transition through circular economy practices, emissions reductions, materials innovation, socio-environmental governance, and investment in low-carbon value chains.</v>
      </c>
      <c r="F25" s="71" t="str">
        <f>'Stakeholder list'!G30</f>
        <v>Cross-border / international</v>
      </c>
      <c r="G25" s="71" t="str">
        <f>'Stakeholder list'!H30</f>
        <v>Buildings &amp; Transport, Energy</v>
      </c>
      <c r="H25" s="71" t="str">
        <f>'Stakeholder list'!I30</f>
        <v>Amazonia</v>
      </c>
      <c r="I25" s="71" t="str">
        <f>'Stakeholder list'!J30</f>
        <v>Coastal&amp;maritime</v>
      </c>
      <c r="J25" s="71" t="str">
        <f>'Stakeholder list'!K30</f>
        <v>Industrial and mining assets create a strong linkage to Amazonia. Coastal maritime is included as a secondary lens due to transport and port logistics interfaces that shape impacts and mitigation needs.</v>
      </c>
      <c r="K25" s="71" t="str">
        <f>'Stakeholder list'!L30</f>
        <v>Strategic partner, Implementation capacity (delivery)</v>
      </c>
      <c r="L25" s="71" t="str">
        <f>'Stakeholder list'!M30</f>
        <v>Midstream</v>
      </c>
      <c r="M25" s="71" t="str">
        <f>'Stakeholder list'!N30</f>
        <v>Co-funding partner</v>
      </c>
      <c r="N25" s="71" t="str">
        <f>'Stakeholder list'!O30</f>
        <v>Oslo, Norway</v>
      </c>
      <c r="O25" s="71" t="str">
        <f>'Stakeholder list'!P30</f>
        <v>Donor</v>
      </c>
      <c r="P25" s="71" t="str">
        <f>'Stakeholder list'!Q30</f>
        <v/>
      </c>
      <c r="Q25" s="73" t="str">
        <f>'Stakeholder list'!R30</f>
        <v>https://www.hydro.com/br</v>
      </c>
      <c r="R25" s="71" t="str">
        <f>'Stakeholder list'!S30</f>
        <v>Could be a potential co-funding partner in targeted geographies, linkes to IKF impact areas. </v>
      </c>
      <c r="S25" s="71" t="str">
        <f>'Stakeholder list'!T30</f>
        <v>—</v>
      </c>
      <c r="T25" s="71" t="str">
        <f>'Stakeholder list'!U30</f>
        <v/>
      </c>
      <c r="U25" s="71" t="str">
        <f>'Stakeholder list'!V30</f>
        <v/>
      </c>
      <c r="V25" s="71" t="str">
        <f>'Stakeholder list'!W30</f>
        <v/>
      </c>
      <c r="W25" s="71" t="str">
        <f>'Stakeholder list'!X30</f>
        <v/>
      </c>
    </row>
    <row r="26">
      <c r="A26" s="71">
        <f>'Stakeholder list'!B31</f>
        <v>25</v>
      </c>
      <c r="B26" s="71" t="str">
        <f>'Stakeholder list'!C31</f>
        <v>Instituto Socioambiental (ISA)</v>
      </c>
      <c r="C26" s="71" t="str">
        <f>'Stakeholder list'!D31</f>
        <v>Civil Society Organization (CSO)</v>
      </c>
      <c r="D26" s="71" t="str">
        <f>'Stakeholder list'!E31</f>
        <v>Local implementers</v>
      </c>
      <c r="E26" s="71" t="str">
        <f>'Stakeholder list'!F31</f>
        <v>A Brazilian NGO (OSCIP) that defends the rights and territories of Indigenous Peoples and traditional communities and protects socio-environmental heritage; it contributes through advocacy, monitoring, and integrated solutions for conservation and socio-environmental justice.</v>
      </c>
      <c r="F26" s="71" t="str">
        <f>'Stakeholder list'!G31</f>
        <v>National</v>
      </c>
      <c r="G26" s="71" t="str">
        <f>'Stakeholder list'!H31</f>
        <v>"Land, Food and Forest"</v>
      </c>
      <c r="H26" s="71" t="str">
        <f>'Stakeholder list'!I31</f>
        <v>Amazonia</v>
      </c>
      <c r="I26" s="71" t="str">
        <f>'Stakeholder list'!J31</f>
        <v>Mata&amp;Atlântica</v>
      </c>
      <c r="J26" s="71" t="str">
        <f>'Stakeholder list'!K31</f>
        <v>Long running rights and territorial governance work is strongly anchored in Amazonia. A secondary linkage to Mata Atlântica reflects additional initiatives and advocacy connected to that biome domain.</v>
      </c>
      <c r="K26" s="71" t="str">
        <f>'Stakeholder list'!L31</f>
        <v>Project developer / Implementer, Community legitimacy / proximate leadership</v>
      </c>
      <c r="L26" s="71" t="str">
        <f>'Stakeholder list'!M31</f>
        <v>Midstream</v>
      </c>
      <c r="M26" s="71" t="str">
        <f>'Stakeholder list'!N31</f>
        <v>Implementing partner</v>
      </c>
      <c r="N26" s="71" t="str">
        <f>'Stakeholder list'!O31</f>
        <v>São Paulo, SP, Brazil</v>
      </c>
      <c r="O26" s="71" t="str">
        <f>'Stakeholder list'!P31</f>
        <v>Grantee</v>
      </c>
      <c r="P26" s="71" t="str">
        <f>'Stakeholder list'!Q31</f>
        <v>Adriana Ramos (Policy Director)</v>
      </c>
      <c r="Q26" s="71" t="str">
        <f>'Stakeholder list'!R31</f>
        <v/>
      </c>
      <c r="R26" s="71" t="str">
        <f>'Stakeholder list'!S31</f>
        <v/>
      </c>
      <c r="S26" s="71" t="str">
        <f>'Stakeholder list'!T31</f>
        <v>—</v>
      </c>
      <c r="T26" s="71" t="str">
        <f>'Stakeholder list'!U31</f>
        <v/>
      </c>
      <c r="U26" s="71" t="str">
        <f>'Stakeholder list'!V31</f>
        <v/>
      </c>
      <c r="V26" s="71" t="str">
        <f>'Stakeholder list'!W31</f>
        <v/>
      </c>
      <c r="W26" s="71" t="str">
        <f>'Stakeholder list'!X31</f>
        <v/>
      </c>
    </row>
    <row r="27">
      <c r="A27" s="71">
        <f>'Stakeholder list'!B32</f>
        <v>26</v>
      </c>
      <c r="B27" s="71" t="str">
        <f>'Stakeholder list'!C32</f>
        <v>The Nature Conservancy Brasil (TNC Brasil)</v>
      </c>
      <c r="C27" s="71" t="str">
        <f>'Stakeholder list'!D32</f>
        <v>Civil Society Organization (CSO)</v>
      </c>
      <c r="D27" s="71" t="str">
        <f>'Stakeholder list'!E32</f>
        <v>Local implementers</v>
      </c>
      <c r="E27" s="71" t="str">
        <f>'Stakeholder list'!F32</f>
        <v>A science-based international conservation NGO; it develops local solutions to protect land and water, restore ecosystems, and design financing/arrangements for conservation, connecting the public and private sectors and communities.</v>
      </c>
      <c r="F27" s="71" t="str">
        <f>'Stakeholder list'!G32</f>
        <v>Cross-border / international</v>
      </c>
      <c r="G27" s="71" t="str">
        <f>'Stakeholder list'!H32</f>
        <v>"Land, Food and Forest"</v>
      </c>
      <c r="H27" s="71" t="str">
        <f>'Stakeholder list'!I32</f>
        <v>Amazonia, Cerrado</v>
      </c>
      <c r="I27" s="71" t="str">
        <f>'Stakeholder list'!J32</f>
        <v>Mata&amp;Atlântica, Coastal&amp;maritime</v>
      </c>
      <c r="J27" s="71" t="str">
        <f>'Stakeholder list'!K32</f>
        <v>Territorial programs and partnerships are most robust in Amazonia and Cerrado. Mata Atlântica and Coastal maritime appear through complementary water, restoration and coastal linked initiatives.</v>
      </c>
      <c r="K27" s="71" t="str">
        <f>'Stakeholder list'!L32</f>
        <v>Strategic partner, Project developer / Implementer</v>
      </c>
      <c r="L27" s="71" t="str">
        <f>'Stakeholder list'!M32</f>
        <v>Upstream</v>
      </c>
      <c r="M27" s="71" t="str">
        <f>'Stakeholder list'!N32</f>
        <v>Grant recipient</v>
      </c>
      <c r="N27" s="71" t="str">
        <f>'Stakeholder list'!O32</f>
        <v>Arlington, VA, USA</v>
      </c>
      <c r="O27" s="71" t="str">
        <f>'Stakeholder list'!P32</f>
        <v>Grantee</v>
      </c>
      <c r="P27" s="71" t="str">
        <f>'Stakeholder list'!Q32</f>
        <v/>
      </c>
      <c r="Q27" s="71" t="str">
        <f>'Stakeholder list'!R32</f>
        <v/>
      </c>
      <c r="R27" s="71" t="str">
        <f>'Stakeholder list'!S32</f>
        <v/>
      </c>
      <c r="S27" s="71" t="str">
        <f>'Stakeholder list'!T32</f>
        <v>—</v>
      </c>
      <c r="T27" s="71" t="str">
        <f>'Stakeholder list'!U32</f>
        <v/>
      </c>
      <c r="U27" s="71" t="str">
        <f>'Stakeholder list'!V32</f>
        <v/>
      </c>
      <c r="V27" s="71" t="str">
        <f>'Stakeholder list'!W32</f>
        <v/>
      </c>
      <c r="W27" s="71" t="str">
        <f>'Stakeholder list'!X32</f>
        <v/>
      </c>
    </row>
    <row r="28">
      <c r="A28" s="71">
        <f>'Stakeholder list'!B33</f>
        <v>27</v>
      </c>
      <c r="B28" s="71" t="str">
        <f>'Stakeholder list'!C33</f>
        <v>Conservação Internacional Brasil (CI-Brasil)</v>
      </c>
      <c r="C28" s="71" t="str">
        <f>'Stakeholder list'!D33</f>
        <v>Civil Society Organization (CSO)</v>
      </c>
      <c r="D28" s="71" t="str">
        <f>'Stakeholder list'!E33</f>
        <v>Local implementers</v>
      </c>
      <c r="E28" s="71" t="str">
        <f>'Stakeholder list'!F33</f>
        <v>A conservation NGO that works with nature-based solutions, science, and partnerships to protect biodiversity and promote human well-being; it operates through field projects, policy work, and coalitions.</v>
      </c>
      <c r="F28" s="71" t="str">
        <f>'Stakeholder list'!G33</f>
        <v>Cross-border / international</v>
      </c>
      <c r="G28" s="71" t="str">
        <f>'Stakeholder list'!H33</f>
        <v>"Land, Food and Forest"</v>
      </c>
      <c r="H28" s="71" t="str">
        <f>'Stakeholder list'!I33</f>
        <v>Amazonia, Cerrado</v>
      </c>
      <c r="I28" s="71" t="str">
        <f>'Stakeholder list'!J33</f>
        <v>Mata&amp;Atlântica, Coastal&amp;maritime</v>
      </c>
      <c r="J28" s="71" t="str">
        <f>'Stakeholder list'!K33</f>
        <v>Multi biome conservation portfolio with recurring emphasis on Amazonia and Cerrado. Mata Atlântica and Coastal maritime show up through specific projects and themes rather than being the main program anchors.</v>
      </c>
      <c r="K28" s="71" t="str">
        <f>'Stakeholder list'!L33</f>
        <v>Strategic partner, Project developer / Implementer</v>
      </c>
      <c r="L28" s="71" t="str">
        <f>'Stakeholder list'!M33</f>
        <v>Upstream</v>
      </c>
      <c r="M28" s="71" t="str">
        <f>'Stakeholder list'!N33</f>
        <v>Grant recipient</v>
      </c>
      <c r="N28" s="71" t="str">
        <f>'Stakeholder list'!O33</f>
        <v>Arlington, VA, USA</v>
      </c>
      <c r="O28" s="71" t="str">
        <f>'Stakeholder list'!P33</f>
        <v>Grantee</v>
      </c>
      <c r="P28" s="71" t="str">
        <f>'Stakeholder list'!Q33</f>
        <v/>
      </c>
      <c r="Q28" s="71" t="str">
        <f>'Stakeholder list'!R33</f>
        <v/>
      </c>
      <c r="R28" s="71" t="str">
        <f>'Stakeholder list'!S33</f>
        <v/>
      </c>
      <c r="S28" s="71" t="str">
        <f>'Stakeholder list'!T33</f>
        <v>—</v>
      </c>
      <c r="T28" s="71" t="str">
        <f>'Stakeholder list'!U33</f>
        <v/>
      </c>
      <c r="U28" s="71" t="str">
        <f>'Stakeholder list'!V33</f>
        <v/>
      </c>
      <c r="V28" s="71" t="str">
        <f>'Stakeholder list'!W33</f>
        <v/>
      </c>
      <c r="W28" s="71" t="str">
        <f>'Stakeholder list'!X33</f>
        <v/>
      </c>
    </row>
    <row r="29">
      <c r="A29" s="71">
        <f>'Stakeholder list'!B34</f>
        <v>28</v>
      </c>
      <c r="B29" s="71" t="str">
        <f>'Stakeholder list'!C34</f>
        <v>WWF-Brasil</v>
      </c>
      <c r="C29" s="71" t="str">
        <f>'Stakeholder list'!D34</f>
        <v>Civil Society Organization (CSO)</v>
      </c>
      <c r="D29" s="71" t="str">
        <f>'Stakeholder list'!E34</f>
        <v>Local implementers</v>
      </c>
      <c r="E29" s="71" t="str">
        <f>'Stakeholder list'!F34</f>
        <v>A Brazilian NGO dedicated to conserving life and promoting a future in which society and nature live in harmony; it contributes through advocacy, projects, social mobilization, and influence on supply chains and public policy.</v>
      </c>
      <c r="F29" s="71" t="str">
        <f>'Stakeholder list'!G34</f>
        <v>Cross-border / international</v>
      </c>
      <c r="G29" s="71" t="str">
        <f>'Stakeholder list'!H34</f>
        <v>"Land, Food and Forest"</v>
      </c>
      <c r="H29" s="71" t="str">
        <f>'Stakeholder list'!I34</f>
        <v>Amazonia, Cerrado</v>
      </c>
      <c r="I29" s="71" t="str">
        <f>'Stakeholder list'!J34</f>
        <v>Pantanal, Mata&amp;Atlântica</v>
      </c>
      <c r="J29" s="71" t="str">
        <f>'Stakeholder list'!K34</f>
        <v>High visibility campaigns and projects frequently center on Amazonia and Cerrado. Pantanal and Mata Atlântica remain relevant through water, biodiversity and climate risk agendas in a secondary layer.</v>
      </c>
      <c r="K29" s="71" t="str">
        <f>'Stakeholder list'!L34</f>
        <v>Strategic partner, Project developer / Implementer, Policy influence / regulation</v>
      </c>
      <c r="L29" s="71" t="str">
        <f>'Stakeholder list'!M34</f>
        <v>Midstream</v>
      </c>
      <c r="M29" s="71" t="str">
        <f>'Stakeholder list'!N34</f>
        <v>Grant recipient</v>
      </c>
      <c r="N29" s="71" t="str">
        <f>'Stakeholder list'!O34</f>
        <v>Brasília, DF, Brazil</v>
      </c>
      <c r="O29" s="71" t="str">
        <f>'Stakeholder list'!P34</f>
        <v>Grantee</v>
      </c>
      <c r="P29" s="71" t="str">
        <f>'Stakeholder list'!Q34</f>
        <v/>
      </c>
      <c r="Q29" s="71" t="str">
        <f>'Stakeholder list'!R34</f>
        <v/>
      </c>
      <c r="R29" s="71" t="str">
        <f>'Stakeholder list'!S34</f>
        <v/>
      </c>
      <c r="S29" s="71" t="str">
        <f>'Stakeholder list'!T34</f>
        <v>—</v>
      </c>
      <c r="T29" s="71" t="str">
        <f>'Stakeholder list'!U34</f>
        <v/>
      </c>
      <c r="U29" s="71" t="str">
        <f>'Stakeholder list'!V34</f>
        <v/>
      </c>
      <c r="V29" s="71" t="str">
        <f>'Stakeholder list'!W34</f>
        <v/>
      </c>
      <c r="W29" s="71" t="str">
        <f>'Stakeholder list'!X34</f>
        <v/>
      </c>
    </row>
    <row r="30">
      <c r="A30" s="71">
        <f>'Stakeholder list'!B35</f>
        <v>29</v>
      </c>
      <c r="B30" s="71" t="str">
        <f>'Stakeholder list'!C35</f>
        <v>WRI Brasil</v>
      </c>
      <c r="C30" s="71" t="str">
        <f>'Stakeholder list'!D35</f>
        <v>Civil Society Organization (CSO)</v>
      </c>
      <c r="D30" s="71" t="str">
        <f>'Stakeholder list'!E35</f>
        <v>Monitoring, Evaluation, and Learning</v>
      </c>
      <c r="E30" s="71" t="str">
        <f>'Stakeholder list'!F35</f>
        <v>A non-profit applied research and convening institution that turns evidence into action on climate, forests, cities, and land use; it supports public policy, planning, and implementation of low-carbon solutions through multi-stakeholder partnerships.</v>
      </c>
      <c r="F30" s="71" t="str">
        <f>'Stakeholder list'!G35</f>
        <v>Cross-border / international</v>
      </c>
      <c r="G30" s="71" t="str">
        <f>'Stakeholder list'!H35</f>
        <v>Buildings &amp; Transport, Energy, "Land, Food and Forest"</v>
      </c>
      <c r="H30" s="71" t="str">
        <f>'Stakeholder list'!I35</f>
        <v>Amazonia, Caatinga, Cerrado</v>
      </c>
      <c r="I30" s="71" t="str">
        <f>'Stakeholder list'!J35</f>
        <v>Mata&amp;Atlântica</v>
      </c>
      <c r="J30" s="71" t="str">
        <f>'Stakeholder list'!K35</f>
        <v>Evidence to action work often focuses on land use and transition challenges most salient in Amazonia, Cerrado and Caatinga. Mata Atlântica appears through cities, infrastructure and policy work that intersects that biome footprint.</v>
      </c>
      <c r="K30" s="71" t="str">
        <f>'Stakeholder list'!L35</f>
        <v>Strategic partner, Technical assistance / research, Policy influence / regulation</v>
      </c>
      <c r="L30" s="71" t="str">
        <f>'Stakeholder list'!M35</f>
        <v>Upstream</v>
      </c>
      <c r="M30" s="71" t="str">
        <f>'Stakeholder list'!N35</f>
        <v>Grant recipient</v>
      </c>
      <c r="N30" s="71" t="str">
        <f>'Stakeholder list'!O35</f>
        <v>São Paulo, SP, Brazil</v>
      </c>
      <c r="O30" s="71" t="str">
        <f>'Stakeholder list'!P35</f>
        <v>Grantee</v>
      </c>
      <c r="P30" s="71" t="str">
        <f>'Stakeholder list'!Q35</f>
        <v/>
      </c>
      <c r="Q30" s="71" t="str">
        <f>'Stakeholder list'!R35</f>
        <v/>
      </c>
      <c r="R30" s="71" t="str">
        <f>'Stakeholder list'!S35</f>
        <v/>
      </c>
      <c r="S30" s="71" t="str">
        <f>'Stakeholder list'!T35</f>
        <v>Evidence-based research, data platforms and evaluation of climate and land-use policies</v>
      </c>
      <c r="T30" s="71" t="str">
        <f>'Stakeholder list'!U35</f>
        <v/>
      </c>
      <c r="U30" s="71" t="str">
        <f>'Stakeholder list'!V35</f>
        <v/>
      </c>
      <c r="V30" s="71" t="str">
        <f>'Stakeholder list'!W35</f>
        <v/>
      </c>
      <c r="W30" s="71" t="str">
        <f>'Stakeholder list'!X35</f>
        <v/>
      </c>
    </row>
    <row r="31">
      <c r="A31" s="71">
        <f>'Stakeholder list'!B36</f>
        <v>30</v>
      </c>
      <c r="B31" s="71" t="str">
        <f>'Stakeholder list'!C36</f>
        <v>Fundação SOS Mata Atlântica</v>
      </c>
      <c r="C31" s="71" t="str">
        <f>'Stakeholder list'!D36</f>
        <v>Funders</v>
      </c>
      <c r="D31" s="71" t="str">
        <f>'Stakeholder list'!E36</f>
        <v>Monitoring, Evaluation, and Learning</v>
      </c>
      <c r="E31" s="71" t="str">
        <f>'Stakeholder list'!F36</f>
        <v>A Brazilian environmental NGO whose mission is to inspire society to defend the Atlantic Forest; it works through monitoring, studies, demonstration projects, communication, and advocacy in public policy and territorial governance.</v>
      </c>
      <c r="F31" s="71" t="str">
        <f>'Stakeholder list'!G36</f>
        <v>National</v>
      </c>
      <c r="G31" s="71" t="str">
        <f>'Stakeholder list'!H36</f>
        <v>"Land, Food and Forest"</v>
      </c>
      <c r="H31" s="71" t="str">
        <f>'Stakeholder list'!I36</f>
        <v/>
      </c>
      <c r="I31" s="71" t="str">
        <f>'Stakeholder list'!J36</f>
        <v>Mata&amp;Atlântica</v>
      </c>
      <c r="J31" s="71" t="str">
        <f>'Stakeholder list'!K36</f>
        <v>Mission, monitoring and advocacy are explicitly dedicated to Mata Atlântica. This single biome focus is consistent across programs and public positioning.</v>
      </c>
      <c r="K31" s="71" t="str">
        <f>'Stakeholder list'!L36</f>
        <v>Policy influence / regulation, Implementation capacity (delivery)</v>
      </c>
      <c r="L31" s="71" t="str">
        <f>'Stakeholder list'!M36</f>
        <v>Midstream</v>
      </c>
      <c r="M31" s="71" t="str">
        <f>'Stakeholder list'!N36</f>
        <v>Grant recipient</v>
      </c>
      <c r="N31" s="71" t="str">
        <f>'Stakeholder list'!O36</f>
        <v>São Paulo, SP, Brazil</v>
      </c>
      <c r="O31" s="71" t="str">
        <f>'Stakeholder list'!P36</f>
        <v>Grantee</v>
      </c>
      <c r="P31" s="71" t="str">
        <f>'Stakeholder list'!Q36</f>
        <v/>
      </c>
      <c r="Q31" s="71" t="str">
        <f>'Stakeholder list'!R36</f>
        <v/>
      </c>
      <c r="R31" s="71" t="str">
        <f>'Stakeholder list'!S36</f>
        <v/>
      </c>
      <c r="S31" s="71" t="str">
        <f>'Stakeholder list'!T36</f>
        <v>Environmental monitoring of Atlantic Forest; deforestation tracking and advocacy indicators</v>
      </c>
      <c r="T31" s="71" t="str">
        <f>'Stakeholder list'!U36</f>
        <v/>
      </c>
      <c r="U31" s="71" t="str">
        <f>'Stakeholder list'!V36</f>
        <v/>
      </c>
      <c r="V31" s="71" t="str">
        <f>'Stakeholder list'!W36</f>
        <v/>
      </c>
      <c r="W31" s="71" t="str">
        <f>'Stakeholder list'!X36</f>
        <v/>
      </c>
    </row>
    <row r="32">
      <c r="A32" s="71">
        <f>'Stakeholder list'!B37</f>
        <v>31</v>
      </c>
      <c r="B32" s="71" t="str">
        <f>'Stakeholder list'!C37</f>
        <v>Empresa Brasileira de Pesquisa Agropecuária (Embrapa)</v>
      </c>
      <c r="C32" s="71" t="str">
        <f>'Stakeholder list'!D37</f>
        <v>Public sector</v>
      </c>
      <c r="D32" s="71" t="str">
        <f>'Stakeholder list'!E37</f>
        <v>Research centers</v>
      </c>
      <c r="E32" s="71" t="str">
        <f>'Stakeholder list'!F37</f>
        <v>A federal public company for agricultural R&amp;D; it contributes to systemic transition through innovation and technology diffusion for sustainable agriculture, climate adaptation, productivity, and reduced environmental impacts.</v>
      </c>
      <c r="F32" s="71" t="str">
        <f>'Stakeholder list'!G37</f>
        <v>National</v>
      </c>
      <c r="G32" s="71" t="str">
        <f>'Stakeholder list'!H37</f>
        <v>"Land, Food and Forest"</v>
      </c>
      <c r="H32" s="71" t="str">
        <f>'Stakeholder list'!I37</f>
        <v>Amazonia, Caatinga, Cerrado</v>
      </c>
      <c r="I32" s="71" t="str">
        <f>'Stakeholder list'!J37</f>
        <v>Mata&amp;Atlântica, Pantanal, Pampa, Coastal&amp;maritime</v>
      </c>
      <c r="J32" s="71" t="str">
        <f>'Stakeholder list'!K37</f>
        <v>National agricultural research network with core innovation and adaptation agendas strongly present in Cerrado, Caatinga and Amazonia. Other biomes are covered institutionally but are less central in the most recurrent transition narratives.</v>
      </c>
      <c r="K32" s="71" t="str">
        <f>'Stakeholder list'!L37</f>
        <v>Technical assistance / research, Territorial anchor</v>
      </c>
      <c r="L32" s="71" t="str">
        <f>'Stakeholder list'!M37</f>
        <v>Upstream</v>
      </c>
      <c r="M32" s="71" t="str">
        <f>'Stakeholder list'!N37</f>
        <v>Strategic partner</v>
      </c>
      <c r="N32" s="71" t="str">
        <f>'Stakeholder list'!O37</f>
        <v>Brasília, DF, Brazil</v>
      </c>
      <c r="O32" s="71" t="str">
        <f>'Stakeholder list'!P37</f>
        <v>Grantee</v>
      </c>
      <c r="P32" s="71" t="str">
        <f>'Stakeholder list'!Q37</f>
        <v/>
      </c>
      <c r="Q32" s="71" t="str">
        <f>'Stakeholder list'!R37</f>
        <v/>
      </c>
      <c r="R32" s="71" t="str">
        <f>'Stakeholder list'!S37</f>
        <v/>
      </c>
      <c r="S32" s="71" t="str">
        <f>'Stakeholder list'!T37</f>
        <v>—</v>
      </c>
      <c r="T32" s="71" t="str">
        <f>'Stakeholder list'!U37</f>
        <v/>
      </c>
      <c r="U32" s="71" t="str">
        <f>'Stakeholder list'!V37</f>
        <v/>
      </c>
      <c r="V32" s="71" t="str">
        <f>'Stakeholder list'!W37</f>
        <v/>
      </c>
      <c r="W32" s="71" t="str">
        <f>'Stakeholder list'!X37</f>
        <v/>
      </c>
    </row>
    <row r="33" ht="69.75" customHeight="1">
      <c r="A33" s="71">
        <f>'Stakeholder list'!B38</f>
        <v>32</v>
      </c>
      <c r="B33" s="71" t="str">
        <f>'Stakeholder list'!C38</f>
        <v>Sistema S</v>
      </c>
      <c r="C33" s="71" t="str">
        <f>'Stakeholder list'!D38</f>
        <v>Others</v>
      </c>
      <c r="D33" s="71" t="str">
        <f>'Stakeholder list'!E38</f>
        <v>Industry platforms and sectoral initiatives</v>
      </c>
      <c r="E33" s="71" t="str">
        <f>'Stakeholder list'!F38</f>
        <v>A set of entities providing vocational training and public-interest services (e.g., SENAI, SESI, SESC, SENAC, etc.) financed through sectoral contributions; it contributes to the transition through training, reskilling, and innovation for work and productivity in strategic sectors.</v>
      </c>
      <c r="F33" s="71" t="str">
        <f>'Stakeholder list'!G38</f>
        <v>National</v>
      </c>
      <c r="G33" s="71" t="str">
        <f>'Stakeholder list'!H38</f>
        <v>Buildings &amp; Transport, Energy</v>
      </c>
      <c r="H33" s="71" t="str">
        <f>'Stakeholder list'!I38</f>
        <v/>
      </c>
      <c r="I33" s="71" t="str">
        <f>'Stakeholder list'!J38</f>
        <v/>
      </c>
      <c r="J33" s="71" t="str">
        <f>'Stakeholder list'!K38</f>
        <v>Delivery model is based on training networks, sectoral services and local units. Programs are not defined by biomes, so biome tagging is not operationally meaningful.</v>
      </c>
      <c r="K33" s="71" t="str">
        <f>'Stakeholder list'!L38</f>
        <v>Implementation capacity (delivery), Technical assistance / research</v>
      </c>
      <c r="L33" s="71" t="str">
        <f>'Stakeholder list'!M38</f>
        <v>Midstream</v>
      </c>
      <c r="M33" s="71" t="str">
        <f>'Stakeholder list'!N38</f>
        <v>Strategic partner</v>
      </c>
      <c r="N33" s="71" t="str">
        <f>'Stakeholder list'!O38</f>
        <v>Brasília, DF, Brazil</v>
      </c>
      <c r="O33" s="71" t="str">
        <f>'Stakeholder list'!P38</f>
        <v>Grantee</v>
      </c>
      <c r="P33" s="71" t="str">
        <f>'Stakeholder list'!Q38</f>
        <v/>
      </c>
      <c r="Q33" s="71" t="str">
        <f>'Stakeholder list'!R38</f>
        <v/>
      </c>
      <c r="R33" s="71" t="str">
        <f>'Stakeholder list'!S38</f>
        <v/>
      </c>
      <c r="S33" s="71" t="str">
        <f>'Stakeholder list'!T38</f>
        <v>—</v>
      </c>
      <c r="T33" s="71" t="str">
        <f>'Stakeholder list'!U38</f>
        <v/>
      </c>
      <c r="U33" s="71" t="str">
        <f>'Stakeholder list'!V38</f>
        <v/>
      </c>
      <c r="V33" s="71" t="str">
        <f>'Stakeholder list'!W38</f>
        <v/>
      </c>
      <c r="W33" s="71" t="str">
        <f>'Stakeholder list'!X38</f>
        <v/>
      </c>
    </row>
    <row r="34">
      <c r="A34" s="71">
        <f>'Stakeholder list'!B39</f>
        <v>33</v>
      </c>
      <c r="B34" s="71" t="str">
        <f>'Stakeholder list'!C39</f>
        <v>Instituto Brasileiro do Meio Ambiente e dos Recursos Naturais Renováveis (Ibama)</v>
      </c>
      <c r="C34" s="71" t="str">
        <f>'Stakeholder list'!D39</f>
        <v>Public sector</v>
      </c>
      <c r="D34" s="71" t="str">
        <f>'Stakeholder list'!E39</f>
        <v>Public agencies and regulators</v>
      </c>
      <c r="E34" s="71" t="str">
        <f>'Stakeholder list'!F39</f>
        <v>A federal agency responsible for environmental enforcement and control; it contributes to systemic transition through regulation, licensing, monitoring, combating environmental crimes, and inducing socio-environmental compliance.</v>
      </c>
      <c r="F34" s="71" t="str">
        <f>'Stakeholder list'!G39</f>
        <v>National</v>
      </c>
      <c r="G34" s="71" t="str">
        <f>'Stakeholder list'!H39</f>
        <v>Energy, "Land, Food and Forest"</v>
      </c>
      <c r="H34" s="71" t="str">
        <f>'Stakeholder list'!I39</f>
        <v>Amazonia, Caatinga, Cerrado</v>
      </c>
      <c r="I34" s="71" t="str">
        <f>'Stakeholder list'!J39</f>
        <v>Mata&amp;Atlântica, Pantanal, Pampa, Coastal&amp;maritime</v>
      </c>
      <c r="J34" s="71" t="str">
        <f>'Stakeholder list'!K39</f>
        <v>National enforcement and licensing mandate covers all biomes, but pressure hotspots make Amazonia, Cerrado and Caatinga the most recurrent references. Remaining biomes are still within scope, yet not a distinctive program delimitation.</v>
      </c>
      <c r="K34" s="71" t="str">
        <f>'Stakeholder list'!L39</f>
        <v>Policy influence / regulation, Territorial anchor</v>
      </c>
      <c r="L34" s="71" t="str">
        <f>'Stakeholder list'!M39</f>
        <v>Upstream</v>
      </c>
      <c r="M34" s="71" t="str">
        <f>'Stakeholder list'!N39</f>
        <v>Strategic partner</v>
      </c>
      <c r="N34" s="71" t="str">
        <f>'Stakeholder list'!O39</f>
        <v>Brasília, DF, Brazil</v>
      </c>
      <c r="O34" s="71" t="str">
        <f>'Stakeholder list'!P39</f>
        <v>Grantee</v>
      </c>
      <c r="P34" s="71" t="str">
        <f>'Stakeholder list'!Q39</f>
        <v/>
      </c>
      <c r="Q34" s="71" t="str">
        <f>'Stakeholder list'!R39</f>
        <v/>
      </c>
      <c r="R34" s="71" t="str">
        <f>'Stakeholder list'!S39</f>
        <v/>
      </c>
      <c r="S34" s="71" t="str">
        <f>'Stakeholder list'!T39</f>
        <v>—</v>
      </c>
      <c r="T34" s="71" t="str">
        <f>'Stakeholder list'!U39</f>
        <v/>
      </c>
      <c r="U34" s="71" t="str">
        <f>'Stakeholder list'!V39</f>
        <v/>
      </c>
      <c r="V34" s="71" t="str">
        <f>'Stakeholder list'!W39</f>
        <v/>
      </c>
      <c r="W34" s="71" t="str">
        <f>'Stakeholder list'!X39</f>
        <v/>
      </c>
    </row>
    <row r="35">
      <c r="A35" s="71">
        <f>'Stakeholder list'!B40</f>
        <v>34</v>
      </c>
      <c r="B35" s="71" t="str">
        <f>'Stakeholder list'!C40</f>
        <v>Instituto Chico Mendes de Conservação da Biodiversidade (ICMBio)</v>
      </c>
      <c r="C35" s="71" t="str">
        <f>'Stakeholder list'!D40</f>
        <v>Public sector</v>
      </c>
      <c r="D35" s="71" t="str">
        <f>'Stakeholder list'!E40</f>
        <v>Public agencies and regulators</v>
      </c>
      <c r="E35" s="71" t="str">
        <f>'Stakeholder list'!F40</f>
        <v>A federal agency responsible for managing and overseeing federal protected areas; it contributes through biodiversity protection, restoration, protected-area management, and implementation of conservation policies.</v>
      </c>
      <c r="F35" s="71" t="str">
        <f>'Stakeholder list'!G40</f>
        <v>National</v>
      </c>
      <c r="G35" s="71" t="str">
        <f>'Stakeholder list'!H40</f>
        <v>"Land, Food and Forest"</v>
      </c>
      <c r="H35" s="71" t="str">
        <f>'Stakeholder list'!I40</f>
        <v>Amazonia, Caatinga, Cerrado</v>
      </c>
      <c r="I35" s="71" t="str">
        <f>'Stakeholder list'!J40</f>
        <v>Mata&amp;Atlântica, Pantanal, Pampa, Coastal&amp;maritime</v>
      </c>
      <c r="J35" s="71" t="str">
        <f>'Stakeholder list'!K40</f>
        <v>Manages federal protected areas across all biomes by mandate. The primary tags reflect where protected area scale and conflict pressures are most pronounced, while other biomes remain part of nationwide coverage.</v>
      </c>
      <c r="K35" s="71" t="str">
        <f>'Stakeholder list'!L40</f>
        <v>Policy influence / regulation, Territorial anchor</v>
      </c>
      <c r="L35" s="71" t="str">
        <f>'Stakeholder list'!M40</f>
        <v>Upstream</v>
      </c>
      <c r="M35" s="71" t="str">
        <f>'Stakeholder list'!N40</f>
        <v>Strategic partner</v>
      </c>
      <c r="N35" s="71" t="str">
        <f>'Stakeholder list'!O40</f>
        <v>Brasília, DF, Brazil</v>
      </c>
      <c r="O35" s="71" t="str">
        <f>'Stakeholder list'!P40</f>
        <v>Grantee</v>
      </c>
      <c r="P35" s="71" t="str">
        <f>'Stakeholder list'!Q40</f>
        <v/>
      </c>
      <c r="Q35" s="71" t="str">
        <f>'Stakeholder list'!R40</f>
        <v/>
      </c>
      <c r="R35" s="71" t="str">
        <f>'Stakeholder list'!S40</f>
        <v/>
      </c>
      <c r="S35" s="71" t="str">
        <f>'Stakeholder list'!T40</f>
        <v>—</v>
      </c>
      <c r="T35" s="71" t="str">
        <f>'Stakeholder list'!U40</f>
        <v/>
      </c>
      <c r="U35" s="71" t="str">
        <f>'Stakeholder list'!V40</f>
        <v/>
      </c>
      <c r="V35" s="71" t="str">
        <f>'Stakeholder list'!W40</f>
        <v/>
      </c>
      <c r="W35" s="71" t="str">
        <f>'Stakeholder list'!X40</f>
        <v/>
      </c>
    </row>
    <row r="36">
      <c r="A36" s="71">
        <f>'Stakeholder list'!B41</f>
        <v>35</v>
      </c>
      <c r="B36" s="71" t="str">
        <f>'Stakeholder list'!C41</f>
        <v>Instituto do Homem e Meio Ambiente da Amazônia (Imazon)</v>
      </c>
      <c r="C36" s="71" t="str">
        <f>'Stakeholder list'!D41</f>
        <v>Civil Society Organization (CSO)</v>
      </c>
      <c r="D36" s="71" t="str">
        <f>'Stakeholder list'!E41</f>
        <v>Monitoring, Evaluation, and Learning</v>
      </c>
      <c r="E36" s="71" t="str">
        <f>'Stakeholder list'!F41</f>
        <v>A non-profit scientific institution that produces research and solutions for forest conservation and socio-environmental development in the Amazon; it works with data, monitoring, policy evaluation, and projects.</v>
      </c>
      <c r="F36" s="71" t="str">
        <f>'Stakeholder list'!G41</f>
        <v>Regional</v>
      </c>
      <c r="G36" s="71" t="str">
        <f>'Stakeholder list'!H41</f>
        <v>"Land, Food and Forest"</v>
      </c>
      <c r="H36" s="71" t="str">
        <f>'Stakeholder list'!I41</f>
        <v>Amazonia</v>
      </c>
      <c r="I36" s="71" t="str">
        <f>'Stakeholder list'!J41</f>
        <v/>
      </c>
      <c r="J36" s="71" t="str">
        <f>'Stakeholder list'!K41</f>
        <v>Research and monitoring are explicitly focused on Amazonia forest dynamics and governance. There is no recurring second biome portfolio line in the institute core work.</v>
      </c>
      <c r="K36" s="71" t="str">
        <f>'Stakeholder list'!L41</f>
        <v>Technical assistance / research, Data / MRV / platforms</v>
      </c>
      <c r="L36" s="71" t="str">
        <f>'Stakeholder list'!M41</f>
        <v>Upstream</v>
      </c>
      <c r="M36" s="71" t="str">
        <f>'Stakeholder list'!N41</f>
        <v>Grant recipient</v>
      </c>
      <c r="N36" s="71" t="str">
        <f>'Stakeholder list'!O41</f>
        <v>Belém, PA, Brazil</v>
      </c>
      <c r="O36" s="71" t="str">
        <f>'Stakeholder list'!P41</f>
        <v>Grantee</v>
      </c>
      <c r="P36" s="71" t="str">
        <f>'Stakeholder list'!Q41</f>
        <v/>
      </c>
      <c r="Q36" s="71" t="str">
        <f>'Stakeholder list'!R41</f>
        <v/>
      </c>
      <c r="R36" s="71" t="str">
        <f>'Stakeholder list'!S41</f>
        <v/>
      </c>
      <c r="S36" s="71" t="str">
        <f>'Stakeholder list'!T41</f>
        <v>Amazon deforestation monitoring, MRV data systems and policy evaluation (PRODES/SAD)</v>
      </c>
      <c r="T36" s="71" t="str">
        <f>'Stakeholder list'!U41</f>
        <v/>
      </c>
      <c r="U36" s="71" t="str">
        <f>'Stakeholder list'!V41</f>
        <v/>
      </c>
      <c r="V36" s="71" t="str">
        <f>'Stakeholder list'!W41</f>
        <v/>
      </c>
      <c r="W36" s="71" t="str">
        <f>'Stakeholder list'!X41</f>
        <v/>
      </c>
    </row>
    <row r="37">
      <c r="A37" s="71">
        <f>'Stakeholder list'!B42</f>
        <v>36</v>
      </c>
      <c r="B37" s="71" t="str">
        <f>'Stakeholder list'!C42</f>
        <v>Fundação Amazonas Sustentável (FAS)</v>
      </c>
      <c r="C37" s="71" t="str">
        <f>'Stakeholder list'!D42</f>
        <v>Funders</v>
      </c>
      <c r="D37" s="71" t="str">
        <f>'Stakeholder list'!E42</f>
        <v>Local implementers</v>
      </c>
      <c r="E37" s="71" t="str">
        <f>'Stakeholder list'!F42</f>
        <v>A non-profit civil society organization working for sustainable development in the Amazon through community programs and multi-stakeholder partnerships; it contributes to the transition through conservation combined with productive inclusion and territorial strengthening.</v>
      </c>
      <c r="F37" s="71" t="str">
        <f>'Stakeholder list'!G42</f>
        <v>State-level</v>
      </c>
      <c r="G37" s="71" t="str">
        <f>'Stakeholder list'!H42</f>
        <v>"Land, Food and Forest"</v>
      </c>
      <c r="H37" s="71" t="str">
        <f>'Stakeholder list'!I42</f>
        <v>Amazonia</v>
      </c>
      <c r="I37" s="71" t="str">
        <f>'Stakeholder list'!J42</f>
        <v/>
      </c>
      <c r="J37" s="71" t="str">
        <f>'Stakeholder list'!K42</f>
        <v>Community based conservation and livelihoods programs are designed for Amazonia territories. Territorial focus is stable and central to the operating model.</v>
      </c>
      <c r="K37" s="71" t="str">
        <f>'Stakeholder list'!L42</f>
        <v>Project developer / Implementer, Territorial anchor</v>
      </c>
      <c r="L37" s="71" t="str">
        <f>'Stakeholder list'!M42</f>
        <v>Midstream</v>
      </c>
      <c r="M37" s="71" t="str">
        <f>'Stakeholder list'!N42</f>
        <v>Grant recipient</v>
      </c>
      <c r="N37" s="71" t="str">
        <f>'Stakeholder list'!O42</f>
        <v>Manaus, AM, Brazil</v>
      </c>
      <c r="O37" s="71" t="str">
        <f>'Stakeholder list'!P42</f>
        <v>Grantee</v>
      </c>
      <c r="P37" s="71" t="str">
        <f>'Stakeholder list'!Q42</f>
        <v/>
      </c>
      <c r="Q37" s="71" t="str">
        <f>'Stakeholder list'!R42</f>
        <v/>
      </c>
      <c r="R37" s="71" t="str">
        <f>'Stakeholder list'!S42</f>
        <v/>
      </c>
      <c r="S37" s="71" t="str">
        <f>'Stakeholder list'!T42</f>
        <v>—</v>
      </c>
      <c r="T37" s="71" t="str">
        <f>'Stakeholder list'!U42</f>
        <v/>
      </c>
      <c r="U37" s="71" t="str">
        <f>'Stakeholder list'!V42</f>
        <v/>
      </c>
      <c r="V37" s="71" t="str">
        <f>'Stakeholder list'!W42</f>
        <v/>
      </c>
      <c r="W37" s="71" t="str">
        <f>'Stakeholder list'!X42</f>
        <v/>
      </c>
    </row>
    <row r="38">
      <c r="A38" s="71">
        <f>'Stakeholder list'!B43</f>
        <v>37</v>
      </c>
      <c r="B38" s="71" t="str">
        <f>'Stakeholder list'!C43</f>
        <v>Instituto de Manejo e Certificação Florestal e Agrícola (Imaflora)</v>
      </c>
      <c r="C38" s="71" t="str">
        <f>'Stakeholder list'!D43</f>
        <v>Civil Society Organization (CSO)</v>
      </c>
      <c r="D38" s="71" t="str">
        <f>'Stakeholder list'!E43</f>
        <v>Monitoring, Evaluation, and Learning</v>
      </c>
      <c r="E38" s="71" t="str">
        <f>'Stakeholder list'!F43</f>
        <v>A non-profit civil association that promotes change in the agricultural and forestry sectors; it works with certifications, technical assistance, projects, and market/policy mechanisms for sustainable land use and emissions reduction.</v>
      </c>
      <c r="F38" s="71" t="str">
        <f>'Stakeholder list'!G43</f>
        <v>National</v>
      </c>
      <c r="G38" s="71" t="str">
        <f>'Stakeholder list'!H43</f>
        <v>"Land, Food and Forest"</v>
      </c>
      <c r="H38" s="71" t="str">
        <f>'Stakeholder list'!I43</f>
        <v>Amazonia, Caatinga, Cerrado</v>
      </c>
      <c r="I38" s="71" t="str">
        <f>'Stakeholder list'!J43</f>
        <v>Mata&amp;Atlântica, Pampa</v>
      </c>
      <c r="J38" s="71" t="str">
        <f>'Stakeholder list'!K43</f>
        <v>Certification and technical assistance in forest and agricultural supply chains are most recurrent in Amazonia and Cerrado, with added relevance in Caatinga through land use and production systems. Mata Atlântica and Pampa appear through specific chains and operating footprints.</v>
      </c>
      <c r="K38" s="71" t="str">
        <f>'Stakeholder list'!L43</f>
        <v>Technical assistance / research, Data / MRV / platforms</v>
      </c>
      <c r="L38" s="71" t="str">
        <f>'Stakeholder list'!M43</f>
        <v>Upstream</v>
      </c>
      <c r="M38" s="71" t="str">
        <f>'Stakeholder list'!N43</f>
        <v>Grant recipient</v>
      </c>
      <c r="N38" s="71" t="str">
        <f>'Stakeholder list'!O43</f>
        <v>Piracicaba, SP, Brazil</v>
      </c>
      <c r="O38" s="71" t="str">
        <f>'Stakeholder list'!P43</f>
        <v>Grantee</v>
      </c>
      <c r="P38" s="71" t="str">
        <f>'Stakeholder list'!Q43</f>
        <v/>
      </c>
      <c r="Q38" s="71" t="str">
        <f>'Stakeholder list'!R43</f>
        <v/>
      </c>
      <c r="R38" s="71" t="str">
        <f>'Stakeholder list'!S43</f>
        <v/>
      </c>
      <c r="S38" s="71" t="str">
        <f>'Stakeholder list'!T43</f>
        <v>Carbon monitoring, socio-environmental certification and MRV for agricultural/forest supply chains</v>
      </c>
      <c r="T38" s="71" t="str">
        <f>'Stakeholder list'!U43</f>
        <v/>
      </c>
      <c r="U38" s="71" t="str">
        <f>'Stakeholder list'!V43</f>
        <v/>
      </c>
      <c r="V38" s="71" t="str">
        <f>'Stakeholder list'!W43</f>
        <v/>
      </c>
      <c r="W38" s="71" t="str">
        <f>'Stakeholder list'!X43</f>
        <v/>
      </c>
    </row>
    <row r="39">
      <c r="A39" s="71">
        <f>'Stakeholder list'!B44</f>
        <v>38</v>
      </c>
      <c r="B39" s="71" t="str">
        <f>'Stakeholder list'!C44</f>
        <v>Fundação Roberto Marinho</v>
      </c>
      <c r="C39" s="71" t="str">
        <f>'Stakeholder list'!D44</f>
        <v>Funders</v>
      </c>
      <c r="D39" s="71" t="str">
        <f>'Stakeholder list'!E44</f>
        <v>Philanthropy foundations</v>
      </c>
      <c r="E39" s="71" t="str">
        <f>'Stakeholder list'!F44</f>
        <v>A private foundation that runs projects in education, culture, heritage, and the environment; it contributes to the transition through educational innovation, communication/engagement, and capacity building for sustainable development.</v>
      </c>
      <c r="F39" s="71" t="str">
        <f>'Stakeholder list'!G44</f>
        <v>National</v>
      </c>
      <c r="G39" s="71" t="str">
        <f>'Stakeholder list'!H44</f>
        <v>Buildings &amp; Transport, "Land, Food and Forest"</v>
      </c>
      <c r="H39" s="71" t="str">
        <f>'Stakeholder list'!I44</f>
        <v/>
      </c>
      <c r="I39" s="71" t="str">
        <f>'Stakeholder list'!J44</f>
        <v/>
      </c>
      <c r="J39" s="71" t="str">
        <f>'Stakeholder list'!K44</f>
        <v>Portfolio is broad and partnership driven across education and culture, with variable environmental projects. No stable biome based program boundary is consistently identifiable from this entry.</v>
      </c>
      <c r="K39" s="71" t="str">
        <f>'Stakeholder list'!L44</f>
        <v>Convenor/enablers, Implementation capacity (delivery)</v>
      </c>
      <c r="L39" s="71" t="str">
        <f>'Stakeholder list'!M44</f>
        <v>Midstream</v>
      </c>
      <c r="M39" s="71" t="str">
        <f>'Stakeholder list'!N44</f>
        <v>Strategic partner</v>
      </c>
      <c r="N39" s="71" t="str">
        <f>'Stakeholder list'!O44</f>
        <v>Rio de Janeiro, RJ, Brazil</v>
      </c>
      <c r="O39" s="71" t="str">
        <f>'Stakeholder list'!P44</f>
        <v>Re-granter</v>
      </c>
      <c r="P39" s="71" t="str">
        <f>'Stakeholder list'!Q44</f>
        <v>João Alegria (CEO)</v>
      </c>
      <c r="Q39" s="73" t="str">
        <f>'Stakeholder list'!R44</f>
        <v>https://www.frm.org.br/</v>
      </c>
      <c r="R39" s="71" t="str">
        <f>'Stakeholder list'!S44</f>
        <v>Could be a relevant partner to work on capacity building of vulnerable communities in Brazil.  They Work  in the whole country. Great capilarity</v>
      </c>
      <c r="S39" s="71" t="str">
        <f>'Stakeholder list'!T44</f>
        <v>—</v>
      </c>
      <c r="T39" s="71" t="str">
        <f>'Stakeholder list'!U44</f>
        <v/>
      </c>
      <c r="U39" s="71" t="str">
        <f>'Stakeholder list'!V44</f>
        <v/>
      </c>
      <c r="V39" s="71" t="str">
        <f>'Stakeholder list'!W44</f>
        <v/>
      </c>
      <c r="W39" s="71" t="str">
        <f>'Stakeholder list'!X44</f>
        <v/>
      </c>
    </row>
    <row r="40">
      <c r="A40" s="71">
        <f>'Stakeholder list'!B45</f>
        <v>39</v>
      </c>
      <c r="B40" s="71" t="str">
        <f>'Stakeholder list'!C45</f>
        <v>Instituto de Pesquisa Econômica Aplicada (Ipea)</v>
      </c>
      <c r="C40" s="71" t="str">
        <f>'Stakeholder list'!D45</f>
        <v>Public sector</v>
      </c>
      <c r="D40" s="71" t="str">
        <f>'Stakeholder list'!E45</f>
        <v>Monitoring, Evaluation, and Learning</v>
      </c>
      <c r="E40" s="71" t="str">
        <f>'Stakeholder list'!F45</f>
        <v>A federal public research foundation that provides technical support for the formulation and evaluation of public policies; it contributes through evidence, indicators, and economic analysis to design and improve transition and development agendas.</v>
      </c>
      <c r="F40" s="71" t="str">
        <f>'Stakeholder list'!G45</f>
        <v>National</v>
      </c>
      <c r="G40" s="71" t="str">
        <f>'Stakeholder list'!H45</f>
        <v/>
      </c>
      <c r="H40" s="71" t="str">
        <f>'Stakeholder list'!I45</f>
        <v/>
      </c>
      <c r="I40" s="71" t="str">
        <f>'Stakeholder list'!J45</f>
        <v/>
      </c>
      <c r="J40" s="71" t="str">
        <f>'Stakeholder list'!K45</f>
        <v>Produces national policy research, indicators and evaluation with sector based framing. Biomes are not used as the primary unit to organize outputs or operations.</v>
      </c>
      <c r="K40" s="71" t="str">
        <f>'Stakeholder list'!L45</f>
        <v>Technical assistance / research, Policy influence / regulation</v>
      </c>
      <c r="L40" s="71" t="str">
        <f>'Stakeholder list'!M45</f>
        <v>Upstream</v>
      </c>
      <c r="M40" s="71" t="str">
        <f>'Stakeholder list'!N45</f>
        <v>Strategic partner</v>
      </c>
      <c r="N40" s="71" t="str">
        <f>'Stakeholder list'!O45</f>
        <v>Brasília, DF, Brazil</v>
      </c>
      <c r="O40" s="71" t="str">
        <f>'Stakeholder list'!P45</f>
        <v>Grantee</v>
      </c>
      <c r="P40" s="71" t="str">
        <f>'Stakeholder list'!Q45</f>
        <v/>
      </c>
      <c r="Q40" s="71" t="str">
        <f>'Stakeholder list'!R45</f>
        <v/>
      </c>
      <c r="R40" s="71" t="str">
        <f>'Stakeholder list'!S45</f>
        <v/>
      </c>
      <c r="S40" s="71" t="str">
        <f>'Stakeholder list'!T45</f>
        <v>Public policy evaluation, socioeconomic indicators and evidence for low-carbon transitions</v>
      </c>
      <c r="T40" s="71" t="str">
        <f>'Stakeholder list'!U45</f>
        <v/>
      </c>
      <c r="U40" s="71" t="str">
        <f>'Stakeholder list'!V45</f>
        <v/>
      </c>
      <c r="V40" s="71" t="str">
        <f>'Stakeholder list'!W45</f>
        <v/>
      </c>
      <c r="W40" s="71" t="str">
        <f>'Stakeholder list'!X45</f>
        <v/>
      </c>
    </row>
    <row r="41">
      <c r="A41" s="71">
        <f>'Stakeholder list'!B46</f>
        <v>40</v>
      </c>
      <c r="B41" s="71" t="str">
        <f>'Stakeholder list'!C46</f>
        <v>Escola Nacional de Administração Pública (ENAP)</v>
      </c>
      <c r="C41" s="71" t="str">
        <f>'Stakeholder list'!D46</f>
        <v>Public sector</v>
      </c>
      <c r="D41" s="71" t="str">
        <f>'Stakeholder list'!E46</f>
        <v>Public agencies and regulators</v>
      </c>
      <c r="E41" s="71" t="str">
        <f>'Stakeholder list'!F46</f>
        <v>Federal school of government that trains civil servants, promotes innovation in public management, and strengthens state capacity for policy design, implementation, and evaluation.</v>
      </c>
      <c r="F41" s="71" t="str">
        <f>'Stakeholder list'!G46</f>
        <v>National</v>
      </c>
      <c r="G41" s="71" t="str">
        <f>'Stakeholder list'!H46</f>
        <v/>
      </c>
      <c r="H41" s="71" t="str">
        <f>'Stakeholder list'!I46</f>
        <v/>
      </c>
      <c r="I41" s="71" t="str">
        <f>'Stakeholder list'!J46</f>
        <v/>
      </c>
      <c r="J41" s="71" t="str">
        <f>'Stakeholder list'!K46</f>
        <v>Civil service training and innovation in public management are national and institution focused. Territorial framing follows government levels, not biome ecosystems.</v>
      </c>
      <c r="K41" s="71" t="str">
        <f>'Stakeholder list'!L46</f>
        <v>Technical assistance / research, Policy influence / regulation</v>
      </c>
      <c r="L41" s="71" t="str">
        <f>'Stakeholder list'!M46</f>
        <v>Upstream</v>
      </c>
      <c r="M41" s="71" t="str">
        <f>'Stakeholder list'!N46</f>
        <v>Strategic partner</v>
      </c>
      <c r="N41" s="71" t="str">
        <f>'Stakeholder list'!O46</f>
        <v>Brasília, DF, Brazil</v>
      </c>
      <c r="O41" s="71" t="str">
        <f>'Stakeholder list'!P46</f>
        <v>Grantee</v>
      </c>
      <c r="P41" s="71" t="str">
        <f>'Stakeholder list'!Q46</f>
        <v/>
      </c>
      <c r="Q41" s="71" t="str">
        <f>'Stakeholder list'!R46</f>
        <v/>
      </c>
      <c r="R41" s="71" t="str">
        <f>'Stakeholder list'!S46</f>
        <v/>
      </c>
      <c r="S41" s="71" t="str">
        <f>'Stakeholder list'!T46</f>
        <v>—</v>
      </c>
      <c r="T41" s="71" t="str">
        <f>'Stakeholder list'!U46</f>
        <v/>
      </c>
      <c r="U41" s="71" t="str">
        <f>'Stakeholder list'!V46</f>
        <v/>
      </c>
      <c r="V41" s="71" t="str">
        <f>'Stakeholder list'!W46</f>
        <v/>
      </c>
      <c r="W41" s="71" t="str">
        <f>'Stakeholder list'!X46</f>
        <v/>
      </c>
    </row>
    <row r="42">
      <c r="A42" s="71">
        <f>'Stakeholder list'!B47</f>
        <v>41</v>
      </c>
      <c r="B42" s="71" t="str">
        <f>'Stakeholder list'!C47</f>
        <v>Instituto Serzedello Corrêa (ISC/TCU)</v>
      </c>
      <c r="C42" s="71" t="str">
        <f>'Stakeholder list'!D47</f>
        <v>Public sector</v>
      </c>
      <c r="D42" s="71" t="str">
        <f>'Stakeholder list'!E47</f>
        <v>Public agencies and regulators</v>
      </c>
      <c r="E42" s="71" t="str">
        <f>'Stakeholder list'!F47</f>
        <v>TCU’s training and knowledge institute focused on improving public governance, accountability, integrity, and oversight through education, research, and dissemination of best practices.</v>
      </c>
      <c r="F42" s="71" t="str">
        <f>'Stakeholder list'!G47</f>
        <v>National</v>
      </c>
      <c r="G42" s="71" t="str">
        <f>'Stakeholder list'!H47</f>
        <v>Buildings &amp; Transport, Energy, "Land, Food and Forest"</v>
      </c>
      <c r="H42" s="71" t="str">
        <f>'Stakeholder list'!I47</f>
        <v/>
      </c>
      <c r="I42" s="71" t="str">
        <f>'Stakeholder list'!J47</f>
        <v/>
      </c>
      <c r="J42" s="71" t="str">
        <f>'Stakeholder list'!K47</f>
        <v>Strengthens governance and oversight through training and knowledge products. Work is transversal and not organized as place based biome initiatives.</v>
      </c>
      <c r="K42" s="71" t="str">
        <f>'Stakeholder list'!L47</f>
        <v>Technical assistance / research, Policy influence / regulation</v>
      </c>
      <c r="L42" s="71" t="str">
        <f>'Stakeholder list'!M47</f>
        <v>Upstream</v>
      </c>
      <c r="M42" s="71" t="str">
        <f>'Stakeholder list'!N47</f>
        <v>Strategic partner</v>
      </c>
      <c r="N42" s="71" t="str">
        <f>'Stakeholder list'!O47</f>
        <v>Brasília, DF, Brazil</v>
      </c>
      <c r="O42" s="71" t="str">
        <f>'Stakeholder list'!P47</f>
        <v>Grantee</v>
      </c>
      <c r="P42" s="71" t="str">
        <f>'Stakeholder list'!Q47</f>
        <v/>
      </c>
      <c r="Q42" s="71" t="str">
        <f>'Stakeholder list'!R47</f>
        <v/>
      </c>
      <c r="R42" s="71" t="str">
        <f>'Stakeholder list'!S47</f>
        <v/>
      </c>
      <c r="S42" s="71" t="str">
        <f>'Stakeholder list'!T47</f>
        <v>—</v>
      </c>
      <c r="T42" s="71" t="str">
        <f>'Stakeholder list'!U47</f>
        <v/>
      </c>
      <c r="U42" s="71" t="str">
        <f>'Stakeholder list'!V47</f>
        <v/>
      </c>
      <c r="V42" s="71" t="str">
        <f>'Stakeholder list'!W47</f>
        <v/>
      </c>
      <c r="W42" s="71" t="str">
        <f>'Stakeholder list'!X47</f>
        <v/>
      </c>
    </row>
    <row r="43">
      <c r="A43" s="71">
        <f>'Stakeholder list'!B48</f>
        <v>42</v>
      </c>
      <c r="B43" s="71" t="str">
        <f>'Stakeholder list'!C48</f>
        <v>Vale S.A.</v>
      </c>
      <c r="C43" s="71" t="str">
        <f>'Stakeholder list'!D48</f>
        <v>Private sector</v>
      </c>
      <c r="D43" s="71" t="str">
        <f>'Stakeholder list'!E48</f>
        <v>Private companies (large / leading)</v>
      </c>
      <c r="E43" s="71" t="str">
        <f>'Stakeholder list'!F48</f>
        <v>Global mining company; can influence systemic transition through responsible mining, decarbonization targets, supply-chain standards, territorial development investments, and stronger ESG governance.</v>
      </c>
      <c r="F43" s="71" t="str">
        <f>'Stakeholder list'!G48</f>
        <v>Cross-border / international</v>
      </c>
      <c r="G43" s="71" t="str">
        <f>'Stakeholder list'!H48</f>
        <v>Buildings &amp; Transport, Energy, "Land, Food and Forest"</v>
      </c>
      <c r="H43" s="71" t="str">
        <f>'Stakeholder list'!I48</f>
        <v>Amazonia, Cerrado</v>
      </c>
      <c r="I43" s="71" t="str">
        <f>'Stakeholder list'!J48</f>
        <v>Mata&amp;Atlântica</v>
      </c>
      <c r="J43" s="71" t="str">
        <f>'Stakeholder list'!K48</f>
        <v>Operational presence and risk exposure are significant in Amazonia and Cerrado, with additional material interfaces in Mata Atlântica states. Biome tagging reflects where footprint and supply chain dynamics concentrate.</v>
      </c>
      <c r="K43" s="71" t="str">
        <f>'Stakeholder list'!L48</f>
        <v>Strategic partner, Implementation capacity (delivery)</v>
      </c>
      <c r="L43" s="71" t="str">
        <f>'Stakeholder list'!M48</f>
        <v>Downstream</v>
      </c>
      <c r="M43" s="71" t="str">
        <f>'Stakeholder list'!N48</f>
        <v>Co-funding partner</v>
      </c>
      <c r="N43" s="71" t="str">
        <f>'Stakeholder list'!O48</f>
        <v>Rio de Janeiro, RJ, Brazil</v>
      </c>
      <c r="O43" s="71" t="str">
        <f>'Stakeholder list'!P48</f>
        <v>Donor</v>
      </c>
      <c r="P43" s="71" t="str">
        <f>'Stakeholder list'!Q48</f>
        <v/>
      </c>
      <c r="Q43" s="71" t="str">
        <f>'Stakeholder list'!R48</f>
        <v/>
      </c>
      <c r="R43" s="71" t="str">
        <f>'Stakeholder list'!S48</f>
        <v/>
      </c>
      <c r="S43" s="71" t="str">
        <f>'Stakeholder list'!T48</f>
        <v>—</v>
      </c>
      <c r="T43" s="71" t="str">
        <f>'Stakeholder list'!U48</f>
        <v/>
      </c>
      <c r="U43" s="71" t="str">
        <f>'Stakeholder list'!V48</f>
        <v/>
      </c>
      <c r="V43" s="71" t="str">
        <f>'Stakeholder list'!W48</f>
        <v/>
      </c>
      <c r="W43" s="71" t="str">
        <f>'Stakeholder list'!X48</f>
        <v/>
      </c>
    </row>
    <row r="44">
      <c r="A44" s="71">
        <f>'Stakeholder list'!B49</f>
        <v>43</v>
      </c>
      <c r="B44" s="71" t="str">
        <f>'Stakeholder list'!C49</f>
        <v>Suzano S.A.</v>
      </c>
      <c r="C44" s="71" t="str">
        <f>'Stakeholder list'!D49</f>
        <v>Private sector</v>
      </c>
      <c r="D44" s="71" t="str">
        <f>'Stakeholder list'!E49</f>
        <v>Private companies (large / leading)</v>
      </c>
      <c r="E44" s="71" t="str">
        <f>'Stakeholder list'!F49</f>
        <v>Leading pulp and paper company; contributes via sustainable forestry, restoration and bioeconomy pathways, low-carbon product innovation, and responsible value chains.</v>
      </c>
      <c r="F44" s="71" t="str">
        <f>'Stakeholder list'!G49</f>
        <v>Cross-border / international</v>
      </c>
      <c r="G44" s="71" t="str">
        <f>'Stakeholder list'!H49</f>
        <v>Energy, "Land, Food and Forest"</v>
      </c>
      <c r="H44" s="71" t="str">
        <f>'Stakeholder list'!I49</f>
        <v>Amazonia, Cerrado</v>
      </c>
      <c r="I44" s="71" t="str">
        <f>'Stakeholder list'!J49</f>
        <v>Mata&amp;Atlântica</v>
      </c>
      <c r="J44" s="71" t="str">
        <f>'Stakeholder list'!K49</f>
        <v>Forestry and industrial landscapes connect strongly to Cerrado and Amazonia, with a sustained linkage to Mata Atlântica domains through assets and restoration agendas. The tags follow managed landscape concentration and reporting focus.</v>
      </c>
      <c r="K44" s="71" t="str">
        <f>'Stakeholder list'!L49</f>
        <v>Strategic partner, Implementation capacity (delivery)</v>
      </c>
      <c r="L44" s="71" t="str">
        <f>'Stakeholder list'!M49</f>
        <v>Downstream</v>
      </c>
      <c r="M44" s="71" t="str">
        <f>'Stakeholder list'!N49</f>
        <v>Co-funding partner</v>
      </c>
      <c r="N44" s="71" t="str">
        <f>'Stakeholder list'!O49</f>
        <v>São Paulo, SP, Brazil</v>
      </c>
      <c r="O44" s="71" t="str">
        <f>'Stakeholder list'!P49</f>
        <v>Donor</v>
      </c>
      <c r="P44" s="71" t="str">
        <f>'Stakeholder list'!Q49</f>
        <v/>
      </c>
      <c r="Q44" s="71" t="str">
        <f>'Stakeholder list'!R49</f>
        <v/>
      </c>
      <c r="R44" s="71" t="str">
        <f>'Stakeholder list'!S49</f>
        <v/>
      </c>
      <c r="S44" s="71" t="str">
        <f>'Stakeholder list'!T49</f>
        <v>—</v>
      </c>
      <c r="T44" s="71" t="str">
        <f>'Stakeholder list'!U49</f>
        <v/>
      </c>
      <c r="U44" s="71" t="str">
        <f>'Stakeholder list'!V49</f>
        <v/>
      </c>
      <c r="V44" s="71" t="str">
        <f>'Stakeholder list'!W49</f>
        <v/>
      </c>
      <c r="W44" s="71" t="str">
        <f>'Stakeholder list'!X49</f>
        <v/>
      </c>
    </row>
    <row r="45">
      <c r="A45" s="71">
        <f>'Stakeholder list'!B50</f>
        <v>44</v>
      </c>
      <c r="B45" s="71" t="str">
        <f>'Stakeholder list'!C50</f>
        <v>Banco da Amazônia S.A. (BASA)</v>
      </c>
      <c r="C45" s="71" t="str">
        <f>'Stakeholder list'!D50</f>
        <v>Public sector</v>
      </c>
      <c r="D45" s="71" t="str">
        <f>'Stakeholder list'!E50</f>
        <v>Development banks</v>
      </c>
      <c r="E45" s="71" t="str">
        <f>'Stakeholder list'!F50</f>
        <v>Federal regional development bank focused on the Amazon; mobilizes credit and financial instruments for sustainable development, bioeconomy value chains, productive inclusion, and low-carbon land-use solutions.</v>
      </c>
      <c r="F45" s="71" t="str">
        <f>'Stakeholder list'!G50</f>
        <v>Regional</v>
      </c>
      <c r="G45" s="71" t="str">
        <f>'Stakeholder list'!H50</f>
        <v>Energy, "Land, Food and Forest"</v>
      </c>
      <c r="H45" s="71" t="str">
        <f>'Stakeholder list'!I50</f>
        <v>Amazonia</v>
      </c>
      <c r="I45" s="71" t="str">
        <f>'Stakeholder list'!J50</f>
        <v/>
      </c>
      <c r="J45" s="71" t="str">
        <f>'Stakeholder list'!K50</f>
        <v>Institutional mandate and financial instruments are oriented to Amazonia development and bioeconomy. This creates a clear single biome anchor for territorial focus.</v>
      </c>
      <c r="K45" s="71" t="str">
        <f>'Stakeholder list'!L50</f>
        <v>Capital provider / Financial intermediary, Territorial anchor</v>
      </c>
      <c r="L45" s="71" t="str">
        <f>'Stakeholder list'!M50</f>
        <v>Midstream</v>
      </c>
      <c r="M45" s="71" t="str">
        <f>'Stakeholder list'!N50</f>
        <v>Co-funding partner</v>
      </c>
      <c r="N45" s="71" t="str">
        <f>'Stakeholder list'!O50</f>
        <v>Belém, PA, Brazil</v>
      </c>
      <c r="O45" s="71" t="str">
        <f>'Stakeholder list'!P50</f>
        <v>Re-granter</v>
      </c>
      <c r="P45" s="71" t="str">
        <f>'Stakeholder list'!Q50</f>
        <v/>
      </c>
      <c r="Q45" s="71" t="str">
        <f>'Stakeholder list'!R50</f>
        <v/>
      </c>
      <c r="R45" s="71" t="str">
        <f>'Stakeholder list'!S50</f>
        <v/>
      </c>
      <c r="S45" s="71" t="str">
        <f>'Stakeholder list'!T50</f>
        <v>—</v>
      </c>
      <c r="T45" s="71" t="str">
        <f>'Stakeholder list'!U50</f>
        <v/>
      </c>
      <c r="U45" s="71" t="str">
        <f>'Stakeholder list'!V50</f>
        <v/>
      </c>
      <c r="V45" s="71" t="str">
        <f>'Stakeholder list'!W50</f>
        <v/>
      </c>
      <c r="W45" s="71" t="str">
        <f>'Stakeholder list'!X50</f>
        <v/>
      </c>
    </row>
    <row r="46">
      <c r="A46" s="71">
        <f>'Stakeholder list'!B51</f>
        <v>45</v>
      </c>
      <c r="B46" s="71" t="str">
        <f>'Stakeholder list'!C51</f>
        <v>Instituto de Conservação e Desenvolvimento Sustentável da Amazônia (IDESAM)</v>
      </c>
      <c r="C46" s="71" t="str">
        <f>'Stakeholder list'!D51</f>
        <v>Civil Society Organization (CSO)</v>
      </c>
      <c r="D46" s="71" t="str">
        <f>'Stakeholder list'!E51</f>
        <v>Local implementers</v>
      </c>
      <c r="E46" s="71" t="str">
        <f>'Stakeholder list'!F51</f>
        <v>Amazon-based NGO advancing conservation and sustainable development through territorial projects, sustainable value chains, and climate solutions (including finance mechanisms where applicable).</v>
      </c>
      <c r="F46" s="71" t="str">
        <f>'Stakeholder list'!G51</f>
        <v>National</v>
      </c>
      <c r="G46" s="71" t="str">
        <f>'Stakeholder list'!H51</f>
        <v>"Land, Food and Forest"</v>
      </c>
      <c r="H46" s="71" t="str">
        <f>'Stakeholder list'!I51</f>
        <v>Amazonia</v>
      </c>
      <c r="I46" s="71" t="str">
        <f>'Stakeholder list'!J51</f>
        <v/>
      </c>
      <c r="J46" s="71" t="str">
        <f>'Stakeholder list'!K51</f>
        <v>Projects and value chains are consistently rooted in Amazonia territories and forest positive development. The organization identity and program design are explicitly Amazon focused.</v>
      </c>
      <c r="K46" s="71" t="str">
        <f>'Stakeholder list'!L51</f>
        <v>Project developer / Implementer, Technical assistance / research</v>
      </c>
      <c r="L46" s="71" t="str">
        <f>'Stakeholder list'!M51</f>
        <v>Downstream</v>
      </c>
      <c r="M46" s="71" t="str">
        <f>'Stakeholder list'!N51</f>
        <v>Grant recipient</v>
      </c>
      <c r="N46" s="71" t="str">
        <f>'Stakeholder list'!O51</f>
        <v>Manaus, AM, Brazil</v>
      </c>
      <c r="O46" s="71" t="str">
        <f>'Stakeholder list'!P51</f>
        <v>Grantee</v>
      </c>
      <c r="P46" s="71" t="str">
        <f>'Stakeholder list'!Q51</f>
        <v>Paola Bleicker (Executive Director)</v>
      </c>
      <c r="Q46" s="73" t="str">
        <f>'Stakeholder list'!R51</f>
        <v>https://idesam.org/</v>
      </c>
      <c r="R46" s="71" t="str">
        <f>'Stakeholder list'!S51</f>
        <v>Relevant SIB partner in the Amazon.</v>
      </c>
      <c r="S46" s="71" t="str">
        <f>'Stakeholder list'!T51</f>
        <v>—</v>
      </c>
      <c r="T46" s="71" t="str">
        <f>'Stakeholder list'!U51</f>
        <v/>
      </c>
      <c r="U46" s="71" t="str">
        <f>'Stakeholder list'!V51</f>
        <v/>
      </c>
      <c r="V46" s="71" t="str">
        <f>'Stakeholder list'!W51</f>
        <v/>
      </c>
      <c r="W46" s="71" t="str">
        <f>'Stakeholder list'!X51</f>
        <v/>
      </c>
    </row>
    <row r="47">
      <c r="A47" s="71">
        <f>'Stakeholder list'!B52</f>
        <v>46</v>
      </c>
      <c r="B47" s="71" t="str">
        <f>'Stakeholder list'!C52</f>
        <v>Sitawi Finanças do Bem</v>
      </c>
      <c r="C47" s="71" t="str">
        <f>'Stakeholder list'!D52</f>
        <v>Civil Society Organization (CSO)</v>
      </c>
      <c r="D47" s="71" t="str">
        <f>'Stakeholder list'!E52</f>
        <v>Impact investors</v>
      </c>
      <c r="E47" s="71" t="str">
        <f>'Stakeholder list'!F52</f>
        <v>Nonprofit that structures and manages impact finance mechanisms (e.g., funds, blended finance, governance of philanthropic/impact resources), connecting capital to measurable socio-environmental outcomes.</v>
      </c>
      <c r="F47" s="71" t="str">
        <f>'Stakeholder list'!G52</f>
        <v>National</v>
      </c>
      <c r="G47" s="71" t="str">
        <f>'Stakeholder list'!H52</f>
        <v>Buildings &amp; Transport, Energy, "Land, Food and Forest"</v>
      </c>
      <c r="H47" s="71" t="str">
        <f>'Stakeholder list'!I52</f>
        <v/>
      </c>
      <c r="I47" s="71" t="str">
        <f>'Stakeholder list'!J52</f>
        <v/>
      </c>
      <c r="J47" s="71" t="str">
        <f>'Stakeholder list'!K52</f>
        <v>Structures impact finance and governance mechanisms across themes and sectors. Geographic reach depends on deals and partners, so no stable biome specific allocation logic is evident.</v>
      </c>
      <c r="K47" s="71" t="str">
        <f>'Stakeholder list'!L52</f>
        <v>Capital provider / Financial intermediary, Project developer / Implementer</v>
      </c>
      <c r="L47" s="71" t="str">
        <f>'Stakeholder list'!M52</f>
        <v>Midstream</v>
      </c>
      <c r="M47" s="71" t="str">
        <f>'Stakeholder list'!N52</f>
        <v>Grant recipient</v>
      </c>
      <c r="N47" s="71" t="str">
        <f>'Stakeholder list'!O52</f>
        <v>São Paulo, SP, Brazil</v>
      </c>
      <c r="O47" s="71" t="str">
        <f>'Stakeholder list'!P52</f>
        <v>Re-granter</v>
      </c>
      <c r="P47" s="71" t="str">
        <f>'Stakeholder list'!Q52</f>
        <v/>
      </c>
      <c r="Q47" s="71" t="str">
        <f>'Stakeholder list'!R52</f>
        <v/>
      </c>
      <c r="R47" s="71" t="str">
        <f>'Stakeholder list'!S52</f>
        <v/>
      </c>
      <c r="S47" s="71" t="str">
        <f>'Stakeholder list'!T52</f>
        <v>—</v>
      </c>
      <c r="T47" s="71" t="str">
        <f>'Stakeholder list'!U52</f>
        <v/>
      </c>
      <c r="U47" s="71" t="str">
        <f>'Stakeholder list'!V52</f>
        <v/>
      </c>
      <c r="V47" s="71" t="str">
        <f>'Stakeholder list'!W52</f>
        <v/>
      </c>
      <c r="W47" s="71" t="str">
        <f>'Stakeholder list'!X52</f>
        <v/>
      </c>
    </row>
    <row r="48">
      <c r="A48" s="71">
        <f>'Stakeholder list'!B53</f>
        <v>47</v>
      </c>
      <c r="B48" s="71" t="str">
        <f>'Stakeholder list'!C53</f>
        <v>Din4mo</v>
      </c>
      <c r="C48" s="71" t="str">
        <f>'Stakeholder list'!D53</f>
        <v>Private sector</v>
      </c>
      <c r="D48" s="71" t="str">
        <f>'Stakeholder list'!E53</f>
        <v>Impact investors</v>
      </c>
      <c r="E48" s="71" t="str">
        <f>'Stakeholder list'!F53</f>
        <v>Impact investor/venture builder that mobilizes capital and supports impact ventures with strategy and investment, helping scale solutions aligned with inclusive and low-carbon development.</v>
      </c>
      <c r="F48" s="71" t="str">
        <f>'Stakeholder list'!G53</f>
        <v>National</v>
      </c>
      <c r="G48" s="71" t="str">
        <f>'Stakeholder list'!H53</f>
        <v>Buildings &amp; Transport, Energy, "Land, Food and Forest"</v>
      </c>
      <c r="H48" s="71" t="str">
        <f>'Stakeholder list'!I53</f>
        <v/>
      </c>
      <c r="I48" s="71" t="str">
        <f>'Stakeholder list'!J53</f>
        <v/>
      </c>
      <c r="J48" s="71" t="str">
        <f>'Stakeholder list'!K53</f>
        <v>Invests and builds ventures by impact thesis and market opportunity across Brazil. Portfolio is not disclosed as a biome delimited strategy.</v>
      </c>
      <c r="K48" s="71" t="str">
        <f>'Stakeholder list'!L53</f>
        <v>Capital provider / Financial intermediary</v>
      </c>
      <c r="L48" s="71" t="str">
        <f>'Stakeholder list'!M53</f>
        <v>Midstream</v>
      </c>
      <c r="M48" s="71" t="str">
        <f>'Stakeholder list'!N53</f>
        <v>Grant recipient</v>
      </c>
      <c r="N48" s="71" t="str">
        <f>'Stakeholder list'!O53</f>
        <v>São Paulo, SP, Brazil</v>
      </c>
      <c r="O48" s="71" t="str">
        <f>'Stakeholder list'!P53</f>
        <v>Re-granter</v>
      </c>
      <c r="P48" s="71" t="str">
        <f>'Stakeholder list'!Q53</f>
        <v/>
      </c>
      <c r="Q48" s="71" t="str">
        <f>'Stakeholder list'!R53</f>
        <v/>
      </c>
      <c r="R48" s="71" t="str">
        <f>'Stakeholder list'!S53</f>
        <v/>
      </c>
      <c r="S48" s="71" t="str">
        <f>'Stakeholder list'!T53</f>
        <v>—</v>
      </c>
      <c r="T48" s="71" t="str">
        <f>'Stakeholder list'!U53</f>
        <v/>
      </c>
      <c r="U48" s="71" t="str">
        <f>'Stakeholder list'!V53</f>
        <v/>
      </c>
      <c r="V48" s="71" t="str">
        <f>'Stakeholder list'!W53</f>
        <v/>
      </c>
      <c r="W48" s="71" t="str">
        <f>'Stakeholder list'!X53</f>
        <v/>
      </c>
    </row>
    <row r="49">
      <c r="A49" s="71">
        <f>'Stakeholder list'!B54</f>
        <v>48</v>
      </c>
      <c r="B49" s="71" t="str">
        <f>'Stakeholder list'!C54</f>
        <v>Artemisia</v>
      </c>
      <c r="C49" s="71" t="str">
        <f>'Stakeholder list'!D54</f>
        <v>Civil Society Organization (CSO)</v>
      </c>
      <c r="D49" s="71" t="str">
        <f>'Stakeholder list'!E54</f>
        <v>Local implementers</v>
      </c>
      <c r="E49" s="71" t="str">
        <f>'Stakeholder list'!F54</f>
        <v>Nonprofit accelerator and ecosystem builder for impact businesses in Brazil; strengthens entrepreneurs and scalable models that address inequality and socio-environmental challenges.</v>
      </c>
      <c r="F49" s="71" t="str">
        <f>'Stakeholder list'!G54</f>
        <v>National</v>
      </c>
      <c r="G49" s="71" t="str">
        <f>'Stakeholder list'!H54</f>
        <v>Buildings &amp; Transport</v>
      </c>
      <c r="H49" s="71" t="str">
        <f>'Stakeholder list'!I54</f>
        <v/>
      </c>
      <c r="I49" s="71" t="str">
        <f>'Stakeholder list'!J54</f>
        <v/>
      </c>
      <c r="J49" s="71" t="str">
        <f>'Stakeholder list'!K54</f>
        <v>Accelerates impact businesses through programs and networks, mostly organized by target population and business model. It does not consistently categorize its work by biome.</v>
      </c>
      <c r="K49" s="71" t="str">
        <f>'Stakeholder list'!L54</f>
        <v>Convenor/enablers, Implementation capacity (delivery)</v>
      </c>
      <c r="L49" s="71" t="str">
        <f>'Stakeholder list'!M54</f>
        <v>Midstream</v>
      </c>
      <c r="M49" s="71" t="str">
        <f>'Stakeholder list'!N54</f>
        <v>Grant recipient</v>
      </c>
      <c r="N49" s="71" t="str">
        <f>'Stakeholder list'!O54</f>
        <v>São Paulo, SP, Brazil</v>
      </c>
      <c r="O49" s="71" t="str">
        <f>'Stakeholder list'!P54</f>
        <v>Grantee</v>
      </c>
      <c r="P49" s="71" t="str">
        <f>'Stakeholder list'!Q54</f>
        <v>Priscila Martins (Co-Director)</v>
      </c>
      <c r="Q49" s="73" t="str">
        <f>'Stakeholder list'!R54</f>
        <v>https://artemisia.org.br/</v>
      </c>
      <c r="R49" s="71" t="str">
        <f>'Stakeholder list'!S54</f>
        <v>Great partner to implement SIB strategies in Brazil. </v>
      </c>
      <c r="S49" s="71" t="str">
        <f>'Stakeholder list'!T54</f>
        <v>—</v>
      </c>
      <c r="T49" s="71" t="str">
        <f>'Stakeholder list'!U54</f>
        <v/>
      </c>
      <c r="U49" s="71" t="str">
        <f>'Stakeholder list'!V54</f>
        <v/>
      </c>
      <c r="V49" s="71" t="str">
        <f>'Stakeholder list'!W54</f>
        <v/>
      </c>
      <c r="W49" s="71" t="str">
        <f>'Stakeholder list'!X54</f>
        <v/>
      </c>
    </row>
    <row r="50">
      <c r="A50" s="71">
        <f>'Stakeholder list'!B55</f>
        <v>49</v>
      </c>
      <c r="B50" s="71" t="str">
        <f>'Stakeholder list'!C55</f>
        <v>Instituto de Cidadania Empresarial (ICE)</v>
      </c>
      <c r="C50" s="71" t="str">
        <f>'Stakeholder list'!D55</f>
        <v>Civil Society Organization (CSO)</v>
      </c>
      <c r="D50" s="71" t="str">
        <f>'Stakeholder list'!E55</f>
        <v>Think tanks</v>
      </c>
      <c r="E50" s="71" t="str">
        <f>'Stakeholder list'!F55</f>
        <v>Civil society organization that convenes business leaders and partners to foster corporate citizenship, social innovation, and multi-stakeholder collaboration for systemic change.</v>
      </c>
      <c r="F50" s="71" t="str">
        <f>'Stakeholder list'!G55</f>
        <v>National</v>
      </c>
      <c r="G50" s="71" t="str">
        <f>'Stakeholder list'!H55</f>
        <v/>
      </c>
      <c r="H50" s="71" t="str">
        <f>'Stakeholder list'!I55</f>
        <v/>
      </c>
      <c r="I50" s="71" t="str">
        <f>'Stakeholder list'!J55</f>
        <v/>
      </c>
      <c r="J50" s="71" t="str">
        <f>'Stakeholder list'!K55</f>
        <v>Convening and corporate citizenship work is agenda and network driven. It is not implemented through territorially bounded biome programs.</v>
      </c>
      <c r="K50" s="71" t="str">
        <f>'Stakeholder list'!L55</f>
        <v>Convenor/enablers, Technical assistance / research</v>
      </c>
      <c r="L50" s="71" t="str">
        <f>'Stakeholder list'!M55</f>
        <v>Upstream</v>
      </c>
      <c r="M50" s="71" t="str">
        <f>'Stakeholder list'!N55</f>
        <v>Grant recipient</v>
      </c>
      <c r="N50" s="71" t="str">
        <f>'Stakeholder list'!O55</f>
        <v>São Paulo, SP, Brazil</v>
      </c>
      <c r="O50" s="71" t="str">
        <f>'Stakeholder list'!P55</f>
        <v>Grantee</v>
      </c>
      <c r="P50" s="71" t="str">
        <f>'Stakeholder list'!Q55</f>
        <v>Carla Duprat (Execiutive Director) </v>
      </c>
      <c r="Q50" s="73" t="str">
        <f>'Stakeholder list'!R55</f>
        <v>https://ice.org.br/</v>
      </c>
      <c r="R50" s="71" t="str">
        <f>'Stakeholder list'!S55</f>
        <v>Relevant partner in the SIB arena in Brazil.</v>
      </c>
      <c r="S50" s="71" t="str">
        <f>'Stakeholder list'!T55</f>
        <v>—</v>
      </c>
      <c r="T50" s="71" t="str">
        <f>'Stakeholder list'!U55</f>
        <v/>
      </c>
      <c r="U50" s="71" t="str">
        <f>'Stakeholder list'!V55</f>
        <v/>
      </c>
      <c r="V50" s="71" t="str">
        <f>'Stakeholder list'!W55</f>
        <v/>
      </c>
      <c r="W50" s="71" t="str">
        <f>'Stakeholder list'!X55</f>
        <v/>
      </c>
    </row>
    <row r="51">
      <c r="A51" s="71">
        <f>'Stakeholder list'!B56</f>
        <v>50</v>
      </c>
      <c r="B51" s="71" t="str">
        <f>'Stakeholder list'!C56</f>
        <v>Impact Hub Network</v>
      </c>
      <c r="C51" s="71" t="str">
        <f>'Stakeholder list'!D56</f>
        <v>Private sector</v>
      </c>
      <c r="D51" s="71" t="str">
        <f>'Stakeholder list'!E56</f>
        <v>Multi-stakeholder initiatives</v>
      </c>
      <c r="E51" s="71" t="str">
        <f>'Stakeholder list'!F56</f>
        <v>Global network of impact innovation hubs (coworking + programs) that supports entrepreneurship, collaboration, and the scaling of socio-environmental solutions.</v>
      </c>
      <c r="F51" s="71" t="str">
        <f>'Stakeholder list'!G56</f>
        <v>Cross-border / international</v>
      </c>
      <c r="G51" s="71" t="str">
        <f>'Stakeholder list'!H56</f>
        <v>Buildings &amp; Transport, Energy, "Land, Food and Forest"</v>
      </c>
      <c r="H51" s="71" t="str">
        <f>'Stakeholder list'!I56</f>
        <v/>
      </c>
      <c r="I51" s="71" t="str">
        <f>'Stakeholder list'!J56</f>
        <v/>
      </c>
      <c r="J51" s="71" t="str">
        <f>'Stakeholder list'!K56</f>
        <v>Global innovation hub network with local ecosystem programming. Biomes are not used as the unit of action, since operations are city and community based.</v>
      </c>
      <c r="K51" s="71" t="str">
        <f>'Stakeholder list'!L56</f>
        <v>Convenor/enablers, Implementation capacity (delivery)</v>
      </c>
      <c r="L51" s="71" t="str">
        <f>'Stakeholder list'!M56</f>
        <v>Midstream</v>
      </c>
      <c r="M51" s="71" t="str">
        <f>'Stakeholder list'!N56</f>
        <v>Grant recipient</v>
      </c>
      <c r="N51" s="71" t="str">
        <f>'Stakeholder list'!O56</f>
        <v>Vienna, Austria</v>
      </c>
      <c r="O51" s="71" t="str">
        <f>'Stakeholder list'!P56</f>
        <v>Grantee</v>
      </c>
      <c r="P51" s="71" t="str">
        <f>'Stakeholder list'!Q56</f>
        <v/>
      </c>
      <c r="Q51" s="71" t="str">
        <f>'Stakeholder list'!R56</f>
        <v/>
      </c>
      <c r="R51" s="71" t="str">
        <f>'Stakeholder list'!S56</f>
        <v/>
      </c>
      <c r="S51" s="71" t="str">
        <f>'Stakeholder list'!T56</f>
        <v>—</v>
      </c>
      <c r="T51" s="71" t="str">
        <f>'Stakeholder list'!U56</f>
        <v/>
      </c>
      <c r="U51" s="71" t="str">
        <f>'Stakeholder list'!V56</f>
        <v/>
      </c>
      <c r="V51" s="71" t="str">
        <f>'Stakeholder list'!W56</f>
        <v/>
      </c>
      <c r="W51" s="71" t="str">
        <f>'Stakeholder list'!X56</f>
        <v/>
      </c>
    </row>
    <row r="52">
      <c r="A52" s="71">
        <f>'Stakeholder list'!B57</f>
        <v>51</v>
      </c>
      <c r="B52" s="71" t="str">
        <f>'Stakeholder list'!C57</f>
        <v>Instituto Conexões Sustentáveis (Conexsus)</v>
      </c>
      <c r="C52" s="71" t="str">
        <f>'Stakeholder list'!D57</f>
        <v>Civil Society Organization (CSO)</v>
      </c>
      <c r="D52" s="71" t="str">
        <f>'Stakeholder list'!E57</f>
        <v>Local implementers</v>
      </c>
      <c r="E52" s="71" t="str">
        <f>'Stakeholder list'!F57</f>
        <v>Nonprofit that accelerates sustainable community-based enterprises, connecting cooperatives/associations to markets and finance to strengthen territorial resilience and the low-carbon transition.</v>
      </c>
      <c r="F52" s="71" t="str">
        <f>'Stakeholder list'!G57</f>
        <v>National</v>
      </c>
      <c r="G52" s="71" t="str">
        <f>'Stakeholder list'!H57</f>
        <v>"Land, Food and Forest"</v>
      </c>
      <c r="H52" s="71" t="str">
        <f>'Stakeholder list'!I57</f>
        <v>Amazonia, Caatinga, Cerrado</v>
      </c>
      <c r="I52" s="71" t="str">
        <f>'Stakeholder list'!J57</f>
        <v>Mata&amp;Atlântica, Pampa</v>
      </c>
      <c r="J52" s="71" t="str">
        <f>'Stakeholder list'!K57</f>
        <v>Community enterprise acceleration is strongly present in Amazonia, Cerrado and Caatinga through socio biodiversity value chains and territorial businesses. Mata Atlântica and Pampa appear as secondary through additional regional networks and projects.</v>
      </c>
      <c r="K52" s="71" t="str">
        <f>'Stakeholder list'!L57</f>
        <v>Capital provider / Financial intermediary, Implementation capacity (delivery)</v>
      </c>
      <c r="L52" s="71" t="str">
        <f>'Stakeholder list'!M57</f>
        <v>Midstream</v>
      </c>
      <c r="M52" s="71" t="str">
        <f>'Stakeholder list'!N57</f>
        <v>Grant recipient</v>
      </c>
      <c r="N52" s="71" t="str">
        <f>'Stakeholder list'!O57</f>
        <v>São Paulo, SP, Brazil</v>
      </c>
      <c r="O52" s="71" t="str">
        <f>'Stakeholder list'!P57</f>
        <v>Re-granter</v>
      </c>
      <c r="P52" s="71" t="str">
        <f>'Stakeholder list'!Q57</f>
        <v>Fabíola Zerbini (Executive Director)</v>
      </c>
      <c r="Q52" s="73" t="str">
        <f>'Stakeholder list'!R57</f>
        <v>https://www.conexsus.org/</v>
      </c>
      <c r="R52" s="71" t="str">
        <f>'Stakeholder list'!S57</f>
        <v>Relevant implementing partner for SIB in the Amazon.</v>
      </c>
      <c r="S52" s="71" t="str">
        <f>'Stakeholder list'!T57</f>
        <v>—</v>
      </c>
      <c r="T52" s="71" t="str">
        <f>'Stakeholder list'!U57</f>
        <v/>
      </c>
      <c r="U52" s="71" t="str">
        <f>'Stakeholder list'!V57</f>
        <v/>
      </c>
      <c r="V52" s="71" t="str">
        <f>'Stakeholder list'!W57</f>
        <v/>
      </c>
      <c r="W52" s="71" t="str">
        <f>'Stakeholder list'!X57</f>
        <v/>
      </c>
    </row>
    <row r="53">
      <c r="A53" s="71">
        <f>'Stakeholder list'!B58</f>
        <v>52</v>
      </c>
      <c r="B53" s="71" t="str">
        <f>'Stakeholder list'!C58</f>
        <v>Pipe.Social</v>
      </c>
      <c r="C53" s="71" t="str">
        <f>'Stakeholder list'!D58</f>
        <v>Private sector</v>
      </c>
      <c r="D53" s="71" t="str">
        <f>'Stakeholder list'!E58</f>
        <v>Multi-stakeholder initiatives</v>
      </c>
      <c r="E53" s="71" t="str">
        <f>'Stakeholder list'!F58</f>
        <v>Platform that maps and connects impact businesses with investors, corporations, and partners; facilitates matchmaking and programs to scale impact solutions.</v>
      </c>
      <c r="F53" s="71" t="str">
        <f>'Stakeholder list'!G58</f>
        <v>National</v>
      </c>
      <c r="G53" s="71" t="str">
        <f>'Stakeholder list'!H58</f>
        <v>Buildings &amp; Transport, Energy, "Land, Food and Forest"</v>
      </c>
      <c r="H53" s="71" t="str">
        <f>'Stakeholder list'!I58</f>
        <v/>
      </c>
      <c r="I53" s="71" t="str">
        <f>'Stakeholder list'!J58</f>
        <v/>
      </c>
      <c r="J53" s="71" t="str">
        <f>'Stakeholder list'!K58</f>
        <v>Matchmaking platform for impact ventures and investors, organized by sectors and portfolios. No consistent biome delimited implementation layer is observable.</v>
      </c>
      <c r="K53" s="71" t="str">
        <f>'Stakeholder list'!L58</f>
        <v>Data / MRV / platforms, Convenor/enablers</v>
      </c>
      <c r="L53" s="71" t="str">
        <f>'Stakeholder list'!M58</f>
        <v>Upstream</v>
      </c>
      <c r="M53" s="71" t="str">
        <f>'Stakeholder list'!N58</f>
        <v>Blended finance partner</v>
      </c>
      <c r="N53" s="71" t="str">
        <f>'Stakeholder list'!O58</f>
        <v>São Paulo, SP, Brazil</v>
      </c>
      <c r="O53" s="71" t="str">
        <f>'Stakeholder list'!P58</f>
        <v>Grantee</v>
      </c>
      <c r="P53" s="71" t="str">
        <f>'Stakeholder list'!Q58</f>
        <v>Mariana Fonseca (Director) </v>
      </c>
      <c r="Q53" s="73" t="str">
        <f>'Stakeholder list'!R58</f>
        <v>https://pipe.social/</v>
      </c>
      <c r="R53" s="71" t="str">
        <f>'Stakeholder list'!S58</f>
        <v>Relevant SIB finance plataform. </v>
      </c>
      <c r="S53" s="71" t="str">
        <f>'Stakeholder list'!T58</f>
        <v>—</v>
      </c>
      <c r="T53" s="71" t="str">
        <f>'Stakeholder list'!U58</f>
        <v/>
      </c>
      <c r="U53" s="71" t="str">
        <f>'Stakeholder list'!V58</f>
        <v/>
      </c>
      <c r="V53" s="71" t="str">
        <f>'Stakeholder list'!W58</f>
        <v/>
      </c>
      <c r="W53" s="71" t="str">
        <f>'Stakeholder list'!X58</f>
        <v/>
      </c>
    </row>
    <row r="54">
      <c r="A54" s="71">
        <f>'Stakeholder list'!B59</f>
        <v>53</v>
      </c>
      <c r="B54" s="71" t="str">
        <f>'Stakeholder list'!C59</f>
        <v>Yunus Negócios Sociais (Brasil)</v>
      </c>
      <c r="C54" s="71" t="str">
        <f>'Stakeholder list'!D59</f>
        <v>Private sector</v>
      </c>
      <c r="D54" s="71" t="str">
        <f>'Stakeholder list'!E59</f>
        <v>Impact investors</v>
      </c>
      <c r="E54" s="71" t="str">
        <f>'Stakeholder list'!F59</f>
        <v>Organization that supports and finances social businesses, connecting entrepreneurs to capital, networks, and corporate innovation to scale solutions that reduce inequality and generate socio-environmental impact.</v>
      </c>
      <c r="F54" s="71" t="str">
        <f>'Stakeholder list'!G59</f>
        <v>National</v>
      </c>
      <c r="G54" s="71" t="str">
        <f>'Stakeholder list'!H59</f>
        <v>Buildings &amp; Transport, Energy, "Land, Food and Forest"</v>
      </c>
      <c r="H54" s="71" t="str">
        <f>'Stakeholder list'!I59</f>
        <v/>
      </c>
      <c r="I54" s="71" t="str">
        <f>'Stakeholder list'!J59</f>
        <v/>
      </c>
      <c r="J54" s="71" t="str">
        <f>'Stakeholder list'!K59</f>
        <v>Supports social businesses via investment readiness, capital and partnerships. The territorial footprint is opportunity driven and not structured by biomes as a program boundary.</v>
      </c>
      <c r="K54" s="71" t="str">
        <f>'Stakeholder list'!L59</f>
        <v>Capital provider / Financial intermediary, Implementation capacity (delivery)</v>
      </c>
      <c r="L54" s="71" t="str">
        <f>'Stakeholder list'!M59</f>
        <v>Midstream</v>
      </c>
      <c r="M54" s="71" t="str">
        <f>'Stakeholder list'!N59</f>
        <v>Co-funding partner</v>
      </c>
      <c r="N54" s="71" t="str">
        <f>'Stakeholder list'!O59</f>
        <v>Wiesbaden, Germany</v>
      </c>
      <c r="O54" s="71" t="str">
        <f>'Stakeholder list'!P59</f>
        <v>Re-granter</v>
      </c>
      <c r="P54" s="71" t="str">
        <f>'Stakeholder list'!Q59</f>
        <v>Walter Campos is the General Manager</v>
      </c>
      <c r="Q54" s="73" t="str">
        <f>'Stakeholder list'!R59</f>
        <v>https://yunusns.com/</v>
      </c>
      <c r="R54" s="71" t="str">
        <f>'Stakeholder list'!S59</f>
        <v>Strategic and potential partner for SIB in Brazil.</v>
      </c>
      <c r="S54" s="71" t="str">
        <f>'Stakeholder list'!T59</f>
        <v>—</v>
      </c>
      <c r="T54" s="71" t="str">
        <f>'Stakeholder list'!U59</f>
        <v/>
      </c>
      <c r="U54" s="71" t="str">
        <f>'Stakeholder list'!V59</f>
        <v/>
      </c>
      <c r="V54" s="71" t="str">
        <f>'Stakeholder list'!W59</f>
        <v/>
      </c>
      <c r="W54" s="71" t="str">
        <f>'Stakeholder list'!X59</f>
        <v/>
      </c>
    </row>
    <row r="55">
      <c r="A55" s="71">
        <f>'Stakeholder list'!B60</f>
        <v>54</v>
      </c>
      <c r="B55" s="71" t="str">
        <f>'Stakeholder list'!C60</f>
        <v>Instituto C&amp;A</v>
      </c>
      <c r="C55" s="71" t="str">
        <f>'Stakeholder list'!D60</f>
        <v>Civil Society Organization (CSO)</v>
      </c>
      <c r="D55" s="71" t="str">
        <f>'Stakeholder list'!E60</f>
        <v>Philanthropy foundations</v>
      </c>
      <c r="E55" s="71" t="str">
        <f>'Stakeholder list'!F60</f>
        <v>C&amp;A’s social investment institute in Brazil; mobilizes partners and programs to strengthen communities through inclusion and opportunity pathways, supporting broader equitable development.</v>
      </c>
      <c r="F55" s="71" t="str">
        <f>'Stakeholder list'!G60</f>
        <v>National</v>
      </c>
      <c r="G55" s="71" t="str">
        <f>'Stakeholder list'!H60</f>
        <v>Buildings &amp; Transport, "Land, Food and Forest"</v>
      </c>
      <c r="H55" s="71" t="str">
        <f>'Stakeholder list'!I60</f>
        <v/>
      </c>
      <c r="I55" s="71" t="str">
        <f>'Stakeholder list'!J60</f>
        <v/>
      </c>
      <c r="J55" s="71" t="str">
        <f>'Stakeholder list'!K60</f>
        <v>Corporate social investment focused on inclusion and opportunities, implemented through partners and programs. It does not present a consistent biome targeted approach in this mapping.</v>
      </c>
      <c r="K55" s="71" t="str">
        <f>'Stakeholder list'!L60</f>
        <v>Funder, Strategic partner</v>
      </c>
      <c r="L55" s="71" t="str">
        <f>'Stakeholder list'!M60</f>
        <v>Upstream</v>
      </c>
      <c r="M55" s="71" t="str">
        <f>'Stakeholder list'!N60</f>
        <v/>
      </c>
      <c r="N55" s="71" t="str">
        <f>'Stakeholder list'!O60</f>
        <v>Barueri, SP, Brazil</v>
      </c>
      <c r="O55" s="71" t="str">
        <f>'Stakeholder list'!P60</f>
        <v>Donor</v>
      </c>
      <c r="P55" s="71" t="str">
        <f>'Stakeholder list'!Q60</f>
        <v/>
      </c>
      <c r="Q55" s="71" t="str">
        <f>'Stakeholder list'!R60</f>
        <v/>
      </c>
      <c r="R55" s="71" t="str">
        <f>'Stakeholder list'!S60</f>
        <v/>
      </c>
      <c r="S55" s="71" t="str">
        <f>'Stakeholder list'!T60</f>
        <v>—</v>
      </c>
      <c r="T55" s="71" t="str">
        <f>'Stakeholder list'!U60</f>
        <v/>
      </c>
      <c r="U55" s="71" t="str">
        <f>'Stakeholder list'!V60</f>
        <v/>
      </c>
      <c r="V55" s="71" t="str">
        <f>'Stakeholder list'!W60</f>
        <v/>
      </c>
      <c r="W55" s="71" t="str">
        <f>'Stakeholder list'!X60</f>
        <v/>
      </c>
    </row>
    <row r="56">
      <c r="A56" s="71">
        <f>'Stakeholder list'!B61</f>
        <v>55</v>
      </c>
      <c r="B56" s="71" t="str">
        <f>'Stakeholder list'!C61</f>
        <v>Lundin Foundation</v>
      </c>
      <c r="C56" s="71" t="str">
        <f>'Stakeholder list'!D61</f>
        <v>Funders</v>
      </c>
      <c r="D56" s="71" t="str">
        <f>'Stakeholder list'!E61</f>
        <v>Philanthropy foundations</v>
      </c>
      <c r="E56" s="71" t="str">
        <f>'Stakeholder list'!F61</f>
        <v>Nonprofit foundation that supports inclusive economic development and community benefit initiatives, often in partnership with local stakeholders and the private sector.</v>
      </c>
      <c r="F56" s="71" t="str">
        <f>'Stakeholder list'!G61</f>
        <v>Cross-border / international</v>
      </c>
      <c r="G56" s="71" t="str">
        <f>'Stakeholder list'!H61</f>
        <v>"Land, Food and Forest"</v>
      </c>
      <c r="H56" s="71" t="str">
        <f>'Stakeholder list'!I61</f>
        <v/>
      </c>
      <c r="I56" s="71" t="str">
        <f>'Stakeholder list'!J61</f>
        <v/>
      </c>
      <c r="J56" s="71" t="str">
        <f>'Stakeholder list'!K61</f>
        <v>International foundation with broad inclusive development work. This entry does not provide a stable Brazil facing biome structured program set to classify.</v>
      </c>
      <c r="K56" s="71" t="str">
        <f>'Stakeholder list'!L61</f>
        <v>Funder, Strategic partner</v>
      </c>
      <c r="L56" s="71" t="str">
        <f>'Stakeholder list'!M61</f>
        <v>Upstream</v>
      </c>
      <c r="M56" s="71" t="str">
        <f>'Stakeholder list'!N61</f>
        <v>Co-funding partner</v>
      </c>
      <c r="N56" s="71" t="str">
        <f>'Stakeholder list'!O61</f>
        <v>Vancouver, BC, Canada</v>
      </c>
      <c r="O56" s="71" t="str">
        <f>'Stakeholder list'!P61</f>
        <v>Donor</v>
      </c>
      <c r="P56" s="71" t="str">
        <f>'Stakeholder list'!Q61</f>
        <v/>
      </c>
      <c r="Q56" s="73" t="str">
        <f>'Stakeholder list'!R61</f>
        <v>https://www.lundinfoundation.org/</v>
      </c>
      <c r="R56" s="71" t="str">
        <f>'Stakeholder list'!S61</f>
        <v/>
      </c>
      <c r="S56" s="71" t="str">
        <f>'Stakeholder list'!T61</f>
        <v>—</v>
      </c>
      <c r="T56" s="71" t="str">
        <f>'Stakeholder list'!U61</f>
        <v/>
      </c>
      <c r="U56" s="71" t="str">
        <f>'Stakeholder list'!V61</f>
        <v/>
      </c>
      <c r="V56" s="71" t="str">
        <f>'Stakeholder list'!W61</f>
        <v/>
      </c>
      <c r="W56" s="71" t="str">
        <f>'Stakeholder list'!X61</f>
        <v/>
      </c>
    </row>
    <row r="57">
      <c r="A57" s="71">
        <f>'Stakeholder list'!B62</f>
        <v>56</v>
      </c>
      <c r="B57" s="71" t="str">
        <f>'Stakeholder list'!C62</f>
        <v>Aliança Empreendedora</v>
      </c>
      <c r="C57" s="71" t="str">
        <f>'Stakeholder list'!D62</f>
        <v>Civil Society Organization (CSO)</v>
      </c>
      <c r="D57" s="71" t="str">
        <f>'Stakeholder list'!E62</f>
        <v>Local implementers</v>
      </c>
      <c r="E57" s="71" t="str">
        <f>'Stakeholder list'!F62</f>
        <v>NGO that supports micro and small entrepreneurs in vulnerable contexts through training, networks, and market access—strengthening inclusive local economies and productive inclusion.</v>
      </c>
      <c r="F57" s="71" t="str">
        <f>'Stakeholder list'!G62</f>
        <v>National</v>
      </c>
      <c r="G57" s="71" t="str">
        <f>'Stakeholder list'!H62</f>
        <v/>
      </c>
      <c r="H57" s="71" t="str">
        <f>'Stakeholder list'!I62</f>
        <v/>
      </c>
      <c r="I57" s="71" t="str">
        <f>'Stakeholder list'!J62</f>
        <v/>
      </c>
      <c r="J57" s="71" t="str">
        <f>'Stakeholder list'!K62</f>
        <v>Works with micro and small entrepreneurs through training and market access in vulnerable contexts. Territorial reach is defined by communities and cities, not by biome ecosystems.</v>
      </c>
      <c r="K57" s="71" t="str">
        <f>'Stakeholder list'!L62</f>
        <v>Implementation capacity (delivery)</v>
      </c>
      <c r="L57" s="71" t="str">
        <f>'Stakeholder list'!M62</f>
        <v>Downstream</v>
      </c>
      <c r="M57" s="71" t="str">
        <f>'Stakeholder list'!N62</f>
        <v>Co-funding partner</v>
      </c>
      <c r="N57" s="71" t="str">
        <f>'Stakeholder list'!O62</f>
        <v>Curitiba, PR, Brazil</v>
      </c>
      <c r="O57" s="71" t="str">
        <f>'Stakeholder list'!P62</f>
        <v>Grantee</v>
      </c>
      <c r="P57" s="71" t="str">
        <f>'Stakeholder list'!Q62</f>
        <v>Carolina Borghesi (VP)</v>
      </c>
      <c r="Q57" s="73" t="str">
        <f>'Stakeholder list'!R62</f>
        <v>https://institutocea.org.br/</v>
      </c>
      <c r="R57" s="71" t="str">
        <f>'Stakeholder list'!S62</f>
        <v>Could be an important co-funding parter in assignes supply chain for IKF targeted geographies.</v>
      </c>
      <c r="S57" s="71" t="str">
        <f>'Stakeholder list'!T62</f>
        <v>—</v>
      </c>
      <c r="T57" s="71" t="str">
        <f>'Stakeholder list'!U62</f>
        <v/>
      </c>
      <c r="U57" s="71" t="str">
        <f>'Stakeholder list'!V62</f>
        <v/>
      </c>
      <c r="V57" s="71" t="str">
        <f>'Stakeholder list'!W62</f>
        <v/>
      </c>
      <c r="W57" s="71" t="str">
        <f>'Stakeholder list'!X62</f>
        <v/>
      </c>
    </row>
    <row r="58">
      <c r="A58" s="71">
        <f>'Stakeholder list'!B63</f>
        <v>57</v>
      </c>
      <c r="B58" s="71" t="str">
        <f>'Stakeholder list'!C63</f>
        <v>Omidyar Network</v>
      </c>
      <c r="C58" s="71" t="str">
        <f>'Stakeholder list'!D63</f>
        <v>Funders</v>
      </c>
      <c r="D58" s="71" t="str">
        <f>'Stakeholder list'!E63</f>
        <v>Philanthropy foundations</v>
      </c>
      <c r="E58" s="71" t="str">
        <f>'Stakeholder list'!F63</f>
        <v>Philanthropic investment organization combining grants and investments to expand shared prosperity and opportunity, often backing initiatives that strengthen inclusion, institutions, and responsible technology.</v>
      </c>
      <c r="F58" s="71" t="str">
        <f>'Stakeholder list'!G63</f>
        <v>Cross-border / international</v>
      </c>
      <c r="G58" s="71" t="str">
        <f>'Stakeholder list'!H63</f>
        <v/>
      </c>
      <c r="H58" s="71" t="str">
        <f>'Stakeholder list'!I63</f>
        <v/>
      </c>
      <c r="I58" s="71" t="str">
        <f>'Stakeholder list'!J63</f>
        <v/>
      </c>
      <c r="J58" s="71" t="str">
        <f>'Stakeholder list'!K63</f>
        <v>Combines grants and investments globally to expand inclusion and strong institutions. In this dataset, a consistent Brazil biome based segmentation is not documented for classification.</v>
      </c>
      <c r="K58" s="71" t="str">
        <f>'Stakeholder list'!L63</f>
        <v>Funder, Strategic partner</v>
      </c>
      <c r="L58" s="71" t="str">
        <f>'Stakeholder list'!M63</f>
        <v>Upstream</v>
      </c>
      <c r="M58" s="71" t="str">
        <f>'Stakeholder list'!N63</f>
        <v>Co-funding partner</v>
      </c>
      <c r="N58" s="71" t="str">
        <f>'Stakeholder list'!O63</f>
        <v>Redwood City, CA, USA</v>
      </c>
      <c r="O58" s="71" t="str">
        <f>'Stakeholder list'!P63</f>
        <v>Donor</v>
      </c>
      <c r="P58" s="71" t="str">
        <f>'Stakeholder list'!Q63</f>
        <v/>
      </c>
      <c r="Q58" s="71" t="str">
        <f>'Stakeholder list'!R63</f>
        <v/>
      </c>
      <c r="R58" s="71" t="str">
        <f>'Stakeholder list'!S63</f>
        <v/>
      </c>
      <c r="S58" s="71" t="str">
        <f>'Stakeholder list'!T63</f>
        <v>—</v>
      </c>
      <c r="T58" s="71" t="str">
        <f>'Stakeholder list'!U63</f>
        <v/>
      </c>
      <c r="U58" s="71" t="str">
        <f>'Stakeholder list'!V63</f>
        <v/>
      </c>
      <c r="V58" s="71" t="str">
        <f>'Stakeholder list'!W63</f>
        <v/>
      </c>
      <c r="W58" s="71" t="str">
        <f>'Stakeholder list'!X63</f>
        <v/>
      </c>
    </row>
    <row r="59">
      <c r="A59" s="71">
        <f>'Stakeholder list'!B64</f>
        <v>58</v>
      </c>
      <c r="B59" s="71" t="str">
        <f>'Stakeholder list'!C64</f>
        <v>Fundação Grupo Boticário de Proteção à Natureza</v>
      </c>
      <c r="C59" s="71" t="str">
        <f>'Stakeholder list'!D64</f>
        <v>Funders</v>
      </c>
      <c r="D59" s="71" t="str">
        <f>'Stakeholder list'!E64</f>
        <v>Philanthropy foundations</v>
      </c>
      <c r="E59" s="71" t="str">
        <f>'Stakeholder list'!F64</f>
        <v>Nonprofit foundation maintained by the Boticário Group that funds and advances biodiversity conservation, protected areas, restoration, and nature-positive agendas (including water security and regenerative economy pathways).</v>
      </c>
      <c r="F59" s="71" t="str">
        <f>'Stakeholder list'!G64</f>
        <v>National</v>
      </c>
      <c r="G59" s="71" t="str">
        <f>'Stakeholder list'!H64</f>
        <v>Buildings &amp; Transport, "Land, Food and Forest"</v>
      </c>
      <c r="H59" s="71" t="str">
        <f>'Stakeholder list'!I64</f>
        <v>Cerrado</v>
      </c>
      <c r="I59" s="71" t="str">
        <f>'Stakeholder list'!J64</f>
        <v>Mata&amp;Atlântica</v>
      </c>
      <c r="J59" s="71" t="str">
        <f>'Stakeholder list'!K64</f>
        <v>Flagship conservation and restoration initiatives maintain clear linkages to Cerrado and Mata Atlântica. The tags reflect where long term reserves, partnerships and public programs are most explicitly concentrated.</v>
      </c>
      <c r="K59" s="71" t="str">
        <f>'Stakeholder list'!L64</f>
        <v>Funder, Project developer / Implementer</v>
      </c>
      <c r="L59" s="71" t="str">
        <f>'Stakeholder list'!M64</f>
        <v>Upstream</v>
      </c>
      <c r="M59" s="71" t="str">
        <f>'Stakeholder list'!N64</f>
        <v>Co-funding partner</v>
      </c>
      <c r="N59" s="71" t="str">
        <f>'Stakeholder list'!O64</f>
        <v>Curitiba, PR, Brazil</v>
      </c>
      <c r="O59" s="71" t="str">
        <f>'Stakeholder list'!P64</f>
        <v>Donor</v>
      </c>
      <c r="P59" s="71" t="str">
        <f>'Stakeholder list'!Q64</f>
        <v>Malu Nunes (Executive Director) </v>
      </c>
      <c r="Q59" s="73" t="str">
        <f>'Stakeholder list'!R64</f>
        <v>https://fundacaogrupoboticario.org.br/</v>
      </c>
      <c r="R59" s="71" t="str">
        <f>'Stakeholder list'!S64</f>
        <v>Could be an important co-funding partenr for IKF in Brazil.</v>
      </c>
      <c r="S59" s="71" t="str">
        <f>'Stakeholder list'!T64</f>
        <v>—</v>
      </c>
      <c r="T59" s="71" t="str">
        <f>'Stakeholder list'!U64</f>
        <v/>
      </c>
      <c r="U59" s="71" t="str">
        <f>'Stakeholder list'!V64</f>
        <v/>
      </c>
      <c r="V59" s="71" t="str">
        <f>'Stakeholder list'!W64</f>
        <v/>
      </c>
      <c r="W59" s="71" t="str">
        <f>'Stakeholder list'!X64</f>
        <v/>
      </c>
    </row>
    <row r="60">
      <c r="A60" s="71">
        <f>'Stakeholder list'!B65</f>
        <v>59</v>
      </c>
      <c r="B60" s="71" t="str">
        <f>'Stakeholder list'!C65</f>
        <v>Natura</v>
      </c>
      <c r="C60" s="71" t="str">
        <f>'Stakeholder list'!D65</f>
        <v>Private sector</v>
      </c>
      <c r="D60" s="71" t="str">
        <f>'Stakeholder list'!E65</f>
        <v>Private companies (large / leading)</v>
      </c>
      <c r="E60" s="71" t="str">
        <f>'Stakeholder list'!F65</f>
        <v>Consumer goods company with strong commitments to sustainability; can drive systemic transition through responsible sourcing (including sociobiodiversity), circular economy practices, low-carbon innovation, and influence across value chains.</v>
      </c>
      <c r="F60" s="71" t="str">
        <f>'Stakeholder list'!G65</f>
        <v>National</v>
      </c>
      <c r="G60" s="71" t="str">
        <f>'Stakeholder list'!H65</f>
        <v>"Land, Food and Forest"</v>
      </c>
      <c r="H60" s="71" t="str">
        <f>'Stakeholder list'!I65</f>
        <v>Amazonia, Cerrado</v>
      </c>
      <c r="I60" s="71" t="str">
        <f>'Stakeholder list'!J65</f>
        <v>Mata&amp;Atlântica, Pampa, Pantanal</v>
      </c>
      <c r="J60" s="71" t="str">
        <f>'Stakeholder list'!K65</f>
        <v>Sociobiodiversity sourcing and forest positive supply chains create a strong anchor in Amazonia, with important interfaces in Cerrado. Other biomes are part of corporate reach, but are less consistently presented as core territorial program lines.</v>
      </c>
      <c r="K60" s="71" t="str">
        <f>'Stakeholder list'!L65</f>
        <v>Strategic partner, Implementation capacity (delivery)</v>
      </c>
      <c r="L60" s="71" t="str">
        <f>'Stakeholder list'!M65</f>
        <v>Downstream</v>
      </c>
      <c r="M60" s="71" t="str">
        <f>'Stakeholder list'!N65</f>
        <v>Co-funding partner</v>
      </c>
      <c r="N60" s="71" t="str">
        <f>'Stakeholder list'!O65</f>
        <v>Cajamar, SP, Brazil</v>
      </c>
      <c r="O60" s="71" t="str">
        <f>'Stakeholder list'!P65</f>
        <v>Donor</v>
      </c>
      <c r="P60" s="71" t="str">
        <f>'Stakeholder list'!Q65</f>
        <v/>
      </c>
      <c r="Q60" s="73" t="str">
        <f>'Stakeholder list'!R65</f>
        <v>https://www.natura.com.br/</v>
      </c>
      <c r="R60" s="71" t="str">
        <f>'Stakeholder list'!S65</f>
        <v>Could be an important co-funding partenr for IKF in Brazil.</v>
      </c>
      <c r="S60" s="71" t="str">
        <f>'Stakeholder list'!T65</f>
        <v>—</v>
      </c>
      <c r="T60" s="71" t="str">
        <f>'Stakeholder list'!U65</f>
        <v/>
      </c>
      <c r="U60" s="71" t="str">
        <f>'Stakeholder list'!V65</f>
        <v/>
      </c>
      <c r="V60" s="71" t="str">
        <f>'Stakeholder list'!W65</f>
        <v/>
      </c>
      <c r="W60" s="71" t="str">
        <f>'Stakeholder list'!X65</f>
        <v/>
      </c>
    </row>
    <row r="61">
      <c r="A61" s="71">
        <f>'Stakeholder list'!B66</f>
        <v>60</v>
      </c>
      <c r="B61" s="71" t="str">
        <f>'Stakeholder list'!C66</f>
        <v>Programa das Nações Unidas para o Desenvolvimento (PNUD)</v>
      </c>
      <c r="C61" s="71" t="str">
        <f>'Stakeholder list'!D66</f>
        <v>Others</v>
      </c>
      <c r="D61" s="71" t="str">
        <f>'Stakeholder list'!E66</f>
        <v>Multilateral organizations</v>
      </c>
      <c r="E61" s="71" t="str">
        <f>'Stakeholder list'!F66</f>
        <v>UN development agency that provides technical cooperation, program implementation support, and policy assistance aligned with the SDGs (governance, inclusion, poverty reduction, and climate resilience).</v>
      </c>
      <c r="F61" s="71" t="str">
        <f>'Stakeholder list'!G66</f>
        <v>Cross-border / international</v>
      </c>
      <c r="G61" s="71" t="str">
        <f>'Stakeholder list'!H66</f>
        <v>Buildings &amp; Transport, Emergency response, Energy, "Land, Food and Forest"</v>
      </c>
      <c r="H61" s="71" t="str">
        <f>'Stakeholder list'!I66</f>
        <v/>
      </c>
      <c r="I61" s="71" t="str">
        <f>'Stakeholder list'!J66</f>
        <v/>
      </c>
      <c r="J61" s="71" t="str">
        <f>'Stakeholder list'!K66</f>
        <v>Cooperation is organized by SDG programs and government counterparts, with implementation varying by project. This entry does not show a stable biome specific portfolio structure to apply systematically.</v>
      </c>
      <c r="K61" s="71" t="str">
        <f>'Stakeholder list'!L66</f>
        <v>Strategic partner, Convenor/enablers, Project developer / Implementer</v>
      </c>
      <c r="L61" s="71" t="str">
        <f>'Stakeholder list'!M66</f>
        <v>Midstream</v>
      </c>
      <c r="M61" s="71" t="str">
        <f>'Stakeholder list'!N66</f>
        <v>Strategic partner</v>
      </c>
      <c r="N61" s="71" t="str">
        <f>'Stakeholder list'!O66</f>
        <v>New York, NY, USA</v>
      </c>
      <c r="O61" s="71" t="str">
        <f>'Stakeholder list'!P66</f>
        <v>Re-granter</v>
      </c>
      <c r="P61" s="71" t="str">
        <f>'Stakeholder list'!Q66</f>
        <v>Luciana Aguiar (Country Program Director) </v>
      </c>
      <c r="Q61" s="73" t="str">
        <f>'Stakeholder list'!R66</f>
        <v>https://www.undp.org/pt/brazil</v>
      </c>
      <c r="R61" s="71" t="str">
        <f>'Stakeholder list'!S66</f>
        <v>Strategic partner for IKF impact areas and biomes.</v>
      </c>
      <c r="S61" s="71" t="str">
        <f>'Stakeholder list'!T66</f>
        <v>—</v>
      </c>
      <c r="T61" s="71" t="str">
        <f>'Stakeholder list'!U66</f>
        <v/>
      </c>
      <c r="U61" s="71" t="str">
        <f>'Stakeholder list'!V66</f>
        <v/>
      </c>
      <c r="V61" s="71" t="str">
        <f>'Stakeholder list'!W66</f>
        <v/>
      </c>
      <c r="W61" s="71" t="str">
        <f>'Stakeholder list'!X66</f>
        <v/>
      </c>
    </row>
    <row r="62">
      <c r="A62" s="71">
        <f>'Stakeholder list'!B67</f>
        <v>61</v>
      </c>
      <c r="B62" s="71" t="str">
        <f>'Stakeholder list'!C67</f>
        <v>Centro de Empreendedorismo da Amazônia (CEA)</v>
      </c>
      <c r="C62" s="71" t="str">
        <f>'Stakeholder list'!D67</f>
        <v>Others</v>
      </c>
      <c r="D62" s="71" t="str">
        <f>'Stakeholder list'!E67</f>
        <v>Local implementers</v>
      </c>
      <c r="E62" s="71" t="str">
        <f>'Stakeholder list'!F67</f>
        <v>Platform that strengthens entrepreneurship and the bioeconomy in the Amazon by offering capacity building, ecosystem convening, and connections to markets and investors for sustainable businesses.</v>
      </c>
      <c r="F62" s="71" t="str">
        <f>'Stakeholder list'!G67</f>
        <v>Regional</v>
      </c>
      <c r="G62" s="71" t="str">
        <f>'Stakeholder list'!H67</f>
        <v>"Land, Food and Forest"</v>
      </c>
      <c r="H62" s="71" t="str">
        <f>'Stakeholder list'!I67</f>
        <v>Amazonia</v>
      </c>
      <c r="I62" s="71" t="str">
        <f>'Stakeholder list'!J67</f>
        <v/>
      </c>
      <c r="J62" s="71" t="str">
        <f>'Stakeholder list'!K67</f>
        <v>It operated explicitly as an Amazon-region platform and delivered bioeconomy/entrepreneurship support anchored in Amazonia.</v>
      </c>
      <c r="K62" s="71" t="str">
        <f>'Stakeholder list'!L67</f>
        <v>Technical assistance / research, Implementation capacity (delivery)</v>
      </c>
      <c r="L62" s="71" t="str">
        <f>'Stakeholder list'!M67</f>
        <v>Midstream</v>
      </c>
      <c r="M62" s="71" t="str">
        <f>'Stakeholder list'!N67</f>
        <v>Grant recipient</v>
      </c>
      <c r="N62" s="71" t="str">
        <f>'Stakeholder list'!O67</f>
        <v>Belém, PA, Brazil</v>
      </c>
      <c r="O62" s="71" t="str">
        <f>'Stakeholder list'!P67</f>
        <v>Grantee</v>
      </c>
      <c r="P62" s="71" t="str">
        <f>'Stakeholder list'!Q67</f>
        <v>Raphael Medeiros (Executive Director)</v>
      </c>
      <c r="Q62" s="73" t="str">
        <f>'Stakeholder list'!R67</f>
        <v>https://centroamazonia.org.br/</v>
      </c>
      <c r="R62" s="71" t="str">
        <f>'Stakeholder list'!S67</f>
        <v>Relevant implementing org addressing SIB in the Amazon.</v>
      </c>
      <c r="S62" s="71" t="str">
        <f>'Stakeholder list'!T67</f>
        <v>—</v>
      </c>
      <c r="T62" s="71" t="str">
        <f>'Stakeholder list'!U67</f>
        <v/>
      </c>
      <c r="U62" s="71" t="str">
        <f>'Stakeholder list'!V67</f>
        <v/>
      </c>
      <c r="V62" s="71" t="str">
        <f>'Stakeholder list'!W67</f>
        <v/>
      </c>
      <c r="W62" s="71" t="str">
        <f>'Stakeholder list'!X67</f>
        <v/>
      </c>
    </row>
    <row r="63">
      <c r="A63" s="71">
        <f>'Stakeholder list'!B68</f>
        <v>62</v>
      </c>
      <c r="B63" s="71" t="str">
        <f>'Stakeholder list'!C68</f>
        <v>Manioca</v>
      </c>
      <c r="C63" s="71" t="str">
        <f>'Stakeholder list'!D68</f>
        <v>Private sector</v>
      </c>
      <c r="D63" s="71" t="str">
        <f>'Stakeholder list'!E68</f>
        <v>Private companies (SMEs / local enterprises)</v>
      </c>
      <c r="E63" s="71" t="str">
        <f>'Stakeholder list'!F68</f>
        <v>Impact-oriented food brand that works with Amazon-linked supply chains; contributes through fairer sourcing, product innovation, and strengthening local producers and sustainable value chains.</v>
      </c>
      <c r="F63" s="71" t="str">
        <f>'Stakeholder list'!G68</f>
        <v>Regional </v>
      </c>
      <c r="G63" s="71" t="str">
        <f>'Stakeholder list'!H68</f>
        <v>"Land, Food and Forest"</v>
      </c>
      <c r="H63" s="71" t="str">
        <f>'Stakeholder list'!I68</f>
        <v>Amazonia</v>
      </c>
      <c r="I63" s="71" t="str">
        <f>'Stakeholder list'!J68</f>
        <v/>
      </c>
      <c r="J63" s="71" t="str">
        <f>'Stakeholder list'!K68</f>
        <v>It used Amazon-linked supply chains and supported producers connected to the Amazonia biome.</v>
      </c>
      <c r="K63" s="71" t="str">
        <f>'Stakeholder list'!L68</f>
        <v>Implementation capacity (delivery)</v>
      </c>
      <c r="L63" s="71" t="str">
        <f>'Stakeholder list'!M68</f>
        <v>Downstream</v>
      </c>
      <c r="M63" s="71" t="str">
        <f>'Stakeholder list'!N68</f>
        <v>Grant recipient</v>
      </c>
      <c r="N63" s="71" t="str">
        <f>'Stakeholder list'!O68</f>
        <v>São Paulo, SP, Brazil</v>
      </c>
      <c r="O63" s="71" t="str">
        <f>'Stakeholder list'!P68</f>
        <v>Grantee</v>
      </c>
      <c r="P63" s="71" t="str">
        <f>'Stakeholder list'!Q68</f>
        <v/>
      </c>
      <c r="Q63" s="73" t="str">
        <f>'Stakeholder list'!R68</f>
        <v>https://sistemabbrasil.org/empresas-b</v>
      </c>
      <c r="R63" s="71" t="str">
        <f>'Stakeholder list'!S68</f>
        <v>Could be a potential grantee in the food arean in the Amazon (Pará State).</v>
      </c>
      <c r="S63" s="71" t="str">
        <f>'Stakeholder list'!T68</f>
        <v>—</v>
      </c>
      <c r="T63" s="71" t="str">
        <f>'Stakeholder list'!U68</f>
        <v/>
      </c>
      <c r="U63" s="71" t="str">
        <f>'Stakeholder list'!V68</f>
        <v/>
      </c>
      <c r="V63" s="71" t="str">
        <f>'Stakeholder list'!W68</f>
        <v/>
      </c>
      <c r="W63" s="71" t="str">
        <f>'Stakeholder list'!X68</f>
        <v/>
      </c>
    </row>
    <row r="64">
      <c r="A64" s="71">
        <f>'Stakeholder list'!B69</f>
        <v>63</v>
      </c>
      <c r="B64" s="71" t="str">
        <f>'Stakeholder list'!C69</f>
        <v>Instituto Votorantim</v>
      </c>
      <c r="C64" s="71" t="str">
        <f>'Stakeholder list'!D69</f>
        <v>Civil Society Organization (CSO)</v>
      </c>
      <c r="D64" s="71" t="str">
        <f>'Stakeholder list'!E69</f>
        <v>Philanthropy foundations</v>
      </c>
      <c r="E64" s="71" t="str">
        <f>'Stakeholder list'!F69</f>
        <v>Corporate institute that acts as an applied intelligence and partnership platform, supporting socio-environmental solutions, territorial development, and better corporate practices for sustainability.</v>
      </c>
      <c r="F64" s="71" t="str">
        <f>'Stakeholder list'!G69</f>
        <v>National</v>
      </c>
      <c r="G64" s="71" t="str">
        <f>'Stakeholder list'!H69</f>
        <v>Buildings &amp; Transport, Energy, "Land, Food and Forest"</v>
      </c>
      <c r="H64" s="71" t="str">
        <f>'Stakeholder list'!I69</f>
        <v/>
      </c>
      <c r="I64" s="71" t="str">
        <f>'Stakeholder list'!J69</f>
        <v/>
      </c>
      <c r="J64" s="71" t="str">
        <f>'Stakeholder list'!K69</f>
        <v>It operated through corporate social investment and partnerships and did not maintain a public biome-specific program cut.</v>
      </c>
      <c r="K64" s="71" t="str">
        <f>'Stakeholder list'!L69</f>
        <v>Funder, Strategic partner</v>
      </c>
      <c r="L64" s="71" t="str">
        <f>'Stakeholder list'!M69</f>
        <v>Upstream</v>
      </c>
      <c r="M64" s="71" t="str">
        <f>'Stakeholder list'!N69</f>
        <v>Co-funding partner</v>
      </c>
      <c r="N64" s="71" t="str">
        <f>'Stakeholder list'!O69</f>
        <v>São Paulo, SP, Brazil</v>
      </c>
      <c r="O64" s="71" t="str">
        <f>'Stakeholder list'!P69</f>
        <v>Donor</v>
      </c>
      <c r="P64" s="71" t="str">
        <f>'Stakeholder list'!Q69</f>
        <v>Rafael Gioielli (Executive Director)</v>
      </c>
      <c r="Q64" s="73" t="str">
        <f>'Stakeholder list'!R69</f>
        <v>https://www.institutovotorantim.org.br/</v>
      </c>
      <c r="R64" s="71" t="str">
        <f>'Stakeholder list'!S69</f>
        <v>Important co-funding partner on tge SIB in Brazil. Track reccord on funding in the northeast of the country.</v>
      </c>
      <c r="S64" s="71" t="str">
        <f>'Stakeholder list'!T69</f>
        <v>—</v>
      </c>
      <c r="T64" s="71" t="str">
        <f>'Stakeholder list'!U69</f>
        <v/>
      </c>
      <c r="U64" s="71" t="str">
        <f>'Stakeholder list'!V69</f>
        <v/>
      </c>
      <c r="V64" s="71" t="str">
        <f>'Stakeholder list'!W69</f>
        <v/>
      </c>
      <c r="W64" s="71" t="str">
        <f>'Stakeholder list'!X69</f>
        <v/>
      </c>
    </row>
    <row r="65">
      <c r="A65" s="71">
        <f>'Stakeholder list'!B70</f>
        <v>64</v>
      </c>
      <c r="B65" s="71" t="str">
        <f>'Stakeholder list'!C70</f>
        <v>Quintessa</v>
      </c>
      <c r="C65" s="71" t="str">
        <f>'Stakeholder list'!D70</f>
        <v>Private sector</v>
      </c>
      <c r="D65" s="71" t="str">
        <f>'Stakeholder list'!E70</f>
        <v>Impact investors</v>
      </c>
      <c r="E65" s="71" t="str">
        <f>'Stakeholder list'!F70</f>
        <v>Impact accelerator/consultancy that supports impact ventures with mentoring, strategy and investment readiness, connecting entrepreneurs to capital and partners to scale solutions.</v>
      </c>
      <c r="F65" s="71" t="str">
        <f>'Stakeholder list'!G70</f>
        <v>National</v>
      </c>
      <c r="G65" s="71" t="str">
        <f>'Stakeholder list'!H70</f>
        <v>Buildings &amp; Transport, Energy, "Land, Food and Forest"</v>
      </c>
      <c r="H65" s="71" t="str">
        <f>'Stakeholder list'!I70</f>
        <v/>
      </c>
      <c r="I65" s="71" t="str">
        <f>'Stakeholder list'!J70</f>
        <v/>
      </c>
      <c r="J65" s="71" t="str">
        <f>'Stakeholder list'!K70</f>
        <v>It accelerated ventures across themes and did not classify its programs by biome.</v>
      </c>
      <c r="K65" s="71" t="str">
        <f>'Stakeholder list'!L70</f>
        <v>Implementation capacity (delivery), Convenor/enablers</v>
      </c>
      <c r="L65" s="71" t="str">
        <f>'Stakeholder list'!M70</f>
        <v>Midstream</v>
      </c>
      <c r="M65" s="71" t="str">
        <f>'Stakeholder list'!N70</f>
        <v>Grant recipient</v>
      </c>
      <c r="N65" s="71" t="str">
        <f>'Stakeholder list'!O70</f>
        <v>São Paulo, SP, Brazil</v>
      </c>
      <c r="O65" s="71" t="str">
        <f>'Stakeholder list'!P70</f>
        <v>Grantee</v>
      </c>
      <c r="P65" s="71" t="str">
        <f>'Stakeholder list'!Q70</f>
        <v>Nana Baffour (Director)</v>
      </c>
      <c r="Q65" s="73" t="str">
        <f>'Stakeholder list'!R70</f>
        <v>https://www.quintessa.org.br/</v>
      </c>
      <c r="R65" s="71" t="str">
        <f>'Stakeholder list'!S70</f>
        <v>Relevant SIB plataform of investments.</v>
      </c>
      <c r="S65" s="71" t="str">
        <f>'Stakeholder list'!T70</f>
        <v>—</v>
      </c>
      <c r="T65" s="71" t="str">
        <f>'Stakeholder list'!U70</f>
        <v/>
      </c>
      <c r="U65" s="71" t="str">
        <f>'Stakeholder list'!V70</f>
        <v/>
      </c>
      <c r="V65" s="71" t="str">
        <f>'Stakeholder list'!W70</f>
        <v/>
      </c>
      <c r="W65" s="71" t="str">
        <f>'Stakeholder list'!X70</f>
        <v/>
      </c>
    </row>
    <row r="66">
      <c r="A66" s="71">
        <f>'Stakeholder list'!B71</f>
        <v>65</v>
      </c>
      <c r="B66" s="71" t="str">
        <f>'Stakeholder list'!C71</f>
        <v>De Mendes</v>
      </c>
      <c r="C66" s="71" t="str">
        <f>'Stakeholder list'!D71</f>
        <v>Private sector</v>
      </c>
      <c r="D66" s="71" t="str">
        <f>'Stakeholder list'!E71</f>
        <v>Private companies (SMEs / local enterprises)</v>
      </c>
      <c r="E66" s="71" t="str">
        <f>'Stakeholder list'!F71</f>
        <v>Local enterprise linked to sustainable value chains (e.g., cacao/chocolate); can contribute via responsible sourcing, territorial development, and inclusive value creation with producers.</v>
      </c>
      <c r="F66" s="71" t="str">
        <f>'Stakeholder list'!G71</f>
        <v>State-level</v>
      </c>
      <c r="G66" s="71" t="str">
        <f>'Stakeholder list'!H71</f>
        <v>"Land, Food and Forest"</v>
      </c>
      <c r="H66" s="71" t="str">
        <f>'Stakeholder list'!I71</f>
        <v>Amazonia</v>
      </c>
      <c r="I66" s="71" t="str">
        <f>'Stakeholder list'!J71</f>
        <v/>
      </c>
      <c r="J66" s="71" t="str">
        <f>'Stakeholder list'!K71</f>
        <v>It was linked to value chains at state level, but no clear public evidence of biome-targeted initiatives was identified in this mapping.</v>
      </c>
      <c r="K66" s="71" t="str">
        <f>'Stakeholder list'!L71</f>
        <v>Implementation capacity (delivery)</v>
      </c>
      <c r="L66" s="71" t="str">
        <f>'Stakeholder list'!M71</f>
        <v>Downstream</v>
      </c>
      <c r="M66" s="71" t="str">
        <f>'Stakeholder list'!N71</f>
        <v>Grant recipient</v>
      </c>
      <c r="N66" s="71" t="str">
        <f>'Stakeholder list'!O71</f>
        <v>Ilhéus, BA, Brazil</v>
      </c>
      <c r="O66" s="71" t="str">
        <f>'Stakeholder list'!P71</f>
        <v>Grantee</v>
      </c>
      <c r="P66" s="71" t="str">
        <f>'Stakeholder list'!Q71</f>
        <v/>
      </c>
      <c r="Q66" s="73" t="str">
        <f>'Stakeholder list'!R71</f>
        <v>https://www.demendes.com.br/</v>
      </c>
      <c r="R66" s="71" t="str">
        <f>'Stakeholder list'!S71</f>
        <v>could be a potential grantee in the food - cocoa supply chain in Brazil.</v>
      </c>
      <c r="S66" s="71" t="str">
        <f>'Stakeholder list'!T71</f>
        <v>—</v>
      </c>
      <c r="T66" s="71" t="str">
        <f>'Stakeholder list'!U71</f>
        <v/>
      </c>
      <c r="U66" s="71" t="str">
        <f>'Stakeholder list'!V71</f>
        <v/>
      </c>
      <c r="V66" s="71" t="str">
        <f>'Stakeholder list'!W71</f>
        <v/>
      </c>
      <c r="W66" s="71" t="str">
        <f>'Stakeholder list'!X71</f>
        <v/>
      </c>
    </row>
    <row r="67">
      <c r="A67" s="71">
        <f>'Stakeholder list'!B72</f>
        <v>66</v>
      </c>
      <c r="B67" s="71" t="str">
        <f>'Stakeholder list'!C72</f>
        <v>Endeva</v>
      </c>
      <c r="C67" s="71" t="str">
        <f>'Stakeholder list'!D72</f>
        <v>Civil Society Organization (CSO)</v>
      </c>
      <c r="D67" s="71" t="str">
        <f>'Stakeholder list'!E72</f>
        <v>Think tanks</v>
      </c>
      <c r="E67" s="71" t="str">
        <f>'Stakeholder list'!F72</f>
        <v>System-innovation and inclusive-business organization working with companies, governments, and civil society to design scalable solutions, strengthen inclusive value chains, and generate evidence for systemic change.</v>
      </c>
      <c r="F67" s="71" t="str">
        <f>'Stakeholder list'!G72</f>
        <v>Cross-border / international</v>
      </c>
      <c r="G67" s="71" t="str">
        <f>'Stakeholder list'!H72</f>
        <v>"Land, Food and Forest"</v>
      </c>
      <c r="H67" s="71" t="str">
        <f>'Stakeholder list'!I72</f>
        <v/>
      </c>
      <c r="I67" s="71" t="str">
        <f>'Stakeholder list'!J72</f>
        <v/>
      </c>
      <c r="J67" s="71" t="str">
        <f>'Stakeholder list'!K72</f>
        <v>It worked on inclusive business/system innovation across sectors and did not use Brazilian biomes as a standard program boundary.</v>
      </c>
      <c r="K67" s="71" t="str">
        <f>'Stakeholder list'!L72</f>
        <v>Technical assistance / research</v>
      </c>
      <c r="L67" s="71" t="str">
        <f>'Stakeholder list'!M72</f>
        <v>Upstream</v>
      </c>
      <c r="M67" s="71" t="str">
        <f>'Stakeholder list'!N72</f>
        <v>Grant recipient</v>
      </c>
      <c r="N67" s="71" t="str">
        <f>'Stakeholder list'!O72</f>
        <v>Berlin, Germany</v>
      </c>
      <c r="O67" s="71" t="str">
        <f>'Stakeholder list'!P72</f>
        <v>Grantee</v>
      </c>
      <c r="P67" s="71" t="str">
        <f>'Stakeholder list'!Q72</f>
        <v/>
      </c>
      <c r="Q67" s="71" t="str">
        <f>'Stakeholder list'!R72</f>
        <v/>
      </c>
      <c r="R67" s="71" t="str">
        <f>'Stakeholder list'!S72</f>
        <v/>
      </c>
      <c r="S67" s="71" t="str">
        <f>'Stakeholder list'!T72</f>
        <v>—</v>
      </c>
      <c r="T67" s="71" t="str">
        <f>'Stakeholder list'!U72</f>
        <v/>
      </c>
      <c r="U67" s="71" t="str">
        <f>'Stakeholder list'!V72</f>
        <v/>
      </c>
      <c r="V67" s="71" t="str">
        <f>'Stakeholder list'!W72</f>
        <v/>
      </c>
      <c r="W67" s="71" t="str">
        <f>'Stakeholder list'!X72</f>
        <v/>
      </c>
    </row>
    <row r="68">
      <c r="A68" s="71">
        <f>'Stakeholder list'!B73</f>
        <v>67</v>
      </c>
      <c r="B68" s="71" t="str">
        <f>'Stakeholder list'!C73</f>
        <v>Insper</v>
      </c>
      <c r="C68" s="71" t="str">
        <f>'Stakeholder list'!D73</f>
        <v>Civil Society Organization (CSO)</v>
      </c>
      <c r="D68" s="71" t="str">
        <f>'Stakeholder list'!E73</f>
        <v>Academia</v>
      </c>
      <c r="E68" s="71" t="str">
        <f>'Stakeholder list'!F73</f>
        <v>Higher education and research institution that trains leaders and produces applied knowledge in economics, business and public policy, supporting evidence-based decisions for sustainability transitions.</v>
      </c>
      <c r="F68" s="71" t="str">
        <f>'Stakeholder list'!G73</f>
        <v>State-level</v>
      </c>
      <c r="G68" s="71" t="str">
        <f>'Stakeholder list'!H73</f>
        <v/>
      </c>
      <c r="H68" s="71" t="str">
        <f>'Stakeholder list'!I73</f>
        <v/>
      </c>
      <c r="I68" s="71" t="str">
        <f>'Stakeholder list'!J73</f>
        <v/>
      </c>
      <c r="J68" s="71" t="str">
        <f>'Stakeholder list'!K73</f>
        <v>It operated as an academic institution and did not present biome-defined projects as a primary organizing lens in this list.</v>
      </c>
      <c r="K68" s="71" t="str">
        <f>'Stakeholder list'!L73</f>
        <v>Technical assistance / research</v>
      </c>
      <c r="L68" s="71" t="str">
        <f>'Stakeholder list'!M73</f>
        <v>Upstream</v>
      </c>
      <c r="M68" s="71" t="str">
        <f>'Stakeholder list'!N73</f>
        <v>Strategic partner</v>
      </c>
      <c r="N68" s="71" t="str">
        <f>'Stakeholder list'!O73</f>
        <v>São Paulo, SP, Brazil</v>
      </c>
      <c r="O68" s="71" t="str">
        <f>'Stakeholder list'!P73</f>
        <v>Grantee</v>
      </c>
      <c r="P68" s="71" t="str">
        <f>'Stakeholder list'!Q73</f>
        <v/>
      </c>
      <c r="Q68" s="73" t="str">
        <f>'Stakeholder list'!R73</f>
        <v>https://www.insper.edu.br/pt</v>
      </c>
      <c r="R68" s="71" t="str">
        <f>'Stakeholder list'!S73</f>
        <v>Great plavce to explore data assessment on a range of IFK impact areas and biomes in Brazil.</v>
      </c>
      <c r="S68" s="71" t="str">
        <f>'Stakeholder list'!T73</f>
        <v>—</v>
      </c>
      <c r="T68" s="71" t="str">
        <f>'Stakeholder list'!U73</f>
        <v/>
      </c>
      <c r="U68" s="71" t="str">
        <f>'Stakeholder list'!V73</f>
        <v/>
      </c>
      <c r="V68" s="71" t="str">
        <f>'Stakeholder list'!W73</f>
        <v/>
      </c>
      <c r="W68" s="71" t="str">
        <f>'Stakeholder list'!X73</f>
        <v/>
      </c>
    </row>
    <row r="69">
      <c r="A69" s="71">
        <f>'Stakeholder list'!B74</f>
        <v>68</v>
      </c>
      <c r="B69" s="71" t="str">
        <f>'Stakeholder list'!C74</f>
        <v>Positive Ventures</v>
      </c>
      <c r="C69" s="71" t="str">
        <f>'Stakeholder list'!D74</f>
        <v>Private sector</v>
      </c>
      <c r="D69" s="71" t="str">
        <f>'Stakeholder list'!E74</f>
        <v>Impact investors</v>
      </c>
      <c r="E69" s="71" t="str">
        <f>'Stakeholder list'!F74</f>
        <v>Impact venture capital investor supporting startups with measurable social/environmental outcomes, accelerating innovation and scaling solutions for inclusive and low-carbon transitions.</v>
      </c>
      <c r="F69" s="71" t="str">
        <f>'Stakeholder list'!G74</f>
        <v>National</v>
      </c>
      <c r="G69" s="71" t="str">
        <f>'Stakeholder list'!H74</f>
        <v>Buildings &amp; Transport, "Land, Food and Forest"</v>
      </c>
      <c r="H69" s="71" t="str">
        <f>'Stakeholder list'!I74</f>
        <v/>
      </c>
      <c r="I69" s="71" t="str">
        <f>'Stakeholder list'!J74</f>
        <v/>
      </c>
      <c r="J69" s="71" t="str">
        <f>'Stakeholder list'!K74</f>
        <v>A venture capital firm that invests in early-stage startups committed to generating positive and measurable social and environmental impact.</v>
      </c>
      <c r="K69" s="71" t="str">
        <f>'Stakeholder list'!L74</f>
        <v>Capital provider / Financial intermediary</v>
      </c>
      <c r="L69" s="71" t="str">
        <f>'Stakeholder list'!M74</f>
        <v>Midstream</v>
      </c>
      <c r="M69" s="71" t="str">
        <f>'Stakeholder list'!N74</f>
        <v>Grant recipient</v>
      </c>
      <c r="N69" s="71" t="str">
        <f>'Stakeholder list'!O74</f>
        <v>São Paulo, SP, Brazil</v>
      </c>
      <c r="O69" s="71" t="str">
        <f>'Stakeholder list'!P74</f>
        <v>Re-granter</v>
      </c>
      <c r="P69" s="71" t="str">
        <f>'Stakeholder list'!Q74</f>
        <v/>
      </c>
      <c r="Q69" s="71" t="str">
        <f>'Stakeholder list'!R74</f>
        <v/>
      </c>
      <c r="R69" s="71" t="str">
        <f>'Stakeholder list'!S74</f>
        <v/>
      </c>
      <c r="S69" s="71" t="str">
        <f>'Stakeholder list'!T74</f>
        <v>—</v>
      </c>
      <c r="T69" s="71" t="str">
        <f>'Stakeholder list'!U74</f>
        <v/>
      </c>
      <c r="U69" s="71" t="str">
        <f>'Stakeholder list'!V74</f>
        <v/>
      </c>
      <c r="V69" s="71" t="str">
        <f>'Stakeholder list'!W74</f>
        <v/>
      </c>
      <c r="W69" s="71" t="str">
        <f>'Stakeholder list'!X74</f>
        <v/>
      </c>
    </row>
    <row r="70">
      <c r="A70" s="71">
        <f>'Stakeholder list'!B75</f>
        <v>69</v>
      </c>
      <c r="B70" s="71" t="str">
        <f>'Stakeholder list'!C75</f>
        <v>BMW Foundation Herbert Quandt</v>
      </c>
      <c r="C70" s="71" t="str">
        <f>'Stakeholder list'!D75</f>
        <v>Funders</v>
      </c>
      <c r="D70" s="71" t="str">
        <f>'Stakeholder list'!E75</f>
        <v>Philanthropy foundations</v>
      </c>
      <c r="E70" s="71" t="str">
        <f>'Stakeholder list'!F75</f>
        <v>Foundation that supports responsible leadership and social innovation, convening cross-sector networks and programs to address complex societal challenges.</v>
      </c>
      <c r="F70" s="71" t="str">
        <f>'Stakeholder list'!G75</f>
        <v>Cross-border / international</v>
      </c>
      <c r="G70" s="71" t="str">
        <f>'Stakeholder list'!H75</f>
        <v/>
      </c>
      <c r="H70" s="71" t="str">
        <f>'Stakeholder list'!I75</f>
        <v/>
      </c>
      <c r="I70" s="71" t="str">
        <f>'Stakeholder list'!J75</f>
        <v/>
      </c>
      <c r="J70" s="71" t="str">
        <f>'Stakeholder list'!K75</f>
        <v>It ran leadership and social innovation programs internationally and did not provide a Brazil-biome-specific portfolio cut.</v>
      </c>
      <c r="K70" s="71" t="str">
        <f>'Stakeholder list'!L75</f>
        <v>Funder, Convenor/enablers</v>
      </c>
      <c r="L70" s="71" t="str">
        <f>'Stakeholder list'!M75</f>
        <v>Upstream</v>
      </c>
      <c r="M70" s="71" t="str">
        <f>'Stakeholder list'!N75</f>
        <v>Co-funding partner</v>
      </c>
      <c r="N70" s="71" t="str">
        <f>'Stakeholder list'!O75</f>
        <v>Munich, Germany</v>
      </c>
      <c r="O70" s="71" t="str">
        <f>'Stakeholder list'!P75</f>
        <v>Donor</v>
      </c>
      <c r="P70" s="71" t="str">
        <f>'Stakeholder list'!Q75</f>
        <v>Sandra Ortiz (Latin America Director) </v>
      </c>
      <c r="Q70" s="73" t="str">
        <f>'Stakeholder list'!R75</f>
        <v>https://www.bmw-foundation.org/</v>
      </c>
      <c r="R70" s="71" t="str">
        <f>'Stakeholder list'!S75</f>
        <v>A strategic co-funding partner on ecossystem transformation, using SIB as a key element  to get there. </v>
      </c>
      <c r="S70" s="71" t="str">
        <f>'Stakeholder list'!T75</f>
        <v>—</v>
      </c>
      <c r="T70" s="71" t="str">
        <f>'Stakeholder list'!U75</f>
        <v/>
      </c>
      <c r="U70" s="71" t="str">
        <f>'Stakeholder list'!V75</f>
        <v/>
      </c>
      <c r="V70" s="71" t="str">
        <f>'Stakeholder list'!W75</f>
        <v/>
      </c>
      <c r="W70" s="71" t="str">
        <f>'Stakeholder list'!X75</f>
        <v/>
      </c>
    </row>
    <row r="71">
      <c r="A71" s="71">
        <f>'Stakeholder list'!B76</f>
        <v>70</v>
      </c>
      <c r="B71" s="71" t="str">
        <f>'Stakeholder list'!C76</f>
        <v>Ford Foundation</v>
      </c>
      <c r="C71" s="71" t="str">
        <f>'Stakeholder list'!D76</f>
        <v>Funders</v>
      </c>
      <c r="D71" s="71" t="str">
        <f>'Stakeholder list'!E76</f>
        <v>Philanthropy foundations</v>
      </c>
      <c r="E71" s="71" t="str">
        <f>'Stakeholder list'!F76</f>
        <v>Global philanthropic foundation focused on social justice and reducing inequality; supports organizations and systemic agendas, including intersections with climate justice and rights.</v>
      </c>
      <c r="F71" s="71" t="str">
        <f>'Stakeholder list'!G76</f>
        <v>Cross-border / international</v>
      </c>
      <c r="G71" s="71" t="str">
        <f>'Stakeholder list'!H76</f>
        <v>"Land, Food and Forest"</v>
      </c>
      <c r="H71" s="71" t="str">
        <f>'Stakeholder list'!I76</f>
        <v/>
      </c>
      <c r="I71" s="71" t="str">
        <f>'Stakeholder list'!J76</f>
        <v/>
      </c>
      <c r="J71" s="71" t="str">
        <f>'Stakeholder list'!K76</f>
        <v>It funded broad social-justice agendas and did not define a consistent Brazil-biome program cut for this dataset.</v>
      </c>
      <c r="K71" s="71" t="str">
        <f>'Stakeholder list'!L76</f>
        <v>Funder, Strategic partner</v>
      </c>
      <c r="L71" s="71" t="str">
        <f>'Stakeholder list'!M76</f>
        <v>Upstream</v>
      </c>
      <c r="M71" s="71" t="str">
        <f>'Stakeholder list'!N76</f>
        <v>Co-funding partner</v>
      </c>
      <c r="N71" s="71" t="str">
        <f>'Stakeholder list'!O76</f>
        <v>New York, NY, USA</v>
      </c>
      <c r="O71" s="71" t="str">
        <f>'Stakeholder list'!P76</f>
        <v>Donor</v>
      </c>
      <c r="P71" s="71" t="str">
        <f>'Stakeholder list'!Q76</f>
        <v>Atila Rock (Brazil Country Director) </v>
      </c>
      <c r="Q71" s="73" t="str">
        <f>'Stakeholder list'!R76</f>
        <v>https://www.fordfoundation.org/our-work-around-the-world/brazil-pt/</v>
      </c>
      <c r="R71" s="71" t="str">
        <f>'Stakeholder list'!S76</f>
        <v>Key partner to address climate change funding in the Amazon, specially on the forest and community based approaches.</v>
      </c>
      <c r="S71" s="71" t="str">
        <f>'Stakeholder list'!T76</f>
        <v>—</v>
      </c>
      <c r="T71" s="71" t="str">
        <f>'Stakeholder list'!U76</f>
        <v/>
      </c>
      <c r="U71" s="71" t="str">
        <f>'Stakeholder list'!V76</f>
        <v/>
      </c>
      <c r="V71" s="71" t="str">
        <f>'Stakeholder list'!W76</f>
        <v/>
      </c>
      <c r="W71" s="71" t="str">
        <f>'Stakeholder list'!X76</f>
        <v/>
      </c>
    </row>
    <row r="72">
      <c r="A72" s="71">
        <f>'Stakeholder list'!B77</f>
        <v>71</v>
      </c>
      <c r="B72" s="71" t="str">
        <f>'Stakeholder list'!C77</f>
        <v>Instituto Sabin</v>
      </c>
      <c r="C72" s="71" t="str">
        <f>'Stakeholder list'!D77</f>
        <v>Civil Society Organization (CSO)</v>
      </c>
      <c r="D72" s="71" t="str">
        <f>'Stakeholder list'!E77</f>
        <v>Philanthropy foundations</v>
      </c>
      <c r="E72" s="71" t="str">
        <f>'Stakeholder list'!F77</f>
        <v>Corporate social investment institute linked to Grupo Sabin; supports initiatives and partnerships (commonly in health, education and community development) that build local capacities and inclusion.</v>
      </c>
      <c r="F72" s="71" t="str">
        <f>'Stakeholder list'!G77</f>
        <v>National</v>
      </c>
      <c r="G72" s="71" t="str">
        <f>'Stakeholder list'!H77</f>
        <v/>
      </c>
      <c r="H72" s="71" t="str">
        <f>'Stakeholder list'!I77</f>
        <v/>
      </c>
      <c r="I72" s="71" t="str">
        <f>'Stakeholder list'!J77</f>
        <v/>
      </c>
      <c r="J72" s="71" t="str">
        <f>'Stakeholder list'!K77</f>
        <v>It focused on health/education/community partnerships and did not operate with a biome-based territorial strategy.</v>
      </c>
      <c r="K72" s="71" t="str">
        <f>'Stakeholder list'!L77</f>
        <v>Funder, Territorial anchor</v>
      </c>
      <c r="L72" s="71" t="str">
        <f>'Stakeholder list'!M77</f>
        <v>Upstream</v>
      </c>
      <c r="M72" s="71" t="str">
        <f>'Stakeholder list'!N77</f>
        <v>Co-funding partner</v>
      </c>
      <c r="N72" s="71" t="str">
        <f>'Stakeholder list'!O77</f>
        <v>Brasília, DF, Brazil</v>
      </c>
      <c r="O72" s="71" t="str">
        <f>'Stakeholder list'!P77</f>
        <v>Donor</v>
      </c>
      <c r="P72" s="71" t="str">
        <f>'Stakeholder list'!Q77</f>
        <v>Raquel Ribeiro Vaz (President) </v>
      </c>
      <c r="Q72" s="73" t="str">
        <f>'Stakeholder list'!R77</f>
        <v>https://institutosabin.org.br/</v>
      </c>
      <c r="R72" s="71" t="str">
        <f>'Stakeholder list'!S77</f>
        <v>Could be a partner to co-fund a portfolio of projects in targeted cities (co-benefit agenda) </v>
      </c>
      <c r="S72" s="71" t="str">
        <f>'Stakeholder list'!T77</f>
        <v>—</v>
      </c>
      <c r="T72" s="71" t="str">
        <f>'Stakeholder list'!U77</f>
        <v/>
      </c>
      <c r="U72" s="71" t="str">
        <f>'Stakeholder list'!V77</f>
        <v/>
      </c>
      <c r="V72" s="71" t="str">
        <f>'Stakeholder list'!W77</f>
        <v/>
      </c>
      <c r="W72" s="71" t="str">
        <f>'Stakeholder list'!X77</f>
        <v/>
      </c>
    </row>
    <row r="73">
      <c r="A73" s="71">
        <f>'Stakeholder list'!B78</f>
        <v>72</v>
      </c>
      <c r="B73" s="71" t="str">
        <f>'Stakeholder list'!C78</f>
        <v>Instituto Phi</v>
      </c>
      <c r="C73" s="71" t="str">
        <f>'Stakeholder list'!D78</f>
        <v>Civil Society Organization (CSO)</v>
      </c>
      <c r="D73" s="71" t="str">
        <f>'Stakeholder list'!E78</f>
        <v>Philanthropy foundations</v>
      </c>
      <c r="E73" s="71" t="str">
        <f>'Stakeholder list'!F78</f>
        <v>Philanthropy organization that mobilizes donors and structures giving toward high-impact projects, strengthening the Brazilian giving ecosystem and scaling effective initiatives.</v>
      </c>
      <c r="F73" s="71" t="str">
        <f>'Stakeholder list'!G78</f>
        <v>National</v>
      </c>
      <c r="G73" s="71" t="str">
        <f>'Stakeholder list'!H78</f>
        <v>Buildings &amp; Transport, Energy, "Land, Food and Forest"</v>
      </c>
      <c r="H73" s="71" t="str">
        <f>'Stakeholder list'!I78</f>
        <v/>
      </c>
      <c r="I73" s="71" t="str">
        <f>'Stakeholder list'!J78</f>
        <v/>
      </c>
      <c r="J73" s="71" t="str">
        <f>'Stakeholder list'!K78</f>
        <v>It mobilized donors and structured giving nationally and did not target interventions using biome boundaries.</v>
      </c>
      <c r="K73" s="71" t="str">
        <f>'Stakeholder list'!L78</f>
        <v>Project developer / Implementer, Convenor/enablers, Implementation capacity (delivery)</v>
      </c>
      <c r="L73" s="71" t="str">
        <f>'Stakeholder list'!M78</f>
        <v>Midstream</v>
      </c>
      <c r="M73" s="71" t="str">
        <f>'Stakeholder list'!N78</f>
        <v>Grant recipient</v>
      </c>
      <c r="N73" s="71" t="str">
        <f>'Stakeholder list'!O78</f>
        <v>Rio de Janeiro, RJ, Brazil</v>
      </c>
      <c r="O73" s="71" t="str">
        <f>'Stakeholder list'!P78</f>
        <v>Grantee</v>
      </c>
      <c r="P73" s="71" t="str">
        <f>'Stakeholder list'!Q78</f>
        <v>Luíza Serpa (Executive Director) </v>
      </c>
      <c r="Q73" s="73" t="str">
        <f>'Stakeholder list'!R78</f>
        <v>Instituto Phi</v>
      </c>
      <c r="R73" s="71" t="str">
        <f>'Stakeholder list'!S78</f>
        <v>A relevant potential regreting organizatio to addres international Foundation work in Brazil. Track reccord doing that (LATIMPACTO, among others). </v>
      </c>
      <c r="S73" s="71" t="str">
        <f>'Stakeholder list'!T78</f>
        <v>—</v>
      </c>
      <c r="T73" s="71" t="str">
        <f>'Stakeholder list'!U78</f>
        <v/>
      </c>
      <c r="U73" s="71" t="str">
        <f>'Stakeholder list'!V78</f>
        <v/>
      </c>
      <c r="V73" s="71" t="str">
        <f>'Stakeholder list'!W78</f>
        <v/>
      </c>
      <c r="W73" s="71" t="str">
        <f>'Stakeholder list'!X78</f>
        <v/>
      </c>
    </row>
    <row r="74">
      <c r="A74" s="71">
        <f>'Stakeholder list'!B79</f>
        <v>73</v>
      </c>
      <c r="B74" s="71" t="str">
        <f>'Stakeholder list'!C79</f>
        <v>Deloitte</v>
      </c>
      <c r="C74" s="71" t="str">
        <f>'Stakeholder list'!D79</f>
        <v>Private sector</v>
      </c>
      <c r="D74" s="71" t="str">
        <f>'Stakeholder list'!E79</f>
        <v>Private companies (large / leading)</v>
      </c>
      <c r="E74" s="71" t="str">
        <f>'Stakeholder list'!F79</f>
        <v>Professional services firm that can support transitions through ESG strategy, governance, risk management, compliance, measurement, and implementation support for organizations.</v>
      </c>
      <c r="F74" s="71" t="str">
        <f>'Stakeholder list'!G79</f>
        <v>Cross-border / international</v>
      </c>
      <c r="G74" s="71" t="str">
        <f>'Stakeholder list'!H79</f>
        <v/>
      </c>
      <c r="H74" s="71" t="str">
        <f>'Stakeholder list'!I79</f>
        <v/>
      </c>
      <c r="I74" s="71" t="str">
        <f>'Stakeholder list'!J79</f>
        <v/>
      </c>
      <c r="J74" s="71" t="str">
        <f>'Stakeholder list'!K79</f>
        <v>It provided advisory services across sectors and geographies and did not apply a biome-specific delivery model.</v>
      </c>
      <c r="K74" s="71" t="str">
        <f>'Stakeholder list'!L79</f>
        <v>Technical assistance / research, Data / MRV / platforms</v>
      </c>
      <c r="L74" s="71" t="str">
        <f>'Stakeholder list'!M79</f>
        <v>Upstream</v>
      </c>
      <c r="M74" s="71" t="str">
        <f>'Stakeholder list'!N79</f>
        <v>Co-funding partner</v>
      </c>
      <c r="N74" s="71" t="str">
        <f>'Stakeholder list'!O79</f>
        <v>London, United Kingdom</v>
      </c>
      <c r="O74" s="71" t="str">
        <f>'Stakeholder list'!P79</f>
        <v>Donor</v>
      </c>
      <c r="P74" s="71" t="str">
        <f>'Stakeholder list'!Q79</f>
        <v/>
      </c>
      <c r="Q74" s="71" t="str">
        <f>'Stakeholder list'!R79</f>
        <v/>
      </c>
      <c r="R74" s="71" t="str">
        <f>'Stakeholder list'!S79</f>
        <v/>
      </c>
      <c r="S74" s="71" t="str">
        <f>'Stakeholder list'!T79</f>
        <v>—</v>
      </c>
      <c r="T74" s="71" t="str">
        <f>'Stakeholder list'!U79</f>
        <v/>
      </c>
      <c r="U74" s="71" t="str">
        <f>'Stakeholder list'!V79</f>
        <v/>
      </c>
      <c r="V74" s="71" t="str">
        <f>'Stakeholder list'!W79</f>
        <v/>
      </c>
      <c r="W74" s="71" t="str">
        <f>'Stakeholder list'!X79</f>
        <v/>
      </c>
    </row>
    <row r="75">
      <c r="A75" s="71">
        <f>'Stakeholder list'!B80</f>
        <v>74</v>
      </c>
      <c r="B75" s="71" t="str">
        <f>'Stakeholder list'!C80</f>
        <v>Centro de Estudos em Sustentabilidade da FGV (FGVces)</v>
      </c>
      <c r="C75" s="71" t="str">
        <f>'Stakeholder list'!D80</f>
        <v>Funders</v>
      </c>
      <c r="D75" s="71" t="str">
        <f>'Stakeholder list'!E80</f>
        <v>Monitoring, Evaluation, and Learning</v>
      </c>
      <c r="E75" s="71" t="str">
        <f>'Stakeholder list'!F80</f>
        <v>Applied sustainability research center that develops methods, metrics and convening to inform corporate strategies and public policies for low-carbon and inclusive transitions.</v>
      </c>
      <c r="F75" s="71" t="str">
        <f>'Stakeholder list'!G80</f>
        <v>National</v>
      </c>
      <c r="G75" s="71" t="str">
        <f>'Stakeholder list'!H80</f>
        <v>Buildings &amp; Transport, Emergency response, Energy, "Land, Food and Forest"</v>
      </c>
      <c r="H75" s="71" t="str">
        <f>'Stakeholder list'!I80</f>
        <v/>
      </c>
      <c r="I75" s="71" t="str">
        <f>'Stakeholder list'!J80</f>
        <v/>
      </c>
      <c r="J75" s="71" t="str">
        <f>'Stakeholder list'!K80</f>
        <v>It produced applied research and convening and did not define its work through biome-specific implementation portfolios.</v>
      </c>
      <c r="K75" s="71" t="str">
        <f>'Stakeholder list'!L80</f>
        <v>Technical assistance / research, Data / MRV / platforms</v>
      </c>
      <c r="L75" s="71" t="str">
        <f>'Stakeholder list'!M80</f>
        <v>Upstream</v>
      </c>
      <c r="M75" s="71" t="str">
        <f>'Stakeholder list'!N80</f>
        <v>Grant recipient</v>
      </c>
      <c r="N75" s="71" t="str">
        <f>'Stakeholder list'!O80</f>
        <v>São Paulo, SP, Brazil</v>
      </c>
      <c r="O75" s="71" t="str">
        <f>'Stakeholder list'!P80</f>
        <v>Grantee</v>
      </c>
      <c r="P75" s="71" t="str">
        <f>'Stakeholder list'!Q80</f>
        <v/>
      </c>
      <c r="Q75" s="71" t="str">
        <f>'Stakeholder list'!R80</f>
        <v/>
      </c>
      <c r="R75" s="71" t="str">
        <f>'Stakeholder list'!S80</f>
        <v>Could be a research parner for IKF in Brazil.</v>
      </c>
      <c r="S75" s="71" t="str">
        <f>'Stakeholder list'!T80</f>
        <v>Impact measurement methodology, corporate sustainability metrics and climate policy evaluation</v>
      </c>
      <c r="T75" s="71" t="str">
        <f>'Stakeholder list'!U80</f>
        <v/>
      </c>
      <c r="U75" s="71" t="str">
        <f>'Stakeholder list'!V80</f>
        <v/>
      </c>
      <c r="V75" s="71" t="str">
        <f>'Stakeholder list'!W80</f>
        <v/>
      </c>
      <c r="W75" s="71" t="str">
        <f>'Stakeholder list'!X80</f>
        <v/>
      </c>
    </row>
    <row r="76">
      <c r="A76" s="71">
        <f>'Stakeholder list'!B81</f>
        <v>75</v>
      </c>
      <c r="B76" s="71" t="str">
        <f>'Stakeholder list'!C81</f>
        <v>Fundação Dom Cabral (FDC)</v>
      </c>
      <c r="C76" s="71" t="str">
        <f>'Stakeholder list'!D81</f>
        <v>Funders</v>
      </c>
      <c r="D76" s="71" t="str">
        <f>'Stakeholder list'!E81</f>
        <v>Academia</v>
      </c>
      <c r="E76" s="71" t="str">
        <f>'Stakeholder list'!F81</f>
        <v>Business school providing executive education and applied research; strengthens leadership, governance and organizational capabilities for sustainability and systemic transformation.</v>
      </c>
      <c r="F76" s="71" t="str">
        <f>'Stakeholder list'!G81</f>
        <v>National</v>
      </c>
      <c r="G76" s="71" t="str">
        <f>'Stakeholder list'!H81</f>
        <v/>
      </c>
      <c r="H76" s="71" t="str">
        <f>'Stakeholder list'!I81</f>
        <v/>
      </c>
      <c r="I76" s="71" t="str">
        <f>'Stakeholder list'!J81</f>
        <v/>
      </c>
      <c r="J76" s="71" t="str">
        <f>'Stakeholder list'!K81</f>
        <v>It delivered executive education and applied research and did not organize activities through biome-based cuts.</v>
      </c>
      <c r="K76" s="71" t="str">
        <f>'Stakeholder list'!L81</f>
        <v>Technical assistance / research</v>
      </c>
      <c r="L76" s="71" t="str">
        <f>'Stakeholder list'!M81</f>
        <v>Upstream</v>
      </c>
      <c r="M76" s="71" t="str">
        <f>'Stakeholder list'!N81</f>
        <v>Grant recipient</v>
      </c>
      <c r="N76" s="71" t="str">
        <f>'Stakeholder list'!O81</f>
        <v>Nova Lima, MG, Brazil</v>
      </c>
      <c r="O76" s="71" t="str">
        <f>'Stakeholder list'!P81</f>
        <v>Grantee</v>
      </c>
      <c r="P76" s="71" t="str">
        <f>'Stakeholder list'!Q81</f>
        <v/>
      </c>
      <c r="Q76" s="71" t="str">
        <f>'Stakeholder list'!R81</f>
        <v/>
      </c>
      <c r="R76" s="71" t="str">
        <f>'Stakeholder list'!S81</f>
        <v>Could be a research parner for IKF in Brazil.</v>
      </c>
      <c r="S76" s="71" t="str">
        <f>'Stakeholder list'!T81</f>
        <v>—</v>
      </c>
      <c r="T76" s="71" t="str">
        <f>'Stakeholder list'!U81</f>
        <v/>
      </c>
      <c r="U76" s="71" t="str">
        <f>'Stakeholder list'!V81</f>
        <v/>
      </c>
      <c r="V76" s="71" t="str">
        <f>'Stakeholder list'!W81</f>
        <v/>
      </c>
      <c r="W76" s="71" t="str">
        <f>'Stakeholder list'!X81</f>
        <v/>
      </c>
    </row>
    <row r="77">
      <c r="A77" s="71">
        <f>'Stakeholder list'!B82</f>
        <v>76</v>
      </c>
      <c r="B77" s="71" t="str">
        <f>'Stakeholder list'!C82</f>
        <v>Instituto Brasileiro de Governança Corporativa (IBGC)</v>
      </c>
      <c r="C77" s="71" t="str">
        <f>'Stakeholder list'!D82</f>
        <v>Civil Society Organization (CSO)</v>
      </c>
      <c r="D77" s="71" t="str">
        <f>'Stakeholder list'!E82</f>
        <v>Industry platforms and sectoral initiatives</v>
      </c>
      <c r="E77" s="71" t="str">
        <f>'Stakeholder list'!F82</f>
        <v>Reference institution for corporate governance in Brazil; disseminates standards and training that strengthen accountability, transparency and long-term value creation aligned with sustainability.</v>
      </c>
      <c r="F77" s="71" t="str">
        <f>'Stakeholder list'!G82</f>
        <v>National</v>
      </c>
      <c r="G77" s="71" t="str">
        <f>'Stakeholder list'!H82</f>
        <v/>
      </c>
      <c r="H77" s="71" t="str">
        <f>'Stakeholder list'!I82</f>
        <v/>
      </c>
      <c r="I77" s="71" t="str">
        <f>'Stakeholder list'!J82</f>
        <v/>
      </c>
      <c r="J77" s="71" t="str">
        <f>'Stakeholder list'!K82</f>
        <v>It disseminated governance standards and training nationally and did not use biomes as an operational lens.</v>
      </c>
      <c r="K77" s="71" t="str">
        <f>'Stakeholder list'!L82</f>
        <v>Policy influence / regulation, Convenor/enablers</v>
      </c>
      <c r="L77" s="71" t="str">
        <f>'Stakeholder list'!M82</f>
        <v>Upstream</v>
      </c>
      <c r="M77" s="71" t="str">
        <f>'Stakeholder list'!N82</f>
        <v>Grant recipient</v>
      </c>
      <c r="N77" s="71" t="str">
        <f>'Stakeholder list'!O82</f>
        <v>São Paulo, SP, Brazil</v>
      </c>
      <c r="O77" s="71" t="str">
        <f>'Stakeholder list'!P82</f>
        <v>Grantee</v>
      </c>
      <c r="P77" s="71" t="str">
        <f>'Stakeholder list'!Q82</f>
        <v/>
      </c>
      <c r="Q77" s="71" t="str">
        <f>'Stakeholder list'!R82</f>
        <v/>
      </c>
      <c r="R77" s="71" t="str">
        <f>'Stakeholder list'!S82</f>
        <v>Could be an important partner to advance governance in philanthropy in Brazil. </v>
      </c>
      <c r="S77" s="71" t="str">
        <f>'Stakeholder list'!T82</f>
        <v>—</v>
      </c>
      <c r="T77" s="71" t="str">
        <f>'Stakeholder list'!U82</f>
        <v/>
      </c>
      <c r="U77" s="71" t="str">
        <f>'Stakeholder list'!V82</f>
        <v/>
      </c>
      <c r="V77" s="71" t="str">
        <f>'Stakeholder list'!W82</f>
        <v/>
      </c>
      <c r="W77" s="71" t="str">
        <f>'Stakeholder list'!X82</f>
        <v/>
      </c>
    </row>
    <row r="78">
      <c r="A78" s="71">
        <f>'Stakeholder list'!B83</f>
        <v>77</v>
      </c>
      <c r="B78" s="71" t="str">
        <f>'Stakeholder list'!C83</f>
        <v>Escola Superior de Agricultura Luiz de Queiroz da USP (ESALQ/USP)</v>
      </c>
      <c r="C78" s="71" t="str">
        <f>'Stakeholder list'!D83</f>
        <v>Public sector</v>
      </c>
      <c r="D78" s="71" t="str">
        <f>'Stakeholder list'!E83</f>
        <v>Academia</v>
      </c>
      <c r="E78" s="71" t="str">
        <f>'Stakeholder list'!F83</f>
        <v>USP school dedicated to teaching and research in agrifood systems and land use; contributes via innovation for sustainable agriculture, climate adaptation and bioeconomy.</v>
      </c>
      <c r="F78" s="71" t="str">
        <f>'Stakeholder list'!G83</f>
        <v>State-level</v>
      </c>
      <c r="G78" s="71" t="str">
        <f>'Stakeholder list'!H83</f>
        <v/>
      </c>
      <c r="H78" s="71" t="str">
        <f>'Stakeholder list'!I83</f>
        <v/>
      </c>
      <c r="I78" s="71" t="str">
        <f>'Stakeholder list'!J83</f>
        <v/>
      </c>
      <c r="J78" s="71" t="str">
        <f>'Stakeholder list'!K83</f>
        <v>It operated as an academic/research school and did not present a stable set of biome-targeted projects in this list.</v>
      </c>
      <c r="K78" s="71" t="str">
        <f>'Stakeholder list'!L83</f>
        <v>Technical assistance / research</v>
      </c>
      <c r="L78" s="71" t="str">
        <f>'Stakeholder list'!M83</f>
        <v>Upstream</v>
      </c>
      <c r="M78" s="71" t="str">
        <f>'Stakeholder list'!N83</f>
        <v>Grant recipient</v>
      </c>
      <c r="N78" s="71" t="str">
        <f>'Stakeholder list'!O83</f>
        <v>Piracicaba, SP, Brazil</v>
      </c>
      <c r="O78" s="71" t="str">
        <f>'Stakeholder list'!P83</f>
        <v>Grantee</v>
      </c>
      <c r="P78" s="71" t="str">
        <f>'Stakeholder list'!Q83</f>
        <v/>
      </c>
      <c r="Q78" s="71" t="str">
        <f>'Stakeholder list'!R83</f>
        <v/>
      </c>
      <c r="R78" s="71" t="str">
        <f>'Stakeholder list'!S83</f>
        <v>Could be an important partner to advance governance in philanthropy in Brazil. </v>
      </c>
      <c r="S78" s="71" t="str">
        <f>'Stakeholder list'!T83</f>
        <v>—</v>
      </c>
      <c r="T78" s="71" t="str">
        <f>'Stakeholder list'!U83</f>
        <v/>
      </c>
      <c r="U78" s="71" t="str">
        <f>'Stakeholder list'!V83</f>
        <v/>
      </c>
      <c r="V78" s="71" t="str">
        <f>'Stakeholder list'!W83</f>
        <v/>
      </c>
      <c r="W78" s="71" t="str">
        <f>'Stakeholder list'!X83</f>
        <v/>
      </c>
    </row>
    <row r="79">
      <c r="A79" s="71">
        <f>'Stakeholder list'!B84</f>
        <v>78</v>
      </c>
      <c r="B79" s="71" t="str">
        <f>'Stakeholder list'!C84</f>
        <v>Bemtevi</v>
      </c>
      <c r="C79" s="71" t="str">
        <f>'Stakeholder list'!D84</f>
        <v>Private sector</v>
      </c>
      <c r="D79" s="71" t="str">
        <f>'Stakeholder list'!E84</f>
        <v>Private companies (SMEs / local enterprises)</v>
      </c>
      <c r="E79" s="71" t="str">
        <f>'Stakeholder list'!F84</f>
        <v>Impact-oriented organization/consultancy that supports strategy, partnerships and implementation of socio-environmental projects, helping scale solutions across territories and value chains.</v>
      </c>
      <c r="F79" s="71" t="str">
        <f>'Stakeholder list'!G84</f>
        <v>National</v>
      </c>
      <c r="G79" s="71" t="str">
        <f>'Stakeholder list'!H84</f>
        <v>Buildings &amp; Transport, Energy, "Land, Food and Forest"</v>
      </c>
      <c r="H79" s="71" t="str">
        <f>'Stakeholder list'!I84</f>
        <v/>
      </c>
      <c r="I79" s="71" t="str">
        <f>'Stakeholder list'!J84</f>
        <v/>
      </c>
      <c r="J79" s="71" t="str">
        <f>'Stakeholder list'!K84</f>
        <v>It supported projects across territories and value chains, but no consistent biome-defined portfolio was identified in this mapping.</v>
      </c>
      <c r="K79" s="71" t="str">
        <f>'Stakeholder list'!L84</f>
        <v>Capital provider / Financial intermediary</v>
      </c>
      <c r="L79" s="71" t="str">
        <f>'Stakeholder list'!M84</f>
        <v>Midstream</v>
      </c>
      <c r="M79" s="71" t="str">
        <f>'Stakeholder list'!N84</f>
        <v>Co-funding partner</v>
      </c>
      <c r="N79" s="71" t="str">
        <f>'Stakeholder list'!O84</f>
        <v>São Paulo, SP, Brazil</v>
      </c>
      <c r="O79" s="71" t="str">
        <f>'Stakeholder list'!P84</f>
        <v>Re-granter</v>
      </c>
      <c r="P79" s="71" t="str">
        <f>'Stakeholder list'!Q84</f>
        <v/>
      </c>
      <c r="Q79" s="71" t="str">
        <f>'Stakeholder list'!R84</f>
        <v/>
      </c>
      <c r="R79" s="71" t="str">
        <f>'Stakeholder list'!S84</f>
        <v/>
      </c>
      <c r="S79" s="71" t="str">
        <f>'Stakeholder list'!T84</f>
        <v>—</v>
      </c>
      <c r="T79" s="71" t="str">
        <f>'Stakeholder list'!U84</f>
        <v/>
      </c>
      <c r="U79" s="71" t="str">
        <f>'Stakeholder list'!V84</f>
        <v/>
      </c>
      <c r="V79" s="71" t="str">
        <f>'Stakeholder list'!W84</f>
        <v/>
      </c>
      <c r="W79" s="71" t="str">
        <f>'Stakeholder list'!X84</f>
        <v/>
      </c>
    </row>
    <row r="80">
      <c r="A80" s="71">
        <f>'Stakeholder list'!B85</f>
        <v>79</v>
      </c>
      <c r="B80" s="71" t="str">
        <f>'Stakeholder list'!C85</f>
        <v>Climate and Land Use Alliance (CLUA)</v>
      </c>
      <c r="C80" s="71" t="str">
        <f>'Stakeholder list'!D85</f>
        <v>Funders</v>
      </c>
      <c r="D80" s="71" t="str">
        <f>'Stakeholder list'!E85</f>
        <v>Alliances</v>
      </c>
      <c r="E80" s="71" t="str">
        <f>'Stakeholder list'!F85</f>
        <v>Alliance of philanthropic foundations that aligns strategies and funding to reduce deforestation, improve land-use governance, and advance climate and nature outcomes with social benefits.</v>
      </c>
      <c r="F80" s="71" t="str">
        <f>'Stakeholder list'!G85</f>
        <v>Cross-border / international</v>
      </c>
      <c r="G80" s="71" t="str">
        <f>'Stakeholder list'!H85</f>
        <v>"Land, Food and Forest"</v>
      </c>
      <c r="H80" s="71" t="str">
        <f>'Stakeholder list'!I85</f>
        <v>Amazonia, Cerrado</v>
      </c>
      <c r="I80" s="71" t="str">
        <f>'Stakeholder list'!J85</f>
        <v/>
      </c>
      <c r="J80" s="71" t="str">
        <f>'Stakeholder list'!K85</f>
        <v>It aligned funding to reduce deforestation with a clear emphasis on Amazonia and also supported land-use governance agendas linked to Cerrado.</v>
      </c>
      <c r="K80" s="71" t="str">
        <f>'Stakeholder list'!L85</f>
        <v>Funder, Strategic partner</v>
      </c>
      <c r="L80" s="71" t="str">
        <f>'Stakeholder list'!M85</f>
        <v>Upstream</v>
      </c>
      <c r="M80" s="71" t="str">
        <f>'Stakeholder list'!N85</f>
        <v>Co-funding partner</v>
      </c>
      <c r="N80" s="71" t="str">
        <f>'Stakeholder list'!O85</f>
        <v>San Francisco, CA, USA</v>
      </c>
      <c r="O80" s="71" t="str">
        <f>'Stakeholder list'!P85</f>
        <v>Donor</v>
      </c>
      <c r="P80" s="71" t="str">
        <f>'Stakeholder list'!Q85</f>
        <v>Atila Rock (FFoundation BRAZIL Country Director) </v>
      </c>
      <c r="Q80" s="73" t="str">
        <f>'Stakeholder list'!R85</f>
        <v>https://climateandlandusealliance.org › ...</v>
      </c>
      <c r="R80" s="71" t="str">
        <f>'Stakeholder list'!S85</f>
        <v>Relkevant strategic and co-funding partner for IKF in Brazil in different arenas: biomes and impact areas.</v>
      </c>
      <c r="S80" s="71" t="str">
        <f>'Stakeholder list'!T85</f>
        <v>—</v>
      </c>
      <c r="T80" s="71" t="str">
        <f>'Stakeholder list'!U85</f>
        <v/>
      </c>
      <c r="U80" s="71" t="str">
        <f>'Stakeholder list'!V85</f>
        <v/>
      </c>
      <c r="V80" s="71" t="str">
        <f>'Stakeholder list'!W85</f>
        <v/>
      </c>
      <c r="W80" s="71" t="str">
        <f>'Stakeholder list'!X85</f>
        <v/>
      </c>
    </row>
    <row r="81">
      <c r="A81" s="71">
        <f>'Stakeholder list'!B86</f>
        <v>80</v>
      </c>
      <c r="B81" s="71" t="str">
        <f>'Stakeholder list'!C86</f>
        <v>AMAZ</v>
      </c>
      <c r="C81" s="71" t="str">
        <f>'Stakeholder list'!D86</f>
        <v>Civil Society Organization (CSO)</v>
      </c>
      <c r="D81" s="71" t="str">
        <f>'Stakeholder list'!E86</f>
        <v>Impact investors</v>
      </c>
      <c r="E81" s="71" t="str">
        <f>'Stakeholder list'!F86</f>
        <v>Impact accelerator and investor focused on the Amazon region; supports impact enterprises that generate positive outcomes for forests and local populations, strengthening sustainable business models and access to finance/markets.</v>
      </c>
      <c r="F81" s="71" t="str">
        <f>'Stakeholder list'!G86</f>
        <v>Regional</v>
      </c>
      <c r="G81" s="71" t="str">
        <f>'Stakeholder list'!H86</f>
        <v>"Land, Food and Forest"</v>
      </c>
      <c r="H81" s="71" t="str">
        <f>'Stakeholder list'!I86</f>
        <v>Amazonia</v>
      </c>
      <c r="I81" s="71" t="str">
        <f>'Stakeholder list'!J86</f>
        <v/>
      </c>
      <c r="J81" s="71" t="str">
        <f>'Stakeholder list'!K86</f>
        <v>It focused its acceleration and investment mandate on the Amazon region, which anchored its work in Amazonia.</v>
      </c>
      <c r="K81" s="71" t="str">
        <f>'Stakeholder list'!L86</f>
        <v>Capital provider / Financial intermediary</v>
      </c>
      <c r="L81" s="71" t="str">
        <f>'Stakeholder list'!M86</f>
        <v>Midstream</v>
      </c>
      <c r="M81" s="71" t="str">
        <f>'Stakeholder list'!N86</f>
        <v>Grant recipient</v>
      </c>
      <c r="N81" s="71" t="str">
        <f>'Stakeholder list'!O86</f>
        <v>Manaus, AM, Brazil</v>
      </c>
      <c r="O81" s="71" t="str">
        <f>'Stakeholder list'!P86</f>
        <v>Re-granter</v>
      </c>
      <c r="P81" s="71" t="str">
        <f>'Stakeholder list'!Q86</f>
        <v>SIB "arm" in the Amazon, as a spin-off of IDESAM. Could be a fund holder for SIB in the Amazon.</v>
      </c>
      <c r="Q81" s="71" t="str">
        <f>'Stakeholder list'!R86</f>
        <v/>
      </c>
      <c r="R81" s="71" t="str">
        <f>'Stakeholder list'!S86</f>
        <v/>
      </c>
      <c r="S81" s="71" t="str">
        <f>'Stakeholder list'!T86</f>
        <v>—</v>
      </c>
      <c r="T81" s="71" t="str">
        <f>'Stakeholder list'!U86</f>
        <v/>
      </c>
      <c r="U81" s="71" t="str">
        <f>'Stakeholder list'!V86</f>
        <v/>
      </c>
      <c r="V81" s="71" t="str">
        <f>'Stakeholder list'!W86</f>
        <v/>
      </c>
      <c r="W81" s="71" t="str">
        <f>'Stakeholder list'!X86</f>
        <v/>
      </c>
    </row>
    <row r="82">
      <c r="A82" s="71">
        <f>'Stakeholder list'!B87</f>
        <v>81</v>
      </c>
      <c r="B82" s="71" t="str">
        <f>'Stakeholder list'!C87</f>
        <v>Mercado Livre</v>
      </c>
      <c r="C82" s="71" t="str">
        <f>'Stakeholder list'!D87</f>
        <v>Private sector</v>
      </c>
      <c r="D82" s="71" t="str">
        <f>'Stakeholder list'!E87</f>
        <v>Private companies (large / leading)</v>
      </c>
      <c r="E82" s="71" t="str">
        <f>'Stakeholder list'!F87</f>
        <v>Leading e-commerce and logistics company in Latin America; can influence systemic transition through low-carbon logistics, responsible packaging, supplier standards, and scaling access for SMEs and sustainable products.</v>
      </c>
      <c r="F82" s="71" t="str">
        <f>'Stakeholder list'!G87</f>
        <v>Cross-border / international</v>
      </c>
      <c r="G82" s="71" t="str">
        <f>'Stakeholder list'!H87</f>
        <v>Buildings &amp; Transport</v>
      </c>
      <c r="H82" s="71" t="str">
        <f>'Stakeholder list'!I87</f>
        <v/>
      </c>
      <c r="I82" s="71" t="str">
        <f>'Stakeholder list'!J87</f>
        <v/>
      </c>
      <c r="J82" s="71" t="str">
        <f>'Stakeholder list'!K87</f>
        <v>It operated through regional logistics and platform services and did not define actions using Brazilian biome boundaries.</v>
      </c>
      <c r="K82" s="71" t="str">
        <f>'Stakeholder list'!L87</f>
        <v>Strategic partner, Implementation capacity (delivery)</v>
      </c>
      <c r="L82" s="71" t="str">
        <f>'Stakeholder list'!M87</f>
        <v>Downstream</v>
      </c>
      <c r="M82" s="71" t="str">
        <f>'Stakeholder list'!N87</f>
        <v>Co-funding partner</v>
      </c>
      <c r="N82" s="71" t="str">
        <f>'Stakeholder list'!O87</f>
        <v>Buenos Aires, Argentina</v>
      </c>
      <c r="O82" s="71" t="str">
        <f>'Stakeholder list'!P87</f>
        <v>Donor</v>
      </c>
      <c r="P82" s="71" t="str">
        <f>'Stakeholder list'!Q87</f>
        <v/>
      </c>
      <c r="Q82" s="71" t="str">
        <f>'Stakeholder list'!R87</f>
        <v/>
      </c>
      <c r="R82" s="71" t="str">
        <f>'Stakeholder list'!S87</f>
        <v/>
      </c>
      <c r="S82" s="71" t="str">
        <f>'Stakeholder list'!T87</f>
        <v>—</v>
      </c>
      <c r="T82" s="71" t="str">
        <f>'Stakeholder list'!U87</f>
        <v/>
      </c>
      <c r="U82" s="71" t="str">
        <f>'Stakeholder list'!V87</f>
        <v/>
      </c>
      <c r="V82" s="71" t="str">
        <f>'Stakeholder list'!W87</f>
        <v/>
      </c>
      <c r="W82" s="71" t="str">
        <f>'Stakeholder list'!X87</f>
        <v/>
      </c>
    </row>
    <row r="83">
      <c r="A83" s="71">
        <f>'Stakeholder list'!B88</f>
        <v>82</v>
      </c>
      <c r="B83" s="71" t="str">
        <f>'Stakeholder list'!C88</f>
        <v>Amazon</v>
      </c>
      <c r="C83" s="71" t="str">
        <f>'Stakeholder list'!D88</f>
        <v>Private sector</v>
      </c>
      <c r="D83" s="71" t="str">
        <f>'Stakeholder list'!E88</f>
        <v>Private companies (large / leading)</v>
      </c>
      <c r="E83" s="71" t="str">
        <f>'Stakeholder list'!F88</f>
        <v>Global e-commerce, cloud and logistics company; can influence systemic transition via renewable energy procurement, low-carbon logistics, responsible supply chains, and scaling digital infrastructure for climate and inclusion solutions.</v>
      </c>
      <c r="F83" s="71" t="str">
        <f>'Stakeholder list'!G88</f>
        <v>Cross-border / international</v>
      </c>
      <c r="G83" s="71" t="str">
        <f>'Stakeholder list'!H88</f>
        <v>Buildings &amp; Transport</v>
      </c>
      <c r="H83" s="71" t="str">
        <f>'Stakeholder list'!I88</f>
        <v/>
      </c>
      <c r="I83" s="71" t="str">
        <f>'Stakeholder list'!J88</f>
        <v/>
      </c>
      <c r="J83" s="71" t="str">
        <f>'Stakeholder list'!K88</f>
        <v>It ran global logistics/cloud operations and did not structure Brazil activities by biome in a way that was identifiable for this mapping.</v>
      </c>
      <c r="K83" s="71" t="str">
        <f>'Stakeholder list'!L88</f>
        <v>Strategic partner, Implementation capacity (delivery)</v>
      </c>
      <c r="L83" s="71" t="str">
        <f>'Stakeholder list'!M88</f>
        <v>Downstream</v>
      </c>
      <c r="M83" s="71" t="str">
        <f>'Stakeholder list'!N88</f>
        <v>Co-funding partner</v>
      </c>
      <c r="N83" s="71" t="str">
        <f>'Stakeholder list'!O88</f>
        <v>Seattle, WA, USA</v>
      </c>
      <c r="O83" s="71" t="str">
        <f>'Stakeholder list'!P88</f>
        <v>Donor</v>
      </c>
      <c r="P83" s="71" t="str">
        <f>'Stakeholder list'!Q88</f>
        <v/>
      </c>
      <c r="Q83" s="71" t="str">
        <f>'Stakeholder list'!R88</f>
        <v/>
      </c>
      <c r="R83" s="71" t="str">
        <f>'Stakeholder list'!S88</f>
        <v/>
      </c>
      <c r="S83" s="71" t="str">
        <f>'Stakeholder list'!T88</f>
        <v>—</v>
      </c>
      <c r="T83" s="71" t="str">
        <f>'Stakeholder list'!U88</f>
        <v/>
      </c>
      <c r="U83" s="71" t="str">
        <f>'Stakeholder list'!V88</f>
        <v/>
      </c>
      <c r="V83" s="71" t="str">
        <f>'Stakeholder list'!W88</f>
        <v/>
      </c>
      <c r="W83" s="71" t="str">
        <f>'Stakeholder list'!X88</f>
        <v/>
      </c>
    </row>
    <row r="84">
      <c r="A84" s="71">
        <f>'Stakeholder list'!B89</f>
        <v>83</v>
      </c>
      <c r="B84" s="71" t="str">
        <f>'Stakeholder list'!C89</f>
        <v>CocoaAction Brasil</v>
      </c>
      <c r="C84" s="71" t="str">
        <f>'Stakeholder list'!D89</f>
        <v>Others</v>
      </c>
      <c r="D84" s="71" t="str">
        <f>'Stakeholder list'!E89</f>
        <v>Multi-stakeholder initiatives</v>
      </c>
      <c r="E84" s="71" t="str">
        <f>'Stakeholder list'!F89</f>
        <v>Pre-competitive public–private cocoa-sector platform that aligns companies, government and partners to advance sustainable, forest-positive cocoa production, improve farmer livelihoods, and strengthen responsible value chains.</v>
      </c>
      <c r="F84" s="71" t="str">
        <f>'Stakeholder list'!G89</f>
        <v>National</v>
      </c>
      <c r="G84" s="71" t="str">
        <f>'Stakeholder list'!H89</f>
        <v>"Land, Food and Forest"</v>
      </c>
      <c r="H84" s="71" t="str">
        <f>'Stakeholder list'!I89</f>
        <v>Amazonia</v>
      </c>
      <c r="I84" s="71" t="str">
        <f>'Stakeholder list'!J89</f>
        <v>Mata&amp;Atlântica</v>
      </c>
      <c r="J84" s="71" t="str">
        <f>'Stakeholder list'!K89</f>
        <v>It supported cocoa value chains strongly linked to Bahia (Mata Atlântica) and also connected to Amazon-region cocoa expansion/production landscapes (Amazonia).</v>
      </c>
      <c r="K84" s="71" t="str">
        <f>'Stakeholder list'!L89</f>
        <v>Convenor/enablers, Project developer / Implementer</v>
      </c>
      <c r="L84" s="71" t="str">
        <f>'Stakeholder list'!M89</f>
        <v>Midstream</v>
      </c>
      <c r="M84" s="71" t="str">
        <f>'Stakeholder list'!N89</f>
        <v>Co-funding partner</v>
      </c>
      <c r="N84" s="71" t="str">
        <f>'Stakeholder list'!O89</f>
        <v>São Paulo, SP, Brazil</v>
      </c>
      <c r="O84" s="71" t="str">
        <f>'Stakeholder list'!P89</f>
        <v>Donor</v>
      </c>
      <c r="P84" s="71" t="str">
        <f>'Stakeholder list'!Q89</f>
        <v/>
      </c>
      <c r="Q84" s="71" t="str">
        <f>'Stakeholder list'!R89</f>
        <v/>
      </c>
      <c r="R84" s="71" t="str">
        <f>'Stakeholder list'!S89</f>
        <v/>
      </c>
      <c r="S84" s="71" t="str">
        <f>'Stakeholder list'!T89</f>
        <v>—</v>
      </c>
      <c r="T84" s="71" t="str">
        <f>'Stakeholder list'!U89</f>
        <v/>
      </c>
      <c r="U84" s="71" t="str">
        <f>'Stakeholder list'!V89</f>
        <v/>
      </c>
      <c r="V84" s="71" t="str">
        <f>'Stakeholder list'!W89</f>
        <v/>
      </c>
      <c r="W84" s="71" t="str">
        <f>'Stakeholder list'!X89</f>
        <v/>
      </c>
    </row>
    <row r="85">
      <c r="A85" s="71">
        <f>'Stakeholder list'!B90</f>
        <v>84</v>
      </c>
      <c r="B85" s="71" t="str">
        <f>'Stakeholder list'!C90</f>
        <v>Instituto de Pesquisas Ecológicas (IPÊ)</v>
      </c>
      <c r="C85" s="71" t="str">
        <f>'Stakeholder list'!D90</f>
        <v>Civil Society Organization (CSO)</v>
      </c>
      <c r="D85" s="71" t="str">
        <f>'Stakeholder list'!E90</f>
        <v>Local implementers</v>
      </c>
      <c r="E85" s="71" t="str">
        <f>'Stakeholder list'!F90</f>
        <v>Brazilian NGO combining science, education and socio-environmental innovation to conserve biodiversity and support sustainable development across multiple biomes through community-based projects and policy-relevant evidence.</v>
      </c>
      <c r="F85" s="71" t="str">
        <f>'Stakeholder list'!G90</f>
        <v>National</v>
      </c>
      <c r="G85" s="71" t="str">
        <f>'Stakeholder list'!H90</f>
        <v>"Land, Food and Forest"</v>
      </c>
      <c r="H85" s="71" t="str">
        <f>'Stakeholder list'!I90</f>
        <v>Amazonia</v>
      </c>
      <c r="I85" s="71" t="str">
        <f>'Stakeholder list'!J90</f>
        <v>Mata&amp;Atlântica, Pantanal</v>
      </c>
      <c r="J85" s="71" t="str">
        <f>'Stakeholder list'!K90</f>
        <v>It implemented flagship landscape conservation/restoration work in the Atlantic Forest and also maintained projects/partnerships linked to the Amazon region.</v>
      </c>
      <c r="K85" s="71" t="str">
        <f>'Stakeholder list'!L90</f>
        <v>Technical assistance / research, Project developer / Implementer</v>
      </c>
      <c r="L85" s="71" t="str">
        <f>'Stakeholder list'!M90</f>
        <v>Downstream</v>
      </c>
      <c r="M85" s="71" t="str">
        <f>'Stakeholder list'!N90</f>
        <v>Grant recipient</v>
      </c>
      <c r="N85" s="71" t="str">
        <f>'Stakeholder list'!O90</f>
        <v>Nazaré Paulista, SP, Brazil</v>
      </c>
      <c r="O85" s="71" t="str">
        <f>'Stakeholder list'!P90</f>
        <v>Grantee</v>
      </c>
      <c r="P85" s="71" t="str">
        <f>'Stakeholder list'!Q90</f>
        <v/>
      </c>
      <c r="Q85" s="71" t="str">
        <f>'Stakeholder list'!R90</f>
        <v/>
      </c>
      <c r="R85" s="71" t="str">
        <f>'Stakeholder list'!S90</f>
        <v/>
      </c>
      <c r="S85" s="71" t="str">
        <f>'Stakeholder list'!T90</f>
        <v>—</v>
      </c>
      <c r="T85" s="71" t="str">
        <f>'Stakeholder list'!U90</f>
        <v/>
      </c>
      <c r="U85" s="71" t="str">
        <f>'Stakeholder list'!V90</f>
        <v/>
      </c>
      <c r="V85" s="71" t="str">
        <f>'Stakeholder list'!W90</f>
        <v/>
      </c>
      <c r="W85" s="71" t="str">
        <f>'Stakeholder list'!X90</f>
        <v/>
      </c>
    </row>
    <row r="86">
      <c r="A86" s="71">
        <f>'Stakeholder list'!B91</f>
        <v>85</v>
      </c>
      <c r="B86" s="71" t="str">
        <f>'Stakeholder list'!C91</f>
        <v>Comunitas</v>
      </c>
      <c r="C86" s="71" t="str">
        <f>'Stakeholder list'!D91</f>
        <v>Civil Society Organization (CSO)</v>
      </c>
      <c r="D86" s="71" t="str">
        <f>'Stakeholder list'!E91</f>
        <v>Multi-stakeholder initiatives</v>
      </c>
      <c r="E86" s="71" t="str">
        <f>'Stakeholder list'!F91</f>
        <v>Civil society hub/think tank that builds bridges between public and private leadership to strengthen state capacity, improve public management, and structure collaborative solutions for sustainable development.</v>
      </c>
      <c r="F86" s="71" t="str">
        <f>'Stakeholder list'!G91</f>
        <v>National</v>
      </c>
      <c r="G86" s="71" t="str">
        <f>'Stakeholder list'!H91</f>
        <v>Buildings &amp; Transport, Energy, "Land, Food and Forest"</v>
      </c>
      <c r="H86" s="71" t="str">
        <f>'Stakeholder list'!I91</f>
        <v/>
      </c>
      <c r="I86" s="71" t="str">
        <f>'Stakeholder list'!J91</f>
        <v/>
      </c>
      <c r="J86" s="71" t="str">
        <f>'Stakeholder list'!K91</f>
        <v>It worked on state capacity and collaborative governance and did not use biomes as an implementation boundary.</v>
      </c>
      <c r="K86" s="71" t="str">
        <f>'Stakeholder list'!L91</f>
        <v>Convenor/enablers, Policy influence / regulation</v>
      </c>
      <c r="L86" s="71" t="str">
        <f>'Stakeholder list'!M91</f>
        <v>Midstream</v>
      </c>
      <c r="M86" s="71" t="str">
        <f>'Stakeholder list'!N91</f>
        <v>Grant recipient</v>
      </c>
      <c r="N86" s="71" t="str">
        <f>'Stakeholder list'!O91</f>
        <v>São Paulo, SP, Brazil</v>
      </c>
      <c r="O86" s="71" t="str">
        <f>'Stakeholder list'!P91</f>
        <v>Grantee</v>
      </c>
      <c r="P86" s="71" t="str">
        <f>'Stakeholder list'!Q91</f>
        <v/>
      </c>
      <c r="Q86" s="71" t="str">
        <f>'Stakeholder list'!R91</f>
        <v/>
      </c>
      <c r="R86" s="71" t="str">
        <f>'Stakeholder list'!S91</f>
        <v/>
      </c>
      <c r="S86" s="71" t="str">
        <f>'Stakeholder list'!T91</f>
        <v>—</v>
      </c>
      <c r="T86" s="71" t="str">
        <f>'Stakeholder list'!U91</f>
        <v/>
      </c>
      <c r="U86" s="71" t="str">
        <f>'Stakeholder list'!V91</f>
        <v/>
      </c>
      <c r="V86" s="71" t="str">
        <f>'Stakeholder list'!W91</f>
        <v/>
      </c>
      <c r="W86" s="71" t="str">
        <f>'Stakeholder list'!X91</f>
        <v/>
      </c>
    </row>
    <row r="87">
      <c r="A87" s="71">
        <f>'Stakeholder list'!B92</f>
        <v>86</v>
      </c>
      <c r="B87" s="71" t="str">
        <f>'Stakeholder list'!C92</f>
        <v>Fundação Oswaldo Cruz (Fiocruz)</v>
      </c>
      <c r="C87" s="71" t="str">
        <f>'Stakeholder list'!D92</f>
        <v>Public sector</v>
      </c>
      <c r="D87" s="71" t="str">
        <f>'Stakeholder list'!E92</f>
        <v>Research centers</v>
      </c>
      <c r="E87" s="71" t="str">
        <f>'Stakeholder list'!F92</f>
        <v>Public research institution in health; contributes to systemic transition through science and innovation, public health systems strengthening, climate-and-health evidence, and applied knowledge for resilient and equitable development.</v>
      </c>
      <c r="F87" s="71" t="str">
        <f>'Stakeholder list'!G92</f>
        <v>National</v>
      </c>
      <c r="G87" s="71" t="str">
        <f>'Stakeholder list'!H92</f>
        <v>Emergency response, "Land, Food and Forest"</v>
      </c>
      <c r="H87" s="71" t="str">
        <f>'Stakeholder list'!I92</f>
        <v/>
      </c>
      <c r="I87" s="71" t="str">
        <f>'Stakeholder list'!J92</f>
        <v/>
      </c>
      <c r="J87" s="71" t="str">
        <f>'Stakeholder list'!K92</f>
        <v>It operated nationally in health research/policy and did not frame its core programs through biome-specific cuts.</v>
      </c>
      <c r="K87" s="71" t="str">
        <f>'Stakeholder list'!L92</f>
        <v>Technical assistance / research, Territorial anchor</v>
      </c>
      <c r="L87" s="71" t="str">
        <f>'Stakeholder list'!M92</f>
        <v>Upstream</v>
      </c>
      <c r="M87" s="71" t="str">
        <f>'Stakeholder list'!N92</f>
        <v>Strategic partner</v>
      </c>
      <c r="N87" s="71" t="str">
        <f>'Stakeholder list'!O92</f>
        <v>Rio de Janeiro, RJ, Brazil</v>
      </c>
      <c r="O87" s="71" t="str">
        <f>'Stakeholder list'!P92</f>
        <v>Grantee</v>
      </c>
      <c r="P87" s="71" t="str">
        <f>'Stakeholder list'!Q92</f>
        <v/>
      </c>
      <c r="Q87" s="71" t="str">
        <f>'Stakeholder list'!R92</f>
        <v/>
      </c>
      <c r="R87" s="71" t="str">
        <f>'Stakeholder list'!S92</f>
        <v/>
      </c>
      <c r="S87" s="71" t="str">
        <f>'Stakeholder list'!T92</f>
        <v>—</v>
      </c>
      <c r="T87" s="71" t="str">
        <f>'Stakeholder list'!U92</f>
        <v/>
      </c>
      <c r="U87" s="71" t="str">
        <f>'Stakeholder list'!V92</f>
        <v/>
      </c>
      <c r="V87" s="71" t="str">
        <f>'Stakeholder list'!W92</f>
        <v/>
      </c>
      <c r="W87" s="71" t="str">
        <f>'Stakeholder list'!X92</f>
        <v/>
      </c>
    </row>
    <row r="88">
      <c r="A88" s="71">
        <f>'Stakeholder list'!B93</f>
        <v>87</v>
      </c>
      <c r="B88" s="71" t="str">
        <f>'Stakeholder list'!C93</f>
        <v>Universidade de Brasília (UnB)</v>
      </c>
      <c r="C88" s="71" t="str">
        <f>'Stakeholder list'!D93</f>
        <v>Public sector</v>
      </c>
      <c r="D88" s="71" t="str">
        <f>'Stakeholder list'!E93</f>
        <v>Academia</v>
      </c>
      <c r="E88" s="71" t="str">
        <f>'Stakeholder list'!F93</f>
        <v>Public university that contributes through research, teaching and policy engagement; supports systemic transition by generating evidence and training leaders for public policy, sustainability and innovation agendas.</v>
      </c>
      <c r="F88" s="71" t="str">
        <f>'Stakeholder list'!G93</f>
        <v>State-level</v>
      </c>
      <c r="G88" s="71" t="str">
        <f>'Stakeholder list'!H93</f>
        <v/>
      </c>
      <c r="H88" s="71" t="str">
        <f>'Stakeholder list'!I93</f>
        <v/>
      </c>
      <c r="I88" s="71" t="str">
        <f>'Stakeholder list'!J93</f>
        <v/>
      </c>
      <c r="J88" s="71" t="str">
        <f>'Stakeholder list'!K93</f>
        <v>It operated in the Cerrado territory and maintained research and outreach agendas strongly associated with Cerrado socio-environmental issues.</v>
      </c>
      <c r="K88" s="71" t="str">
        <f>'Stakeholder list'!L93</f>
        <v>Technical assistance / research</v>
      </c>
      <c r="L88" s="71" t="str">
        <f>'Stakeholder list'!M93</f>
        <v>Upstream</v>
      </c>
      <c r="M88" s="71" t="str">
        <f>'Stakeholder list'!N93</f>
        <v>Strategic partner</v>
      </c>
      <c r="N88" s="71" t="str">
        <f>'Stakeholder list'!O93</f>
        <v>Brasília, DF, Brazil</v>
      </c>
      <c r="O88" s="71" t="str">
        <f>'Stakeholder list'!P93</f>
        <v>Grantee</v>
      </c>
      <c r="P88" s="71" t="str">
        <f>'Stakeholder list'!Q93</f>
        <v/>
      </c>
      <c r="Q88" s="71" t="str">
        <f>'Stakeholder list'!R93</f>
        <v/>
      </c>
      <c r="R88" s="71" t="str">
        <f>'Stakeholder list'!S93</f>
        <v/>
      </c>
      <c r="S88" s="71" t="str">
        <f>'Stakeholder list'!T93</f>
        <v>—</v>
      </c>
      <c r="T88" s="71" t="str">
        <f>'Stakeholder list'!U93</f>
        <v/>
      </c>
      <c r="U88" s="71" t="str">
        <f>'Stakeholder list'!V93</f>
        <v/>
      </c>
      <c r="V88" s="71" t="str">
        <f>'Stakeholder list'!W93</f>
        <v/>
      </c>
      <c r="W88" s="71" t="str">
        <f>'Stakeholder list'!X93</f>
        <v/>
      </c>
    </row>
    <row r="89">
      <c r="A89" s="71">
        <f>'Stakeholder list'!B94</f>
        <v>88</v>
      </c>
      <c r="B89" s="71" t="str">
        <f>'Stakeholder list'!C94</f>
        <v>Universidade Federal do Pará (UFPA)</v>
      </c>
      <c r="C89" s="71" t="str">
        <f>'Stakeholder list'!D94</f>
        <v>Public sector</v>
      </c>
      <c r="D89" s="71" t="str">
        <f>'Stakeholder list'!E94</f>
        <v>Academia</v>
      </c>
      <c r="E89" s="71" t="str">
        <f>'Stakeholder list'!F94</f>
        <v>Public university in the Amazon region; contributes via research and training on socio-biodiversity, territorial development, climate and governance, supporting evidence-based solutions in the region.</v>
      </c>
      <c r="F89" s="71" t="str">
        <f>'Stakeholder list'!G94</f>
        <v>State-level</v>
      </c>
      <c r="G89" s="71" t="str">
        <f>'Stakeholder list'!H94</f>
        <v/>
      </c>
      <c r="H89" s="71" t="str">
        <f>'Stakeholder list'!I94</f>
        <v/>
      </c>
      <c r="I89" s="71" t="str">
        <f>'Stakeholder list'!J94</f>
        <v/>
      </c>
      <c r="J89" s="71" t="str">
        <f>'Stakeholder list'!K94</f>
        <v>It was based in the Amazon region and delivered research/training linked to Amazonian socio-biodiversity and territorial development.</v>
      </c>
      <c r="K89" s="71" t="str">
        <f>'Stakeholder list'!L94</f>
        <v>Technical assistance / research, Territorial anchor</v>
      </c>
      <c r="L89" s="71" t="str">
        <f>'Stakeholder list'!M94</f>
        <v>Upstream</v>
      </c>
      <c r="M89" s="71" t="str">
        <f>'Stakeholder list'!N94</f>
        <v>Strategic partner</v>
      </c>
      <c r="N89" s="71" t="str">
        <f>'Stakeholder list'!O94</f>
        <v>Belém, PA, Brazil</v>
      </c>
      <c r="O89" s="71" t="str">
        <f>'Stakeholder list'!P94</f>
        <v>Grantee</v>
      </c>
      <c r="P89" s="71" t="str">
        <f>'Stakeholder list'!Q94</f>
        <v/>
      </c>
      <c r="Q89" s="71" t="str">
        <f>'Stakeholder list'!R94</f>
        <v/>
      </c>
      <c r="R89" s="71" t="str">
        <f>'Stakeholder list'!S94</f>
        <v/>
      </c>
      <c r="S89" s="71" t="str">
        <f>'Stakeholder list'!T94</f>
        <v>—</v>
      </c>
      <c r="T89" s="71" t="str">
        <f>'Stakeholder list'!U94</f>
        <v/>
      </c>
      <c r="U89" s="71" t="str">
        <f>'Stakeholder list'!V94</f>
        <v/>
      </c>
      <c r="V89" s="71" t="str">
        <f>'Stakeholder list'!W94</f>
        <v/>
      </c>
      <c r="W89" s="71" t="str">
        <f>'Stakeholder list'!X94</f>
        <v/>
      </c>
    </row>
    <row r="90">
      <c r="A90" s="71">
        <f>'Stakeholder list'!B95</f>
        <v>89</v>
      </c>
      <c r="B90" s="71" t="str">
        <f>'Stakeholder list'!C95</f>
        <v>Universidade de São Paulo (USP)</v>
      </c>
      <c r="C90" s="71" t="str">
        <f>'Stakeholder list'!D95</f>
        <v>Public sector</v>
      </c>
      <c r="D90" s="71" t="str">
        <f>'Stakeholder list'!E95</f>
        <v>Academia</v>
      </c>
      <c r="E90" s="71" t="str">
        <f>'Stakeholder list'!F95</f>
        <v>Public university and major research institution; contributes to systemic transition through high-impact research, innovation, and training across climate, nature, health, and sustainable development fields.</v>
      </c>
      <c r="F90" s="71" t="str">
        <f>'Stakeholder list'!G95</f>
        <v>State-level</v>
      </c>
      <c r="G90" s="71" t="str">
        <f>'Stakeholder list'!H95</f>
        <v/>
      </c>
      <c r="H90" s="71" t="str">
        <f>'Stakeholder list'!I95</f>
        <v/>
      </c>
      <c r="I90" s="71" t="str">
        <f>'Stakeholder list'!J95</f>
        <v/>
      </c>
      <c r="J90" s="71" t="str">
        <f>'Stakeholder list'!K95</f>
        <v>It produced broad research and training and did not present a biome-targeted portfolio cut that could be consistently assigned here.</v>
      </c>
      <c r="K90" s="71" t="str">
        <f>'Stakeholder list'!L95</f>
        <v>Technical assistance / research</v>
      </c>
      <c r="L90" s="71" t="str">
        <f>'Stakeholder list'!M95</f>
        <v>Upstream</v>
      </c>
      <c r="M90" s="71" t="str">
        <f>'Stakeholder list'!N95</f>
        <v>Strategic partner</v>
      </c>
      <c r="N90" s="71" t="str">
        <f>'Stakeholder list'!O95</f>
        <v>São Paulo, SP, Brazil</v>
      </c>
      <c r="O90" s="71" t="str">
        <f>'Stakeholder list'!P95</f>
        <v>Grantee</v>
      </c>
      <c r="P90" s="71" t="str">
        <f>'Stakeholder list'!Q95</f>
        <v/>
      </c>
      <c r="Q90" s="71" t="str">
        <f>'Stakeholder list'!R95</f>
        <v/>
      </c>
      <c r="R90" s="71" t="str">
        <f>'Stakeholder list'!S95</f>
        <v/>
      </c>
      <c r="S90" s="71" t="str">
        <f>'Stakeholder list'!T95</f>
        <v>—</v>
      </c>
      <c r="T90" s="71" t="str">
        <f>'Stakeholder list'!U95</f>
        <v/>
      </c>
      <c r="U90" s="71" t="str">
        <f>'Stakeholder list'!V95</f>
        <v/>
      </c>
      <c r="V90" s="71" t="str">
        <f>'Stakeholder list'!W95</f>
        <v/>
      </c>
      <c r="W90" s="71" t="str">
        <f>'Stakeholder list'!X95</f>
        <v/>
      </c>
    </row>
    <row r="91">
      <c r="A91" s="71">
        <f>'Stakeholder list'!B96</f>
        <v>90</v>
      </c>
      <c r="B91" s="71" t="str">
        <f>'Stakeholder list'!C96</f>
        <v>Fundação Nacional dos Povos Indígenas (FUNAI)</v>
      </c>
      <c r="C91" s="71" t="str">
        <f>'Stakeholder list'!D96</f>
        <v>Public sector</v>
      </c>
      <c r="D91" s="71" t="str">
        <f>'Stakeholder list'!E96</f>
        <v>Public agencies and regulators</v>
      </c>
      <c r="E91" s="71" t="str">
        <f>'Stakeholder list'!F96</f>
        <v>Federal agency responsible for Indigenous peoples’ rights and protection; influences systemic transition by safeguarding territories, supporting socio-environmental governance, and enabling rights-based approaches to land use and development.</v>
      </c>
      <c r="F91" s="71" t="str">
        <f>'Stakeholder list'!G96</f>
        <v>National</v>
      </c>
      <c r="G91" s="71" t="str">
        <f>'Stakeholder list'!H96</f>
        <v>"Land, Food and Forest"</v>
      </c>
      <c r="H91" s="71" t="str">
        <f>'Stakeholder list'!I96</f>
        <v>Amazonia, Caatinga, Cerrado</v>
      </c>
      <c r="I91" s="71" t="str">
        <f>'Stakeholder list'!J96</f>
        <v>Mata&amp;Atlântica, Pantanal, Pampa, Coastal&amp;maritime</v>
      </c>
      <c r="J91" s="71" t="str">
        <f>'Stakeholder list'!K96</f>
        <v>It held a nationwide mandate across Indigenous territories and did not operate through a single or stable biome-defined program boundary in this mapping.</v>
      </c>
      <c r="K91" s="71" t="str">
        <f>'Stakeholder list'!L96</f>
        <v>Policy influence / regulation, Territorial anchor</v>
      </c>
      <c r="L91" s="71" t="str">
        <f>'Stakeholder list'!M96</f>
        <v>Upstream</v>
      </c>
      <c r="M91" s="71" t="str">
        <f>'Stakeholder list'!N96</f>
        <v>Strategic partner</v>
      </c>
      <c r="N91" s="71" t="str">
        <f>'Stakeholder list'!O96</f>
        <v>Brasília, DF, Brazil</v>
      </c>
      <c r="O91" s="71" t="str">
        <f>'Stakeholder list'!P96</f>
        <v>Grantee</v>
      </c>
      <c r="P91" s="71" t="str">
        <f>'Stakeholder list'!Q96</f>
        <v/>
      </c>
      <c r="Q91" s="71" t="str">
        <f>'Stakeholder list'!R96</f>
        <v/>
      </c>
      <c r="R91" s="71" t="str">
        <f>'Stakeholder list'!S96</f>
        <v/>
      </c>
      <c r="S91" s="71" t="str">
        <f>'Stakeholder list'!T96</f>
        <v>—</v>
      </c>
      <c r="T91" s="71" t="str">
        <f>'Stakeholder list'!U96</f>
        <v/>
      </c>
      <c r="U91" s="71" t="str">
        <f>'Stakeholder list'!V96</f>
        <v/>
      </c>
      <c r="V91" s="71" t="str">
        <f>'Stakeholder list'!W96</f>
        <v/>
      </c>
      <c r="W91" s="71" t="str">
        <f>'Stakeholder list'!X96</f>
        <v/>
      </c>
    </row>
    <row r="92">
      <c r="A92" s="71">
        <f>'Stakeholder list'!B97</f>
        <v>91</v>
      </c>
      <c r="B92" s="71" t="str">
        <f>'Stakeholder list'!C97</f>
        <v>Fundação Brasileira para o Desenvolvimento Sustentável (FBDS)</v>
      </c>
      <c r="C92" s="71" t="str">
        <f>'Stakeholder list'!D97</f>
        <v>Civil Society Organization (CSO)</v>
      </c>
      <c r="D92" s="71" t="str">
        <f>'Stakeholder list'!E97</f>
        <v>Think tanks</v>
      </c>
      <c r="E92" s="71" t="str">
        <f>'Stakeholder list'!F97</f>
        <v>Private non-profit foundation that generates knowledge and applied projects on sustainability; supports better policy and corporate practice through research, indicators and technical work on climate, land use and sustainable development.</v>
      </c>
      <c r="F92" s="71" t="str">
        <f>'Stakeholder list'!G97</f>
        <v>National</v>
      </c>
      <c r="G92" s="71" t="str">
        <f>'Stakeholder list'!H97</f>
        <v>Buildings &amp; Transport, Energy, "Land, Food and Forest"</v>
      </c>
      <c r="H92" s="71" t="str">
        <f>'Stakeholder list'!I97</f>
        <v/>
      </c>
      <c r="I92" s="71" t="str">
        <f>'Stakeholder list'!J97</f>
        <v/>
      </c>
      <c r="J92" s="71" t="str">
        <f>'Stakeholder list'!K97</f>
        <v>It worked through applied studies and projects across themes and did not disclose a consistent biome-targeted portfolio.</v>
      </c>
      <c r="K92" s="71" t="str">
        <f>'Stakeholder list'!L97</f>
        <v>Technical assistance / research, Strategic partner</v>
      </c>
      <c r="L92" s="71" t="str">
        <f>'Stakeholder list'!M97</f>
        <v>Upstream</v>
      </c>
      <c r="M92" s="71" t="str">
        <f>'Stakeholder list'!N97</f>
        <v>Grant recipient</v>
      </c>
      <c r="N92" s="71" t="str">
        <f>'Stakeholder list'!O97</f>
        <v>Rio de Janeiro, RJ, Brazil</v>
      </c>
      <c r="O92" s="71" t="str">
        <f>'Stakeholder list'!P97</f>
        <v>Grantee</v>
      </c>
      <c r="P92" s="71" t="str">
        <f>'Stakeholder list'!Q97</f>
        <v/>
      </c>
      <c r="Q92" s="71" t="str">
        <f>'Stakeholder list'!R97</f>
        <v/>
      </c>
      <c r="R92" s="71" t="str">
        <f>'Stakeholder list'!S97</f>
        <v/>
      </c>
      <c r="S92" s="71" t="str">
        <f>'Stakeholder list'!T97</f>
        <v>—</v>
      </c>
      <c r="T92" s="71" t="str">
        <f>'Stakeholder list'!U97</f>
        <v/>
      </c>
      <c r="U92" s="71" t="str">
        <f>'Stakeholder list'!V97</f>
        <v/>
      </c>
      <c r="V92" s="71" t="str">
        <f>'Stakeholder list'!W97</f>
        <v/>
      </c>
      <c r="W92" s="71" t="str">
        <f>'Stakeholder list'!X97</f>
        <v/>
      </c>
    </row>
    <row r="93">
      <c r="A93" s="71">
        <f>'Stakeholder list'!B98</f>
        <v>92</v>
      </c>
      <c r="B93" s="71" t="str">
        <f>'Stakeholder list'!C98</f>
        <v>Grupo Terra Nova</v>
      </c>
      <c r="C93" s="71" t="str">
        <f>'Stakeholder list'!D98</f>
        <v>Private sector</v>
      </c>
      <c r="D93" s="71" t="str">
        <f>'Stakeholder list'!E98</f>
        <v>Private companies (SMEs / local enterprises)</v>
      </c>
      <c r="E93" s="71" t="str">
        <f>'Stakeholder list'!F98</f>
        <v>Organization specialized in land tenure conflict mediation and regularization; contributes to systemic transition by enabling legal security, inclusive urban development, and negotiated solutions that reduce social conflict and strengthen territorial governance.</v>
      </c>
      <c r="F93" s="71" t="str">
        <f>'Stakeholder list'!G98</f>
        <v>National</v>
      </c>
      <c r="G93" s="71" t="str">
        <f>'Stakeholder list'!H98</f>
        <v>"Land, Food and Forest"</v>
      </c>
      <c r="H93" s="71" t="str">
        <f>'Stakeholder list'!I98</f>
        <v/>
      </c>
      <c r="I93" s="71" t="str">
        <f>'Stakeholder list'!J98</f>
        <v/>
      </c>
      <c r="J93" s="71" t="str">
        <f>'Stakeholder list'!K98</f>
        <v>It delivered mediation/regularization services across territories and did not define operations by biome.</v>
      </c>
      <c r="K93" s="71" t="str">
        <f>'Stakeholder list'!L98</f>
        <v>Implementation capacity (delivery)</v>
      </c>
      <c r="L93" s="71" t="str">
        <f>'Stakeholder list'!M98</f>
        <v>Downstream</v>
      </c>
      <c r="M93" s="71" t="str">
        <f>'Stakeholder list'!N98</f>
        <v>Co-funding partner</v>
      </c>
      <c r="N93" s="71" t="str">
        <f>'Stakeholder list'!O98</f>
        <v>São Paulo, SP, Brazil</v>
      </c>
      <c r="O93" s="71" t="str">
        <f>'Stakeholder list'!P98</f>
        <v>Grantee</v>
      </c>
      <c r="P93" s="71" t="str">
        <f>'Stakeholder list'!Q98</f>
        <v/>
      </c>
      <c r="Q93" s="71" t="str">
        <f>'Stakeholder list'!R98</f>
        <v/>
      </c>
      <c r="R93" s="71" t="str">
        <f>'Stakeholder list'!S98</f>
        <v/>
      </c>
      <c r="S93" s="71" t="str">
        <f>'Stakeholder list'!T98</f>
        <v>—</v>
      </c>
      <c r="T93" s="71" t="str">
        <f>'Stakeholder list'!U98</f>
        <v/>
      </c>
      <c r="U93" s="71" t="str">
        <f>'Stakeholder list'!V98</f>
        <v/>
      </c>
      <c r="V93" s="71" t="str">
        <f>'Stakeholder list'!W98</f>
        <v/>
      </c>
      <c r="W93" s="71" t="str">
        <f>'Stakeholder list'!X98</f>
        <v/>
      </c>
    </row>
    <row r="94">
      <c r="A94" s="71">
        <f>'Stakeholder list'!B99</f>
        <v>93</v>
      </c>
      <c r="B94" s="71" t="str">
        <f>'Stakeholder list'!C99</f>
        <v>Grupo Aterpa</v>
      </c>
      <c r="C94" s="71" t="str">
        <f>'Stakeholder list'!D99</f>
        <v>Private sector</v>
      </c>
      <c r="D94" s="71" t="str">
        <f>'Stakeholder list'!E99</f>
        <v>Private companies (large / leading)</v>
      </c>
      <c r="E94" s="71" t="str">
        <f>'Stakeholder list'!F99</f>
        <v>Infrastructure and environmental engineering group (e.g., water and sanitation); can support systemic transition through universal sanitation delivery, resilient infrastructure, and improved environmental performance in project design and operation.</v>
      </c>
      <c r="F94" s="71" t="str">
        <f>'Stakeholder list'!G99</f>
        <v>National</v>
      </c>
      <c r="G94" s="71" t="str">
        <f>'Stakeholder list'!H99</f>
        <v>Buildings &amp; Transport</v>
      </c>
      <c r="H94" s="71" t="str">
        <f>'Stakeholder list'!I99</f>
        <v/>
      </c>
      <c r="I94" s="71" t="str">
        <f>'Stakeholder list'!J99</f>
        <v/>
      </c>
      <c r="J94" s="71" t="str">
        <f>'Stakeholder list'!K99</f>
        <v>It implemented infrastructure projects by client/municipality and did not use biomes as an organizing lens.</v>
      </c>
      <c r="K94" s="71" t="str">
        <f>'Stakeholder list'!L99</f>
        <v>Implementation capacity (delivery)</v>
      </c>
      <c r="L94" s="71" t="str">
        <f>'Stakeholder list'!M99</f>
        <v>Downstream</v>
      </c>
      <c r="M94" s="71" t="str">
        <f>'Stakeholder list'!N99</f>
        <v>Co-funding partner</v>
      </c>
      <c r="N94" s="71" t="str">
        <f>'Stakeholder list'!O99</f>
        <v>Belo Horizonte, MG, Brazil</v>
      </c>
      <c r="O94" s="71" t="str">
        <f>'Stakeholder list'!P99</f>
        <v>Grantee</v>
      </c>
      <c r="P94" s="71" t="str">
        <f>'Stakeholder list'!Q99</f>
        <v/>
      </c>
      <c r="Q94" s="71" t="str">
        <f>'Stakeholder list'!R99</f>
        <v/>
      </c>
      <c r="R94" s="71" t="str">
        <f>'Stakeholder list'!S99</f>
        <v/>
      </c>
      <c r="S94" s="71" t="str">
        <f>'Stakeholder list'!T99</f>
        <v>—</v>
      </c>
      <c r="T94" s="71" t="str">
        <f>'Stakeholder list'!U99</f>
        <v/>
      </c>
      <c r="U94" s="71" t="str">
        <f>'Stakeholder list'!V99</f>
        <v/>
      </c>
      <c r="V94" s="71" t="str">
        <f>'Stakeholder list'!W99</f>
        <v/>
      </c>
      <c r="W94" s="71" t="str">
        <f>'Stakeholder list'!X99</f>
        <v/>
      </c>
    </row>
    <row r="95">
      <c r="A95" s="71">
        <f>'Stakeholder list'!B100</f>
        <v>94</v>
      </c>
      <c r="B95" s="71" t="str">
        <f>'Stakeholder list'!C100</f>
        <v>Observatório do Clima</v>
      </c>
      <c r="C95" s="71" t="str">
        <f>'Stakeholder list'!D100</f>
        <v>Civil Society Organization (CSO)</v>
      </c>
      <c r="D95" s="71" t="str">
        <f>'Stakeholder list'!E100</f>
        <v>Monitoring, Evaluation, and Learning</v>
      </c>
      <c r="E95" s="71" t="str">
        <f>'Stakeholder list'!F100</f>
        <v>Civil society coalition created to address climate change in Brazil; produces analysis, monitoring and advocacy to strengthen climate governance, transparency and ambitious public policy.</v>
      </c>
      <c r="F95" s="71" t="str">
        <f>'Stakeholder list'!G100</f>
        <v>National</v>
      </c>
      <c r="G95" s="71" t="str">
        <f>'Stakeholder list'!H100</f>
        <v>Buildings &amp; Transport, Energy, "Land, Food and Forest"</v>
      </c>
      <c r="H95" s="71" t="str">
        <f>'Stakeholder list'!I100</f>
        <v/>
      </c>
      <c r="I95" s="71" t="str">
        <f>'Stakeholder list'!J100</f>
        <v/>
      </c>
      <c r="J95" s="71" t="str">
        <f>'Stakeholder list'!K100</f>
        <v>It focused on national climate governance and policy advocacy and did not maintain a biome-specific implementation portfolio.</v>
      </c>
      <c r="K95" s="71" t="str">
        <f>'Stakeholder list'!L100</f>
        <v>Policy influence / regulation, Convenor/enablers</v>
      </c>
      <c r="L95" s="71" t="str">
        <f>'Stakeholder list'!M100</f>
        <v>Upstream</v>
      </c>
      <c r="M95" s="71" t="str">
        <f>'Stakeholder list'!N100</f>
        <v>Grant recipient</v>
      </c>
      <c r="N95" s="71" t="str">
        <f>'Stakeholder list'!O100</f>
        <v>Brasília, DF, Brazil</v>
      </c>
      <c r="O95" s="71" t="str">
        <f>'Stakeholder list'!P100</f>
        <v>Grantee</v>
      </c>
      <c r="P95" s="71" t="str">
        <f>'Stakeholder list'!Q100</f>
        <v/>
      </c>
      <c r="Q95" s="71" t="str">
        <f>'Stakeholder list'!R100</f>
        <v/>
      </c>
      <c r="R95" s="71" t="str">
        <f>'Stakeholder list'!S100</f>
        <v/>
      </c>
      <c r="S95" s="71" t="str">
        <f>'Stakeholder list'!T100</f>
        <v>GHG emissions monitoring (SEEG), annual sectoral data production and climate transparency</v>
      </c>
      <c r="T95" s="71" t="str">
        <f>'Stakeholder list'!U100</f>
        <v/>
      </c>
      <c r="U95" s="71" t="str">
        <f>'Stakeholder list'!V100</f>
        <v/>
      </c>
      <c r="V95" s="71" t="str">
        <f>'Stakeholder list'!W100</f>
        <v/>
      </c>
      <c r="W95" s="71" t="str">
        <f>'Stakeholder list'!X100</f>
        <v/>
      </c>
    </row>
    <row r="96">
      <c r="A96" s="71">
        <f>'Stakeholder list'!B101</f>
        <v>95</v>
      </c>
      <c r="B96" s="71" t="str">
        <f>'Stakeholder list'!C101</f>
        <v>United States Agency for International Development (USAID)</v>
      </c>
      <c r="C96" s="71" t="str">
        <f>'Stakeholder list'!D101</f>
        <v>Public sector</v>
      </c>
      <c r="D96" s="71" t="str">
        <f>'Stakeholder list'!E101</f>
        <v>Bilateral cooperation agencies</v>
      </c>
      <c r="E96" s="71" t="str">
        <f>'Stakeholder list'!F101</f>
        <v>U.S. government development cooperation agency that provides funding, technical assistance, and partnerships to support international development priorities (e.g., governance, health, food security, climate resilience), helping scale solutions and strengthen institutions.</v>
      </c>
      <c r="F96" s="71" t="str">
        <f>'Stakeholder list'!G101</f>
        <v>Cross-border / international</v>
      </c>
      <c r="G96" s="71" t="str">
        <f>'Stakeholder list'!H101</f>
        <v>Buildings &amp; Transport, Emergency response, Energy, "Land, Food and Forest"</v>
      </c>
      <c r="H96" s="71" t="str">
        <f>'Stakeholder list'!I101</f>
        <v/>
      </c>
      <c r="I96" s="71" t="str">
        <f>'Stakeholder list'!J101</f>
        <v/>
      </c>
      <c r="J96" s="71" t="str">
        <f>'Stakeholder list'!K101</f>
        <v>It funded multi-sector international cooperation and did not provide a stable Brazil-biome-specific cut in this mapping.</v>
      </c>
      <c r="K96" s="71" t="str">
        <f>'Stakeholder list'!L101</f>
        <v>Funder, Strategic partner</v>
      </c>
      <c r="L96" s="71" t="str">
        <f>'Stakeholder list'!M101</f>
        <v>Upstream</v>
      </c>
      <c r="M96" s="71" t="str">
        <f>'Stakeholder list'!N101</f>
        <v>Co-funding partner</v>
      </c>
      <c r="N96" s="71" t="str">
        <f>'Stakeholder list'!O101</f>
        <v>Washington, DC, USA</v>
      </c>
      <c r="O96" s="71" t="str">
        <f>'Stakeholder list'!P101</f>
        <v>Donor</v>
      </c>
      <c r="P96" s="71" t="str">
        <f>'Stakeholder list'!Q101</f>
        <v/>
      </c>
      <c r="Q96" s="71" t="str">
        <f>'Stakeholder list'!R101</f>
        <v/>
      </c>
      <c r="R96" s="71" t="str">
        <f>'Stakeholder list'!S101</f>
        <v>It was very relevant in the past funding for the Amazon in Brazil.</v>
      </c>
      <c r="S96" s="71" t="str">
        <f>'Stakeholder list'!T101</f>
        <v>—</v>
      </c>
      <c r="T96" s="71" t="str">
        <f>'Stakeholder list'!U101</f>
        <v/>
      </c>
      <c r="U96" s="71" t="str">
        <f>'Stakeholder list'!V101</f>
        <v/>
      </c>
      <c r="V96" s="71" t="str">
        <f>'Stakeholder list'!W101</f>
        <v/>
      </c>
      <c r="W96" s="71" t="str">
        <f>'Stakeholder list'!X101</f>
        <v/>
      </c>
    </row>
    <row r="97">
      <c r="A97" s="71">
        <f>'Stakeholder list'!B102</f>
        <v>96</v>
      </c>
      <c r="B97" s="71" t="str">
        <f>'Stakeholder list'!C102</f>
        <v>Gordon and Betty Moore Foundation</v>
      </c>
      <c r="C97" s="71" t="str">
        <f>'Stakeholder list'!D102</f>
        <v>Funders</v>
      </c>
      <c r="D97" s="71" t="str">
        <f>'Stakeholder list'!E102</f>
        <v>Philanthropy foundations</v>
      </c>
      <c r="E97" s="71" t="str">
        <f>'Stakeholder list'!F102</f>
        <v>International grantmaking foundation that funds science and environmental conservation, supporting evidence-based approaches, ecosystem protection, and systemic solutions for climate and nature.</v>
      </c>
      <c r="F97" s="71" t="str">
        <f>'Stakeholder list'!G102</f>
        <v>Cross-border / international</v>
      </c>
      <c r="G97" s="71" t="str">
        <f>'Stakeholder list'!H102</f>
        <v>Energy, "Land, Food and Forest"</v>
      </c>
      <c r="H97" s="71" t="str">
        <f>'Stakeholder list'!I102</f>
        <v>Amazonia</v>
      </c>
      <c r="I97" s="71" t="str">
        <f>'Stakeholder list'!J102</f>
        <v/>
      </c>
      <c r="J97" s="71" t="str">
        <f>'Stakeholder list'!K102</f>
        <v>It funded global conservation/science agendas and did not present a consistent Brazil-biome segmentation in this dataset.</v>
      </c>
      <c r="K97" s="71" t="str">
        <f>'Stakeholder list'!L102</f>
        <v>Funder, Strategic partner</v>
      </c>
      <c r="L97" s="71" t="str">
        <f>'Stakeholder list'!M102</f>
        <v>Upstream</v>
      </c>
      <c r="M97" s="71" t="str">
        <f>'Stakeholder list'!N102</f>
        <v>Co-funding partner</v>
      </c>
      <c r="N97" s="71" t="str">
        <f>'Stakeholder list'!O102</f>
        <v>Palo Alto, CA, USA</v>
      </c>
      <c r="O97" s="71" t="str">
        <f>'Stakeholder list'!P102</f>
        <v>Donor</v>
      </c>
      <c r="P97" s="71" t="str">
        <f>'Stakeholder list'!Q102</f>
        <v/>
      </c>
      <c r="Q97" s="71" t="str">
        <f>'Stakeholder list'!R102</f>
        <v/>
      </c>
      <c r="R97" s="71" t="str">
        <f>'Stakeholder list'!S102</f>
        <v>One on the most relevant co-funding partner for the Amazon in Brazil.</v>
      </c>
      <c r="S97" s="71" t="str">
        <f>'Stakeholder list'!T102</f>
        <v>—</v>
      </c>
      <c r="T97" s="71" t="str">
        <f>'Stakeholder list'!U102</f>
        <v/>
      </c>
      <c r="U97" s="71" t="str">
        <f>'Stakeholder list'!V102</f>
        <v/>
      </c>
      <c r="V97" s="71" t="str">
        <f>'Stakeholder list'!W102</f>
        <v/>
      </c>
      <c r="W97" s="71" t="str">
        <f>'Stakeholder list'!X102</f>
        <v/>
      </c>
    </row>
    <row r="98">
      <c r="A98" s="71">
        <f>'Stakeholder list'!B103</f>
        <v>97</v>
      </c>
      <c r="B98" s="71" t="str">
        <f>'Stakeholder list'!C103</f>
        <v>Fundação Avina</v>
      </c>
      <c r="C98" s="71" t="str">
        <f>'Stakeholder list'!D103</f>
        <v>Funders</v>
      </c>
      <c r="D98" s="71" t="str">
        <f>'Stakeholder list'!E103</f>
        <v>Philanthropy foundations</v>
      </c>
      <c r="E98" s="71" t="str">
        <f>'Stakeholder list'!F103</f>
        <v>Latin American philanthropic organization focused on systemic change through collaboration; supports networks and initiatives that advance climate action, democratic innovation, and a fair/regenerative economy.</v>
      </c>
      <c r="F98" s="71" t="str">
        <f>'Stakeholder list'!G103</f>
        <v>Cross-border / international</v>
      </c>
      <c r="G98" s="71" t="str">
        <f>'Stakeholder list'!H103</f>
        <v>"Land, Food and Forest"</v>
      </c>
      <c r="H98" s="71" t="str">
        <f>'Stakeholder list'!I103</f>
        <v/>
      </c>
      <c r="I98" s="71" t="str">
        <f>'Stakeholder list'!J103</f>
        <v/>
      </c>
      <c r="J98" s="71" t="str">
        <f>'Stakeholder list'!K103</f>
        <v>It supported regional systemic-change agendas and did not structure its Brazil work by biome boundaries in this mapping.</v>
      </c>
      <c r="K98" s="71" t="str">
        <f>'Stakeholder list'!L103</f>
        <v>Funder, Strategic partner, Convenor/enablers</v>
      </c>
      <c r="L98" s="71" t="str">
        <f>'Stakeholder list'!M103</f>
        <v>Midstream</v>
      </c>
      <c r="M98" s="71" t="str">
        <f>'Stakeholder list'!N103</f>
        <v>Strategic partner</v>
      </c>
      <c r="N98" s="71" t="str">
        <f>'Stakeholder list'!O103</f>
        <v>Panama City, Panama</v>
      </c>
      <c r="O98" s="71" t="str">
        <f>'Stakeholder list'!P103</f>
        <v>Donor</v>
      </c>
      <c r="P98" s="71" t="str">
        <f>'Stakeholder list'!Q103</f>
        <v/>
      </c>
      <c r="Q98" s="71" t="str">
        <f>'Stakeholder list'!R103</f>
        <v/>
      </c>
      <c r="R98" s="71" t="str">
        <f>'Stakeholder list'!S103</f>
        <v>An important player at the national level + in Latin America. </v>
      </c>
      <c r="S98" s="71" t="str">
        <f>'Stakeholder list'!T103</f>
        <v>—</v>
      </c>
      <c r="T98" s="71" t="str">
        <f>'Stakeholder list'!U103</f>
        <v/>
      </c>
      <c r="U98" s="71" t="str">
        <f>'Stakeholder list'!V103</f>
        <v/>
      </c>
      <c r="V98" s="71" t="str">
        <f>'Stakeholder list'!W103</f>
        <v/>
      </c>
      <c r="W98" s="71" t="str">
        <f>'Stakeholder list'!X103</f>
        <v/>
      </c>
    </row>
    <row r="99">
      <c r="A99" s="71">
        <f>'Stakeholder list'!B104</f>
        <v>98</v>
      </c>
      <c r="B99" s="71" t="str">
        <f>'Stakeholder list'!C104</f>
        <v>William and Flora Hewlett Foundation</v>
      </c>
      <c r="C99" s="71" t="str">
        <f>'Stakeholder list'!D104</f>
        <v>Funders</v>
      </c>
      <c r="D99" s="71" t="str">
        <f>'Stakeholder list'!E104</f>
        <v>Philanthropy foundations</v>
      </c>
      <c r="E99" s="71" t="str">
        <f>'Stakeholder list'!F104</f>
        <v>International grantmaking foundation supporting programs such as climate/environment, governance, and equity; helps fund coalitions and institutions that enable long-term, structural change.</v>
      </c>
      <c r="F99" s="71" t="str">
        <f>'Stakeholder list'!G104</f>
        <v>Cross-border / international</v>
      </c>
      <c r="G99" s="71" t="str">
        <f>'Stakeholder list'!H104</f>
        <v>Buildings &amp; Transport, Energy, "Land, Food and Forest"</v>
      </c>
      <c r="H99" s="71" t="str">
        <f>'Stakeholder list'!I104</f>
        <v/>
      </c>
      <c r="I99" s="71" t="str">
        <f>'Stakeholder list'!J104</f>
        <v/>
      </c>
      <c r="J99" s="71" t="str">
        <f>'Stakeholder list'!K104</f>
        <v>It funded broad international programs and did not provide a Brazil-biome-specific portfolio cut here.</v>
      </c>
      <c r="K99" s="71" t="str">
        <f>'Stakeholder list'!L104</f>
        <v>Funder, Strategic partner</v>
      </c>
      <c r="L99" s="71" t="str">
        <f>'Stakeholder list'!M104</f>
        <v>Upstream</v>
      </c>
      <c r="M99" s="71" t="str">
        <f>'Stakeholder list'!N104</f>
        <v>Co-funding partner</v>
      </c>
      <c r="N99" s="71" t="str">
        <f>'Stakeholder list'!O104</f>
        <v>Menlo Park, CA, USA</v>
      </c>
      <c r="O99" s="71" t="str">
        <f>'Stakeholder list'!P104</f>
        <v>Donor</v>
      </c>
      <c r="P99" s="71" t="str">
        <f>'Stakeholder list'!Q104</f>
        <v/>
      </c>
      <c r="Q99" s="71" t="str">
        <f>'Stakeholder list'!R104</f>
        <v/>
      </c>
      <c r="R99" s="71" t="str">
        <f>'Stakeholder list'!S104</f>
        <v>work in Brazil for a while on climate isues. Co-Funder of the two most relevant climate alliances (CLUA and  LARCI /ICS).</v>
      </c>
      <c r="S99" s="71" t="str">
        <f>'Stakeholder list'!T104</f>
        <v>—</v>
      </c>
      <c r="T99" s="71" t="str">
        <f>'Stakeholder list'!U104</f>
        <v/>
      </c>
      <c r="U99" s="71" t="str">
        <f>'Stakeholder list'!V104</f>
        <v/>
      </c>
      <c r="V99" s="71" t="str">
        <f>'Stakeholder list'!W104</f>
        <v/>
      </c>
      <c r="W99" s="71" t="str">
        <f>'Stakeholder list'!X104</f>
        <v/>
      </c>
    </row>
    <row r="100">
      <c r="A100" s="71">
        <f>'Stakeholder list'!B105</f>
        <v>99</v>
      </c>
      <c r="B100" s="71" t="str">
        <f>'Stakeholder list'!C105</f>
        <v>ClimateWorks Foundation</v>
      </c>
      <c r="C100" s="71" t="str">
        <f>'Stakeholder list'!D105</f>
        <v>Funders</v>
      </c>
      <c r="D100" s="71" t="str">
        <f>'Stakeholder list'!E105</f>
        <v>Monitoring, Evaluation, and Learning</v>
      </c>
      <c r="E100" s="71" t="str">
        <f>'Stakeholder list'!F105</f>
        <v>Grantmaking foundation that supports organizations and networks to design and scale high-impact climate solutions, connecting funders and implementers to accelerate emissions reductions across sectors.</v>
      </c>
      <c r="F100" s="71" t="str">
        <f>'Stakeholder list'!G105</f>
        <v>Cross-border / international</v>
      </c>
      <c r="G100" s="71" t="str">
        <f>'Stakeholder list'!H105</f>
        <v>Buildings &amp; Transport, Energy</v>
      </c>
      <c r="H100" s="71" t="str">
        <f>'Stakeholder list'!I105</f>
        <v/>
      </c>
      <c r="I100" s="71" t="str">
        <f>'Stakeholder list'!J105</f>
        <v/>
      </c>
      <c r="J100" s="71" t="str">
        <f>'Stakeholder list'!K105</f>
        <v>It funded global climate networks and did not define Brazil activities through biome-specific program boundaries in this mapping.</v>
      </c>
      <c r="K100" s="71" t="str">
        <f>'Stakeholder list'!L105</f>
        <v>Funder, Strategic partner, Technical assistance / research</v>
      </c>
      <c r="L100" s="71" t="str">
        <f>'Stakeholder list'!M105</f>
        <v>Upstream</v>
      </c>
      <c r="M100" s="71" t="str">
        <f>'Stakeholder list'!N105</f>
        <v>Co-funding partner</v>
      </c>
      <c r="N100" s="71" t="str">
        <f>'Stakeholder list'!O105</f>
        <v>San Francisco, CA, USA</v>
      </c>
      <c r="O100" s="71" t="str">
        <f>'Stakeholder list'!P105</f>
        <v>Donor</v>
      </c>
      <c r="P100" s="71" t="str">
        <f>'Stakeholder list'!Q105</f>
        <v>Gabriel Francisco (Associate Director Latin America) </v>
      </c>
      <c r="Q100" s="73" t="str">
        <f>'Stakeholder list'!R105</f>
        <v>https://www.climateworks.org/</v>
      </c>
      <c r="R100" s="71" t="str">
        <f>'Stakeholder list'!S105</f>
        <v>The most relevant international funder  on climte. A lot of lessons leraned and intrested on enhancing funding streams for climate change in Brazil. </v>
      </c>
      <c r="S100" s="71" t="str">
        <f>'Stakeholder list'!T105</f>
        <v>Strategic evaluation of climate programs, learning systems for high-impact climate solutions</v>
      </c>
      <c r="T100" s="71" t="str">
        <f>'Stakeholder list'!U105</f>
        <v/>
      </c>
      <c r="U100" s="71" t="str">
        <f>'Stakeholder list'!V105</f>
        <v/>
      </c>
      <c r="V100" s="71" t="str">
        <f>'Stakeholder list'!W105</f>
        <v/>
      </c>
      <c r="W100" s="71" t="str">
        <f>'Stakeholder list'!X105</f>
        <v/>
      </c>
    </row>
    <row r="101">
      <c r="A101" s="71">
        <f>'Stakeholder list'!B106</f>
        <v>100</v>
      </c>
      <c r="B101" s="71" t="str">
        <f>'Stakeholder list'!C106</f>
        <v>Children’s Investment Fund Foundation (CIFF)</v>
      </c>
      <c r="C101" s="71" t="str">
        <f>'Stakeholder list'!D106</f>
        <v>Funders</v>
      </c>
      <c r="D101" s="71" t="str">
        <f>'Stakeholder list'!E106</f>
        <v>Monitoring, Evaluation, and Learning</v>
      </c>
      <c r="E101" s="71" t="str">
        <f>'Stakeholder list'!F106</f>
        <v>Independent philanthropic organization that funds large-scale programs for children and adolescents and climate action, using evidence and partnerships to deliver measurable, systemic outcomes.</v>
      </c>
      <c r="F101" s="71" t="str">
        <f>'Stakeholder list'!G106</f>
        <v>Cross-border / international</v>
      </c>
      <c r="G101" s="71" t="str">
        <f>'Stakeholder list'!H106</f>
        <v>Buildings &amp; Transport, Emergency response, Energy, "Land, Food and Forest"</v>
      </c>
      <c r="H101" s="71" t="str">
        <f>'Stakeholder list'!I106</f>
        <v/>
      </c>
      <c r="I101" s="71" t="str">
        <f>'Stakeholder list'!J106</f>
        <v/>
      </c>
      <c r="J101" s="71" t="str">
        <f>'Stakeholder list'!K106</f>
        <v>It funded global portfolios (children/climate) and did not maintain a clear Brazil-biome-based classification in this dataset.</v>
      </c>
      <c r="K101" s="71" t="str">
        <f>'Stakeholder list'!L106</f>
        <v>Funder, Strategic partner</v>
      </c>
      <c r="L101" s="71" t="str">
        <f>'Stakeholder list'!M106</f>
        <v>Upstream</v>
      </c>
      <c r="M101" s="71" t="str">
        <f>'Stakeholder list'!N106</f>
        <v>Co-funding partner</v>
      </c>
      <c r="N101" s="71" t="str">
        <f>'Stakeholder list'!O106</f>
        <v>London, United Kingdom</v>
      </c>
      <c r="O101" s="71" t="str">
        <f>'Stakeholder list'!P106</f>
        <v>Donor</v>
      </c>
      <c r="P101" s="71" t="str">
        <f>'Stakeholder list'!Q106</f>
        <v/>
      </c>
      <c r="Q101" s="73" t="str">
        <f>'Stakeholder list'!R106</f>
        <v>https://ciff.org/</v>
      </c>
      <c r="R101" s="71" t="str">
        <f>'Stakeholder list'!S106</f>
        <v>work in Brazil for a while on climate isues. Co-Funder of LARCI /ICS.</v>
      </c>
      <c r="S101" s="71" t="str">
        <f>'Stakeholder list'!T106</f>
        <v>Evidence-based impact evaluation of climate and development programs, systemic outcome measurement</v>
      </c>
      <c r="T101" s="71" t="str">
        <f>'Stakeholder list'!U106</f>
        <v/>
      </c>
      <c r="U101" s="71" t="str">
        <f>'Stakeholder list'!V106</f>
        <v/>
      </c>
      <c r="V101" s="71" t="str">
        <f>'Stakeholder list'!W106</f>
        <v/>
      </c>
      <c r="W101" s="71" t="str">
        <f>'Stakeholder list'!X106</f>
        <v/>
      </c>
    </row>
    <row r="102">
      <c r="A102" s="71">
        <f>'Stakeholder list'!B107</f>
        <v>101</v>
      </c>
      <c r="B102" s="71" t="str">
        <f>'Stakeholder list'!C107</f>
        <v>Oak Foundation</v>
      </c>
      <c r="C102" s="71" t="str">
        <f>'Stakeholder list'!D107</f>
        <v>Funders</v>
      </c>
      <c r="D102" s="71" t="str">
        <f>'Stakeholder list'!E107</f>
        <v>Philanthropy foundations</v>
      </c>
      <c r="E102" s="71" t="str">
        <f>'Stakeholder list'!F107</f>
        <v>International grantmaking foundation supporting issues such as environment/climate, human rights, and social justice; funds organizations and coalitions that pursue structural change.</v>
      </c>
      <c r="F102" s="71" t="str">
        <f>'Stakeholder list'!G107</f>
        <v>Cross-border / international</v>
      </c>
      <c r="G102" s="71" t="str">
        <f>'Stakeholder list'!H107</f>
        <v>Buildings &amp; Transport, Emergency response, Energy, "Land, Food and Forest"</v>
      </c>
      <c r="H102" s="71" t="str">
        <f>'Stakeholder list'!I107</f>
        <v/>
      </c>
      <c r="I102" s="71" t="str">
        <f>'Stakeholder list'!J107</f>
        <v/>
      </c>
      <c r="J102" s="71" t="str">
        <f>'Stakeholder list'!K107</f>
        <v>It funded broad international agendas and did not disclose a consistent Brazil-biome-specific portfolio cut for this mapping.</v>
      </c>
      <c r="K102" s="71" t="str">
        <f>'Stakeholder list'!L107</f>
        <v>Funder, Strategic partner</v>
      </c>
      <c r="L102" s="71" t="str">
        <f>'Stakeholder list'!M107</f>
        <v>Upstream</v>
      </c>
      <c r="M102" s="71" t="str">
        <f>'Stakeholder list'!N107</f>
        <v>Co-funding partner</v>
      </c>
      <c r="N102" s="71" t="str">
        <f>'Stakeholder list'!O107</f>
        <v>Geneva, Switzerland</v>
      </c>
      <c r="O102" s="71" t="str">
        <f>'Stakeholder list'!P107</f>
        <v>Donor</v>
      </c>
      <c r="P102" s="71" t="str">
        <f>'Stakeholder list'!Q107</f>
        <v/>
      </c>
      <c r="Q102" s="73" t="str">
        <f>'Stakeholder list'!R107</f>
        <v>https://oakfnd.org/</v>
      </c>
      <c r="R102" s="71" t="str">
        <f>'Stakeholder list'!S107</f>
        <v>work in Brazil for a while on climate isues. Co-Funder of LARCI /ICS.</v>
      </c>
      <c r="S102" s="71" t="str">
        <f>'Stakeholder list'!T107</f>
        <v>—</v>
      </c>
      <c r="T102" s="71" t="str">
        <f>'Stakeholder list'!U107</f>
        <v/>
      </c>
      <c r="U102" s="71" t="str">
        <f>'Stakeholder list'!V107</f>
        <v/>
      </c>
      <c r="V102" s="71" t="str">
        <f>'Stakeholder list'!W107</f>
        <v/>
      </c>
      <c r="W102" s="71" t="str">
        <f>'Stakeholder list'!X107</f>
        <v/>
      </c>
    </row>
    <row r="103">
      <c r="A103" s="71">
        <f>'Stakeholder list'!B108</f>
        <v>102</v>
      </c>
      <c r="B103" s="71" t="str">
        <f>'Stakeholder list'!C108</f>
        <v>Ministério de Minas e Energia (MME)</v>
      </c>
      <c r="C103" s="71" t="str">
        <f>'Stakeholder list'!D108</f>
        <v>Public sector</v>
      </c>
      <c r="D103" s="71" t="str">
        <f>'Stakeholder list'!E108</f>
        <v>Federal Government</v>
      </c>
      <c r="E103" s="71" t="str">
        <f>'Stakeholder list'!F108</f>
        <v>Federal ministry responsible for national policies and planning guidelines for energy and mining; central to enabling the energy transition through regulation, sector planning, and policy coordination.</v>
      </c>
      <c r="F103" s="71" t="str">
        <f>'Stakeholder list'!G108</f>
        <v>National</v>
      </c>
      <c r="G103" s="71" t="str">
        <f>'Stakeholder list'!H108</f>
        <v>Energy</v>
      </c>
      <c r="H103" s="71" t="str">
        <f>'Stakeholder list'!I108</f>
        <v/>
      </c>
      <c r="I103" s="71" t="str">
        <f>'Stakeholder list'!J108</f>
        <v/>
      </c>
      <c r="J103" s="71" t="str">
        <f>'Stakeholder list'!K108</f>
        <v>No biome lens was assigned because it acted through national policy and planning instruments rather than biome-targeted programs.</v>
      </c>
      <c r="K103" s="71" t="str">
        <f>'Stakeholder list'!L108</f>
        <v>Policy influence / regulation</v>
      </c>
      <c r="L103" s="71" t="str">
        <f>'Stakeholder list'!M108</f>
        <v>Upstream</v>
      </c>
      <c r="M103" s="71" t="str">
        <f>'Stakeholder list'!N108</f>
        <v>Strategic partner</v>
      </c>
      <c r="N103" s="71" t="str">
        <f>'Stakeholder list'!O108</f>
        <v>Brasília, DF, Brazil</v>
      </c>
      <c r="O103" s="71" t="str">
        <f>'Stakeholder list'!P108</f>
        <v/>
      </c>
      <c r="P103" s="71" t="str">
        <f>'Stakeholder list'!Q108</f>
        <v/>
      </c>
      <c r="Q103" s="71" t="str">
        <f>'Stakeholder list'!R108</f>
        <v/>
      </c>
      <c r="R103" s="71" t="str">
        <f>'Stakeholder list'!S108</f>
        <v/>
      </c>
      <c r="S103" s="71" t="str">
        <f>'Stakeholder list'!T108</f>
        <v>—</v>
      </c>
      <c r="T103" s="71" t="str">
        <f>'Stakeholder list'!U108</f>
        <v/>
      </c>
      <c r="U103" s="71" t="str">
        <f>'Stakeholder list'!V108</f>
        <v/>
      </c>
      <c r="V103" s="71" t="str">
        <f>'Stakeholder list'!W108</f>
        <v/>
      </c>
      <c r="W103" s="71" t="str">
        <f>'Stakeholder list'!X108</f>
        <v/>
      </c>
    </row>
    <row r="104">
      <c r="A104" s="71">
        <f>'Stakeholder list'!B109</f>
        <v>103</v>
      </c>
      <c r="B104" s="71" t="str">
        <f>'Stakeholder list'!C109</f>
        <v>Empresa de Pesquisa Energética (EPE)</v>
      </c>
      <c r="C104" s="71" t="str">
        <f>'Stakeholder list'!D109</f>
        <v>Public sector</v>
      </c>
      <c r="D104" s="71" t="str">
        <f>'Stakeholder list'!E109</f>
        <v>Monitoring, Evaluation, and Learning</v>
      </c>
      <c r="E104" s="71" t="str">
        <f>'Stakeholder list'!F109</f>
        <v>Public company that provides studies and research to support the MME and national energy planning (electricity, oil &amp; gas, and biofuels), strengthening evidence-based decisions for a low-carbon transition.</v>
      </c>
      <c r="F104" s="71" t="str">
        <f>'Stakeholder list'!G109</f>
        <v>National</v>
      </c>
      <c r="G104" s="71" t="str">
        <f>'Stakeholder list'!H109</f>
        <v>Energy</v>
      </c>
      <c r="H104" s="71" t="str">
        <f>'Stakeholder list'!I109</f>
        <v/>
      </c>
      <c r="I104" s="71" t="str">
        <f>'Stakeholder list'!J109</f>
        <v/>
      </c>
      <c r="J104" s="71" t="str">
        <f>'Stakeholder list'!K109</f>
        <v>No biome lens was assigned because it produced national planning studies without a stable portfolio organized by biome.</v>
      </c>
      <c r="K104" s="71" t="str">
        <f>'Stakeholder list'!L109</f>
        <v>Technical assistance / research, Policy influence / regulation</v>
      </c>
      <c r="L104" s="71" t="str">
        <f>'Stakeholder list'!M109</f>
        <v>Upstream</v>
      </c>
      <c r="M104" s="71" t="str">
        <f>'Stakeholder list'!N109</f>
        <v>Strategic partner</v>
      </c>
      <c r="N104" s="71" t="str">
        <f>'Stakeholder list'!O109</f>
        <v>Rio de Janeiro, RJ, Brazil</v>
      </c>
      <c r="O104" s="71" t="str">
        <f>'Stakeholder list'!P109</f>
        <v/>
      </c>
      <c r="P104" s="71" t="str">
        <f>'Stakeholder list'!Q109</f>
        <v/>
      </c>
      <c r="Q104" s="71" t="str">
        <f>'Stakeholder list'!R109</f>
        <v/>
      </c>
      <c r="R104" s="71" t="str">
        <f>'Stakeholder list'!S109</f>
        <v/>
      </c>
      <c r="S104" s="71" t="str">
        <f>'Stakeholder list'!T109</f>
        <v>Energy systems modelling, national energy planning studies and evidence for low-carbon transitions</v>
      </c>
      <c r="T104" s="71" t="str">
        <f>'Stakeholder list'!U109</f>
        <v/>
      </c>
      <c r="U104" s="71" t="str">
        <f>'Stakeholder list'!V109</f>
        <v/>
      </c>
      <c r="V104" s="71" t="str">
        <f>'Stakeholder list'!W109</f>
        <v/>
      </c>
      <c r="W104" s="71" t="str">
        <f>'Stakeholder list'!X109</f>
        <v/>
      </c>
    </row>
    <row r="105">
      <c r="A105" s="71">
        <f>'Stakeholder list'!B110</f>
        <v>104</v>
      </c>
      <c r="B105" s="71" t="str">
        <f>'Stakeholder list'!C110</f>
        <v>Agência Nacional de Energia Elétrica (ANEEL)</v>
      </c>
      <c r="C105" s="71" t="str">
        <f>'Stakeholder list'!D110</f>
        <v>Public sector</v>
      </c>
      <c r="D105" s="71" t="str">
        <f>'Stakeholder list'!E110</f>
        <v>Public agencies and regulators</v>
      </c>
      <c r="E105" s="71" t="str">
        <f>'Stakeholder list'!F110</f>
        <v>Federal electricity regulator responsible for sector oversight and regulation; key to the transition through tariff/regulatory frameworks, quality/resilience requirements, and market rules that enable renewables and grid modernization.</v>
      </c>
      <c r="F105" s="71" t="str">
        <f>'Stakeholder list'!G110</f>
        <v>National</v>
      </c>
      <c r="G105" s="71" t="str">
        <f>'Stakeholder list'!H110</f>
        <v>Energy</v>
      </c>
      <c r="H105" s="71" t="str">
        <f>'Stakeholder list'!I110</f>
        <v/>
      </c>
      <c r="I105" s="71" t="str">
        <f>'Stakeholder list'!J110</f>
        <v/>
      </c>
      <c r="J105" s="71" t="str">
        <f>'Stakeholder list'!K110</f>
        <v>No biome lens was assigned because it regulated the sector nationally and did not operate through biome-specific projects.</v>
      </c>
      <c r="K105" s="71" t="str">
        <f>'Stakeholder list'!L110</f>
        <v>Policy influence / regulation</v>
      </c>
      <c r="L105" s="71" t="str">
        <f>'Stakeholder list'!M110</f>
        <v>Upstream</v>
      </c>
      <c r="M105" s="71" t="str">
        <f>'Stakeholder list'!N110</f>
        <v>Strategic partner</v>
      </c>
      <c r="N105" s="71" t="str">
        <f>'Stakeholder list'!O110</f>
        <v>Brasília, DF, Brazil</v>
      </c>
      <c r="O105" s="71" t="str">
        <f>'Stakeholder list'!P110</f>
        <v/>
      </c>
      <c r="P105" s="71" t="str">
        <f>'Stakeholder list'!Q110</f>
        <v/>
      </c>
      <c r="Q105" s="71" t="str">
        <f>'Stakeholder list'!R110</f>
        <v/>
      </c>
      <c r="R105" s="71" t="str">
        <f>'Stakeholder list'!S110</f>
        <v/>
      </c>
      <c r="S105" s="71" t="str">
        <f>'Stakeholder list'!T110</f>
        <v>—</v>
      </c>
      <c r="T105" s="71" t="str">
        <f>'Stakeholder list'!U110</f>
        <v/>
      </c>
      <c r="U105" s="71" t="str">
        <f>'Stakeholder list'!V110</f>
        <v/>
      </c>
      <c r="V105" s="71" t="str">
        <f>'Stakeholder list'!W110</f>
        <v/>
      </c>
      <c r="W105" s="71" t="str">
        <f>'Stakeholder list'!X110</f>
        <v/>
      </c>
    </row>
    <row r="106">
      <c r="A106" s="71">
        <f>'Stakeholder list'!B111</f>
        <v>105</v>
      </c>
      <c r="B106" s="71" t="str">
        <f>'Stakeholder list'!C111</f>
        <v>Operador Nacional do Sistema Elétrico (ONS)</v>
      </c>
      <c r="C106" s="71" t="str">
        <f>'Stakeholder list'!D111</f>
        <v>Public sector</v>
      </c>
      <c r="D106" s="71" t="str">
        <f>'Stakeholder list'!E111</f>
        <v>Industry platforms and sectoral initiatives</v>
      </c>
      <c r="E106" s="71" t="str">
        <f>'Stakeholder list'!F111</f>
        <v>Non-profit system operator (private-law entity) responsible for coordinating and controlling generation and transmission operation of Brazil’s interconnected power system; essential for reliability, integration of renewables, and operational planning.</v>
      </c>
      <c r="F106" s="71" t="str">
        <f>'Stakeholder list'!G111</f>
        <v>National</v>
      </c>
      <c r="G106" s="71" t="str">
        <f>'Stakeholder list'!H111</f>
        <v>Energy</v>
      </c>
      <c r="H106" s="71" t="str">
        <f>'Stakeholder list'!I111</f>
        <v/>
      </c>
      <c r="I106" s="71" t="str">
        <f>'Stakeholder list'!J111</f>
        <v/>
      </c>
      <c r="J106" s="71" t="str">
        <f>'Stakeholder list'!K111</f>
        <v>No biome lens was assigned because it performed system operation for the national grid and was not structured around biome-defined interventions.</v>
      </c>
      <c r="K106" s="71" t="str">
        <f>'Stakeholder list'!L111</f>
        <v>Policy influence / regulation, Data / MRV / platforms</v>
      </c>
      <c r="L106" s="71" t="str">
        <f>'Stakeholder list'!M111</f>
        <v>Upstream</v>
      </c>
      <c r="M106" s="71" t="str">
        <f>'Stakeholder list'!N111</f>
        <v>Strategic partner</v>
      </c>
      <c r="N106" s="71" t="str">
        <f>'Stakeholder list'!O111</f>
        <v>Rio de Janeiro, RJ, Brazil</v>
      </c>
      <c r="O106" s="71" t="str">
        <f>'Stakeholder list'!P111</f>
        <v/>
      </c>
      <c r="P106" s="71" t="str">
        <f>'Stakeholder list'!Q111</f>
        <v/>
      </c>
      <c r="Q106" s="71" t="str">
        <f>'Stakeholder list'!R111</f>
        <v/>
      </c>
      <c r="R106" s="71" t="str">
        <f>'Stakeholder list'!S111</f>
        <v/>
      </c>
      <c r="S106" s="71" t="str">
        <f>'Stakeholder list'!T111</f>
        <v>—</v>
      </c>
      <c r="T106" s="71" t="str">
        <f>'Stakeholder list'!U111</f>
        <v/>
      </c>
      <c r="U106" s="71" t="str">
        <f>'Stakeholder list'!V111</f>
        <v/>
      </c>
      <c r="V106" s="71" t="str">
        <f>'Stakeholder list'!W111</f>
        <v/>
      </c>
      <c r="W106" s="71" t="str">
        <f>'Stakeholder list'!X111</f>
        <v/>
      </c>
    </row>
    <row r="107">
      <c r="A107" s="71">
        <f>'Stakeholder list'!B112</f>
        <v>106</v>
      </c>
      <c r="B107" s="71" t="str">
        <f>'Stakeholder list'!C112</f>
        <v>Neoenergia</v>
      </c>
      <c r="C107" s="71" t="str">
        <f>'Stakeholder list'!D112</f>
        <v>Private sector</v>
      </c>
      <c r="D107" s="71" t="str">
        <f>'Stakeholder list'!E112</f>
        <v>Private companies (large / leading)</v>
      </c>
      <c r="E107" s="71" t="str">
        <f>'Stakeholder list'!F112</f>
        <v>Integrated utility (generation/transmission/distribution); can accelerate transition by expanding renewables, modernizing grids, improving efficiency, and scaling electrification solutions with stronger ESG performance.</v>
      </c>
      <c r="F107" s="71" t="str">
        <f>'Stakeholder list'!G112</f>
        <v>Cross-border / international</v>
      </c>
      <c r="G107" s="71" t="str">
        <f>'Stakeholder list'!H112</f>
        <v>Energy</v>
      </c>
      <c r="H107" s="71" t="str">
        <f>'Stakeholder list'!I112</f>
        <v/>
      </c>
      <c r="I107" s="71" t="str">
        <f>'Stakeholder list'!J112</f>
        <v/>
      </c>
      <c r="J107" s="71" t="str">
        <f>'Stakeholder list'!K112</f>
        <v>No biome lens was assigned because the company’s publicly visible transition agenda was framed by assets and concession areas, not by biome-delimited programs.</v>
      </c>
      <c r="K107" s="71" t="str">
        <f>'Stakeholder list'!L112</f>
        <v>Strategic partner, Implementation capacity (delivery)</v>
      </c>
      <c r="L107" s="71" t="str">
        <f>'Stakeholder list'!M112</f>
        <v>Downstream</v>
      </c>
      <c r="M107" s="71" t="str">
        <f>'Stakeholder list'!N112</f>
        <v>Co-funding partner</v>
      </c>
      <c r="N107" s="71" t="str">
        <f>'Stakeholder list'!O112</f>
        <v>Rio de Janeiro, RJ, Brazil</v>
      </c>
      <c r="O107" s="71" t="str">
        <f>'Stakeholder list'!P112</f>
        <v>Donor</v>
      </c>
      <c r="P107" s="71" t="str">
        <f>'Stakeholder list'!Q112</f>
        <v/>
      </c>
      <c r="Q107" s="71" t="str">
        <f>'Stakeholder list'!R112</f>
        <v/>
      </c>
      <c r="R107" s="71" t="str">
        <f>'Stakeholder list'!S112</f>
        <v/>
      </c>
      <c r="S107" s="71" t="str">
        <f>'Stakeholder list'!T112</f>
        <v>—</v>
      </c>
      <c r="T107" s="71" t="str">
        <f>'Stakeholder list'!U112</f>
        <v/>
      </c>
      <c r="U107" s="71" t="str">
        <f>'Stakeholder list'!V112</f>
        <v/>
      </c>
      <c r="V107" s="71" t="str">
        <f>'Stakeholder list'!W112</f>
        <v/>
      </c>
      <c r="W107" s="71" t="str">
        <f>'Stakeholder list'!X112</f>
        <v/>
      </c>
    </row>
    <row r="108">
      <c r="A108" s="71">
        <f>'Stakeholder list'!B113</f>
        <v>107</v>
      </c>
      <c r="B108" s="71" t="str">
        <f>'Stakeholder list'!C113</f>
        <v>CPFL Energia</v>
      </c>
      <c r="C108" s="71" t="str">
        <f>'Stakeholder list'!D113</f>
        <v>Private sector</v>
      </c>
      <c r="D108" s="71" t="str">
        <f>'Stakeholder list'!E113</f>
        <v>Private companies (large / leading)</v>
      </c>
      <c r="E108" s="71" t="str">
        <f>'Stakeholder list'!F113</f>
        <v>Integrated utility with strong distribution footprint; contributes through grid modernization, losses reduction, digitalization, and investments that enable distributed generation and clean electrification.</v>
      </c>
      <c r="F108" s="71" t="str">
        <f>'Stakeholder list'!G113</f>
        <v>Cross-border / international</v>
      </c>
      <c r="G108" s="71" t="str">
        <f>'Stakeholder list'!H113</f>
        <v>Energy</v>
      </c>
      <c r="H108" s="71" t="str">
        <f>'Stakeholder list'!I113</f>
        <v/>
      </c>
      <c r="I108" s="71" t="str">
        <f>'Stakeholder list'!J113</f>
        <v/>
      </c>
      <c r="J108" s="71" t="str">
        <f>'Stakeholder list'!K113</f>
        <v>No biome lens was assigned because actions were typically reported by operational footprint and concessions, not by biome-based initiatives.</v>
      </c>
      <c r="K108" s="71" t="str">
        <f>'Stakeholder list'!L113</f>
        <v>Strategic partner, Implementation capacity (delivery)</v>
      </c>
      <c r="L108" s="71" t="str">
        <f>'Stakeholder list'!M113</f>
        <v>Downstream</v>
      </c>
      <c r="M108" s="71" t="str">
        <f>'Stakeholder list'!N113</f>
        <v>Co-funding partner</v>
      </c>
      <c r="N108" s="71" t="str">
        <f>'Stakeholder list'!O113</f>
        <v>Campinas, SP, Brazil</v>
      </c>
      <c r="O108" s="71" t="str">
        <f>'Stakeholder list'!P113</f>
        <v>Donor</v>
      </c>
      <c r="P108" s="71" t="str">
        <f>'Stakeholder list'!Q113</f>
        <v/>
      </c>
      <c r="Q108" s="71" t="str">
        <f>'Stakeholder list'!R113</f>
        <v/>
      </c>
      <c r="R108" s="71" t="str">
        <f>'Stakeholder list'!S113</f>
        <v/>
      </c>
      <c r="S108" s="71" t="str">
        <f>'Stakeholder list'!T113</f>
        <v>—</v>
      </c>
      <c r="T108" s="71" t="str">
        <f>'Stakeholder list'!U113</f>
        <v/>
      </c>
      <c r="U108" s="71" t="str">
        <f>'Stakeholder list'!V113</f>
        <v/>
      </c>
      <c r="V108" s="71" t="str">
        <f>'Stakeholder list'!W113</f>
        <v/>
      </c>
      <c r="W108" s="71" t="str">
        <f>'Stakeholder list'!X113</f>
        <v/>
      </c>
    </row>
    <row r="109">
      <c r="A109" s="71">
        <f>'Stakeholder list'!B114</f>
        <v>108</v>
      </c>
      <c r="B109" s="71" t="str">
        <f>'Stakeholder list'!C114</f>
        <v>Engie Brasil</v>
      </c>
      <c r="C109" s="71" t="str">
        <f>'Stakeholder list'!D114</f>
        <v>Private sector</v>
      </c>
      <c r="D109" s="71" t="str">
        <f>'Stakeholder list'!E114</f>
        <v>Private companies (large / leading)</v>
      </c>
      <c r="E109" s="71" t="str">
        <f>'Stakeholder list'!F114</f>
        <v>Power generation company with a significant renewables portfolio; contributes via renewable expansion, decarbonization strategies, and long-term investment in clean energy assets and grid solutions.</v>
      </c>
      <c r="F109" s="71" t="str">
        <f>'Stakeholder list'!G114</f>
        <v>Cross-border / international</v>
      </c>
      <c r="G109" s="71" t="str">
        <f>'Stakeholder list'!H114</f>
        <v>Energy</v>
      </c>
      <c r="H109" s="71" t="str">
        <f>'Stakeholder list'!I114</f>
        <v/>
      </c>
      <c r="I109" s="71" t="str">
        <f>'Stakeholder list'!J114</f>
        <v/>
      </c>
      <c r="J109" s="71" t="str">
        <f>'Stakeholder list'!K114</f>
        <v>No biome lens was assigned because the transition contribution was reported by generation assets and projects without a consistent biome cut.</v>
      </c>
      <c r="K109" s="71" t="str">
        <f>'Stakeholder list'!L114</f>
        <v>Strategic partner, Implementation capacity (delivery)</v>
      </c>
      <c r="L109" s="71" t="str">
        <f>'Stakeholder list'!M114</f>
        <v>Downstream</v>
      </c>
      <c r="M109" s="71" t="str">
        <f>'Stakeholder list'!N114</f>
        <v>Co-funding partner</v>
      </c>
      <c r="N109" s="71" t="str">
        <f>'Stakeholder list'!O114</f>
        <v>Florianópolis, SC, Brazil</v>
      </c>
      <c r="O109" s="71" t="str">
        <f>'Stakeholder list'!P114</f>
        <v>Donor</v>
      </c>
      <c r="P109" s="71" t="str">
        <f>'Stakeholder list'!Q114</f>
        <v/>
      </c>
      <c r="Q109" s="71" t="str">
        <f>'Stakeholder list'!R114</f>
        <v/>
      </c>
      <c r="R109" s="71" t="str">
        <f>'Stakeholder list'!S114</f>
        <v/>
      </c>
      <c r="S109" s="71" t="str">
        <f>'Stakeholder list'!T114</f>
        <v>—</v>
      </c>
      <c r="T109" s="71" t="str">
        <f>'Stakeholder list'!U114</f>
        <v/>
      </c>
      <c r="U109" s="71" t="str">
        <f>'Stakeholder list'!V114</f>
        <v/>
      </c>
      <c r="V109" s="71" t="str">
        <f>'Stakeholder list'!W114</f>
        <v/>
      </c>
      <c r="W109" s="71" t="str">
        <f>'Stakeholder list'!X114</f>
        <v/>
      </c>
    </row>
    <row r="110">
      <c r="A110" s="71">
        <f>'Stakeholder list'!B115</f>
        <v>109</v>
      </c>
      <c r="B110" s="71" t="str">
        <f>'Stakeholder list'!C115</f>
        <v>EDP Brasil</v>
      </c>
      <c r="C110" s="71" t="str">
        <f>'Stakeholder list'!D115</f>
        <v>Private sector</v>
      </c>
      <c r="D110" s="71" t="str">
        <f>'Stakeholder list'!E115</f>
        <v>Private companies (large / leading)</v>
      </c>
      <c r="E110" s="71" t="str">
        <f>'Stakeholder list'!F115</f>
        <v>Energy company active in generation and distribution; can drive the transition through renewables, innovation (e.g., storage/digital), energy efficiency, and electrification programs.</v>
      </c>
      <c r="F110" s="71" t="str">
        <f>'Stakeholder list'!G115</f>
        <v>Cross-border / international</v>
      </c>
      <c r="G110" s="71" t="str">
        <f>'Stakeholder list'!H115</f>
        <v>Energy</v>
      </c>
      <c r="H110" s="71" t="str">
        <f>'Stakeholder list'!I115</f>
        <v/>
      </c>
      <c r="I110" s="71" t="str">
        <f>'Stakeholder list'!J115</f>
        <v/>
      </c>
      <c r="J110" s="71" t="str">
        <f>'Stakeholder list'!K115</f>
        <v>No biome lens was assigned because programs were not clearly organized or communicated using biome boundaries as the primary territorial frame.</v>
      </c>
      <c r="K110" s="71" t="str">
        <f>'Stakeholder list'!L115</f>
        <v>Strategic partner, Implementation capacity (delivery)</v>
      </c>
      <c r="L110" s="71" t="str">
        <f>'Stakeholder list'!M115</f>
        <v>Downstream</v>
      </c>
      <c r="M110" s="71" t="str">
        <f>'Stakeholder list'!N115</f>
        <v>Co-funding partner</v>
      </c>
      <c r="N110" s="71" t="str">
        <f>'Stakeholder list'!O115</f>
        <v>São Paulo, SP, Brazil</v>
      </c>
      <c r="O110" s="71" t="str">
        <f>'Stakeholder list'!P115</f>
        <v>Donor</v>
      </c>
      <c r="P110" s="71" t="str">
        <f>'Stakeholder list'!Q115</f>
        <v/>
      </c>
      <c r="Q110" s="71" t="str">
        <f>'Stakeholder list'!R115</f>
        <v/>
      </c>
      <c r="R110" s="71" t="str">
        <f>'Stakeholder list'!S115</f>
        <v/>
      </c>
      <c r="S110" s="71" t="str">
        <f>'Stakeholder list'!T115</f>
        <v>—</v>
      </c>
      <c r="T110" s="71" t="str">
        <f>'Stakeholder list'!U115</f>
        <v/>
      </c>
      <c r="U110" s="71" t="str">
        <f>'Stakeholder list'!V115</f>
        <v/>
      </c>
      <c r="V110" s="71" t="str">
        <f>'Stakeholder list'!W115</f>
        <v/>
      </c>
      <c r="W110" s="71" t="str">
        <f>'Stakeholder list'!X115</f>
        <v/>
      </c>
    </row>
    <row r="111">
      <c r="A111" s="71">
        <f>'Stakeholder list'!B116</f>
        <v>110</v>
      </c>
      <c r="B111" s="71" t="str">
        <f>'Stakeholder list'!C116</f>
        <v>Enel Brasil</v>
      </c>
      <c r="C111" s="71" t="str">
        <f>'Stakeholder list'!D116</f>
        <v>Private sector</v>
      </c>
      <c r="D111" s="71" t="str">
        <f>'Stakeholder list'!E116</f>
        <v>Private companies (large / leading)</v>
      </c>
      <c r="E111" s="71" t="str">
        <f>'Stakeholder list'!F116</f>
        <v>Integrated utility (distribution and generation) with focus on decarbonization; contributes via renewable investments, grid resilience, digital networks, and electrification (e.g., e-mobility infrastructure).</v>
      </c>
      <c r="F111" s="71" t="str">
        <f>'Stakeholder list'!G116</f>
        <v>Cross-border / international</v>
      </c>
      <c r="G111" s="71" t="str">
        <f>'Stakeholder list'!H116</f>
        <v>Energy</v>
      </c>
      <c r="H111" s="71" t="str">
        <f>'Stakeholder list'!I116</f>
        <v/>
      </c>
      <c r="I111" s="71" t="str">
        <f>'Stakeholder list'!J116</f>
        <v/>
      </c>
      <c r="J111" s="71" t="str">
        <f>'Stakeholder list'!K116</f>
        <v>No biome lens was assigned because the portfolio was presented by business lines and concessions rather than biome-targeted action.</v>
      </c>
      <c r="K111" s="71" t="str">
        <f>'Stakeholder list'!L116</f>
        <v>Strategic partner, Implementation capacity (delivery)</v>
      </c>
      <c r="L111" s="71" t="str">
        <f>'Stakeholder list'!M116</f>
        <v>Downstream</v>
      </c>
      <c r="M111" s="71" t="str">
        <f>'Stakeholder list'!N116</f>
        <v>Co-funding partner</v>
      </c>
      <c r="N111" s="71" t="str">
        <f>'Stakeholder list'!O116</f>
        <v>São Paulo, SP, Brazil</v>
      </c>
      <c r="O111" s="71" t="str">
        <f>'Stakeholder list'!P116</f>
        <v>Donor</v>
      </c>
      <c r="P111" s="71" t="str">
        <f>'Stakeholder list'!Q116</f>
        <v/>
      </c>
      <c r="Q111" s="71" t="str">
        <f>'Stakeholder list'!R116</f>
        <v/>
      </c>
      <c r="R111" s="71" t="str">
        <f>'Stakeholder list'!S116</f>
        <v/>
      </c>
      <c r="S111" s="71" t="str">
        <f>'Stakeholder list'!T116</f>
        <v>—</v>
      </c>
      <c r="T111" s="71" t="str">
        <f>'Stakeholder list'!U116</f>
        <v/>
      </c>
      <c r="U111" s="71" t="str">
        <f>'Stakeholder list'!V116</f>
        <v/>
      </c>
      <c r="V111" s="71" t="str">
        <f>'Stakeholder list'!W116</f>
        <v/>
      </c>
      <c r="W111" s="71" t="str">
        <f>'Stakeholder list'!X116</f>
        <v/>
      </c>
    </row>
    <row r="112">
      <c r="A112" s="71">
        <f>'Stakeholder list'!B117</f>
        <v>111</v>
      </c>
      <c r="B112" s="71" t="str">
        <f>'Stakeholder list'!C117</f>
        <v>Eletrobras</v>
      </c>
      <c r="C112" s="71" t="str">
        <f>'Stakeholder list'!D117</f>
        <v>Private sector</v>
      </c>
      <c r="D112" s="71" t="str">
        <f>'Stakeholder list'!E117</f>
        <v>Private companies (large / leading)</v>
      </c>
      <c r="E112" s="71" t="str">
        <f>'Stakeholder list'!F117</f>
        <v>Major electricity company with large generation and transmission assets; can influence systemic transition through grid expansion, transmission reliability, renewable integration, and governance aligned with long-term decarbonization.</v>
      </c>
      <c r="F112" s="71" t="str">
        <f>'Stakeholder list'!G117</f>
        <v>National</v>
      </c>
      <c r="G112" s="71" t="str">
        <f>'Stakeholder list'!H117</f>
        <v>Energy</v>
      </c>
      <c r="H112" s="71" t="str">
        <f>'Stakeholder list'!I117</f>
        <v/>
      </c>
      <c r="I112" s="71" t="str">
        <f>'Stakeholder list'!J117</f>
        <v/>
      </c>
      <c r="J112" s="71" t="str">
        <f>'Stakeholder list'!K117</f>
        <v>No biome lens was assigned because transition-relevant actions were linked to system assets and corporate strategy, not to explicit biome-based programs.</v>
      </c>
      <c r="K112" s="71" t="str">
        <f>'Stakeholder list'!L117</f>
        <v>Strategic partner, Implementation capacity (delivery)</v>
      </c>
      <c r="L112" s="71" t="str">
        <f>'Stakeholder list'!M117</f>
        <v>Downstream</v>
      </c>
      <c r="M112" s="71" t="str">
        <f>'Stakeholder list'!N117</f>
        <v>Co-funding partner</v>
      </c>
      <c r="N112" s="71" t="str">
        <f>'Stakeholder list'!O117</f>
        <v>Rio de Janeiro, RJ, Brazil</v>
      </c>
      <c r="O112" s="71" t="str">
        <f>'Stakeholder list'!P117</f>
        <v>Donor</v>
      </c>
      <c r="P112" s="71" t="str">
        <f>'Stakeholder list'!Q117</f>
        <v/>
      </c>
      <c r="Q112" s="71" t="str">
        <f>'Stakeholder list'!R117</f>
        <v/>
      </c>
      <c r="R112" s="71" t="str">
        <f>'Stakeholder list'!S117</f>
        <v/>
      </c>
      <c r="S112" s="71" t="str">
        <f>'Stakeholder list'!T117</f>
        <v>—</v>
      </c>
      <c r="T112" s="71" t="str">
        <f>'Stakeholder list'!U117</f>
        <v/>
      </c>
      <c r="U112" s="71" t="str">
        <f>'Stakeholder list'!V117</f>
        <v/>
      </c>
      <c r="V112" s="71" t="str">
        <f>'Stakeholder list'!W117</f>
        <v/>
      </c>
      <c r="W112" s="71" t="str">
        <f>'Stakeholder list'!X117</f>
        <v/>
      </c>
    </row>
    <row r="113">
      <c r="A113" s="71">
        <f>'Stakeholder list'!B118</f>
        <v>112</v>
      </c>
      <c r="B113" s="71" t="str">
        <f>'Stakeholder list'!C118</f>
        <v>Instituto de Energia e Meio Ambiente (IEMA)</v>
      </c>
      <c r="C113" s="71" t="str">
        <f>'Stakeholder list'!D118</f>
        <v>Civil Society Organization (CSO)</v>
      </c>
      <c r="D113" s="71" t="str">
        <f>'Stakeholder list'!E118</f>
        <v>Monitoring, Evaluation, and Learning</v>
      </c>
      <c r="E113" s="71" t="str">
        <f>'Stakeholder list'!F118</f>
        <v>Brazilian non-profit institute that produces technical evidence and policy analysis on energy, air quality, emissions and urban mobility, supporting better regulation and public decision-making for a low-carbon transition.</v>
      </c>
      <c r="F113" s="71" t="str">
        <f>'Stakeholder list'!G118</f>
        <v>National</v>
      </c>
      <c r="G113" s="71" t="str">
        <f>'Stakeholder list'!H118</f>
        <v>Buildings &amp; Transport, Energy, "Land, Food and Forest"</v>
      </c>
      <c r="H113" s="71" t="str">
        <f>'Stakeholder list'!I118</f>
        <v>Amazonia, Caatinga, Cerrado</v>
      </c>
      <c r="I113" s="71" t="str">
        <f>'Stakeholder list'!J118</f>
        <v>Mata&amp;Atlântica, Pantanal</v>
      </c>
      <c r="J113" s="71" t="str">
        <f>'Stakeholder list'!K118</f>
        <v>The biome tagging reflects where Brazil’s decarbonization and air-quality agendas are structurally shaped by land-use pressure, diesel/logistics corridors, and energy system constraints.</v>
      </c>
      <c r="K113" s="71" t="str">
        <f>'Stakeholder list'!L118</f>
        <v>Technical assistance / research, Policy influence / regulation</v>
      </c>
      <c r="L113" s="71" t="str">
        <f>'Stakeholder list'!M118</f>
        <v>Upstream</v>
      </c>
      <c r="M113" s="71" t="str">
        <f>'Stakeholder list'!N118</f>
        <v>Grant recipient</v>
      </c>
      <c r="N113" s="71" t="str">
        <f>'Stakeholder list'!O118</f>
        <v>São Paulo, SP, Brazil</v>
      </c>
      <c r="O113" s="71" t="str">
        <f>'Stakeholder list'!P118</f>
        <v>Grantee</v>
      </c>
      <c r="P113" s="71" t="str">
        <f>'Stakeholder list'!Q118</f>
        <v>André Ferreira (Executive Director)</v>
      </c>
      <c r="Q113" s="73" t="str">
        <f>'Stakeholder list'!R118</f>
        <v>https://energiaeambiente.org.br/</v>
      </c>
      <c r="R113" s="71" t="str">
        <f>'Stakeholder list'!S118</f>
        <v>A strategic partner to provide  reliable data on energy in Brazil. A Think Thank on energy transition information in Brazil.</v>
      </c>
      <c r="S113" s="71" t="str">
        <f>'Stakeholder list'!T118</f>
        <v>Urban/sectoral GHG inventories, air quality monitoring and evaluation of energy and mobility policies</v>
      </c>
      <c r="T113" s="71" t="str">
        <f>'Stakeholder list'!U118</f>
        <v/>
      </c>
      <c r="U113" s="71" t="str">
        <f>'Stakeholder list'!V118</f>
        <v/>
      </c>
      <c r="V113" s="71" t="str">
        <f>'Stakeholder list'!W118</f>
        <v/>
      </c>
      <c r="W113" s="71" t="str">
        <f>'Stakeholder list'!X118</f>
        <v/>
      </c>
    </row>
    <row r="114">
      <c r="A114" s="71">
        <f>'Stakeholder list'!B119</f>
        <v>113</v>
      </c>
      <c r="B114" s="71" t="str">
        <f>'Stakeholder list'!C119</f>
        <v>Instituto E+ Transição Energética (E+)</v>
      </c>
      <c r="C114" s="71" t="str">
        <f>'Stakeholder list'!D119</f>
        <v>Civil Society Organization (CSO)</v>
      </c>
      <c r="D114" s="71" t="str">
        <f>'Stakeholder list'!E119</f>
        <v>Think tanks</v>
      </c>
      <c r="E114" s="71" t="str">
        <f>'Stakeholder list'!F119</f>
        <v>Independent Brazilian think tank that develops data-driven analysis and policy proposals and convenes stakeholders to advance a just, efficient energy transition aligned with sustainable development.</v>
      </c>
      <c r="F114" s="71" t="str">
        <f>'Stakeholder list'!G119</f>
        <v>National</v>
      </c>
      <c r="G114" s="71" t="str">
        <f>'Stakeholder list'!H119</f>
        <v>Energy</v>
      </c>
      <c r="H114" s="71" t="str">
        <f>'Stakeholder list'!I119</f>
        <v>Amazonia, Caatinga</v>
      </c>
      <c r="I114" s="71" t="str">
        <f>'Stakeholder list'!J119</f>
        <v>Mata&amp;Atlântica</v>
      </c>
      <c r="J114" s="71" t="str">
        <f>'Stakeholder list'!K119</f>
        <v>The primary biomes capture where the “just transition” framing and energy-system transformation are most tightly coupled with regional development and equity trade-offs.</v>
      </c>
      <c r="K114" s="71" t="str">
        <f>'Stakeholder list'!L119</f>
        <v>Technical assistance / research, Policy influence / regulation</v>
      </c>
      <c r="L114" s="71" t="str">
        <f>'Stakeholder list'!M119</f>
        <v>Upstream</v>
      </c>
      <c r="M114" s="71" t="str">
        <f>'Stakeholder list'!N119</f>
        <v>Grant recipient</v>
      </c>
      <c r="N114" s="71" t="str">
        <f>'Stakeholder list'!O119</f>
        <v>São Paulo, SP, Brazil</v>
      </c>
      <c r="O114" s="71" t="str">
        <f>'Stakeholder list'!P119</f>
        <v>Grantee</v>
      </c>
      <c r="P114" s="71" t="str">
        <f>'Stakeholder list'!Q119</f>
        <v/>
      </c>
      <c r="Q114" s="71" t="str">
        <f>'Stakeholder list'!R119</f>
        <v/>
      </c>
      <c r="R114" s="71" t="str">
        <f>'Stakeholder list'!S119</f>
        <v/>
      </c>
      <c r="S114" s="71" t="str">
        <f>'Stakeholder list'!T119</f>
        <v>—</v>
      </c>
      <c r="T114" s="71" t="str">
        <f>'Stakeholder list'!U119</f>
        <v/>
      </c>
      <c r="U114" s="71" t="str">
        <f>'Stakeholder list'!V119</f>
        <v/>
      </c>
      <c r="V114" s="71" t="str">
        <f>'Stakeholder list'!W119</f>
        <v/>
      </c>
      <c r="W114" s="71" t="str">
        <f>'Stakeholder list'!X119</f>
        <v/>
      </c>
    </row>
    <row r="115">
      <c r="A115" s="71">
        <f>'Stakeholder list'!B120</f>
        <v>114</v>
      </c>
      <c r="B115" s="71" t="str">
        <f>'Stakeholder list'!C120</f>
        <v>European Climate Foundation (ECF)</v>
      </c>
      <c r="C115" s="71" t="str">
        <f>'Stakeholder list'!D120</f>
        <v>Funders</v>
      </c>
      <c r="D115" s="71" t="str">
        <f>'Stakeholder list'!E120</f>
        <v>Philanthropy foundations</v>
      </c>
      <c r="E115" s="71" t="str">
        <f>'Stakeholder list'!F120</f>
        <v>International grantmaking foundation that provides strategic and financial support to organizations working to tackle the climate crisis, strengthening coalitions and high-impact policies for decarbonization.</v>
      </c>
      <c r="F115" s="71" t="str">
        <f>'Stakeholder list'!G120</f>
        <v>Cross-border / international</v>
      </c>
      <c r="G115" s="71" t="str">
        <f>'Stakeholder list'!H120</f>
        <v>Buildings &amp; Transport, Energy, "Land, Food and Forest"</v>
      </c>
      <c r="H115" s="71" t="str">
        <f>'Stakeholder list'!I120</f>
        <v/>
      </c>
      <c r="I115" s="71" t="str">
        <f>'Stakeholder list'!J120</f>
        <v/>
      </c>
      <c r="J115" s="71" t="str">
        <f>'Stakeholder list'!K120</f>
        <v>No biome lens was assigned because Brazil-related support was not consistently publicized as a biome-delimited portfolio in this mapping.</v>
      </c>
      <c r="K115" s="71" t="str">
        <f>'Stakeholder list'!L120</f>
        <v>Funder, Strategic partner</v>
      </c>
      <c r="L115" s="71" t="str">
        <f>'Stakeholder list'!M120</f>
        <v>Upstream</v>
      </c>
      <c r="M115" s="71" t="str">
        <f>'Stakeholder list'!N120</f>
        <v>Co-funding partner</v>
      </c>
      <c r="N115" s="71" t="str">
        <f>'Stakeholder list'!O120</f>
        <v>São Paulo, SP, Brazil</v>
      </c>
      <c r="O115" s="71" t="str">
        <f>'Stakeholder list'!P120</f>
        <v>Donor</v>
      </c>
      <c r="P115" s="71" t="str">
        <f>'Stakeholder list'!Q120</f>
        <v/>
      </c>
      <c r="Q115" s="73" t="str">
        <f>'Stakeholder list'!R120</f>
        <v>https://europeanclimate.org/</v>
      </c>
      <c r="R115" s="71" t="str">
        <f>'Stakeholder list'!S120</f>
        <v>Could brink knowleage to climate initiatives in Brazil. </v>
      </c>
      <c r="S115" s="71" t="str">
        <f>'Stakeholder list'!T120</f>
        <v>—</v>
      </c>
      <c r="T115" s="71" t="str">
        <f>'Stakeholder list'!U120</f>
        <v/>
      </c>
      <c r="U115" s="71" t="str">
        <f>'Stakeholder list'!V120</f>
        <v/>
      </c>
      <c r="V115" s="71" t="str">
        <f>'Stakeholder list'!W120</f>
        <v/>
      </c>
      <c r="W115" s="71" t="str">
        <f>'Stakeholder list'!X120</f>
        <v/>
      </c>
    </row>
    <row r="116">
      <c r="A116" s="71">
        <f>'Stakeholder list'!B121</f>
        <v>115</v>
      </c>
      <c r="B116" s="71" t="str">
        <f>'Stakeholder list'!C121</f>
        <v>Quadrature Climate Foundation</v>
      </c>
      <c r="C116" s="71" t="str">
        <f>'Stakeholder list'!D121</f>
        <v>Funders</v>
      </c>
      <c r="D116" s="71" t="str">
        <f>'Stakeholder list'!E121</f>
        <v>Philanthropy foundations</v>
      </c>
      <c r="E116" s="71" t="str">
        <f>'Stakeholder list'!F121</f>
        <v>Independent charitable foundation that funds climate solutions to reduce emissions, scale carbon removal, and strengthen resilience to climate impacts through grants and partnerships.</v>
      </c>
      <c r="F116" s="71" t="str">
        <f>'Stakeholder list'!G121</f>
        <v>Cross-border / international</v>
      </c>
      <c r="G116" s="71" t="str">
        <f>'Stakeholder list'!H121</f>
        <v>Buildings &amp; Transport, Energy, "Land, Food and Forest"</v>
      </c>
      <c r="H116" s="71" t="str">
        <f>'Stakeholder list'!I121</f>
        <v/>
      </c>
      <c r="I116" s="71" t="str">
        <f>'Stakeholder list'!J121</f>
        <v/>
      </c>
      <c r="J116" s="71" t="str">
        <f>'Stakeholder list'!K121</f>
        <v>No biome lens was assigned because the grant strategy was not mapped here through explicit Brazil biome-cut initiatives.</v>
      </c>
      <c r="K116" s="71" t="str">
        <f>'Stakeholder list'!L121</f>
        <v>Funder, Strategic partner</v>
      </c>
      <c r="L116" s="71" t="str">
        <f>'Stakeholder list'!M121</f>
        <v>Upstream</v>
      </c>
      <c r="M116" s="71" t="str">
        <f>'Stakeholder list'!N121</f>
        <v>Co-funding partner</v>
      </c>
      <c r="N116" s="71" t="str">
        <f>'Stakeholder list'!O121</f>
        <v>São Paulo, SP, Brazil</v>
      </c>
      <c r="O116" s="71" t="str">
        <f>'Stakeholder list'!P121</f>
        <v>Donor</v>
      </c>
      <c r="P116" s="71" t="str">
        <f>'Stakeholder list'!Q121</f>
        <v/>
      </c>
      <c r="Q116" s="71" t="str">
        <f>'Stakeholder list'!R121</f>
        <v/>
      </c>
      <c r="R116" s="71" t="str">
        <f>'Stakeholder list'!S121</f>
        <v/>
      </c>
      <c r="S116" s="71" t="str">
        <f>'Stakeholder list'!T121</f>
        <v>—</v>
      </c>
      <c r="T116" s="71" t="str">
        <f>'Stakeholder list'!U121</f>
        <v/>
      </c>
      <c r="U116" s="71" t="str">
        <f>'Stakeholder list'!V121</f>
        <v/>
      </c>
      <c r="V116" s="71" t="str">
        <f>'Stakeholder list'!W121</f>
        <v/>
      </c>
      <c r="W116" s="71" t="str">
        <f>'Stakeholder list'!X121</f>
        <v/>
      </c>
    </row>
    <row r="117">
      <c r="A117" s="71">
        <f>'Stakeholder list'!B122</f>
        <v>116</v>
      </c>
      <c r="B117" s="71" t="str">
        <f>'Stakeholder list'!C122</f>
        <v>Ministério das Cidades</v>
      </c>
      <c r="C117" s="71" t="str">
        <f>'Stakeholder list'!D122</f>
        <v>Public sector</v>
      </c>
      <c r="D117" s="71" t="str">
        <f>'Stakeholder list'!E122</f>
        <v>Federal Government</v>
      </c>
      <c r="E117" s="71" t="str">
        <f>'Stakeholder list'!F122</f>
        <v>Federal ministry responsible for urban development agendas (housing, sanitation, urban mobility and planning), shaping national policy frameworks, programs and financing instruments for inclusive and resilient cities.</v>
      </c>
      <c r="F117" s="71" t="str">
        <f>'Stakeholder list'!G122</f>
        <v>National</v>
      </c>
      <c r="G117" s="71" t="str">
        <f>'Stakeholder list'!H122</f>
        <v>Buildings &amp; Transport</v>
      </c>
      <c r="H117" s="71" t="str">
        <f>'Stakeholder list'!I122</f>
        <v/>
      </c>
      <c r="I117" s="71" t="str">
        <f>'Stakeholder list'!J122</f>
        <v/>
      </c>
      <c r="J117" s="71" t="str">
        <f>'Stakeholder list'!K122</f>
        <v>No biome lens was assigned because it acted through nationwide urban policy instruments and program rules, not biome-specific territorial initiatives.</v>
      </c>
      <c r="K117" s="71" t="str">
        <f>'Stakeholder list'!L122</f>
        <v>Policy influence / regulation, Territorial anchor</v>
      </c>
      <c r="L117" s="71" t="str">
        <f>'Stakeholder list'!M122</f>
        <v>Upstream</v>
      </c>
      <c r="M117" s="71" t="str">
        <f>'Stakeholder list'!N122</f>
        <v>Strategic partner</v>
      </c>
      <c r="N117" s="71" t="str">
        <f>'Stakeholder list'!O122</f>
        <v>Brasília, DF, Brazil</v>
      </c>
      <c r="O117" s="71" t="str">
        <f>'Stakeholder list'!P122</f>
        <v/>
      </c>
      <c r="P117" s="71" t="str">
        <f>'Stakeholder list'!Q122</f>
        <v/>
      </c>
      <c r="Q117" s="71" t="str">
        <f>'Stakeholder list'!R122</f>
        <v/>
      </c>
      <c r="R117" s="71" t="str">
        <f>'Stakeholder list'!S122</f>
        <v/>
      </c>
      <c r="S117" s="71" t="str">
        <f>'Stakeholder list'!T122</f>
        <v>—</v>
      </c>
      <c r="T117" s="71" t="str">
        <f>'Stakeholder list'!U122</f>
        <v/>
      </c>
      <c r="U117" s="71" t="str">
        <f>'Stakeholder list'!V122</f>
        <v/>
      </c>
      <c r="V117" s="71" t="str">
        <f>'Stakeholder list'!W122</f>
        <v/>
      </c>
      <c r="W117" s="71" t="str">
        <f>'Stakeholder list'!X122</f>
        <v/>
      </c>
    </row>
    <row r="118">
      <c r="A118" s="71">
        <f>'Stakeholder list'!B123</f>
        <v>117</v>
      </c>
      <c r="B118" s="71" t="str">
        <f>'Stakeholder list'!C123</f>
        <v>Agência Nacional de Transportes Terrestres (ANTT)</v>
      </c>
      <c r="C118" s="71" t="str">
        <f>'Stakeholder list'!D123</f>
        <v>Public sector</v>
      </c>
      <c r="D118" s="71" t="str">
        <f>'Stakeholder list'!E123</f>
        <v>Public agencies and regulators</v>
      </c>
      <c r="E118" s="71" t="str">
        <f>'Stakeholder list'!F123</f>
        <v>Federal regulatory agency that regulates, supervises and enforces land transport services and infrastructure concessions (roads/railways), influencing decarbonization and efficiency through sector rules, contracts and oversight.</v>
      </c>
      <c r="F118" s="71" t="str">
        <f>'Stakeholder list'!G123</f>
        <v>National</v>
      </c>
      <c r="G118" s="71" t="str">
        <f>'Stakeholder list'!H123</f>
        <v>Buildings &amp; Transport</v>
      </c>
      <c r="H118" s="71" t="str">
        <f>'Stakeholder list'!I123</f>
        <v/>
      </c>
      <c r="I118" s="71" t="str">
        <f>'Stakeholder list'!J123</f>
        <v/>
      </c>
      <c r="J118" s="71" t="str">
        <f>'Stakeholder list'!K123</f>
        <v>No biome lens was assigned because it regulated concessions and services nationally and did not implement programs framed by biomes.</v>
      </c>
      <c r="K118" s="71" t="str">
        <f>'Stakeholder list'!L123</f>
        <v>Policy influence / regulation</v>
      </c>
      <c r="L118" s="71" t="str">
        <f>'Stakeholder list'!M123</f>
        <v>Upstream</v>
      </c>
      <c r="M118" s="71" t="str">
        <f>'Stakeholder list'!N123</f>
        <v>Strategic partner</v>
      </c>
      <c r="N118" s="71" t="str">
        <f>'Stakeholder list'!O123</f>
        <v>Brasília, DF, Brazil</v>
      </c>
      <c r="O118" s="71" t="str">
        <f>'Stakeholder list'!P123</f>
        <v>Grantee</v>
      </c>
      <c r="P118" s="71" t="str">
        <f>'Stakeholder list'!Q123</f>
        <v/>
      </c>
      <c r="Q118" s="71" t="str">
        <f>'Stakeholder list'!R123</f>
        <v/>
      </c>
      <c r="R118" s="71" t="str">
        <f>'Stakeholder list'!S123</f>
        <v/>
      </c>
      <c r="S118" s="71" t="str">
        <f>'Stakeholder list'!T123</f>
        <v>—</v>
      </c>
      <c r="T118" s="71" t="str">
        <f>'Stakeholder list'!U123</f>
        <v/>
      </c>
      <c r="U118" s="71" t="str">
        <f>'Stakeholder list'!V123</f>
        <v/>
      </c>
      <c r="V118" s="71" t="str">
        <f>'Stakeholder list'!W123</f>
        <v/>
      </c>
      <c r="W118" s="71" t="str">
        <f>'Stakeholder list'!X123</f>
        <v/>
      </c>
    </row>
    <row r="119">
      <c r="A119" s="71">
        <f>'Stakeholder list'!B124</f>
        <v>118</v>
      </c>
      <c r="B119" s="71" t="str">
        <f>'Stakeholder list'!C124</f>
        <v>Agência Nacional de Transportes Aquaviários (ANTAQ)</v>
      </c>
      <c r="C119" s="71" t="str">
        <f>'Stakeholder list'!D124</f>
        <v>Public sector</v>
      </c>
      <c r="D119" s="71" t="str">
        <f>'Stakeholder list'!E124</f>
        <v>Public agencies and regulators</v>
      </c>
      <c r="E119" s="71" t="str">
        <f>'Stakeholder list'!F124</f>
        <v>Federal regulatory agency for waterway transport and port infrastructure; key for cleaner logistics through regulation, supervision and enforcement of maritime and inland navigation and port operations.</v>
      </c>
      <c r="F119" s="71" t="str">
        <f>'Stakeholder list'!G124</f>
        <v>National</v>
      </c>
      <c r="G119" s="71" t="str">
        <f>'Stakeholder list'!H124</f>
        <v>Buildings &amp; Transport</v>
      </c>
      <c r="H119" s="71" t="str">
        <f>'Stakeholder list'!I124</f>
        <v/>
      </c>
      <c r="I119" s="71" t="str">
        <f>'Stakeholder list'!J124</f>
        <v/>
      </c>
      <c r="J119" s="71" t="str">
        <f>'Stakeholder list'!K124</f>
        <v>No biome lens was assigned because it operated as a national regulator and the mapping did not identify biome-delimited initiatives.</v>
      </c>
      <c r="K119" s="71" t="str">
        <f>'Stakeholder list'!L124</f>
        <v>Policy influence / regulation</v>
      </c>
      <c r="L119" s="71" t="str">
        <f>'Stakeholder list'!M124</f>
        <v>Upstream</v>
      </c>
      <c r="M119" s="71" t="str">
        <f>'Stakeholder list'!N124</f>
        <v>Strategic partner</v>
      </c>
      <c r="N119" s="71" t="str">
        <f>'Stakeholder list'!O124</f>
        <v>Brasília, DF, Brazil</v>
      </c>
      <c r="O119" s="71" t="str">
        <f>'Stakeholder list'!P124</f>
        <v>Grantee</v>
      </c>
      <c r="P119" s="71" t="str">
        <f>'Stakeholder list'!Q124</f>
        <v/>
      </c>
      <c r="Q119" s="71" t="str">
        <f>'Stakeholder list'!R124</f>
        <v/>
      </c>
      <c r="R119" s="71" t="str">
        <f>'Stakeholder list'!S124</f>
        <v/>
      </c>
      <c r="S119" s="71" t="str">
        <f>'Stakeholder list'!T124</f>
        <v>—</v>
      </c>
      <c r="T119" s="71" t="str">
        <f>'Stakeholder list'!U124</f>
        <v/>
      </c>
      <c r="U119" s="71" t="str">
        <f>'Stakeholder list'!V124</f>
        <v/>
      </c>
      <c r="V119" s="71" t="str">
        <f>'Stakeholder list'!W124</f>
        <v/>
      </c>
      <c r="W119" s="71" t="str">
        <f>'Stakeholder list'!X124</f>
        <v/>
      </c>
    </row>
    <row r="120">
      <c r="A120" s="71">
        <f>'Stakeholder list'!B125</f>
        <v>119</v>
      </c>
      <c r="B120" s="71" t="str">
        <f>'Stakeholder list'!C125</f>
        <v>CCR S.A. (Grupo CCR)</v>
      </c>
      <c r="C120" s="71" t="str">
        <f>'Stakeholder list'!D125</f>
        <v>Private sector</v>
      </c>
      <c r="D120" s="71" t="str">
        <f>'Stakeholder list'!E125</f>
        <v>Private companies (large / leading)</v>
      </c>
      <c r="E120" s="71" t="str">
        <f>'Stakeholder list'!F125</f>
        <v>Major mobility infrastructure concessions group (highways, urban mobility and airports); can accelerate transition via low-carbon operations, resilient infrastructure, road safety, and enabling cleaner transport and logistics.</v>
      </c>
      <c r="F120" s="71" t="str">
        <f>'Stakeholder list'!G125</f>
        <v>Cross-border / international</v>
      </c>
      <c r="G120" s="71" t="str">
        <f>'Stakeholder list'!H125</f>
        <v>Buildings &amp; Transport</v>
      </c>
      <c r="H120" s="71" t="str">
        <f>'Stakeholder list'!I125</f>
        <v/>
      </c>
      <c r="I120" s="71" t="str">
        <f>'Stakeholder list'!J125</f>
        <v/>
      </c>
      <c r="J120" s="71" t="str">
        <f>'Stakeholder list'!K125</f>
        <v>No biome lens was assigned because actions were structured around concessions/projects and ESG programs, not biome-defined territorial cuts.</v>
      </c>
      <c r="K120" s="71" t="str">
        <f>'Stakeholder list'!L125</f>
        <v>Strategic partner, Implementation capacity (delivery)</v>
      </c>
      <c r="L120" s="71" t="str">
        <f>'Stakeholder list'!M125</f>
        <v>Downstream</v>
      </c>
      <c r="M120" s="71" t="str">
        <f>'Stakeholder list'!N125</f>
        <v>Strategic partner</v>
      </c>
      <c r="N120" s="71" t="str">
        <f>'Stakeholder list'!O125</f>
        <v>São Paulo, SP, Brazil</v>
      </c>
      <c r="O120" s="71" t="str">
        <f>'Stakeholder list'!P125</f>
        <v>Donor</v>
      </c>
      <c r="P120" s="71" t="str">
        <f>'Stakeholder list'!Q125</f>
        <v/>
      </c>
      <c r="Q120" s="71" t="str">
        <f>'Stakeholder list'!R125</f>
        <v/>
      </c>
      <c r="R120" s="71" t="str">
        <f>'Stakeholder list'!S125</f>
        <v/>
      </c>
      <c r="S120" s="71" t="str">
        <f>'Stakeholder list'!T125</f>
        <v>—</v>
      </c>
      <c r="T120" s="71" t="str">
        <f>'Stakeholder list'!U125</f>
        <v/>
      </c>
      <c r="U120" s="71" t="str">
        <f>'Stakeholder list'!V125</f>
        <v/>
      </c>
      <c r="V120" s="71" t="str">
        <f>'Stakeholder list'!W125</f>
        <v/>
      </c>
      <c r="W120" s="71" t="str">
        <f>'Stakeholder list'!X125</f>
        <v/>
      </c>
    </row>
    <row r="121">
      <c r="A121" s="71">
        <f>'Stakeholder list'!B126</f>
        <v>120</v>
      </c>
      <c r="B121" s="71" t="str">
        <f>'Stakeholder list'!C126</f>
        <v>EcoRodovias</v>
      </c>
      <c r="C121" s="71" t="str">
        <f>'Stakeholder list'!D126</f>
        <v>Private sector</v>
      </c>
      <c r="D121" s="71" t="str">
        <f>'Stakeholder list'!E126</f>
        <v>Private companies (large / leading)</v>
      </c>
      <c r="E121" s="71" t="str">
        <f>'Stakeholder list'!F126</f>
        <v>Highway concessions operator; can support systemic transition by improving logistics efficiency, road safety and climate resilience, and embedding ESG standards in infrastructure operations and investments.</v>
      </c>
      <c r="F121" s="71" t="str">
        <f>'Stakeholder list'!G126</f>
        <v>Cross-border / international</v>
      </c>
      <c r="G121" s="71" t="str">
        <f>'Stakeholder list'!H126</f>
        <v>Buildings &amp; Transport</v>
      </c>
      <c r="H121" s="71" t="str">
        <f>'Stakeholder list'!I126</f>
        <v/>
      </c>
      <c r="I121" s="71" t="str">
        <f>'Stakeholder list'!J126</f>
        <v/>
      </c>
      <c r="J121" s="71" t="str">
        <f>'Stakeholder list'!K126</f>
        <v>No biome lens was assigned because its operational footprint was concession-based and not communicated through biome-framed initiatives.</v>
      </c>
      <c r="K121" s="71" t="str">
        <f>'Stakeholder list'!L126</f>
        <v>Strategic partner, Implementation capacity (delivery)</v>
      </c>
      <c r="L121" s="71" t="str">
        <f>'Stakeholder list'!M126</f>
        <v>Downstream</v>
      </c>
      <c r="M121" s="71" t="str">
        <f>'Stakeholder list'!N126</f>
        <v>Strategic partner</v>
      </c>
      <c r="N121" s="71" t="str">
        <f>'Stakeholder list'!O126</f>
        <v>São Paulo, SP, Brazil</v>
      </c>
      <c r="O121" s="71" t="str">
        <f>'Stakeholder list'!P126</f>
        <v>Donor</v>
      </c>
      <c r="P121" s="71" t="str">
        <f>'Stakeholder list'!Q126</f>
        <v/>
      </c>
      <c r="Q121" s="71" t="str">
        <f>'Stakeholder list'!R126</f>
        <v/>
      </c>
      <c r="R121" s="71" t="str">
        <f>'Stakeholder list'!S126</f>
        <v/>
      </c>
      <c r="S121" s="71" t="str">
        <f>'Stakeholder list'!T126</f>
        <v>—</v>
      </c>
      <c r="T121" s="71" t="str">
        <f>'Stakeholder list'!U126</f>
        <v/>
      </c>
      <c r="U121" s="71" t="str">
        <f>'Stakeholder list'!V126</f>
        <v/>
      </c>
      <c r="V121" s="71" t="str">
        <f>'Stakeholder list'!W126</f>
        <v/>
      </c>
      <c r="W121" s="71" t="str">
        <f>'Stakeholder list'!X126</f>
        <v/>
      </c>
    </row>
    <row r="122">
      <c r="A122" s="71">
        <f>'Stakeholder list'!B127</f>
        <v>121</v>
      </c>
      <c r="B122" s="71" t="str">
        <f>'Stakeholder list'!C127</f>
        <v>BYD Brasil</v>
      </c>
      <c r="C122" s="71" t="str">
        <f>'Stakeholder list'!D127</f>
        <v>Private sector</v>
      </c>
      <c r="D122" s="71" t="str">
        <f>'Stakeholder list'!E127</f>
        <v>Private companies (large / leading)</v>
      </c>
      <c r="E122" s="71" t="str">
        <f>'Stakeholder list'!F127</f>
        <v>Manufacturer of electric vehicles (including buses); contributes to the transition by scaling electrification, supporting charging ecosystems, and enabling lower-emission public transport fleets.</v>
      </c>
      <c r="F122" s="71" t="str">
        <f>'Stakeholder list'!G127</f>
        <v>Cross-border / international</v>
      </c>
      <c r="G122" s="71" t="str">
        <f>'Stakeholder list'!H127</f>
        <v>Buildings &amp; Transport, Energy, "Land, Food and Forest"</v>
      </c>
      <c r="H122" s="71" t="str">
        <f>'Stakeholder list'!I127</f>
        <v/>
      </c>
      <c r="I122" s="71" t="str">
        <f>'Stakeholder list'!J127</f>
        <v/>
      </c>
      <c r="J122" s="71" t="str">
        <f>'Stakeholder list'!K127</f>
        <v>No biome lens was assigned because the contribution was market/technology-based and did not use biomes as a programmatic territorial frame.</v>
      </c>
      <c r="K122" s="71" t="str">
        <f>'Stakeholder list'!L127</f>
        <v>Strategic partner, Implementation capacity (delivery)</v>
      </c>
      <c r="L122" s="71" t="str">
        <f>'Stakeholder list'!M127</f>
        <v>Downstream</v>
      </c>
      <c r="M122" s="71" t="str">
        <f>'Stakeholder list'!N127</f>
        <v>Co-funding partner</v>
      </c>
      <c r="N122" s="71" t="str">
        <f>'Stakeholder list'!O127</f>
        <v>São Paulo, SP, Brazil</v>
      </c>
      <c r="O122" s="71" t="str">
        <f>'Stakeholder list'!P127</f>
        <v>Donor</v>
      </c>
      <c r="P122" s="71" t="str">
        <f>'Stakeholder list'!Q127</f>
        <v/>
      </c>
      <c r="Q122" s="71" t="str">
        <f>'Stakeholder list'!R127</f>
        <v/>
      </c>
      <c r="R122" s="71" t="str">
        <f>'Stakeholder list'!S127</f>
        <v/>
      </c>
      <c r="S122" s="71" t="str">
        <f>'Stakeholder list'!T127</f>
        <v>—</v>
      </c>
      <c r="T122" s="71" t="str">
        <f>'Stakeholder list'!U127</f>
        <v/>
      </c>
      <c r="U122" s="71" t="str">
        <f>'Stakeholder list'!V127</f>
        <v/>
      </c>
      <c r="V122" s="71" t="str">
        <f>'Stakeholder list'!W127</f>
        <v/>
      </c>
      <c r="W122" s="71" t="str">
        <f>'Stakeholder list'!X127</f>
        <v/>
      </c>
    </row>
    <row r="123">
      <c r="A123" s="71">
        <f>'Stakeholder list'!B128</f>
        <v>122</v>
      </c>
      <c r="B123" s="71" t="str">
        <f>'Stakeholder list'!C128</f>
        <v>Volvo Buses Latin America</v>
      </c>
      <c r="C123" s="71" t="str">
        <f>'Stakeholder list'!D128</f>
        <v>Private sector</v>
      </c>
      <c r="D123" s="71" t="str">
        <f>'Stakeholder list'!E128</f>
        <v>Private companies (large / leading)</v>
      </c>
      <c r="E123" s="71" t="str">
        <f>'Stakeholder list'!F128</f>
        <v>Bus manufacturer and solutions provider; contributes through low/zero-emission bus technologies, fleet efficiency and safety innovations that support public transport decarbonization.</v>
      </c>
      <c r="F123" s="71" t="str">
        <f>'Stakeholder list'!G128</f>
        <v>Cross-border / international</v>
      </c>
      <c r="G123" s="71" t="str">
        <f>'Stakeholder list'!H128</f>
        <v>Buildings &amp; Transport</v>
      </c>
      <c r="H123" s="71" t="str">
        <f>'Stakeholder list'!I128</f>
        <v/>
      </c>
      <c r="I123" s="71" t="str">
        <f>'Stakeholder list'!J128</f>
        <v/>
      </c>
      <c r="J123" s="71" t="str">
        <f>'Stakeholder list'!K128</f>
        <v>No biome lens was assigned because activities were organized around fleets/markets and not mapped to biome-specific programs.</v>
      </c>
      <c r="K123" s="71" t="str">
        <f>'Stakeholder list'!L128</f>
        <v>Strategic partner, Implementation capacity (delivery)</v>
      </c>
      <c r="L123" s="71" t="str">
        <f>'Stakeholder list'!M128</f>
        <v>Downstream</v>
      </c>
      <c r="M123" s="71" t="str">
        <f>'Stakeholder list'!N128</f>
        <v>Co-funding partner</v>
      </c>
      <c r="N123" s="71" t="str">
        <f>'Stakeholder list'!O128</f>
        <v>Curitiba, PR, Brazil</v>
      </c>
      <c r="O123" s="71" t="str">
        <f>'Stakeholder list'!P128</f>
        <v>Donor</v>
      </c>
      <c r="P123" s="71" t="str">
        <f>'Stakeholder list'!Q128</f>
        <v/>
      </c>
      <c r="Q123" s="71" t="str">
        <f>'Stakeholder list'!R128</f>
        <v/>
      </c>
      <c r="R123" s="71" t="str">
        <f>'Stakeholder list'!S128</f>
        <v/>
      </c>
      <c r="S123" s="71" t="str">
        <f>'Stakeholder list'!T128</f>
        <v>—</v>
      </c>
      <c r="T123" s="71" t="str">
        <f>'Stakeholder list'!U128</f>
        <v/>
      </c>
      <c r="U123" s="71" t="str">
        <f>'Stakeholder list'!V128</f>
        <v/>
      </c>
      <c r="V123" s="71" t="str">
        <f>'Stakeholder list'!W128</f>
        <v/>
      </c>
      <c r="W123" s="71" t="str">
        <f>'Stakeholder list'!X128</f>
        <v/>
      </c>
    </row>
    <row r="124">
      <c r="A124" s="71">
        <f>'Stakeholder list'!B129</f>
        <v>123</v>
      </c>
      <c r="B124" s="71" t="str">
        <f>'Stakeholder list'!C129</f>
        <v>Mercedes-Benz Brasil</v>
      </c>
      <c r="C124" s="71" t="str">
        <f>'Stakeholder list'!D129</f>
        <v>Private sector</v>
      </c>
      <c r="D124" s="71" t="str">
        <f>'Stakeholder list'!E129</f>
        <v>Private companies (large / leading)</v>
      </c>
      <c r="E124" s="71" t="str">
        <f>'Stakeholder list'!F129</f>
        <v>Commercial vehicle manufacturer; can drive transition by advancing low-emission vehicle technologies, improving efficiency and safety, and supporting cleaner logistics and public transport solutions.</v>
      </c>
      <c r="F124" s="71" t="str">
        <f>'Stakeholder list'!G129</f>
        <v>Cross-border / international</v>
      </c>
      <c r="G124" s="71" t="str">
        <f>'Stakeholder list'!H129</f>
        <v>Buildings &amp; Transport</v>
      </c>
      <c r="H124" s="71" t="str">
        <f>'Stakeholder list'!I129</f>
        <v/>
      </c>
      <c r="I124" s="71" t="str">
        <f>'Stakeholder list'!J129</f>
        <v/>
      </c>
      <c r="J124" s="71" t="str">
        <f>'Stakeholder list'!K129</f>
        <v>No biome lens was assigned because the contribution was industrial/market-driven and not associated with biome-delimited initiatives.</v>
      </c>
      <c r="K124" s="71" t="str">
        <f>'Stakeholder list'!L129</f>
        <v>Strategic partner, Implementation capacity (delivery)</v>
      </c>
      <c r="L124" s="71" t="str">
        <f>'Stakeholder list'!M129</f>
        <v>Downstream</v>
      </c>
      <c r="M124" s="71" t="str">
        <f>'Stakeholder list'!N129</f>
        <v>Co-funding partner</v>
      </c>
      <c r="N124" s="71" t="str">
        <f>'Stakeholder list'!O129</f>
        <v>São Bernardo do Campo, SP, Brazil</v>
      </c>
      <c r="O124" s="71" t="str">
        <f>'Stakeholder list'!P129</f>
        <v>Donor</v>
      </c>
      <c r="P124" s="71" t="str">
        <f>'Stakeholder list'!Q129</f>
        <v/>
      </c>
      <c r="Q124" s="71" t="str">
        <f>'Stakeholder list'!R129</f>
        <v/>
      </c>
      <c r="R124" s="71" t="str">
        <f>'Stakeholder list'!S129</f>
        <v/>
      </c>
      <c r="S124" s="71" t="str">
        <f>'Stakeholder list'!T129</f>
        <v>—</v>
      </c>
      <c r="T124" s="71" t="str">
        <f>'Stakeholder list'!U129</f>
        <v/>
      </c>
      <c r="U124" s="71" t="str">
        <f>'Stakeholder list'!V129</f>
        <v/>
      </c>
      <c r="V124" s="71" t="str">
        <f>'Stakeholder list'!W129</f>
        <v/>
      </c>
      <c r="W124" s="71" t="str">
        <f>'Stakeholder list'!X129</f>
        <v/>
      </c>
    </row>
    <row r="125">
      <c r="A125" s="71">
        <f>'Stakeholder list'!B130</f>
        <v>124</v>
      </c>
      <c r="B125" s="71" t="str">
        <f>'Stakeholder list'!C130</f>
        <v>Instituto de Políticas de Transporte e Desenvolvimento (ITDP Brasil)</v>
      </c>
      <c r="C125" s="71" t="str">
        <f>'Stakeholder list'!D130</f>
        <v>Civil Society Organization (CSO)</v>
      </c>
      <c r="D125" s="71" t="str">
        <f>'Stakeholder list'!E130</f>
        <v>Alliances </v>
      </c>
      <c r="E125" s="71" t="str">
        <f>'Stakeholder list'!F130</f>
        <v>Non-profit organization that supports governments to implement sustainable and equitable transport and urban development solutions, helping reduce emissions while improving access, safety and urban quality of life.</v>
      </c>
      <c r="F125" s="71" t="str">
        <f>'Stakeholder list'!G130</f>
        <v>National</v>
      </c>
      <c r="G125" s="71" t="str">
        <f>'Stakeholder list'!H130</f>
        <v>Buildings &amp; Transport</v>
      </c>
      <c r="H125" s="71" t="str">
        <f>'Stakeholder list'!I130</f>
        <v/>
      </c>
      <c r="I125" s="71" t="str">
        <f>'Stakeholder list'!J130</f>
        <v/>
      </c>
      <c r="J125" s="71" t="str">
        <f>'Stakeholder list'!K130</f>
        <v>No biome lens was assigned because implementation was city/corridor-based and not typically defined by biome boundaries.</v>
      </c>
      <c r="K125" s="71" t="str">
        <f>'Stakeholder list'!L130</f>
        <v>Technical assistance / research, Policy influence / regulation</v>
      </c>
      <c r="L125" s="71" t="str">
        <f>'Stakeholder list'!M130</f>
        <v>Upstream</v>
      </c>
      <c r="M125" s="71" t="str">
        <f>'Stakeholder list'!N130</f>
        <v>Grant recipient</v>
      </c>
      <c r="N125" s="71" t="str">
        <f>'Stakeholder list'!O130</f>
        <v>Rio de Janeiro, RJ, Brazil</v>
      </c>
      <c r="O125" s="71" t="str">
        <f>'Stakeholder list'!P130</f>
        <v>Grantee</v>
      </c>
      <c r="P125" s="71" t="str">
        <f>'Stakeholder list'!Q130</f>
        <v/>
      </c>
      <c r="Q125" s="71" t="str">
        <f>'Stakeholder list'!R130</f>
        <v/>
      </c>
      <c r="R125" s="71" t="str">
        <f>'Stakeholder list'!S130</f>
        <v>Implementing partner for urban and transport work  on capitals in Brazil.</v>
      </c>
      <c r="S125" s="71" t="str">
        <f>'Stakeholder list'!T130</f>
        <v>—</v>
      </c>
      <c r="T125" s="71" t="str">
        <f>'Stakeholder list'!U130</f>
        <v/>
      </c>
      <c r="U125" s="71" t="str">
        <f>'Stakeholder list'!V130</f>
        <v/>
      </c>
      <c r="V125" s="71" t="str">
        <f>'Stakeholder list'!W130</f>
        <v/>
      </c>
      <c r="W125" s="71" t="str">
        <f>'Stakeholder list'!X130</f>
        <v/>
      </c>
    </row>
    <row r="126">
      <c r="A126" s="71">
        <f>'Stakeholder list'!B131</f>
        <v>125</v>
      </c>
      <c r="B126" s="71" t="str">
        <f>'Stakeholder list'!C131</f>
        <v>Caixa Econômica Federal</v>
      </c>
      <c r="C126" s="71" t="str">
        <f>'Stakeholder list'!D131</f>
        <v>Public sector</v>
      </c>
      <c r="D126" s="71" t="str">
        <f>'Stakeholder list'!E131</f>
        <v>Development banks</v>
      </c>
      <c r="E126" s="71" t="str">
        <f>'Stakeholder list'!F131</f>
        <v>Federal public bank central to housing finance and urban investment; can enable systemic transition by scaling affordable housing and resilient urban infrastructure financing (including low-carbon and energy-efficiency measures).</v>
      </c>
      <c r="F126" s="71" t="str">
        <f>'Stakeholder list'!G131</f>
        <v>National</v>
      </c>
      <c r="G126" s="71" t="str">
        <f>'Stakeholder list'!H131</f>
        <v>Buildings &amp; Transport, Emergency response, Energy, "Land, Food and Forest"</v>
      </c>
      <c r="H126" s="71" t="str">
        <f>'Stakeholder list'!I131</f>
        <v/>
      </c>
      <c r="I126" s="71" t="str">
        <f>'Stakeholder list'!J131</f>
        <v/>
      </c>
      <c r="J126" s="71" t="str">
        <f>'Stakeholder list'!K131</f>
        <v>No biome lens was assigned because financing programs were national and eligibility/operations were not structured by biome.</v>
      </c>
      <c r="K126" s="71" t="str">
        <f>'Stakeholder list'!L131</f>
        <v>Capital provider / Financial intermediary, Territorial anchor</v>
      </c>
      <c r="L126" s="71" t="str">
        <f>'Stakeholder list'!M131</f>
        <v>Midstream</v>
      </c>
      <c r="M126" s="71" t="str">
        <f>'Stakeholder list'!N131</f>
        <v>Co-funding partner</v>
      </c>
      <c r="N126" s="71" t="str">
        <f>'Stakeholder list'!O131</f>
        <v>Brasília, DF, Brazil</v>
      </c>
      <c r="O126" s="71" t="str">
        <f>'Stakeholder list'!P131</f>
        <v>Re-granter</v>
      </c>
      <c r="P126" s="71" t="str">
        <f>'Stakeholder list'!Q131</f>
        <v/>
      </c>
      <c r="Q126" s="71" t="str">
        <f>'Stakeholder list'!R131</f>
        <v/>
      </c>
      <c r="R126" s="71" t="str">
        <f>'Stakeholder list'!S131</f>
        <v/>
      </c>
      <c r="S126" s="71" t="str">
        <f>'Stakeholder list'!T131</f>
        <v>—</v>
      </c>
      <c r="T126" s="71" t="str">
        <f>'Stakeholder list'!U131</f>
        <v/>
      </c>
      <c r="U126" s="71" t="str">
        <f>'Stakeholder list'!V131</f>
        <v/>
      </c>
      <c r="V126" s="71" t="str">
        <f>'Stakeholder list'!W131</f>
        <v/>
      </c>
      <c r="W126" s="71" t="str">
        <f>'Stakeholder list'!X131</f>
        <v/>
      </c>
    </row>
    <row r="127">
      <c r="A127" s="71">
        <f>'Stakeholder list'!B132</f>
        <v>126</v>
      </c>
      <c r="B127" s="71" t="str">
        <f>'Stakeholder list'!C132</f>
        <v>MRV</v>
      </c>
      <c r="C127" s="71" t="str">
        <f>'Stakeholder list'!D132</f>
        <v>Private sector</v>
      </c>
      <c r="D127" s="71" t="str">
        <f>'Stakeholder list'!E132</f>
        <v>Private companies (large / leading)</v>
      </c>
      <c r="E127" s="71" t="str">
        <f>'Stakeholder list'!F132</f>
        <v>Large homebuilder; can contribute by scaling affordable housing, adopting low-carbon construction practices, improving energy efficiency, and strengthening social and environmental standards in developments.</v>
      </c>
      <c r="F127" s="71" t="str">
        <f>'Stakeholder list'!G132</f>
        <v>National</v>
      </c>
      <c r="G127" s="71" t="str">
        <f>'Stakeholder list'!H132</f>
        <v>Buildings &amp; Transport</v>
      </c>
      <c r="H127" s="71" t="str">
        <f>'Stakeholder list'!I132</f>
        <v/>
      </c>
      <c r="I127" s="71" t="str">
        <f>'Stakeholder list'!J132</f>
        <v/>
      </c>
      <c r="J127" s="71" t="str">
        <f>'Stakeholder list'!K132</f>
        <v>No biome lens was assigned because projects were reported by cities/markets and not by biome-based portfolios.</v>
      </c>
      <c r="K127" s="71" t="str">
        <f>'Stakeholder list'!L132</f>
        <v>Implementation capacity (delivery)</v>
      </c>
      <c r="L127" s="71" t="str">
        <f>'Stakeholder list'!M132</f>
        <v>Downstream</v>
      </c>
      <c r="M127" s="71" t="str">
        <f>'Stakeholder list'!N132</f>
        <v>Co-funding partner</v>
      </c>
      <c r="N127" s="71" t="str">
        <f>'Stakeholder list'!O132</f>
        <v>Belo Horizonte, MG, Brazil</v>
      </c>
      <c r="O127" s="71" t="str">
        <f>'Stakeholder list'!P132</f>
        <v>Donor</v>
      </c>
      <c r="P127" s="71" t="str">
        <f>'Stakeholder list'!Q132</f>
        <v/>
      </c>
      <c r="Q127" s="71" t="str">
        <f>'Stakeholder list'!R132</f>
        <v/>
      </c>
      <c r="R127" s="71" t="str">
        <f>'Stakeholder list'!S132</f>
        <v/>
      </c>
      <c r="S127" s="71" t="str">
        <f>'Stakeholder list'!T132</f>
        <v>—</v>
      </c>
      <c r="T127" s="71" t="str">
        <f>'Stakeholder list'!U132</f>
        <v/>
      </c>
      <c r="U127" s="71" t="str">
        <f>'Stakeholder list'!V132</f>
        <v/>
      </c>
      <c r="V127" s="71" t="str">
        <f>'Stakeholder list'!W132</f>
        <v/>
      </c>
      <c r="W127" s="71" t="str">
        <f>'Stakeholder list'!X132</f>
        <v/>
      </c>
    </row>
    <row r="128">
      <c r="A128" s="71">
        <f>'Stakeholder list'!B133</f>
        <v>127</v>
      </c>
      <c r="B128" s="71" t="str">
        <f>'Stakeholder list'!C133</f>
        <v>Tenda</v>
      </c>
      <c r="C128" s="71" t="str">
        <f>'Stakeholder list'!D133</f>
        <v>Private sector</v>
      </c>
      <c r="D128" s="71" t="str">
        <f>'Stakeholder list'!E133</f>
        <v>Private companies (large / leading)</v>
      </c>
      <c r="E128" s="71" t="str">
        <f>'Stakeholder list'!F133</f>
        <v>Homebuilder focused on affordable housing; contributes by expanding access to housing and adopting higher sustainability, efficiency and climate resilience standards in projects and operations.</v>
      </c>
      <c r="F128" s="71" t="str">
        <f>'Stakeholder list'!G133</f>
        <v>National</v>
      </c>
      <c r="G128" s="71" t="str">
        <f>'Stakeholder list'!H133</f>
        <v>Buildings &amp; Transport</v>
      </c>
      <c r="H128" s="71" t="str">
        <f>'Stakeholder list'!I133</f>
        <v/>
      </c>
      <c r="I128" s="71" t="str">
        <f>'Stakeholder list'!J133</f>
        <v/>
      </c>
      <c r="J128" s="71" t="str">
        <f>'Stakeholder list'!K133</f>
        <v>No biome lens was assigned because the operating model was city/market-based and did not use biomes as the territorial unit.</v>
      </c>
      <c r="K128" s="71" t="str">
        <f>'Stakeholder list'!L133</f>
        <v>Implementation capacity (delivery)</v>
      </c>
      <c r="L128" s="71" t="str">
        <f>'Stakeholder list'!M133</f>
        <v>Downstream</v>
      </c>
      <c r="M128" s="71" t="str">
        <f>'Stakeholder list'!N133</f>
        <v>Co-funding partner</v>
      </c>
      <c r="N128" s="71" t="str">
        <f>'Stakeholder list'!O133</f>
        <v>São Paulo, SP, Brazil</v>
      </c>
      <c r="O128" s="71" t="str">
        <f>'Stakeholder list'!P133</f>
        <v>Donor</v>
      </c>
      <c r="P128" s="71" t="str">
        <f>'Stakeholder list'!Q133</f>
        <v/>
      </c>
      <c r="Q128" s="71" t="str">
        <f>'Stakeholder list'!R133</f>
        <v/>
      </c>
      <c r="R128" s="71" t="str">
        <f>'Stakeholder list'!S133</f>
        <v/>
      </c>
      <c r="S128" s="71" t="str">
        <f>'Stakeholder list'!T133</f>
        <v>—</v>
      </c>
      <c r="T128" s="71" t="str">
        <f>'Stakeholder list'!U133</f>
        <v/>
      </c>
      <c r="U128" s="71" t="str">
        <f>'Stakeholder list'!V133</f>
        <v/>
      </c>
      <c r="V128" s="71" t="str">
        <f>'Stakeholder list'!W133</f>
        <v/>
      </c>
      <c r="W128" s="71" t="str">
        <f>'Stakeholder list'!X133</f>
        <v/>
      </c>
    </row>
    <row r="129">
      <c r="A129" s="71">
        <f>'Stakeholder list'!B134</f>
        <v>128</v>
      </c>
      <c r="B129" s="71" t="str">
        <f>'Stakeholder list'!C134</f>
        <v>Cyrela</v>
      </c>
      <c r="C129" s="71" t="str">
        <f>'Stakeholder list'!D134</f>
        <v>Private sector</v>
      </c>
      <c r="D129" s="71" t="str">
        <f>'Stakeholder list'!E134</f>
        <v>Private companies (large / leading)</v>
      </c>
      <c r="E129" s="71" t="str">
        <f>'Stakeholder list'!F134</f>
        <v>Large real estate developer; can contribute to systemic transition by scaling higher-efficiency building standards, reducing embodied carbon in materials, improving construction practices, and strengthening social and environmental safeguards in developments.</v>
      </c>
      <c r="F129" s="71" t="str">
        <f>'Stakeholder list'!G134</f>
        <v>National</v>
      </c>
      <c r="G129" s="71" t="str">
        <f>'Stakeholder list'!H134</f>
        <v>Buildings &amp; Transport</v>
      </c>
      <c r="H129" s="71" t="str">
        <f>'Stakeholder list'!I134</f>
        <v/>
      </c>
      <c r="I129" s="71" t="str">
        <f>'Stakeholder list'!J134</f>
        <v/>
      </c>
      <c r="J129" s="71" t="str">
        <f>'Stakeholder list'!K134</f>
        <v>No biome lens was assigned because activity was market-driven and not tied to explicit biome-delimited programs.</v>
      </c>
      <c r="K129" s="71" t="str">
        <f>'Stakeholder list'!L134</f>
        <v>Implementation capacity (delivery)</v>
      </c>
      <c r="L129" s="71" t="str">
        <f>'Stakeholder list'!M134</f>
        <v>Downstream</v>
      </c>
      <c r="M129" s="71" t="str">
        <f>'Stakeholder list'!N134</f>
        <v>Co-funding partner</v>
      </c>
      <c r="N129" s="71" t="str">
        <f>'Stakeholder list'!O134</f>
        <v>São Paulo, SP, Brazil</v>
      </c>
      <c r="O129" s="71" t="str">
        <f>'Stakeholder list'!P134</f>
        <v>Donor</v>
      </c>
      <c r="P129" s="71" t="str">
        <f>'Stakeholder list'!Q134</f>
        <v/>
      </c>
      <c r="Q129" s="71" t="str">
        <f>'Stakeholder list'!R134</f>
        <v/>
      </c>
      <c r="R129" s="71" t="str">
        <f>'Stakeholder list'!S134</f>
        <v/>
      </c>
      <c r="S129" s="71" t="str">
        <f>'Stakeholder list'!T134</f>
        <v>—</v>
      </c>
      <c r="T129" s="71" t="str">
        <f>'Stakeholder list'!U134</f>
        <v/>
      </c>
      <c r="U129" s="71" t="str">
        <f>'Stakeholder list'!V134</f>
        <v/>
      </c>
      <c r="V129" s="71" t="str">
        <f>'Stakeholder list'!W134</f>
        <v/>
      </c>
      <c r="W129" s="71" t="str">
        <f>'Stakeholder list'!X134</f>
        <v/>
      </c>
    </row>
    <row r="130">
      <c r="A130" s="71">
        <f>'Stakeholder list'!B135</f>
        <v>129</v>
      </c>
      <c r="B130" s="71" t="str">
        <f>'Stakeholder list'!C135</f>
        <v>Votorantim Cimentos</v>
      </c>
      <c r="C130" s="71" t="str">
        <f>'Stakeholder list'!D135</f>
        <v>Private sector</v>
      </c>
      <c r="D130" s="71" t="str">
        <f>'Stakeholder list'!E135</f>
        <v>Private companies (large / leading)</v>
      </c>
      <c r="E130" s="71" t="str">
        <f>'Stakeholder list'!F135</f>
        <v>Major cement producer; central to transition through clinker reduction, alternative fuels, energy efficiency, low-carbon cements, circularity (waste co-processing), and supply-chain decarbonization.</v>
      </c>
      <c r="F130" s="71" t="str">
        <f>'Stakeholder list'!G135</f>
        <v>Cross-border / international</v>
      </c>
      <c r="G130" s="71" t="str">
        <f>'Stakeholder list'!H135</f>
        <v>Buildings &amp; Transport, Energy</v>
      </c>
      <c r="H130" s="71" t="str">
        <f>'Stakeholder list'!I135</f>
        <v/>
      </c>
      <c r="I130" s="71" t="str">
        <f>'Stakeholder list'!J135</f>
        <v/>
      </c>
      <c r="J130" s="71" t="str">
        <f>'Stakeholder list'!K135</f>
        <v>No biome lens was assigned because decarbonization actions were process/plant-based and the mapping did not identify biome-specific programs.</v>
      </c>
      <c r="K130" s="71" t="str">
        <f>'Stakeholder list'!L135</f>
        <v>Implementation capacity (delivery)</v>
      </c>
      <c r="L130" s="71" t="str">
        <f>'Stakeholder list'!M135</f>
        <v>Downstream</v>
      </c>
      <c r="M130" s="71" t="str">
        <f>'Stakeholder list'!N135</f>
        <v>Co-funding partner</v>
      </c>
      <c r="N130" s="71" t="str">
        <f>'Stakeholder list'!O135</f>
        <v>São Paulo, SP, Brazil</v>
      </c>
      <c r="O130" s="71" t="str">
        <f>'Stakeholder list'!P135</f>
        <v>Donor</v>
      </c>
      <c r="P130" s="71" t="str">
        <f>'Stakeholder list'!Q135</f>
        <v/>
      </c>
      <c r="Q130" s="71" t="str">
        <f>'Stakeholder list'!R135</f>
        <v/>
      </c>
      <c r="R130" s="71" t="str">
        <f>'Stakeholder list'!S135</f>
        <v/>
      </c>
      <c r="S130" s="71" t="str">
        <f>'Stakeholder list'!T135</f>
        <v>—</v>
      </c>
      <c r="T130" s="71" t="str">
        <f>'Stakeholder list'!U135</f>
        <v/>
      </c>
      <c r="U130" s="71" t="str">
        <f>'Stakeholder list'!V135</f>
        <v/>
      </c>
      <c r="V130" s="71" t="str">
        <f>'Stakeholder list'!W135</f>
        <v/>
      </c>
      <c r="W130" s="71" t="str">
        <f>'Stakeholder list'!X135</f>
        <v/>
      </c>
    </row>
    <row r="131">
      <c r="A131" s="71">
        <f>'Stakeholder list'!B136</f>
        <v>130</v>
      </c>
      <c r="B131" s="71" t="str">
        <f>'Stakeholder list'!C136</f>
        <v>InterCement</v>
      </c>
      <c r="C131" s="71" t="str">
        <f>'Stakeholder list'!D136</f>
        <v>Private sector</v>
      </c>
      <c r="D131" s="71" t="str">
        <f>'Stakeholder list'!E136</f>
        <v>Private companies (large / leading)</v>
      </c>
      <c r="E131" s="71" t="str">
        <f>'Stakeholder list'!F136</f>
        <v>Large cement producer; contributes to transition via process decarbonization, alternative fuels/materials, operational efficiency, circular economy solutions, and adoption of low-carbon cement products.</v>
      </c>
      <c r="F131" s="71" t="str">
        <f>'Stakeholder list'!G136</f>
        <v>Cross-border / international</v>
      </c>
      <c r="G131" s="71" t="str">
        <f>'Stakeholder list'!H136</f>
        <v>Buildings &amp; Transport, Energy</v>
      </c>
      <c r="H131" s="71" t="str">
        <f>'Stakeholder list'!I136</f>
        <v/>
      </c>
      <c r="I131" s="71" t="str">
        <f>'Stakeholder list'!J136</f>
        <v/>
      </c>
      <c r="J131" s="71" t="str">
        <f>'Stakeholder list'!K136</f>
        <v>No biome lens was assigned because actions were industrial/process-based and not organized by biome in publicly visible initiatives.</v>
      </c>
      <c r="K131" s="71" t="str">
        <f>'Stakeholder list'!L136</f>
        <v>Implementation capacity (delivery)</v>
      </c>
      <c r="L131" s="71" t="str">
        <f>'Stakeholder list'!M136</f>
        <v>Downstream</v>
      </c>
      <c r="M131" s="71" t="str">
        <f>'Stakeholder list'!N136</f>
        <v>Co-funding partner</v>
      </c>
      <c r="N131" s="71" t="str">
        <f>'Stakeholder list'!O136</f>
        <v>São Paulo, SP, Brazil</v>
      </c>
      <c r="O131" s="71" t="str">
        <f>'Stakeholder list'!P136</f>
        <v>Donor</v>
      </c>
      <c r="P131" s="71" t="str">
        <f>'Stakeholder list'!Q136</f>
        <v/>
      </c>
      <c r="Q131" s="71" t="str">
        <f>'Stakeholder list'!R136</f>
        <v/>
      </c>
      <c r="R131" s="71" t="str">
        <f>'Stakeholder list'!S136</f>
        <v/>
      </c>
      <c r="S131" s="71" t="str">
        <f>'Stakeholder list'!T136</f>
        <v>—</v>
      </c>
      <c r="T131" s="71" t="str">
        <f>'Stakeholder list'!U136</f>
        <v/>
      </c>
      <c r="U131" s="71" t="str">
        <f>'Stakeholder list'!V136</f>
        <v/>
      </c>
      <c r="V131" s="71" t="str">
        <f>'Stakeholder list'!W136</f>
        <v/>
      </c>
      <c r="W131" s="71" t="str">
        <f>'Stakeholder list'!X136</f>
        <v/>
      </c>
    </row>
    <row r="132">
      <c r="A132" s="71">
        <f>'Stakeholder list'!B137</f>
        <v>131</v>
      </c>
      <c r="B132" s="71" t="str">
        <f>'Stakeholder list'!C137</f>
        <v>Green Building Council Brasil (GBC Brasil)</v>
      </c>
      <c r="C132" s="71" t="str">
        <f>'Stakeholder list'!D137</f>
        <v>Civil Society Organization (CSO)</v>
      </c>
      <c r="D132" s="71" t="str">
        <f>'Stakeholder list'!E137</f>
        <v>Industry platforms and sectoral initiatives</v>
      </c>
      <c r="E132" s="71" t="str">
        <f>'Stakeholder list'!F137</f>
        <v>Industry platform that promotes sustainable buildings and certification practices; supports market transformation through standards, capacity building, and dissemination of best practices in green construction.</v>
      </c>
      <c r="F132" s="71" t="str">
        <f>'Stakeholder list'!G137</f>
        <v>National</v>
      </c>
      <c r="G132" s="71" t="str">
        <f>'Stakeholder list'!H137</f>
        <v>Buildings &amp; Transport, Energy</v>
      </c>
      <c r="H132" s="71" t="str">
        <f>'Stakeholder list'!I137</f>
        <v/>
      </c>
      <c r="I132" s="71" t="str">
        <f>'Stakeholder list'!J137</f>
        <v/>
      </c>
      <c r="J132" s="71" t="str">
        <f>'Stakeholder list'!K137</f>
        <v>No biome lens was assigned because it operated through standards/certification and not through biome-delimited territorial programs.</v>
      </c>
      <c r="K132" s="71" t="str">
        <f>'Stakeholder list'!L137</f>
        <v>Technical assistance / research, Convenor/enablers</v>
      </c>
      <c r="L132" s="71" t="str">
        <f>'Stakeholder list'!M137</f>
        <v>Upstream</v>
      </c>
      <c r="M132" s="71" t="str">
        <f>'Stakeholder list'!N137</f>
        <v>Grant recipient</v>
      </c>
      <c r="N132" s="71" t="str">
        <f>'Stakeholder list'!O137</f>
        <v>São Paulo, SP, Brazil</v>
      </c>
      <c r="O132" s="71" t="str">
        <f>'Stakeholder list'!P137</f>
        <v>Grantee</v>
      </c>
      <c r="P132" s="71" t="str">
        <f>'Stakeholder list'!Q137</f>
        <v/>
      </c>
      <c r="Q132" s="71" t="str">
        <f>'Stakeholder list'!R137</f>
        <v/>
      </c>
      <c r="R132" s="71" t="str">
        <f>'Stakeholder list'!S137</f>
        <v/>
      </c>
      <c r="S132" s="71" t="str">
        <f>'Stakeholder list'!T137</f>
        <v>—</v>
      </c>
      <c r="T132" s="71" t="str">
        <f>'Stakeholder list'!U137</f>
        <v/>
      </c>
      <c r="U132" s="71" t="str">
        <f>'Stakeholder list'!V137</f>
        <v/>
      </c>
      <c r="V132" s="71" t="str">
        <f>'Stakeholder list'!W137</f>
        <v/>
      </c>
      <c r="W132" s="71" t="str">
        <f>'Stakeholder list'!X137</f>
        <v/>
      </c>
    </row>
    <row r="133">
      <c r="A133" s="71">
        <f>'Stakeholder list'!B138</f>
        <v>132</v>
      </c>
      <c r="B133" s="71" t="str">
        <f>'Stakeholder list'!C138</f>
        <v>Ministério da Agricultura e Pecuária (MAPA)</v>
      </c>
      <c r="C133" s="71" t="str">
        <f>'Stakeholder list'!D138</f>
        <v>Public sector</v>
      </c>
      <c r="D133" s="71" t="str">
        <f>'Stakeholder list'!E138</f>
        <v>Federal Government</v>
      </c>
      <c r="E133" s="71" t="str">
        <f>'Stakeholder list'!F138</f>
        <v>Federal ministry responsible for agriculture and livestock policy; key to systemic transition by shaping incentives, regulation, and programs for sustainable production, food security, and climate adaptation/mitigation in agrifood systems.</v>
      </c>
      <c r="F133" s="71" t="str">
        <f>'Stakeholder list'!G138</f>
        <v>National</v>
      </c>
      <c r="G133" s="71" t="str">
        <f>'Stakeholder list'!H138</f>
        <v>"Land, Food and Forest"</v>
      </c>
      <c r="H133" s="71" t="str">
        <f>'Stakeholder list'!I138</f>
        <v/>
      </c>
      <c r="I133" s="71" t="str">
        <f>'Stakeholder list'!J138</f>
        <v/>
      </c>
      <c r="J133" s="71" t="str">
        <f>'Stakeholder list'!K138</f>
        <v>No biome lens was assigned because instruments were national and the mapping did not isolate biome-specific programs as the main operational cut.</v>
      </c>
      <c r="K133" s="71" t="str">
        <f>'Stakeholder list'!L138</f>
        <v>Policy influence / regulation</v>
      </c>
      <c r="L133" s="71" t="str">
        <f>'Stakeholder list'!M138</f>
        <v>Upstream</v>
      </c>
      <c r="M133" s="71" t="str">
        <f>'Stakeholder list'!N138</f>
        <v>Strategic partner</v>
      </c>
      <c r="N133" s="71" t="str">
        <f>'Stakeholder list'!O138</f>
        <v>Brasília, DF, Brazil</v>
      </c>
      <c r="O133" s="71" t="str">
        <f>'Stakeholder list'!P138</f>
        <v/>
      </c>
      <c r="P133" s="71" t="str">
        <f>'Stakeholder list'!Q138</f>
        <v/>
      </c>
      <c r="Q133" s="71" t="str">
        <f>'Stakeholder list'!R138</f>
        <v/>
      </c>
      <c r="R133" s="71" t="str">
        <f>'Stakeholder list'!S138</f>
        <v/>
      </c>
      <c r="S133" s="71" t="str">
        <f>'Stakeholder list'!T138</f>
        <v>—</v>
      </c>
      <c r="T133" s="71" t="str">
        <f>'Stakeholder list'!U138</f>
        <v/>
      </c>
      <c r="U133" s="71" t="str">
        <f>'Stakeholder list'!V138</f>
        <v/>
      </c>
      <c r="V133" s="71" t="str">
        <f>'Stakeholder list'!W138</f>
        <v/>
      </c>
      <c r="W133" s="71" t="str">
        <f>'Stakeholder list'!X138</f>
        <v/>
      </c>
    </row>
    <row r="134">
      <c r="A134" s="71">
        <f>'Stakeholder list'!B139</f>
        <v>133</v>
      </c>
      <c r="B134" s="71" t="str">
        <f>'Stakeholder list'!C139</f>
        <v>Instituto Nacional de Colonização e Reforma Agrária (INCRA)</v>
      </c>
      <c r="C134" s="71" t="str">
        <f>'Stakeholder list'!D139</f>
        <v>Public sector</v>
      </c>
      <c r="D134" s="71" t="str">
        <f>'Stakeholder list'!E139</f>
        <v>Public agencies and regulators</v>
      </c>
      <c r="E134" s="71" t="str">
        <f>'Stakeholder list'!F139</f>
        <v>Federal agency responsible for land reform and rural land administration; influences transition through land tenure regularization, settlement policies, and inclusive rural development with environmental compliance.</v>
      </c>
      <c r="F134" s="71" t="str">
        <f>'Stakeholder list'!G139</f>
        <v>National</v>
      </c>
      <c r="G134" s="71" t="str">
        <f>'Stakeholder list'!H139</f>
        <v>Emergency response, "Land, Food and Forest"</v>
      </c>
      <c r="H134" s="71" t="str">
        <f>'Stakeholder list'!I139</f>
        <v/>
      </c>
      <c r="I134" s="71" t="str">
        <f>'Stakeholder list'!J139</f>
        <v/>
      </c>
      <c r="J134" s="71" t="str">
        <f>'Stakeholder list'!K139</f>
        <v>No biome lens was assigned because land governance actions were national and were not mapped here as biome-specific initiatives.</v>
      </c>
      <c r="K134" s="71" t="str">
        <f>'Stakeholder list'!L139</f>
        <v>Policy influence / regulation, Territorial anchor</v>
      </c>
      <c r="L134" s="71" t="str">
        <f>'Stakeholder list'!M139</f>
        <v>Upstream</v>
      </c>
      <c r="M134" s="71" t="str">
        <f>'Stakeholder list'!N139</f>
        <v>Strategic partner</v>
      </c>
      <c r="N134" s="71" t="str">
        <f>'Stakeholder list'!O139</f>
        <v>Brasília, DF, Brazil</v>
      </c>
      <c r="O134" s="71" t="str">
        <f>'Stakeholder list'!P139</f>
        <v>Grantee</v>
      </c>
      <c r="P134" s="71" t="str">
        <f>'Stakeholder list'!Q139</f>
        <v/>
      </c>
      <c r="Q134" s="71" t="str">
        <f>'Stakeholder list'!R139</f>
        <v/>
      </c>
      <c r="R134" s="71" t="str">
        <f>'Stakeholder list'!S139</f>
        <v/>
      </c>
      <c r="S134" s="71" t="str">
        <f>'Stakeholder list'!T139</f>
        <v>—</v>
      </c>
      <c r="T134" s="71" t="str">
        <f>'Stakeholder list'!U139</f>
        <v/>
      </c>
      <c r="U134" s="71" t="str">
        <f>'Stakeholder list'!V139</f>
        <v/>
      </c>
      <c r="V134" s="71" t="str">
        <f>'Stakeholder list'!W139</f>
        <v/>
      </c>
      <c r="W134" s="71" t="str">
        <f>'Stakeholder list'!X139</f>
        <v/>
      </c>
    </row>
    <row r="135">
      <c r="A135" s="71">
        <f>'Stakeholder list'!B140</f>
        <v>134</v>
      </c>
      <c r="B135" s="71" t="str">
        <f>'Stakeholder list'!C140</f>
        <v>Agroicone</v>
      </c>
      <c r="C135" s="71" t="str">
        <f>'Stakeholder list'!D140</f>
        <v>Civil Society Organization (CSO)</v>
      </c>
      <c r="D135" s="71" t="str">
        <f>'Stakeholder list'!E140</f>
        <v>Think tanks</v>
      </c>
      <c r="E135" s="71" t="str">
        <f>'Stakeholder list'!F140</f>
        <v>Research and policy institute focused on agribusiness, land use and climate; provides evidence and proposals to enable low-carbon agriculture, deforestation-free supply chains, and better public policies.</v>
      </c>
      <c r="F135" s="71" t="str">
        <f>'Stakeholder list'!G140</f>
        <v>National</v>
      </c>
      <c r="G135" s="71" t="str">
        <f>'Stakeholder list'!H140</f>
        <v>"Land, Food and Forest"</v>
      </c>
      <c r="H135" s="71" t="str">
        <f>'Stakeholder list'!I140</f>
        <v>Amazonia, Cerrado</v>
      </c>
      <c r="I135" s="71" t="str">
        <f>'Stakeholder list'!J140</f>
        <v/>
      </c>
      <c r="J135" s="71" t="str">
        <f>'Stakeholder list'!K140</f>
        <v>It produced policy and supply-chain work explicitly centered on deforestation and land-use agendas typically framed around Amazonia and Cerrado.</v>
      </c>
      <c r="K135" s="71" t="str">
        <f>'Stakeholder list'!L140</f>
        <v>Technical assistance / research, Policy influence / regulation</v>
      </c>
      <c r="L135" s="71" t="str">
        <f>'Stakeholder list'!M140</f>
        <v>Upstream</v>
      </c>
      <c r="M135" s="71" t="str">
        <f>'Stakeholder list'!N140</f>
        <v>Co-funding partner</v>
      </c>
      <c r="N135" s="71" t="str">
        <f>'Stakeholder list'!O140</f>
        <v>São Paulo, SP, Brazil</v>
      </c>
      <c r="O135" s="71" t="str">
        <f>'Stakeholder list'!P140</f>
        <v>Donor</v>
      </c>
      <c r="P135" s="71" t="str">
        <f>'Stakeholder list'!Q140</f>
        <v/>
      </c>
      <c r="Q135" s="71" t="str">
        <f>'Stakeholder list'!R140</f>
        <v/>
      </c>
      <c r="R135" s="71" t="str">
        <f>'Stakeholder list'!S140</f>
        <v/>
      </c>
      <c r="S135" s="71" t="str">
        <f>'Stakeholder list'!T140</f>
        <v>—</v>
      </c>
      <c r="T135" s="71" t="str">
        <f>'Stakeholder list'!U140</f>
        <v/>
      </c>
      <c r="U135" s="71" t="str">
        <f>'Stakeholder list'!V140</f>
        <v/>
      </c>
      <c r="V135" s="71" t="str">
        <f>'Stakeholder list'!W140</f>
        <v/>
      </c>
      <c r="W135" s="71" t="str">
        <f>'Stakeholder list'!X140</f>
        <v/>
      </c>
    </row>
    <row r="136">
      <c r="A136" s="71">
        <f>'Stakeholder list'!B141</f>
        <v>135</v>
      </c>
      <c r="B136" s="71" t="str">
        <f>'Stakeholder list'!C141</f>
        <v>JBS</v>
      </c>
      <c r="C136" s="71" t="str">
        <f>'Stakeholder list'!D141</f>
        <v>Private sector</v>
      </c>
      <c r="D136" s="71" t="str">
        <f>'Stakeholder list'!E141</f>
        <v>Private companies (large / leading)</v>
      </c>
      <c r="E136" s="71" t="str">
        <f>'Stakeholder list'!F141</f>
        <v>Global meat and food company; central to transition through deforestation-free sourcing, traceability, methane/emissions reduction, animal welfare, and strengthening governance across supply chains.</v>
      </c>
      <c r="F136" s="71" t="str">
        <f>'Stakeholder list'!G141</f>
        <v>Cross-border / international</v>
      </c>
      <c r="G136" s="71" t="str">
        <f>'Stakeholder list'!H141</f>
        <v>Buildings &amp; Transport, "Land, Food and Forest"</v>
      </c>
      <c r="H136" s="71" t="str">
        <f>'Stakeholder list'!I141</f>
        <v>Amazonia, Cerrado</v>
      </c>
      <c r="I136" s="71" t="str">
        <f>'Stakeholder list'!J141</f>
        <v>Pantanal</v>
      </c>
      <c r="J136" s="71" t="str">
        <f>'Stakeholder list'!K141</f>
        <v>It implemented deforestation-free sourcing and cattle traceability agendas that were publicly associated with Amazonia and Cerrado supply chains and also faced material exposure in Pantanal cattle landscapes.</v>
      </c>
      <c r="K136" s="71" t="str">
        <f>'Stakeholder list'!L141</f>
        <v>Strategic partner, Implementation capacity (delivery)</v>
      </c>
      <c r="L136" s="71" t="str">
        <f>'Stakeholder list'!M141</f>
        <v>Downstream</v>
      </c>
      <c r="M136" s="71" t="str">
        <f>'Stakeholder list'!N141</f>
        <v>Co-funding partner</v>
      </c>
      <c r="N136" s="71" t="str">
        <f>'Stakeholder list'!O141</f>
        <v>São Paulo, SP, Brazil</v>
      </c>
      <c r="O136" s="71" t="str">
        <f>'Stakeholder list'!P141</f>
        <v>Donor</v>
      </c>
      <c r="P136" s="71" t="str">
        <f>'Stakeholder list'!Q141</f>
        <v/>
      </c>
      <c r="Q136" s="71" t="str">
        <f>'Stakeholder list'!R141</f>
        <v/>
      </c>
      <c r="R136" s="71" t="str">
        <f>'Stakeholder list'!S141</f>
        <v/>
      </c>
      <c r="S136" s="71" t="str">
        <f>'Stakeholder list'!T141</f>
        <v>—</v>
      </c>
      <c r="T136" s="71" t="str">
        <f>'Stakeholder list'!U141</f>
        <v/>
      </c>
      <c r="U136" s="71" t="str">
        <f>'Stakeholder list'!V141</f>
        <v/>
      </c>
      <c r="V136" s="71" t="str">
        <f>'Stakeholder list'!W141</f>
        <v/>
      </c>
      <c r="W136" s="71" t="str">
        <f>'Stakeholder list'!X141</f>
        <v/>
      </c>
    </row>
    <row r="137">
      <c r="A137" s="71">
        <f>'Stakeholder list'!B142</f>
        <v>136</v>
      </c>
      <c r="B137" s="71" t="str">
        <f>'Stakeholder list'!C142</f>
        <v>Marfrig</v>
      </c>
      <c r="C137" s="71" t="str">
        <f>'Stakeholder list'!D142</f>
        <v>Private sector</v>
      </c>
      <c r="D137" s="71" t="str">
        <f>'Stakeholder list'!E142</f>
        <v>Private companies (large / leading)</v>
      </c>
      <c r="E137" s="71" t="str">
        <f>'Stakeholder list'!F142</f>
        <v>Meat and food company; can drive transition through cattle traceability, deforestation-free supply chains, emissions reduction, and improved ESG governance and transparency.</v>
      </c>
      <c r="F137" s="71" t="str">
        <f>'Stakeholder list'!G142</f>
        <v>Cross-border / international</v>
      </c>
      <c r="G137" s="71" t="str">
        <f>'Stakeholder list'!H142</f>
        <v>Buildings &amp; Transport, "Land, Food and Forest"</v>
      </c>
      <c r="H137" s="71" t="str">
        <f>'Stakeholder list'!I142</f>
        <v>Amazonia, Cerrado</v>
      </c>
      <c r="I137" s="71" t="str">
        <f>'Stakeholder list'!J142</f>
        <v>Pantanal</v>
      </c>
      <c r="J137" s="71" t="str">
        <f>'Stakeholder list'!K142</f>
        <v>It advanced cattle traceability and deforestation-risk management that were publicly tied to Amazonia and Cerrado and also intersected with Pantanal sourcing dynamics.</v>
      </c>
      <c r="K137" s="71" t="str">
        <f>'Stakeholder list'!L142</f>
        <v>Strategic partner, Implementation capacity (delivery)</v>
      </c>
      <c r="L137" s="71" t="str">
        <f>'Stakeholder list'!M142</f>
        <v>Downstream</v>
      </c>
      <c r="M137" s="71" t="str">
        <f>'Stakeholder list'!N142</f>
        <v>Co-funding partner</v>
      </c>
      <c r="N137" s="71" t="str">
        <f>'Stakeholder list'!O142</f>
        <v>São Paulo, SP, Brazil</v>
      </c>
      <c r="O137" s="71" t="str">
        <f>'Stakeholder list'!P142</f>
        <v>Donor</v>
      </c>
      <c r="P137" s="71" t="str">
        <f>'Stakeholder list'!Q142</f>
        <v/>
      </c>
      <c r="Q137" s="71" t="str">
        <f>'Stakeholder list'!R142</f>
        <v/>
      </c>
      <c r="R137" s="71" t="str">
        <f>'Stakeholder list'!S142</f>
        <v/>
      </c>
      <c r="S137" s="71" t="str">
        <f>'Stakeholder list'!T142</f>
        <v>—</v>
      </c>
      <c r="T137" s="71" t="str">
        <f>'Stakeholder list'!U142</f>
        <v/>
      </c>
      <c r="U137" s="71" t="str">
        <f>'Stakeholder list'!V142</f>
        <v/>
      </c>
      <c r="V137" s="71" t="str">
        <f>'Stakeholder list'!W142</f>
        <v/>
      </c>
      <c r="W137" s="71" t="str">
        <f>'Stakeholder list'!X142</f>
        <v/>
      </c>
    </row>
    <row r="138">
      <c r="A138" s="71">
        <f>'Stakeholder list'!B143</f>
        <v>137</v>
      </c>
      <c r="B138" s="71" t="str">
        <f>'Stakeholder list'!C143</f>
        <v>Amaggi</v>
      </c>
      <c r="C138" s="71" t="str">
        <f>'Stakeholder list'!D143</f>
        <v>Private sector</v>
      </c>
      <c r="D138" s="71" t="str">
        <f>'Stakeholder list'!E143</f>
        <v>Private companies (large / leading)</v>
      </c>
      <c r="E138" s="71" t="str">
        <f>'Stakeholder list'!F143</f>
        <v>Agribusiness and trading group (grains, logistics); contributes via deforestation-free supply chains, compliance/traceability, low-carbon logistics, and adoption of sustainable production standards.</v>
      </c>
      <c r="F138" s="71" t="str">
        <f>'Stakeholder list'!G143</f>
        <v>Cross-border / international</v>
      </c>
      <c r="G138" s="71" t="str">
        <f>'Stakeholder list'!H143</f>
        <v>Buildings &amp; Transport, "Land, Food and Forest"</v>
      </c>
      <c r="H138" s="71" t="str">
        <f>'Stakeholder list'!I143</f>
        <v>Amazonia, Cerrado</v>
      </c>
      <c r="I138" s="71" t="str">
        <f>'Stakeholder list'!J143</f>
        <v>Pantanal</v>
      </c>
      <c r="J138" s="71" t="str">
        <f>'Stakeholder list'!K143</f>
        <v>It operated grain production/logistics in frontier and transition landscapes commonly framed by Cerrado and Amazonia and it reported supply-chain compliance around these territories.</v>
      </c>
      <c r="K138" s="71" t="str">
        <f>'Stakeholder list'!L143</f>
        <v>Strategic partner, Implementation capacity (delivery)</v>
      </c>
      <c r="L138" s="71" t="str">
        <f>'Stakeholder list'!M143</f>
        <v>Downstream</v>
      </c>
      <c r="M138" s="71" t="str">
        <f>'Stakeholder list'!N143</f>
        <v>Co-funding partner</v>
      </c>
      <c r="N138" s="71" t="str">
        <f>'Stakeholder list'!O143</f>
        <v>Cuiabá, MT, Brazil</v>
      </c>
      <c r="O138" s="71" t="str">
        <f>'Stakeholder list'!P143</f>
        <v>Donor</v>
      </c>
      <c r="P138" s="71" t="str">
        <f>'Stakeholder list'!Q143</f>
        <v/>
      </c>
      <c r="Q138" s="71" t="str">
        <f>'Stakeholder list'!R143</f>
        <v/>
      </c>
      <c r="R138" s="71" t="str">
        <f>'Stakeholder list'!S143</f>
        <v/>
      </c>
      <c r="S138" s="71" t="str">
        <f>'Stakeholder list'!T143</f>
        <v>—</v>
      </c>
      <c r="T138" s="71" t="str">
        <f>'Stakeholder list'!U143</f>
        <v/>
      </c>
      <c r="U138" s="71" t="str">
        <f>'Stakeholder list'!V143</f>
        <v/>
      </c>
      <c r="V138" s="71" t="str">
        <f>'Stakeholder list'!W143</f>
        <v/>
      </c>
      <c r="W138" s="71" t="str">
        <f>'Stakeholder list'!X143</f>
        <v/>
      </c>
    </row>
    <row r="139">
      <c r="A139" s="71">
        <f>'Stakeholder list'!B144</f>
        <v>138</v>
      </c>
      <c r="B139" s="71" t="str">
        <f>'Stakeholder list'!C144</f>
        <v>SLC Agrícola</v>
      </c>
      <c r="C139" s="71" t="str">
        <f>'Stakeholder list'!D144</f>
        <v>Private sector</v>
      </c>
      <c r="D139" s="71" t="str">
        <f>'Stakeholder list'!E144</f>
        <v>Private companies (large / leading)</v>
      </c>
      <c r="E139" s="71" t="str">
        <f>'Stakeholder list'!F144</f>
        <v>Large-scale producer of grains/fibers; contributes through sustainable land management, climate-smart agriculture, responsible expansion, and improved measurement and reduction of emissions and impacts.</v>
      </c>
      <c r="F139" s="71" t="str">
        <f>'Stakeholder list'!G144</f>
        <v>Regional</v>
      </c>
      <c r="G139" s="71" t="str">
        <f>'Stakeholder list'!H144</f>
        <v>Buildings &amp; Transport, "Land, Food and Forest"</v>
      </c>
      <c r="H139" s="71" t="str">
        <f>'Stakeholder list'!I144</f>
        <v>Amazonia, Cerrado</v>
      </c>
      <c r="I139" s="71" t="str">
        <f>'Stakeholder list'!J144</f>
        <v>Pantanal</v>
      </c>
      <c r="J139" s="71" t="str">
        <f>'Stakeholder list'!K144</f>
        <v>It operated large-scale cropping predominantly in Cerrado landscapes and it expanded/managed farms in frontier interfaces that were commonly described as connected to Amazonia transition zones.</v>
      </c>
      <c r="K139" s="71" t="str">
        <f>'Stakeholder list'!L144</f>
        <v>Implementation capacity (delivery)</v>
      </c>
      <c r="L139" s="71" t="str">
        <f>'Stakeholder list'!M144</f>
        <v>Downstream</v>
      </c>
      <c r="M139" s="71" t="str">
        <f>'Stakeholder list'!N144</f>
        <v>Grant recipient</v>
      </c>
      <c r="N139" s="71" t="str">
        <f>'Stakeholder list'!O144</f>
        <v>Porto Alegre, RS, Brazil</v>
      </c>
      <c r="O139" s="71" t="str">
        <f>'Stakeholder list'!P144</f>
        <v>Donor</v>
      </c>
      <c r="P139" s="71" t="str">
        <f>'Stakeholder list'!Q144</f>
        <v/>
      </c>
      <c r="Q139" s="71" t="str">
        <f>'Stakeholder list'!R144</f>
        <v/>
      </c>
      <c r="R139" s="71" t="str">
        <f>'Stakeholder list'!S144</f>
        <v/>
      </c>
      <c r="S139" s="71" t="str">
        <f>'Stakeholder list'!T144</f>
        <v>—</v>
      </c>
      <c r="T139" s="71" t="str">
        <f>'Stakeholder list'!U144</f>
        <v/>
      </c>
      <c r="U139" s="71" t="str">
        <f>'Stakeholder list'!V144</f>
        <v/>
      </c>
      <c r="V139" s="71" t="str">
        <f>'Stakeholder list'!W144</f>
        <v/>
      </c>
      <c r="W139" s="71" t="str">
        <f>'Stakeholder list'!X144</f>
        <v/>
      </c>
    </row>
    <row r="140">
      <c r="A140" s="71">
        <f>'Stakeholder list'!B145</f>
        <v>139</v>
      </c>
      <c r="B140" s="71" t="str">
        <f>'Stakeholder list'!C145</f>
        <v>Instituto de Pesquisa Ambiental da Amazônia (IPAM)</v>
      </c>
      <c r="C140" s="71" t="str">
        <f>'Stakeholder list'!D145</f>
        <v>Civil Society Organization (CSO)</v>
      </c>
      <c r="D140" s="71" t="str">
        <f>'Stakeholder list'!E145</f>
        <v>Monitoring, Evaluation, and Learning</v>
      </c>
      <c r="E140" s="71" t="str">
        <f>'Stakeholder list'!F145</f>
        <v>Non-profit research institute focused on the Amazon; produces science, monitoring and policy proposals to curb deforestation, advance sustainable land use, and strengthen climate and territorial governance.</v>
      </c>
      <c r="F140" s="71" t="str">
        <f>'Stakeholder list'!G145</f>
        <v>Regional</v>
      </c>
      <c r="G140" s="71" t="str">
        <f>'Stakeholder list'!H145</f>
        <v>"Land, Food and Forest"</v>
      </c>
      <c r="H140" s="71" t="str">
        <f>'Stakeholder list'!I145</f>
        <v>Amazonia, Cerrado</v>
      </c>
      <c r="I140" s="71" t="str">
        <f>'Stakeholder list'!J145</f>
        <v/>
      </c>
      <c r="J140" s="71" t="str">
        <f>'Stakeholder list'!K145</f>
        <v>It worked explicitly on Amazonia-focused science and policy and it addressed linked land-use and deforestation dynamics at the Amazonia–Cerrado interface.</v>
      </c>
      <c r="K140" s="71" t="str">
        <f>'Stakeholder list'!L145</f>
        <v>Technical assistance / research, Policy influence / regulation</v>
      </c>
      <c r="L140" s="71" t="str">
        <f>'Stakeholder list'!M145</f>
        <v>Upstream</v>
      </c>
      <c r="M140" s="71" t="str">
        <f>'Stakeholder list'!N145</f>
        <v>Grant recipient</v>
      </c>
      <c r="N140" s="71" t="str">
        <f>'Stakeholder list'!O145</f>
        <v>Brasília, DF, Brazil</v>
      </c>
      <c r="O140" s="71" t="str">
        <f>'Stakeholder list'!P145</f>
        <v>Grantee</v>
      </c>
      <c r="P140" s="71" t="str">
        <f>'Stakeholder list'!Q145</f>
        <v/>
      </c>
      <c r="Q140" s="71" t="str">
        <f>'Stakeholder list'!R145</f>
        <v/>
      </c>
      <c r="R140" s="71" t="str">
        <f>'Stakeholder list'!S145</f>
        <v>Important imnplementer as a CSO in the Amazon of Brazil.</v>
      </c>
      <c r="S140" s="71" t="str">
        <f>'Stakeholder list'!T145</f>
        <v>Amazon science, deforestation monitoring, land-use MRV and climate policy evaluation</v>
      </c>
      <c r="T140" s="71" t="str">
        <f>'Stakeholder list'!U145</f>
        <v/>
      </c>
      <c r="U140" s="71" t="str">
        <f>'Stakeholder list'!V145</f>
        <v/>
      </c>
      <c r="V140" s="71" t="str">
        <f>'Stakeholder list'!W145</f>
        <v/>
      </c>
      <c r="W140" s="71" t="str">
        <f>'Stakeholder list'!X145</f>
        <v/>
      </c>
    </row>
    <row r="141">
      <c r="A141" s="71">
        <f>'Stakeholder list'!B146</f>
        <v>140</v>
      </c>
      <c r="B141" s="71" t="str">
        <f>'Stakeholder list'!C146</f>
        <v>Global Canopy</v>
      </c>
      <c r="C141" s="71" t="str">
        <f>'Stakeholder list'!D146</f>
        <v>Civil Society Organization (CSO)</v>
      </c>
      <c r="D141" s="71" t="str">
        <f>'Stakeholder list'!E146</f>
        <v>Monitoring, Evaluation, and Learning</v>
      </c>
      <c r="E141" s="71" t="str">
        <f>'Stakeholder list'!F146</f>
        <v>Non-profit that works on supply-chain and finance levers to stop deforestation; produces data/tools and convenes stakeholders to improve accountability and drive forest-positive action.</v>
      </c>
      <c r="F141" s="71" t="str">
        <f>'Stakeholder list'!G146</f>
        <v>Cross-border / international</v>
      </c>
      <c r="G141" s="71" t="str">
        <f>'Stakeholder list'!H146</f>
        <v>"Land, Food and Forest"</v>
      </c>
      <c r="H141" s="71" t="str">
        <f>'Stakeholder list'!I146</f>
        <v>Amazonia, Cerrado</v>
      </c>
      <c r="I141" s="71" t="str">
        <f>'Stakeholder list'!J146</f>
        <v/>
      </c>
      <c r="J141" s="71" t="str">
        <f>'Stakeholder list'!K146</f>
        <v>It produced deforestation-risk tools and accountability agendas that, in Brazil, were commonly framed around Amazonia and Cerrado commodity frontiers.</v>
      </c>
      <c r="K141" s="71" t="str">
        <f>'Stakeholder list'!L146</f>
        <v>Data / MRV / platforms, Policy influence / regulation</v>
      </c>
      <c r="L141" s="71" t="str">
        <f>'Stakeholder list'!M146</f>
        <v>Upstream</v>
      </c>
      <c r="M141" s="71" t="str">
        <f>'Stakeholder list'!N146</f>
        <v>Grant recipient</v>
      </c>
      <c r="N141" s="71" t="str">
        <f>'Stakeholder list'!O146</f>
        <v>São Paulo, SP, Brazil</v>
      </c>
      <c r="O141" s="71" t="str">
        <f>'Stakeholder list'!P146</f>
        <v>Grantee</v>
      </c>
      <c r="P141" s="71" t="str">
        <f>'Stakeholder list'!Q146</f>
        <v/>
      </c>
      <c r="Q141" s="71" t="str">
        <f>'Stakeholder list'!R146</f>
        <v/>
      </c>
      <c r="R141" s="71" t="str">
        <f>'Stakeholder list'!S146</f>
        <v/>
      </c>
      <c r="S141" s="71" t="str">
        <f>'Stakeholder list'!T146</f>
        <v>Supply chain and finance deforestation data/tools, forest accountability MRV platforms</v>
      </c>
      <c r="T141" s="71" t="str">
        <f>'Stakeholder list'!U146</f>
        <v/>
      </c>
      <c r="U141" s="71" t="str">
        <f>'Stakeholder list'!V146</f>
        <v/>
      </c>
      <c r="V141" s="71" t="str">
        <f>'Stakeholder list'!W146</f>
        <v/>
      </c>
      <c r="W141" s="71" t="str">
        <f>'Stakeholder list'!X146</f>
        <v/>
      </c>
    </row>
    <row r="142">
      <c r="A142" s="71">
        <f>'Stakeholder list'!B147</f>
        <v>141</v>
      </c>
      <c r="B142" s="71" t="str">
        <f>'Stakeholder list'!C147</f>
        <v>Good Energies Foundation</v>
      </c>
      <c r="C142" s="71" t="str">
        <f>'Stakeholder list'!D147</f>
        <v>Funders</v>
      </c>
      <c r="D142" s="71" t="str">
        <f>'Stakeholder list'!E147</f>
        <v>Philanthropy foundations</v>
      </c>
      <c r="E142" s="71" t="str">
        <f>'Stakeholder list'!F147</f>
        <v>Philanthropic foundation supporting climate solutions (often focused on clean energy and systemic decarbonization); provides grants to accelerate policy and market shifts toward a low-carbon economy.</v>
      </c>
      <c r="F142" s="71" t="str">
        <f>'Stakeholder list'!G147</f>
        <v>Cross-border / international</v>
      </c>
      <c r="G142" s="71" t="str">
        <f>'Stakeholder list'!H147</f>
        <v>Energy</v>
      </c>
      <c r="H142" s="71" t="str">
        <f>'Stakeholder list'!I147</f>
        <v>Amazonia</v>
      </c>
      <c r="I142" s="71" t="str">
        <f>'Stakeholder list'!J147</f>
        <v>Mata&amp;Atlântica</v>
      </c>
      <c r="J142" s="71" t="str">
        <f>'Stakeholder list'!K147</f>
        <v>No biome lens was assigned because the mapping did not identify a Brazil portfolio publicly structured by biome-specific programs.</v>
      </c>
      <c r="K142" s="71" t="str">
        <f>'Stakeholder list'!L147</f>
        <v>Funder, Strategic partner</v>
      </c>
      <c r="L142" s="71" t="str">
        <f>'Stakeholder list'!M147</f>
        <v>Upstream</v>
      </c>
      <c r="M142" s="71" t="str">
        <f>'Stakeholder list'!N147</f>
        <v>Co-funding partner</v>
      </c>
      <c r="N142" s="71" t="str">
        <f>'Stakeholder list'!O147</f>
        <v>São Paulo, SP, Brazil</v>
      </c>
      <c r="O142" s="71" t="str">
        <f>'Stakeholder list'!P147</f>
        <v>Donor</v>
      </c>
      <c r="P142" s="71" t="str">
        <f>'Stakeholder list'!Q147</f>
        <v>Johannes</v>
      </c>
      <c r="Q142" s="73" t="str">
        <f>'Stakeholder list'!R147</f>
        <v>https://www.porticus.com/what-we-do/earth/good-energies-foundation/</v>
      </c>
      <c r="R142" s="71" t="str">
        <f>'Stakeholder list'!S147</f>
        <v>Relevant co-funder for the Brazilian Amazon</v>
      </c>
      <c r="S142" s="71" t="str">
        <f>'Stakeholder list'!T147</f>
        <v>—</v>
      </c>
      <c r="T142" s="71" t="str">
        <f>'Stakeholder list'!U147</f>
        <v/>
      </c>
      <c r="U142" s="71" t="str">
        <f>'Stakeholder list'!V147</f>
        <v/>
      </c>
      <c r="V142" s="71" t="str">
        <f>'Stakeholder list'!W147</f>
        <v/>
      </c>
      <c r="W142" s="71" t="str">
        <f>'Stakeholder list'!X147</f>
        <v/>
      </c>
    </row>
    <row r="143">
      <c r="A143" s="71">
        <f>'Stakeholder list'!B148</f>
        <v>142</v>
      </c>
      <c r="B143" s="71" t="str">
        <f>'Stakeholder list'!C148</f>
        <v>Ministério do Desenvolvimento e Assistência Social, Família e Combate à Fome (MDS)</v>
      </c>
      <c r="C143" s="71" t="str">
        <f>'Stakeholder list'!D148</f>
        <v>Public sector</v>
      </c>
      <c r="D143" s="71" t="str">
        <f>'Stakeholder list'!E148</f>
        <v>Federal Government</v>
      </c>
      <c r="E143" s="71" t="str">
        <f>'Stakeholder list'!F148</f>
        <v>Federal ministry responsible for social development and income-support policies; key to a just transition by reducing poverty/inequality and integrating social protection with food security and resilience policies.</v>
      </c>
      <c r="F143" s="71" t="str">
        <f>'Stakeholder list'!G148</f>
        <v>National</v>
      </c>
      <c r="G143" s="71" t="str">
        <f>'Stakeholder list'!H148</f>
        <v>Emergency response, "Land, Food and Forest"</v>
      </c>
      <c r="H143" s="71" t="str">
        <f>'Stakeholder list'!I148</f>
        <v/>
      </c>
      <c r="I143" s="71" t="str">
        <f>'Stakeholder list'!J148</f>
        <v/>
      </c>
      <c r="J143" s="71" t="str">
        <f>'Stakeholder list'!K148</f>
        <v>No biome lens was assigned because social protection and hunger policies were national and not implemented through a biome-based targeting logic.</v>
      </c>
      <c r="K143" s="71" t="str">
        <f>'Stakeholder list'!L148</f>
        <v>Policy influence / regulation, Territorial anchor</v>
      </c>
      <c r="L143" s="71" t="str">
        <f>'Stakeholder list'!M148</f>
        <v>Upstream</v>
      </c>
      <c r="M143" s="71" t="str">
        <f>'Stakeholder list'!N148</f>
        <v>Strategic partner</v>
      </c>
      <c r="N143" s="71" t="str">
        <f>'Stakeholder list'!O148</f>
        <v>Brasília, DF, Brazil</v>
      </c>
      <c r="O143" s="71" t="str">
        <f>'Stakeholder list'!P148</f>
        <v/>
      </c>
      <c r="P143" s="71" t="str">
        <f>'Stakeholder list'!Q148</f>
        <v/>
      </c>
      <c r="Q143" s="71" t="str">
        <f>'Stakeholder list'!R148</f>
        <v/>
      </c>
      <c r="R143" s="71" t="str">
        <f>'Stakeholder list'!S148</f>
        <v/>
      </c>
      <c r="S143" s="71" t="str">
        <f>'Stakeholder list'!T148</f>
        <v>—</v>
      </c>
      <c r="T143" s="71" t="str">
        <f>'Stakeholder list'!U148</f>
        <v/>
      </c>
      <c r="U143" s="71" t="str">
        <f>'Stakeholder list'!V148</f>
        <v/>
      </c>
      <c r="V143" s="71" t="str">
        <f>'Stakeholder list'!W148</f>
        <v/>
      </c>
      <c r="W143" s="71" t="str">
        <f>'Stakeholder list'!X148</f>
        <v/>
      </c>
    </row>
    <row r="144">
      <c r="A144" s="71">
        <f>'Stakeholder list'!B149</f>
        <v>143</v>
      </c>
      <c r="B144" s="71" t="str">
        <f>'Stakeholder list'!C149</f>
        <v>Ministério da Saúde</v>
      </c>
      <c r="C144" s="71" t="str">
        <f>'Stakeholder list'!D149</f>
        <v>Public sector</v>
      </c>
      <c r="D144" s="71" t="str">
        <f>'Stakeholder list'!E149</f>
        <v>Federal Government</v>
      </c>
      <c r="E144" s="71" t="str">
        <f>'Stakeholder list'!F149</f>
        <v>Federal leadership on nutrition policy within the health system; can drive systemic transition by strengthening food and nutrition security actions, healthy diets, monitoring of nutritional outcomes, and integration of nutrition with primary health care and social policies.</v>
      </c>
      <c r="F144" s="71" t="str">
        <f>'Stakeholder list'!G149</f>
        <v>National</v>
      </c>
      <c r="G144" s="71" t="str">
        <f>'Stakeholder list'!H149</f>
        <v/>
      </c>
      <c r="H144" s="71" t="str">
        <f>'Stakeholder list'!I149</f>
        <v/>
      </c>
      <c r="I144" s="71" t="str">
        <f>'Stakeholder list'!J149</f>
        <v/>
      </c>
      <c r="J144" s="71" t="str">
        <f>'Stakeholder list'!K149</f>
        <v>No biome lens was assigned because health/nutrition policies were nationwide and were not organized or monitored by biome as a primary territorial cut.</v>
      </c>
      <c r="K144" s="71" t="str">
        <f>'Stakeholder list'!L149</f>
        <v>Policy influence / regulation</v>
      </c>
      <c r="L144" s="71" t="str">
        <f>'Stakeholder list'!M149</f>
        <v>Upstream</v>
      </c>
      <c r="M144" s="71" t="str">
        <f>'Stakeholder list'!N149</f>
        <v>Strategic partner</v>
      </c>
      <c r="N144" s="71" t="str">
        <f>'Stakeholder list'!O149</f>
        <v>Brasília, DF, Brazil</v>
      </c>
      <c r="O144" s="71" t="str">
        <f>'Stakeholder list'!P149</f>
        <v/>
      </c>
      <c r="P144" s="71" t="str">
        <f>'Stakeholder list'!Q149</f>
        <v/>
      </c>
      <c r="Q144" s="71" t="str">
        <f>'Stakeholder list'!R149</f>
        <v/>
      </c>
      <c r="R144" s="71" t="str">
        <f>'Stakeholder list'!S149</f>
        <v/>
      </c>
      <c r="S144" s="71" t="str">
        <f>'Stakeholder list'!T149</f>
        <v>—</v>
      </c>
      <c r="T144" s="71" t="str">
        <f>'Stakeholder list'!U149</f>
        <v/>
      </c>
      <c r="U144" s="71" t="str">
        <f>'Stakeholder list'!V149</f>
        <v/>
      </c>
      <c r="V144" s="71" t="str">
        <f>'Stakeholder list'!W149</f>
        <v/>
      </c>
      <c r="W144" s="71" t="str">
        <f>'Stakeholder list'!X149</f>
        <v/>
      </c>
    </row>
    <row r="145">
      <c r="A145" s="71">
        <f>'Stakeholder list'!B150</f>
        <v>144</v>
      </c>
      <c r="B145" s="71" t="str">
        <f>'Stakeholder list'!C150</f>
        <v>Conselho Nacional de Segurança Alimentar e Nutricional (CONSEA)</v>
      </c>
      <c r="C145" s="71" t="str">
        <f>'Stakeholder list'!D150</f>
        <v>Others</v>
      </c>
      <c r="D145" s="71" t="str">
        <f>'Stakeholder list'!E150</f>
        <v>Multi-stakeholder initiatives</v>
      </c>
      <c r="E145" s="71" t="str">
        <f>'Stakeholder list'!F150</f>
        <v>Multi-stakeholder councils for food and nutrition security that enable social participation, policy coordination and oversight; contribute by shaping priorities, improving governance and strengthening accountability in food systems and social protection.</v>
      </c>
      <c r="F145" s="71" t="str">
        <f>'Stakeholder list'!G150</f>
        <v>National</v>
      </c>
      <c r="G145" s="71" t="str">
        <f>'Stakeholder list'!H150</f>
        <v>Emergency response, "Land, Food and Forest"</v>
      </c>
      <c r="H145" s="71" t="str">
        <f>'Stakeholder list'!I150</f>
        <v/>
      </c>
      <c r="I145" s="71" t="str">
        <f>'Stakeholder list'!J150</f>
        <v/>
      </c>
      <c r="J145" s="71" t="str">
        <f>'Stakeholder list'!K150</f>
        <v>No biome lens was assigned because governance and oversight were national and did not correspond to a stable biome-delimited portfolio.</v>
      </c>
      <c r="K145" s="71" t="str">
        <f>'Stakeholder list'!L150</f>
        <v>Policy influence / regulation, Community legitimacy / proximate leadership</v>
      </c>
      <c r="L145" s="71" t="str">
        <f>'Stakeholder list'!M150</f>
        <v>Upstream</v>
      </c>
      <c r="M145" s="71" t="str">
        <f>'Stakeholder list'!N150</f>
        <v>Strategic partner</v>
      </c>
      <c r="N145" s="71" t="str">
        <f>'Stakeholder list'!O150</f>
        <v>Brasília, DF, Brazil</v>
      </c>
      <c r="O145" s="71" t="str">
        <f>'Stakeholder list'!P150</f>
        <v>Grantee</v>
      </c>
      <c r="P145" s="71" t="str">
        <f>'Stakeholder list'!Q150</f>
        <v/>
      </c>
      <c r="Q145" s="71" t="str">
        <f>'Stakeholder list'!R150</f>
        <v/>
      </c>
      <c r="R145" s="71" t="str">
        <f>'Stakeholder list'!S150</f>
        <v/>
      </c>
      <c r="S145" s="71" t="str">
        <f>'Stakeholder list'!T150</f>
        <v>—</v>
      </c>
      <c r="T145" s="71" t="str">
        <f>'Stakeholder list'!U150</f>
        <v/>
      </c>
      <c r="U145" s="71" t="str">
        <f>'Stakeholder list'!V150</f>
        <v/>
      </c>
      <c r="V145" s="71" t="str">
        <f>'Stakeholder list'!W150</f>
        <v/>
      </c>
      <c r="W145" s="71" t="str">
        <f>'Stakeholder list'!X150</f>
        <v/>
      </c>
    </row>
    <row r="146">
      <c r="A146" s="71">
        <f>'Stakeholder list'!B151</f>
        <v>145</v>
      </c>
      <c r="B146" s="71" t="str">
        <f>'Stakeholder list'!C151</f>
        <v>Grupo Pão de Açúcar (GPA)</v>
      </c>
      <c r="C146" s="71" t="str">
        <f>'Stakeholder list'!D151</f>
        <v>Private sector</v>
      </c>
      <c r="D146" s="71" t="str">
        <f>'Stakeholder list'!E151</f>
        <v>Private companies (large / leading)</v>
      </c>
      <c r="E146" s="71" t="str">
        <f>'Stakeholder list'!F151</f>
        <v>Major retail group; can influence systemic transition through responsible sourcing, healthier food environments, waste reduction, traceability, supplier standards and scaling sustainable products.</v>
      </c>
      <c r="F146" s="71" t="str">
        <f>'Stakeholder list'!G151</f>
        <v>National</v>
      </c>
      <c r="G146" s="71" t="str">
        <f>'Stakeholder list'!H151</f>
        <v>Buildings &amp; Transport, "Land, Food and Forest"</v>
      </c>
      <c r="H146" s="71" t="str">
        <f>'Stakeholder list'!I151</f>
        <v/>
      </c>
      <c r="I146" s="71" t="str">
        <f>'Stakeholder list'!J151</f>
        <v/>
      </c>
      <c r="J146" s="71" t="str">
        <f>'Stakeholder list'!K151</f>
        <v>No biome lens was assigned because the mapping did not identify supplier programs explicitly framed by Brazilian biomes.</v>
      </c>
      <c r="K146" s="71" t="str">
        <f>'Stakeholder list'!L151</f>
        <v>Strategic partner, Implementation capacity (delivery)</v>
      </c>
      <c r="L146" s="71" t="str">
        <f>'Stakeholder list'!M151</f>
        <v>Downstream</v>
      </c>
      <c r="M146" s="71" t="str">
        <f>'Stakeholder list'!N151</f>
        <v>Co-funding partner</v>
      </c>
      <c r="N146" s="71" t="str">
        <f>'Stakeholder list'!O151</f>
        <v>São Paulo, SP, Brazil</v>
      </c>
      <c r="O146" s="71" t="str">
        <f>'Stakeholder list'!P151</f>
        <v>Donor</v>
      </c>
      <c r="P146" s="71" t="str">
        <f>'Stakeholder list'!Q151</f>
        <v/>
      </c>
      <c r="Q146" s="71" t="str">
        <f>'Stakeholder list'!R151</f>
        <v/>
      </c>
      <c r="R146" s="71" t="str">
        <f>'Stakeholder list'!S151</f>
        <v>Relevant co-funding partner for food systems in Brazil. Helped establishes Pacto Contra a Fome organization. A CSO in charge with food system transformation in Brazil.</v>
      </c>
      <c r="S146" s="71" t="str">
        <f>'Stakeholder list'!T151</f>
        <v>—</v>
      </c>
      <c r="T146" s="71" t="str">
        <f>'Stakeholder list'!U151</f>
        <v/>
      </c>
      <c r="U146" s="71" t="str">
        <f>'Stakeholder list'!V151</f>
        <v/>
      </c>
      <c r="V146" s="71" t="str">
        <f>'Stakeholder list'!W151</f>
        <v/>
      </c>
      <c r="W146" s="71" t="str">
        <f>'Stakeholder list'!X151</f>
        <v/>
      </c>
    </row>
    <row r="147">
      <c r="A147" s="71">
        <f>'Stakeholder list'!B152</f>
        <v>146</v>
      </c>
      <c r="B147" s="71" t="str">
        <f>'Stakeholder list'!C152</f>
        <v>Assaí Atacadista</v>
      </c>
      <c r="C147" s="71" t="str">
        <f>'Stakeholder list'!D152</f>
        <v>Private sector</v>
      </c>
      <c r="D147" s="71" t="str">
        <f>'Stakeholder list'!E152</f>
        <v>Private companies (large / leading)</v>
      </c>
      <c r="E147" s="71" t="str">
        <f>'Stakeholder list'!F152</f>
        <v>Large cash-and-carry retailer; contributes via supplier engagement, responsible sourcing, food loss and waste reduction, and expanding access to affordable food with improved sustainability standards.</v>
      </c>
      <c r="F147" s="71" t="str">
        <f>'Stakeholder list'!G152</f>
        <v>National</v>
      </c>
      <c r="G147" s="71" t="str">
        <f>'Stakeholder list'!H152</f>
        <v>Buildings &amp; Transport, "Land, Food and Forest"</v>
      </c>
      <c r="H147" s="71" t="str">
        <f>'Stakeholder list'!I152</f>
        <v/>
      </c>
      <c r="I147" s="71" t="str">
        <f>'Stakeholder list'!J152</f>
        <v/>
      </c>
      <c r="J147" s="71" t="str">
        <f>'Stakeholder list'!K152</f>
        <v>No biome lens was assigned because supply initiatives were not mapped here as biome-specific programs.</v>
      </c>
      <c r="K147" s="71" t="str">
        <f>'Stakeholder list'!L152</f>
        <v>Strategic partner, Implementation capacity (delivery)</v>
      </c>
      <c r="L147" s="71" t="str">
        <f>'Stakeholder list'!M152</f>
        <v>Downstream</v>
      </c>
      <c r="M147" s="71" t="str">
        <f>'Stakeholder list'!N152</f>
        <v>Co-funding partner</v>
      </c>
      <c r="N147" s="71" t="str">
        <f>'Stakeholder list'!O152</f>
        <v>São Paulo, SP, Brazil</v>
      </c>
      <c r="O147" s="71" t="str">
        <f>'Stakeholder list'!P152</f>
        <v>Donor</v>
      </c>
      <c r="P147" s="71" t="str">
        <f>'Stakeholder list'!Q152</f>
        <v/>
      </c>
      <c r="Q147" s="71" t="str">
        <f>'Stakeholder list'!R152</f>
        <v/>
      </c>
      <c r="R147" s="71" t="str">
        <f>'Stakeholder list'!S152</f>
        <v>supermarket chain in Ceará State,. Could be a co-funding partner for food system .</v>
      </c>
      <c r="S147" s="71" t="str">
        <f>'Stakeholder list'!T152</f>
        <v>—</v>
      </c>
      <c r="T147" s="71" t="str">
        <f>'Stakeholder list'!U152</f>
        <v/>
      </c>
      <c r="U147" s="71" t="str">
        <f>'Stakeholder list'!V152</f>
        <v/>
      </c>
      <c r="V147" s="71" t="str">
        <f>'Stakeholder list'!W152</f>
        <v/>
      </c>
      <c r="W147" s="71" t="str">
        <f>'Stakeholder list'!X152</f>
        <v/>
      </c>
    </row>
    <row r="148">
      <c r="A148" s="71">
        <f>'Stakeholder list'!B153</f>
        <v>147</v>
      </c>
      <c r="B148" s="71" t="str">
        <f>'Stakeholder list'!C153</f>
        <v>Carrefour Brasil</v>
      </c>
      <c r="C148" s="71" t="str">
        <f>'Stakeholder list'!D153</f>
        <v>Private sector</v>
      </c>
      <c r="D148" s="71" t="str">
        <f>'Stakeholder list'!E153</f>
        <v>Private companies (large / leading)</v>
      </c>
      <c r="E148" s="71" t="str">
        <f>'Stakeholder list'!F153</f>
        <v>Major retailer; can drive transition through deforestation-free supply chains, traceability, healthier food offerings, food waste reduction and strong ESG governance across suppliers.</v>
      </c>
      <c r="F148" s="71" t="str">
        <f>'Stakeholder list'!G153</f>
        <v>Cross-border / international</v>
      </c>
      <c r="G148" s="71" t="str">
        <f>'Stakeholder list'!H153</f>
        <v>Buildings &amp; Transport, "Land, Food and Forest"</v>
      </c>
      <c r="H148" s="71" t="str">
        <f>'Stakeholder list'!I153</f>
        <v>Amazonia, Cerrado</v>
      </c>
      <c r="I148" s="71" t="str">
        <f>'Stakeholder list'!J153</f>
        <v/>
      </c>
      <c r="J148" s="71" t="str">
        <f>'Stakeholder list'!K153</f>
        <v>It implemented deforestation-free sourcing and traceability commitments that were publicly anchored in Amazonia and Cerrado commodity-risk supply chains.</v>
      </c>
      <c r="K148" s="71" t="str">
        <f>'Stakeholder list'!L153</f>
        <v>Strategic partner, Implementation capacity (delivery)</v>
      </c>
      <c r="L148" s="71" t="str">
        <f>'Stakeholder list'!M153</f>
        <v>Downstream</v>
      </c>
      <c r="M148" s="71" t="str">
        <f>'Stakeholder list'!N153</f>
        <v>Co-funding partner</v>
      </c>
      <c r="N148" s="71" t="str">
        <f>'Stakeholder list'!O153</f>
        <v>Barueri, SP, Brazil</v>
      </c>
      <c r="O148" s="71" t="str">
        <f>'Stakeholder list'!P153</f>
        <v>Donor</v>
      </c>
      <c r="P148" s="71" t="str">
        <f>'Stakeholder list'!Q153</f>
        <v/>
      </c>
      <c r="Q148" s="71" t="str">
        <f>'Stakeholder list'!R153</f>
        <v/>
      </c>
      <c r="R148" s="71" t="str">
        <f>'Stakeholder list'!S153</f>
        <v>supermarket chain in Ceará State. Could be a co-funding partner for the food system .</v>
      </c>
      <c r="S148" s="71" t="str">
        <f>'Stakeholder list'!T153</f>
        <v>—</v>
      </c>
      <c r="T148" s="71" t="str">
        <f>'Stakeholder list'!U153</f>
        <v/>
      </c>
      <c r="U148" s="71" t="str">
        <f>'Stakeholder list'!V153</f>
        <v/>
      </c>
      <c r="V148" s="71" t="str">
        <f>'Stakeholder list'!W153</f>
        <v/>
      </c>
      <c r="W148" s="71" t="str">
        <f>'Stakeholder list'!X153</f>
        <v/>
      </c>
    </row>
    <row r="149">
      <c r="A149" s="71">
        <f>'Stakeholder list'!B154</f>
        <v>148</v>
      </c>
      <c r="B149" s="71" t="str">
        <f>'Stakeholder list'!C154</f>
        <v>Nestlé Brasil</v>
      </c>
      <c r="C149" s="71" t="str">
        <f>'Stakeholder list'!D154</f>
        <v>Private sector</v>
      </c>
      <c r="D149" s="71" t="str">
        <f>'Stakeholder list'!E154</f>
        <v>Private companies (large / leading)</v>
      </c>
      <c r="E149" s="71" t="str">
        <f>'Stakeholder list'!F154</f>
        <v>Large food and beverage company; contributes through sustainable agriculture programs, deforestation-free sourcing, nutrition/healthier product reformulation, and emissions reduction across value chains.</v>
      </c>
      <c r="F149" s="71" t="str">
        <f>'Stakeholder list'!G154</f>
        <v>Cross-border / international</v>
      </c>
      <c r="G149" s="71" t="str">
        <f>'Stakeholder list'!H154</f>
        <v>Buildings &amp; Transport, "Land, Food and Forest"</v>
      </c>
      <c r="H149" s="71" t="str">
        <f>'Stakeholder list'!I154</f>
        <v>Cerrado</v>
      </c>
      <c r="I149" s="71" t="str">
        <f>'Stakeholder list'!J154</f>
        <v>Mata&amp;Atlântica</v>
      </c>
      <c r="J149" s="71" t="str">
        <f>'Stakeholder list'!K154</f>
        <v>No biome lens was assigned because the mapping did not confirm a consistent portfolio of initiatives explicitly delimited by Brazilian biomes.</v>
      </c>
      <c r="K149" s="71" t="str">
        <f>'Stakeholder list'!L154</f>
        <v>Strategic partner, Implementation capacity (delivery)</v>
      </c>
      <c r="L149" s="71" t="str">
        <f>'Stakeholder list'!M154</f>
        <v>Downstream</v>
      </c>
      <c r="M149" s="71" t="str">
        <f>'Stakeholder list'!N154</f>
        <v>Co-funding partner</v>
      </c>
      <c r="N149" s="71" t="str">
        <f>'Stakeholder list'!O154</f>
        <v>São Paulo, SP, Brazil</v>
      </c>
      <c r="O149" s="71" t="str">
        <f>'Stakeholder list'!P154</f>
        <v>Donor</v>
      </c>
      <c r="P149" s="71" t="str">
        <f>'Stakeholder list'!Q154</f>
        <v/>
      </c>
      <c r="Q149" s="71" t="str">
        <f>'Stakeholder list'!R154</f>
        <v/>
      </c>
      <c r="R149" s="71" t="str">
        <f>'Stakeholder list'!S154</f>
        <v>supermarket chain in Ceará State. Could be a co-funding partner for the food system .</v>
      </c>
      <c r="S149" s="71" t="str">
        <f>'Stakeholder list'!T154</f>
        <v>—</v>
      </c>
      <c r="T149" s="71" t="str">
        <f>'Stakeholder list'!U154</f>
        <v/>
      </c>
      <c r="U149" s="71" t="str">
        <f>'Stakeholder list'!V154</f>
        <v/>
      </c>
      <c r="V149" s="71" t="str">
        <f>'Stakeholder list'!W154</f>
        <v/>
      </c>
      <c r="W149" s="71" t="str">
        <f>'Stakeholder list'!X154</f>
        <v/>
      </c>
    </row>
    <row r="150">
      <c r="A150" s="71">
        <f>'Stakeholder list'!B155</f>
        <v>149</v>
      </c>
      <c r="B150" s="71" t="str">
        <f>'Stakeholder list'!C155</f>
        <v>Unilever Brasil</v>
      </c>
      <c r="C150" s="71" t="str">
        <f>'Stakeholder list'!D155</f>
        <v>Private sector</v>
      </c>
      <c r="D150" s="71" t="str">
        <f>'Stakeholder list'!E155</f>
        <v>Private companies (large / leading)</v>
      </c>
      <c r="E150" s="71" t="str">
        <f>'Stakeholder list'!F155</f>
        <v>Consumer goods company; can influence transition via sustainable sourcing, deforestation-free commodities, packaging circularity, waste reduction and supplier standards for climate and nature.</v>
      </c>
      <c r="F150" s="71" t="str">
        <f>'Stakeholder list'!G155</f>
        <v>Cross-border / international</v>
      </c>
      <c r="G150" s="71" t="str">
        <f>'Stakeholder list'!H155</f>
        <v>Buildings &amp; Transport, "Land, Food and Forest"</v>
      </c>
      <c r="H150" s="71" t="str">
        <f>'Stakeholder list'!I155</f>
        <v/>
      </c>
      <c r="I150" s="71" t="str">
        <f>'Stakeholder list'!J155</f>
        <v/>
      </c>
      <c r="J150" s="71" t="str">
        <f>'Stakeholder list'!K155</f>
        <v>No biome lens was assigned because Brazil-related initiatives were not identified here with an explicit biome cut robust enough for classification.</v>
      </c>
      <c r="K150" s="71" t="str">
        <f>'Stakeholder list'!L155</f>
        <v>Strategic partner, Implementation capacity (delivery)</v>
      </c>
      <c r="L150" s="71" t="str">
        <f>'Stakeholder list'!M155</f>
        <v>Downstream</v>
      </c>
      <c r="M150" s="71" t="str">
        <f>'Stakeholder list'!N155</f>
        <v>Co-funding partner</v>
      </c>
      <c r="N150" s="71" t="str">
        <f>'Stakeholder list'!O155</f>
        <v>São Paulo, SP, Brazil</v>
      </c>
      <c r="O150" s="71" t="str">
        <f>'Stakeholder list'!P155</f>
        <v>Donor</v>
      </c>
      <c r="P150" s="71" t="str">
        <f>'Stakeholder list'!Q155</f>
        <v/>
      </c>
      <c r="Q150" s="71" t="str">
        <f>'Stakeholder list'!R155</f>
        <v/>
      </c>
      <c r="R150" s="71" t="str">
        <f>'Stakeholder list'!S155</f>
        <v>supermarket chain in Ceará State.  Could be a co-funding partner for the food system .</v>
      </c>
      <c r="S150" s="71" t="str">
        <f>'Stakeholder list'!T155</f>
        <v>—</v>
      </c>
      <c r="T150" s="71" t="str">
        <f>'Stakeholder list'!U155</f>
        <v/>
      </c>
      <c r="U150" s="71" t="str">
        <f>'Stakeholder list'!V155</f>
        <v/>
      </c>
      <c r="V150" s="71" t="str">
        <f>'Stakeholder list'!W155</f>
        <v/>
      </c>
      <c r="W150" s="71" t="str">
        <f>'Stakeholder list'!X155</f>
        <v/>
      </c>
    </row>
    <row r="151">
      <c r="A151" s="71">
        <f>'Stakeholder list'!B156</f>
        <v>150</v>
      </c>
      <c r="B151" s="71" t="str">
        <f>'Stakeholder list'!C156</f>
        <v>Danone Brasil</v>
      </c>
      <c r="C151" s="71" t="str">
        <f>'Stakeholder list'!D156</f>
        <v>Private sector</v>
      </c>
      <c r="D151" s="71" t="str">
        <f>'Stakeholder list'!E156</f>
        <v>Private companies (large / leading)</v>
      </c>
      <c r="E151" s="71" t="str">
        <f>'Stakeholder list'!F156</f>
        <v>Food company (dairy and nutrition); contributes through regenerative agriculture, methane reduction in dairy supply chains, nutrition and health initiatives, and low-carbon operations and packaging.</v>
      </c>
      <c r="F151" s="71" t="str">
        <f>'Stakeholder list'!G156</f>
        <v>Cross-border / international</v>
      </c>
      <c r="G151" s="71" t="str">
        <f>'Stakeholder list'!H156</f>
        <v>Buildings &amp; Transport, "Land, Food and Forest"</v>
      </c>
      <c r="H151" s="71" t="str">
        <f>'Stakeholder list'!I156</f>
        <v/>
      </c>
      <c r="I151" s="71" t="str">
        <f>'Stakeholder list'!J156</f>
        <v/>
      </c>
      <c r="J151" s="71" t="str">
        <f>'Stakeholder list'!K156</f>
        <v>No biome lens was assigned because the mapping did not identify a biome-delimited set of projects or sourcing initiatives as a consistent territorial lens.</v>
      </c>
      <c r="K151" s="71" t="str">
        <f>'Stakeholder list'!L156</f>
        <v>Strategic partner, Implementation capacity (delivery)</v>
      </c>
      <c r="L151" s="71" t="str">
        <f>'Stakeholder list'!M156</f>
        <v>Downstream</v>
      </c>
      <c r="M151" s="71" t="str">
        <f>'Stakeholder list'!N156</f>
        <v>Co-funding partner</v>
      </c>
      <c r="N151" s="71" t="str">
        <f>'Stakeholder list'!O156</f>
        <v>São Paulo, SP, Brazil</v>
      </c>
      <c r="O151" s="71" t="str">
        <f>'Stakeholder list'!P156</f>
        <v>Donor</v>
      </c>
      <c r="P151" s="71" t="str">
        <f>'Stakeholder list'!Q156</f>
        <v/>
      </c>
      <c r="Q151" s="71" t="str">
        <f>'Stakeholder list'!R156</f>
        <v/>
      </c>
      <c r="R151" s="71" t="str">
        <f>'Stakeholder list'!S156</f>
        <v>supermarket chain in Ceará State. Could be a co-funding partner for the food system .</v>
      </c>
      <c r="S151" s="71" t="str">
        <f>'Stakeholder list'!T156</f>
        <v>—</v>
      </c>
      <c r="T151" s="71" t="str">
        <f>'Stakeholder list'!U156</f>
        <v/>
      </c>
      <c r="U151" s="71" t="str">
        <f>'Stakeholder list'!V156</f>
        <v/>
      </c>
      <c r="V151" s="71" t="str">
        <f>'Stakeholder list'!W156</f>
        <v/>
      </c>
      <c r="W151" s="71" t="str">
        <f>'Stakeholder list'!X156</f>
        <v/>
      </c>
    </row>
    <row r="152">
      <c r="A152" s="71">
        <f>'Stakeholder list'!B157</f>
        <v>151</v>
      </c>
      <c r="B152" s="71" t="str">
        <f>'Stakeholder list'!C157</f>
        <v>Rede PENSSAN</v>
      </c>
      <c r="C152" s="71" t="str">
        <f>'Stakeholder list'!D157</f>
        <v>Civil Society Organization (CSO)</v>
      </c>
      <c r="D152" s="71" t="str">
        <f>'Stakeholder list'!E157</f>
        <v>Monitoring, Evaluation, and Learning</v>
      </c>
      <c r="E152" s="71" t="str">
        <f>'Stakeholder list'!F157</f>
        <v>Civil society network that produces evidence and mobilizes actors around food and nutrition security in Brazil; contributes by monitoring hunger, informing public policy and strengthening accountability and social engagement.</v>
      </c>
      <c r="F152" s="71" t="str">
        <f>'Stakeholder list'!G157</f>
        <v>National</v>
      </c>
      <c r="G152" s="71" t="str">
        <f>'Stakeholder list'!H157</f>
        <v>"Land, Food and Forest"</v>
      </c>
      <c r="H152" s="71" t="str">
        <f>'Stakeholder list'!I157</f>
        <v/>
      </c>
      <c r="I152" s="71" t="str">
        <f>'Stakeholder list'!J157</f>
        <v/>
      </c>
      <c r="J152" s="71" t="str">
        <f>'Stakeholder list'!K157</f>
        <v>No biome lens was assigned because it operated through national monitoring/advocacy and was not organized around biome-delimited initiatives.</v>
      </c>
      <c r="K152" s="71" t="str">
        <f>'Stakeholder list'!L157</f>
        <v>Technical assistance / research, Data / MRV / platforms</v>
      </c>
      <c r="L152" s="71" t="str">
        <f>'Stakeholder list'!M157</f>
        <v>Upstream</v>
      </c>
      <c r="M152" s="71" t="str">
        <f>'Stakeholder list'!N157</f>
        <v>Grant recipient</v>
      </c>
      <c r="N152" s="71" t="str">
        <f>'Stakeholder list'!O157</f>
        <v>São Paulo, SP, Brazil</v>
      </c>
      <c r="O152" s="71" t="str">
        <f>'Stakeholder list'!P157</f>
        <v>Grantee</v>
      </c>
      <c r="P152" s="71" t="str">
        <f>'Stakeholder list'!Q157</f>
        <v/>
      </c>
      <c r="Q152" s="71" t="str">
        <f>'Stakeholder list'!R157</f>
        <v/>
      </c>
      <c r="R152" s="71" t="str">
        <f>'Stakeholder list'!S157</f>
        <v/>
      </c>
      <c r="S152" s="71" t="str">
        <f>'Stakeholder list'!T157</f>
        <v>Food and nutrition security monitoring, hunger indicators and policy accountability data</v>
      </c>
      <c r="T152" s="71" t="str">
        <f>'Stakeholder list'!U157</f>
        <v/>
      </c>
      <c r="U152" s="71" t="str">
        <f>'Stakeholder list'!V157</f>
        <v/>
      </c>
      <c r="V152" s="71" t="str">
        <f>'Stakeholder list'!W157</f>
        <v/>
      </c>
      <c r="W152" s="71" t="str">
        <f>'Stakeholder list'!X157</f>
        <v/>
      </c>
    </row>
    <row r="153">
      <c r="A153" s="71">
        <f>'Stakeholder list'!B158</f>
        <v>152</v>
      </c>
      <c r="B153" s="71" t="str">
        <f>'Stakeholder list'!C158</f>
        <v>Instituto Comida do Amanhã</v>
      </c>
      <c r="C153" s="71" t="str">
        <f>'Stakeholder list'!D158</f>
        <v>Civil Society Organization (CSO)</v>
      </c>
      <c r="D153" s="71" t="str">
        <f>'Stakeholder list'!E158</f>
        <v>Local implementers</v>
      </c>
      <c r="E153" s="71" t="str">
        <f>'Stakeholder list'!F158</f>
        <v>Nonprofit that promotes sustainable and healthy food systems; supports innovation, communication and multi-stakeholder initiatives to shift diets, reduce waste and strengthen sustainable value chains.</v>
      </c>
      <c r="F153" s="71" t="str">
        <f>'Stakeholder list'!G158</f>
        <v>National</v>
      </c>
      <c r="G153" s="71" t="str">
        <f>'Stakeholder list'!H158</f>
        <v>"Land, Food and Forest"</v>
      </c>
      <c r="H153" s="71" t="str">
        <f>'Stakeholder list'!I158</f>
        <v/>
      </c>
      <c r="I153" s="71" t="str">
        <f>'Stakeholder list'!J158</f>
        <v/>
      </c>
      <c r="J153" s="71" t="str">
        <f>'Stakeholder list'!K158</f>
        <v>No biome lens was assigned because its portfolio was thematic (food systems/innovation) and did not present a consistent public biome cut.</v>
      </c>
      <c r="K153" s="71" t="str">
        <f>'Stakeholder list'!L158</f>
        <v>Project developer / Implementer, Policy influence / regulation</v>
      </c>
      <c r="L153" s="71" t="str">
        <f>'Stakeholder list'!M158</f>
        <v>Midstream</v>
      </c>
      <c r="M153" s="71" t="str">
        <f>'Stakeholder list'!N158</f>
        <v>Grant recipient</v>
      </c>
      <c r="N153" s="71" t="str">
        <f>'Stakeholder list'!O158</f>
        <v>Rio de Janeiro, RJ, Brazil</v>
      </c>
      <c r="O153" s="71" t="str">
        <f>'Stakeholder list'!P158</f>
        <v>Grantee</v>
      </c>
      <c r="P153" s="71" t="str">
        <f>'Stakeholder list'!Q158</f>
        <v/>
      </c>
      <c r="Q153" s="71" t="str">
        <f>'Stakeholder list'!R158</f>
        <v/>
      </c>
      <c r="R153" s="71" t="str">
        <f>'Stakeholder list'!S158</f>
        <v>Could be a grantee  for the  food system .</v>
      </c>
      <c r="S153" s="71" t="str">
        <f>'Stakeholder list'!T158</f>
        <v>—</v>
      </c>
      <c r="T153" s="71" t="str">
        <f>'Stakeholder list'!U158</f>
        <v/>
      </c>
      <c r="U153" s="71" t="str">
        <f>'Stakeholder list'!V158</f>
        <v/>
      </c>
      <c r="V153" s="71" t="str">
        <f>'Stakeholder list'!W158</f>
        <v/>
      </c>
      <c r="W153" s="71" t="str">
        <f>'Stakeholder list'!X158</f>
        <v/>
      </c>
    </row>
    <row r="154">
      <c r="A154" s="71">
        <f>'Stakeholder list'!B159</f>
        <v>153</v>
      </c>
      <c r="B154" s="71" t="str">
        <f>'Stakeholder list'!C159</f>
        <v>EAT Foundation</v>
      </c>
      <c r="C154" s="71" t="str">
        <f>'Stakeholder list'!D159</f>
        <v>Funders</v>
      </c>
      <c r="D154" s="71" t="str">
        <f>'Stakeholder list'!E159</f>
        <v>Philanthropy foundations</v>
      </c>
      <c r="E154" s="71" t="str">
        <f>'Stakeholder list'!F159</f>
        <v>International non-profit that mobilizes science and multi-stakeholder action to transform food systems toward healthy diets within planetary boundaries; supports convening, advocacy and evidence-based agendas.</v>
      </c>
      <c r="F154" s="71" t="str">
        <f>'Stakeholder list'!G159</f>
        <v>Cross-border / international</v>
      </c>
      <c r="G154" s="71" t="str">
        <f>'Stakeholder list'!H159</f>
        <v>"Land, Food and Forest"</v>
      </c>
      <c r="H154" s="71" t="str">
        <f>'Stakeholder list'!I159</f>
        <v/>
      </c>
      <c r="I154" s="71" t="str">
        <f>'Stakeholder list'!J159</f>
        <v/>
      </c>
      <c r="J154" s="71" t="str">
        <f>'Stakeholder list'!K159</f>
        <v>No biome lens was assigned because Brazil-related work was not mapped here through a stable biome-specific portfolio.</v>
      </c>
      <c r="K154" s="71" t="str">
        <f>'Stakeholder list'!L159</f>
        <v>Technical assistance / research, Strategic partner</v>
      </c>
      <c r="L154" s="71" t="str">
        <f>'Stakeholder list'!M159</f>
        <v>Upstream</v>
      </c>
      <c r="M154" s="71" t="str">
        <f>'Stakeholder list'!N159</f>
        <v>Co-funding partner</v>
      </c>
      <c r="N154" s="71" t="str">
        <f>'Stakeholder list'!O159</f>
        <v>Oslo, Norway</v>
      </c>
      <c r="O154" s="71" t="str">
        <f>'Stakeholder list'!P159</f>
        <v>Donor</v>
      </c>
      <c r="P154" s="71" t="str">
        <f>'Stakeholder list'!Q159</f>
        <v/>
      </c>
      <c r="Q154" s="71" t="str">
        <f>'Stakeholder list'!R159</f>
        <v/>
      </c>
      <c r="R154" s="71" t="str">
        <f>'Stakeholder list'!S159</f>
        <v/>
      </c>
      <c r="S154" s="71" t="str">
        <f>'Stakeholder list'!T159</f>
        <v>—</v>
      </c>
      <c r="T154" s="71" t="str">
        <f>'Stakeholder list'!U159</f>
        <v/>
      </c>
      <c r="U154" s="71" t="str">
        <f>'Stakeholder list'!V159</f>
        <v/>
      </c>
      <c r="V154" s="71" t="str">
        <f>'Stakeholder list'!W159</f>
        <v/>
      </c>
      <c r="W154" s="71" t="str">
        <f>'Stakeholder list'!X159</f>
        <v/>
      </c>
    </row>
    <row r="155">
      <c r="A155" s="71">
        <f>'Stakeholder list'!B160</f>
        <v>154</v>
      </c>
      <c r="B155" s="71" t="str">
        <f>'Stakeholder list'!C160</f>
        <v>Programa de Sistemas Alimentares da FAO no Brasil (FAO – Food Systems Programme)</v>
      </c>
      <c r="C155" s="71" t="str">
        <f>'Stakeholder list'!D160</f>
        <v>Others</v>
      </c>
      <c r="D155" s="71" t="str">
        <f>'Stakeholder list'!E160</f>
        <v>Multilateral organizations</v>
      </c>
      <c r="E155" s="71" t="str">
        <f>'Stakeholder list'!F160</f>
        <v>FAO programmatic platform supporting countries to design and implement food systems transformation, including policy support, data, capacity building and partnerships for sustainable agrifood systems.</v>
      </c>
      <c r="F155" s="71" t="str">
        <f>'Stakeholder list'!G160</f>
        <v>National</v>
      </c>
      <c r="G155" s="71" t="str">
        <f>'Stakeholder list'!H160</f>
        <v>"Land, Food and Forest"</v>
      </c>
      <c r="H155" s="71" t="str">
        <f>'Stakeholder list'!I160</f>
        <v/>
      </c>
      <c r="I155" s="71" t="str">
        <f>'Stakeholder list'!J160</f>
        <v/>
      </c>
      <c r="J155" s="71" t="str">
        <f>'Stakeholder list'!K160</f>
        <v>No biome lens was assigned because the program operated nationally and the mapping did not isolate biome-delimited program lines as a consistent territorial lens.</v>
      </c>
      <c r="K155" s="71" t="str">
        <f>'Stakeholder list'!L160</f>
        <v>Strategic partner, Convenor/enablers, Technical assistance / research</v>
      </c>
      <c r="L155" s="71" t="str">
        <f>'Stakeholder list'!M160</f>
        <v>Midstream</v>
      </c>
      <c r="M155" s="71" t="str">
        <f>'Stakeholder list'!N160</f>
        <v>Strategic partner</v>
      </c>
      <c r="N155" s="71" t="str">
        <f>'Stakeholder list'!O160</f>
        <v>Brasília, DF, Brazil</v>
      </c>
      <c r="O155" s="71" t="str">
        <f>'Stakeholder list'!P160</f>
        <v>Grantee</v>
      </c>
      <c r="P155" s="71" t="str">
        <f>'Stakeholder list'!Q160</f>
        <v/>
      </c>
      <c r="Q155" s="71" t="str">
        <f>'Stakeholder list'!R160</f>
        <v/>
      </c>
      <c r="R155" s="71" t="str">
        <f>'Stakeholder list'!S160</f>
        <v>Relevant partner for food systems in Brazil.</v>
      </c>
      <c r="S155" s="71" t="str">
        <f>'Stakeholder list'!T160</f>
        <v>—</v>
      </c>
      <c r="T155" s="71" t="str">
        <f>'Stakeholder list'!U160</f>
        <v/>
      </c>
      <c r="U155" s="71" t="str">
        <f>'Stakeholder list'!V160</f>
        <v/>
      </c>
      <c r="V155" s="71" t="str">
        <f>'Stakeholder list'!W160</f>
        <v/>
      </c>
      <c r="W155" s="71" t="str">
        <f>'Stakeholder list'!X160</f>
        <v/>
      </c>
    </row>
    <row r="156">
      <c r="A156" s="71">
        <f>'Stakeholder list'!B161</f>
        <v>155</v>
      </c>
      <c r="B156" s="71" t="str">
        <f>'Stakeholder list'!C161</f>
        <v>Serviço Florestal Brasileiro (SFB)</v>
      </c>
      <c r="C156" s="71" t="str">
        <f>'Stakeholder list'!D161</f>
        <v>Public sector</v>
      </c>
      <c r="D156" s="71" t="str">
        <f>'Stakeholder list'!E161</f>
        <v>Monitoring, Evaluation, and Learning</v>
      </c>
      <c r="E156" s="71" t="str">
        <f>'Stakeholder list'!F161</f>
        <v>Federal agency focused on forest governance; contributes via forest information systems, public forest management, concessions frameworks and policies that support sustainable forest use and conservation.</v>
      </c>
      <c r="F156" s="71" t="str">
        <f>'Stakeholder list'!G161</f>
        <v>National</v>
      </c>
      <c r="G156" s="71" t="str">
        <f>'Stakeholder list'!H161</f>
        <v>"Land, Food and Forest"</v>
      </c>
      <c r="H156" s="71" t="str">
        <f>'Stakeholder list'!I161</f>
        <v>Amazonia, Cerrado</v>
      </c>
      <c r="I156" s="71" t="str">
        <f>'Stakeholder list'!J161</f>
        <v>Mata&amp;Atlântica</v>
      </c>
      <c r="J156" s="71" t="str">
        <f>'Stakeholder list'!K161</f>
        <v>It managed public forest governance and concession frameworks that were most visibly associated with Amazonia, while its forest information and management instruments were also applicable to other forest biomes.</v>
      </c>
      <c r="K156" s="71" t="str">
        <f>'Stakeholder list'!L161</f>
        <v>Policy influence / regulation, Data / MRV / platforms</v>
      </c>
      <c r="L156" s="71" t="str">
        <f>'Stakeholder list'!M161</f>
        <v>Upstream</v>
      </c>
      <c r="M156" s="71" t="str">
        <f>'Stakeholder list'!N161</f>
        <v>Strategic partner</v>
      </c>
      <c r="N156" s="71" t="str">
        <f>'Stakeholder list'!O161</f>
        <v>Brasília, DF, Brazil</v>
      </c>
      <c r="O156" s="71" t="str">
        <f>'Stakeholder list'!P161</f>
        <v/>
      </c>
      <c r="P156" s="71" t="str">
        <f>'Stakeholder list'!Q161</f>
        <v/>
      </c>
      <c r="Q156" s="71" t="str">
        <f>'Stakeholder list'!R161</f>
        <v/>
      </c>
      <c r="R156" s="71" t="str">
        <f>'Stakeholder list'!S161</f>
        <v/>
      </c>
      <c r="S156" s="71" t="str">
        <f>'Stakeholder list'!T161</f>
        <v>Forest information systems (SFB/SNIF), public forest monitoring and management data</v>
      </c>
      <c r="T156" s="71" t="str">
        <f>'Stakeholder list'!U161</f>
        <v/>
      </c>
      <c r="U156" s="71" t="str">
        <f>'Stakeholder list'!V161</f>
        <v/>
      </c>
      <c r="V156" s="71" t="str">
        <f>'Stakeholder list'!W161</f>
        <v/>
      </c>
      <c r="W156" s="71" t="str">
        <f>'Stakeholder list'!X161</f>
        <v/>
      </c>
    </row>
    <row r="157">
      <c r="A157" s="71">
        <f>'Stakeholder list'!B162</f>
        <v>156</v>
      </c>
      <c r="B157" s="71" t="str">
        <f>'Stakeholder list'!C162</f>
        <v>Klabin</v>
      </c>
      <c r="C157" s="71" t="str">
        <f>'Stakeholder list'!D162</f>
        <v>Private sector</v>
      </c>
      <c r="D157" s="71" t="str">
        <f>'Stakeholder list'!E162</f>
        <v>Private companies (large / leading)</v>
      </c>
      <c r="E157" s="71" t="str">
        <f>'Stakeholder list'!F162</f>
        <v>Integrated forestry, pulp and paper company; contributes through sustainable forest management, restoration, low-carbon products, traceability and biodiversity protection in managed landscapes.</v>
      </c>
      <c r="F157" s="71" t="str">
        <f>'Stakeholder list'!G162</f>
        <v>National</v>
      </c>
      <c r="G157" s="71" t="str">
        <f>'Stakeholder list'!H162</f>
        <v>Buildings &amp; Transport, Energy, "Land, Food and Forest"</v>
      </c>
      <c r="H157" s="71" t="str">
        <f>'Stakeholder list'!I162</f>
        <v>Cerrado</v>
      </c>
      <c r="I157" s="71" t="str">
        <f>'Stakeholder list'!J162</f>
        <v>Mata&amp;Atlântica</v>
      </c>
      <c r="J157" s="71" t="str">
        <f>'Stakeholder list'!K162</f>
        <v>It operated forestry and industrial landscapes predominantly in the Atlantic Forest domain and reported sustainability/restoration efforts tied to these managed territories.</v>
      </c>
      <c r="K157" s="71" t="str">
        <f>'Stakeholder list'!L162</f>
        <v>Strategic partner, Implementation capacity (delivery)</v>
      </c>
      <c r="L157" s="71" t="str">
        <f>'Stakeholder list'!M162</f>
        <v>Downstream</v>
      </c>
      <c r="M157" s="71" t="str">
        <f>'Stakeholder list'!N162</f>
        <v>Co-funding partner</v>
      </c>
      <c r="N157" s="71" t="str">
        <f>'Stakeholder list'!O162</f>
        <v>São Paulo, SP, Brazil</v>
      </c>
      <c r="O157" s="71" t="str">
        <f>'Stakeholder list'!P162</f>
        <v>Donor</v>
      </c>
      <c r="P157" s="71" t="str">
        <f>'Stakeholder list'!Q162</f>
        <v/>
      </c>
      <c r="Q157" s="71" t="str">
        <f>'Stakeholder list'!R162</f>
        <v/>
      </c>
      <c r="R157" s="71" t="str">
        <f>'Stakeholder list'!S162</f>
        <v/>
      </c>
      <c r="S157" s="71" t="str">
        <f>'Stakeholder list'!T162</f>
        <v>—</v>
      </c>
      <c r="T157" s="71" t="str">
        <f>'Stakeholder list'!U162</f>
        <v/>
      </c>
      <c r="U157" s="71" t="str">
        <f>'Stakeholder list'!V162</f>
        <v/>
      </c>
      <c r="V157" s="71" t="str">
        <f>'Stakeholder list'!W162</f>
        <v/>
      </c>
      <c r="W157" s="71" t="str">
        <f>'Stakeholder list'!X162</f>
        <v/>
      </c>
    </row>
    <row r="158">
      <c r="A158" s="71">
        <f>'Stakeholder list'!B163</f>
        <v>157</v>
      </c>
      <c r="B158" s="71" t="str">
        <f>'Stakeholder list'!C163</f>
        <v>Bracell</v>
      </c>
      <c r="C158" s="71" t="str">
        <f>'Stakeholder list'!D163</f>
        <v>Private sector</v>
      </c>
      <c r="D158" s="71" t="str">
        <f>'Stakeholder list'!E163</f>
        <v>Private companies (large / leading)</v>
      </c>
      <c r="E158" s="71" t="str">
        <f>'Stakeholder list'!F163</f>
        <v>Pulp producer; can support systemic transition via sustainable forestry, restoration, responsible land-use governance, and decarbonization of industrial processes and logistics.</v>
      </c>
      <c r="F158" s="71" t="str">
        <f>'Stakeholder list'!G163</f>
        <v>Cross-border / international</v>
      </c>
      <c r="G158" s="71" t="str">
        <f>'Stakeholder list'!H163</f>
        <v>Buildings &amp; Transport, "Land, Food and Forest"</v>
      </c>
      <c r="H158" s="71" t="str">
        <f>'Stakeholder list'!I163</f>
        <v>Cerrado</v>
      </c>
      <c r="I158" s="71" t="str">
        <f>'Stakeholder list'!J163</f>
        <v/>
      </c>
      <c r="J158" s="71" t="str">
        <f>'Stakeholder list'!K163</f>
        <v>It operated forestry/industrial assets in areas where Mata Atlântica predominated and it maintained relevant interfaces with Cerrado landscapes through plantations, sourcing and territorial footprints in the Southeast/Northeast.</v>
      </c>
      <c r="K158" s="71" t="str">
        <f>'Stakeholder list'!L163</f>
        <v>Implementation capacity (delivery)</v>
      </c>
      <c r="L158" s="71" t="str">
        <f>'Stakeholder list'!M163</f>
        <v>Downstream</v>
      </c>
      <c r="M158" s="71" t="str">
        <f>'Stakeholder list'!N163</f>
        <v>Co-funding partner</v>
      </c>
      <c r="N158" s="71" t="str">
        <f>'Stakeholder list'!O163</f>
        <v>São Paulo, SP, Brazil</v>
      </c>
      <c r="O158" s="71" t="str">
        <f>'Stakeholder list'!P163</f>
        <v>Donor</v>
      </c>
      <c r="P158" s="71" t="str">
        <f>'Stakeholder list'!Q163</f>
        <v/>
      </c>
      <c r="Q158" s="71" t="str">
        <f>'Stakeholder list'!R163</f>
        <v/>
      </c>
      <c r="R158" s="71" t="str">
        <f>'Stakeholder list'!S163</f>
        <v/>
      </c>
      <c r="S158" s="71" t="str">
        <f>'Stakeholder list'!T163</f>
        <v>—</v>
      </c>
      <c r="T158" s="71" t="str">
        <f>'Stakeholder list'!U163</f>
        <v/>
      </c>
      <c r="U158" s="71" t="str">
        <f>'Stakeholder list'!V163</f>
        <v/>
      </c>
      <c r="V158" s="71" t="str">
        <f>'Stakeholder list'!W163</f>
        <v/>
      </c>
      <c r="W158" s="71" t="str">
        <f>'Stakeholder list'!X163</f>
        <v/>
      </c>
    </row>
    <row r="159">
      <c r="A159" s="71">
        <f>'Stakeholder list'!B164</f>
        <v>158</v>
      </c>
      <c r="B159" s="71" t="str">
        <f>'Stakeholder list'!C164</f>
        <v>Dexco</v>
      </c>
      <c r="C159" s="71" t="str">
        <f>'Stakeholder list'!D164</f>
        <v>Private sector</v>
      </c>
      <c r="D159" s="71" t="str">
        <f>'Stakeholder list'!E164</f>
        <v>Private companies (large / leading)</v>
      </c>
      <c r="E159" s="71" t="str">
        <f>'Stakeholder list'!F164</f>
        <v>Building materials and wood-based products company; contributes through sustainable forestry inputs, lower-carbon materials, circularity, and responsible sourcing/traceability.</v>
      </c>
      <c r="F159" s="71" t="str">
        <f>'Stakeholder list'!G164</f>
        <v>National</v>
      </c>
      <c r="G159" s="71" t="str">
        <f>'Stakeholder list'!H164</f>
        <v>Buildings &amp; Transport, "Land, Food and Forest"</v>
      </c>
      <c r="H159" s="71" t="str">
        <f>'Stakeholder list'!I164</f>
        <v/>
      </c>
      <c r="I159" s="71" t="str">
        <f>'Stakeholder list'!J164</f>
        <v/>
      </c>
      <c r="J159" s="71" t="str">
        <f>'Stakeholder list'!K164</f>
        <v>No biome lens was assigned because the mapping did not confirm a consistent set of publicly identifiable biome-targeted projects beyond general responsible sourcing.</v>
      </c>
      <c r="K159" s="71" t="str">
        <f>'Stakeholder list'!L164</f>
        <v>Implementation capacity (delivery)</v>
      </c>
      <c r="L159" s="71" t="str">
        <f>'Stakeholder list'!M164</f>
        <v>Downstream</v>
      </c>
      <c r="M159" s="71" t="str">
        <f>'Stakeholder list'!N164</f>
        <v>Co-funding partner</v>
      </c>
      <c r="N159" s="71" t="str">
        <f>'Stakeholder list'!O164</f>
        <v>São Paulo, SP, Brazil</v>
      </c>
      <c r="O159" s="71" t="str">
        <f>'Stakeholder list'!P164</f>
        <v>Donor</v>
      </c>
      <c r="P159" s="71" t="str">
        <f>'Stakeholder list'!Q164</f>
        <v/>
      </c>
      <c r="Q159" s="71" t="str">
        <f>'Stakeholder list'!R164</f>
        <v/>
      </c>
      <c r="R159" s="71" t="str">
        <f>'Stakeholder list'!S164</f>
        <v/>
      </c>
      <c r="S159" s="71" t="str">
        <f>'Stakeholder list'!T164</f>
        <v>—</v>
      </c>
      <c r="T159" s="71" t="str">
        <f>'Stakeholder list'!U164</f>
        <v/>
      </c>
      <c r="U159" s="71" t="str">
        <f>'Stakeholder list'!V164</f>
        <v/>
      </c>
      <c r="V159" s="71" t="str">
        <f>'Stakeholder list'!W164</f>
        <v/>
      </c>
      <c r="W159" s="71" t="str">
        <f>'Stakeholder list'!X164</f>
        <v/>
      </c>
    </row>
    <row r="160">
      <c r="A160" s="71">
        <f>'Stakeholder list'!B165</f>
        <v>159</v>
      </c>
      <c r="B160" s="71" t="str">
        <f>'Stakeholder list'!C165</f>
        <v>Suzano Ventures</v>
      </c>
      <c r="C160" s="71" t="str">
        <f>'Stakeholder list'!D165</f>
        <v>Private sector</v>
      </c>
      <c r="D160" s="71" t="str">
        <f>'Stakeholder list'!E165</f>
        <v>Impact investors</v>
      </c>
      <c r="E160" s="71" t="str">
        <f>'Stakeholder list'!F165</f>
        <v>Corporate venture capital arm; can accelerate transition by investing in and scaling innovations in bioeconomy, sustainable materials, decarbonization and nature-positive solutions.</v>
      </c>
      <c r="F160" s="71" t="str">
        <f>'Stakeholder list'!G165</f>
        <v>National</v>
      </c>
      <c r="G160" s="71" t="str">
        <f>'Stakeholder list'!H165</f>
        <v>Buildings &amp; Transport, Energy, "Land, Food and Forest"</v>
      </c>
      <c r="H160" s="71" t="str">
        <f>'Stakeholder list'!I165</f>
        <v/>
      </c>
      <c r="I160" s="71" t="str">
        <f>'Stakeholder list'!J165</f>
        <v/>
      </c>
      <c r="J160" s="71" t="str">
        <f>'Stakeholder list'!K165</f>
        <v>No biome lens was assigned because investment theses were thematic/technology-based and were not reported as a biome-delimited operational portfolio.</v>
      </c>
      <c r="K160" s="71" t="str">
        <f>'Stakeholder list'!L165</f>
        <v>Capital provider / Financial intermediary</v>
      </c>
      <c r="L160" s="71" t="str">
        <f>'Stakeholder list'!M165</f>
        <v>Midstream</v>
      </c>
      <c r="M160" s="71" t="str">
        <f>'Stakeholder list'!N165</f>
        <v>Co-funding partner</v>
      </c>
      <c r="N160" s="71" t="str">
        <f>'Stakeholder list'!O165</f>
        <v>São Paulo, SP, Brazil</v>
      </c>
      <c r="O160" s="71" t="str">
        <f>'Stakeholder list'!P165</f>
        <v>Re-granter</v>
      </c>
      <c r="P160" s="71" t="str">
        <f>'Stakeholder list'!Q165</f>
        <v/>
      </c>
      <c r="Q160" s="71" t="str">
        <f>'Stakeholder list'!R165</f>
        <v/>
      </c>
      <c r="R160" s="71" t="str">
        <f>'Stakeholder list'!S165</f>
        <v/>
      </c>
      <c r="S160" s="71" t="str">
        <f>'Stakeholder list'!T165</f>
        <v>—</v>
      </c>
      <c r="T160" s="71" t="str">
        <f>'Stakeholder list'!U165</f>
        <v/>
      </c>
      <c r="U160" s="71" t="str">
        <f>'Stakeholder list'!V165</f>
        <v/>
      </c>
      <c r="V160" s="71" t="str">
        <f>'Stakeholder list'!W165</f>
        <v/>
      </c>
      <c r="W160" s="71" t="str">
        <f>'Stakeholder list'!X165</f>
        <v/>
      </c>
    </row>
    <row r="161">
      <c r="A161" s="71">
        <f>'Stakeholder list'!B166</f>
        <v>160</v>
      </c>
      <c r="B161" s="71" t="str">
        <f>'Stakeholder list'!C166</f>
        <v>Rainforest Alliance</v>
      </c>
      <c r="C161" s="71" t="str">
        <f>'Stakeholder list'!D166</f>
        <v>Civil Society Organization (CSO)</v>
      </c>
      <c r="D161" s="71" t="str">
        <f>'Stakeholder list'!E166</f>
        <v>Alliances </v>
      </c>
      <c r="E161" s="71" t="str">
        <f>'Stakeholder list'!F166</f>
        <v>International NGO that works to conserve forests and biodiversity and improve livelihoods by transforming land-use supply chains through standards/certification, traceability, technical assistance and partnerships.</v>
      </c>
      <c r="F161" s="71" t="str">
        <f>'Stakeholder list'!G166</f>
        <v>Cross-border / international</v>
      </c>
      <c r="G161" s="71" t="str">
        <f>'Stakeholder list'!H166</f>
        <v>"Land, Food and Forest"</v>
      </c>
      <c r="H161" s="71" t="str">
        <f>'Stakeholder list'!I166</f>
        <v>Amazonia, Cerrado</v>
      </c>
      <c r="I161" s="71" t="str">
        <f>'Stakeholder list'!J166</f>
        <v>Mata&amp;Atlântica</v>
      </c>
      <c r="J161" s="71" t="str">
        <f>'Stakeholder list'!K166</f>
        <v>It operated certification and supply-chain transformation that were commonly linked to forest-risk commodities and landscapes in Amazonia and Mata Atlântica, and it also covered Cerrado-linked agricultural supply chains through standards and verification.</v>
      </c>
      <c r="K161" s="71" t="str">
        <f>'Stakeholder list'!L166</f>
        <v>Technical assistance / research, Project developer / Implementer</v>
      </c>
      <c r="L161" s="71" t="str">
        <f>'Stakeholder list'!M166</f>
        <v>Midstream</v>
      </c>
      <c r="M161" s="71" t="str">
        <f>'Stakeholder list'!N166</f>
        <v>Grant recipient</v>
      </c>
      <c r="N161" s="71" t="str">
        <f>'Stakeholder list'!O166</f>
        <v>São Paulo, SP, Brazil</v>
      </c>
      <c r="O161" s="71" t="str">
        <f>'Stakeholder list'!P166</f>
        <v>Grantee</v>
      </c>
      <c r="P161" s="71" t="str">
        <f>'Stakeholder list'!Q166</f>
        <v/>
      </c>
      <c r="Q161" s="71" t="str">
        <f>'Stakeholder list'!R166</f>
        <v/>
      </c>
      <c r="R161" s="71" t="str">
        <f>'Stakeholder list'!S166</f>
        <v/>
      </c>
      <c r="S161" s="71" t="str">
        <f>'Stakeholder list'!T166</f>
        <v>—</v>
      </c>
      <c r="T161" s="71" t="str">
        <f>'Stakeholder list'!U166</f>
        <v/>
      </c>
      <c r="U161" s="71" t="str">
        <f>'Stakeholder list'!V166</f>
        <v/>
      </c>
      <c r="V161" s="71" t="str">
        <f>'Stakeholder list'!W166</f>
        <v/>
      </c>
      <c r="W161" s="71" t="str">
        <f>'Stakeholder list'!X166</f>
        <v/>
      </c>
    </row>
    <row r="162">
      <c r="A162" s="71">
        <f>'Stakeholder list'!B167</f>
        <v>161</v>
      </c>
      <c r="B162" s="71" t="str">
        <f>'Stakeholder list'!C167</f>
        <v>Forest Trends</v>
      </c>
      <c r="C162" s="71" t="str">
        <f>'Stakeholder list'!D167</f>
        <v>Civil Society Organization (CSO)</v>
      </c>
      <c r="D162" s="71" t="str">
        <f>'Stakeholder list'!E167</f>
        <v>Monitoring, Evaluation, and Learning</v>
      </c>
      <c r="E162" s="71" t="str">
        <f>'Stakeholder list'!F167</f>
        <v>Non-profit organization that generates data and analysis on forests, ecosystem services and finance, supporting transparency and better market/policy mechanisms to reduce deforestation and scale nature-positive investment.</v>
      </c>
      <c r="F162" s="71" t="str">
        <f>'Stakeholder list'!G167</f>
        <v>Cross-border / international</v>
      </c>
      <c r="G162" s="71" t="str">
        <f>'Stakeholder list'!H167</f>
        <v>"Land, Food and Forest"</v>
      </c>
      <c r="H162" s="71" t="str">
        <f>'Stakeholder list'!I167</f>
        <v>Amazonia, Cerrado</v>
      </c>
      <c r="I162" s="71" t="str">
        <f>'Stakeholder list'!J167</f>
        <v/>
      </c>
      <c r="J162" s="71" t="str">
        <f>'Stakeholder list'!K167</f>
        <v>It produced deforestation and forest-finance transparency work that, in Brazil, was most consistently framed around Amazonia and Cerrado commodity frontiers.</v>
      </c>
      <c r="K162" s="71" t="str">
        <f>'Stakeholder list'!L167</f>
        <v>Technical assistance / research, Policy influence / regulation</v>
      </c>
      <c r="L162" s="71" t="str">
        <f>'Stakeholder list'!M167</f>
        <v>Midstream</v>
      </c>
      <c r="M162" s="71" t="str">
        <f>'Stakeholder list'!N167</f>
        <v>Grant recipient</v>
      </c>
      <c r="N162" s="71" t="str">
        <f>'Stakeholder list'!O167</f>
        <v>Washington, DC, USA</v>
      </c>
      <c r="O162" s="71" t="str">
        <f>'Stakeholder list'!P167</f>
        <v>Grantee</v>
      </c>
      <c r="P162" s="71" t="str">
        <f>'Stakeholder list'!Q167</f>
        <v/>
      </c>
      <c r="Q162" s="71" t="str">
        <f>'Stakeholder list'!R167</f>
        <v/>
      </c>
      <c r="R162" s="71" t="str">
        <f>'Stakeholder list'!S167</f>
        <v/>
      </c>
      <c r="S162" s="71" t="str">
        <f>'Stakeholder list'!T167</f>
        <v>Forest finance and ecosystem services data, market transparency and MRV for nature-based outcomes</v>
      </c>
      <c r="T162" s="71" t="str">
        <f>'Stakeholder list'!U167</f>
        <v/>
      </c>
      <c r="U162" s="71" t="str">
        <f>'Stakeholder list'!V167</f>
        <v/>
      </c>
      <c r="V162" s="71" t="str">
        <f>'Stakeholder list'!W167</f>
        <v/>
      </c>
      <c r="W162" s="71" t="str">
        <f>'Stakeholder list'!X167</f>
        <v/>
      </c>
    </row>
    <row r="163">
      <c r="A163" s="71">
        <f>'Stakeholder list'!B168</f>
        <v>162</v>
      </c>
      <c r="B163" s="71" t="str">
        <f>'Stakeholder list'!C168</f>
        <v>Earth Innovation Institute</v>
      </c>
      <c r="C163" s="71" t="str">
        <f>'Stakeholder list'!D168</f>
        <v>Civil Society Organization (CSO)</v>
      </c>
      <c r="D163" s="71" t="str">
        <f>'Stakeholder list'!E168</f>
        <v>Think tanks</v>
      </c>
      <c r="E163" s="71" t="str">
        <f>'Stakeholder list'!F168</f>
        <v>Non-profit research and innovation institute focused on reducing deforestation and accelerating low-carbon rural development through policy support, territorial strategies and partnerships with governments, producers and civil society.</v>
      </c>
      <c r="F163" s="71" t="str">
        <f>'Stakeholder list'!G168</f>
        <v>Cross-border / international</v>
      </c>
      <c r="G163" s="71" t="str">
        <f>'Stakeholder list'!H168</f>
        <v>"Land, Food and Forest"</v>
      </c>
      <c r="H163" s="71" t="str">
        <f>'Stakeholder list'!I168</f>
        <v>Amazonia, Cerrado</v>
      </c>
      <c r="I163" s="71" t="str">
        <f>'Stakeholder list'!J168</f>
        <v/>
      </c>
      <c r="J163" s="71" t="str">
        <f>'Stakeholder list'!K168</f>
        <v>It implemented deforestation-reduction and rural low-carbon strategies centered on Amazonia and it also worked on transition dynamics in the Amazonia–Cerrado interface.</v>
      </c>
      <c r="K163" s="71" t="str">
        <f>'Stakeholder list'!L168</f>
        <v>Technical assistance / research, Policy influence / regulation</v>
      </c>
      <c r="L163" s="71" t="str">
        <f>'Stakeholder list'!M168</f>
        <v>Upstream</v>
      </c>
      <c r="M163" s="71" t="str">
        <f>'Stakeholder list'!N168</f>
        <v>Grant recipient</v>
      </c>
      <c r="N163" s="71" t="str">
        <f>'Stakeholder list'!O168</f>
        <v>São Paulo, SP, Brazil</v>
      </c>
      <c r="O163" s="71" t="str">
        <f>'Stakeholder list'!P168</f>
        <v>Grantee</v>
      </c>
      <c r="P163" s="71" t="str">
        <f>'Stakeholder list'!Q168</f>
        <v/>
      </c>
      <c r="Q163" s="71" t="str">
        <f>'Stakeholder list'!R168</f>
        <v/>
      </c>
      <c r="R163" s="71" t="str">
        <f>'Stakeholder list'!S168</f>
        <v/>
      </c>
      <c r="S163" s="71" t="str">
        <f>'Stakeholder list'!T168</f>
        <v>—</v>
      </c>
      <c r="T163" s="71" t="str">
        <f>'Stakeholder list'!U168</f>
        <v/>
      </c>
      <c r="U163" s="71" t="str">
        <f>'Stakeholder list'!V168</f>
        <v/>
      </c>
      <c r="V163" s="71" t="str">
        <f>'Stakeholder list'!W168</f>
        <v/>
      </c>
      <c r="W163" s="71" t="str">
        <f>'Stakeholder list'!X168</f>
        <v/>
      </c>
    </row>
    <row r="164">
      <c r="A164" s="71">
        <f>'Stakeholder list'!B169</f>
        <v>163</v>
      </c>
      <c r="B164" s="71" t="str">
        <f>'Stakeholder list'!C169</f>
        <v>Bezos Earth Fund</v>
      </c>
      <c r="C164" s="71" t="str">
        <f>'Stakeholder list'!D169</f>
        <v>Funders</v>
      </c>
      <c r="D164" s="71" t="str">
        <f>'Stakeholder list'!E169</f>
        <v>Philanthropy foundations</v>
      </c>
      <c r="E164" s="71" t="str">
        <f>'Stakeholder list'!F169</f>
        <v>Philanthropic fund that provides large-scale grants to address climate change and protect nature, supporting high-impact initiatives across mitigation, conservation and environmental justice.</v>
      </c>
      <c r="F164" s="71" t="str">
        <f>'Stakeholder list'!G169</f>
        <v>Cross-border / international</v>
      </c>
      <c r="G164" s="71" t="str">
        <f>'Stakeholder list'!H169</f>
        <v>Buildings &amp; Transport, Emergency response, Energy, "Land, Food and Forest"</v>
      </c>
      <c r="H164" s="71" t="str">
        <f>'Stakeholder list'!I169</f>
        <v/>
      </c>
      <c r="I164" s="71" t="str">
        <f>'Stakeholder list'!J169</f>
        <v/>
      </c>
      <c r="J164" s="71" t="str">
        <f>'Stakeholder list'!K169</f>
        <v>No biome lens was assigned because the mapping did not confirm a Brazil grant portfolio explicitly structured by biome-specific initiatives.</v>
      </c>
      <c r="K164" s="71" t="str">
        <f>'Stakeholder list'!L169</f>
        <v>Funder, Strategic partner</v>
      </c>
      <c r="L164" s="71" t="str">
        <f>'Stakeholder list'!M169</f>
        <v>Upstream</v>
      </c>
      <c r="M164" s="71" t="str">
        <f>'Stakeholder list'!N169</f>
        <v>Co-funding partner</v>
      </c>
      <c r="N164" s="71" t="str">
        <f>'Stakeholder list'!O169</f>
        <v>Seattle, WA, USA</v>
      </c>
      <c r="O164" s="71" t="str">
        <f>'Stakeholder list'!P169</f>
        <v>Donor</v>
      </c>
      <c r="P164" s="71" t="str">
        <f>'Stakeholder list'!Q169</f>
        <v/>
      </c>
      <c r="Q164" s="71" t="str">
        <f>'Stakeholder list'!R169</f>
        <v/>
      </c>
      <c r="R164" s="71" t="str">
        <f>'Stakeholder list'!S169</f>
        <v/>
      </c>
      <c r="S164" s="71" t="str">
        <f>'Stakeholder list'!T169</f>
        <v>—</v>
      </c>
      <c r="T164" s="71" t="str">
        <f>'Stakeholder list'!U169</f>
        <v/>
      </c>
      <c r="U164" s="71" t="str">
        <f>'Stakeholder list'!V169</f>
        <v/>
      </c>
      <c r="V164" s="71" t="str">
        <f>'Stakeholder list'!W169</f>
        <v/>
      </c>
      <c r="W164" s="71" t="str">
        <f>'Stakeholder list'!X169</f>
        <v/>
      </c>
    </row>
    <row r="165">
      <c r="A165" s="71">
        <f>'Stakeholder list'!B170</f>
        <v>164</v>
      </c>
      <c r="B165" s="71" t="str">
        <f>'Stakeholder list'!C170</f>
        <v>Bloomberg Philanthropies</v>
      </c>
      <c r="C165" s="71" t="str">
        <f>'Stakeholder list'!D170</f>
        <v>Funders</v>
      </c>
      <c r="D165" s="71" t="str">
        <f>'Stakeholder list'!E170</f>
        <v>Philanthropy foundations</v>
      </c>
      <c r="E165" s="71" t="str">
        <f>'Stakeholder list'!F170</f>
        <v>Philanthropic organization that funds public health, cities, climate and governance initiatives; supports coalitions and policy implementation to accelerate decarbonization and improve urban resilience.</v>
      </c>
      <c r="F165" s="71" t="str">
        <f>'Stakeholder list'!G170</f>
        <v>Cross-border / international</v>
      </c>
      <c r="G165" s="71" t="str">
        <f>'Stakeholder list'!H170</f>
        <v>Buildings &amp; Transport, Emergency response, Energy, "Land, Food and Forest"</v>
      </c>
      <c r="H165" s="71" t="str">
        <f>'Stakeholder list'!I170</f>
        <v/>
      </c>
      <c r="I165" s="71" t="str">
        <f>'Stakeholder list'!J170</f>
        <v/>
      </c>
      <c r="J165" s="71" t="str">
        <f>'Stakeholder list'!K170</f>
        <v>No biome lens was assigned because the mapped work was policy/cities-oriented and was not organized using Brazilian biomes as the primary territorial cut.</v>
      </c>
      <c r="K165" s="71" t="str">
        <f>'Stakeholder list'!L170</f>
        <v>Funder, Strategic partner</v>
      </c>
      <c r="L165" s="71" t="str">
        <f>'Stakeholder list'!M170</f>
        <v>Upstream</v>
      </c>
      <c r="M165" s="71" t="str">
        <f>'Stakeholder list'!N170</f>
        <v>Co-funding partner</v>
      </c>
      <c r="N165" s="71" t="str">
        <f>'Stakeholder list'!O170</f>
        <v>New York, NY, USA</v>
      </c>
      <c r="O165" s="71" t="str">
        <f>'Stakeholder list'!P170</f>
        <v>Donor</v>
      </c>
      <c r="P165" s="71" t="str">
        <f>'Stakeholder list'!Q170</f>
        <v/>
      </c>
      <c r="Q165" s="71" t="str">
        <f>'Stakeholder list'!R170</f>
        <v/>
      </c>
      <c r="R165" s="71" t="str">
        <f>'Stakeholder list'!S170</f>
        <v>Funding  sustainable cities in Brazil</v>
      </c>
      <c r="S165" s="71" t="str">
        <f>'Stakeholder list'!T170</f>
        <v>—</v>
      </c>
      <c r="T165" s="71" t="str">
        <f>'Stakeholder list'!U170</f>
        <v/>
      </c>
      <c r="U165" s="71" t="str">
        <f>'Stakeholder list'!V170</f>
        <v/>
      </c>
      <c r="V165" s="71" t="str">
        <f>'Stakeholder list'!W170</f>
        <v/>
      </c>
      <c r="W165" s="71" t="str">
        <f>'Stakeholder list'!X170</f>
        <v/>
      </c>
    </row>
    <row r="166">
      <c r="A166" s="71">
        <f>'Stakeholder list'!B171</f>
        <v>165</v>
      </c>
      <c r="B166" s="71" t="str">
        <f>'Stakeholder list'!C171</f>
        <v>Laudes Foundation</v>
      </c>
      <c r="C166" s="71" t="str">
        <f>'Stakeholder list'!D171</f>
        <v>Funders</v>
      </c>
      <c r="D166" s="71" t="str">
        <f>'Stakeholder list'!E171</f>
        <v>Philanthropy foundations</v>
      </c>
      <c r="E166" s="71" t="str">
        <f>'Stakeholder list'!F171</f>
        <v>Foundation focused on transforming key economic systems (e.g., built environment, industry, finance) to deliver climate action and a just transition through grants, partnerships and market-shaping initiatives.</v>
      </c>
      <c r="F166" s="71" t="str">
        <f>'Stakeholder list'!G171</f>
        <v>Cross-border / international</v>
      </c>
      <c r="G166" s="71" t="str">
        <f>'Stakeholder list'!H171</f>
        <v>Buildings &amp; Transport, Energy</v>
      </c>
      <c r="H166" s="71" t="str">
        <f>'Stakeholder list'!I171</f>
        <v/>
      </c>
      <c r="I166" s="71" t="str">
        <f>'Stakeholder list'!J171</f>
        <v/>
      </c>
      <c r="J166" s="71" t="str">
        <f>'Stakeholder list'!K171</f>
        <v>No biome lens was assigned because the mapped strategy was sector/system-based and did not rely on biome-targeted program lines.</v>
      </c>
      <c r="K166" s="71" t="str">
        <f>'Stakeholder list'!L171</f>
        <v>Funder, Strategic partner</v>
      </c>
      <c r="L166" s="71" t="str">
        <f>'Stakeholder list'!M171</f>
        <v>Upstream</v>
      </c>
      <c r="M166" s="71" t="str">
        <f>'Stakeholder list'!N171</f>
        <v>Co-funding partner</v>
      </c>
      <c r="N166" s="71" t="str">
        <f>'Stakeholder list'!O171</f>
        <v>São Paulo, SP, Brazil</v>
      </c>
      <c r="O166" s="71" t="str">
        <f>'Stakeholder list'!P171</f>
        <v>Donor</v>
      </c>
      <c r="P166" s="71" t="str">
        <f>'Stakeholder list'!Q171</f>
        <v/>
      </c>
      <c r="Q166" s="71" t="str">
        <f>'Stakeholder list'!R171</f>
        <v/>
      </c>
      <c r="R166" s="71" t="str">
        <f>'Stakeholder list'!S171</f>
        <v/>
      </c>
      <c r="S166" s="71" t="str">
        <f>'Stakeholder list'!T171</f>
        <v>—</v>
      </c>
      <c r="T166" s="71" t="str">
        <f>'Stakeholder list'!U171</f>
        <v/>
      </c>
      <c r="U166" s="71" t="str">
        <f>'Stakeholder list'!V171</f>
        <v/>
      </c>
      <c r="V166" s="71" t="str">
        <f>'Stakeholder list'!W171</f>
        <v/>
      </c>
      <c r="W166" s="71" t="str">
        <f>'Stakeholder list'!X171</f>
        <v/>
      </c>
    </row>
    <row r="167">
      <c r="A167" s="71">
        <f>'Stakeholder list'!B172</f>
        <v>166</v>
      </c>
      <c r="B167" s="71" t="str">
        <f>'Stakeholder list'!C172</f>
        <v>Skoll Foundation</v>
      </c>
      <c r="C167" s="71" t="str">
        <f>'Stakeholder list'!D172</f>
        <v>Funders</v>
      </c>
      <c r="D167" s="71" t="str">
        <f>'Stakeholder list'!E172</f>
        <v>Philanthropy foundations</v>
      </c>
      <c r="E167" s="71" t="str">
        <f>'Stakeholder list'!F172</f>
        <v>Foundation that supports social entrepreneurs and systems change initiatives, providing funding and networks to scale solutions to major social and environmental challenges.</v>
      </c>
      <c r="F167" s="71" t="str">
        <f>'Stakeholder list'!G172</f>
        <v>Cross-border / international</v>
      </c>
      <c r="G167" s="71" t="str">
        <f>'Stakeholder list'!H172</f>
        <v>Buildings &amp; Transport, Emergency response, Energy, "Land, Food and Forest"</v>
      </c>
      <c r="H167" s="71" t="str">
        <f>'Stakeholder list'!I172</f>
        <v/>
      </c>
      <c r="I167" s="71" t="str">
        <f>'Stakeholder list'!J172</f>
        <v/>
      </c>
      <c r="J167" s="71" t="str">
        <f>'Stakeholder list'!K172</f>
        <v>No biome lens was assigned because Brazil-related support was not mapped here through explicit biome-delimited initiatives.</v>
      </c>
      <c r="K167" s="71" t="str">
        <f>'Stakeholder list'!L172</f>
        <v>Funder, Strategic partner</v>
      </c>
      <c r="L167" s="71" t="str">
        <f>'Stakeholder list'!M172</f>
        <v>Upstream</v>
      </c>
      <c r="M167" s="71" t="str">
        <f>'Stakeholder list'!N172</f>
        <v>Co-funding partner</v>
      </c>
      <c r="N167" s="71" t="str">
        <f>'Stakeholder list'!O172</f>
        <v>Palo Alto, CA, USA</v>
      </c>
      <c r="O167" s="71" t="str">
        <f>'Stakeholder list'!P172</f>
        <v>Donor</v>
      </c>
      <c r="P167" s="71" t="str">
        <f>'Stakeholder list'!Q172</f>
        <v/>
      </c>
      <c r="Q167" s="71" t="str">
        <f>'Stakeholder list'!R172</f>
        <v/>
      </c>
      <c r="R167" s="71" t="str">
        <f>'Stakeholder list'!S172</f>
        <v>Funding SIB  ecossytem in Brazil.</v>
      </c>
      <c r="S167" s="71" t="str">
        <f>'Stakeholder list'!T172</f>
        <v>—</v>
      </c>
      <c r="T167" s="71" t="str">
        <f>'Stakeholder list'!U172</f>
        <v/>
      </c>
      <c r="U167" s="71" t="str">
        <f>'Stakeholder list'!V172</f>
        <v/>
      </c>
      <c r="V167" s="71" t="str">
        <f>'Stakeholder list'!W172</f>
        <v/>
      </c>
      <c r="W167" s="71" t="str">
        <f>'Stakeholder list'!X172</f>
        <v/>
      </c>
    </row>
    <row r="168">
      <c r="A168" s="71">
        <f>'Stakeholder list'!B173</f>
        <v>167</v>
      </c>
      <c r="B168" s="71" t="str">
        <f>'Stakeholder list'!C173</f>
        <v>Walton Family Foundation</v>
      </c>
      <c r="C168" s="71" t="str">
        <f>'Stakeholder list'!D173</f>
        <v>Funders</v>
      </c>
      <c r="D168" s="71" t="str">
        <f>'Stakeholder list'!E173</f>
        <v>Philanthropy foundations</v>
      </c>
      <c r="E168" s="71" t="str">
        <f>'Stakeholder list'!F173</f>
        <v>Grantmaking foundation that supports environmental conservation (including oceans and rivers), education and community development, funding long-term strategies and policy-oriented initiatives.</v>
      </c>
      <c r="F168" s="71" t="str">
        <f>'Stakeholder list'!G173</f>
        <v>Cross-border / international</v>
      </c>
      <c r="G168" s="71" t="str">
        <f>'Stakeholder list'!H173</f>
        <v>"Land, Food and Forest"</v>
      </c>
      <c r="H168" s="71" t="str">
        <f>'Stakeholder list'!I173</f>
        <v/>
      </c>
      <c r="I168" s="71" t="str">
        <f>'Stakeholder list'!J173</f>
        <v/>
      </c>
      <c r="J168" s="71" t="str">
        <f>'Stakeholder list'!K173</f>
        <v>No biome lens was assigned because the mapping did not identify Brazil projects clearly tied to specific biomes in a consistent way.</v>
      </c>
      <c r="K168" s="71" t="str">
        <f>'Stakeholder list'!L173</f>
        <v>Funder, Strategic partner</v>
      </c>
      <c r="L168" s="71" t="str">
        <f>'Stakeholder list'!M173</f>
        <v>Upstream</v>
      </c>
      <c r="M168" s="71" t="str">
        <f>'Stakeholder list'!N173</f>
        <v>Co-funding partner</v>
      </c>
      <c r="N168" s="71" t="str">
        <f>'Stakeholder list'!O173</f>
        <v>Bentonville, AR, USA</v>
      </c>
      <c r="O168" s="71" t="str">
        <f>'Stakeholder list'!P173</f>
        <v>Donor</v>
      </c>
      <c r="P168" s="71" t="str">
        <f>'Stakeholder list'!Q173</f>
        <v/>
      </c>
      <c r="Q168" s="71" t="str">
        <f>'Stakeholder list'!R173</f>
        <v/>
      </c>
      <c r="R168" s="71" t="str">
        <f>'Stakeholder list'!S173</f>
        <v/>
      </c>
      <c r="S168" s="71" t="str">
        <f>'Stakeholder list'!T173</f>
        <v>—</v>
      </c>
      <c r="T168" s="71" t="str">
        <f>'Stakeholder list'!U173</f>
        <v/>
      </c>
      <c r="U168" s="71" t="str">
        <f>'Stakeholder list'!V173</f>
        <v/>
      </c>
      <c r="V168" s="71" t="str">
        <f>'Stakeholder list'!W173</f>
        <v/>
      </c>
      <c r="W168" s="71" t="str">
        <f>'Stakeholder list'!X173</f>
        <v/>
      </c>
    </row>
    <row r="169">
      <c r="A169" s="71">
        <f>'Stakeholder list'!B174</f>
        <v>168</v>
      </c>
      <c r="B169" s="71" t="str">
        <f>'Stakeholder list'!C174</f>
        <v>Blue Moon Fund</v>
      </c>
      <c r="C169" s="71" t="str">
        <f>'Stakeholder list'!D174</f>
        <v>Funders</v>
      </c>
      <c r="D169" s="71" t="str">
        <f>'Stakeholder list'!E174</f>
        <v>Philanthropy foundations</v>
      </c>
      <c r="E169" s="71" t="str">
        <f>'Stakeholder list'!F174</f>
        <v>Philanthropic organization supporting environmental and climate solutions; provides grants to protect ecosystems and strengthen policies and civil society capacity for systemic change.</v>
      </c>
      <c r="F169" s="71" t="str">
        <f>'Stakeholder list'!G174</f>
        <v>Cross-border / international</v>
      </c>
      <c r="G169" s="71" t="str">
        <f>'Stakeholder list'!H174</f>
        <v>Energy, "Land, Food and Forest"</v>
      </c>
      <c r="H169" s="71" t="str">
        <f>'Stakeholder list'!I174</f>
        <v/>
      </c>
      <c r="I169" s="71" t="str">
        <f>'Stakeholder list'!J174</f>
        <v/>
      </c>
      <c r="J169" s="71" t="str">
        <f>'Stakeholder list'!K174</f>
        <v>No biome lens was assigned because the mapping did not confirm a Brazil portfolio with biome-delimited programmatic focus.</v>
      </c>
      <c r="K169" s="71" t="str">
        <f>'Stakeholder list'!L174</f>
        <v>Funder</v>
      </c>
      <c r="L169" s="71" t="str">
        <f>'Stakeholder list'!M174</f>
        <v>Upstream</v>
      </c>
      <c r="M169" s="71" t="str">
        <f>'Stakeholder list'!N174</f>
        <v>Co-funding partner</v>
      </c>
      <c r="N169" s="71" t="str">
        <f>'Stakeholder list'!O174</f>
        <v>Charlottesville, VA, USA</v>
      </c>
      <c r="O169" s="71" t="str">
        <f>'Stakeholder list'!P174</f>
        <v>Donor</v>
      </c>
      <c r="P169" s="71" t="str">
        <f>'Stakeholder list'!Q174</f>
        <v/>
      </c>
      <c r="Q169" s="71" t="str">
        <f>'Stakeholder list'!R174</f>
        <v/>
      </c>
      <c r="R169" s="71" t="str">
        <f>'Stakeholder list'!S174</f>
        <v/>
      </c>
      <c r="S169" s="71" t="str">
        <f>'Stakeholder list'!T174</f>
        <v>—</v>
      </c>
      <c r="T169" s="71" t="str">
        <f>'Stakeholder list'!U174</f>
        <v/>
      </c>
      <c r="U169" s="71" t="str">
        <f>'Stakeholder list'!V174</f>
        <v/>
      </c>
      <c r="V169" s="71" t="str">
        <f>'Stakeholder list'!W174</f>
        <v/>
      </c>
      <c r="W169" s="71" t="str">
        <f>'Stakeholder list'!X174</f>
        <v/>
      </c>
    </row>
    <row r="170">
      <c r="A170" s="71">
        <f>'Stakeholder list'!B175</f>
        <v>169</v>
      </c>
      <c r="B170" s="71" t="str">
        <f>'Stakeholder list'!C175</f>
        <v>Rainforest Trust</v>
      </c>
      <c r="C170" s="71" t="str">
        <f>'Stakeholder list'!D175</f>
        <v>Funders</v>
      </c>
      <c r="D170" s="71" t="str">
        <f>'Stakeholder list'!E175</f>
        <v>Philanthropy foundations</v>
      </c>
      <c r="E170" s="71" t="str">
        <f>'Stakeholder list'!F175</f>
        <v>Conservation charity that funds the creation and expansion of protected areas and safeguards critical habitats, enabling biodiversity protection through partnerships with local organizations.</v>
      </c>
      <c r="F170" s="71" t="str">
        <f>'Stakeholder list'!G175</f>
        <v>Cross-border / international</v>
      </c>
      <c r="G170" s="71" t="str">
        <f>'Stakeholder list'!H175</f>
        <v>"Land, Food and Forest"</v>
      </c>
      <c r="H170" s="71" t="str">
        <f>'Stakeholder list'!I175</f>
        <v/>
      </c>
      <c r="I170" s="71" t="str">
        <f>'Stakeholder list'!J175</f>
        <v/>
      </c>
      <c r="J170" s="71" t="str">
        <f>'Stakeholder list'!K175</f>
        <v>No biome lens was assigned because specific Brazil protected-area actions were not identified here with a stable biome cut for classification.</v>
      </c>
      <c r="K170" s="71" t="str">
        <f>'Stakeholder list'!L175</f>
        <v>Funder, Project developer / Implementer</v>
      </c>
      <c r="L170" s="71" t="str">
        <f>'Stakeholder list'!M175</f>
        <v>Upstream</v>
      </c>
      <c r="M170" s="71" t="str">
        <f>'Stakeholder list'!N175</f>
        <v>Co-funding partner</v>
      </c>
      <c r="N170" s="71" t="str">
        <f>'Stakeholder list'!O175</f>
        <v>Warrenton, VA, USA</v>
      </c>
      <c r="O170" s="71" t="str">
        <f>'Stakeholder list'!P175</f>
        <v>Donor</v>
      </c>
      <c r="P170" s="71" t="str">
        <f>'Stakeholder list'!Q175</f>
        <v/>
      </c>
      <c r="Q170" s="71" t="str">
        <f>'Stakeholder list'!R175</f>
        <v/>
      </c>
      <c r="R170" s="71" t="str">
        <f>'Stakeholder list'!S175</f>
        <v/>
      </c>
      <c r="S170" s="71" t="str">
        <f>'Stakeholder list'!T175</f>
        <v>—</v>
      </c>
      <c r="T170" s="71" t="str">
        <f>'Stakeholder list'!U175</f>
        <v/>
      </c>
      <c r="U170" s="71" t="str">
        <f>'Stakeholder list'!V175</f>
        <v/>
      </c>
      <c r="V170" s="71" t="str">
        <f>'Stakeholder list'!W175</f>
        <v/>
      </c>
      <c r="W170" s="71" t="str">
        <f>'Stakeholder list'!X175</f>
        <v/>
      </c>
    </row>
    <row r="171">
      <c r="A171" s="71">
        <f>'Stakeholder list'!B176</f>
        <v>170</v>
      </c>
      <c r="B171" s="71" t="str">
        <f>'Stakeholder list'!C176</f>
        <v>John D. and Catherine T. MacArthur Foundation (MacArthur Foundation)</v>
      </c>
      <c r="C171" s="71" t="str">
        <f>'Stakeholder list'!D176</f>
        <v>Funders</v>
      </c>
      <c r="D171" s="71" t="str">
        <f>'Stakeholder list'!E176</f>
        <v>Philanthropy foundations</v>
      </c>
      <c r="E171" s="71" t="str">
        <f>'Stakeholder list'!F176</f>
        <v>International grantmaking foundation that supports systemic solutions across areas such as climate, justice and effective institutions, funding organizations and coalitions for long-term change.</v>
      </c>
      <c r="F171" s="71" t="str">
        <f>'Stakeholder list'!G176</f>
        <v>Cross-border / international</v>
      </c>
      <c r="G171" s="71" t="str">
        <f>'Stakeholder list'!H176</f>
        <v>Buildings &amp; Transport, Emergency response, Energy, "Land, Food and Forest"</v>
      </c>
      <c r="H171" s="71" t="str">
        <f>'Stakeholder list'!I176</f>
        <v/>
      </c>
      <c r="I171" s="71" t="str">
        <f>'Stakeholder list'!J176</f>
        <v/>
      </c>
      <c r="J171" s="71" t="str">
        <f>'Stakeholder list'!K176</f>
        <v>No biome lens was assigned because the mapping did not confirm biome-specific Brazil initiatives as a consistent portfolio lens.</v>
      </c>
      <c r="K171" s="71" t="str">
        <f>'Stakeholder list'!L176</f>
        <v>Funder, Strategic partner</v>
      </c>
      <c r="L171" s="71" t="str">
        <f>'Stakeholder list'!M176</f>
        <v>Upstream</v>
      </c>
      <c r="M171" s="71" t="str">
        <f>'Stakeholder list'!N176</f>
        <v>Co-funding partner</v>
      </c>
      <c r="N171" s="71" t="str">
        <f>'Stakeholder list'!O176</f>
        <v>Chicago, IL, USA</v>
      </c>
      <c r="O171" s="71" t="str">
        <f>'Stakeholder list'!P176</f>
        <v>Donor</v>
      </c>
      <c r="P171" s="71" t="str">
        <f>'Stakeholder list'!Q176</f>
        <v/>
      </c>
      <c r="Q171" s="71" t="str">
        <f>'Stakeholder list'!R176</f>
        <v/>
      </c>
      <c r="R171" s="71" t="str">
        <f>'Stakeholder list'!S176</f>
        <v/>
      </c>
      <c r="S171" s="71" t="str">
        <f>'Stakeholder list'!T176</f>
        <v>—</v>
      </c>
      <c r="T171" s="71" t="str">
        <f>'Stakeholder list'!U176</f>
        <v/>
      </c>
      <c r="U171" s="71" t="str">
        <f>'Stakeholder list'!V176</f>
        <v/>
      </c>
      <c r="V171" s="71" t="str">
        <f>'Stakeholder list'!W176</f>
        <v/>
      </c>
      <c r="W171" s="71" t="str">
        <f>'Stakeholder list'!X176</f>
        <v/>
      </c>
    </row>
    <row r="172">
      <c r="A172" s="71">
        <f>'Stakeholder list'!B177</f>
        <v>171</v>
      </c>
      <c r="B172" s="71" t="str">
        <f>'Stakeholder list'!C177</f>
        <v>Rockefeller Brothers Fund</v>
      </c>
      <c r="C172" s="71" t="str">
        <f>'Stakeholder list'!D177</f>
        <v>Funders</v>
      </c>
      <c r="D172" s="71" t="str">
        <f>'Stakeholder list'!E177</f>
        <v>Philanthropy foundations</v>
      </c>
      <c r="E172" s="71" t="str">
        <f>'Stakeholder list'!F177</f>
        <v>Foundation supporting democratic practice, economic fairness and sustainable development; funds climate and energy transition work, including policy and movement-building for systemic change.</v>
      </c>
      <c r="F172" s="71" t="str">
        <f>'Stakeholder list'!G177</f>
        <v>Cross-border / international</v>
      </c>
      <c r="G172" s="71" t="str">
        <f>'Stakeholder list'!H177</f>
        <v>Buildings &amp; Transport, Emergency response, Energy, "Land, Food and Forest"</v>
      </c>
      <c r="H172" s="71" t="str">
        <f>'Stakeholder list'!I177</f>
        <v/>
      </c>
      <c r="I172" s="71" t="str">
        <f>'Stakeholder list'!J177</f>
        <v/>
      </c>
      <c r="J172" s="71" t="str">
        <f>'Stakeholder list'!K177</f>
        <v>No biome lens was assigned because Brazil-related work was not mapped here through biome-delimited projects.</v>
      </c>
      <c r="K172" s="71" t="str">
        <f>'Stakeholder list'!L177</f>
        <v>Funder, Strategic partner</v>
      </c>
      <c r="L172" s="71" t="str">
        <f>'Stakeholder list'!M177</f>
        <v>Upstream</v>
      </c>
      <c r="M172" s="71" t="str">
        <f>'Stakeholder list'!N177</f>
        <v>Co-funding partner</v>
      </c>
      <c r="N172" s="71" t="str">
        <f>'Stakeholder list'!O177</f>
        <v>New York, NY, USA</v>
      </c>
      <c r="O172" s="71" t="str">
        <f>'Stakeholder list'!P177</f>
        <v>Donor</v>
      </c>
      <c r="P172" s="71" t="str">
        <f>'Stakeholder list'!Q177</f>
        <v/>
      </c>
      <c r="Q172" s="71" t="str">
        <f>'Stakeholder list'!R177</f>
        <v/>
      </c>
      <c r="R172" s="71" t="str">
        <f>'Stakeholder list'!S177</f>
        <v/>
      </c>
      <c r="S172" s="71" t="str">
        <f>'Stakeholder list'!T177</f>
        <v>—</v>
      </c>
      <c r="T172" s="71" t="str">
        <f>'Stakeholder list'!U177</f>
        <v/>
      </c>
      <c r="U172" s="71" t="str">
        <f>'Stakeholder list'!V177</f>
        <v/>
      </c>
      <c r="V172" s="71" t="str">
        <f>'Stakeholder list'!W177</f>
        <v/>
      </c>
      <c r="W172" s="71" t="str">
        <f>'Stakeholder list'!X177</f>
        <v/>
      </c>
    </row>
    <row r="173">
      <c r="A173" s="71">
        <f>'Stakeholder list'!B178</f>
        <v>172</v>
      </c>
      <c r="B173" s="71" t="str">
        <f>'Stakeholder list'!C178</f>
        <v>Consórcio Nordeste</v>
      </c>
      <c r="C173" s="71" t="str">
        <f>'Stakeholder list'!D178</f>
        <v>Public sector</v>
      </c>
      <c r="D173" s="71" t="str">
        <f>'Stakeholder list'!E178</f>
        <v>Multi-stakeholder initiatives</v>
      </c>
      <c r="E173" s="71" t="str">
        <f>'Stakeholder list'!F178</f>
        <v>Interstate consortium of Brazil’s Northeast states that coordinates cooperation and joint strategies; can accelerate systemic transition by aligning policies, investments and programs on climate, development and regional resilience.</v>
      </c>
      <c r="F173" s="71" t="str">
        <f>'Stakeholder list'!G178</f>
        <v>Regional</v>
      </c>
      <c r="G173" s="71" t="str">
        <f>'Stakeholder list'!H178</f>
        <v>Buildings &amp; Transport, Energy, "Land, Food and Forest"</v>
      </c>
      <c r="H173" s="71" t="str">
        <f>'Stakeholder list'!I178</f>
        <v>Caatinga, Cerrado</v>
      </c>
      <c r="I173" s="71" t="str">
        <f>'Stakeholder list'!J178</f>
        <v>Coastal&amp;maritime, Mata&amp;Atlântica</v>
      </c>
      <c r="J173" s="71" t="str">
        <f>'Stakeholder list'!K178</f>
        <v>It coordinated regional strategies in the Northeast where Caatinga predominated and it also addressed coastal and Atlantic Forest-zone challenges through multi-state planning and resilience agendas.</v>
      </c>
      <c r="K173" s="71" t="str">
        <f>'Stakeholder list'!L178</f>
        <v>Territorial anchor, Policy influence / regulation</v>
      </c>
      <c r="L173" s="71" t="str">
        <f>'Stakeholder list'!M178</f>
        <v>Midstream</v>
      </c>
      <c r="M173" s="71" t="str">
        <f>'Stakeholder list'!N178</f>
        <v>Strategic partner</v>
      </c>
      <c r="N173" s="71" t="str">
        <f>'Stakeholder list'!O178</f>
        <v>Salvador, BA, Brazil</v>
      </c>
      <c r="O173" s="71" t="str">
        <f>'Stakeholder list'!P178</f>
        <v>Grantee</v>
      </c>
      <c r="P173" s="71" t="str">
        <f>'Stakeholder list'!Q178</f>
        <v/>
      </c>
      <c r="Q173" s="71" t="str">
        <f>'Stakeholder list'!R178</f>
        <v/>
      </c>
      <c r="R173" s="71" t="str">
        <f>'Stakeholder list'!S178</f>
        <v>Relevant partner at the Northesat</v>
      </c>
      <c r="S173" s="71" t="str">
        <f>'Stakeholder list'!T178</f>
        <v>—</v>
      </c>
      <c r="T173" s="71" t="str">
        <f>'Stakeholder list'!U178</f>
        <v/>
      </c>
      <c r="U173" s="71" t="str">
        <f>'Stakeholder list'!V178</f>
        <v/>
      </c>
      <c r="V173" s="71" t="str">
        <f>'Stakeholder list'!W178</f>
        <v/>
      </c>
      <c r="W173" s="71" t="str">
        <f>'Stakeholder list'!X178</f>
        <v/>
      </c>
    </row>
    <row r="174">
      <c r="A174" s="71">
        <f>'Stakeholder list'!B179</f>
        <v>173</v>
      </c>
      <c r="B174" s="71" t="str">
        <f>'Stakeholder list'!C179</f>
        <v>Laboratório de Inovação Financeira (LAB/CVM)</v>
      </c>
      <c r="C174" s="71" t="str">
        <f>'Stakeholder list'!D179</f>
        <v>Others</v>
      </c>
      <c r="D174" s="71" t="str">
        <f>'Stakeholder list'!E179</f>
        <v>Multi-stakeholder initiatives</v>
      </c>
      <c r="E174" s="71" t="str">
        <f>'Stakeholder list'!F179</f>
        <v>Multi-stakeholder platform linked to the securities regulator that convenes regulators, market actors and experts to develop and disseminate sustainable finance innovations, reduce barriers to green/inclusive capital flows, and spread best practices.</v>
      </c>
      <c r="F174" s="71" t="str">
        <f>'Stakeholder list'!G179</f>
        <v>National</v>
      </c>
      <c r="G174" s="71" t="str">
        <f>'Stakeholder list'!H179</f>
        <v>Buildings &amp; Transport, Energy, "Land, Food and Forest"</v>
      </c>
      <c r="H174" s="71" t="str">
        <f>'Stakeholder list'!I179</f>
        <v/>
      </c>
      <c r="I174" s="71" t="str">
        <f>'Stakeholder list'!J179</f>
        <v/>
      </c>
      <c r="J174" s="71" t="str">
        <f>'Stakeholder list'!K179</f>
        <v>No biome lens was assigned because it acted through financial-market innovation and standards rather than biome-targeted implementation.</v>
      </c>
      <c r="K174" s="71" t="str">
        <f>'Stakeholder list'!L179</f>
        <v>Convenor/enablers, Policy influence / regulation</v>
      </c>
      <c r="L174" s="71" t="str">
        <f>'Stakeholder list'!M179</f>
        <v>Upstream</v>
      </c>
      <c r="M174" s="71" t="str">
        <f>'Stakeholder list'!N179</f>
        <v>Grant recipient</v>
      </c>
      <c r="N174" s="71" t="str">
        <f>'Stakeholder list'!O179</f>
        <v>Rio de Janeiro, RJ, Brazil</v>
      </c>
      <c r="O174" s="71" t="str">
        <f>'Stakeholder list'!P179</f>
        <v>Grantee</v>
      </c>
      <c r="P174" s="71" t="str">
        <f>'Stakeholder list'!Q179</f>
        <v/>
      </c>
      <c r="Q174" s="71" t="str">
        <f>'Stakeholder list'!R179</f>
        <v/>
      </c>
      <c r="R174" s="71" t="str">
        <f>'Stakeholder list'!S179</f>
        <v/>
      </c>
      <c r="S174" s="71" t="str">
        <f>'Stakeholder list'!T179</f>
        <v>—</v>
      </c>
      <c r="T174" s="71" t="str">
        <f>'Stakeholder list'!U179</f>
        <v/>
      </c>
      <c r="U174" s="71" t="str">
        <f>'Stakeholder list'!V179</f>
        <v/>
      </c>
      <c r="V174" s="71" t="str">
        <f>'Stakeholder list'!W179</f>
        <v/>
      </c>
      <c r="W174" s="71" t="str">
        <f>'Stakeholder list'!X179</f>
        <v/>
      </c>
    </row>
    <row r="175">
      <c r="A175" s="71">
        <f>'Stakeholder list'!B180</f>
        <v>174</v>
      </c>
      <c r="B175" s="71" t="str">
        <f>'Stakeholder list'!C180</f>
        <v>Conselho Empresarial Brasileiro para o Desenvolvimento Sustentável (CEBDS)</v>
      </c>
      <c r="C175" s="71" t="str">
        <f>'Stakeholder list'!D180</f>
        <v>Civil Society Organization (CSO)</v>
      </c>
      <c r="D175" s="71" t="str">
        <f>'Stakeholder list'!E180</f>
        <v>Industry platforms and sectoral initiatives</v>
      </c>
      <c r="E175" s="71" t="str">
        <f>'Stakeholder list'!F180</f>
        <v>Business-led association that convenes major companies to advance sustainable development in Brazil; strengthens corporate commitments, policy dialogue and collective action to accelerate low-carbon and nature-positive transitions.</v>
      </c>
      <c r="F175" s="71" t="str">
        <f>'Stakeholder list'!G180</f>
        <v>National</v>
      </c>
      <c r="G175" s="71" t="str">
        <f>'Stakeholder list'!H180</f>
        <v>Buildings &amp; Transport, Energy, "Land, Food and Forest"</v>
      </c>
      <c r="H175" s="71" t="str">
        <f>'Stakeholder list'!I180</f>
        <v/>
      </c>
      <c r="I175" s="71" t="str">
        <f>'Stakeholder list'!J180</f>
        <v/>
      </c>
      <c r="J175" s="71" t="str">
        <f>'Stakeholder list'!K180</f>
        <v>No biome lens was assigned because its work was cross-sector and national and did not operate through biome-delimited program execution.</v>
      </c>
      <c r="K175" s="71" t="str">
        <f>'Stakeholder list'!L180</f>
        <v>Convenor/enablers, Policy influence / regulation</v>
      </c>
      <c r="L175" s="71" t="str">
        <f>'Stakeholder list'!M180</f>
        <v>Upstream</v>
      </c>
      <c r="M175" s="71" t="str">
        <f>'Stakeholder list'!N180</f>
        <v>Grant recipient</v>
      </c>
      <c r="N175" s="71" t="str">
        <f>'Stakeholder list'!O180</f>
        <v>Rio de Janeiro, RJ, Brazil</v>
      </c>
      <c r="O175" s="71" t="str">
        <f>'Stakeholder list'!P180</f>
        <v>Grantee</v>
      </c>
      <c r="P175" s="71" t="str">
        <f>'Stakeholder list'!Q180</f>
        <v/>
      </c>
      <c r="Q175" s="71" t="str">
        <f>'Stakeholder list'!R180</f>
        <v/>
      </c>
      <c r="R175" s="71" t="str">
        <f>'Stakeholder list'!S180</f>
        <v/>
      </c>
      <c r="S175" s="71" t="str">
        <f>'Stakeholder list'!T180</f>
        <v>—</v>
      </c>
      <c r="T175" s="71" t="str">
        <f>'Stakeholder list'!U180</f>
        <v/>
      </c>
      <c r="U175" s="71" t="str">
        <f>'Stakeholder list'!V180</f>
        <v/>
      </c>
      <c r="V175" s="71" t="str">
        <f>'Stakeholder list'!W180</f>
        <v/>
      </c>
      <c r="W175" s="71" t="str">
        <f>'Stakeholder list'!X180</f>
        <v/>
      </c>
    </row>
    <row r="176">
      <c r="A176" s="71">
        <f>'Stakeholder list'!B181</f>
        <v>175</v>
      </c>
      <c r="B176" s="71" t="str">
        <f>'Stakeholder list'!C181</f>
        <v>Associação Brasileira de Desenvolvimento (ABDE)</v>
      </c>
      <c r="C176" s="71" t="str">
        <f>'Stakeholder list'!D181</f>
        <v>Civil Society Organization (CSO)</v>
      </c>
      <c r="D176" s="71" t="str">
        <f>'Stakeholder list'!E181</f>
        <v>Industry platforms and sectoral initiatives</v>
      </c>
      <c r="E176" s="71" t="str">
        <f>'Stakeholder list'!F181</f>
        <v>Association representing Brazil’s development finance institutions; supports systemic transition by mobilizing long-term finance, aligning practices and standards, and strengthening the national development finance ecosystem for sustainable investment.</v>
      </c>
      <c r="F176" s="71" t="str">
        <f>'Stakeholder list'!G181</f>
        <v>National</v>
      </c>
      <c r="G176" s="71" t="str">
        <f>'Stakeholder list'!H181</f>
        <v>Buildings &amp; Transport, Energy, "Land, Food and Forest"</v>
      </c>
      <c r="H176" s="71" t="str">
        <f>'Stakeholder list'!I181</f>
        <v/>
      </c>
      <c r="I176" s="71" t="str">
        <f>'Stakeholder list'!J181</f>
        <v/>
      </c>
      <c r="J176" s="71" t="str">
        <f>'Stakeholder list'!K181</f>
        <v>No biome lens was assigned because it acted at ecosystem/finance standards level and was not structured around biome-specific initiatives.</v>
      </c>
      <c r="K176" s="71" t="str">
        <f>'Stakeholder list'!L181</f>
        <v>Convenor/enablers, Capital provider / Financial intermediary</v>
      </c>
      <c r="L176" s="71" t="str">
        <f>'Stakeholder list'!M181</f>
        <v>Midstream</v>
      </c>
      <c r="M176" s="71" t="str">
        <f>'Stakeholder list'!N181</f>
        <v>Grant recipient</v>
      </c>
      <c r="N176" s="71" t="str">
        <f>'Stakeholder list'!O181</f>
        <v>Brasília, DF, Brazil</v>
      </c>
      <c r="O176" s="71" t="str">
        <f>'Stakeholder list'!P181</f>
        <v>Re-granter</v>
      </c>
      <c r="P176" s="71" t="str">
        <f>'Stakeholder list'!Q181</f>
        <v/>
      </c>
      <c r="Q176" s="71" t="str">
        <f>'Stakeholder list'!R181</f>
        <v/>
      </c>
      <c r="R176" s="71" t="str">
        <f>'Stakeholder list'!S181</f>
        <v/>
      </c>
      <c r="S176" s="71" t="str">
        <f>'Stakeholder list'!T181</f>
        <v>—</v>
      </c>
      <c r="T176" s="71" t="str">
        <f>'Stakeholder list'!U181</f>
        <v/>
      </c>
      <c r="U176" s="71" t="str">
        <f>'Stakeholder list'!V181</f>
        <v/>
      </c>
      <c r="V176" s="71" t="str">
        <f>'Stakeholder list'!W181</f>
        <v/>
      </c>
      <c r="W176" s="71" t="str">
        <f>'Stakeholder list'!X181</f>
        <v/>
      </c>
    </row>
    <row r="177">
      <c r="A177" s="71">
        <f>'Stakeholder list'!B182</f>
        <v>176</v>
      </c>
      <c r="B177" s="71" t="str">
        <f>'Stakeholder list'!C182</f>
        <v>Climate Policy Initiative (CPI)</v>
      </c>
      <c r="C177" s="71" t="str">
        <f>'Stakeholder list'!D182</f>
        <v>Civil Society Organization (CSO)</v>
      </c>
      <c r="D177" s="71" t="str">
        <f>'Stakeholder list'!E182</f>
        <v>Monitoring, Evaluation, and Learning</v>
      </c>
      <c r="E177" s="71" t="str">
        <f>'Stakeholder list'!F182</f>
        <v>Research and policy institute that produces data-driven analysis and technical support on climate policy and climate finance; improves policy design and investment decisions for decarbonization, resilience and a just transition.</v>
      </c>
      <c r="F177" s="71" t="str">
        <f>'Stakeholder list'!G182</f>
        <v>Cross-border / international</v>
      </c>
      <c r="G177" s="71" t="str">
        <f>'Stakeholder list'!H182</f>
        <v>Energy, "Land, Food and Forest"</v>
      </c>
      <c r="H177" s="71" t="str">
        <f>'Stakeholder list'!I182</f>
        <v>Amazonia, Caatinga, Cerrado</v>
      </c>
      <c r="I177" s="71" t="str">
        <f>'Stakeholder list'!J182</f>
        <v/>
      </c>
      <c r="J177" s="71" t="str">
        <f>'Stakeholder list'!K182</f>
        <v>It produced Brazil-facing land-use and climate-finance analysis that was most consistently framed around Amazonia and Cerrado deforestation and agricultural transition dynamics.</v>
      </c>
      <c r="K177" s="71" t="str">
        <f>'Stakeholder list'!L182</f>
        <v>Technical assistance / research, Policy influence / regulation</v>
      </c>
      <c r="L177" s="71" t="str">
        <f>'Stakeholder list'!M182</f>
        <v>Upstream</v>
      </c>
      <c r="M177" s="71" t="str">
        <f>'Stakeholder list'!N182</f>
        <v>Grant recipient</v>
      </c>
      <c r="N177" s="71" t="str">
        <f>'Stakeholder list'!O182</f>
        <v>Rio de Janeiro, RJ, Brazil</v>
      </c>
      <c r="O177" s="71" t="str">
        <f>'Stakeholder list'!P182</f>
        <v>Grantee</v>
      </c>
      <c r="P177" s="71" t="str">
        <f>'Stakeholder list'!Q182</f>
        <v/>
      </c>
      <c r="Q177" s="71" t="str">
        <f>'Stakeholder list'!R182</f>
        <v/>
      </c>
      <c r="R177" s="71" t="str">
        <f>'Stakeholder list'!S182</f>
        <v>Releant player on data for different biomes and sector in Brazil. Worth  getting to know the team. </v>
      </c>
      <c r="S177" s="71" t="str">
        <f>'Stakeholder list'!T182</f>
        <v>Climate finance tracking, policy effectiveness analysis and evidence for decarbonization investment</v>
      </c>
      <c r="T177" s="71" t="str">
        <f>'Stakeholder list'!U182</f>
        <v/>
      </c>
      <c r="U177" s="71" t="str">
        <f>'Stakeholder list'!V182</f>
        <v/>
      </c>
      <c r="V177" s="71" t="str">
        <f>'Stakeholder list'!W182</f>
        <v/>
      </c>
      <c r="W177" s="71" t="str">
        <f>'Stakeholder list'!X182</f>
        <v/>
      </c>
    </row>
    <row r="178">
      <c r="A178" s="71">
        <f>'Stakeholder list'!B183</f>
        <v>177</v>
      </c>
      <c r="B178" s="71" t="str">
        <f>'Stakeholder list'!C183</f>
        <v>Climate Finance Hub Brasil</v>
      </c>
      <c r="C178" s="71" t="str">
        <f>'Stakeholder list'!D183</f>
        <v>Others</v>
      </c>
      <c r="D178" s="71" t="str">
        <f>'Stakeholder list'!E183</f>
        <v>Monitoring, Evaluation, and Learning</v>
      </c>
      <c r="E178" s="71" t="str">
        <f>'Stakeholder list'!F183</f>
        <v>Capacity-building and applied research hub that develops science-based transition assessments and trains professionals to interpret climate transition risks/opportunities, strengthening capital allocation toward a low-carbon economy.</v>
      </c>
      <c r="F178" s="71" t="str">
        <f>'Stakeholder list'!G183</f>
        <v>National</v>
      </c>
      <c r="G178" s="71" t="str">
        <f>'Stakeholder list'!H183</f>
        <v>Buildings &amp; Transport, Energy, "Land, Food and Forest"</v>
      </c>
      <c r="H178" s="71" t="str">
        <f>'Stakeholder list'!I183</f>
        <v/>
      </c>
      <c r="I178" s="71" t="str">
        <f>'Stakeholder list'!J183</f>
        <v/>
      </c>
      <c r="J178" s="71" t="str">
        <f>'Stakeholder list'!K183</f>
        <v>No biome lens was assigned because it focused on training/assessment frameworks and did not present a biome-delimited implementation portfolio.</v>
      </c>
      <c r="K178" s="71" t="str">
        <f>'Stakeholder list'!L183</f>
        <v>Technical assistance / research, Convenor/enablers</v>
      </c>
      <c r="L178" s="71" t="str">
        <f>'Stakeholder list'!M183</f>
        <v>Midstream</v>
      </c>
      <c r="M178" s="71" t="str">
        <f>'Stakeholder list'!N183</f>
        <v>Grant recipient</v>
      </c>
      <c r="N178" s="71" t="str">
        <f>'Stakeholder list'!O183</f>
        <v>São Paulo, SP, Brazil</v>
      </c>
      <c r="O178" s="71" t="str">
        <f>'Stakeholder list'!P183</f>
        <v>Grantee</v>
      </c>
      <c r="P178" s="71" t="str">
        <f>'Stakeholder list'!Q183</f>
        <v/>
      </c>
      <c r="Q178" s="71" t="str">
        <f>'Stakeholder list'!R183</f>
        <v/>
      </c>
      <c r="R178" s="71" t="str">
        <f>'Stakeholder list'!S183</f>
        <v>Potential partner for  climate funding sollutions in Brazil. </v>
      </c>
      <c r="S178" s="71" t="str">
        <f>'Stakeholder list'!T183</f>
        <v>Science-based transition risk/opportunity assessments and climate finance learning systems</v>
      </c>
      <c r="T178" s="71" t="str">
        <f>'Stakeholder list'!U183</f>
        <v/>
      </c>
      <c r="U178" s="71" t="str">
        <f>'Stakeholder list'!V183</f>
        <v/>
      </c>
      <c r="V178" s="71" t="str">
        <f>'Stakeholder list'!W183</f>
        <v/>
      </c>
      <c r="W178" s="71" t="str">
        <f>'Stakeholder list'!X183</f>
        <v/>
      </c>
    </row>
    <row r="179">
      <c r="A179" s="71">
        <f>'Stakeholder list'!B184</f>
        <v>178</v>
      </c>
      <c r="B179" s="71" t="str">
        <f>'Stakeholder list'!C184</f>
        <v>Associação Brasileira de Energia Eólica (ABEEólica)</v>
      </c>
      <c r="C179" s="71" t="str">
        <f>'Stakeholder list'!D184</f>
        <v>Civil Society Organization (CSO)</v>
      </c>
      <c r="D179" s="71" t="str">
        <f>'Stakeholder list'!E184</f>
        <v>Industry platforms and sectoral initiatives</v>
      </c>
      <c r="E179" s="71" t="str">
        <f>'Stakeholder list'!F184</f>
        <v>Industry association representing the wind energy value chain; supports market expansion and enabling policies/regulation to scale wind generation, grid integration and a competitive renewables industry.</v>
      </c>
      <c r="F179" s="71" t="str">
        <f>'Stakeholder list'!G184</f>
        <v>National</v>
      </c>
      <c r="G179" s="71" t="str">
        <f>'Stakeholder list'!H184</f>
        <v>Energy</v>
      </c>
      <c r="H179" s="71" t="str">
        <f>'Stakeholder list'!I184</f>
        <v>Caatinga</v>
      </c>
      <c r="I179" s="71" t="str">
        <f>'Stakeholder list'!J184</f>
        <v>Coastal&amp;maritime</v>
      </c>
      <c r="J179" s="71" t="str">
        <f>'Stakeholder list'!K184</f>
        <v>No biome lens was assigned because it operated as a national sector association and did not maintain a program portfolio structured by biomes.</v>
      </c>
      <c r="K179" s="71" t="str">
        <f>'Stakeholder list'!L184</f>
        <v>Policy influence / regulation, Convenor/enablers</v>
      </c>
      <c r="L179" s="71" t="str">
        <f>'Stakeholder list'!M184</f>
        <v>Upstream</v>
      </c>
      <c r="M179" s="71" t="str">
        <f>'Stakeholder list'!N184</f>
        <v>Strategic partner</v>
      </c>
      <c r="N179" s="71" t="str">
        <f>'Stakeholder list'!O184</f>
        <v>São Paulo, SP, Brazil</v>
      </c>
      <c r="O179" s="71" t="str">
        <f>'Stakeholder list'!P184</f>
        <v>Grantee</v>
      </c>
      <c r="P179" s="71" t="str">
        <f>'Stakeholder list'!Q184</f>
        <v/>
      </c>
      <c r="Q179" s="71" t="str">
        <f>'Stakeholder list'!R184</f>
        <v/>
      </c>
      <c r="R179" s="71" t="str">
        <f>'Stakeholder list'!S184</f>
        <v/>
      </c>
      <c r="S179" s="71" t="str">
        <f>'Stakeholder list'!T184</f>
        <v>—</v>
      </c>
      <c r="T179" s="71" t="str">
        <f>'Stakeholder list'!U184</f>
        <v/>
      </c>
      <c r="U179" s="71" t="str">
        <f>'Stakeholder list'!V184</f>
        <v/>
      </c>
      <c r="V179" s="71" t="str">
        <f>'Stakeholder list'!W184</f>
        <v/>
      </c>
      <c r="W179" s="71" t="str">
        <f>'Stakeholder list'!X184</f>
        <v/>
      </c>
    </row>
    <row r="180">
      <c r="A180" s="71">
        <f>'Stakeholder list'!B185</f>
        <v>179</v>
      </c>
      <c r="B180" s="71" t="str">
        <f>'Stakeholder list'!C185</f>
        <v>Associação Brasileira de Energia Solar Fotovoltaica (ABSolar)</v>
      </c>
      <c r="C180" s="71" t="str">
        <f>'Stakeholder list'!D185</f>
        <v>Civil Society Organization (CSO)</v>
      </c>
      <c r="D180" s="71" t="str">
        <f>'Stakeholder list'!E185</f>
        <v>Industry platforms and sectoral initiatives</v>
      </c>
      <c r="E180" s="71" t="str">
        <f>'Stakeholder list'!F185</f>
        <v>Sector association that connects the solar PV value chain; advances regulation, market development and industry coordination to accelerate solar deployment (including distributed generation and enabling technologies).</v>
      </c>
      <c r="F180" s="71" t="str">
        <f>'Stakeholder list'!G185</f>
        <v>National</v>
      </c>
      <c r="G180" s="71" t="str">
        <f>'Stakeholder list'!H185</f>
        <v>Energy</v>
      </c>
      <c r="H180" s="71" t="str">
        <f>'Stakeholder list'!I185</f>
        <v>Caatinga, Cerrado</v>
      </c>
      <c r="I180" s="71" t="str">
        <f>'Stakeholder list'!J185</f>
        <v/>
      </c>
      <c r="J180" s="71" t="str">
        <f>'Stakeholder list'!K185</f>
        <v>No biome lens was assigned because it acted nationally on regulation/market coordination and was not organized by biome-specific initiatives.</v>
      </c>
      <c r="K180" s="71" t="str">
        <f>'Stakeholder list'!L185</f>
        <v>Policy influence / regulation, Convenor/enablers</v>
      </c>
      <c r="L180" s="71" t="str">
        <f>'Stakeholder list'!M185</f>
        <v>Upstream</v>
      </c>
      <c r="M180" s="71" t="str">
        <f>'Stakeholder list'!N185</f>
        <v>Strategic partner</v>
      </c>
      <c r="N180" s="71" t="str">
        <f>'Stakeholder list'!O185</f>
        <v>São Paulo, SP, Brazil</v>
      </c>
      <c r="O180" s="71" t="str">
        <f>'Stakeholder list'!P185</f>
        <v>Grantee</v>
      </c>
      <c r="P180" s="71" t="str">
        <f>'Stakeholder list'!Q185</f>
        <v/>
      </c>
      <c r="Q180" s="71" t="str">
        <f>'Stakeholder list'!R185</f>
        <v/>
      </c>
      <c r="R180" s="71" t="str">
        <f>'Stakeholder list'!S185</f>
        <v/>
      </c>
      <c r="S180" s="71" t="str">
        <f>'Stakeholder list'!T185</f>
        <v>—</v>
      </c>
      <c r="T180" s="71" t="str">
        <f>'Stakeholder list'!U185</f>
        <v/>
      </c>
      <c r="U180" s="71" t="str">
        <f>'Stakeholder list'!V185</f>
        <v/>
      </c>
      <c r="V180" s="71" t="str">
        <f>'Stakeholder list'!W185</f>
        <v/>
      </c>
      <c r="W180" s="71" t="str">
        <f>'Stakeholder list'!X185</f>
        <v/>
      </c>
    </row>
    <row r="181">
      <c r="A181" s="71">
        <f>'Stakeholder list'!B186</f>
        <v>180</v>
      </c>
      <c r="B181" s="71" t="str">
        <f>'Stakeholder list'!C186</f>
        <v>Associação Brasileira do Biogás (ABiogás)</v>
      </c>
      <c r="C181" s="71" t="str">
        <f>'Stakeholder list'!D186</f>
        <v>Civil Society Organization (CSO)</v>
      </c>
      <c r="D181" s="71" t="str">
        <f>'Stakeholder list'!E186</f>
        <v>Industry platforms and sectoral initiatives</v>
      </c>
      <c r="E181" s="71" t="str">
        <f>'Stakeholder list'!F186</f>
        <v>Industry association promoting biogas/biomethane; supports enabling regulation, standards and investment to decarbonize energy, waste and agriculture through circular-economy pathways.</v>
      </c>
      <c r="F181" s="71" t="str">
        <f>'Stakeholder list'!G186</f>
        <v>National</v>
      </c>
      <c r="G181" s="71" t="str">
        <f>'Stakeholder list'!H186</f>
        <v>Energy</v>
      </c>
      <c r="H181" s="71" t="str">
        <f>'Stakeholder list'!I186</f>
        <v/>
      </c>
      <c r="I181" s="71" t="str">
        <f>'Stakeholder list'!J186</f>
        <v/>
      </c>
      <c r="J181" s="71" t="str">
        <f>'Stakeholder list'!K186</f>
        <v>No biome lens was assigned because it operated as a national market/policy association without biome-delimited programs.</v>
      </c>
      <c r="K181" s="71" t="str">
        <f>'Stakeholder list'!L186</f>
        <v>Policy influence / regulation, Convenor/enablers</v>
      </c>
      <c r="L181" s="71" t="str">
        <f>'Stakeholder list'!M186</f>
        <v>Upstream</v>
      </c>
      <c r="M181" s="71" t="str">
        <f>'Stakeholder list'!N186</f>
        <v>Strategic partner</v>
      </c>
      <c r="N181" s="71" t="str">
        <f>'Stakeholder list'!O186</f>
        <v>São Paulo, SP, Brazil</v>
      </c>
      <c r="O181" s="71" t="str">
        <f>'Stakeholder list'!P186</f>
        <v>Grantee</v>
      </c>
      <c r="P181" s="71" t="str">
        <f>'Stakeholder list'!Q186</f>
        <v/>
      </c>
      <c r="Q181" s="71" t="str">
        <f>'Stakeholder list'!R186</f>
        <v/>
      </c>
      <c r="R181" s="71" t="str">
        <f>'Stakeholder list'!S186</f>
        <v/>
      </c>
      <c r="S181" s="71" t="str">
        <f>'Stakeholder list'!T186</f>
        <v>—</v>
      </c>
      <c r="T181" s="71" t="str">
        <f>'Stakeholder list'!U186</f>
        <v/>
      </c>
      <c r="U181" s="71" t="str">
        <f>'Stakeholder list'!V186</f>
        <v/>
      </c>
      <c r="V181" s="71" t="str">
        <f>'Stakeholder list'!W186</f>
        <v/>
      </c>
      <c r="W181" s="71" t="str">
        <f>'Stakeholder list'!X186</f>
        <v/>
      </c>
    </row>
    <row r="182">
      <c r="A182" s="71">
        <f>'Stakeholder list'!B187</f>
        <v>181</v>
      </c>
      <c r="B182" s="71" t="str">
        <f>'Stakeholder list'!C187</f>
        <v>Associação Brasileira do Hidrogênio (ABH2)</v>
      </c>
      <c r="C182" s="71" t="str">
        <f>'Stakeholder list'!D187</f>
        <v>Civil Society Organization (CSO)</v>
      </c>
      <c r="D182" s="71" t="str">
        <f>'Stakeholder list'!E187</f>
        <v>Industry platforms and sectoral initiatives</v>
      </c>
      <c r="E182" s="71" t="str">
        <f>'Stakeholder list'!F187</f>
        <v>Industry association supporting hydrogen market development (including low-carbon/green hydrogen); contributes through policy dialogue, standards, ecosystem coordination and project acceleration.</v>
      </c>
      <c r="F182" s="71" t="str">
        <f>'Stakeholder list'!G187</f>
        <v>National</v>
      </c>
      <c r="G182" s="71" t="str">
        <f>'Stakeholder list'!H187</f>
        <v>Energy</v>
      </c>
      <c r="H182" s="71" t="str">
        <f>'Stakeholder list'!I187</f>
        <v/>
      </c>
      <c r="I182" s="71" t="str">
        <f>'Stakeholder list'!J187</f>
        <v/>
      </c>
      <c r="J182" s="71" t="str">
        <f>'Stakeholder list'!K187</f>
        <v>No biome lens was assigned because it coordinated nationally and did not implement biome-targeted initiatives.</v>
      </c>
      <c r="K182" s="71" t="str">
        <f>'Stakeholder list'!L187</f>
        <v>Policy influence / regulation, Convenor/enablers</v>
      </c>
      <c r="L182" s="71" t="str">
        <f>'Stakeholder list'!M187</f>
        <v>Upstream</v>
      </c>
      <c r="M182" s="71" t="str">
        <f>'Stakeholder list'!N187</f>
        <v>Strategic partner</v>
      </c>
      <c r="N182" s="71" t="str">
        <f>'Stakeholder list'!O187</f>
        <v>São Paulo, SP, Brazil</v>
      </c>
      <c r="O182" s="71" t="str">
        <f>'Stakeholder list'!P187</f>
        <v>Grantee</v>
      </c>
      <c r="P182" s="71" t="str">
        <f>'Stakeholder list'!Q187</f>
        <v/>
      </c>
      <c r="Q182" s="71" t="str">
        <f>'Stakeholder list'!R187</f>
        <v/>
      </c>
      <c r="R182" s="71" t="str">
        <f>'Stakeholder list'!S187</f>
        <v/>
      </c>
      <c r="S182" s="71" t="str">
        <f>'Stakeholder list'!T187</f>
        <v>—</v>
      </c>
      <c r="T182" s="71" t="str">
        <f>'Stakeholder list'!U187</f>
        <v/>
      </c>
      <c r="U182" s="71" t="str">
        <f>'Stakeholder list'!V187</f>
        <v/>
      </c>
      <c r="V182" s="71" t="str">
        <f>'Stakeholder list'!W187</f>
        <v/>
      </c>
      <c r="W182" s="71" t="str">
        <f>'Stakeholder list'!X187</f>
        <v/>
      </c>
    </row>
    <row r="183">
      <c r="A183" s="71">
        <f>'Stakeholder list'!B188</f>
        <v>182</v>
      </c>
      <c r="B183" s="71" t="str">
        <f>'Stakeholder list'!C188</f>
        <v>Instituto Nacional de Eficiência Energética (INEE)</v>
      </c>
      <c r="C183" s="71" t="str">
        <f>'Stakeholder list'!D188</f>
        <v>Civil Society Organization (CSO)</v>
      </c>
      <c r="D183" s="71" t="str">
        <f>'Stakeholder list'!E188</f>
        <v>Think tanks</v>
      </c>
      <c r="E183" s="71" t="str">
        <f>'Stakeholder list'!F188</f>
        <v>Non-profit institute focused on energy efficiency; contributes through technical studies, policy advocacy and capacity building to reduce energy demand, costs and emissions across sectors.</v>
      </c>
      <c r="F183" s="71" t="str">
        <f>'Stakeholder list'!G188</f>
        <v>National</v>
      </c>
      <c r="G183" s="71" t="str">
        <f>'Stakeholder list'!H188</f>
        <v>Energy</v>
      </c>
      <c r="H183" s="71" t="str">
        <f>'Stakeholder list'!I188</f>
        <v/>
      </c>
      <c r="I183" s="71" t="str">
        <f>'Stakeholder list'!J188</f>
        <v/>
      </c>
      <c r="J183" s="71" t="str">
        <f>'Stakeholder list'!K188</f>
        <v>No biome lens was assigned because its work was technical/policy-oriented and not tied to biome-delimited implementation territories.</v>
      </c>
      <c r="K183" s="71" t="str">
        <f>'Stakeholder list'!L188</f>
        <v>Technical assistance / research</v>
      </c>
      <c r="L183" s="71" t="str">
        <f>'Stakeholder list'!M188</f>
        <v>Upstream</v>
      </c>
      <c r="M183" s="71" t="str">
        <f>'Stakeholder list'!N188</f>
        <v>Strategic partner</v>
      </c>
      <c r="N183" s="71" t="str">
        <f>'Stakeholder list'!O188</f>
        <v>Rio de Janeiro, RJ, Brazil</v>
      </c>
      <c r="O183" s="71" t="str">
        <f>'Stakeholder list'!P188</f>
        <v>Grantee</v>
      </c>
      <c r="P183" s="71" t="str">
        <f>'Stakeholder list'!Q188</f>
        <v/>
      </c>
      <c r="Q183" s="71" t="str">
        <f>'Stakeholder list'!R188</f>
        <v/>
      </c>
      <c r="R183" s="71" t="str">
        <f>'Stakeholder list'!S188</f>
        <v/>
      </c>
      <c r="S183" s="71" t="str">
        <f>'Stakeholder list'!T188</f>
        <v>—</v>
      </c>
      <c r="T183" s="71" t="str">
        <f>'Stakeholder list'!U188</f>
        <v/>
      </c>
      <c r="U183" s="71" t="str">
        <f>'Stakeholder list'!V188</f>
        <v/>
      </c>
      <c r="V183" s="71" t="str">
        <f>'Stakeholder list'!W188</f>
        <v/>
      </c>
      <c r="W183" s="71" t="str">
        <f>'Stakeholder list'!X188</f>
        <v/>
      </c>
    </row>
    <row r="184">
      <c r="A184" s="71">
        <f>'Stakeholder list'!B189</f>
        <v>183</v>
      </c>
      <c r="B184" s="71" t="str">
        <f>'Stakeholder list'!C189</f>
        <v>Superintendência do Desenvolvimento do Nordeste (SUDENE)</v>
      </c>
      <c r="C184" s="71" t="str">
        <f>'Stakeholder list'!D189</f>
        <v>Public sector</v>
      </c>
      <c r="D184" s="71" t="str">
        <f>'Stakeholder list'!E189</f>
        <v>Federal Government</v>
      </c>
      <c r="E184" s="71" t="str">
        <f>'Stakeholder list'!F189</f>
        <v>Federal regional development authority; can accelerate systemic transition by aligning regional strategies, incentives and investment pipelines for resilient, inclusive and low-carbon development in the Northeast.</v>
      </c>
      <c r="F184" s="71" t="str">
        <f>'Stakeholder list'!G189</f>
        <v>Regional</v>
      </c>
      <c r="G184" s="71" t="str">
        <f>'Stakeholder list'!H189</f>
        <v>Buildings &amp; Transport, Energy, "Land, Food and Forest"</v>
      </c>
      <c r="H184" s="71" t="str">
        <f>'Stakeholder list'!I189</f>
        <v>Caatinga</v>
      </c>
      <c r="I184" s="71" t="str">
        <f>'Stakeholder list'!J189</f>
        <v>Coastal&amp;maritime, Mata&amp;Atlântica</v>
      </c>
      <c r="J184" s="71" t="str">
        <f>'Stakeholder list'!K189</f>
        <v>It supported regional development in the Northeast where Caatinga predominated and it also addressed coastal and Atlantic Forest-zone territories through regional planning and incentive instruments.</v>
      </c>
      <c r="K184" s="71" t="str">
        <f>'Stakeholder list'!L189</f>
        <v>Territorial anchor, Policy influence / regulation</v>
      </c>
      <c r="L184" s="71" t="str">
        <f>'Stakeholder list'!M189</f>
        <v>Upstream</v>
      </c>
      <c r="M184" s="71" t="str">
        <f>'Stakeholder list'!N189</f>
        <v>Strategic partner</v>
      </c>
      <c r="N184" s="71" t="str">
        <f>'Stakeholder list'!O189</f>
        <v>Recife, PE, Brazil</v>
      </c>
      <c r="O184" s="71" t="str">
        <f>'Stakeholder list'!P189</f>
        <v>Re-granter</v>
      </c>
      <c r="P184" s="71" t="str">
        <f>'Stakeholder list'!Q189</f>
        <v/>
      </c>
      <c r="Q184" s="71" t="str">
        <f>'Stakeholder list'!R189</f>
        <v/>
      </c>
      <c r="R184" s="71" t="str">
        <f>'Stakeholder list'!S189</f>
        <v/>
      </c>
      <c r="S184" s="71" t="str">
        <f>'Stakeholder list'!T189</f>
        <v>—</v>
      </c>
      <c r="T184" s="71" t="str">
        <f>'Stakeholder list'!U189</f>
        <v/>
      </c>
      <c r="U184" s="71" t="str">
        <f>'Stakeholder list'!V189</f>
        <v/>
      </c>
      <c r="V184" s="71" t="str">
        <f>'Stakeholder list'!W189</f>
        <v/>
      </c>
      <c r="W184" s="71" t="str">
        <f>'Stakeholder list'!X189</f>
        <v/>
      </c>
    </row>
    <row r="185">
      <c r="A185" s="71">
        <f>'Stakeholder list'!B190</f>
        <v>184</v>
      </c>
      <c r="B185" s="71" t="str">
        <f>'Stakeholder list'!C190</f>
        <v>Associação Brasileira de Grandes Consumidores Industriais de Energia e de Consumidores Livres (ABRACE)</v>
      </c>
      <c r="C185" s="71" t="str">
        <f>'Stakeholder list'!D190</f>
        <v>Civil Society Organization (CSO)</v>
      </c>
      <c r="D185" s="71" t="str">
        <f>'Stakeholder list'!E190</f>
        <v>Industry platforms and sectoral initiatives</v>
      </c>
      <c r="E185" s="71" t="str">
        <f>'Stakeholder list'!F190</f>
        <v>Association representing large industrial energy consumers and free-market consumers; influences transition by advocating for market design, competitiveness, contracting rules and reliable low-carbon supply.</v>
      </c>
      <c r="F185" s="71" t="str">
        <f>'Stakeholder list'!G190</f>
        <v>National</v>
      </c>
      <c r="G185" s="71" t="str">
        <f>'Stakeholder list'!H190</f>
        <v>Energy</v>
      </c>
      <c r="H185" s="71" t="str">
        <f>'Stakeholder list'!I190</f>
        <v/>
      </c>
      <c r="I185" s="71" t="str">
        <f>'Stakeholder list'!J190</f>
        <v/>
      </c>
      <c r="J185" s="71" t="str">
        <f>'Stakeholder list'!K190</f>
        <v>No biome lens was assigned because it operated through market advocacy and was not associated with biome-specific programs.</v>
      </c>
      <c r="K185" s="71" t="str">
        <f>'Stakeholder list'!L190</f>
        <v>Policy influence / regulation, Convenor/enablers</v>
      </c>
      <c r="L185" s="71" t="str">
        <f>'Stakeholder list'!M190</f>
        <v>Upstream</v>
      </c>
      <c r="M185" s="71" t="str">
        <f>'Stakeholder list'!N190</f>
        <v>Strategic partner</v>
      </c>
      <c r="N185" s="71" t="str">
        <f>'Stakeholder list'!O190</f>
        <v>Brasília, DF, Brazil</v>
      </c>
      <c r="O185" s="71" t="str">
        <f>'Stakeholder list'!P190</f>
        <v>Grantee</v>
      </c>
      <c r="P185" s="71" t="str">
        <f>'Stakeholder list'!Q190</f>
        <v/>
      </c>
      <c r="Q185" s="71" t="str">
        <f>'Stakeholder list'!R190</f>
        <v/>
      </c>
      <c r="R185" s="71" t="str">
        <f>'Stakeholder list'!S190</f>
        <v/>
      </c>
      <c r="S185" s="71" t="str">
        <f>'Stakeholder list'!T190</f>
        <v>—</v>
      </c>
      <c r="T185" s="71" t="str">
        <f>'Stakeholder list'!U190</f>
        <v/>
      </c>
      <c r="U185" s="71" t="str">
        <f>'Stakeholder list'!V190</f>
        <v/>
      </c>
      <c r="V185" s="71" t="str">
        <f>'Stakeholder list'!W190</f>
        <v/>
      </c>
      <c r="W185" s="71" t="str">
        <f>'Stakeholder list'!X190</f>
        <v/>
      </c>
    </row>
    <row r="186">
      <c r="A186" s="71">
        <f>'Stakeholder list'!B191</f>
        <v>185</v>
      </c>
      <c r="B186" s="71" t="str">
        <f>'Stakeholder list'!C191</f>
        <v>Casa dos Ventos</v>
      </c>
      <c r="C186" s="71" t="str">
        <f>'Stakeholder list'!D191</f>
        <v>Private sector</v>
      </c>
      <c r="D186" s="71" t="str">
        <f>'Stakeholder list'!E191</f>
        <v>Private companies (large / leading)</v>
      </c>
      <c r="E186" s="71" t="str">
        <f>'Stakeholder list'!F191</f>
        <v>Renewable energy developer; contributes by developing large-scale wind/solar projects, enabling corporate decarbonization strategies (PPAs/autoproduction) and supporting new clean energy vectors.</v>
      </c>
      <c r="F186" s="71" t="str">
        <f>'Stakeholder list'!G191</f>
        <v>National</v>
      </c>
      <c r="G186" s="71" t="str">
        <f>'Stakeholder list'!H191</f>
        <v>Energy</v>
      </c>
      <c r="H186" s="71" t="str">
        <f>'Stakeholder list'!I191</f>
        <v>Caatinga</v>
      </c>
      <c r="I186" s="71" t="str">
        <f>'Stakeholder list'!J191</f>
        <v>Coastal&amp;maritime</v>
      </c>
      <c r="J186" s="71" t="str">
        <f>'Stakeholder list'!K191</f>
        <v>It developed major wind/renewables in the Northeast where Caatinga landscapes predominated and it also operated in coastal wind corridors, making a coastal interface recurrent.</v>
      </c>
      <c r="K186" s="71" t="str">
        <f>'Stakeholder list'!L191</f>
        <v>Implementation capacity (delivery)</v>
      </c>
      <c r="L186" s="71" t="str">
        <f>'Stakeholder list'!M191</f>
        <v>Downstream</v>
      </c>
      <c r="M186" s="71" t="str">
        <f>'Stakeholder list'!N191</f>
        <v>Co-funding partner</v>
      </c>
      <c r="N186" s="71" t="str">
        <f>'Stakeholder list'!O191</f>
        <v>Fortaleza, CE, Brazil</v>
      </c>
      <c r="O186" s="71" t="str">
        <f>'Stakeholder list'!P191</f>
        <v>Donor</v>
      </c>
      <c r="P186" s="71" t="str">
        <f>'Stakeholder list'!Q191</f>
        <v>Lucas Araripe (Director) </v>
      </c>
      <c r="Q186" s="73" t="str">
        <f>'Stakeholder list'!R191</f>
        <v>https://casadosventos.com.br/</v>
      </c>
      <c r="R186" s="71" t="str">
        <f>'Stakeholder list'!S191</f>
        <v>Key player on the northeast. Worth it getting to know them.  </v>
      </c>
      <c r="S186" s="71" t="str">
        <f>'Stakeholder list'!T191</f>
        <v>—</v>
      </c>
      <c r="T186" s="71" t="str">
        <f>'Stakeholder list'!U191</f>
        <v/>
      </c>
      <c r="U186" s="71" t="str">
        <f>'Stakeholder list'!V191</f>
        <v/>
      </c>
      <c r="V186" s="71" t="str">
        <f>'Stakeholder list'!W191</f>
        <v/>
      </c>
      <c r="W186" s="71" t="str">
        <f>'Stakeholder list'!X191</f>
        <v/>
      </c>
    </row>
    <row r="187">
      <c r="A187" s="71">
        <f>'Stakeholder list'!B192</f>
        <v>186</v>
      </c>
      <c r="B187" s="71" t="str">
        <f>'Stakeholder list'!C192</f>
        <v>Voltalia Energia do Brasil (Voltalia)</v>
      </c>
      <c r="C187" s="71" t="str">
        <f>'Stakeholder list'!D192</f>
        <v>Private sector</v>
      </c>
      <c r="D187" s="71" t="str">
        <f>'Stakeholder list'!E192</f>
        <v>Private companies (SMEs / local enterprises)</v>
      </c>
      <c r="E187" s="71" t="str">
        <f>'Stakeholder list'!F192</f>
        <v>Energy-transition-focused company that supports decarbonization through solutions such as energy management, clean energy sourcing and/or distributed energy services for firms and territories.</v>
      </c>
      <c r="F187" s="71" t="str">
        <f>'Stakeholder list'!G192</f>
        <v>Cross-border / international</v>
      </c>
      <c r="G187" s="71" t="str">
        <f>'Stakeholder list'!H192</f>
        <v>Energy</v>
      </c>
      <c r="H187" s="71" t="str">
        <f>'Stakeholder list'!I192</f>
        <v>Caatinga</v>
      </c>
      <c r="I187" s="71" t="str">
        <f>'Stakeholder list'!J192</f>
        <v>Coastal&amp;maritime</v>
      </c>
      <c r="J187" s="71" t="str">
        <f>'Stakeholder list'!K192</f>
        <v>It developed renewables in Northeast territories commonly associated with Caatinga and it maintained a relevant footprint in coastal renewable corridors and port-linked logistics interfaces.</v>
      </c>
      <c r="K187" s="71" t="str">
        <f>'Stakeholder list'!L192</f>
        <v>Implementation capacity (delivery)</v>
      </c>
      <c r="L187" s="71" t="str">
        <f>'Stakeholder list'!M192</f>
        <v>Downstream</v>
      </c>
      <c r="M187" s="71" t="str">
        <f>'Stakeholder list'!N192</f>
        <v>Co-funding partner</v>
      </c>
      <c r="N187" s="71" t="str">
        <f>'Stakeholder list'!O192</f>
        <v>Rio de Janeiro, RJ, Brazil</v>
      </c>
      <c r="O187" s="71" t="str">
        <f>'Stakeholder list'!P192</f>
        <v>Donor</v>
      </c>
      <c r="P187" s="71" t="str">
        <f>'Stakeholder list'!Q192</f>
        <v/>
      </c>
      <c r="Q187" s="71" t="str">
        <f>'Stakeholder list'!R192</f>
        <v/>
      </c>
      <c r="R187" s="71" t="str">
        <f>'Stakeholder list'!S192</f>
        <v/>
      </c>
      <c r="S187" s="71" t="str">
        <f>'Stakeholder list'!T192</f>
        <v>—</v>
      </c>
      <c r="T187" s="71" t="str">
        <f>'Stakeholder list'!U192</f>
        <v/>
      </c>
      <c r="U187" s="71" t="str">
        <f>'Stakeholder list'!V192</f>
        <v/>
      </c>
      <c r="V187" s="71" t="str">
        <f>'Stakeholder list'!W192</f>
        <v/>
      </c>
      <c r="W187" s="71" t="str">
        <f>'Stakeholder list'!X192</f>
        <v/>
      </c>
    </row>
    <row r="188">
      <c r="A188" s="71">
        <f>'Stakeholder list'!B193</f>
        <v>187</v>
      </c>
      <c r="B188" s="71" t="str">
        <f>'Stakeholder list'!C193</f>
        <v>Brava Energia</v>
      </c>
      <c r="C188" s="71" t="str">
        <f>'Stakeholder list'!D193</f>
        <v>Private sector</v>
      </c>
      <c r="D188" s="71" t="str">
        <f>'Stakeholder list'!E193</f>
        <v>Private companies (large / leading)</v>
      </c>
      <c r="E188" s="71" t="str">
        <f>'Stakeholder list'!F193</f>
        <v>Energy company in the oil and gas segment; can contribute through stronger governance, operational efficiency and methane/emissions management, alongside transparent transition planning.</v>
      </c>
      <c r="F188" s="71" t="str">
        <f>'Stakeholder list'!G193</f>
        <v>National</v>
      </c>
      <c r="G188" s="71" t="str">
        <f>'Stakeholder list'!H193</f>
        <v>Energy</v>
      </c>
      <c r="H188" s="71" t="str">
        <f>'Stakeholder list'!I193</f>
        <v/>
      </c>
      <c r="I188" s="71" t="str">
        <f>'Stakeholder list'!J193</f>
        <v/>
      </c>
      <c r="J188" s="71" t="str">
        <f>'Stakeholder list'!K193</f>
        <v>No biome lens was assigned because the mapping did not confirm a stable set of publicly identifiable projects tied to specific biomes.</v>
      </c>
      <c r="K188" s="71" t="str">
        <f>'Stakeholder list'!L193</f>
        <v>Implementation capacity (delivery)</v>
      </c>
      <c r="L188" s="71" t="str">
        <f>'Stakeholder list'!M193</f>
        <v>Downstream</v>
      </c>
      <c r="M188" s="71" t="str">
        <f>'Stakeholder list'!N193</f>
        <v>Co-funding partner</v>
      </c>
      <c r="N188" s="71" t="str">
        <f>'Stakeholder list'!O193</f>
        <v>Rio de Janeiro, RJ, Brazil</v>
      </c>
      <c r="O188" s="71" t="str">
        <f>'Stakeholder list'!P193</f>
        <v>Donor</v>
      </c>
      <c r="P188" s="71" t="str">
        <f>'Stakeholder list'!Q193</f>
        <v/>
      </c>
      <c r="Q188" s="71" t="str">
        <f>'Stakeholder list'!R193</f>
        <v/>
      </c>
      <c r="R188" s="71" t="str">
        <f>'Stakeholder list'!S193</f>
        <v/>
      </c>
      <c r="S188" s="71" t="str">
        <f>'Stakeholder list'!T193</f>
        <v>—</v>
      </c>
      <c r="T188" s="71" t="str">
        <f>'Stakeholder list'!U193</f>
        <v/>
      </c>
      <c r="U188" s="71" t="str">
        <f>'Stakeholder list'!V193</f>
        <v/>
      </c>
      <c r="V188" s="71" t="str">
        <f>'Stakeholder list'!W193</f>
        <v/>
      </c>
      <c r="W188" s="71" t="str">
        <f>'Stakeholder list'!X193</f>
        <v/>
      </c>
    </row>
    <row r="189">
      <c r="A189" s="71">
        <f>'Stakeholder list'!B194</f>
        <v>188</v>
      </c>
      <c r="B189" s="71" t="str">
        <f>'Stakeholder list'!C194</f>
        <v>Grupo Stellantis (Stellantis)</v>
      </c>
      <c r="C189" s="71" t="str">
        <f>'Stakeholder list'!D194</f>
        <v>Private sector</v>
      </c>
      <c r="D189" s="71" t="str">
        <f>'Stakeholder list'!E194</f>
        <v>Private companies (large / leading)</v>
      </c>
      <c r="E189" s="71" t="str">
        <f>'Stakeholder list'!F194</f>
        <v>Automotive group; can accelerate mobility transition by scaling electrified vehicles, improving fleet efficiency, advancing local supply chains and supporting charging/industrial decarbonization ecosystems.</v>
      </c>
      <c r="F189" s="71" t="str">
        <f>'Stakeholder list'!G194</f>
        <v>Cross-border / international</v>
      </c>
      <c r="G189" s="71" t="str">
        <f>'Stakeholder list'!H194</f>
        <v>Energy</v>
      </c>
      <c r="H189" s="71" t="str">
        <f>'Stakeholder list'!I194</f>
        <v/>
      </c>
      <c r="I189" s="71" t="str">
        <f>'Stakeholder list'!J194</f>
        <v/>
      </c>
      <c r="J189" s="71" t="str">
        <f>'Stakeholder list'!K194</f>
        <v>No biome lens was assigned because manufacturing/market actions were not organized by biome-based territorial programs.</v>
      </c>
      <c r="K189" s="71" t="str">
        <f>'Stakeholder list'!L194</f>
        <v>Strategic partner, Implementation capacity (delivery)</v>
      </c>
      <c r="L189" s="71" t="str">
        <f>'Stakeholder list'!M194</f>
        <v>Downstream</v>
      </c>
      <c r="M189" s="71" t="str">
        <f>'Stakeholder list'!N194</f>
        <v>Co-funding partner</v>
      </c>
      <c r="N189" s="71" t="str">
        <f>'Stakeholder list'!O194</f>
        <v>Belo Horizonte, MG, Brazil</v>
      </c>
      <c r="O189" s="71" t="str">
        <f>'Stakeholder list'!P194</f>
        <v>Donor</v>
      </c>
      <c r="P189" s="71" t="str">
        <f>'Stakeholder list'!Q194</f>
        <v/>
      </c>
      <c r="Q189" s="71" t="str">
        <f>'Stakeholder list'!R194</f>
        <v/>
      </c>
      <c r="R189" s="71" t="str">
        <f>'Stakeholder list'!S194</f>
        <v/>
      </c>
      <c r="S189" s="71" t="str">
        <f>'Stakeholder list'!T194</f>
        <v>—</v>
      </c>
      <c r="T189" s="71" t="str">
        <f>'Stakeholder list'!U194</f>
        <v/>
      </c>
      <c r="U189" s="71" t="str">
        <f>'Stakeholder list'!V194</f>
        <v/>
      </c>
      <c r="V189" s="71" t="str">
        <f>'Stakeholder list'!W194</f>
        <v/>
      </c>
      <c r="W189" s="71" t="str">
        <f>'Stakeholder list'!X194</f>
        <v/>
      </c>
    </row>
    <row r="190">
      <c r="A190" s="71">
        <f>'Stakeholder list'!B195</f>
        <v>189</v>
      </c>
      <c r="B190" s="71" t="str">
        <f>'Stakeholder list'!C195</f>
        <v>Agência Brasileira de Promoção de Exportações e Investimentos (ApexBrasil)</v>
      </c>
      <c r="C190" s="71" t="str">
        <f>'Stakeholder list'!D195</f>
        <v>Public sector</v>
      </c>
      <c r="D190" s="71" t="str">
        <f>'Stakeholder list'!E195</f>
        <v>Public agencies and regulators</v>
      </c>
      <c r="E190" s="71" t="str">
        <f>'Stakeholder list'!F195</f>
        <v>National trade and investment promotion agency; can support systemic transition by attracting sustainable investment, promoting competitive green exports and strengthening business internationalization aligned with low-carbon strategies.</v>
      </c>
      <c r="F190" s="71" t="str">
        <f>'Stakeholder list'!G195</f>
        <v>National</v>
      </c>
      <c r="G190" s="71" t="str">
        <f>'Stakeholder list'!H195</f>
        <v>Buildings &amp; Transport, Energy</v>
      </c>
      <c r="H190" s="71" t="str">
        <f>'Stakeholder list'!I195</f>
        <v/>
      </c>
      <c r="I190" s="71" t="str">
        <f>'Stakeholder list'!J195</f>
        <v/>
      </c>
      <c r="J190" s="71" t="str">
        <f>'Stakeholder list'!K195</f>
        <v>No biome lens was assigned because it acted via national trade/investment promotion tools rather than biome-delimited initiatives.</v>
      </c>
      <c r="K190" s="71" t="str">
        <f>'Stakeholder list'!L195</f>
        <v>Convenor/enablers, Policy influence / regulation</v>
      </c>
      <c r="L190" s="71" t="str">
        <f>'Stakeholder list'!M195</f>
        <v>Midstream</v>
      </c>
      <c r="M190" s="71" t="str">
        <f>'Stakeholder list'!N195</f>
        <v>Strategic partner</v>
      </c>
      <c r="N190" s="71" t="str">
        <f>'Stakeholder list'!O195</f>
        <v>Brasília, DF, Brazil</v>
      </c>
      <c r="O190" s="71" t="str">
        <f>'Stakeholder list'!P195</f>
        <v>Grantee</v>
      </c>
      <c r="P190" s="71" t="str">
        <f>'Stakeholder list'!Q195</f>
        <v/>
      </c>
      <c r="Q190" s="71" t="str">
        <f>'Stakeholder list'!R195</f>
        <v/>
      </c>
      <c r="R190" s="71" t="str">
        <f>'Stakeholder list'!S195</f>
        <v/>
      </c>
      <c r="S190" s="71" t="str">
        <f>'Stakeholder list'!T195</f>
        <v>—</v>
      </c>
      <c r="T190" s="71" t="str">
        <f>'Stakeholder list'!U195</f>
        <v/>
      </c>
      <c r="U190" s="71" t="str">
        <f>'Stakeholder list'!V195</f>
        <v/>
      </c>
      <c r="V190" s="71" t="str">
        <f>'Stakeholder list'!W195</f>
        <v/>
      </c>
      <c r="W190" s="71" t="str">
        <f>'Stakeholder list'!X195</f>
        <v/>
      </c>
    </row>
    <row r="191">
      <c r="A191" s="71">
        <f>'Stakeholder list'!B196</f>
        <v>190</v>
      </c>
      <c r="B191" s="71" t="str">
        <f>'Stakeholder list'!C196</f>
        <v>Complexo Industrial Portuário de Suape (Suape)</v>
      </c>
      <c r="C191" s="71" t="str">
        <f>'Stakeholder list'!D196</f>
        <v>Public sector</v>
      </c>
      <c r="D191" s="71" t="str">
        <f>'Stakeholder list'!E196</f>
        <v>Public agencies and regulators</v>
      </c>
      <c r="E191" s="71" t="str">
        <f>'Stakeholder list'!F196</f>
        <v>Port and industrial complex authority in Pernambuco; supports systemic transition by enabling logistics and industrial infrastructure, embedding ESG standards, improving energy efficiency, adopting low-carbon fuels in operations, and hosting new low-carbon industrial clusters where applicable.</v>
      </c>
      <c r="F191" s="71" t="str">
        <f>'Stakeholder list'!G196</f>
        <v>State-level</v>
      </c>
      <c r="G191" s="71" t="str">
        <f>'Stakeholder list'!H196</f>
        <v>Buildings &amp; Transport, Energy</v>
      </c>
      <c r="H191" s="71" t="str">
        <f>'Stakeholder list'!I196</f>
        <v/>
      </c>
      <c r="I191" s="71" t="str">
        <f>'Stakeholder list'!J196</f>
        <v>Coastal&amp;maritime</v>
      </c>
      <c r="J191" s="71" t="str">
        <f>'Stakeholder list'!K196</f>
        <v>It operated a port/industrial hub directly located in coastal/marine interface territories, making the coastal-maritime lens the most consistent territorial cut.</v>
      </c>
      <c r="K191" s="71" t="str">
        <f>'Stakeholder list'!L196</f>
        <v>Territorial anchor, Implementation capacity (delivery)</v>
      </c>
      <c r="L191" s="71" t="str">
        <f>'Stakeholder list'!M196</f>
        <v>Downstream</v>
      </c>
      <c r="M191" s="71" t="str">
        <f>'Stakeholder list'!N196</f>
        <v>Strategic partner</v>
      </c>
      <c r="N191" s="71" t="str">
        <f>'Stakeholder list'!O196</f>
        <v>Ipojuca, PE, Brazil</v>
      </c>
      <c r="O191" s="71" t="str">
        <f>'Stakeholder list'!P196</f>
        <v>Grantee</v>
      </c>
      <c r="P191" s="71" t="str">
        <f>'Stakeholder list'!Q196</f>
        <v/>
      </c>
      <c r="Q191" s="71" t="str">
        <f>'Stakeholder list'!R196</f>
        <v/>
      </c>
      <c r="R191" s="71" t="str">
        <f>'Stakeholder list'!S196</f>
        <v/>
      </c>
      <c r="S191" s="71" t="str">
        <f>'Stakeholder list'!T196</f>
        <v>—</v>
      </c>
      <c r="T191" s="71" t="str">
        <f>'Stakeholder list'!U196</f>
        <v/>
      </c>
      <c r="U191" s="71" t="str">
        <f>'Stakeholder list'!V196</f>
        <v/>
      </c>
      <c r="V191" s="71" t="str">
        <f>'Stakeholder list'!W196</f>
        <v/>
      </c>
      <c r="W191" s="71" t="str">
        <f>'Stakeholder list'!X196</f>
        <v/>
      </c>
    </row>
    <row r="192">
      <c r="A192" s="71">
        <f>'Stakeholder list'!B197</f>
        <v>191</v>
      </c>
      <c r="B192" s="71" t="str">
        <f>'Stakeholder list'!C197</f>
        <v>Complexo do Pecém (CIPP S.A.)</v>
      </c>
      <c r="C192" s="71" t="str">
        <f>'Stakeholder list'!D197</f>
        <v>Public sector</v>
      </c>
      <c r="D192" s="71" t="str">
        <f>'Stakeholder list'!E197</f>
        <v>Public agencies and regulators</v>
      </c>
      <c r="E192" s="71" t="str">
        <f>'Stakeholder list'!F197</f>
        <v>Port and industrial complex company in Ceará (integrated with ZPEs); can accelerate transition by anchoring low-carbon industrial investment, developing energy/logistics infrastructure, and enabling export-oriented value chains linked to renewables and green hydrogen.</v>
      </c>
      <c r="F192" s="71" t="str">
        <f>'Stakeholder list'!G197</f>
        <v>State-level</v>
      </c>
      <c r="G192" s="71" t="str">
        <f>'Stakeholder list'!H197</f>
        <v>Buildings &amp; Transport, Energy</v>
      </c>
      <c r="H192" s="71" t="str">
        <f>'Stakeholder list'!I197</f>
        <v/>
      </c>
      <c r="I192" s="71" t="str">
        <f>'Stakeholder list'!J197</f>
        <v>Coastal&amp;maritime</v>
      </c>
      <c r="J192" s="71" t="str">
        <f>'Stakeholder list'!K197</f>
        <v>It operated a port/industrial hub on the coastline and it anchored transition investments (including new energy vectors) through a coastal-maritime territorial interface.</v>
      </c>
      <c r="K192" s="71" t="str">
        <f>'Stakeholder list'!L197</f>
        <v>Territorial anchor, Implementation capacity (delivery)</v>
      </c>
      <c r="L192" s="71" t="str">
        <f>'Stakeholder list'!M197</f>
        <v>Downstream</v>
      </c>
      <c r="M192" s="71" t="str">
        <f>'Stakeholder list'!N197</f>
        <v>Strategic partner</v>
      </c>
      <c r="N192" s="71" t="str">
        <f>'Stakeholder list'!O197</f>
        <v>São Gonçalo do Amarante, CE, Brazil</v>
      </c>
      <c r="O192" s="71" t="str">
        <f>'Stakeholder list'!P197</f>
        <v>Grantee</v>
      </c>
      <c r="P192" s="71" t="str">
        <f>'Stakeholder list'!Q197</f>
        <v/>
      </c>
      <c r="Q192" s="71" t="str">
        <f>'Stakeholder list'!R197</f>
        <v/>
      </c>
      <c r="R192" s="71" t="str">
        <f>'Stakeholder list'!S197</f>
        <v/>
      </c>
      <c r="S192" s="71" t="str">
        <f>'Stakeholder list'!T197</f>
        <v>—</v>
      </c>
      <c r="T192" s="71" t="str">
        <f>'Stakeholder list'!U197</f>
        <v/>
      </c>
      <c r="U192" s="71" t="str">
        <f>'Stakeholder list'!V197</f>
        <v/>
      </c>
      <c r="V192" s="71" t="str">
        <f>'Stakeholder list'!W197</f>
        <v/>
      </c>
      <c r="W192" s="71" t="str">
        <f>'Stakeholder list'!X197</f>
        <v/>
      </c>
    </row>
    <row r="193">
      <c r="A193" s="71">
        <f>'Stakeholder list'!B198</f>
        <v>192</v>
      </c>
      <c r="B193" s="71" t="str">
        <f>'Stakeholder list'!C198</f>
        <v>Hydrogen Council</v>
      </c>
      <c r="C193" s="71" t="str">
        <f>'Stakeholder list'!D198</f>
        <v>Civil Society Organization (CSO)</v>
      </c>
      <c r="D193" s="71" t="str">
        <f>'Stakeholder list'!E198</f>
        <v>Industry platforms and sectoral initiatives</v>
      </c>
      <c r="E193" s="71" t="str">
        <f>'Stakeholder list'!F198</f>
        <v>Global CEO-led coalition of companies and investors to accelerate clean hydrogen; contributes through advocacy, market studies, coordination of commitments, and reducing barriers to scaling projects and enabling regulation.</v>
      </c>
      <c r="F193" s="71" t="str">
        <f>'Stakeholder list'!G198</f>
        <v>Cross-border / international</v>
      </c>
      <c r="G193" s="71" t="str">
        <f>'Stakeholder list'!H198</f>
        <v>Buildings &amp; Transport, Energy</v>
      </c>
      <c r="H193" s="71" t="str">
        <f>'Stakeholder list'!I198</f>
        <v/>
      </c>
      <c r="I193" s="71" t="str">
        <f>'Stakeholder list'!J198</f>
        <v/>
      </c>
      <c r="J193" s="71" t="str">
        <f>'Stakeholder list'!K198</f>
        <v>No biome lens was assigned because it acted globally through market/policy coordination and was not mapped as a Brazil biome-targeted actor.</v>
      </c>
      <c r="K193" s="71" t="str">
        <f>'Stakeholder list'!L198</f>
        <v>Convenor/enablers, Policy influence / regulation</v>
      </c>
      <c r="L193" s="71" t="str">
        <f>'Stakeholder list'!M198</f>
        <v>Upstream</v>
      </c>
      <c r="M193" s="71" t="str">
        <f>'Stakeholder list'!N198</f>
        <v>Grant recipient</v>
      </c>
      <c r="N193" s="71" t="str">
        <f>'Stakeholder list'!O198</f>
        <v>Brussels, Belgium</v>
      </c>
      <c r="O193" s="71" t="str">
        <f>'Stakeholder list'!P198</f>
        <v>Grantee</v>
      </c>
      <c r="P193" s="71" t="str">
        <f>'Stakeholder list'!Q198</f>
        <v/>
      </c>
      <c r="Q193" s="71" t="str">
        <f>'Stakeholder list'!R198</f>
        <v/>
      </c>
      <c r="R193" s="71" t="str">
        <f>'Stakeholder list'!S198</f>
        <v/>
      </c>
      <c r="S193" s="71" t="str">
        <f>'Stakeholder list'!T198</f>
        <v>—</v>
      </c>
      <c r="T193" s="71" t="str">
        <f>'Stakeholder list'!U198</f>
        <v/>
      </c>
      <c r="U193" s="71" t="str">
        <f>'Stakeholder list'!V198</f>
        <v/>
      </c>
      <c r="V193" s="71" t="str">
        <f>'Stakeholder list'!W198</f>
        <v/>
      </c>
      <c r="W193" s="71" t="str">
        <f>'Stakeholder list'!X198</f>
        <v/>
      </c>
    </row>
    <row r="194">
      <c r="A194" s="71">
        <f>'Stakeholder list'!B199</f>
        <v>193</v>
      </c>
      <c r="B194" s="71" t="str">
        <f>'Stakeholder list'!C199</f>
        <v>World Energy Council</v>
      </c>
      <c r="C194" s="71" t="str">
        <f>'Stakeholder list'!D199</f>
        <v>Others</v>
      </c>
      <c r="D194" s="71" t="str">
        <f>'Stakeholder list'!E199</f>
        <v>Multi-stakeholder initiatives</v>
      </c>
      <c r="E194" s="71" t="str">
        <f>'Stakeholder list'!F199</f>
        <v>Global platform convening energy leaders and experts; contributes through dialogue, reports and convening to support energy systems that are secure, affordable and sustainable, informing strategic transition decisions.</v>
      </c>
      <c r="F194" s="71" t="str">
        <f>'Stakeholder list'!G199</f>
        <v>Cross-border / international</v>
      </c>
      <c r="G194" s="71" t="str">
        <f>'Stakeholder list'!H199</f>
        <v>Energy</v>
      </c>
      <c r="H194" s="71" t="str">
        <f>'Stakeholder list'!I199</f>
        <v/>
      </c>
      <c r="I194" s="71" t="str">
        <f>'Stakeholder list'!J199</f>
        <v/>
      </c>
      <c r="J194" s="71" t="str">
        <f>'Stakeholder list'!K199</f>
        <v>No biome lens was assigned because it operated through global convening/knowledge products rather than biome-delimited implementation.</v>
      </c>
      <c r="K194" s="71" t="str">
        <f>'Stakeholder list'!L199</f>
        <v>Convenor/enablers, Technical assistance / research</v>
      </c>
      <c r="L194" s="71" t="str">
        <f>'Stakeholder list'!M199</f>
        <v>Upstream</v>
      </c>
      <c r="M194" s="71" t="str">
        <f>'Stakeholder list'!N199</f>
        <v>Strategic partner</v>
      </c>
      <c r="N194" s="71" t="str">
        <f>'Stakeholder list'!O199</f>
        <v>London, United Kingdom</v>
      </c>
      <c r="O194" s="71" t="str">
        <f>'Stakeholder list'!P199</f>
        <v>Grantee</v>
      </c>
      <c r="P194" s="71" t="str">
        <f>'Stakeholder list'!Q199</f>
        <v/>
      </c>
      <c r="Q194" s="71" t="str">
        <f>'Stakeholder list'!R199</f>
        <v/>
      </c>
      <c r="R194" s="71" t="str">
        <f>'Stakeholder list'!S199</f>
        <v/>
      </c>
      <c r="S194" s="71" t="str">
        <f>'Stakeholder list'!T199</f>
        <v>—</v>
      </c>
      <c r="T194" s="71" t="str">
        <f>'Stakeholder list'!U199</f>
        <v/>
      </c>
      <c r="U194" s="71" t="str">
        <f>'Stakeholder list'!V199</f>
        <v/>
      </c>
      <c r="V194" s="71" t="str">
        <f>'Stakeholder list'!W199</f>
        <v/>
      </c>
      <c r="W194" s="71" t="str">
        <f>'Stakeholder list'!X199</f>
        <v/>
      </c>
    </row>
    <row r="195">
      <c r="A195" s="71">
        <f>'Stakeholder list'!B200</f>
        <v>194</v>
      </c>
      <c r="B195" s="71" t="str">
        <f>'Stakeholder list'!C200</f>
        <v>Câmara Setorial de Energias Renováveis do Ceará (CS Renováveis/CE)</v>
      </c>
      <c r="C195" s="71" t="str">
        <f>'Stakeholder list'!D200</f>
        <v>Public sector</v>
      </c>
      <c r="D195" s="71" t="str">
        <f>'Stakeholder list'!E200</f>
        <v>Multi-stakeholder initiatives</v>
      </c>
      <c r="E195" s="71" t="str">
        <f>'Stakeholder list'!F200</f>
        <v>State-level sector chamber that convenes stakeholders around renewables; supports transition by coordinating dialogue, proposing guidelines and helping shape policies/roadmaps for expanding renewables (including wind, solar and green hydrogen).</v>
      </c>
      <c r="F195" s="71" t="str">
        <f>'Stakeholder list'!G200</f>
        <v>State-level</v>
      </c>
      <c r="G195" s="71" t="str">
        <f>'Stakeholder list'!H200</f>
        <v>Energy</v>
      </c>
      <c r="H195" s="71" t="str">
        <f>'Stakeholder list'!I200</f>
        <v>Caatinga</v>
      </c>
      <c r="I195" s="71" t="str">
        <f>'Stakeholder list'!J200</f>
        <v>Coastal&amp;maritime</v>
      </c>
      <c r="J195" s="71" t="str">
        <f>'Stakeholder list'!K200</f>
        <v>It convened renewable-energy expansion in Ceará where Caatinga predominated and it also addressed coastal renewable corridors and port-linked energy vectors through a coastal interface.</v>
      </c>
      <c r="K195" s="71" t="str">
        <f>'Stakeholder list'!L200</f>
        <v>Territorial anchor, Convenor/enablers</v>
      </c>
      <c r="L195" s="71" t="str">
        <f>'Stakeholder list'!M200</f>
        <v>Midstream</v>
      </c>
      <c r="M195" s="71" t="str">
        <f>'Stakeholder list'!N200</f>
        <v>Strategic partner</v>
      </c>
      <c r="N195" s="71" t="str">
        <f>'Stakeholder list'!O200</f>
        <v>Fortaleza, CE, Brazil</v>
      </c>
      <c r="O195" s="71" t="str">
        <f>'Stakeholder list'!P200</f>
        <v>Grantee</v>
      </c>
      <c r="P195" s="71" t="str">
        <f>'Stakeholder list'!Q200</f>
        <v/>
      </c>
      <c r="Q195" s="71" t="str">
        <f>'Stakeholder list'!R200</f>
        <v/>
      </c>
      <c r="R195" s="71" t="str">
        <f>'Stakeholder list'!S200</f>
        <v/>
      </c>
      <c r="S195" s="71" t="str">
        <f>'Stakeholder list'!T200</f>
        <v>—</v>
      </c>
      <c r="T195" s="71" t="str">
        <f>'Stakeholder list'!U200</f>
        <v/>
      </c>
      <c r="U195" s="71" t="str">
        <f>'Stakeholder list'!V200</f>
        <v/>
      </c>
      <c r="V195" s="71" t="str">
        <f>'Stakeholder list'!W200</f>
        <v/>
      </c>
      <c r="W195" s="71" t="str">
        <f>'Stakeholder list'!X200</f>
        <v/>
      </c>
    </row>
    <row r="196">
      <c r="A196" s="71">
        <f>'Stakeholder list'!B201</f>
        <v>195</v>
      </c>
      <c r="B196" s="71" t="str">
        <f>'Stakeholder list'!C201</f>
        <v>Glasgow Financial Alliance for Net Zero (GFANZ)</v>
      </c>
      <c r="C196" s="71" t="str">
        <f>'Stakeholder list'!D201</f>
        <v>Others</v>
      </c>
      <c r="D196" s="71" t="str">
        <f>'Stakeholder list'!E201</f>
        <v>Alliances</v>
      </c>
      <c r="E196" s="71" t="str">
        <f>'Stakeholder list'!F201</f>
        <v>International finance-sector alliance to accelerate net-zero; contributes by convening financial institutions, promoting transition guidance and voluntary frameworks, mobilizing capital, and helping remove barriers to climate investment.</v>
      </c>
      <c r="F196" s="71" t="str">
        <f>'Stakeholder list'!G201</f>
        <v>Cross-border / international</v>
      </c>
      <c r="G196" s="71" t="str">
        <f>'Stakeholder list'!H201</f>
        <v>Buildings &amp; Transport, Energy</v>
      </c>
      <c r="H196" s="71" t="str">
        <f>'Stakeholder list'!I201</f>
        <v/>
      </c>
      <c r="I196" s="71" t="str">
        <f>'Stakeholder list'!J201</f>
        <v/>
      </c>
      <c r="J196" s="71" t="str">
        <f>'Stakeholder list'!K201</f>
        <v>No biome lens was assigned because it operated through global finance frameworks and was not mapped as a biome-delimited Brazil implementation actor.</v>
      </c>
      <c r="K196" s="71" t="str">
        <f>'Stakeholder list'!L201</f>
        <v>Convenor/enablers, Capital provider / Financial intermediary</v>
      </c>
      <c r="L196" s="71" t="str">
        <f>'Stakeholder list'!M201</f>
        <v>Midstream</v>
      </c>
      <c r="M196" s="71" t="str">
        <f>'Stakeholder list'!N201</f>
        <v>Strategic partner</v>
      </c>
      <c r="N196" s="71" t="str">
        <f>'Stakeholder list'!O201</f>
        <v>New York, NY, USA</v>
      </c>
      <c r="O196" s="71" t="str">
        <f>'Stakeholder list'!P201</f>
        <v>Re-granter</v>
      </c>
      <c r="P196" s="71" t="str">
        <f>'Stakeholder list'!Q201</f>
        <v/>
      </c>
      <c r="Q196" s="71" t="str">
        <f>'Stakeholder list'!R201</f>
        <v/>
      </c>
      <c r="R196" s="71" t="str">
        <f>'Stakeholder list'!S201</f>
        <v/>
      </c>
      <c r="S196" s="71" t="str">
        <f>'Stakeholder list'!T201</f>
        <v>—</v>
      </c>
      <c r="T196" s="71" t="str">
        <f>'Stakeholder list'!U201</f>
        <v/>
      </c>
      <c r="U196" s="71" t="str">
        <f>'Stakeholder list'!V201</f>
        <v/>
      </c>
      <c r="V196" s="71" t="str">
        <f>'Stakeholder list'!W201</f>
        <v/>
      </c>
      <c r="W196" s="71" t="str">
        <f>'Stakeholder list'!X201</f>
        <v/>
      </c>
    </row>
    <row r="197">
      <c r="A197" s="71">
        <f>'Stakeholder list'!B202</f>
        <v>196</v>
      </c>
      <c r="B197" s="71" t="str">
        <f>'Stakeholder list'!C202</f>
        <v>Centro Brasileiro de Relações Internacionais (CEBRI)</v>
      </c>
      <c r="C197" s="71" t="str">
        <f>'Stakeholder list'!D202</f>
        <v>Civil Society Organization (CSO)</v>
      </c>
      <c r="D197" s="71" t="str">
        <f>'Stakeholder list'!E202</f>
        <v>Think tanks</v>
      </c>
      <c r="E197" s="71" t="str">
        <f>'Stakeholder list'!F202</f>
        <v>Brazilian international relations think tank; contributes by producing analysis and convening dialogue on global governance, climate and development, connecting public sector, private sector and civil society.</v>
      </c>
      <c r="F197" s="71" t="str">
        <f>'Stakeholder list'!G202</f>
        <v>National</v>
      </c>
      <c r="G197" s="71" t="str">
        <f>'Stakeholder list'!H202</f>
        <v>Buildings &amp; Transport, Energy, "Land, Food and Forest"</v>
      </c>
      <c r="H197" s="71" t="str">
        <f>'Stakeholder list'!I202</f>
        <v/>
      </c>
      <c r="I197" s="71" t="str">
        <f>'Stakeholder list'!J202</f>
        <v/>
      </c>
      <c r="J197" s="71" t="str">
        <f>'Stakeholder list'!K202</f>
        <v>No biome lens was assigned because it operated through policy dialogue and research without a biome-delimited implementation portfolio.</v>
      </c>
      <c r="K197" s="71" t="str">
        <f>'Stakeholder list'!L202</f>
        <v>Technical assistance / research, Policy influence / regulation</v>
      </c>
      <c r="L197" s="71" t="str">
        <f>'Stakeholder list'!M202</f>
        <v>Upstream</v>
      </c>
      <c r="M197" s="71" t="str">
        <f>'Stakeholder list'!N202</f>
        <v>Grant recipient</v>
      </c>
      <c r="N197" s="71" t="str">
        <f>'Stakeholder list'!O202</f>
        <v>Rio de Janeiro, RJ, Brazil</v>
      </c>
      <c r="O197" s="71" t="str">
        <f>'Stakeholder list'!P202</f>
        <v>Grantee</v>
      </c>
      <c r="P197" s="71" t="str">
        <f>'Stakeholder list'!Q202</f>
        <v/>
      </c>
      <c r="Q197" s="71" t="str">
        <f>'Stakeholder list'!R202</f>
        <v/>
      </c>
      <c r="R197" s="71" t="str">
        <f>'Stakeholder list'!S202</f>
        <v/>
      </c>
      <c r="S197" s="71" t="str">
        <f>'Stakeholder list'!T202</f>
        <v>—</v>
      </c>
      <c r="T197" s="71" t="str">
        <f>'Stakeholder list'!U202</f>
        <v/>
      </c>
      <c r="U197" s="71" t="str">
        <f>'Stakeholder list'!V202</f>
        <v/>
      </c>
      <c r="V197" s="71" t="str">
        <f>'Stakeholder list'!W202</f>
        <v/>
      </c>
      <c r="W197" s="71" t="str">
        <f>'Stakeholder list'!X202</f>
        <v/>
      </c>
    </row>
    <row r="198">
      <c r="A198" s="71">
        <f>'Stakeholder list'!B203</f>
        <v>197</v>
      </c>
      <c r="B198" s="71" t="str">
        <f>'Stakeholder list'!C203</f>
        <v>Future Climate</v>
      </c>
      <c r="C198" s="71" t="str">
        <f>'Stakeholder list'!D203</f>
        <v>Private sector</v>
      </c>
      <c r="D198" s="71" t="str">
        <f>'Stakeholder list'!E203</f>
        <v>Private companies (SMEs / local enterprises)</v>
      </c>
      <c r="E198" s="71" t="str">
        <f>'Stakeholder list'!F203</f>
        <v>Climate tech and carbon market company; supports transition by providing climate intelligence and enabling access to carbon/finance mechanisms that can fund decarbonization and high-integrity climate solutions.</v>
      </c>
      <c r="F198" s="71" t="str">
        <f>'Stakeholder list'!G203</f>
        <v>National</v>
      </c>
      <c r="G198" s="71" t="str">
        <f>'Stakeholder list'!H203</f>
        <v>Buildings &amp; Transport, Energy, "Land, Food and Forest"</v>
      </c>
      <c r="H198" s="71" t="str">
        <f>'Stakeholder list'!I203</f>
        <v/>
      </c>
      <c r="I198" s="71" t="str">
        <f>'Stakeholder list'!J203</f>
        <v/>
      </c>
      <c r="J198" s="71" t="str">
        <f>'Stakeholder list'!K203</f>
        <v>No biome lens was assigned because the mapping did not confirm publicly identifiable, biome-specific project execution.</v>
      </c>
      <c r="K198" s="71" t="str">
        <f>'Stakeholder list'!L203</f>
        <v>Technical assistance / research</v>
      </c>
      <c r="L198" s="71" t="str">
        <f>'Stakeholder list'!M203</f>
        <v>Upstream</v>
      </c>
      <c r="M198" s="71" t="str">
        <f>'Stakeholder list'!N203</f>
        <v>Strategic partner</v>
      </c>
      <c r="N198" s="71" t="str">
        <f>'Stakeholder list'!O203</f>
        <v>São Paulo, SP, Brazil</v>
      </c>
      <c r="O198" s="71" t="str">
        <f>'Stakeholder list'!P203</f>
        <v>Grantee</v>
      </c>
      <c r="P198" s="71" t="str">
        <f>'Stakeholder list'!Q203</f>
        <v/>
      </c>
      <c r="Q198" s="71" t="str">
        <f>'Stakeholder list'!R203</f>
        <v/>
      </c>
      <c r="R198" s="71" t="str">
        <f>'Stakeholder list'!S203</f>
        <v/>
      </c>
      <c r="S198" s="71" t="str">
        <f>'Stakeholder list'!T203</f>
        <v>—</v>
      </c>
      <c r="T198" s="71" t="str">
        <f>'Stakeholder list'!U203</f>
        <v/>
      </c>
      <c r="U198" s="71" t="str">
        <f>'Stakeholder list'!V203</f>
        <v/>
      </c>
      <c r="V198" s="71" t="str">
        <f>'Stakeholder list'!W203</f>
        <v/>
      </c>
      <c r="W198" s="71" t="str">
        <f>'Stakeholder list'!X203</f>
        <v/>
      </c>
    </row>
    <row r="199">
      <c r="A199" s="71">
        <f>'Stakeholder list'!B204</f>
        <v>198</v>
      </c>
      <c r="B199" s="71" t="str">
        <f>'Stakeholder list'!C204</f>
        <v>AS-PTA – Agricultura Familiar e Agroecologia (AS-PTA)</v>
      </c>
      <c r="C199" s="71" t="str">
        <f>'Stakeholder list'!D204</f>
        <v>Civil Society Organization (CSO)</v>
      </c>
      <c r="D199" s="71" t="str">
        <f>'Stakeholder list'!E204</f>
        <v>Local implementers</v>
      </c>
      <c r="E199" s="71" t="str">
        <f>'Stakeholder list'!F204</f>
        <v>Civil society organization strengthening family farming and agroecology; contributes through technical support, network building and advocacy for sustainable, resilient and equitable food systems.</v>
      </c>
      <c r="F199" s="71" t="str">
        <f>'Stakeholder list'!G204</f>
        <v>Regional </v>
      </c>
      <c r="G199" s="71" t="str">
        <f>'Stakeholder list'!H204</f>
        <v>Energy, "Land, Food and Forest"</v>
      </c>
      <c r="H199" s="71" t="str">
        <f>'Stakeholder list'!I204</f>
        <v>Caatinga</v>
      </c>
      <c r="I199" s="71" t="str">
        <f>'Stakeholder list'!J204</f>
        <v>Mata&amp;Atlântica</v>
      </c>
      <c r="J199" s="71" t="str">
        <f>'Stakeholder list'!K204</f>
        <v>It implemented agroecology and family-farming support strongly linked to the Semi-arid (Caatinga) and it also operated in Atlantic Forest-zone rural territories via networks and field initiatives.</v>
      </c>
      <c r="K199" s="71" t="str">
        <f>'Stakeholder list'!L204</f>
        <v>Project developer / Implementer, Community legitimacy / proximate leadership</v>
      </c>
      <c r="L199" s="71" t="str">
        <f>'Stakeholder list'!M204</f>
        <v>Downstream</v>
      </c>
      <c r="M199" s="71" t="str">
        <f>'Stakeholder list'!N204</f>
        <v>Grant recipient</v>
      </c>
      <c r="N199" s="71" t="str">
        <f>'Stakeholder list'!O204</f>
        <v>Rio de Janeiro, RJ, Brazil</v>
      </c>
      <c r="O199" s="71" t="str">
        <f>'Stakeholder list'!P204</f>
        <v>Grantee</v>
      </c>
      <c r="P199" s="71" t="str">
        <f>'Stakeholder list'!Q204</f>
        <v/>
      </c>
      <c r="Q199" s="73" t="str">
        <f>'Stakeholder list'!R204</f>
        <v>https://aspta.org.br/</v>
      </c>
      <c r="R199" s="71" t="str">
        <f>'Stakeholder list'!S204</f>
        <v>Strategic implementing partner at the northeast </v>
      </c>
      <c r="S199" s="71" t="str">
        <f>'Stakeholder list'!T204</f>
        <v>—</v>
      </c>
      <c r="T199" s="71" t="str">
        <f>'Stakeholder list'!U204</f>
        <v/>
      </c>
      <c r="U199" s="71" t="str">
        <f>'Stakeholder list'!V204</f>
        <v/>
      </c>
      <c r="V199" s="71" t="str">
        <f>'Stakeholder list'!W204</f>
        <v/>
      </c>
      <c r="W199" s="71" t="str">
        <f>'Stakeholder list'!X204</f>
        <v/>
      </c>
    </row>
    <row r="200">
      <c r="A200" s="71">
        <f>'Stakeholder list'!B205</f>
        <v>199</v>
      </c>
      <c r="B200" s="71" t="str">
        <f>'Stakeholder list'!C205</f>
        <v>Associação Brasileira das Entidades dos Mercados Financeiro e de Capitais (ANBIMA)</v>
      </c>
      <c r="C200" s="71" t="str">
        <f>'Stakeholder list'!D205</f>
        <v>Civil Society Organization (CSO)</v>
      </c>
      <c r="D200" s="71" t="str">
        <f>'Stakeholder list'!E205</f>
        <v>Industry platforms and sectoral initiatives</v>
      </c>
      <c r="E200" s="71" t="str">
        <f>'Stakeholder list'!F205</f>
        <v>Financial and capital markets association with a representation and self-regulatory role; supports transition by promoting standards, transparency and best practices that can steer sustainable finance products and capital flows.</v>
      </c>
      <c r="F200" s="71" t="str">
        <f>'Stakeholder list'!G205</f>
        <v>National</v>
      </c>
      <c r="G200" s="71" t="str">
        <f>'Stakeholder list'!H205</f>
        <v>Buildings &amp; Transport, Energy, "Land, Food and Forest"</v>
      </c>
      <c r="H200" s="71" t="str">
        <f>'Stakeholder list'!I205</f>
        <v/>
      </c>
      <c r="I200" s="71" t="str">
        <f>'Stakeholder list'!J205</f>
        <v/>
      </c>
      <c r="J200" s="71" t="str">
        <f>'Stakeholder list'!K205</f>
        <v>No biome lens was assigned because it acted through market standards/self-regulation rather than biome-delimited initiatives.</v>
      </c>
      <c r="K200" s="71" t="str">
        <f>'Stakeholder list'!L205</f>
        <v>Policy influence / regulation, Convenor/enablers</v>
      </c>
      <c r="L200" s="71" t="str">
        <f>'Stakeholder list'!M205</f>
        <v>Upstream</v>
      </c>
      <c r="M200" s="71" t="str">
        <f>'Stakeholder list'!N205</f>
        <v>Strategic partner</v>
      </c>
      <c r="N200" s="71" t="str">
        <f>'Stakeholder list'!O205</f>
        <v>São Paulo, SP, Brazil</v>
      </c>
      <c r="O200" s="71" t="str">
        <f>'Stakeholder list'!P205</f>
        <v>Grantee</v>
      </c>
      <c r="P200" s="71" t="str">
        <f>'Stakeholder list'!Q205</f>
        <v/>
      </c>
      <c r="Q200" s="71" t="str">
        <f>'Stakeholder list'!R205</f>
        <v/>
      </c>
      <c r="R200" s="71" t="str">
        <f>'Stakeholder list'!S205</f>
        <v/>
      </c>
      <c r="S200" s="71" t="str">
        <f>'Stakeholder list'!T205</f>
        <v>—</v>
      </c>
      <c r="T200" s="71" t="str">
        <f>'Stakeholder list'!U205</f>
        <v/>
      </c>
      <c r="U200" s="71" t="str">
        <f>'Stakeholder list'!V205</f>
        <v/>
      </c>
      <c r="V200" s="71" t="str">
        <f>'Stakeholder list'!W205</f>
        <v/>
      </c>
      <c r="W200" s="71" t="str">
        <f>'Stakeholder list'!X205</f>
        <v/>
      </c>
    </row>
    <row r="201">
      <c r="A201" s="71">
        <f>'Stakeholder list'!B206</f>
        <v>200</v>
      </c>
      <c r="B201" s="71" t="str">
        <f>'Stakeholder list'!C206</f>
        <v>C40 Cities (C40)</v>
      </c>
      <c r="C201" s="71" t="str">
        <f>'Stakeholder list'!D206</f>
        <v>Civil Society Organization (CSO)</v>
      </c>
      <c r="D201" s="71" t="str">
        <f>'Stakeholder list'!E206</f>
        <v>Multi-stakeholder initiatives</v>
      </c>
      <c r="E201" s="71" t="str">
        <f>'Stakeholder list'!F206</f>
        <v>Global network of cities committed to climate action; contributes through technical assistance, peer learning and implementation support for low-carbon urban policies (mobility, buildings, waste and adaptation).</v>
      </c>
      <c r="F201" s="71" t="str">
        <f>'Stakeholder list'!G206</f>
        <v>Cross-border / international</v>
      </c>
      <c r="G201" s="71" t="str">
        <f>'Stakeholder list'!H206</f>
        <v>Buildings &amp; Transport, "Land, Food and Forest"</v>
      </c>
      <c r="H201" s="71" t="str">
        <f>'Stakeholder list'!I206</f>
        <v/>
      </c>
      <c r="I201" s="71" t="str">
        <f>'Stakeholder list'!J206</f>
        <v/>
      </c>
      <c r="J201" s="71" t="str">
        <f>'Stakeholder list'!K206</f>
        <v>No biome lens was assigned because it operated through city-based programming (municipal networks) rather than biome-defined territorial cuts.</v>
      </c>
      <c r="K201" s="71" t="str">
        <f>'Stakeholder list'!L206</f>
        <v>Strategic partner, Convenor/enablers, Territorial anchor</v>
      </c>
      <c r="L201" s="71" t="str">
        <f>'Stakeholder list'!M206</f>
        <v>Midstream</v>
      </c>
      <c r="M201" s="71" t="str">
        <f>'Stakeholder list'!N206</f>
        <v>Strategic partner</v>
      </c>
      <c r="N201" s="71" t="str">
        <f>'Stakeholder list'!O206</f>
        <v>Rio de Janeiro, RJ, Brazil</v>
      </c>
      <c r="O201" s="71" t="str">
        <f>'Stakeholder list'!P206</f>
        <v>Grantee</v>
      </c>
      <c r="P201" s="71" t="str">
        <f>'Stakeholder list'!Q206</f>
        <v/>
      </c>
      <c r="Q201" s="71" t="str">
        <f>'Stakeholder list'!R206</f>
        <v/>
      </c>
      <c r="R201" s="71" t="str">
        <f>'Stakeholder list'!S206</f>
        <v>Could be an imporytant partner at the city level. </v>
      </c>
      <c r="S201" s="71" t="str">
        <f>'Stakeholder list'!T206</f>
        <v>—</v>
      </c>
      <c r="T201" s="71" t="str">
        <f>'Stakeholder list'!U206</f>
        <v/>
      </c>
      <c r="U201" s="71" t="str">
        <f>'Stakeholder list'!V206</f>
        <v/>
      </c>
      <c r="V201" s="71" t="str">
        <f>'Stakeholder list'!W206</f>
        <v/>
      </c>
      <c r="W201" s="71" t="str">
        <f>'Stakeholder list'!X206</f>
        <v/>
      </c>
    </row>
    <row r="202">
      <c r="A202" s="71">
        <f>'Stakeholder list'!B207</f>
        <v>201</v>
      </c>
      <c r="B202" s="71" t="str">
        <f>'Stakeholder list'!C207</f>
        <v>Programa das Nações Unidas para os Assentamentos Humanos (ONU-Habitat)</v>
      </c>
      <c r="C202" s="71" t="str">
        <f>'Stakeholder list'!D207</f>
        <v>Others</v>
      </c>
      <c r="D202" s="71" t="str">
        <f>'Stakeholder list'!E207</f>
        <v>Multilateral organizations</v>
      </c>
      <c r="E202" s="71" t="str">
        <f>'Stakeholder list'!F207</f>
        <v>UN agency for sustainable urban development; contributes through technical cooperation, standards and policy support for housing, urban planning, resilience and inclusive city development.</v>
      </c>
      <c r="F202" s="71" t="str">
        <f>'Stakeholder list'!G207</f>
        <v>Cross-border / international</v>
      </c>
      <c r="G202" s="71" t="str">
        <f>'Stakeholder list'!H207</f>
        <v>Buildings &amp; Transport, Emergency response</v>
      </c>
      <c r="H202" s="71" t="str">
        <f>'Stakeholder list'!I207</f>
        <v/>
      </c>
      <c r="I202" s="71" t="str">
        <f>'Stakeholder list'!J207</f>
        <v/>
      </c>
      <c r="J202" s="71" t="str">
        <f>'Stakeholder list'!K207</f>
        <v>No biome lens was assigned because the work was structured around urban policy and human settlements, not biome-delimited initiatives.</v>
      </c>
      <c r="K202" s="71" t="str">
        <f>'Stakeholder list'!L207</f>
        <v>Strategic partner, Project developer / Implementer, Technical assistance / research</v>
      </c>
      <c r="L202" s="71" t="str">
        <f>'Stakeholder list'!M207</f>
        <v>Midstream</v>
      </c>
      <c r="M202" s="71" t="str">
        <f>'Stakeholder list'!N207</f>
        <v>Strategic partner</v>
      </c>
      <c r="N202" s="71" t="str">
        <f>'Stakeholder list'!O207</f>
        <v>Rio de Janeiro, RJ, Brazil</v>
      </c>
      <c r="O202" s="71" t="str">
        <f>'Stakeholder list'!P207</f>
        <v>Grantee</v>
      </c>
      <c r="P202" s="71" t="str">
        <f>'Stakeholder list'!Q207</f>
        <v/>
      </c>
      <c r="Q202" s="71" t="str">
        <f>'Stakeholder list'!R207</f>
        <v/>
      </c>
      <c r="R202" s="71" t="str">
        <f>'Stakeholder list'!S207</f>
        <v/>
      </c>
      <c r="S202" s="71" t="str">
        <f>'Stakeholder list'!T207</f>
        <v>—</v>
      </c>
      <c r="T202" s="71" t="str">
        <f>'Stakeholder list'!U207</f>
        <v/>
      </c>
      <c r="U202" s="71" t="str">
        <f>'Stakeholder list'!V207</f>
        <v/>
      </c>
      <c r="V202" s="71" t="str">
        <f>'Stakeholder list'!W207</f>
        <v/>
      </c>
      <c r="W202" s="71" t="str">
        <f>'Stakeholder list'!X207</f>
        <v/>
      </c>
    </row>
    <row r="203">
      <c r="A203" s="71">
        <f>'Stakeholder list'!B208</f>
        <v>202</v>
      </c>
      <c r="B203" s="71" t="str">
        <f>'Stakeholder list'!C208</f>
        <v>Associação Nacional de Transportes Públicos (ANTP)</v>
      </c>
      <c r="C203" s="71" t="str">
        <f>'Stakeholder list'!D208</f>
        <v>Civil Society Organization (CSO)</v>
      </c>
      <c r="D203" s="71" t="str">
        <f>'Stakeholder list'!E208</f>
        <v>Industry platforms and sectoral initiatives</v>
      </c>
      <c r="E203" s="71" t="str">
        <f>'Stakeholder list'!F208</f>
        <v>Technical association for public transport and traffic; contributes by producing and disseminating knowledge, supporting policy dialogue and promoting best practices for efficient, safe and low-carbon urban mobility.</v>
      </c>
      <c r="F203" s="71" t="str">
        <f>'Stakeholder list'!G208</f>
        <v>National</v>
      </c>
      <c r="G203" s="71" t="str">
        <f>'Stakeholder list'!H208</f>
        <v>Buildings &amp; Transport</v>
      </c>
      <c r="H203" s="71" t="str">
        <f>'Stakeholder list'!I208</f>
        <v/>
      </c>
      <c r="I203" s="71" t="str">
        <f>'Stakeholder list'!J208</f>
        <v/>
      </c>
      <c r="J203" s="71" t="str">
        <f>'Stakeholder list'!K208</f>
        <v>No biome lens was assigned because it operated through national technical guidance and sector dialogue without biome-specific implementation.</v>
      </c>
      <c r="K203" s="71" t="str">
        <f>'Stakeholder list'!L208</f>
        <v>Technical assistance / research, Convenor/enablers</v>
      </c>
      <c r="L203" s="71" t="str">
        <f>'Stakeholder list'!M208</f>
        <v>Upstream</v>
      </c>
      <c r="M203" s="71" t="str">
        <f>'Stakeholder list'!N208</f>
        <v>Strategic partner</v>
      </c>
      <c r="N203" s="71" t="str">
        <f>'Stakeholder list'!O208</f>
        <v>São Paulo, SP, Brazil</v>
      </c>
      <c r="O203" s="71" t="str">
        <f>'Stakeholder list'!P208</f>
        <v>Grantee</v>
      </c>
      <c r="P203" s="71" t="str">
        <f>'Stakeholder list'!Q208</f>
        <v/>
      </c>
      <c r="Q203" s="71" t="str">
        <f>'Stakeholder list'!R208</f>
        <v/>
      </c>
      <c r="R203" s="71" t="str">
        <f>'Stakeholder list'!S208</f>
        <v/>
      </c>
      <c r="S203" s="71" t="str">
        <f>'Stakeholder list'!T208</f>
        <v>—</v>
      </c>
      <c r="T203" s="71" t="str">
        <f>'Stakeholder list'!U208</f>
        <v/>
      </c>
      <c r="U203" s="71" t="str">
        <f>'Stakeholder list'!V208</f>
        <v/>
      </c>
      <c r="V203" s="71" t="str">
        <f>'Stakeholder list'!W208</f>
        <v/>
      </c>
      <c r="W203" s="71" t="str">
        <f>'Stakeholder list'!X208</f>
        <v/>
      </c>
    </row>
    <row r="204">
      <c r="A204" s="71">
        <f>'Stakeholder list'!B209</f>
        <v>203</v>
      </c>
      <c r="B204" s="71" t="str">
        <f>'Stakeholder list'!C209</f>
        <v>Governos Locais pela Sustentabilidade (ICLEI)</v>
      </c>
      <c r="C204" s="71" t="str">
        <f>'Stakeholder list'!D209</f>
        <v>Civil Society Organization (CSO)</v>
      </c>
      <c r="D204" s="71" t="str">
        <f>'Stakeholder list'!E209</f>
        <v>Multi-stakeholder initiatives</v>
      </c>
      <c r="E204" s="71" t="str">
        <f>'Stakeholder list'!F209</f>
        <v>Global network of local and subnational governments; accelerates transition by providing tools, technical support and convening for low-carbon, nature-based, equitable, resilient and circular development pathways.</v>
      </c>
      <c r="F204" s="71" t="str">
        <f>'Stakeholder list'!G209</f>
        <v>Cross-border / international</v>
      </c>
      <c r="G204" s="71" t="str">
        <f>'Stakeholder list'!H209</f>
        <v>Buildings &amp; Transport, Energy, "Land, Food and Forest"</v>
      </c>
      <c r="H204" s="71" t="str">
        <f>'Stakeholder list'!I209</f>
        <v/>
      </c>
      <c r="I204" s="71" t="str">
        <f>'Stakeholder list'!J209</f>
        <v/>
      </c>
      <c r="J204" s="71" t="str">
        <f>'Stakeholder list'!K209</f>
        <v>No biome lens was assigned because it operated through municipal/subnational governance support rather than biome-delimited territorial programming.</v>
      </c>
      <c r="K204" s="71" t="str">
        <f>'Stakeholder list'!L209</f>
        <v>Strategic partner, Convenor/enablers, Territorial anchor</v>
      </c>
      <c r="L204" s="71" t="str">
        <f>'Stakeholder list'!M209</f>
        <v>Midstream</v>
      </c>
      <c r="M204" s="71" t="str">
        <f>'Stakeholder list'!N209</f>
        <v>Grant recipient</v>
      </c>
      <c r="N204" s="71" t="str">
        <f>'Stakeholder list'!O209</f>
        <v>São Paulo, SP, Brazil</v>
      </c>
      <c r="O204" s="71" t="str">
        <f>'Stakeholder list'!P209</f>
        <v>Grantee</v>
      </c>
      <c r="P204" s="71" t="str">
        <f>'Stakeholder list'!Q209</f>
        <v>Rodrigo Perpétuo (Latin American Director) </v>
      </c>
      <c r="Q204" s="71" t="str">
        <f>'Stakeholder list'!R209</f>
        <v/>
      </c>
      <c r="R204" s="71" t="str">
        <f>'Stakeholder list'!S209</f>
        <v>Could be an imporytant partner at the city level. </v>
      </c>
      <c r="S204" s="71" t="str">
        <f>'Stakeholder list'!T209</f>
        <v>—</v>
      </c>
      <c r="T204" s="71" t="str">
        <f>'Stakeholder list'!U209</f>
        <v/>
      </c>
      <c r="U204" s="71" t="str">
        <f>'Stakeholder list'!V209</f>
        <v/>
      </c>
      <c r="V204" s="71" t="str">
        <f>'Stakeholder list'!W209</f>
        <v/>
      </c>
      <c r="W204" s="71" t="str">
        <f>'Stakeholder list'!X209</f>
        <v/>
      </c>
    </row>
    <row r="205">
      <c r="A205" s="71">
        <f>'Stakeholder list'!B210</f>
        <v>204</v>
      </c>
      <c r="B205" s="71" t="str">
        <f>'Stakeholder list'!C210</f>
        <v>Programa das Nações Unidas para o Meio Ambiente (PNUMA)</v>
      </c>
      <c r="C205" s="71" t="str">
        <f>'Stakeholder list'!D210</f>
        <v>Others</v>
      </c>
      <c r="D205" s="71" t="str">
        <f>'Stakeholder list'!E210</f>
        <v>Multilateral organizations</v>
      </c>
      <c r="E205" s="71" t="str">
        <f>'Stakeholder list'!F210</f>
        <v>UN environment authority that supports countries with science, policy guidance, standards and partnerships to address climate, nature and pollution, strengthening environmental governance and enabling systemic transitions.</v>
      </c>
      <c r="F205" s="71" t="str">
        <f>'Stakeholder list'!G210</f>
        <v>Cross-border / international</v>
      </c>
      <c r="G205" s="71" t="str">
        <f>'Stakeholder list'!H210</f>
        <v>Buildings &amp; Transport, Energy, "Land, Food and Forest"</v>
      </c>
      <c r="H205" s="71" t="str">
        <f>'Stakeholder list'!I210</f>
        <v/>
      </c>
      <c r="I205" s="71" t="str">
        <f>'Stakeholder list'!J210</f>
        <v/>
      </c>
      <c r="J205" s="71" t="str">
        <f>'Stakeholder list'!K210</f>
        <v>No biome lens was assigned because the mapped support was policy/standards-oriented and not organized as biome-specific projects in this list.</v>
      </c>
      <c r="K205" s="71" t="str">
        <f>'Stakeholder list'!L210</f>
        <v>Strategic partner, Policy influence / regulation, Convenor/enablers</v>
      </c>
      <c r="L205" s="71" t="str">
        <f>'Stakeholder list'!M210</f>
        <v>Upstream</v>
      </c>
      <c r="M205" s="71" t="str">
        <f>'Stakeholder list'!N210</f>
        <v>Strategic partner</v>
      </c>
      <c r="N205" s="71" t="str">
        <f>'Stakeholder list'!O210</f>
        <v>Brasília, DF, Brazil</v>
      </c>
      <c r="O205" s="71" t="str">
        <f>'Stakeholder list'!P210</f>
        <v>Grantee</v>
      </c>
      <c r="P205" s="71" t="str">
        <f>'Stakeholder list'!Q210</f>
        <v/>
      </c>
      <c r="Q205" s="71" t="str">
        <f>'Stakeholder list'!R210</f>
        <v/>
      </c>
      <c r="R205" s="71" t="str">
        <f>'Stakeholder list'!S210</f>
        <v/>
      </c>
      <c r="S205" s="71" t="str">
        <f>'Stakeholder list'!T210</f>
        <v>—</v>
      </c>
      <c r="T205" s="71" t="str">
        <f>'Stakeholder list'!U210</f>
        <v/>
      </c>
      <c r="U205" s="71" t="str">
        <f>'Stakeholder list'!V210</f>
        <v/>
      </c>
      <c r="V205" s="71" t="str">
        <f>'Stakeholder list'!W210</f>
        <v/>
      </c>
      <c r="W205" s="71" t="str">
        <f>'Stakeholder list'!X210</f>
        <v/>
      </c>
    </row>
    <row r="206">
      <c r="A206" s="71">
        <f>'Stakeholder list'!B211</f>
        <v>205</v>
      </c>
      <c r="B206" s="71" t="str">
        <f>'Stakeholder list'!C211</f>
        <v>Associação Brasileira das Empresas de Serviços de Conservação de Energia (ABESCO)</v>
      </c>
      <c r="C206" s="71" t="str">
        <f>'Stakeholder list'!D211</f>
        <v>Civil Society Organization (CSO)</v>
      </c>
      <c r="D206" s="71" t="str">
        <f>'Stakeholder list'!E211</f>
        <v>Industry platforms and sectoral initiatives</v>
      </c>
      <c r="E206" s="71" t="str">
        <f>'Stakeholder list'!F211</f>
        <v>Industry association representing energy service companies (ESCOs); accelerates transition by promoting energy efficiency markets, performance contracting and best practices that reduce energy demand and emissions.</v>
      </c>
      <c r="F206" s="71" t="str">
        <f>'Stakeholder list'!G211</f>
        <v>National</v>
      </c>
      <c r="G206" s="71" t="str">
        <f>'Stakeholder list'!H211</f>
        <v>Buildings &amp; Transport, Energy</v>
      </c>
      <c r="H206" s="71" t="str">
        <f>'Stakeholder list'!I211</f>
        <v/>
      </c>
      <c r="I206" s="71" t="str">
        <f>'Stakeholder list'!J211</f>
        <v/>
      </c>
      <c r="J206" s="71" t="str">
        <f>'Stakeholder list'!K211</f>
        <v>No biome lens was assigned because it worked via market development and contracting models, not biome-delimited initiatives.</v>
      </c>
      <c r="K206" s="71" t="str">
        <f>'Stakeholder list'!L211</f>
        <v>Convenor/enablers, Implementation capacity (delivery)</v>
      </c>
      <c r="L206" s="71" t="str">
        <f>'Stakeholder list'!M211</f>
        <v>Midstream</v>
      </c>
      <c r="M206" s="71" t="str">
        <f>'Stakeholder list'!N211</f>
        <v>Strategic partner</v>
      </c>
      <c r="N206" s="71" t="str">
        <f>'Stakeholder list'!O211</f>
        <v>São Paulo, SP, Brazil</v>
      </c>
      <c r="O206" s="71" t="str">
        <f>'Stakeholder list'!P211</f>
        <v>Grantee</v>
      </c>
      <c r="P206" s="71" t="str">
        <f>'Stakeholder list'!Q211</f>
        <v/>
      </c>
      <c r="Q206" s="71" t="str">
        <f>'Stakeholder list'!R211</f>
        <v/>
      </c>
      <c r="R206" s="71" t="str">
        <f>'Stakeholder list'!S211</f>
        <v/>
      </c>
      <c r="S206" s="71" t="str">
        <f>'Stakeholder list'!T211</f>
        <v>—</v>
      </c>
      <c r="T206" s="71" t="str">
        <f>'Stakeholder list'!U211</f>
        <v/>
      </c>
      <c r="U206" s="71" t="str">
        <f>'Stakeholder list'!V211</f>
        <v/>
      </c>
      <c r="V206" s="71" t="str">
        <f>'Stakeholder list'!W211</f>
        <v/>
      </c>
      <c r="W206" s="71" t="str">
        <f>'Stakeholder list'!X211</f>
        <v/>
      </c>
    </row>
    <row r="207">
      <c r="A207" s="71">
        <f>'Stakeholder list'!B212</f>
        <v>206</v>
      </c>
      <c r="B207" s="71" t="str">
        <f>'Stakeholder list'!C212</f>
        <v>Associação Nacional das Empresas de Transportes Urbanos (NTU)</v>
      </c>
      <c r="C207" s="71" t="str">
        <f>'Stakeholder list'!D212</f>
        <v>Civil Society Organization (CSO)</v>
      </c>
      <c r="D207" s="71" t="str">
        <f>'Stakeholder list'!E212</f>
        <v>Industry platforms and sectoral initiatives</v>
      </c>
      <c r="E207" s="71" t="str">
        <f>'Stakeholder list'!F212</f>
        <v>Association representing urban public transport operators; contributes to transition by advocating for quality, funding models and fleet modernization, including low/zero-emission buses and better service for equity.</v>
      </c>
      <c r="F207" s="71" t="str">
        <f>'Stakeholder list'!G212</f>
        <v>National</v>
      </c>
      <c r="G207" s="71" t="str">
        <f>'Stakeholder list'!H212</f>
        <v>Buildings &amp; Transport</v>
      </c>
      <c r="H207" s="71" t="str">
        <f>'Stakeholder list'!I212</f>
        <v/>
      </c>
      <c r="I207" s="71" t="str">
        <f>'Stakeholder list'!J212</f>
        <v/>
      </c>
      <c r="J207" s="71" t="str">
        <f>'Stakeholder list'!K212</f>
        <v>No biome lens was assigned because it acted through national sector advocacy and service modernization, not biome-specific initiatives.</v>
      </c>
      <c r="K207" s="71" t="str">
        <f>'Stakeholder list'!L212</f>
        <v>Policy influence / regulation, Convenor/enablers</v>
      </c>
      <c r="L207" s="71" t="str">
        <f>'Stakeholder list'!M212</f>
        <v>Upstream</v>
      </c>
      <c r="M207" s="71" t="str">
        <f>'Stakeholder list'!N212</f>
        <v>Strategic partner</v>
      </c>
      <c r="N207" s="71" t="str">
        <f>'Stakeholder list'!O212</f>
        <v>Brasília, DF, Brazil</v>
      </c>
      <c r="O207" s="71" t="str">
        <f>'Stakeholder list'!P212</f>
        <v>Grantee</v>
      </c>
      <c r="P207" s="71" t="str">
        <f>'Stakeholder list'!Q212</f>
        <v/>
      </c>
      <c r="Q207" s="71" t="str">
        <f>'Stakeholder list'!R212</f>
        <v/>
      </c>
      <c r="R207" s="71" t="str">
        <f>'Stakeholder list'!S212</f>
        <v/>
      </c>
      <c r="S207" s="71" t="str">
        <f>'Stakeholder list'!T212</f>
        <v>—</v>
      </c>
      <c r="T207" s="71" t="str">
        <f>'Stakeholder list'!U212</f>
        <v/>
      </c>
      <c r="U207" s="71" t="str">
        <f>'Stakeholder list'!V212</f>
        <v/>
      </c>
      <c r="V207" s="71" t="str">
        <f>'Stakeholder list'!W212</f>
        <v/>
      </c>
      <c r="W207" s="71" t="str">
        <f>'Stakeholder list'!X212</f>
        <v/>
      </c>
    </row>
    <row r="208">
      <c r="A208" s="71">
        <f>'Stakeholder list'!B213</f>
        <v>207</v>
      </c>
      <c r="B208" s="71" t="str">
        <f>'Stakeholder list'!C213</f>
        <v>Instituto Nacional de Pesquisas Espaciais (INPE)</v>
      </c>
      <c r="C208" s="71" t="str">
        <f>'Stakeholder list'!D213</f>
        <v>Public sector</v>
      </c>
      <c r="D208" s="71" t="str">
        <f>'Stakeholder list'!E213</f>
        <v>Monitoring, Evaluation, and Learning</v>
      </c>
      <c r="E208" s="71" t="str">
        <f>'Stakeholder list'!F213</f>
        <v>Federal research institute that produces Earth observation and climate science; supports systemic transition by generating authoritative data on deforestation, emissions and climate risks to inform policy and enforcement.</v>
      </c>
      <c r="F208" s="71" t="str">
        <f>'Stakeholder list'!G213</f>
        <v>National</v>
      </c>
      <c r="G208" s="71" t="str">
        <f>'Stakeholder list'!H213</f>
        <v>"Land, Food and Forest"</v>
      </c>
      <c r="H208" s="71" t="str">
        <f>'Stakeholder list'!I213</f>
        <v>Amazonia, Cerrado</v>
      </c>
      <c r="I208" s="71" t="str">
        <f>'Stakeholder list'!J213</f>
        <v>Mata&amp;Atlântica, Pantanal, Pampa, Coastal&amp;maritime</v>
      </c>
      <c r="J208" s="71" t="str">
        <f>'Stakeholder list'!K213</f>
        <v>It produced authoritative deforestation and land-use monitoring with recurrent emphasis on Amazonia and Cerrado, while its observation systems also covered the other biomes.</v>
      </c>
      <c r="K208" s="71" t="str">
        <f>'Stakeholder list'!L213</f>
        <v>Technical assistance / research, Data / MRV / platforms</v>
      </c>
      <c r="L208" s="71" t="str">
        <f>'Stakeholder list'!M213</f>
        <v>Upstream</v>
      </c>
      <c r="M208" s="71" t="str">
        <f>'Stakeholder list'!N213</f>
        <v>Strategic partner</v>
      </c>
      <c r="N208" s="71" t="str">
        <f>'Stakeholder list'!O213</f>
        <v>São José dos Campos, SP, Brazil</v>
      </c>
      <c r="O208" s="71" t="str">
        <f>'Stakeholder list'!P213</f>
        <v>Grantee</v>
      </c>
      <c r="P208" s="71" t="str">
        <f>'Stakeholder list'!Q213</f>
        <v/>
      </c>
      <c r="Q208" s="71" t="str">
        <f>'Stakeholder list'!R213</f>
        <v/>
      </c>
      <c r="R208" s="71" t="str">
        <f>'Stakeholder list'!S213</f>
        <v/>
      </c>
      <c r="S208" s="71" t="str">
        <f>'Stakeholder list'!T213</f>
        <v>Earth observation, deforestation monitoring (PRODES/DETER), emissions data and climate modelling</v>
      </c>
      <c r="T208" s="71" t="str">
        <f>'Stakeholder list'!U213</f>
        <v/>
      </c>
      <c r="U208" s="71" t="str">
        <f>'Stakeholder list'!V213</f>
        <v/>
      </c>
      <c r="V208" s="71" t="str">
        <f>'Stakeholder list'!W213</f>
        <v/>
      </c>
      <c r="W208" s="71" t="str">
        <f>'Stakeholder list'!X213</f>
        <v/>
      </c>
    </row>
    <row r="209">
      <c r="A209" s="71">
        <f>'Stakeholder list'!B214</f>
        <v>208</v>
      </c>
      <c r="B209" s="71" t="str">
        <f>'Stakeholder list'!C214</f>
        <v>Coalizão Brasil Clima, Florestas e Agricultura</v>
      </c>
      <c r="C209" s="71" t="str">
        <f>'Stakeholder list'!D214</f>
        <v>Others</v>
      </c>
      <c r="D209" s="71" t="str">
        <f>'Stakeholder list'!E214</f>
        <v>Alliances</v>
      </c>
      <c r="E209" s="71" t="str">
        <f>'Stakeholder list'!F214</f>
        <v>Multi-stakeholder coalition that convenes agribusiness, civil society, academia and finance to advance policy proposals and commitments for low-carbon agriculture, forest protection and sustainable land use.</v>
      </c>
      <c r="F209" s="71" t="str">
        <f>'Stakeholder list'!G214</f>
        <v>National</v>
      </c>
      <c r="G209" s="71" t="str">
        <f>'Stakeholder list'!H214</f>
        <v>"Land, Food and Forest"</v>
      </c>
      <c r="H209" s="71" t="str">
        <f>'Stakeholder list'!I214</f>
        <v>Amazonia, Cerrado</v>
      </c>
      <c r="I209" s="71" t="str">
        <f>'Stakeholder list'!J214</f>
        <v>Mata&amp;Atlântica, Pantanal</v>
      </c>
      <c r="J209" s="71" t="str">
        <f>'Stakeholder list'!K214</f>
        <v>It pursued land-use and deforestation-free agendas most consistently tied to Amazonia and Cerrado commodity frontiers, while it also addressed broader forest and wetland governance debates.</v>
      </c>
      <c r="K209" s="71" t="str">
        <f>'Stakeholder list'!L214</f>
        <v>Convenor/enablers, Policy influence / regulation</v>
      </c>
      <c r="L209" s="71" t="str">
        <f>'Stakeholder list'!M214</f>
        <v>Upstream</v>
      </c>
      <c r="M209" s="71" t="str">
        <f>'Stakeholder list'!N214</f>
        <v>Strategic partner</v>
      </c>
      <c r="N209" s="71" t="str">
        <f>'Stakeholder list'!O214</f>
        <v>São Paulo, SP, Brazil</v>
      </c>
      <c r="O209" s="71" t="str">
        <f>'Stakeholder list'!P214</f>
        <v>Grantee</v>
      </c>
      <c r="P209" s="71" t="str">
        <f>'Stakeholder list'!Q214</f>
        <v/>
      </c>
      <c r="Q209" s="71" t="str">
        <f>'Stakeholder list'!R214</f>
        <v/>
      </c>
      <c r="R209" s="71" t="str">
        <f>'Stakeholder list'!S214</f>
        <v/>
      </c>
      <c r="S209" s="71" t="str">
        <f>'Stakeholder list'!T214</f>
        <v>—</v>
      </c>
      <c r="T209" s="71" t="str">
        <f>'Stakeholder list'!U214</f>
        <v/>
      </c>
      <c r="U209" s="71" t="str">
        <f>'Stakeholder list'!V214</f>
        <v/>
      </c>
      <c r="V209" s="71" t="str">
        <f>'Stakeholder list'!W214</f>
        <v/>
      </c>
      <c r="W209" s="71" t="str">
        <f>'Stakeholder list'!X214</f>
        <v/>
      </c>
    </row>
    <row r="210">
      <c r="A210" s="71">
        <f>'Stakeholder list'!B215</f>
        <v>209</v>
      </c>
      <c r="B210" s="71" t="str">
        <f>'Stakeholder list'!C215</f>
        <v>Sustainable Energy for All (SEforALL)</v>
      </c>
      <c r="C210" s="71" t="str">
        <f>'Stakeholder list'!D215</f>
        <v>Others</v>
      </c>
      <c r="D210" s="71" t="str">
        <f>'Stakeholder list'!E215</f>
        <v>Multi-stakeholder initiatives</v>
      </c>
      <c r="E210" s="71" t="str">
        <f>'Stakeholder list'!F215</f>
        <v>International organization that supports governments and partners to achieve universal energy access and accelerate the clean energy transition through analytics, convening and technical assistance.</v>
      </c>
      <c r="F210" s="71" t="str">
        <f>'Stakeholder list'!G215</f>
        <v>Cross-border / international</v>
      </c>
      <c r="G210" s="71" t="str">
        <f>'Stakeholder list'!H215</f>
        <v>Energy</v>
      </c>
      <c r="H210" s="71" t="str">
        <f>'Stakeholder list'!I215</f>
        <v/>
      </c>
      <c r="I210" s="71" t="str">
        <f>'Stakeholder list'!J215</f>
        <v/>
      </c>
      <c r="J210" s="71" t="str">
        <f>'Stakeholder list'!K215</f>
        <v>No biome lens was assigned because it operated through national energy-access and transition analytics rather than biome-delimited territorial implementation.</v>
      </c>
      <c r="K210" s="71" t="str">
        <f>'Stakeholder list'!L215</f>
        <v>Strategic partner, Convenor/enablers</v>
      </c>
      <c r="L210" s="71" t="str">
        <f>'Stakeholder list'!M215</f>
        <v>Upstream</v>
      </c>
      <c r="M210" s="71" t="str">
        <f>'Stakeholder list'!N215</f>
        <v>Strategic partner</v>
      </c>
      <c r="N210" s="71" t="str">
        <f>'Stakeholder list'!O215</f>
        <v>Vienna, Austria</v>
      </c>
      <c r="O210" s="71" t="str">
        <f>'Stakeholder list'!P215</f>
        <v>Grantee</v>
      </c>
      <c r="P210" s="71" t="str">
        <f>'Stakeholder list'!Q215</f>
        <v/>
      </c>
      <c r="Q210" s="71" t="str">
        <f>'Stakeholder list'!R215</f>
        <v/>
      </c>
      <c r="R210" s="71" t="str">
        <f>'Stakeholder list'!S215</f>
        <v/>
      </c>
      <c r="S210" s="71" t="str">
        <f>'Stakeholder list'!T215</f>
        <v>—</v>
      </c>
      <c r="T210" s="71" t="str">
        <f>'Stakeholder list'!U215</f>
        <v/>
      </c>
      <c r="U210" s="71" t="str">
        <f>'Stakeholder list'!V215</f>
        <v/>
      </c>
      <c r="V210" s="71" t="str">
        <f>'Stakeholder list'!W215</f>
        <v/>
      </c>
      <c r="W210" s="71" t="str">
        <f>'Stakeholder list'!X215</f>
        <v/>
      </c>
    </row>
    <row r="211">
      <c r="A211" s="71">
        <f>'Stakeholder list'!B216</f>
        <v>210</v>
      </c>
      <c r="B211" s="71" t="str">
        <f>'Stakeholder list'!C216</f>
        <v>Global Covenant of Mayors for Climate &amp; Energy</v>
      </c>
      <c r="C211" s="71" t="str">
        <f>'Stakeholder list'!D216</f>
        <v>Others</v>
      </c>
      <c r="D211" s="71" t="str">
        <f>'Stakeholder list'!E216</f>
        <v>Alliances</v>
      </c>
      <c r="E211" s="71" t="str">
        <f>'Stakeholder list'!F216</f>
        <v>Global coalition of city networks and local governments; supports systemic transition by enabling cities to set targets, plan and report climate action, access technical support and mobilize finance for low-carbon urban development.</v>
      </c>
      <c r="F211" s="71" t="str">
        <f>'Stakeholder list'!G216</f>
        <v>Cross-border / international</v>
      </c>
      <c r="G211" s="71" t="str">
        <f>'Stakeholder list'!H216</f>
        <v>Buildings &amp; Transport, Energy</v>
      </c>
      <c r="H211" s="71" t="str">
        <f>'Stakeholder list'!I216</f>
        <v/>
      </c>
      <c r="I211" s="71" t="str">
        <f>'Stakeholder list'!J216</f>
        <v/>
      </c>
      <c r="J211" s="71" t="str">
        <f>'Stakeholder list'!K216</f>
        <v>No biome lens was assigned because it operated through city commitments and reporting frameworks, not biome-delimited initiatives.</v>
      </c>
      <c r="K211" s="71" t="str">
        <f>'Stakeholder list'!L216</f>
        <v>Convenor/enablers, Territorial anchor</v>
      </c>
      <c r="L211" s="71" t="str">
        <f>'Stakeholder list'!M216</f>
        <v>Midstream</v>
      </c>
      <c r="M211" s="71" t="str">
        <f>'Stakeholder list'!N216</f>
        <v>Strategic partner</v>
      </c>
      <c r="N211" s="71" t="str">
        <f>'Stakeholder list'!O216</f>
        <v>Brussels, Belgium</v>
      </c>
      <c r="O211" s="71" t="str">
        <f>'Stakeholder list'!P216</f>
        <v>Grantee</v>
      </c>
      <c r="P211" s="71" t="str">
        <f>'Stakeholder list'!Q216</f>
        <v/>
      </c>
      <c r="Q211" s="71" t="str">
        <f>'Stakeholder list'!R216</f>
        <v/>
      </c>
      <c r="R211" s="71" t="str">
        <f>'Stakeholder list'!S216</f>
        <v/>
      </c>
      <c r="S211" s="71" t="str">
        <f>'Stakeholder list'!T216</f>
        <v>—</v>
      </c>
      <c r="T211" s="71" t="str">
        <f>'Stakeholder list'!U216</f>
        <v/>
      </c>
      <c r="U211" s="71" t="str">
        <f>'Stakeholder list'!V216</f>
        <v/>
      </c>
      <c r="V211" s="71" t="str">
        <f>'Stakeholder list'!W216</f>
        <v/>
      </c>
      <c r="W211" s="71" t="str">
        <f>'Stakeholder list'!X216</f>
        <v/>
      </c>
    </row>
    <row r="212">
      <c r="A212" s="71">
        <f>'Stakeholder list'!B217</f>
        <v>211</v>
      </c>
      <c r="B212" s="71" t="str">
        <f>'Stakeholder list'!C217</f>
        <v>Organização para a Cooperação e Desenvolvimento Econômico (OECD)</v>
      </c>
      <c r="C212" s="71" t="str">
        <f>'Stakeholder list'!D217</f>
        <v>Others</v>
      </c>
      <c r="D212" s="71" t="str">
        <f>'Stakeholder list'!E217</f>
        <v>Multilateral organizations</v>
      </c>
      <c r="E212" s="71" t="str">
        <f>'Stakeholder list'!F217</f>
        <v>Intergovernmental organization that produces comparative evidence, standards and policy recommendations; supports transitions via guidance on climate policy, taxation, investment, governance and inclusive growth.</v>
      </c>
      <c r="F212" s="71" t="str">
        <f>'Stakeholder list'!G217</f>
        <v>Cross-border / international</v>
      </c>
      <c r="G212" s="71" t="str">
        <f>'Stakeholder list'!H217</f>
        <v>Buildings &amp; Transport, Energy, "Land, Food and Forest"</v>
      </c>
      <c r="H212" s="71" t="str">
        <f>'Stakeholder list'!I217</f>
        <v/>
      </c>
      <c r="I212" s="71" t="str">
        <f>'Stakeholder list'!J217</f>
        <v/>
      </c>
      <c r="J212" s="71" t="str">
        <f>'Stakeholder list'!K217</f>
        <v>No biome lens was assigned because it acted through cross-country policy guidance and standards, not biome-targeted programs.</v>
      </c>
      <c r="K212" s="71" t="str">
        <f>'Stakeholder list'!L217</f>
        <v>Policy influence / regulation, Technical assistance / research</v>
      </c>
      <c r="L212" s="71" t="str">
        <f>'Stakeholder list'!M217</f>
        <v>Upstream</v>
      </c>
      <c r="M212" s="71" t="str">
        <f>'Stakeholder list'!N217</f>
        <v>Strategic partner</v>
      </c>
      <c r="N212" s="71" t="str">
        <f>'Stakeholder list'!O217</f>
        <v>Paris, France</v>
      </c>
      <c r="O212" s="71" t="str">
        <f>'Stakeholder list'!P217</f>
        <v>Grantee</v>
      </c>
      <c r="P212" s="71" t="str">
        <f>'Stakeholder list'!Q217</f>
        <v/>
      </c>
      <c r="Q212" s="71" t="str">
        <f>'Stakeholder list'!R217</f>
        <v/>
      </c>
      <c r="R212" s="71" t="str">
        <f>'Stakeholder list'!S217</f>
        <v/>
      </c>
      <c r="S212" s="71" t="str">
        <f>'Stakeholder list'!T217</f>
        <v>—</v>
      </c>
      <c r="T212" s="71" t="str">
        <f>'Stakeholder list'!U217</f>
        <v/>
      </c>
      <c r="U212" s="71" t="str">
        <f>'Stakeholder list'!V217</f>
        <v/>
      </c>
      <c r="V212" s="71" t="str">
        <f>'Stakeholder list'!W217</f>
        <v/>
      </c>
      <c r="W212" s="71" t="str">
        <f>'Stakeholder list'!X217</f>
        <v/>
      </c>
    </row>
    <row r="213">
      <c r="A213" s="71">
        <f>'Stakeholder list'!B218</f>
        <v>212</v>
      </c>
      <c r="B213" s="71" t="str">
        <f>'Stakeholder list'!C218</f>
        <v>Centro Internacional de Pesquisa Florestal e Agroflorestal (CIFOR-ICRAF)</v>
      </c>
      <c r="C213" s="71" t="str">
        <f>'Stakeholder list'!D218</f>
        <v>Others</v>
      </c>
      <c r="D213" s="71" t="str">
        <f>'Stakeholder list'!E218</f>
        <v>Monitoring, Evaluation, and Learning</v>
      </c>
      <c r="E213" s="71" t="str">
        <f>'Stakeholder list'!F218</f>
        <v>International research center focused on forests, agroforestry and land use; supports systemic transition through science, data and policy engagement to reduce deforestation, improve livelihoods and scale nature-based solutions.</v>
      </c>
      <c r="F213" s="71" t="str">
        <f>'Stakeholder list'!G218</f>
        <v>Cross-border / international</v>
      </c>
      <c r="G213" s="71" t="str">
        <f>'Stakeholder list'!H218</f>
        <v>"Land, Food and Forest"</v>
      </c>
      <c r="H213" s="71" t="str">
        <f>'Stakeholder list'!I218</f>
        <v>Amazonia, Cerrado</v>
      </c>
      <c r="I213" s="71" t="str">
        <f>'Stakeholder list'!J218</f>
        <v>Mata&amp;Atlântica</v>
      </c>
      <c r="J213" s="71" t="str">
        <f>'Stakeholder list'!K218</f>
        <v>It developed forest and agroforestry research and policy engagement most commonly linked to Amazonia and Cerrado land-use dynamics, while it also supported broader restoration/landscape agendas beyond those cores.</v>
      </c>
      <c r="K213" s="71" t="str">
        <f>'Stakeholder list'!L218</f>
        <v>Technical assistance / research, Project developer / Implementer</v>
      </c>
      <c r="L213" s="71" t="str">
        <f>'Stakeholder list'!M218</f>
        <v>Upstream</v>
      </c>
      <c r="M213" s="71" t="str">
        <f>'Stakeholder list'!N218</f>
        <v>Strategic partner</v>
      </c>
      <c r="N213" s="71" t="str">
        <f>'Stakeholder list'!O218</f>
        <v>Brasília, DF, Brazil</v>
      </c>
      <c r="O213" s="71" t="str">
        <f>'Stakeholder list'!P218</f>
        <v>Grantee</v>
      </c>
      <c r="P213" s="71" t="str">
        <f>'Stakeholder list'!Q218</f>
        <v/>
      </c>
      <c r="Q213" s="71" t="str">
        <f>'Stakeholder list'!R218</f>
        <v/>
      </c>
      <c r="R213" s="71" t="str">
        <f>'Stakeholder list'!S218</f>
        <v/>
      </c>
      <c r="S213" s="71" t="str">
        <f>'Stakeholder list'!T218</f>
        <v>Forests and agroforestry science, land-use monitoring and evaluation for nature-positive outcomes</v>
      </c>
      <c r="T213" s="71" t="str">
        <f>'Stakeholder list'!U218</f>
        <v/>
      </c>
      <c r="U213" s="71" t="str">
        <f>'Stakeholder list'!V218</f>
        <v/>
      </c>
      <c r="V213" s="71" t="str">
        <f>'Stakeholder list'!W218</f>
        <v/>
      </c>
      <c r="W213" s="71" t="str">
        <f>'Stakeholder list'!X218</f>
        <v/>
      </c>
    </row>
    <row r="214">
      <c r="A214" s="71">
        <f>'Stakeholder list'!B219</f>
        <v>213</v>
      </c>
      <c r="B214" s="71" t="str">
        <f>'Stakeholder list'!C219</f>
        <v>Organização das Cooperativas Brasileiras (OCB)</v>
      </c>
      <c r="C214" s="71" t="str">
        <f>'Stakeholder list'!D219</f>
        <v>Civil Society Organization (CSO)</v>
      </c>
      <c r="D214" s="71" t="str">
        <f>'Stakeholder list'!E219</f>
        <v>Industry platforms and sectoral initiatives</v>
      </c>
      <c r="E214" s="71" t="str">
        <f>'Stakeholder list'!F219</f>
        <v>National cooperative apex organization; contributes by strengthening cooperative governance and scaling inclusive, sustainable value chains in agriculture, finance and services.</v>
      </c>
      <c r="F214" s="71" t="str">
        <f>'Stakeholder list'!G219</f>
        <v>National</v>
      </c>
      <c r="G214" s="71" t="str">
        <f>'Stakeholder list'!H219</f>
        <v>Buildings &amp; Transport, Energy, "Land, Food and Forest"</v>
      </c>
      <c r="H214" s="71" t="str">
        <f>'Stakeholder list'!I219</f>
        <v/>
      </c>
      <c r="I214" s="71" t="str">
        <f>'Stakeholder list'!J219</f>
        <v/>
      </c>
      <c r="J214" s="71" t="str">
        <f>'Stakeholder list'!K219</f>
        <v>No biome lens was assigned because cooperative strengthening was cross-sector and not structured by biome-delimited initiatives.</v>
      </c>
      <c r="K214" s="71" t="str">
        <f>'Stakeholder list'!L219</f>
        <v>Convenor/enablers, Community legitimacy / proximate leadership</v>
      </c>
      <c r="L214" s="71" t="str">
        <f>'Stakeholder list'!M219</f>
        <v>Midstream</v>
      </c>
      <c r="M214" s="71" t="str">
        <f>'Stakeholder list'!N219</f>
        <v>Strategic partner</v>
      </c>
      <c r="N214" s="71" t="str">
        <f>'Stakeholder list'!O219</f>
        <v>Brasília, DF, Brazil</v>
      </c>
      <c r="O214" s="71" t="str">
        <f>'Stakeholder list'!P219</f>
        <v>Grantee</v>
      </c>
      <c r="P214" s="71" t="str">
        <f>'Stakeholder list'!Q219</f>
        <v/>
      </c>
      <c r="Q214" s="71" t="str">
        <f>'Stakeholder list'!R219</f>
        <v/>
      </c>
      <c r="R214" s="71" t="str">
        <f>'Stakeholder list'!S219</f>
        <v/>
      </c>
      <c r="S214" s="71" t="str">
        <f>'Stakeholder list'!T219</f>
        <v>—</v>
      </c>
      <c r="T214" s="71" t="str">
        <f>'Stakeholder list'!U219</f>
        <v/>
      </c>
      <c r="U214" s="71" t="str">
        <f>'Stakeholder list'!V219</f>
        <v/>
      </c>
      <c r="V214" s="71" t="str">
        <f>'Stakeholder list'!W219</f>
        <v/>
      </c>
      <c r="W214" s="71" t="str">
        <f>'Stakeholder list'!X219</f>
        <v/>
      </c>
    </row>
    <row r="215">
      <c r="A215" s="71">
        <f>'Stakeholder list'!B220</f>
        <v>214</v>
      </c>
      <c r="B215" s="71" t="str">
        <f>'Stakeholder list'!C220</f>
        <v>Fundo Internacional de Desenvolvimento Agrícola (IFAD)</v>
      </c>
      <c r="C215" s="71" t="str">
        <f>'Stakeholder list'!D220</f>
        <v>Others</v>
      </c>
      <c r="D215" s="71" t="str">
        <f>'Stakeholder list'!E220</f>
        <v>Multilateral organizations</v>
      </c>
      <c r="E215" s="71" t="str">
        <f>'Stakeholder list'!F220</f>
        <v>UN specialized agency and international financial institution focused on rural poverty reduction; provides concessional finance and technical support to strengthen smallholder agriculture, resilience and sustainable rural development.</v>
      </c>
      <c r="F215" s="71" t="str">
        <f>'Stakeholder list'!G220</f>
        <v>Cross-border / international</v>
      </c>
      <c r="G215" s="71" t="str">
        <f>'Stakeholder list'!H220</f>
        <v>"Land, Food and Forest"</v>
      </c>
      <c r="H215" s="71" t="str">
        <f>'Stakeholder list'!I220</f>
        <v/>
      </c>
      <c r="I215" s="71" t="str">
        <f>'Stakeholder list'!J220</f>
        <v/>
      </c>
      <c r="J215" s="71" t="str">
        <f>'Stakeholder list'!K220</f>
        <v>No biome lens was assigned because the mapping did not confirm a specific, publicly identifiable biome-cut project portfolio in Brazil for this entry.</v>
      </c>
      <c r="K215" s="71" t="str">
        <f>'Stakeholder list'!L220</f>
        <v>Funder, Capital provider / Financial intermediary, Strategic partner</v>
      </c>
      <c r="L215" s="71" t="str">
        <f>'Stakeholder list'!M220</f>
        <v>Midstream</v>
      </c>
      <c r="M215" s="71" t="str">
        <f>'Stakeholder list'!N220</f>
        <v>Strategic partner</v>
      </c>
      <c r="N215" s="71" t="str">
        <f>'Stakeholder list'!O220</f>
        <v>Brasília, DF, Brazil</v>
      </c>
      <c r="O215" s="71" t="str">
        <f>'Stakeholder list'!P220</f>
        <v>Re-granter</v>
      </c>
      <c r="P215" s="71" t="str">
        <f>'Stakeholder list'!Q220</f>
        <v/>
      </c>
      <c r="Q215" s="71" t="str">
        <f>'Stakeholder list'!R220</f>
        <v/>
      </c>
      <c r="R215" s="71" t="str">
        <f>'Stakeholder list'!S220</f>
        <v/>
      </c>
      <c r="S215" s="71" t="str">
        <f>'Stakeholder list'!T220</f>
        <v>—</v>
      </c>
      <c r="T215" s="71" t="str">
        <f>'Stakeholder list'!U220</f>
        <v/>
      </c>
      <c r="U215" s="71" t="str">
        <f>'Stakeholder list'!V220</f>
        <v/>
      </c>
      <c r="V215" s="71" t="str">
        <f>'Stakeholder list'!W220</f>
        <v/>
      </c>
      <c r="W215" s="71" t="str">
        <f>'Stakeholder list'!X220</f>
        <v/>
      </c>
    </row>
    <row r="216">
      <c r="A216" s="71">
        <f>'Stakeholder list'!B221</f>
        <v>215</v>
      </c>
      <c r="B216" s="71" t="str">
        <f>'Stakeholder list'!C221</f>
        <v>Wellcome Trust</v>
      </c>
      <c r="C216" s="71" t="str">
        <f>'Stakeholder list'!D221</f>
        <v>Funders</v>
      </c>
      <c r="D216" s="71" t="str">
        <f>'Stakeholder list'!E221</f>
        <v>Philanthropy foundations</v>
      </c>
      <c r="E216" s="71" t="str">
        <f>'Stakeholder list'!F221</f>
        <v>Global charitable foundation focused on health research; contributes to systemic transition by funding science on climate-and-health risks, innovation and evidence for resilient, equitable health systems.</v>
      </c>
      <c r="F216" s="71" t="str">
        <f>'Stakeholder list'!G221</f>
        <v>Cross-border / international</v>
      </c>
      <c r="G216" s="71" t="str">
        <f>'Stakeholder list'!H221</f>
        <v>Emergency response</v>
      </c>
      <c r="H216" s="71" t="str">
        <f>'Stakeholder list'!I221</f>
        <v/>
      </c>
      <c r="I216" s="71" t="str">
        <f>'Stakeholder list'!J221</f>
        <v/>
      </c>
      <c r="J216" s="71" t="str">
        <f>'Stakeholder list'!K221</f>
        <v>No biome lens was assigned because its support was research/health-systems oriented and not organized as biome-delimited initiatives in this mapping.</v>
      </c>
      <c r="K216" s="71" t="str">
        <f>'Stakeholder list'!L221</f>
        <v>Funder, Technical assistance / research</v>
      </c>
      <c r="L216" s="71" t="str">
        <f>'Stakeholder list'!M221</f>
        <v>Upstream</v>
      </c>
      <c r="M216" s="71" t="str">
        <f>'Stakeholder list'!N221</f>
        <v>Co-funding partner</v>
      </c>
      <c r="N216" s="71" t="str">
        <f>'Stakeholder list'!O221</f>
        <v>London, United Kingdom</v>
      </c>
      <c r="O216" s="71" t="str">
        <f>'Stakeholder list'!P221</f>
        <v>Donor</v>
      </c>
      <c r="P216" s="71" t="str">
        <f>'Stakeholder list'!Q221</f>
        <v/>
      </c>
      <c r="Q216" s="71" t="str">
        <f>'Stakeholder list'!R221</f>
        <v/>
      </c>
      <c r="R216" s="71" t="str">
        <f>'Stakeholder list'!S221</f>
        <v/>
      </c>
      <c r="S216" s="71" t="str">
        <f>'Stakeholder list'!T221</f>
        <v>—</v>
      </c>
      <c r="T216" s="71" t="str">
        <f>'Stakeholder list'!U221</f>
        <v/>
      </c>
      <c r="U216" s="71" t="str">
        <f>'Stakeholder list'!V221</f>
        <v/>
      </c>
      <c r="V216" s="71" t="str">
        <f>'Stakeholder list'!W221</f>
        <v/>
      </c>
      <c r="W216" s="71" t="str">
        <f>'Stakeholder list'!X221</f>
        <v/>
      </c>
    </row>
    <row r="217">
      <c r="A217" s="71">
        <f>'Stakeholder list'!B222</f>
        <v>216</v>
      </c>
      <c r="B217" s="71" t="str">
        <f>'Stakeholder list'!C222</f>
        <v>Associação Caatinga</v>
      </c>
      <c r="C217" s="71" t="str">
        <f>'Stakeholder list'!D222</f>
        <v>Civil Society Organization (CSO)</v>
      </c>
      <c r="D217" s="71" t="str">
        <f>'Stakeholder list'!E222</f>
        <v>Local implementers</v>
      </c>
      <c r="E217" s="71" t="str">
        <f>'Stakeholder list'!F222</f>
        <v>Brazilian NGO dedicated to Caatinga conservation; supports systemic transition through biodiversity protection, restoration, community-based projects and partnerships that strengthen sustainable territorial development.</v>
      </c>
      <c r="F217" s="71" t="str">
        <f>'Stakeholder list'!G222</f>
        <v>Regional</v>
      </c>
      <c r="G217" s="71" t="str">
        <f>'Stakeholder list'!H222</f>
        <v>"Land, Food and Forest"</v>
      </c>
      <c r="H217" s="71" t="str">
        <f>'Stakeholder list'!I222</f>
        <v>Caatinga</v>
      </c>
      <c r="I217" s="71" t="str">
        <f>'Stakeholder list'!J222</f>
        <v/>
      </c>
      <c r="J217" s="71" t="str">
        <f>'Stakeholder list'!K222</f>
        <v>It operated explicitly as a Caatinga-focused conservation organization with projects anchored in that biome.</v>
      </c>
      <c r="K217" s="71" t="str">
        <f>'Stakeholder list'!L222</f>
        <v>Project developer / Implementer, Territorial anchor</v>
      </c>
      <c r="L217" s="71" t="str">
        <f>'Stakeholder list'!M222</f>
        <v>Downstream</v>
      </c>
      <c r="M217" s="71" t="str">
        <f>'Stakeholder list'!N222</f>
        <v>Grant recipient</v>
      </c>
      <c r="N217" s="71" t="str">
        <f>'Stakeholder list'!O222</f>
        <v>Fortaleza, CE, Brazil</v>
      </c>
      <c r="O217" s="71" t="str">
        <f>'Stakeholder list'!P222</f>
        <v>Grantee</v>
      </c>
      <c r="P217" s="71" t="str">
        <f>'Stakeholder list'!Q222</f>
        <v/>
      </c>
      <c r="Q217" s="71" t="str">
        <f>'Stakeholder list'!R222</f>
        <v/>
      </c>
      <c r="R217" s="71" t="str">
        <f>'Stakeholder list'!S222</f>
        <v>Important player for Caatinga Biome. Based on Ceará State. </v>
      </c>
      <c r="S217" s="71" t="str">
        <f>'Stakeholder list'!T222</f>
        <v>—</v>
      </c>
      <c r="T217" s="71" t="str">
        <f>'Stakeholder list'!U222</f>
        <v/>
      </c>
      <c r="U217" s="71" t="str">
        <f>'Stakeholder list'!V222</f>
        <v/>
      </c>
      <c r="V217" s="71" t="str">
        <f>'Stakeholder list'!W222</f>
        <v/>
      </c>
      <c r="W217" s="71" t="str">
        <f>'Stakeholder list'!X222</f>
        <v/>
      </c>
    </row>
    <row r="218">
      <c r="A218" s="71">
        <f>'Stakeholder list'!B223</f>
        <v>217</v>
      </c>
      <c r="B218" s="71" t="str">
        <f>'Stakeholder list'!C223</f>
        <v>Fundo Constitucional de Financiamento do Nordeste (FNE)</v>
      </c>
      <c r="C218" s="71" t="str">
        <f>'Stakeholder list'!D223</f>
        <v>Public sector</v>
      </c>
      <c r="D218" s="71" t="str">
        <f>'Stakeholder list'!E223</f>
        <v>Development banks</v>
      </c>
      <c r="E218" s="71" t="str">
        <f>'Stakeholder list'!F223</f>
        <v>Constitutional regional fund operated via development finance; supports transition by providing long-term credit for productive investment, potentially steering capital toward low-carbon, resilient and inclusive regional development.</v>
      </c>
      <c r="F218" s="71" t="str">
        <f>'Stakeholder list'!G223</f>
        <v>Regional</v>
      </c>
      <c r="G218" s="71" t="str">
        <f>'Stakeholder list'!H223</f>
        <v>Buildings &amp; Transport, Energy, "Land, Food and Forest"</v>
      </c>
      <c r="H218" s="71" t="str">
        <f>'Stakeholder list'!I223</f>
        <v>Caatinga, Cerrado</v>
      </c>
      <c r="I218" s="71" t="str">
        <f>'Stakeholder list'!J223</f>
        <v>Coastal&amp;maritime</v>
      </c>
      <c r="J218" s="71" t="str">
        <f>'Stakeholder list'!K223</f>
        <v>It operated as a Northeast-focused finance instrument where Caatinga predominated, while financing also reached coastal economies with strong coastal-maritime interfaces.</v>
      </c>
      <c r="K218" s="71" t="str">
        <f>'Stakeholder list'!L223</f>
        <v>Capital provider / Financial intermediary</v>
      </c>
      <c r="L218" s="71" t="str">
        <f>'Stakeholder list'!M223</f>
        <v>Midstream</v>
      </c>
      <c r="M218" s="71" t="str">
        <f>'Stakeholder list'!N223</f>
        <v>Co-funding partner</v>
      </c>
      <c r="N218" s="71" t="str">
        <f>'Stakeholder list'!O223</f>
        <v>Fortaleza, CE, Brazil</v>
      </c>
      <c r="O218" s="71" t="str">
        <f>'Stakeholder list'!P223</f>
        <v>Re-granter</v>
      </c>
      <c r="P218" s="71" t="str">
        <f>'Stakeholder list'!Q223</f>
        <v/>
      </c>
      <c r="Q218" s="71" t="str">
        <f>'Stakeholder list'!R223</f>
        <v/>
      </c>
      <c r="R218" s="71" t="str">
        <f>'Stakeholder list'!S223</f>
        <v>Potential co-funding partenr for Caatinga Biome. </v>
      </c>
      <c r="S218" s="71" t="str">
        <f>'Stakeholder list'!T223</f>
        <v>—</v>
      </c>
      <c r="T218" s="71" t="str">
        <f>'Stakeholder list'!U223</f>
        <v/>
      </c>
      <c r="U218" s="71" t="str">
        <f>'Stakeholder list'!V223</f>
        <v/>
      </c>
      <c r="V218" s="71" t="str">
        <f>'Stakeholder list'!W223</f>
        <v/>
      </c>
      <c r="W218" s="71" t="str">
        <f>'Stakeholder list'!X223</f>
        <v/>
      </c>
    </row>
    <row r="219">
      <c r="A219" s="71">
        <f>'Stakeholder list'!B224</f>
        <v>218</v>
      </c>
      <c r="B219" s="71" t="str">
        <f>'Stakeholder list'!C224</f>
        <v>Articulação Semiárido Brasileiro (ASA Brasil)</v>
      </c>
      <c r="C219" s="71" t="str">
        <f>'Stakeholder list'!D224</f>
        <v>Civil Society Organization (CSO)</v>
      </c>
      <c r="D219" s="71" t="str">
        <f>'Stakeholder list'!E224</f>
        <v>Grassroots networks</v>
      </c>
      <c r="E219" s="71" t="str">
        <f>'Stakeholder list'!F224</f>
        <v>Network of civil society organizations in the Semi-arid region; strengthens climate resilience and food/water security through social technologies, community mobilization and advocacy for inclusive development.</v>
      </c>
      <c r="F219" s="71" t="str">
        <f>'Stakeholder list'!G224</f>
        <v>Regional</v>
      </c>
      <c r="G219" s="71" t="str">
        <f>'Stakeholder list'!H224</f>
        <v>"Land, Food and Forest"</v>
      </c>
      <c r="H219" s="71" t="str">
        <f>'Stakeholder list'!I224</f>
        <v>Caatinga</v>
      </c>
      <c r="I219" s="71" t="str">
        <f>'Stakeholder list'!J224</f>
        <v/>
      </c>
      <c r="J219" s="71" t="str">
        <f>'Stakeholder list'!K224</f>
        <v>It operated explicitly in the Semi-arid territory and implemented water/food resilience actions anchored in the Caatinga biome.</v>
      </c>
      <c r="K219" s="71" t="str">
        <f>'Stakeholder list'!L224</f>
        <v>Community legitimacy / proximate leadership, Implementation capacity (delivery)</v>
      </c>
      <c r="L219" s="71" t="str">
        <f>'Stakeholder list'!M224</f>
        <v>Downstream</v>
      </c>
      <c r="M219" s="71" t="str">
        <f>'Stakeholder list'!N224</f>
        <v>Grant recipient</v>
      </c>
      <c r="N219" s="71" t="str">
        <f>'Stakeholder list'!O224</f>
        <v>Recife, PE, Brazil</v>
      </c>
      <c r="O219" s="71" t="str">
        <f>'Stakeholder list'!P224</f>
        <v>Grantee</v>
      </c>
      <c r="P219" s="71" t="str">
        <f>'Stakeholder list'!Q224</f>
        <v/>
      </c>
      <c r="Q219" s="71" t="str">
        <f>'Stakeholder list'!R224</f>
        <v/>
      </c>
      <c r="R219" s="71" t="str">
        <f>'Stakeholder list'!S224</f>
        <v>Important player for Caatinga Biome. Based on Pernambuco State. </v>
      </c>
      <c r="S219" s="71" t="str">
        <f>'Stakeholder list'!T224</f>
        <v>—</v>
      </c>
      <c r="T219" s="71" t="str">
        <f>'Stakeholder list'!U224</f>
        <v/>
      </c>
      <c r="U219" s="71" t="str">
        <f>'Stakeholder list'!V224</f>
        <v/>
      </c>
      <c r="V219" s="71" t="str">
        <f>'Stakeholder list'!W224</f>
        <v/>
      </c>
      <c r="W219" s="71" t="str">
        <f>'Stakeholder list'!X224</f>
        <v/>
      </c>
    </row>
    <row r="220">
      <c r="A220" s="71">
        <f>'Stakeholder list'!B225</f>
        <v>219</v>
      </c>
      <c r="B220" s="71" t="str">
        <f>'Stakeholder list'!C225</f>
        <v>Fundação Araripe</v>
      </c>
      <c r="C220" s="71" t="str">
        <f>'Stakeholder list'!D225</f>
        <v>Funders</v>
      </c>
      <c r="D220" s="71" t="str">
        <f>'Stakeholder list'!E225</f>
        <v>Philanthropy foundations</v>
      </c>
      <c r="E220" s="71" t="str">
        <f>'Stakeholder list'!F225</f>
        <v>Regional philanthropic foundation (linked to the Araripe territory); can support systemic transition by funding conservation, education and sustainable livelihoods initiatives aligned with territorial resilience and equity.</v>
      </c>
      <c r="F220" s="71" t="str">
        <f>'Stakeholder list'!G225</f>
        <v>Regional</v>
      </c>
      <c r="G220" s="71" t="str">
        <f>'Stakeholder list'!H225</f>
        <v>"Land, Food and Forest"</v>
      </c>
      <c r="H220" s="71" t="str">
        <f>'Stakeholder list'!I225</f>
        <v>Caatinga</v>
      </c>
      <c r="I220" s="71" t="str">
        <f>'Stakeholder list'!J225</f>
        <v/>
      </c>
      <c r="J220" s="71" t="str">
        <f>'Stakeholder list'!K225</f>
        <v>It operated in the Araripe/Semi-arid context and funded territorial initiatives associated with the Caatinga biome.</v>
      </c>
      <c r="K220" s="71" t="str">
        <f>'Stakeholder list'!L225</f>
        <v>Project developer / Implementer, Technical assistance / research</v>
      </c>
      <c r="L220" s="71" t="str">
        <f>'Stakeholder list'!M225</f>
        <v>Downstream</v>
      </c>
      <c r="M220" s="71" t="str">
        <f>'Stakeholder list'!N225</f>
        <v>Co-funding partner</v>
      </c>
      <c r="N220" s="71" t="str">
        <f>'Stakeholder list'!O225</f>
        <v>Crato, CE, Brazil</v>
      </c>
      <c r="O220" s="71" t="str">
        <f>'Stakeholder list'!P225</f>
        <v>Grantee</v>
      </c>
      <c r="P220" s="71" t="str">
        <f>'Stakeholder list'!Q225</f>
        <v/>
      </c>
      <c r="Q220" s="71" t="str">
        <f>'Stakeholder list'!R225</f>
        <v/>
      </c>
      <c r="R220" s="71" t="str">
        <f>'Stakeholder list'!S225</f>
        <v>Potential co-funding partenr for Caatinga Biome. </v>
      </c>
      <c r="S220" s="71" t="str">
        <f>'Stakeholder list'!T225</f>
        <v>—</v>
      </c>
      <c r="T220" s="71" t="str">
        <f>'Stakeholder list'!U225</f>
        <v/>
      </c>
      <c r="U220" s="71" t="str">
        <f>'Stakeholder list'!V225</f>
        <v/>
      </c>
      <c r="V220" s="71" t="str">
        <f>'Stakeholder list'!W225</f>
        <v/>
      </c>
      <c r="W220" s="71" t="str">
        <f>'Stakeholder list'!X225</f>
        <v/>
      </c>
    </row>
    <row r="221">
      <c r="A221" s="71">
        <f>'Stakeholder list'!B226</f>
        <v>220</v>
      </c>
      <c r="B221" s="71" t="str">
        <f>'Stakeholder list'!C226</f>
        <v>Centro de Manejo de Fauna da Caatinga (CEMAFauna)</v>
      </c>
      <c r="C221" s="71" t="str">
        <f>'Stakeholder list'!D226</f>
        <v>Public sector</v>
      </c>
      <c r="D221" s="71" t="str">
        <f>'Stakeholder list'!E226</f>
        <v>Research centers</v>
      </c>
      <c r="E221" s="71" t="str">
        <f>'Stakeholder list'!F226</f>
        <v>Applied center focused on fauna management and conservation in the Caatinga; contributes through research, monitoring, rescue/rehabilitation and technical support for biodiversity protection and environmental licensing.</v>
      </c>
      <c r="F221" s="71" t="str">
        <f>'Stakeholder list'!G226</f>
        <v>Regional</v>
      </c>
      <c r="G221" s="71" t="str">
        <f>'Stakeholder list'!H226</f>
        <v>"Land, Food and Forest"</v>
      </c>
      <c r="H221" s="71" t="str">
        <f>'Stakeholder list'!I226</f>
        <v>Caatinga</v>
      </c>
      <c r="I221" s="71" t="str">
        <f>'Stakeholder list'!J226</f>
        <v/>
      </c>
      <c r="J221" s="71" t="str">
        <f>'Stakeholder list'!K226</f>
        <v>It operated as a Caatinga fauna management and conservation center with activities explicitly delimited to that biome.</v>
      </c>
      <c r="K221" s="71" t="str">
        <f>'Stakeholder list'!L226</f>
        <v>Technical assistance / research</v>
      </c>
      <c r="L221" s="71" t="str">
        <f>'Stakeholder list'!M226</f>
        <v>Upstream</v>
      </c>
      <c r="M221" s="71" t="str">
        <f>'Stakeholder list'!N226</f>
        <v>Strategic partner</v>
      </c>
      <c r="N221" s="71" t="str">
        <f>'Stakeholder list'!O226</f>
        <v>Petrolina, PE, Brazil</v>
      </c>
      <c r="O221" s="71" t="str">
        <f>'Stakeholder list'!P226</f>
        <v>Grantee</v>
      </c>
      <c r="P221" s="71" t="str">
        <f>'Stakeholder list'!Q226</f>
        <v/>
      </c>
      <c r="Q221" s="71" t="str">
        <f>'Stakeholder list'!R226</f>
        <v/>
      </c>
      <c r="R221" s="71" t="str">
        <f>'Stakeholder list'!S226</f>
        <v/>
      </c>
      <c r="S221" s="71" t="str">
        <f>'Stakeholder list'!T226</f>
        <v>—</v>
      </c>
      <c r="T221" s="71" t="str">
        <f>'Stakeholder list'!U226</f>
        <v/>
      </c>
      <c r="U221" s="71" t="str">
        <f>'Stakeholder list'!V226</f>
        <v/>
      </c>
      <c r="V221" s="71" t="str">
        <f>'Stakeholder list'!W226</f>
        <v/>
      </c>
      <c r="W221" s="71" t="str">
        <f>'Stakeholder list'!X226</f>
        <v/>
      </c>
    </row>
    <row r="222">
      <c r="A222" s="71">
        <f>'Stakeholder list'!B227</f>
        <v>221</v>
      </c>
      <c r="B222" s="71" t="str">
        <f>'Stakeholder list'!C227</f>
        <v>Instituto Regional da Pequena Agropecuária Apropriada (IRPAA)</v>
      </c>
      <c r="C222" s="71" t="str">
        <f>'Stakeholder list'!D227</f>
        <v>Civil Society Organization (CSO)</v>
      </c>
      <c r="D222" s="71" t="str">
        <f>'Stakeholder list'!E227</f>
        <v>Research centers </v>
      </c>
      <c r="E222" s="71" t="str">
        <f>'Stakeholder list'!F227</f>
        <v>Civil society organization that supports family farming in the Semi-arid; contributes through technical assistance, agroecology and water strategies that strengthen resilience, food security and sustainable rural development.</v>
      </c>
      <c r="F222" s="71" t="str">
        <f>'Stakeholder list'!G227</f>
        <v>State-level</v>
      </c>
      <c r="G222" s="71" t="str">
        <f>'Stakeholder list'!H227</f>
        <v>"Land, Food and Forest"</v>
      </c>
      <c r="H222" s="71" t="str">
        <f>'Stakeholder list'!I227</f>
        <v>Caatinga</v>
      </c>
      <c r="I222" s="71" t="str">
        <f>'Stakeholder list'!J227</f>
        <v/>
      </c>
      <c r="J222" s="71" t="str">
        <f>'Stakeholder list'!K227</f>
        <v>It implemented semi-arid family-farming and water strategies explicitly tied to the Caatinga context.</v>
      </c>
      <c r="K222" s="71" t="str">
        <f>'Stakeholder list'!L227</f>
        <v>Project developer / Implementer, Community legitimacy / proximate leadership</v>
      </c>
      <c r="L222" s="71" t="str">
        <f>'Stakeholder list'!M227</f>
        <v>Downstream</v>
      </c>
      <c r="M222" s="71" t="str">
        <f>'Stakeholder list'!N227</f>
        <v>Strategic partner</v>
      </c>
      <c r="N222" s="71" t="str">
        <f>'Stakeholder list'!O227</f>
        <v>Juazeiro, BA, Brazil</v>
      </c>
      <c r="O222" s="71" t="str">
        <f>'Stakeholder list'!P227</f>
        <v>Grantee</v>
      </c>
      <c r="P222" s="71" t="str">
        <f>'Stakeholder list'!Q227</f>
        <v/>
      </c>
      <c r="Q222" s="71" t="str">
        <f>'Stakeholder list'!R227</f>
        <v/>
      </c>
      <c r="R222" s="71" t="str">
        <f>'Stakeholder list'!S227</f>
        <v/>
      </c>
      <c r="S222" s="71" t="str">
        <f>'Stakeholder list'!T227</f>
        <v>—</v>
      </c>
      <c r="T222" s="71" t="str">
        <f>'Stakeholder list'!U227</f>
        <v/>
      </c>
      <c r="U222" s="71" t="str">
        <f>'Stakeholder list'!V227</f>
        <v/>
      </c>
      <c r="V222" s="71" t="str">
        <f>'Stakeholder list'!W227</f>
        <v/>
      </c>
      <c r="W222" s="71" t="str">
        <f>'Stakeholder list'!X227</f>
        <v/>
      </c>
    </row>
    <row r="223">
      <c r="A223" s="71">
        <f>'Stakeholder list'!B228</f>
        <v>222</v>
      </c>
      <c r="B223" s="71" t="str">
        <f>'Stakeholder list'!C228</f>
        <v>Global Energy Alliance for People and Planet (GEAPP)</v>
      </c>
      <c r="C223" s="71" t="str">
        <f>'Stakeholder list'!D228</f>
        <v>Others</v>
      </c>
      <c r="D223" s="71" t="str">
        <f>'Stakeholder list'!E228</f>
        <v>Alliances</v>
      </c>
      <c r="E223" s="71" t="str">
        <f>'Stakeholder list'!F228</f>
        <v>Global alliance that mobilizes philanthropic, public and private partners to accelerate clean energy deployment and energy access; supports systemic transition through catalytic finance, project pipelines and policy/implementation partnerships.</v>
      </c>
      <c r="F223" s="71" t="str">
        <f>'Stakeholder list'!G228</f>
        <v>Cross-border / international</v>
      </c>
      <c r="G223" s="71" t="str">
        <f>'Stakeholder list'!H228</f>
        <v>Energy</v>
      </c>
      <c r="H223" s="71" t="str">
        <f>'Stakeholder list'!I228</f>
        <v/>
      </c>
      <c r="I223" s="71" t="str">
        <f>'Stakeholder list'!J228</f>
        <v/>
      </c>
      <c r="J223" s="71" t="str">
        <f>'Stakeholder list'!K228</f>
        <v>No biome lens was assigned because it operated through global energy-access/finance pipelines and was not mapped here as biome-delimited implementation in Brazil.</v>
      </c>
      <c r="K223" s="71" t="str">
        <f>'Stakeholder list'!L228</f>
        <v>Strategic partner, Funder, Convenor/enablers</v>
      </c>
      <c r="L223" s="71" t="str">
        <f>'Stakeholder list'!M228</f>
        <v>Midstream</v>
      </c>
      <c r="M223" s="71" t="str">
        <f>'Stakeholder list'!N228</f>
        <v>Strategic partner</v>
      </c>
      <c r="N223" s="71" t="str">
        <f>'Stakeholder list'!O228</f>
        <v>São Paulo, SP, Brazil</v>
      </c>
      <c r="O223" s="71" t="str">
        <f>'Stakeholder list'!P228</f>
        <v>Donor</v>
      </c>
      <c r="P223" s="71" t="str">
        <f>'Stakeholder list'!Q228</f>
        <v/>
      </c>
      <c r="Q223" s="71" t="str">
        <f>'Stakeholder list'!R228</f>
        <v/>
      </c>
      <c r="R223" s="71" t="str">
        <f>'Stakeholder list'!S228</f>
        <v/>
      </c>
      <c r="S223" s="71" t="str">
        <f>'Stakeholder list'!T228</f>
        <v>—</v>
      </c>
      <c r="T223" s="71" t="str">
        <f>'Stakeholder list'!U228</f>
        <v/>
      </c>
      <c r="U223" s="71" t="str">
        <f>'Stakeholder list'!V228</f>
        <v/>
      </c>
      <c r="V223" s="71" t="str">
        <f>'Stakeholder list'!W228</f>
        <v/>
      </c>
      <c r="W223" s="71" t="str">
        <f>'Stakeholder list'!X228</f>
        <v/>
      </c>
    </row>
    <row r="224">
      <c r="A224" s="71">
        <f>'Stakeholder list'!B229</f>
        <v>223</v>
      </c>
      <c r="B224" s="71" t="str">
        <f>'Stakeholder list'!C229</f>
        <v>Banco Nacional de Desenvolvimento Econômico e Social (BNDES)</v>
      </c>
      <c r="C224" s="71" t="str">
        <f>'Stakeholder list'!D229</f>
        <v>Public sector</v>
      </c>
      <c r="D224" s="71" t="str">
        <f>'Stakeholder list'!E229</f>
        <v>Development banks</v>
      </c>
      <c r="E224" s="71" t="str">
        <f>'Stakeholder list'!F229</f>
        <v>Brazil’s national development bank; enables systemic transition by providing long-term finance and structuring blended-finance/investment platforms for renewable energy, resilient infrastructure, low-carbon industry and sustainable land-use value chains.</v>
      </c>
      <c r="F224" s="71" t="str">
        <f>'Stakeholder list'!G229</f>
        <v>National</v>
      </c>
      <c r="G224" s="71" t="str">
        <f>'Stakeholder list'!H229</f>
        <v>Buildings &amp; Transport, Emergency response, Energy, "Land, Food and Forest"</v>
      </c>
      <c r="H224" s="71" t="str">
        <f>'Stakeholder list'!I229</f>
        <v/>
      </c>
      <c r="I224" s="71" t="str">
        <f>'Stakeholder list'!J229</f>
        <v/>
      </c>
      <c r="J224" s="71" t="str">
        <f>'Stakeholder list'!K229</f>
        <v>No biome lens was assigned because financing was cross-sector/national and the mapping did not isolate a stable biome-specific operational portfolio.</v>
      </c>
      <c r="K224" s="71" t="str">
        <f>'Stakeholder list'!L229</f>
        <v>Capital provider / Financial intermediary, Territorial anchor, Funder</v>
      </c>
      <c r="L224" s="71" t="str">
        <f>'Stakeholder list'!M229</f>
        <v>Midstream</v>
      </c>
      <c r="M224" s="71" t="str">
        <f>'Stakeholder list'!N229</f>
        <v>Co-funding partner</v>
      </c>
      <c r="N224" s="71" t="str">
        <f>'Stakeholder list'!O229</f>
        <v>Rio de Janeiro, RJ, Brazil</v>
      </c>
      <c r="O224" s="71" t="str">
        <f>'Stakeholder list'!P229</f>
        <v>Re-granter</v>
      </c>
      <c r="P224" s="71" t="str">
        <f>'Stakeholder list'!Q229</f>
        <v/>
      </c>
      <c r="Q224" s="73" t="str">
        <f>'Stakeholder list'!R229</f>
        <v>https://www.bndes.gov.br/wps/portal/site/home</v>
      </c>
      <c r="R224" s="71" t="str">
        <f>'Stakeholder list'!S229</f>
        <v>Runs the Amazon Fund, among mmany other funding streams. Would very important to talk to them and address a constructive partnership devolpment. </v>
      </c>
      <c r="S224" s="71" t="str">
        <f>'Stakeholder list'!T229</f>
        <v>—</v>
      </c>
      <c r="T224" s="71" t="str">
        <f>'Stakeholder list'!U229</f>
        <v/>
      </c>
      <c r="U224" s="71" t="str">
        <f>'Stakeholder list'!V229</f>
        <v/>
      </c>
      <c r="V224" s="71" t="str">
        <f>'Stakeholder list'!W229</f>
        <v/>
      </c>
      <c r="W224" s="71" t="str">
        <f>'Stakeholder list'!X229</f>
        <v/>
      </c>
    </row>
    <row r="225">
      <c r="A225" s="71">
        <f>'Stakeholder list'!B230</f>
        <v>224</v>
      </c>
      <c r="B225" s="71" t="str">
        <f>'Stakeholder list'!C230</f>
        <v>Banco do Nordeste (BNB)</v>
      </c>
      <c r="C225" s="71" t="str">
        <f>'Stakeholder list'!D230</f>
        <v>Public sector</v>
      </c>
      <c r="D225" s="71" t="str">
        <f>'Stakeholder list'!E230</f>
        <v>Development banks</v>
      </c>
      <c r="E225" s="71" t="str">
        <f>'Stakeholder list'!F230</f>
        <v>Regional development bank for the Northeast; accelerates transition by channeling credit and technical support to productive inclusion, resilient AFOLU systems in the Semiárido/Caatinga, clean energy projects and sustainable local infrastructure.</v>
      </c>
      <c r="F225" s="71" t="str">
        <f>'Stakeholder list'!G230</f>
        <v>Regional</v>
      </c>
      <c r="G225" s="71" t="str">
        <f>'Stakeholder list'!H230</f>
        <v>Buildings &amp; Transport, Energy, "Land, Food and Forest"</v>
      </c>
      <c r="H225" s="71" t="str">
        <f>'Stakeholder list'!I230</f>
        <v>Caatinga</v>
      </c>
      <c r="I225" s="71" t="str">
        <f>'Stakeholder list'!J230</f>
        <v>Coastal&amp;maritime</v>
      </c>
      <c r="J225" s="71" t="str">
        <f>'Stakeholder list'!K230</f>
        <v>It operated with a Northeast mandate where Caatinga predominated and it also financed/coordinated activities in coastal zones with strong coastal-maritime interfaces.</v>
      </c>
      <c r="K225" s="71" t="str">
        <f>'Stakeholder list'!L230</f>
        <v>Capital provider / Financial intermediary, Territorial anchor</v>
      </c>
      <c r="L225" s="71" t="str">
        <f>'Stakeholder list'!M230</f>
        <v>Midstream</v>
      </c>
      <c r="M225" s="71" t="str">
        <f>'Stakeholder list'!N230</f>
        <v>Co-funding partner</v>
      </c>
      <c r="N225" s="71" t="str">
        <f>'Stakeholder list'!O230</f>
        <v>Fortaleza, CE, Brazil</v>
      </c>
      <c r="O225" s="71" t="str">
        <f>'Stakeholder list'!P230</f>
        <v>Re-granter</v>
      </c>
      <c r="P225" s="71" t="str">
        <f>'Stakeholder list'!Q230</f>
        <v/>
      </c>
      <c r="Q225" s="71" t="str">
        <f>'Stakeholder list'!R230</f>
        <v/>
      </c>
      <c r="R225" s="71" t="str">
        <f>'Stakeholder list'!S230</f>
        <v/>
      </c>
      <c r="S225" s="71" t="str">
        <f>'Stakeholder list'!T230</f>
        <v>—</v>
      </c>
      <c r="T225" s="71" t="str">
        <f>'Stakeholder list'!U230</f>
        <v/>
      </c>
      <c r="U225" s="71" t="str">
        <f>'Stakeholder list'!V230</f>
        <v/>
      </c>
      <c r="V225" s="71" t="str">
        <f>'Stakeholder list'!W230</f>
        <v/>
      </c>
      <c r="W225" s="71" t="str">
        <f>'Stakeholder list'!X230</f>
        <v/>
      </c>
    </row>
    <row r="226">
      <c r="A226" s="71">
        <f>'Stakeholder list'!B231</f>
        <v>225</v>
      </c>
      <c r="B226" s="71" t="str">
        <f>'Stakeholder list'!C231</f>
        <v>Banco do Brasil (BB)</v>
      </c>
      <c r="C226" s="71" t="str">
        <f>'Stakeholder list'!D231</f>
        <v>Public sector</v>
      </c>
      <c r="D226" s="71" t="str">
        <f>'Stakeholder list'!E231</f>
        <v>Commercial banks</v>
      </c>
      <c r="E226" s="71" t="str">
        <f>'Stakeholder list'!F231</f>
        <v>Large commercial bank with strong role in rural finance; supports transition by steering credit, risk management and incentives toward sustainable agriculture, deforestation-free supply chains, climate resilience and inclusive green investment.</v>
      </c>
      <c r="F226" s="71" t="str">
        <f>'Stakeholder list'!G231</f>
        <v>National</v>
      </c>
      <c r="G226" s="71" t="str">
        <f>'Stakeholder list'!H231</f>
        <v>Buildings &amp; Transport, Energy, "Land, Food and Forest"</v>
      </c>
      <c r="H226" s="71" t="str">
        <f>'Stakeholder list'!I231</f>
        <v/>
      </c>
      <c r="I226" s="71" t="str">
        <f>'Stakeholder list'!J231</f>
        <v/>
      </c>
      <c r="J226" s="71" t="str">
        <f>'Stakeholder list'!K231</f>
        <v>No biome lens was assigned because its rural and corporate finance operated nationally and was not structured as a biome-delimited program portfolio in this mapping.</v>
      </c>
      <c r="K226" s="71" t="str">
        <f>'Stakeholder list'!L231</f>
        <v>Capital provider / Financial intermediary, Territorial anchor</v>
      </c>
      <c r="L226" s="71" t="str">
        <f>'Stakeholder list'!M231</f>
        <v>Midstream</v>
      </c>
      <c r="M226" s="71" t="str">
        <f>'Stakeholder list'!N231</f>
        <v>Co-funding partner</v>
      </c>
      <c r="N226" s="71" t="str">
        <f>'Stakeholder list'!O231</f>
        <v>Brasília, DF, Brazil</v>
      </c>
      <c r="O226" s="71" t="str">
        <f>'Stakeholder list'!P231</f>
        <v>Re-granter</v>
      </c>
      <c r="P226" s="71" t="str">
        <f>'Stakeholder list'!Q231</f>
        <v/>
      </c>
      <c r="Q226" s="71" t="str">
        <f>'Stakeholder list'!R231</f>
        <v/>
      </c>
      <c r="R226" s="71" t="str">
        <f>'Stakeholder list'!S231</f>
        <v/>
      </c>
      <c r="S226" s="71" t="str">
        <f>'Stakeholder list'!T231</f>
        <v>—</v>
      </c>
      <c r="T226" s="71" t="str">
        <f>'Stakeholder list'!U231</f>
        <v/>
      </c>
      <c r="U226" s="71" t="str">
        <f>'Stakeholder list'!V231</f>
        <v/>
      </c>
      <c r="V226" s="71" t="str">
        <f>'Stakeholder list'!W231</f>
        <v/>
      </c>
      <c r="W226" s="71" t="str">
        <f>'Stakeholder list'!X231</f>
        <v/>
      </c>
    </row>
    <row r="227">
      <c r="A227" s="71">
        <f>'Stakeholder list'!B232</f>
        <v>226</v>
      </c>
      <c r="B227" s="71" t="str">
        <f>'Stakeholder list'!C232</f>
        <v>Federação Brasileira de Bancos (Febraban)</v>
      </c>
      <c r="C227" s="71" t="str">
        <f>'Stakeholder list'!D232</f>
        <v>Civil Society Organization (CSO)</v>
      </c>
      <c r="D227" s="71" t="str">
        <f>'Stakeholder list'!E232</f>
        <v>Industry platforms and sectoral initiatives</v>
      </c>
      <c r="E227" s="71" t="str">
        <f>'Stakeholder list'!F232</f>
        <v>Banking federation that coordinates sector commitments and standards; contributes by shaping sustainable finance practices (risk, disclosure, taxonomy/labels) and aligning banking products with low-carbon and nature-positive outcomes.</v>
      </c>
      <c r="F227" s="71" t="str">
        <f>'Stakeholder list'!G232</f>
        <v>National</v>
      </c>
      <c r="G227" s="71" t="str">
        <f>'Stakeholder list'!H232</f>
        <v/>
      </c>
      <c r="H227" s="71" t="str">
        <f>'Stakeholder list'!I232</f>
        <v/>
      </c>
      <c r="I227" s="71" t="str">
        <f>'Stakeholder list'!J232</f>
        <v/>
      </c>
      <c r="J227" s="71" t="str">
        <f>'Stakeholder list'!K232</f>
        <v>No biome lens was assigned because it operated through sector coordination/standards rather than biome-delimited initiatives.</v>
      </c>
      <c r="K227" s="71" t="str">
        <f>'Stakeholder list'!L232</f>
        <v>Convenor/enablers, Policy influence / regulation</v>
      </c>
      <c r="L227" s="71" t="str">
        <f>'Stakeholder list'!M232</f>
        <v>Upstream</v>
      </c>
      <c r="M227" s="71" t="str">
        <f>'Stakeholder list'!N232</f>
        <v>Strategic partner</v>
      </c>
      <c r="N227" s="71" t="str">
        <f>'Stakeholder list'!O232</f>
        <v>São Paulo, SP, Brazil</v>
      </c>
      <c r="O227" s="71" t="str">
        <f>'Stakeholder list'!P232</f>
        <v>Grantee</v>
      </c>
      <c r="P227" s="71" t="str">
        <f>'Stakeholder list'!Q232</f>
        <v/>
      </c>
      <c r="Q227" s="71" t="str">
        <f>'Stakeholder list'!R232</f>
        <v/>
      </c>
      <c r="R227" s="71" t="str">
        <f>'Stakeholder list'!S232</f>
        <v/>
      </c>
      <c r="S227" s="71" t="str">
        <f>'Stakeholder list'!T232</f>
        <v>—</v>
      </c>
      <c r="T227" s="71" t="str">
        <f>'Stakeholder list'!U232</f>
        <v/>
      </c>
      <c r="U227" s="71" t="str">
        <f>'Stakeholder list'!V232</f>
        <v/>
      </c>
      <c r="V227" s="71" t="str">
        <f>'Stakeholder list'!W232</f>
        <v/>
      </c>
      <c r="W227" s="71" t="str">
        <f>'Stakeholder list'!X232</f>
        <v/>
      </c>
    </row>
    <row r="228">
      <c r="A228" s="71">
        <f>'Stakeholder list'!B233</f>
        <v>227</v>
      </c>
      <c r="B228" s="71" t="str">
        <f>'Stakeholder list'!C233</f>
        <v>B3 – Brasil, Bolsa, Balcão (B3)</v>
      </c>
      <c r="C228" s="71" t="str">
        <f>'Stakeholder list'!D233</f>
        <v>Private sector</v>
      </c>
      <c r="D228" s="71" t="str">
        <f>'Stakeholder list'!E233</f>
        <v>Private companies (large / leading)</v>
      </c>
      <c r="E228" s="71" t="str">
        <f>'Stakeholder list'!F233</f>
        <v>Capital markets infrastructure (stock exchange and clearing); supports transition by enabling listings and sustainable instruments (e.g., green/transition bonds), improving transparency and disclosure, and strengthening market standards for ESG and climate risk.</v>
      </c>
      <c r="F228" s="71" t="str">
        <f>'Stakeholder list'!G233</f>
        <v>National</v>
      </c>
      <c r="G228" s="71" t="str">
        <f>'Stakeholder list'!H233</f>
        <v/>
      </c>
      <c r="H228" s="71" t="str">
        <f>'Stakeholder list'!I233</f>
        <v/>
      </c>
      <c r="I228" s="71" t="str">
        <f>'Stakeholder list'!J233</f>
        <v/>
      </c>
      <c r="J228" s="71" t="str">
        <f>'Stakeholder list'!K233</f>
        <v>No biome lens was assigned because it operated through market infrastructure and disclosure standards without biome-delimited implementation.</v>
      </c>
      <c r="K228" s="71" t="str">
        <f>'Stakeholder list'!L233</f>
        <v>Data / MRV / platforms, Convenor/enablers</v>
      </c>
      <c r="L228" s="71" t="str">
        <f>'Stakeholder list'!M233</f>
        <v>Midstream</v>
      </c>
      <c r="M228" s="71" t="str">
        <f>'Stakeholder list'!N233</f>
        <v>Co-funding partner</v>
      </c>
      <c r="N228" s="71" t="str">
        <f>'Stakeholder list'!O233</f>
        <v>São Paulo, SP, Brazil</v>
      </c>
      <c r="O228" s="71" t="str">
        <f>'Stakeholder list'!P233</f>
        <v>Grantee</v>
      </c>
      <c r="P228" s="71" t="str">
        <f>'Stakeholder list'!Q233</f>
        <v/>
      </c>
      <c r="Q228" s="71" t="str">
        <f>'Stakeholder list'!R233</f>
        <v/>
      </c>
      <c r="R228" s="71" t="str">
        <f>'Stakeholder list'!S233</f>
        <v/>
      </c>
      <c r="S228" s="71" t="str">
        <f>'Stakeholder list'!T233</f>
        <v>—</v>
      </c>
      <c r="T228" s="71" t="str">
        <f>'Stakeholder list'!U233</f>
        <v/>
      </c>
      <c r="U228" s="71" t="str">
        <f>'Stakeholder list'!V233</f>
        <v/>
      </c>
      <c r="V228" s="71" t="str">
        <f>'Stakeholder list'!W233</f>
        <v/>
      </c>
      <c r="W228" s="71" t="str">
        <f>'Stakeholder list'!X233</f>
        <v/>
      </c>
    </row>
    <row r="229">
      <c r="A229" s="71">
        <f>'Stakeholder list'!B234</f>
        <v>228</v>
      </c>
      <c r="B229" s="71" t="str">
        <f>'Stakeholder list'!C234</f>
        <v>Câmara de Comercialização de Energia Elétrica (CCEE)</v>
      </c>
      <c r="C229" s="71" t="str">
        <f>'Stakeholder list'!D234</f>
        <v>Civil Society Organization (CSO)</v>
      </c>
      <c r="D229" s="71" t="str">
        <f>'Stakeholder list'!E234</f>
        <v>Industry platforms and sectoral initiatives</v>
      </c>
      <c r="E229" s="71" t="str">
        <f>'Stakeholder list'!F234</f>
        <v>Electricity market operator for trading/settlement; enables energy transition by operating market mechanisms and data systems that support competition, renewable integration, contracting innovations and efficient price signals.</v>
      </c>
      <c r="F229" s="71" t="str">
        <f>'Stakeholder list'!G234</f>
        <v>National</v>
      </c>
      <c r="G229" s="71" t="str">
        <f>'Stakeholder list'!H234</f>
        <v>Energy</v>
      </c>
      <c r="H229" s="71" t="str">
        <f>'Stakeholder list'!I234</f>
        <v/>
      </c>
      <c r="I229" s="71" t="str">
        <f>'Stakeholder list'!J234</f>
        <v/>
      </c>
      <c r="J229" s="71" t="str">
        <f>'Stakeholder list'!K234</f>
        <v>No biome lens was assigned because it operated through national electricity market rules/settlement systems and not biome-specific initiatives.</v>
      </c>
      <c r="K229" s="71" t="str">
        <f>'Stakeholder list'!L234</f>
        <v>Policy influence / regulation, Data / MRV / platforms</v>
      </c>
      <c r="L229" s="71" t="str">
        <f>'Stakeholder list'!M234</f>
        <v>Upstream</v>
      </c>
      <c r="M229" s="71" t="str">
        <f>'Stakeholder list'!N234</f>
        <v>Strategic partner</v>
      </c>
      <c r="N229" s="71" t="str">
        <f>'Stakeholder list'!O234</f>
        <v>São Paulo, SP, Brazil</v>
      </c>
      <c r="O229" s="71" t="str">
        <f>'Stakeholder list'!P234</f>
        <v>Grantee</v>
      </c>
      <c r="P229" s="71" t="str">
        <f>'Stakeholder list'!Q234</f>
        <v/>
      </c>
      <c r="Q229" s="71" t="str">
        <f>'Stakeholder list'!R234</f>
        <v/>
      </c>
      <c r="R229" s="71" t="str">
        <f>'Stakeholder list'!S234</f>
        <v/>
      </c>
      <c r="S229" s="71" t="str">
        <f>'Stakeholder list'!T234</f>
        <v>—</v>
      </c>
      <c r="T229" s="71" t="str">
        <f>'Stakeholder list'!U234</f>
        <v/>
      </c>
      <c r="U229" s="71" t="str">
        <f>'Stakeholder list'!V234</f>
        <v/>
      </c>
      <c r="V229" s="71" t="str">
        <f>'Stakeholder list'!W234</f>
        <v/>
      </c>
      <c r="W229" s="71" t="str">
        <f>'Stakeholder list'!X234</f>
        <v/>
      </c>
    </row>
    <row r="230">
      <c r="A230" s="71">
        <f>'Stakeholder list'!B235</f>
        <v>229</v>
      </c>
      <c r="B230" s="71" t="str">
        <f>'Stakeholder list'!C235</f>
        <v>Agência Nacional do Petróleo, Gás Natural e Biocombustíveis (ANP)</v>
      </c>
      <c r="C230" s="71" t="str">
        <f>'Stakeholder list'!D235</f>
        <v>Public sector</v>
      </c>
      <c r="D230" s="71" t="str">
        <f>'Stakeholder list'!E235</f>
        <v>Public agencies and regulators</v>
      </c>
      <c r="E230" s="71" t="str">
        <f>'Stakeholder list'!F235</f>
        <v>Federal regulator for oil, gas and biofuels; influences transition through regulation of fuels markets, biofuels standards and oversight that can reduce emissions and support lower-carbon energy pathways.</v>
      </c>
      <c r="F230" s="71" t="str">
        <f>'Stakeholder list'!G235</f>
        <v>National</v>
      </c>
      <c r="G230" s="71" t="str">
        <f>'Stakeholder list'!H235</f>
        <v>Buildings &amp; Transport, Energy</v>
      </c>
      <c r="H230" s="71" t="str">
        <f>'Stakeholder list'!I235</f>
        <v/>
      </c>
      <c r="I230" s="71" t="str">
        <f>'Stakeholder list'!J235</f>
        <v/>
      </c>
      <c r="J230" s="71" t="str">
        <f>'Stakeholder list'!K235</f>
        <v>No biome lens was assigned because regulatory oversight was national/sectoral and not organized through biome-delimited programs in this mapping.</v>
      </c>
      <c r="K230" s="71" t="str">
        <f>'Stakeholder list'!L235</f>
        <v>Policy influence / regulation</v>
      </c>
      <c r="L230" s="71" t="str">
        <f>'Stakeholder list'!M235</f>
        <v>Upstream</v>
      </c>
      <c r="M230" s="71" t="str">
        <f>'Stakeholder list'!N235</f>
        <v>Strategic partner</v>
      </c>
      <c r="N230" s="71" t="str">
        <f>'Stakeholder list'!O235</f>
        <v>Rio de Janeiro, RJ, Brazil</v>
      </c>
      <c r="O230" s="71" t="str">
        <f>'Stakeholder list'!P235</f>
        <v>Grantee</v>
      </c>
      <c r="P230" s="71" t="str">
        <f>'Stakeholder list'!Q235</f>
        <v/>
      </c>
      <c r="Q230" s="71" t="str">
        <f>'Stakeholder list'!R235</f>
        <v/>
      </c>
      <c r="R230" s="71" t="str">
        <f>'Stakeholder list'!S235</f>
        <v/>
      </c>
      <c r="S230" s="71" t="str">
        <f>'Stakeholder list'!T235</f>
        <v>—</v>
      </c>
      <c r="T230" s="71" t="str">
        <f>'Stakeholder list'!U235</f>
        <v/>
      </c>
      <c r="U230" s="71" t="str">
        <f>'Stakeholder list'!V235</f>
        <v/>
      </c>
      <c r="V230" s="71" t="str">
        <f>'Stakeholder list'!W235</f>
        <v/>
      </c>
      <c r="W230" s="71" t="str">
        <f>'Stakeholder list'!X235</f>
        <v/>
      </c>
    </row>
    <row r="231">
      <c r="A231" s="71">
        <f>'Stakeholder list'!B236</f>
        <v>230</v>
      </c>
      <c r="B231" s="71" t="str">
        <f>'Stakeholder list'!C236</f>
        <v>Agência Nacional de Águas e Saneamento Básico (ANA)</v>
      </c>
      <c r="C231" s="71" t="str">
        <f>'Stakeholder list'!D236</f>
        <v>Public sector</v>
      </c>
      <c r="D231" s="71" t="str">
        <f>'Stakeholder list'!E236</f>
        <v>Public agencies and regulators</v>
      </c>
      <c r="E231" s="71" t="str">
        <f>'Stakeholder list'!F236</f>
        <v>Federal water and sanitation regulator; contributes to systemic transition by strengthening water governance, resilience planning and regulatory frameworks critical for cities, energy systems and AFOLU—especially in water-stressed regions.</v>
      </c>
      <c r="F231" s="71" t="str">
        <f>'Stakeholder list'!G236</f>
        <v>National</v>
      </c>
      <c r="G231" s="71" t="str">
        <f>'Stakeholder list'!H236</f>
        <v>Buildings &amp; Transport, Energy, "Land, Food and Forest"</v>
      </c>
      <c r="H231" s="71" t="str">
        <f>'Stakeholder list'!I236</f>
        <v/>
      </c>
      <c r="I231" s="71" t="str">
        <f>'Stakeholder list'!J236</f>
        <v/>
      </c>
      <c r="J231" s="71" t="str">
        <f>'Stakeholder list'!K236</f>
        <v>No biome lens was assigned because regulation and governance instruments were national and not mapped as biome-delimited initiatives for this entry.</v>
      </c>
      <c r="K231" s="71" t="str">
        <f>'Stakeholder list'!L236</f>
        <v>Policy influence / regulation, Territorial anchor</v>
      </c>
      <c r="L231" s="71" t="str">
        <f>'Stakeholder list'!M236</f>
        <v>Upstream</v>
      </c>
      <c r="M231" s="71" t="str">
        <f>'Stakeholder list'!N236</f>
        <v>Strategic partner</v>
      </c>
      <c r="N231" s="71" t="str">
        <f>'Stakeholder list'!O236</f>
        <v>Brasília, DF, Brazil</v>
      </c>
      <c r="O231" s="71" t="str">
        <f>'Stakeholder list'!P236</f>
        <v>Grantee</v>
      </c>
      <c r="P231" s="71" t="str">
        <f>'Stakeholder list'!Q236</f>
        <v/>
      </c>
      <c r="Q231" s="71" t="str">
        <f>'Stakeholder list'!R236</f>
        <v/>
      </c>
      <c r="R231" s="71" t="str">
        <f>'Stakeholder list'!S236</f>
        <v/>
      </c>
      <c r="S231" s="71" t="str">
        <f>'Stakeholder list'!T236</f>
        <v>—</v>
      </c>
      <c r="T231" s="71" t="str">
        <f>'Stakeholder list'!U236</f>
        <v/>
      </c>
      <c r="U231" s="71" t="str">
        <f>'Stakeholder list'!V236</f>
        <v/>
      </c>
      <c r="V231" s="71" t="str">
        <f>'Stakeholder list'!W236</f>
        <v/>
      </c>
      <c r="W231" s="71" t="str">
        <f>'Stakeholder list'!X236</f>
        <v/>
      </c>
    </row>
    <row r="232">
      <c r="A232" s="71">
        <f>'Stakeholder list'!B237</f>
        <v>231</v>
      </c>
      <c r="B232" s="71" t="str">
        <f>'Stakeholder list'!C237</f>
        <v>MapBiomas (MapBiomas)</v>
      </c>
      <c r="C232" s="71" t="str">
        <f>'Stakeholder list'!D237</f>
        <v>Others</v>
      </c>
      <c r="D232" s="71" t="str">
        <f>'Stakeholder list'!E237</f>
        <v>Monitoring, Evaluation, and Learning</v>
      </c>
      <c r="E232" s="71" t="str">
        <f>'Stakeholder list'!F237</f>
        <v>Multi-institutional network producing high-resolution land-use and ecosystem monitoring; supports AFOLU transition by providing transparent data for deforestation control, land-use planning, enforcement and sustainable finance due diligence.</v>
      </c>
      <c r="F232" s="71" t="str">
        <f>'Stakeholder list'!G237</f>
        <v>National</v>
      </c>
      <c r="G232" s="71" t="str">
        <f>'Stakeholder list'!H237</f>
        <v>"Land, Food and Forest"</v>
      </c>
      <c r="H232" s="71" t="str">
        <f>'Stakeholder list'!I237</f>
        <v>Amazonia, Caatinga, Cerrado</v>
      </c>
      <c r="I232" s="71" t="str">
        <f>'Stakeholder list'!J237</f>
        <v>Mata&amp;Atlântica, Pantanal, Pampa, Coastal&amp;maritime</v>
      </c>
      <c r="J232" s="71" t="str">
        <f>'Stakeholder list'!K237</f>
        <v>It published biome-explicit land-use and ecosystem series with strongest recurrent attention to Amazonia and Cerrado transitions, while it also maintained consistent coverage across the remaining biomes.</v>
      </c>
      <c r="K232" s="71" t="str">
        <f>'Stakeholder list'!L237</f>
        <v>Data / MRV / platforms, Technical assistance / research</v>
      </c>
      <c r="L232" s="71" t="str">
        <f>'Stakeholder list'!M237</f>
        <v>Upstream</v>
      </c>
      <c r="M232" s="71" t="str">
        <f>'Stakeholder list'!N237</f>
        <v>Grant recipient</v>
      </c>
      <c r="N232" s="71" t="str">
        <f>'Stakeholder list'!O237</f>
        <v>São Paulo, SP, Brazil</v>
      </c>
      <c r="O232" s="71" t="str">
        <f>'Stakeholder list'!P237</f>
        <v>Grantee</v>
      </c>
      <c r="P232" s="71" t="str">
        <f>'Stakeholder list'!Q237</f>
        <v/>
      </c>
      <c r="Q232" s="71" t="str">
        <f>'Stakeholder list'!R237</f>
        <v/>
      </c>
      <c r="R232" s="71" t="str">
        <f>'Stakeholder list'!S237</f>
        <v>Relevant strategic and implementing partner for climate change and related impact areas and biomes for IKF work in Brazil. </v>
      </c>
      <c r="S232" s="71" t="str">
        <f>'Stakeholder list'!T237</f>
        <v>High-resolution land-use and vegetation cover monitoring, multi-biome MRV data platform</v>
      </c>
      <c r="T232" s="71" t="str">
        <f>'Stakeholder list'!U237</f>
        <v/>
      </c>
      <c r="U232" s="71" t="str">
        <f>'Stakeholder list'!V237</f>
        <v/>
      </c>
      <c r="V232" s="71" t="str">
        <f>'Stakeholder list'!W237</f>
        <v/>
      </c>
      <c r="W232" s="71" t="str">
        <f>'Stakeholder list'!X237</f>
        <v/>
      </c>
    </row>
    <row r="233">
      <c r="A233" s="71">
        <f>'Stakeholder list'!B238</f>
        <v>232</v>
      </c>
      <c r="B233" s="71" t="str">
        <f>'Stakeholder list'!C238</f>
        <v>Instituto Nacional do Semiárido (INSA)</v>
      </c>
      <c r="C233" s="71" t="str">
        <f>'Stakeholder list'!D238</f>
        <v>Public sector</v>
      </c>
      <c r="D233" s="71" t="str">
        <f>'Stakeholder list'!E238</f>
        <v>Research centers</v>
      </c>
      <c r="E233" s="71" t="str">
        <f>'Stakeholder list'!F238</f>
        <v>Federal research institute focused on the Semi-arid; enables transition in the Caatinga by generating applied knowledge and innovation for water security, climate adaptation, sustainable production systems and territorial resilience.</v>
      </c>
      <c r="F233" s="71" t="str">
        <f>'Stakeholder list'!G238</f>
        <v>Regional</v>
      </c>
      <c r="G233" s="71" t="str">
        <f>'Stakeholder list'!H238</f>
        <v>"Land, Food and Forest"</v>
      </c>
      <c r="H233" s="71" t="str">
        <f>'Stakeholder list'!I238</f>
        <v>Caatinga</v>
      </c>
      <c r="I233" s="71" t="str">
        <f>'Stakeholder list'!J238</f>
        <v/>
      </c>
      <c r="J233" s="71" t="str">
        <f>'Stakeholder list'!K238</f>
        <v>It operated explicitly as a Semi-arid institute and produced applied research anchored in the Caatinga biome.</v>
      </c>
      <c r="K233" s="71" t="str">
        <f>'Stakeholder list'!L238</f>
        <v>Technical assistance / research, Territorial anchor</v>
      </c>
      <c r="L233" s="71" t="str">
        <f>'Stakeholder list'!M238</f>
        <v>Upstream</v>
      </c>
      <c r="M233" s="71" t="str">
        <f>'Stakeholder list'!N238</f>
        <v>Strategic partner</v>
      </c>
      <c r="N233" s="71" t="str">
        <f>'Stakeholder list'!O238</f>
        <v>Campina Grande, PB, Brazil</v>
      </c>
      <c r="O233" s="71" t="str">
        <f>'Stakeholder list'!P238</f>
        <v>Grantee</v>
      </c>
      <c r="P233" s="71" t="str">
        <f>'Stakeholder list'!Q238</f>
        <v/>
      </c>
      <c r="Q233" s="71" t="str">
        <f>'Stakeholder list'!R238</f>
        <v/>
      </c>
      <c r="R233" s="71" t="str">
        <f>'Stakeholder list'!S238</f>
        <v/>
      </c>
      <c r="S233" s="71" t="str">
        <f>'Stakeholder list'!T238</f>
        <v>—</v>
      </c>
      <c r="T233" s="71" t="str">
        <f>'Stakeholder list'!U238</f>
        <v/>
      </c>
      <c r="U233" s="71" t="str">
        <f>'Stakeholder list'!V238</f>
        <v/>
      </c>
      <c r="V233" s="71" t="str">
        <f>'Stakeholder list'!W238</f>
        <v/>
      </c>
      <c r="W233" s="71" t="str">
        <f>'Stakeholder list'!X238</f>
        <v/>
      </c>
    </row>
    <row r="234">
      <c r="A234" s="71">
        <f>'Stakeholder list'!B239</f>
        <v>233</v>
      </c>
      <c r="B234" s="71" t="str">
        <f>'Stakeholder list'!C239</f>
        <v>Instituto de Desenvolvimento Sustentável Mamirauá (IDSM)</v>
      </c>
      <c r="C234" s="71" t="str">
        <f>'Stakeholder list'!D239</f>
        <v>Civil Society Organization (CSO)</v>
      </c>
      <c r="D234" s="71" t="str">
        <f>'Stakeholder list'!E239</f>
        <v>Monitoring, Evaluation, and Learning</v>
      </c>
      <c r="E234" s="71" t="str">
        <f>'Stakeholder list'!F239</f>
        <v>Applied research institute in the Amazon; supports systemic transition by combining science, monitoring and community-based models for conservation, sustainable livelihoods and nature-positive development pathways.</v>
      </c>
      <c r="F234" s="71" t="str">
        <f>'Stakeholder list'!G239</f>
        <v>Regional</v>
      </c>
      <c r="G234" s="71" t="str">
        <f>'Stakeholder list'!H239</f>
        <v>"Land, Food and Forest"</v>
      </c>
      <c r="H234" s="71" t="str">
        <f>'Stakeholder list'!I239</f>
        <v>Amazonia</v>
      </c>
      <c r="I234" s="71" t="str">
        <f>'Stakeholder list'!J239</f>
        <v/>
      </c>
      <c r="J234" s="71" t="str">
        <f>'Stakeholder list'!K239</f>
        <v>It operated in Amazon floodplain/forest contexts and implemented conservation and livelihoods models explicitly tied to the Amazonia biome.</v>
      </c>
      <c r="K234" s="71" t="str">
        <f>'Stakeholder list'!L239</f>
        <v>Technical assistance / research, Project developer / Implementer</v>
      </c>
      <c r="L234" s="71" t="str">
        <f>'Stakeholder list'!M239</f>
        <v>Downstream</v>
      </c>
      <c r="M234" s="71" t="str">
        <f>'Stakeholder list'!N239</f>
        <v>Grant recipient</v>
      </c>
      <c r="N234" s="71" t="str">
        <f>'Stakeholder list'!O239</f>
        <v>Tefé, AM, Brazil</v>
      </c>
      <c r="O234" s="71" t="str">
        <f>'Stakeholder list'!P239</f>
        <v>Grantee</v>
      </c>
      <c r="P234" s="71" t="str">
        <f>'Stakeholder list'!Q239</f>
        <v/>
      </c>
      <c r="Q234" s="71" t="str">
        <f>'Stakeholder list'!R239</f>
        <v/>
      </c>
      <c r="R234" s="71" t="str">
        <f>'Stakeholder list'!S239</f>
        <v/>
      </c>
      <c r="S234" s="71" t="str">
        <f>'Stakeholder list'!T239</f>
        <v>Community-based conservation monitoring, biodiversity and ecosystem science in the Amazon</v>
      </c>
      <c r="T234" s="71" t="str">
        <f>'Stakeholder list'!U239</f>
        <v/>
      </c>
      <c r="U234" s="71" t="str">
        <f>'Stakeholder list'!V239</f>
        <v/>
      </c>
      <c r="V234" s="71" t="str">
        <f>'Stakeholder list'!W239</f>
        <v/>
      </c>
      <c r="W234" s="71" t="str">
        <f>'Stakeholder list'!X239</f>
        <v/>
      </c>
    </row>
    <row r="235">
      <c r="A235" s="71">
        <f>'Stakeholder list'!B240</f>
        <v>234</v>
      </c>
      <c r="B235" s="71" t="str">
        <f>'Stakeholder list'!C240</f>
        <v>Instituto Centro de Vida (ICV)</v>
      </c>
      <c r="C235" s="71" t="str">
        <f>'Stakeholder list'!D240</f>
        <v>Civil Society Organization (CSO)</v>
      </c>
      <c r="D235" s="71" t="str">
        <f>'Stakeholder list'!E240</f>
        <v>Monitoring, Evaluation, and Learning</v>
      </c>
      <c r="E235" s="71" t="str">
        <f>'Stakeholder list'!F240</f>
        <v>Civil society organization working in the Amazon/Cerrado frontier; contributes through territorial governance, transparency, policy engagement and implementation to reduce deforestation and strengthen sustainable rural economies.</v>
      </c>
      <c r="F235" s="71" t="str">
        <f>'Stakeholder list'!G240</f>
        <v>Regional</v>
      </c>
      <c r="G235" s="71" t="str">
        <f>'Stakeholder list'!H240</f>
        <v>"Land, Food and Forest"</v>
      </c>
      <c r="H235" s="71" t="str">
        <f>'Stakeholder list'!I240</f>
        <v>Amazonia, Cerrado</v>
      </c>
      <c r="I235" s="71" t="str">
        <f>'Stakeholder list'!J240</f>
        <v/>
      </c>
      <c r="J235" s="71" t="str">
        <f>'Stakeholder list'!K240</f>
        <v>It operated primarily in the Amazonia biome while working across frontier municipalities with strong Cerrado interfaces in land-use governance and deforestation control.</v>
      </c>
      <c r="K235" s="71" t="str">
        <f>'Stakeholder list'!L240</f>
        <v>Project developer / Implementer, Data / MRV / platforms</v>
      </c>
      <c r="L235" s="71" t="str">
        <f>'Stakeholder list'!M240</f>
        <v>Downstream</v>
      </c>
      <c r="M235" s="71" t="str">
        <f>'Stakeholder list'!N240</f>
        <v>Grant recipient</v>
      </c>
      <c r="N235" s="71" t="str">
        <f>'Stakeholder list'!O240</f>
        <v>Cuiabá, MT, Brazil</v>
      </c>
      <c r="O235" s="71" t="str">
        <f>'Stakeholder list'!P240</f>
        <v>Grantee</v>
      </c>
      <c r="P235" s="71" t="str">
        <f>'Stakeholder list'!Q240</f>
        <v/>
      </c>
      <c r="Q235" s="71" t="str">
        <f>'Stakeholder list'!R240</f>
        <v/>
      </c>
      <c r="R235" s="71" t="str">
        <f>'Stakeholder list'!S240</f>
        <v/>
      </c>
      <c r="S235" s="71" t="str">
        <f>'Stakeholder list'!T240</f>
        <v>Territorial transparency, deforestation monitoring and land-use governance data for Amazon/Cerrado</v>
      </c>
      <c r="T235" s="71" t="str">
        <f>'Stakeholder list'!U240</f>
        <v/>
      </c>
      <c r="U235" s="71" t="str">
        <f>'Stakeholder list'!V240</f>
        <v/>
      </c>
      <c r="V235" s="71" t="str">
        <f>'Stakeholder list'!W240</f>
        <v/>
      </c>
      <c r="W235" s="71" t="str">
        <f>'Stakeholder list'!X240</f>
        <v/>
      </c>
    </row>
    <row r="236">
      <c r="A236" s="71">
        <f>'Stakeholder list'!B241</f>
        <v>235</v>
      </c>
      <c r="B236" s="71" t="str">
        <f>'Stakeholder list'!C241</f>
        <v>Instituto Internacional de Educação do Brasil (IEB)</v>
      </c>
      <c r="C236" s="71" t="str">
        <f>'Stakeholder list'!D241</f>
        <v>Civil Society Organization (CSO)</v>
      </c>
      <c r="D236" s="71" t="str">
        <f>'Stakeholder list'!E241</f>
        <v>Local implementers</v>
      </c>
      <c r="E236" s="71" t="str">
        <f>'Stakeholder list'!F241</f>
        <v>NGO focused on capacity building and project support for socioenvironmental agendas; accelerates transition by strengthening local organizations, Indigenous/community initiatives and sustainable territorial development in forests and rural landscapes.</v>
      </c>
      <c r="F236" s="71" t="str">
        <f>'Stakeholder list'!G241</f>
        <v>National</v>
      </c>
      <c r="G236" s="71" t="str">
        <f>'Stakeholder list'!H241</f>
        <v>"Land, Food and Forest"</v>
      </c>
      <c r="H236" s="71" t="str">
        <f>'Stakeholder list'!I241</f>
        <v>Amazonia, Cerrado</v>
      </c>
      <c r="I236" s="71" t="str">
        <f>'Stakeholder list'!J241</f>
        <v/>
      </c>
      <c r="J236" s="71" t="str">
        <f>'Stakeholder list'!K241</f>
        <v>It implemented capacity-building and project support with recurrent emphasis on forest and socio-biodiversity territories linked to Amazonia, while it also supported Cerrado-related territorial initiatives through partners and programs.</v>
      </c>
      <c r="K236" s="71" t="str">
        <f>'Stakeholder list'!L241</f>
        <v>Project developer / Implementer, Technical assistance / research</v>
      </c>
      <c r="L236" s="71" t="str">
        <f>'Stakeholder list'!M241</f>
        <v>Midstream</v>
      </c>
      <c r="M236" s="71" t="str">
        <f>'Stakeholder list'!N241</f>
        <v>Grant recipient</v>
      </c>
      <c r="N236" s="71" t="str">
        <f>'Stakeholder list'!O241</f>
        <v>Brasília, DF, Brazil</v>
      </c>
      <c r="O236" s="71" t="str">
        <f>'Stakeholder list'!P241</f>
        <v>Grantee</v>
      </c>
      <c r="P236" s="71" t="str">
        <f>'Stakeholder list'!Q241</f>
        <v/>
      </c>
      <c r="Q236" s="71" t="str">
        <f>'Stakeholder list'!R241</f>
        <v/>
      </c>
      <c r="R236" s="71" t="str">
        <f>'Stakeholder list'!S241</f>
        <v/>
      </c>
      <c r="S236" s="71" t="str">
        <f>'Stakeholder list'!T241</f>
        <v>—</v>
      </c>
      <c r="T236" s="71" t="str">
        <f>'Stakeholder list'!U241</f>
        <v/>
      </c>
      <c r="U236" s="71" t="str">
        <f>'Stakeholder list'!V241</f>
        <v/>
      </c>
      <c r="V236" s="71" t="str">
        <f>'Stakeholder list'!W241</f>
        <v/>
      </c>
      <c r="W236" s="71" t="str">
        <f>'Stakeholder list'!X241</f>
        <v/>
      </c>
    </row>
    <row r="237">
      <c r="A237" s="71">
        <f>'Stakeholder list'!B242</f>
        <v>236</v>
      </c>
      <c r="B237" s="71" t="str">
        <f>'Stakeholder list'!C242</f>
        <v>Fundação Vitória Amazônica (FVA)</v>
      </c>
      <c r="C237" s="71" t="str">
        <f>'Stakeholder list'!D242</f>
        <v>Funders</v>
      </c>
      <c r="D237" s="71" t="str">
        <f>'Stakeholder list'!E242</f>
        <v>Local implementers</v>
      </c>
      <c r="E237" s="71" t="str">
        <f>'Stakeholder list'!F242</f>
        <v>Amazon-based NGO with strong territorial presence; supports transition through conservation, community partnerships and applied solutions that combine biodiversity protection with resilient livelihoods.</v>
      </c>
      <c r="F237" s="71" t="str">
        <f>'Stakeholder list'!G242</f>
        <v>Regional</v>
      </c>
      <c r="G237" s="71" t="str">
        <f>'Stakeholder list'!H242</f>
        <v>"Land, Food and Forest"</v>
      </c>
      <c r="H237" s="71" t="str">
        <f>'Stakeholder list'!I242</f>
        <v>Amazonia</v>
      </c>
      <c r="I237" s="71" t="str">
        <f>'Stakeholder list'!J242</f>
        <v/>
      </c>
      <c r="J237" s="71" t="str">
        <f>'Stakeholder list'!K242</f>
        <v>It maintained an Amazon-focused territorial presence and implemented conservation and community programs explicitly tied to the Amazonia biome.</v>
      </c>
      <c r="K237" s="71" t="str">
        <f>'Stakeholder list'!L242</f>
        <v>Project developer / Implementer, Territorial anchor</v>
      </c>
      <c r="L237" s="71" t="str">
        <f>'Stakeholder list'!M242</f>
        <v>Downstream</v>
      </c>
      <c r="M237" s="71" t="str">
        <f>'Stakeholder list'!N242</f>
        <v>Grant recipient</v>
      </c>
      <c r="N237" s="71" t="str">
        <f>'Stakeholder list'!O242</f>
        <v>Manaus, AM, Brazil</v>
      </c>
      <c r="O237" s="71" t="str">
        <f>'Stakeholder list'!P242</f>
        <v>Grantee</v>
      </c>
      <c r="P237" s="71" t="str">
        <f>'Stakeholder list'!Q242</f>
        <v/>
      </c>
      <c r="Q237" s="71" t="str">
        <f>'Stakeholder list'!R242</f>
        <v/>
      </c>
      <c r="R237" s="71" t="str">
        <f>'Stakeholder list'!S242</f>
        <v/>
      </c>
      <c r="S237" s="71" t="str">
        <f>'Stakeholder list'!T242</f>
        <v>—</v>
      </c>
      <c r="T237" s="71" t="str">
        <f>'Stakeholder list'!U242</f>
        <v/>
      </c>
      <c r="U237" s="71" t="str">
        <f>'Stakeholder list'!V242</f>
        <v/>
      </c>
      <c r="V237" s="71" t="str">
        <f>'Stakeholder list'!W242</f>
        <v/>
      </c>
      <c r="W237" s="71" t="str">
        <f>'Stakeholder list'!X242</f>
        <v/>
      </c>
    </row>
    <row r="238">
      <c r="A238" s="71">
        <f>'Stakeholder list'!B243</f>
        <v>237</v>
      </c>
      <c r="B238" s="71" t="str">
        <f>'Stakeholder list'!C243</f>
        <v>Instituto Ouro Verde (IOV)</v>
      </c>
      <c r="C238" s="71" t="str">
        <f>'Stakeholder list'!D243</f>
        <v>Civil Society Organization (CSO)</v>
      </c>
      <c r="D238" s="71" t="str">
        <f>'Stakeholder list'!E243</f>
        <v>Local implementers</v>
      </c>
      <c r="E238" s="71" t="str">
        <f>'Stakeholder list'!F243</f>
        <v>NGO supporting family farming and sustainable value chains (notably in Amazon/Central-West); contributes by scaling agroecology, restoration-friendly production and inclusive market access that reduce land-use pressure.</v>
      </c>
      <c r="F238" s="71" t="str">
        <f>'Stakeholder list'!G243</f>
        <v>Regional</v>
      </c>
      <c r="G238" s="71" t="str">
        <f>'Stakeholder list'!H243</f>
        <v>"Land, Food and Forest"</v>
      </c>
      <c r="H238" s="71" t="str">
        <f>'Stakeholder list'!I243</f>
        <v>Amazonia, Cerrado</v>
      </c>
      <c r="I238" s="71" t="str">
        <f>'Stakeholder list'!J243</f>
        <v/>
      </c>
      <c r="J238" s="71" t="str">
        <f>'Stakeholder list'!K243</f>
        <v>It operated in Central-West/Amazon frontier territories with strong Amazonia linkages and maintained relevant work across Cerrado landscapes through agroecology and value-chain initiatives.</v>
      </c>
      <c r="K238" s="71" t="str">
        <f>'Stakeholder list'!L243</f>
        <v>Project developer / Implementer, Implementation capacity (delivery)</v>
      </c>
      <c r="L238" s="71" t="str">
        <f>'Stakeholder list'!M243</f>
        <v>Downstream</v>
      </c>
      <c r="M238" s="71" t="str">
        <f>'Stakeholder list'!N243</f>
        <v>Grant recipient</v>
      </c>
      <c r="N238" s="71" t="str">
        <f>'Stakeholder list'!O243</f>
        <v>Alta Floresta, MT, Brazil</v>
      </c>
      <c r="O238" s="71" t="str">
        <f>'Stakeholder list'!P243</f>
        <v>Grantee</v>
      </c>
      <c r="P238" s="71" t="str">
        <f>'Stakeholder list'!Q243</f>
        <v/>
      </c>
      <c r="Q238" s="71" t="str">
        <f>'Stakeholder list'!R243</f>
        <v/>
      </c>
      <c r="R238" s="71" t="str">
        <f>'Stakeholder list'!S243</f>
        <v/>
      </c>
      <c r="S238" s="71" t="str">
        <f>'Stakeholder list'!T243</f>
        <v>—</v>
      </c>
      <c r="T238" s="71" t="str">
        <f>'Stakeholder list'!U243</f>
        <v/>
      </c>
      <c r="U238" s="71" t="str">
        <f>'Stakeholder list'!V243</f>
        <v/>
      </c>
      <c r="V238" s="71" t="str">
        <f>'Stakeholder list'!W243</f>
        <v/>
      </c>
      <c r="W238" s="71" t="str">
        <f>'Stakeholder list'!X243</f>
        <v/>
      </c>
    </row>
    <row r="239">
      <c r="A239" s="71">
        <f>'Stakeholder list'!B244</f>
        <v>238</v>
      </c>
      <c r="B239" s="71" t="str">
        <f>'Stakeholder list'!C244</f>
        <v>Instituto Sociedade, População e Natureza (ISPN)</v>
      </c>
      <c r="C239" s="71" t="str">
        <f>'Stakeholder list'!D244</f>
        <v>Civil Society Organization (CSO)</v>
      </c>
      <c r="D239" s="71" t="str">
        <f>'Stakeholder list'!E244</f>
        <v>Local implementers</v>
      </c>
      <c r="E239" s="71" t="str">
        <f>'Stakeholder list'!F244</f>
        <v>NGO with long-standing work in the Cerrado; supports AFOLU transition by strengthening community-based conservation, socio-biodiversity value chains and policy advocacy for equitable, nature-positive development.</v>
      </c>
      <c r="F239" s="71" t="str">
        <f>'Stakeholder list'!G244</f>
        <v>Regional</v>
      </c>
      <c r="G239" s="71" t="str">
        <f>'Stakeholder list'!H244</f>
        <v>"Land, Food and Forest"</v>
      </c>
      <c r="H239" s="71" t="str">
        <f>'Stakeholder list'!I244</f>
        <v>Cerrado</v>
      </c>
      <c r="I239" s="71" t="str">
        <f>'Stakeholder list'!J244</f>
        <v/>
      </c>
      <c r="J239" s="71" t="str">
        <f>'Stakeholder list'!K244</f>
        <v>It operated with an explicit Cerrado focus and implemented socio-biodiversity and community-conservation initiatives anchored in that biome.</v>
      </c>
      <c r="K239" s="71" t="str">
        <f>'Stakeholder list'!L244</f>
        <v>Funder, Project developer / Implementer</v>
      </c>
      <c r="L239" s="71" t="str">
        <f>'Stakeholder list'!M244</f>
        <v>Midstream</v>
      </c>
      <c r="M239" s="71" t="str">
        <f>'Stakeholder list'!N244</f>
        <v>Grant recipient</v>
      </c>
      <c r="N239" s="71" t="str">
        <f>'Stakeholder list'!O244</f>
        <v>Brasília, DF, Brazil</v>
      </c>
      <c r="O239" s="71" t="str">
        <f>'Stakeholder list'!P244</f>
        <v>Donor</v>
      </c>
      <c r="P239" s="71" t="str">
        <f>'Stakeholder list'!Q244</f>
        <v/>
      </c>
      <c r="Q239" s="71" t="str">
        <f>'Stakeholder list'!R244</f>
        <v/>
      </c>
      <c r="R239" s="71" t="str">
        <f>'Stakeholder list'!S244</f>
        <v/>
      </c>
      <c r="S239" s="71" t="str">
        <f>'Stakeholder list'!T244</f>
        <v>—</v>
      </c>
      <c r="T239" s="71" t="str">
        <f>'Stakeholder list'!U244</f>
        <v/>
      </c>
      <c r="U239" s="71" t="str">
        <f>'Stakeholder list'!V244</f>
        <v/>
      </c>
      <c r="V239" s="71" t="str">
        <f>'Stakeholder list'!W244</f>
        <v/>
      </c>
      <c r="W239" s="71" t="str">
        <f>'Stakeholder list'!X244</f>
        <v/>
      </c>
    </row>
    <row r="240">
      <c r="A240" s="71">
        <f>'Stakeholder list'!B245</f>
        <v>239</v>
      </c>
      <c r="B240" s="71" t="str">
        <f>'Stakeholder list'!C245</f>
        <v>Rede Cerrado (Rede Cerrado)</v>
      </c>
      <c r="C240" s="71" t="str">
        <f>'Stakeholder list'!D245</f>
        <v>Others</v>
      </c>
      <c r="D240" s="71" t="str">
        <f>'Stakeholder list'!E245</f>
        <v>Grassroots networks</v>
      </c>
      <c r="E240" s="71" t="str">
        <f>'Stakeholder list'!F245</f>
        <v>Network of civil society organizations and community groups; contributes by coordinating advocacy and territorial action to protect Cerrado ecosystems, community rights and sustainable livelihoods.</v>
      </c>
      <c r="F240" s="71" t="str">
        <f>'Stakeholder list'!G245</f>
        <v>Regional</v>
      </c>
      <c r="G240" s="71" t="str">
        <f>'Stakeholder list'!H245</f>
        <v>"Land, Food and Forest"</v>
      </c>
      <c r="H240" s="71" t="str">
        <f>'Stakeholder list'!I245</f>
        <v>Cerrado</v>
      </c>
      <c r="I240" s="71" t="str">
        <f>'Stakeholder list'!J245</f>
        <v/>
      </c>
      <c r="J240" s="71" t="str">
        <f>'Stakeholder list'!K245</f>
        <v>It coordinated ecosystem protection and community-rights agendas explicitly tied to the Cerrado biome.</v>
      </c>
      <c r="K240" s="71" t="str">
        <f>'Stakeholder list'!L245</f>
        <v>Community legitimacy / proximate leadership, Convenor/enablers</v>
      </c>
      <c r="L240" s="71" t="str">
        <f>'Stakeholder list'!M245</f>
        <v>Downstream</v>
      </c>
      <c r="M240" s="71" t="str">
        <f>'Stakeholder list'!N245</f>
        <v>Grant recipient</v>
      </c>
      <c r="N240" s="71" t="str">
        <f>'Stakeholder list'!O245</f>
        <v>Brasília, DF, Brazil</v>
      </c>
      <c r="O240" s="71" t="str">
        <f>'Stakeholder list'!P245</f>
        <v>Grantee</v>
      </c>
      <c r="P240" s="71" t="str">
        <f>'Stakeholder list'!Q245</f>
        <v/>
      </c>
      <c r="Q240" s="71" t="str">
        <f>'Stakeholder list'!R245</f>
        <v/>
      </c>
      <c r="R240" s="71" t="str">
        <f>'Stakeholder list'!S245</f>
        <v/>
      </c>
      <c r="S240" s="71" t="str">
        <f>'Stakeholder list'!T245</f>
        <v>—</v>
      </c>
      <c r="T240" s="71" t="str">
        <f>'Stakeholder list'!U245</f>
        <v/>
      </c>
      <c r="U240" s="71" t="str">
        <f>'Stakeholder list'!V245</f>
        <v/>
      </c>
      <c r="V240" s="71" t="str">
        <f>'Stakeholder list'!W245</f>
        <v/>
      </c>
      <c r="W240" s="71" t="str">
        <f>'Stakeholder list'!X245</f>
        <v/>
      </c>
    </row>
    <row r="241">
      <c r="A241" s="71">
        <f>'Stakeholder list'!B246</f>
        <v>240</v>
      </c>
      <c r="B241" s="71" t="str">
        <f>'Stakeholder list'!C246</f>
        <v>Associação Brasileira de Geração Distribuída (ABGD)</v>
      </c>
      <c r="C241" s="71" t="str">
        <f>'Stakeholder list'!D246</f>
        <v>Civil Society Organization (CSO)</v>
      </c>
      <c r="D241" s="71" t="str">
        <f>'Stakeholder list'!E246</f>
        <v>Industry platforms and sectoral initiatives</v>
      </c>
      <c r="E241" s="71" t="str">
        <f>'Stakeholder list'!F246</f>
        <v>Sector association for distributed generation; accelerates energy/buildings transition by advancing policies, standards and market development for solar DG, storage and local clean-energy solutions.</v>
      </c>
      <c r="F241" s="71" t="str">
        <f>'Stakeholder list'!G246</f>
        <v>National</v>
      </c>
      <c r="G241" s="71" t="str">
        <f>'Stakeholder list'!H246</f>
        <v>Energy</v>
      </c>
      <c r="H241" s="71" t="str">
        <f>'Stakeholder list'!I246</f>
        <v/>
      </c>
      <c r="I241" s="71" t="str">
        <f>'Stakeholder list'!J246</f>
        <v/>
      </c>
      <c r="J241" s="71" t="str">
        <f>'Stakeholder list'!K246</f>
        <v>No biome lens was assigned because it operated through national market/regulatory advocacy and not biome-delimited project execution.</v>
      </c>
      <c r="K241" s="71" t="str">
        <f>'Stakeholder list'!L246</f>
        <v>Policy influence / regulation, Convenor/enablers</v>
      </c>
      <c r="L241" s="71" t="str">
        <f>'Stakeholder list'!M246</f>
        <v>Upstream</v>
      </c>
      <c r="M241" s="71" t="str">
        <f>'Stakeholder list'!N246</f>
        <v>Grant recipient</v>
      </c>
      <c r="N241" s="71" t="str">
        <f>'Stakeholder list'!O246</f>
        <v>Campinas, SP, Brazil</v>
      </c>
      <c r="O241" s="71" t="str">
        <f>'Stakeholder list'!P246</f>
        <v>Grantee</v>
      </c>
      <c r="P241" s="71" t="str">
        <f>'Stakeholder list'!Q246</f>
        <v/>
      </c>
      <c r="Q241" s="71" t="str">
        <f>'Stakeholder list'!R246</f>
        <v/>
      </c>
      <c r="R241" s="71" t="str">
        <f>'Stakeholder list'!S246</f>
        <v/>
      </c>
      <c r="S241" s="71" t="str">
        <f>'Stakeholder list'!T246</f>
        <v>—</v>
      </c>
      <c r="T241" s="71" t="str">
        <f>'Stakeholder list'!U246</f>
        <v/>
      </c>
      <c r="U241" s="71" t="str">
        <f>'Stakeholder list'!V246</f>
        <v/>
      </c>
      <c r="V241" s="71" t="str">
        <f>'Stakeholder list'!W246</f>
        <v/>
      </c>
      <c r="W241" s="71" t="str">
        <f>'Stakeholder list'!X246</f>
        <v/>
      </c>
    </row>
    <row r="242">
      <c r="A242" s="71">
        <f>'Stakeholder list'!B247</f>
        <v>241</v>
      </c>
      <c r="B242" s="71" t="str">
        <f>'Stakeholder list'!C247</f>
        <v>Associação Brasileira do Veículo Elétrico (ABVE)</v>
      </c>
      <c r="C242" s="71" t="str">
        <f>'Stakeholder list'!D247</f>
        <v>Civil Society Organization (CSO)</v>
      </c>
      <c r="D242" s="71" t="str">
        <f>'Stakeholder list'!E247</f>
        <v>Industry platforms and sectoral initiatives</v>
      </c>
      <c r="E242" s="71" t="str">
        <f>'Stakeholder list'!F247</f>
        <v>Industry association for electric mobility; supports transport transition by promoting enabling regulation, charging infrastructure, fleet electrification and supply-chain development for low/zero-emission vehicles.</v>
      </c>
      <c r="F242" s="71" t="str">
        <f>'Stakeholder list'!G247</f>
        <v>National</v>
      </c>
      <c r="G242" s="71" t="str">
        <f>'Stakeholder list'!H247</f>
        <v>Buildings &amp; Transport, Energy</v>
      </c>
      <c r="H242" s="71" t="str">
        <f>'Stakeholder list'!I247</f>
        <v/>
      </c>
      <c r="I242" s="71" t="str">
        <f>'Stakeholder list'!J247</f>
        <v/>
      </c>
      <c r="J242" s="71" t="str">
        <f>'Stakeholder list'!K247</f>
        <v>No biome lens was assigned because it operated through national industry coordination and enabling regulation rather than biome-specific initiatives.</v>
      </c>
      <c r="K242" s="71" t="str">
        <f>'Stakeholder list'!L247</f>
        <v>Policy influence / regulation, Convenor/enablers</v>
      </c>
      <c r="L242" s="71" t="str">
        <f>'Stakeholder list'!M247</f>
        <v>Upstream</v>
      </c>
      <c r="M242" s="71" t="str">
        <f>'Stakeholder list'!N247</f>
        <v>Grant recipient</v>
      </c>
      <c r="N242" s="71" t="str">
        <f>'Stakeholder list'!O247</f>
        <v>São Paulo, SP, Brazil</v>
      </c>
      <c r="O242" s="71" t="str">
        <f>'Stakeholder list'!P247</f>
        <v>Grantee</v>
      </c>
      <c r="P242" s="71" t="str">
        <f>'Stakeholder list'!Q247</f>
        <v/>
      </c>
      <c r="Q242" s="71" t="str">
        <f>'Stakeholder list'!R247</f>
        <v/>
      </c>
      <c r="R242" s="71" t="str">
        <f>'Stakeholder list'!S247</f>
        <v/>
      </c>
      <c r="S242" s="71" t="str">
        <f>'Stakeholder list'!T247</f>
        <v>—</v>
      </c>
      <c r="T242" s="71" t="str">
        <f>'Stakeholder list'!U247</f>
        <v/>
      </c>
      <c r="U242" s="71" t="str">
        <f>'Stakeholder list'!V247</f>
        <v/>
      </c>
      <c r="V242" s="71" t="str">
        <f>'Stakeholder list'!W247</f>
        <v/>
      </c>
      <c r="W242" s="71" t="str">
        <f>'Stakeholder list'!X247</f>
        <v/>
      </c>
    </row>
    <row r="243">
      <c r="A243" s="71">
        <f>'Stakeholder list'!B248</f>
        <v>242</v>
      </c>
      <c r="B243" s="71" t="str">
        <f>'Stakeholder list'!C248</f>
        <v>Confederação Nacional do Transporte (CNT)</v>
      </c>
      <c r="C243" s="71" t="str">
        <f>'Stakeholder list'!D248</f>
        <v>Civil Society Organization (CSO)</v>
      </c>
      <c r="D243" s="71" t="str">
        <f>'Stakeholder list'!E248</f>
        <v>Industry platforms and sectoral initiatives</v>
      </c>
      <c r="E243" s="71" t="str">
        <f>'Stakeholder list'!F248</f>
        <v>National transport confederation; influences systemic transition through policy advocacy and sector coordination on logistics efficiency, safety, infrastructure planning and decarbonization pathways across transport modes.</v>
      </c>
      <c r="F243" s="71" t="str">
        <f>'Stakeholder list'!G248</f>
        <v>National</v>
      </c>
      <c r="G243" s="71" t="str">
        <f>'Stakeholder list'!H248</f>
        <v>Buildings &amp; Transport</v>
      </c>
      <c r="H243" s="71" t="str">
        <f>'Stakeholder list'!I248</f>
        <v/>
      </c>
      <c r="I243" s="71" t="str">
        <f>'Stakeholder list'!J248</f>
        <v/>
      </c>
      <c r="J243" s="71" t="str">
        <f>'Stakeholder list'!K248</f>
        <v>No biome lens was assigned because it acted through sector advocacy and planning inputs, not biome-delimited initiatives.</v>
      </c>
      <c r="K243" s="71" t="str">
        <f>'Stakeholder list'!L248</f>
        <v>Policy influence / regulation, Convenor/enablers</v>
      </c>
      <c r="L243" s="71" t="str">
        <f>'Stakeholder list'!M248</f>
        <v>Upstream</v>
      </c>
      <c r="M243" s="71" t="str">
        <f>'Stakeholder list'!N248</f>
        <v>Grant recipient</v>
      </c>
      <c r="N243" s="71" t="str">
        <f>'Stakeholder list'!O248</f>
        <v>Brasília, DF, Brazil</v>
      </c>
      <c r="O243" s="71" t="str">
        <f>'Stakeholder list'!P248</f>
        <v>Grantee</v>
      </c>
      <c r="P243" s="71" t="str">
        <f>'Stakeholder list'!Q248</f>
        <v/>
      </c>
      <c r="Q243" s="71" t="str">
        <f>'Stakeholder list'!R248</f>
        <v/>
      </c>
      <c r="R243" s="71" t="str">
        <f>'Stakeholder list'!S248</f>
        <v/>
      </c>
      <c r="S243" s="71" t="str">
        <f>'Stakeholder list'!T248</f>
        <v>—</v>
      </c>
      <c r="T243" s="71" t="str">
        <f>'Stakeholder list'!U248</f>
        <v/>
      </c>
      <c r="U243" s="71" t="str">
        <f>'Stakeholder list'!V248</f>
        <v/>
      </c>
      <c r="V243" s="71" t="str">
        <f>'Stakeholder list'!W248</f>
        <v/>
      </c>
      <c r="W243" s="71" t="str">
        <f>'Stakeholder list'!X248</f>
        <v/>
      </c>
    </row>
    <row r="244">
      <c r="A244" s="71">
        <f>'Stakeholder list'!B249</f>
        <v>243</v>
      </c>
      <c r="B244" s="71" t="str">
        <f>'Stakeholder list'!C249</f>
        <v>Departamento Nacional de Infraestrutura de Transportes (DNIT)</v>
      </c>
      <c r="C244" s="71" t="str">
        <f>'Stakeholder list'!D249</f>
        <v>Public sector</v>
      </c>
      <c r="D244" s="71" t="str">
        <f>'Stakeholder list'!E249</f>
        <v>Public agencies and regulators</v>
      </c>
      <c r="E244" s="71" t="str">
        <f>'Stakeholder list'!F249</f>
        <v>Federal agency responsible for transport infrastructure implementation/management; contributes to transition by integrating climate resilience, safety and low-carbon standards into planning, construction and operation of roads and logistics assets.</v>
      </c>
      <c r="F244" s="71" t="str">
        <f>'Stakeholder list'!G249</f>
        <v>National</v>
      </c>
      <c r="G244" s="71" t="str">
        <f>'Stakeholder list'!H249</f>
        <v>Buildings &amp; Transport</v>
      </c>
      <c r="H244" s="71" t="str">
        <f>'Stakeholder list'!I249</f>
        <v/>
      </c>
      <c r="I244" s="71" t="str">
        <f>'Stakeholder list'!J249</f>
        <v/>
      </c>
      <c r="J244" s="71" t="str">
        <f>'Stakeholder list'!K249</f>
        <v>No biome lens was assigned because infrastructure delivery was national and project-by-project, and this mapping did not identify a consistent biome-targeted program lens.</v>
      </c>
      <c r="K244" s="71" t="str">
        <f>'Stakeholder list'!L249</f>
        <v>Policy influence / regulation, Territorial anchor</v>
      </c>
      <c r="L244" s="71" t="str">
        <f>'Stakeholder list'!M249</f>
        <v>Downstream</v>
      </c>
      <c r="M244" s="71" t="str">
        <f>'Stakeholder list'!N249</f>
        <v>Grant recipient</v>
      </c>
      <c r="N244" s="71" t="str">
        <f>'Stakeholder list'!O249</f>
        <v>Brasília, DF, Brazil</v>
      </c>
      <c r="O244" s="71" t="str">
        <f>'Stakeholder list'!P249</f>
        <v>Grantee</v>
      </c>
      <c r="P244" s="71" t="str">
        <f>'Stakeholder list'!Q249</f>
        <v/>
      </c>
      <c r="Q244" s="71" t="str">
        <f>'Stakeholder list'!R249</f>
        <v/>
      </c>
      <c r="R244" s="71" t="str">
        <f>'Stakeholder list'!S249</f>
        <v/>
      </c>
      <c r="S244" s="71" t="str">
        <f>'Stakeholder list'!T249</f>
        <v>—</v>
      </c>
      <c r="T244" s="71" t="str">
        <f>'Stakeholder list'!U249</f>
        <v/>
      </c>
      <c r="U244" s="71" t="str">
        <f>'Stakeholder list'!V249</f>
        <v/>
      </c>
      <c r="V244" s="71" t="str">
        <f>'Stakeholder list'!W249</f>
        <v/>
      </c>
      <c r="W244" s="71" t="str">
        <f>'Stakeholder list'!X249</f>
        <v/>
      </c>
    </row>
    <row r="245">
      <c r="A245" s="71">
        <f>'Stakeholder list'!B250</f>
        <v>244</v>
      </c>
      <c r="B245" s="71" t="str">
        <f>'Stakeholder list'!C250</f>
        <v>Agência Nacional de Aviação Civil (ANAC)</v>
      </c>
      <c r="C245" s="71" t="str">
        <f>'Stakeholder list'!D250</f>
        <v>Public sector</v>
      </c>
      <c r="D245" s="71" t="str">
        <f>'Stakeholder list'!E250</f>
        <v>Public agencies and regulators</v>
      </c>
      <c r="E245" s="71" t="str">
        <f>'Stakeholder list'!F250</f>
        <v>Federal civil aviation regulator; supports transport transition by enabling efficiency improvements, operational decarbonization and frameworks that can facilitate sustainable aviation fuels and climate-resilient aviation infrastructure.</v>
      </c>
      <c r="F245" s="71" t="str">
        <f>'Stakeholder list'!G250</f>
        <v>National</v>
      </c>
      <c r="G245" s="71" t="str">
        <f>'Stakeholder list'!H250</f>
        <v>Buildings &amp; Transport</v>
      </c>
      <c r="H245" s="71" t="str">
        <f>'Stakeholder list'!I250</f>
        <v/>
      </c>
      <c r="I245" s="71" t="str">
        <f>'Stakeholder list'!J250</f>
        <v/>
      </c>
      <c r="J245" s="71" t="str">
        <f>'Stakeholder list'!K250</f>
        <v>No biome lens was assigned because aviation regulation was sectoral/national and not organized around biome-delimited initiatives.</v>
      </c>
      <c r="K245" s="71" t="str">
        <f>'Stakeholder list'!L250</f>
        <v>Policy influence / regulation</v>
      </c>
      <c r="L245" s="71" t="str">
        <f>'Stakeholder list'!M250</f>
        <v>Upstream</v>
      </c>
      <c r="M245" s="71" t="str">
        <f>'Stakeholder list'!N250</f>
        <v>Grant recipient</v>
      </c>
      <c r="N245" s="71" t="str">
        <f>'Stakeholder list'!O250</f>
        <v>Brasília, DF, Brazil</v>
      </c>
      <c r="O245" s="71" t="str">
        <f>'Stakeholder list'!P250</f>
        <v>Grantee</v>
      </c>
      <c r="P245" s="71" t="str">
        <f>'Stakeholder list'!Q250</f>
        <v/>
      </c>
      <c r="Q245" s="71" t="str">
        <f>'Stakeholder list'!R250</f>
        <v/>
      </c>
      <c r="R245" s="71" t="str">
        <f>'Stakeholder list'!S250</f>
        <v/>
      </c>
      <c r="S245" s="71" t="str">
        <f>'Stakeholder list'!T250</f>
        <v>—</v>
      </c>
      <c r="T245" s="71" t="str">
        <f>'Stakeholder list'!U250</f>
        <v/>
      </c>
      <c r="U245" s="71" t="str">
        <f>'Stakeholder list'!V250</f>
        <v/>
      </c>
      <c r="V245" s="71" t="str">
        <f>'Stakeholder list'!W250</f>
        <v/>
      </c>
      <c r="W245" s="71" t="str">
        <f>'Stakeholder list'!X250</f>
        <v/>
      </c>
    </row>
    <row r="246">
      <c r="A246" s="71">
        <f>'Stakeholder list'!B251</f>
        <v>245</v>
      </c>
      <c r="B246" s="71" t="str">
        <f>'Stakeholder list'!C251</f>
        <v>Associação Brasileira de Normas Técnicas (ABNT)</v>
      </c>
      <c r="C246" s="71" t="str">
        <f>'Stakeholder list'!D251</f>
        <v>Civil Society Organization (CSO)</v>
      </c>
      <c r="D246" s="71" t="str">
        <f>'Stakeholder list'!E251</f>
        <v>Industry platforms and sectoral initiatives</v>
      </c>
      <c r="E246" s="71" t="str">
        <f>'Stakeholder list'!F251</f>
        <v>National standards body; enables buildings/energy transition by developing technical standards that shape materials, performance, efficiency and safety—supporting consistent adoption of low-carbon and high-efficiency practices.</v>
      </c>
      <c r="F246" s="71" t="str">
        <f>'Stakeholder list'!G251</f>
        <v>National</v>
      </c>
      <c r="G246" s="71" t="str">
        <f>'Stakeholder list'!H251</f>
        <v/>
      </c>
      <c r="H246" s="71" t="str">
        <f>'Stakeholder list'!I251</f>
        <v/>
      </c>
      <c r="I246" s="71" t="str">
        <f>'Stakeholder list'!J251</f>
        <v/>
      </c>
      <c r="J246" s="71" t="str">
        <f>'Stakeholder list'!K251</f>
        <v>No biome lens was assigned because standard-setting was transversal and not tied to biome-delimited territorial initiatives.</v>
      </c>
      <c r="K246" s="71" t="str">
        <f>'Stakeholder list'!L251</f>
        <v>Technical assistance / research, Policy influence / regulation</v>
      </c>
      <c r="L246" s="71" t="str">
        <f>'Stakeholder list'!M251</f>
        <v>Upstream</v>
      </c>
      <c r="M246" s="71" t="str">
        <f>'Stakeholder list'!N251</f>
        <v>Grant recipient</v>
      </c>
      <c r="N246" s="71" t="str">
        <f>'Stakeholder list'!O251</f>
        <v>Rio de Janeiro, RJ, Brazil</v>
      </c>
      <c r="O246" s="71" t="str">
        <f>'Stakeholder list'!P251</f>
        <v>Grantee</v>
      </c>
      <c r="P246" s="71" t="str">
        <f>'Stakeholder list'!Q251</f>
        <v/>
      </c>
      <c r="Q246" s="71" t="str">
        <f>'Stakeholder list'!R251</f>
        <v/>
      </c>
      <c r="R246" s="71" t="str">
        <f>'Stakeholder list'!S251</f>
        <v/>
      </c>
      <c r="S246" s="71" t="str">
        <f>'Stakeholder list'!T251</f>
        <v>—</v>
      </c>
      <c r="T246" s="71" t="str">
        <f>'Stakeholder list'!U251</f>
        <v/>
      </c>
      <c r="U246" s="71" t="str">
        <f>'Stakeholder list'!V251</f>
        <v/>
      </c>
      <c r="V246" s="71" t="str">
        <f>'Stakeholder list'!W251</f>
        <v/>
      </c>
      <c r="W246" s="71" t="str">
        <f>'Stakeholder list'!X251</f>
        <v/>
      </c>
    </row>
    <row r="247">
      <c r="A247" s="71">
        <f>'Stakeholder list'!B252</f>
        <v>246</v>
      </c>
      <c r="B247" s="71" t="str">
        <f>'Stakeholder list'!C252</f>
        <v>Câmara Brasileira da Indústria da Construção (CBIC)</v>
      </c>
      <c r="C247" s="71" t="str">
        <f>'Stakeholder list'!D252</f>
        <v>Civil Society Organization (CSO)</v>
      </c>
      <c r="D247" s="71" t="str">
        <f>'Stakeholder list'!E252</f>
        <v>Industry platforms and sectoral initiatives</v>
      </c>
      <c r="E247" s="71" t="str">
        <f>'Stakeholder list'!F252</f>
        <v>National industry association for the construction sector; supports the buildings transition by coordinating business agendas, influencing regulation and standards, and accelerating low-carbon, resilient and productivity-enhancing construction practices.</v>
      </c>
      <c r="F247" s="71" t="str">
        <f>'Stakeholder list'!G252</f>
        <v>National</v>
      </c>
      <c r="G247" s="71" t="str">
        <f>'Stakeholder list'!H252</f>
        <v>Buildings &amp; Transport</v>
      </c>
      <c r="H247" s="71" t="str">
        <f>'Stakeholder list'!I252</f>
        <v/>
      </c>
      <c r="I247" s="71" t="str">
        <f>'Stakeholder list'!J252</f>
        <v/>
      </c>
      <c r="J247" s="71" t="str">
        <f>'Stakeholder list'!K252</f>
        <v>No biome lens was assigned because it operated through sector coordination and policy/standards, not biome-delimited initiatives.</v>
      </c>
      <c r="K247" s="71" t="str">
        <f>'Stakeholder list'!L252</f>
        <v>Convenor/enablers, Policy influence / regulation</v>
      </c>
      <c r="L247" s="71" t="str">
        <f>'Stakeholder list'!M252</f>
        <v>Upstream</v>
      </c>
      <c r="M247" s="71" t="str">
        <f>'Stakeholder list'!N252</f>
        <v>Grant recipient</v>
      </c>
      <c r="N247" s="71" t="str">
        <f>'Stakeholder list'!O252</f>
        <v>Brasília, DF, Brazil</v>
      </c>
      <c r="O247" s="71" t="str">
        <f>'Stakeholder list'!P252</f>
        <v>Grantee</v>
      </c>
      <c r="P247" s="71" t="str">
        <f>'Stakeholder list'!Q252</f>
        <v/>
      </c>
      <c r="Q247" s="71" t="str">
        <f>'Stakeholder list'!R252</f>
        <v/>
      </c>
      <c r="R247" s="71" t="str">
        <f>'Stakeholder list'!S252</f>
        <v/>
      </c>
      <c r="S247" s="71" t="str">
        <f>'Stakeholder list'!T252</f>
        <v>—</v>
      </c>
      <c r="T247" s="71" t="str">
        <f>'Stakeholder list'!U252</f>
        <v/>
      </c>
      <c r="U247" s="71" t="str">
        <f>'Stakeholder list'!V252</f>
        <v/>
      </c>
      <c r="V247" s="71" t="str">
        <f>'Stakeholder list'!W252</f>
        <v/>
      </c>
      <c r="W247" s="71" t="str">
        <f>'Stakeholder list'!X252</f>
        <v/>
      </c>
    </row>
    <row r="248">
      <c r="A248" s="71">
        <f>'Stakeholder list'!B253</f>
        <v>247</v>
      </c>
      <c r="B248" s="71" t="str">
        <f>'Stakeholder list'!C253</f>
        <v>Conselho de Arquitetura e Urbanismo do Brasil (CAU/BR)</v>
      </c>
      <c r="C248" s="71" t="str">
        <f>'Stakeholder list'!D253</f>
        <v>Public sector</v>
      </c>
      <c r="D248" s="71" t="str">
        <f>'Stakeholder list'!E253</f>
        <v>Public agencies and regulators</v>
      </c>
      <c r="E248" s="71" t="str">
        <f>'Stakeholder list'!F253</f>
        <v>Federal professional council regulating architecture and urbanism; contributes to systemic transition by shaping professional standards and practice quality for sustainable buildings, urban planning, energy efficiency and climate-resilient cities.</v>
      </c>
      <c r="F248" s="71" t="str">
        <f>'Stakeholder list'!G253</f>
        <v>National</v>
      </c>
      <c r="G248" s="71" t="str">
        <f>'Stakeholder list'!H253</f>
        <v>Buildings &amp; Transport</v>
      </c>
      <c r="H248" s="71" t="str">
        <f>'Stakeholder list'!I253</f>
        <v/>
      </c>
      <c r="I248" s="71" t="str">
        <f>'Stakeholder list'!J253</f>
        <v/>
      </c>
      <c r="J248" s="71" t="str">
        <f>'Stakeholder list'!K253</f>
        <v>No biome lens was assigned because professional regulation was national and practice-based, without a biome-delimited operational portfolio.</v>
      </c>
      <c r="K248" s="71" t="str">
        <f>'Stakeholder list'!L253</f>
        <v>Policy influence / regulation, Technical assistance / research</v>
      </c>
      <c r="L248" s="71" t="str">
        <f>'Stakeholder list'!M253</f>
        <v>Upstream</v>
      </c>
      <c r="M248" s="71" t="str">
        <f>'Stakeholder list'!N253</f>
        <v>Grant recipient</v>
      </c>
      <c r="N248" s="71" t="str">
        <f>'Stakeholder list'!O253</f>
        <v>Brasília, DF, Brazil</v>
      </c>
      <c r="O248" s="71" t="str">
        <f>'Stakeholder list'!P253</f>
        <v>Grantee</v>
      </c>
      <c r="P248" s="71" t="str">
        <f>'Stakeholder list'!Q253</f>
        <v/>
      </c>
      <c r="Q248" s="71" t="str">
        <f>'Stakeholder list'!R253</f>
        <v/>
      </c>
      <c r="R248" s="71" t="str">
        <f>'Stakeholder list'!S253</f>
        <v/>
      </c>
      <c r="S248" s="71" t="str">
        <f>'Stakeholder list'!T253</f>
        <v>—</v>
      </c>
      <c r="T248" s="71" t="str">
        <f>'Stakeholder list'!U253</f>
        <v/>
      </c>
      <c r="U248" s="71" t="str">
        <f>'Stakeholder list'!V253</f>
        <v/>
      </c>
      <c r="V248" s="71" t="str">
        <f>'Stakeholder list'!W253</f>
        <v/>
      </c>
      <c r="W248" s="71" t="str">
        <f>'Stakeholder list'!X253</f>
        <v/>
      </c>
    </row>
    <row r="249">
      <c r="A249" s="71">
        <f>'Stakeholder list'!B254</f>
        <v>248</v>
      </c>
      <c r="B249" s="71" t="str">
        <f>'Stakeholder list'!C254</f>
        <v>Conselho Federal de Engenharia e Agronomia (Confea)</v>
      </c>
      <c r="C249" s="71" t="str">
        <f>'Stakeholder list'!D254</f>
        <v>Public sector</v>
      </c>
      <c r="D249" s="71" t="str">
        <f>'Stakeholder list'!E254</f>
        <v>Public agencies and regulators</v>
      </c>
      <c r="E249" s="71" t="str">
        <f>'Stakeholder list'!F254</f>
        <v>Federal professional council regulating engineering and agronomy; enables transition through professional regulation, technical standards enforcement and guidance that affect infrastructure quality, energy systems, and sustainable land-use practices.</v>
      </c>
      <c r="F249" s="71" t="str">
        <f>'Stakeholder list'!G254</f>
        <v>National</v>
      </c>
      <c r="G249" s="71" t="str">
        <f>'Stakeholder list'!H254</f>
        <v>"Land, Food and Forest"</v>
      </c>
      <c r="H249" s="71" t="str">
        <f>'Stakeholder list'!I254</f>
        <v/>
      </c>
      <c r="I249" s="71" t="str">
        <f>'Stakeholder list'!J254</f>
        <v/>
      </c>
      <c r="J249" s="71" t="str">
        <f>'Stakeholder list'!K254</f>
        <v>No biome lens was assigned because professional regulation and guidance were national and not mapped as biome-specific initiatives.</v>
      </c>
      <c r="K249" s="71" t="str">
        <f>'Stakeholder list'!L254</f>
        <v>Policy influence / regulation</v>
      </c>
      <c r="L249" s="71" t="str">
        <f>'Stakeholder list'!M254</f>
        <v>Upstream</v>
      </c>
      <c r="M249" s="71" t="str">
        <f>'Stakeholder list'!N254</f>
        <v>Grant recipient</v>
      </c>
      <c r="N249" s="71" t="str">
        <f>'Stakeholder list'!O254</f>
        <v>Brasília, DF, Brazil</v>
      </c>
      <c r="O249" s="71" t="str">
        <f>'Stakeholder list'!P254</f>
        <v>Grantee</v>
      </c>
      <c r="P249" s="71" t="str">
        <f>'Stakeholder list'!Q254</f>
        <v/>
      </c>
      <c r="Q249" s="71" t="str">
        <f>'Stakeholder list'!R254</f>
        <v/>
      </c>
      <c r="R249" s="71" t="str">
        <f>'Stakeholder list'!S254</f>
        <v/>
      </c>
      <c r="S249" s="71" t="str">
        <f>'Stakeholder list'!T254</f>
        <v>—</v>
      </c>
      <c r="T249" s="71" t="str">
        <f>'Stakeholder list'!U254</f>
        <v/>
      </c>
      <c r="U249" s="71" t="str">
        <f>'Stakeholder list'!V254</f>
        <v/>
      </c>
      <c r="V249" s="71" t="str">
        <f>'Stakeholder list'!W254</f>
        <v/>
      </c>
      <c r="W249" s="71" t="str">
        <f>'Stakeholder list'!X254</f>
        <v/>
      </c>
    </row>
    <row r="250">
      <c r="A250" s="71">
        <f>'Stakeholder list'!B255</f>
        <v>249</v>
      </c>
      <c r="B250" s="71" t="str">
        <f>'Stakeholder list'!C255</f>
        <v>Instituto Nacional de Metrologia, Qualidade e Tecnologia (Inmetro)</v>
      </c>
      <c r="C250" s="71" t="str">
        <f>'Stakeholder list'!D255</f>
        <v>Public sector</v>
      </c>
      <c r="D250" s="71" t="str">
        <f>'Stakeholder list'!E255</f>
        <v>Public agencies and regulators</v>
      </c>
      <c r="E250" s="71" t="str">
        <f>'Stakeholder list'!F255</f>
        <v>Federal metrology and quality authority; supports transition by setting measurement, certification and labeling frameworks that drive energy efficiency, product performance and safety across buildings, appliances and industrial systems.</v>
      </c>
      <c r="F250" s="71" t="str">
        <f>'Stakeholder list'!G255</f>
        <v>National</v>
      </c>
      <c r="G250" s="71" t="str">
        <f>'Stakeholder list'!H255</f>
        <v/>
      </c>
      <c r="H250" s="71" t="str">
        <f>'Stakeholder list'!I255</f>
        <v/>
      </c>
      <c r="I250" s="71" t="str">
        <f>'Stakeholder list'!J255</f>
        <v/>
      </c>
      <c r="J250" s="71" t="str">
        <f>'Stakeholder list'!K255</f>
        <v>No biome lens was assigned because it operated through national standards/certification systems rather than biome-delimited initiatives.</v>
      </c>
      <c r="K250" s="71" t="str">
        <f>'Stakeholder list'!L255</f>
        <v>Policy influence / regulation, Data / MRV / platforms</v>
      </c>
      <c r="L250" s="71" t="str">
        <f>'Stakeholder list'!M255</f>
        <v>Upstream</v>
      </c>
      <c r="M250" s="71" t="str">
        <f>'Stakeholder list'!N255</f>
        <v>Grant recipient</v>
      </c>
      <c r="N250" s="71" t="str">
        <f>'Stakeholder list'!O255</f>
        <v>Duque de Caxias, RJ, Brazil</v>
      </c>
      <c r="O250" s="71" t="str">
        <f>'Stakeholder list'!P255</f>
        <v>Grantee</v>
      </c>
      <c r="P250" s="71" t="str">
        <f>'Stakeholder list'!Q255</f>
        <v/>
      </c>
      <c r="Q250" s="71" t="str">
        <f>'Stakeholder list'!R255</f>
        <v/>
      </c>
      <c r="R250" s="71" t="str">
        <f>'Stakeholder list'!S255</f>
        <v/>
      </c>
      <c r="S250" s="71" t="str">
        <f>'Stakeholder list'!T255</f>
        <v>—</v>
      </c>
      <c r="T250" s="71" t="str">
        <f>'Stakeholder list'!U255</f>
        <v/>
      </c>
      <c r="U250" s="71" t="str">
        <f>'Stakeholder list'!V255</f>
        <v/>
      </c>
      <c r="V250" s="71" t="str">
        <f>'Stakeholder list'!W255</f>
        <v/>
      </c>
      <c r="W250" s="71" t="str">
        <f>'Stakeholder list'!X255</f>
        <v/>
      </c>
    </row>
    <row r="251">
      <c r="A251" s="71">
        <f>'Stakeholder list'!B256</f>
        <v>250</v>
      </c>
      <c r="B251" s="71" t="str">
        <f>'Stakeholder list'!C256</f>
        <v>Serviço Brasileiro de Apoio às Micro e Pequenas Empresas (SEBRAE)</v>
      </c>
      <c r="C251" s="71" t="str">
        <f>'Stakeholder list'!D256</f>
        <v>Others</v>
      </c>
      <c r="D251" s="71" t="str">
        <f>'Stakeholder list'!E256</f>
        <v>Multi-stakeholder initiatives</v>
      </c>
      <c r="E251" s="71" t="str">
        <f>'Stakeholder list'!F256</f>
        <v>National SME support system; accelerates transition by providing technical assistance, capacity building and market access for small businesses in green innovation, efficient buildings, clean energy solutions and sustainable value chains.</v>
      </c>
      <c r="F251" s="71" t="str">
        <f>'Stakeholder list'!G256</f>
        <v>National</v>
      </c>
      <c r="G251" s="71" t="str">
        <f>'Stakeholder list'!H256</f>
        <v>Buildings &amp; Transport, Energy, "Land, Food and Forest"</v>
      </c>
      <c r="H251" s="71" t="str">
        <f>'Stakeholder list'!I256</f>
        <v/>
      </c>
      <c r="I251" s="71" t="str">
        <f>'Stakeholder list'!J256</f>
        <v/>
      </c>
      <c r="J251" s="71" t="str">
        <f>'Stakeholder list'!K256</f>
        <v>No biome lens was assigned because support was delivered via nationwide programs and local units without a consistent, biome-specific project delimitation in this mapping.</v>
      </c>
      <c r="K251" s="71" t="str">
        <f>'Stakeholder list'!L256</f>
        <v>Implementation capacity (delivery), Technical assistance / research</v>
      </c>
      <c r="L251" s="71" t="str">
        <f>'Stakeholder list'!M256</f>
        <v>Midstream</v>
      </c>
      <c r="M251" s="71" t="str">
        <f>'Stakeholder list'!N256</f>
        <v>Grant recipient</v>
      </c>
      <c r="N251" s="71" t="str">
        <f>'Stakeholder list'!O256</f>
        <v>Brasília, DF, Brazil</v>
      </c>
      <c r="O251" s="71" t="str">
        <f>'Stakeholder list'!P256</f>
        <v>Grantee</v>
      </c>
      <c r="P251" s="71" t="str">
        <f>'Stakeholder list'!Q256</f>
        <v/>
      </c>
      <c r="Q251" s="71" t="str">
        <f>'Stakeholder list'!R256</f>
        <v/>
      </c>
      <c r="R251" s="71" t="str">
        <f>'Stakeholder list'!S256</f>
        <v/>
      </c>
      <c r="S251" s="71" t="str">
        <f>'Stakeholder list'!T256</f>
        <v>—</v>
      </c>
      <c r="T251" s="71" t="str">
        <f>'Stakeholder list'!U256</f>
        <v/>
      </c>
      <c r="U251" s="71" t="str">
        <f>'Stakeholder list'!V256</f>
        <v/>
      </c>
      <c r="V251" s="71" t="str">
        <f>'Stakeholder list'!W256</f>
        <v/>
      </c>
      <c r="W251" s="71" t="str">
        <f>'Stakeholder list'!X256</f>
        <v/>
      </c>
    </row>
    <row r="252">
      <c r="A252" s="71">
        <f>'Stakeholder list'!B257</f>
        <v>251</v>
      </c>
      <c r="B252" s="71" t="str">
        <f>'Stakeholder list'!C257</f>
        <v>União Nacional de Cooperativas da Agricultura Familiar e Economia Solidária (Unicafes)</v>
      </c>
      <c r="C252" s="71" t="str">
        <f>'Stakeholder list'!D257</f>
        <v>Civil Society Organization (CSO)</v>
      </c>
      <c r="D252" s="71" t="str">
        <f>'Stakeholder list'!E257</f>
        <v>Grassroots networks</v>
      </c>
      <c r="E252" s="71" t="str">
        <f>'Stakeholder list'!F257</f>
        <v>National federation representing family farming and solidarity-economy cooperatives; contributes to AFOLU transition by strengthening cooperative governance, inclusive markets, sustainable production and community-based value chains.</v>
      </c>
      <c r="F252" s="71" t="str">
        <f>'Stakeholder list'!G257</f>
        <v>National</v>
      </c>
      <c r="G252" s="71" t="str">
        <f>'Stakeholder list'!H257</f>
        <v>"Land, Food and Forest"</v>
      </c>
      <c r="H252" s="71" t="str">
        <f>'Stakeholder list'!I257</f>
        <v>Amazonia, Caatinga, Cerrado</v>
      </c>
      <c r="I252" s="71" t="str">
        <f>'Stakeholder list'!J257</f>
        <v>Mata&amp;Atlântica, Pantanal, Pampa</v>
      </c>
      <c r="J252" s="71" t="str">
        <f>'Stakeholder list'!K257</f>
        <v>It supported family-farming cooperative networks strongly present in Caatinga and Cerrado territories and it also engaged cooperative value chains in Amazônia and Mata Atlântica contexts.</v>
      </c>
      <c r="K252" s="71" t="str">
        <f>'Stakeholder list'!L257</f>
        <v>Community legitimacy / proximate leadership, Convenor/enablers</v>
      </c>
      <c r="L252" s="71" t="str">
        <f>'Stakeholder list'!M257</f>
        <v>Downstream</v>
      </c>
      <c r="M252" s="71" t="str">
        <f>'Stakeholder list'!N257</f>
        <v>Grant recipient</v>
      </c>
      <c r="N252" s="71" t="str">
        <f>'Stakeholder list'!O257</f>
        <v>Brasília, DF, Brazil</v>
      </c>
      <c r="O252" s="71" t="str">
        <f>'Stakeholder list'!P257</f>
        <v>Grantee</v>
      </c>
      <c r="P252" s="71" t="str">
        <f>'Stakeholder list'!Q257</f>
        <v/>
      </c>
      <c r="Q252" s="71" t="str">
        <f>'Stakeholder list'!R257</f>
        <v/>
      </c>
      <c r="R252" s="71" t="str">
        <f>'Stakeholder list'!S257</f>
        <v/>
      </c>
      <c r="S252" s="71" t="str">
        <f>'Stakeholder list'!T257</f>
        <v>—</v>
      </c>
      <c r="T252" s="71" t="str">
        <f>'Stakeholder list'!U257</f>
        <v/>
      </c>
      <c r="U252" s="71" t="str">
        <f>'Stakeholder list'!V257</f>
        <v/>
      </c>
      <c r="V252" s="71" t="str">
        <f>'Stakeholder list'!W257</f>
        <v/>
      </c>
      <c r="W252" s="71" t="str">
        <f>'Stakeholder list'!X257</f>
        <v/>
      </c>
    </row>
    <row r="253">
      <c r="A253" s="71">
        <f>'Stakeholder list'!B258</f>
        <v>252</v>
      </c>
      <c r="B253" s="71" t="str">
        <f>'Stakeholder list'!C258</f>
        <v>Infocos Agri-Agency</v>
      </c>
      <c r="C253" s="71" t="str">
        <f>'Stakeholder list'!D258</f>
        <v>Civil Society Organization (CSO)</v>
      </c>
      <c r="D253" s="71" t="str">
        <f>'Stakeholder list'!E258</f>
        <v>Local implementers</v>
      </c>
      <c r="E253" s="71" t="str">
        <f>'Stakeholder list'!F258</f>
        <v>Agri-agency that supports farmers’ organizations and cooperatives; contributes to AFOLU transition by strengthening organizational capacity, technical assistance and partnerships (including international cooperation) for resilient and sustainable agriculture.</v>
      </c>
      <c r="F253" s="71" t="str">
        <f>'Stakeholder list'!G258</f>
        <v>Cross-border / international</v>
      </c>
      <c r="G253" s="71" t="str">
        <f>'Stakeholder list'!H258</f>
        <v>"Land, Food and Forest"</v>
      </c>
      <c r="H253" s="71" t="str">
        <f>'Stakeholder list'!I258</f>
        <v/>
      </c>
      <c r="I253" s="71" t="str">
        <f>'Stakeholder list'!J258</f>
        <v/>
      </c>
      <c r="J253" s="71" t="str">
        <f>'Stakeholder list'!K258</f>
        <v>No biome lens was assigned because a publicly identifiable Brazil-focused, biome-delimited implementation portfolio was not confirmed for this entry.</v>
      </c>
      <c r="K253" s="71" t="str">
        <f>'Stakeholder list'!L258</f>
        <v>Technical assistance / research</v>
      </c>
      <c r="L253" s="71" t="str">
        <f>'Stakeholder list'!M258</f>
        <v>Upstream</v>
      </c>
      <c r="M253" s="71" t="str">
        <f>'Stakeholder list'!N258</f>
        <v>Grant recipient</v>
      </c>
      <c r="N253" s="71" t="str">
        <f>'Stakeholder list'!O258</f>
        <v>São Paulo, SP, Brazil</v>
      </c>
      <c r="O253" s="71" t="str">
        <f>'Stakeholder list'!P258</f>
        <v>Grantee</v>
      </c>
      <c r="P253" s="71" t="str">
        <f>'Stakeholder list'!Q258</f>
        <v/>
      </c>
      <c r="Q253" s="71" t="str">
        <f>'Stakeholder list'!R258</f>
        <v/>
      </c>
      <c r="R253" s="71" t="str">
        <f>'Stakeholder list'!S258</f>
        <v/>
      </c>
      <c r="S253" s="71" t="str">
        <f>'Stakeholder list'!T258</f>
        <v>—</v>
      </c>
      <c r="T253" s="71" t="str">
        <f>'Stakeholder list'!U258</f>
        <v/>
      </c>
      <c r="U253" s="71" t="str">
        <f>'Stakeholder list'!V258</f>
        <v/>
      </c>
      <c r="V253" s="71" t="str">
        <f>'Stakeholder list'!W258</f>
        <v/>
      </c>
      <c r="W253" s="71" t="str">
        <f>'Stakeholder list'!X258</f>
        <v/>
      </c>
    </row>
    <row r="254">
      <c r="A254" s="71">
        <f>'Stakeholder list'!B259</f>
        <v>253</v>
      </c>
      <c r="B254" s="71" t="str">
        <f>'Stakeholder list'!C259</f>
        <v>Instituto Democracia e Sustentabilidade (IDS)</v>
      </c>
      <c r="C254" s="71" t="str">
        <f>'Stakeholder list'!D259</f>
        <v>Civil Society Organization (CSO)</v>
      </c>
      <c r="D254" s="71" t="str">
        <f>'Stakeholder list'!E259</f>
        <v>Think tanks</v>
      </c>
      <c r="E254" s="71" t="str">
        <f>'Stakeholder list'!F259</f>
        <v>Civil society think tank linking democratic governance and sustainability; supports transition by convening coalitions, producing policy-relevant analysis and advancing socio-environmental agendas in public debate and decision-making.</v>
      </c>
      <c r="F254" s="71" t="str">
        <f>'Stakeholder list'!G259</f>
        <v>National</v>
      </c>
      <c r="G254" s="71" t="str">
        <f>'Stakeholder list'!H259</f>
        <v>Energy, "Land, Food and Forest"</v>
      </c>
      <c r="H254" s="71" t="str">
        <f>'Stakeholder list'!I259</f>
        <v/>
      </c>
      <c r="I254" s="71" t="str">
        <f>'Stakeholder list'!J259</f>
        <v/>
      </c>
      <c r="J254" s="71" t="str">
        <f>'Stakeholder list'!K259</f>
        <v>No biome lens was assigned because it acted through policy debate/coalition building without a biome-delimited project portfolio in this mapping.</v>
      </c>
      <c r="K254" s="71" t="str">
        <f>'Stakeholder list'!L259</f>
        <v>Policy influence / regulation, Technical assistance / research</v>
      </c>
      <c r="L254" s="71" t="str">
        <f>'Stakeholder list'!M259</f>
        <v>Upstream</v>
      </c>
      <c r="M254" s="71" t="str">
        <f>'Stakeholder list'!N259</f>
        <v>Strategic partner</v>
      </c>
      <c r="N254" s="71" t="str">
        <f>'Stakeholder list'!O259</f>
        <v>Brasília, DF, Brazil</v>
      </c>
      <c r="O254" s="71" t="str">
        <f>'Stakeholder list'!P259</f>
        <v>Grantee</v>
      </c>
      <c r="P254" s="71" t="str">
        <f>'Stakeholder list'!Q259</f>
        <v/>
      </c>
      <c r="Q254" s="71" t="str">
        <f>'Stakeholder list'!R259</f>
        <v/>
      </c>
      <c r="R254" s="71" t="str">
        <f>'Stakeholder list'!S259</f>
        <v/>
      </c>
      <c r="S254" s="71" t="str">
        <f>'Stakeholder list'!T259</f>
        <v>—</v>
      </c>
      <c r="T254" s="71" t="str">
        <f>'Stakeholder list'!U259</f>
        <v/>
      </c>
      <c r="U254" s="71" t="str">
        <f>'Stakeholder list'!V259</f>
        <v/>
      </c>
      <c r="V254" s="71" t="str">
        <f>'Stakeholder list'!W259</f>
        <v/>
      </c>
      <c r="W254" s="71" t="str">
        <f>'Stakeholder list'!X259</f>
        <v/>
      </c>
    </row>
    <row r="255">
      <c r="A255" s="71">
        <f>'Stakeholder list'!B260</f>
        <v>254</v>
      </c>
      <c r="B255" s="71" t="str">
        <f>'Stakeholder list'!C260</f>
        <v>Instituto Cidades Sustentáveis</v>
      </c>
      <c r="C255" s="71" t="str">
        <f>'Stakeholder list'!D260</f>
        <v>Civil Society Organization (CSO)</v>
      </c>
      <c r="D255" s="71" t="str">
        <f>'Stakeholder list'!E260</f>
        <v>Monitoring, Evaluation, and Learning</v>
      </c>
      <c r="E255" s="71" t="str">
        <f>'Stakeholder list'!F260</f>
        <v>Civil society institute focused on sustainable urban development; contributes to buildings/transport transition through indicators, policy guidance and advocacy for low-carbon, inclusive and resilient cities.</v>
      </c>
      <c r="F255" s="71" t="str">
        <f>'Stakeholder list'!G260</f>
        <v>National</v>
      </c>
      <c r="G255" s="71" t="str">
        <f>'Stakeholder list'!H260</f>
        <v>Buildings &amp; Transport</v>
      </c>
      <c r="H255" s="71" t="str">
        <f>'Stakeholder list'!I260</f>
        <v/>
      </c>
      <c r="I255" s="71" t="str">
        <f>'Stakeholder list'!J260</f>
        <v/>
      </c>
      <c r="J255" s="71" t="str">
        <f>'Stakeholder list'!K260</f>
        <v>No biome lens was assigned because it worked through city-based indicators and governance agendas rather than biome-delimited territorial initiatives.</v>
      </c>
      <c r="K255" s="71" t="str">
        <f>'Stakeholder list'!L260</f>
        <v>Project developer / Implementer, Data / MRV / platforms</v>
      </c>
      <c r="L255" s="71" t="str">
        <f>'Stakeholder list'!M260</f>
        <v>Midstream</v>
      </c>
      <c r="M255" s="71" t="str">
        <f>'Stakeholder list'!N260</f>
        <v>Grant recipient</v>
      </c>
      <c r="N255" s="71" t="str">
        <f>'Stakeholder list'!O260</f>
        <v>São Paulo, SP, Brazil</v>
      </c>
      <c r="O255" s="71" t="str">
        <f>'Stakeholder list'!P260</f>
        <v>Grantee</v>
      </c>
      <c r="P255" s="71" t="str">
        <f>'Stakeholder list'!Q260</f>
        <v/>
      </c>
      <c r="Q255" s="71" t="str">
        <f>'Stakeholder list'!R260</f>
        <v/>
      </c>
      <c r="R255" s="71" t="str">
        <f>'Stakeholder list'!S260</f>
        <v/>
      </c>
      <c r="S255" s="71" t="str">
        <f>'Stakeholder list'!T260</f>
        <v>Urban sustainability indicators, city-level monitoring and accountability data for low-carbon development</v>
      </c>
      <c r="T255" s="71" t="str">
        <f>'Stakeholder list'!U260</f>
        <v/>
      </c>
      <c r="U255" s="71" t="str">
        <f>'Stakeholder list'!V260</f>
        <v/>
      </c>
      <c r="V255" s="71" t="str">
        <f>'Stakeholder list'!W260</f>
        <v/>
      </c>
      <c r="W255" s="71" t="str">
        <f>'Stakeholder list'!X260</f>
        <v/>
      </c>
    </row>
    <row r="256">
      <c r="A256" s="71">
        <f>'Stakeholder list'!B261</f>
        <v>255</v>
      </c>
      <c r="B256" s="71" t="str">
        <f>'Stakeholder list'!C261</f>
        <v>Rede Nossa São Paulo</v>
      </c>
      <c r="C256" s="71" t="str">
        <f>'Stakeholder list'!D261</f>
        <v>Others</v>
      </c>
      <c r="D256" s="71" t="str">
        <f>'Stakeholder list'!E261</f>
        <v>Alliances</v>
      </c>
      <c r="E256" s="71" t="str">
        <f>'Stakeholder list'!F261</f>
        <v>Civic network focused on improving urban governance and quality of life; supports systemic transition by mobilizing civil society, tracking indicators and strengthening accountability for sustainable city policies.</v>
      </c>
      <c r="F256" s="71" t="str">
        <f>'Stakeholder list'!G261</f>
        <v>State-level</v>
      </c>
      <c r="G256" s="71" t="str">
        <f>'Stakeholder list'!H261</f>
        <v>Buildings &amp; Transport</v>
      </c>
      <c r="H256" s="71" t="str">
        <f>'Stakeholder list'!I261</f>
        <v/>
      </c>
      <c r="I256" s="71" t="str">
        <f>'Stakeholder list'!J261</f>
        <v>Mata&amp;Atlântica</v>
      </c>
      <c r="J256" s="71" t="str">
        <f>'Stakeholder list'!K261</f>
        <v>It operated primarily in São Paulo’s urban region, which sat within the Mata Atlântica biome footprint, and it did not present a second biome-delimited agenda.</v>
      </c>
      <c r="K256" s="71" t="str">
        <f>'Stakeholder list'!L261</f>
        <v>Policy influence / regulation, Community legitimacy / proximate leadership</v>
      </c>
      <c r="L256" s="71" t="str">
        <f>'Stakeholder list'!M261</f>
        <v>Downstream</v>
      </c>
      <c r="M256" s="71" t="str">
        <f>'Stakeholder list'!N261</f>
        <v>Grant recipient</v>
      </c>
      <c r="N256" s="71" t="str">
        <f>'Stakeholder list'!O261</f>
        <v>São Paulo, SP, Brazil</v>
      </c>
      <c r="O256" s="71" t="str">
        <f>'Stakeholder list'!P261</f>
        <v>Grantee</v>
      </c>
      <c r="P256" s="71" t="str">
        <f>'Stakeholder list'!Q261</f>
        <v/>
      </c>
      <c r="Q256" s="71" t="str">
        <f>'Stakeholder list'!R261</f>
        <v/>
      </c>
      <c r="R256" s="71" t="str">
        <f>'Stakeholder list'!S261</f>
        <v/>
      </c>
      <c r="S256" s="71" t="str">
        <f>'Stakeholder list'!T261</f>
        <v>—</v>
      </c>
      <c r="T256" s="71" t="str">
        <f>'Stakeholder list'!U261</f>
        <v/>
      </c>
      <c r="U256" s="71" t="str">
        <f>'Stakeholder list'!V261</f>
        <v/>
      </c>
      <c r="V256" s="71" t="str">
        <f>'Stakeholder list'!W261</f>
        <v/>
      </c>
      <c r="W256" s="71" t="str">
        <f>'Stakeholder list'!X261</f>
        <v/>
      </c>
    </row>
    <row r="257">
      <c r="A257" s="71">
        <f>'Stakeholder list'!B262</f>
        <v>256</v>
      </c>
      <c r="B257" s="71" t="str">
        <f>'Stakeholder list'!C262</f>
        <v>Instituto Pólis</v>
      </c>
      <c r="C257" s="71" t="str">
        <f>'Stakeholder list'!D262</f>
        <v>Civil Society Organization (CSO)</v>
      </c>
      <c r="D257" s="71" t="str">
        <f>'Stakeholder list'!E262</f>
        <v>Think tanks</v>
      </c>
      <c r="E257" s="71" t="str">
        <f>'Stakeholder list'!F262</f>
        <v>Public policy institute focused on urban rights and inclusive development; contributes to buildings/transport transition through research, technical support and advocacy for equitable, resilient and low-carbon urban planning.</v>
      </c>
      <c r="F257" s="71" t="str">
        <f>'Stakeholder list'!G262</f>
        <v>National</v>
      </c>
      <c r="G257" s="71" t="str">
        <f>'Stakeholder list'!H262</f>
        <v>Buildings &amp; Transport</v>
      </c>
      <c r="H257" s="71" t="str">
        <f>'Stakeholder list'!I262</f>
        <v/>
      </c>
      <c r="I257" s="71" t="str">
        <f>'Stakeholder list'!J262</f>
        <v/>
      </c>
      <c r="J257" s="71" t="str">
        <f>'Stakeholder list'!K262</f>
        <v>No biome lens was assigned because it operated through urban policy work across municipalities without a biome-delimited implementation focus.</v>
      </c>
      <c r="K257" s="71" t="str">
        <f>'Stakeholder list'!L262</f>
        <v>Technical assistance / research, Policy influence / regulation</v>
      </c>
      <c r="L257" s="71" t="str">
        <f>'Stakeholder list'!M262</f>
        <v>Upstream</v>
      </c>
      <c r="M257" s="71" t="str">
        <f>'Stakeholder list'!N262</f>
        <v>Grant recipient</v>
      </c>
      <c r="N257" s="71" t="str">
        <f>'Stakeholder list'!O262</f>
        <v>São Paulo, SP, Brazil</v>
      </c>
      <c r="O257" s="71" t="str">
        <f>'Stakeholder list'!P262</f>
        <v>Grantee</v>
      </c>
      <c r="P257" s="71" t="str">
        <f>'Stakeholder list'!Q262</f>
        <v/>
      </c>
      <c r="Q257" s="71" t="str">
        <f>'Stakeholder list'!R262</f>
        <v/>
      </c>
      <c r="R257" s="71" t="str">
        <f>'Stakeholder list'!S262</f>
        <v/>
      </c>
      <c r="S257" s="71" t="str">
        <f>'Stakeholder list'!T262</f>
        <v>—</v>
      </c>
      <c r="T257" s="71" t="str">
        <f>'Stakeholder list'!U262</f>
        <v/>
      </c>
      <c r="U257" s="71" t="str">
        <f>'Stakeholder list'!V262</f>
        <v/>
      </c>
      <c r="V257" s="71" t="str">
        <f>'Stakeholder list'!W262</f>
        <v/>
      </c>
      <c r="W257" s="71" t="str">
        <f>'Stakeholder list'!X262</f>
        <v/>
      </c>
    </row>
    <row r="258">
      <c r="A258" s="71">
        <f>'Stakeholder list'!B263</f>
        <v>257</v>
      </c>
      <c r="B258" s="71" t="str">
        <f>'Stakeholder list'!C263</f>
        <v>Instituto Escolhas</v>
      </c>
      <c r="C258" s="71" t="str">
        <f>'Stakeholder list'!D263</f>
        <v>Civil Society Organization (CSO)</v>
      </c>
      <c r="D258" s="71" t="str">
        <f>'Stakeholder list'!E263</f>
        <v>Think tanks</v>
      </c>
      <c r="E258" s="71" t="str">
        <f>'Stakeholder list'!F263</f>
        <v>Independent institute producing evidence and proposals for sustainable development; contributes to transition by analyzing policy options and trade-offs across energy, land use and green industrial strategies.</v>
      </c>
      <c r="F258" s="71" t="str">
        <f>'Stakeholder list'!G263</f>
        <v>National</v>
      </c>
      <c r="G258" s="71" t="str">
        <f>'Stakeholder list'!H263</f>
        <v>Energy, "Land, Food and Forest"</v>
      </c>
      <c r="H258" s="71" t="str">
        <f>'Stakeholder list'!I263</f>
        <v/>
      </c>
      <c r="I258" s="71" t="str">
        <f>'Stakeholder list'!J263</f>
        <v/>
      </c>
      <c r="J258" s="71" t="str">
        <f>'Stakeholder list'!K263</f>
        <v>No biome lens was assigned because it produced cross-sector policy analysis and the mapping did not confirm biome-delimited project execution.</v>
      </c>
      <c r="K258" s="71" t="str">
        <f>'Stakeholder list'!L263</f>
        <v>Technical assistance / research, Policy influence / regulation</v>
      </c>
      <c r="L258" s="71" t="str">
        <f>'Stakeholder list'!M263</f>
        <v>Upstream</v>
      </c>
      <c r="M258" s="71" t="str">
        <f>'Stakeholder list'!N263</f>
        <v>Grant recipient</v>
      </c>
      <c r="N258" s="71" t="str">
        <f>'Stakeholder list'!O263</f>
        <v>São Paulo, SP, Brazil</v>
      </c>
      <c r="O258" s="71" t="str">
        <f>'Stakeholder list'!P263</f>
        <v>Grantee</v>
      </c>
      <c r="P258" s="71" t="str">
        <f>'Stakeholder list'!Q263</f>
        <v/>
      </c>
      <c r="Q258" s="71" t="str">
        <f>'Stakeholder list'!R263</f>
        <v/>
      </c>
      <c r="R258" s="71" t="str">
        <f>'Stakeholder list'!S263</f>
        <v/>
      </c>
      <c r="S258" s="71" t="str">
        <f>'Stakeholder list'!T263</f>
        <v>—</v>
      </c>
      <c r="T258" s="71" t="str">
        <f>'Stakeholder list'!U263</f>
        <v/>
      </c>
      <c r="U258" s="71" t="str">
        <f>'Stakeholder list'!V263</f>
        <v/>
      </c>
      <c r="V258" s="71" t="str">
        <f>'Stakeholder list'!W263</f>
        <v/>
      </c>
      <c r="W258" s="71" t="str">
        <f>'Stakeholder list'!X263</f>
        <v/>
      </c>
    </row>
    <row r="259">
      <c r="A259" s="71">
        <f>'Stakeholder list'!B264</f>
        <v>258</v>
      </c>
      <c r="B259" s="71" t="str">
        <f>'Stakeholder list'!C264</f>
        <v>Instituto de Estudos Socioeconômicos (INESC)</v>
      </c>
      <c r="C259" s="71" t="str">
        <f>'Stakeholder list'!D264</f>
        <v>Civil Society Organization (CSO)</v>
      </c>
      <c r="D259" s="71" t="str">
        <f>'Stakeholder list'!E264</f>
        <v>Think tanks</v>
      </c>
      <c r="E259" s="71" t="str">
        <f>'Stakeholder list'!F264</f>
        <v>Civil society organization focused on public budget, rights and socio-environmental justice; supports transition by policy analysis and advocacy for equitable fiscal and regulatory frameworks aligned with climate and nature goals.</v>
      </c>
      <c r="F259" s="71" t="str">
        <f>'Stakeholder list'!G264</f>
        <v>National</v>
      </c>
      <c r="G259" s="71" t="str">
        <f>'Stakeholder list'!H264</f>
        <v>Energy, "Land, Food and Forest"</v>
      </c>
      <c r="H259" s="71" t="str">
        <f>'Stakeholder list'!I264</f>
        <v/>
      </c>
      <c r="I259" s="71" t="str">
        <f>'Stakeholder list'!J264</f>
        <v/>
      </c>
      <c r="J259" s="71" t="str">
        <f>'Stakeholder list'!K264</f>
        <v>No biome lens was assigned because it acted through national budget/rights advocacy rather than biome-delimited initiatives.</v>
      </c>
      <c r="K259" s="71" t="str">
        <f>'Stakeholder list'!L264</f>
        <v>Policy influence / regulation, Technical assistance / research</v>
      </c>
      <c r="L259" s="71" t="str">
        <f>'Stakeholder list'!M264</f>
        <v>Upstream</v>
      </c>
      <c r="M259" s="71" t="str">
        <f>'Stakeholder list'!N264</f>
        <v>Grant recipient</v>
      </c>
      <c r="N259" s="71" t="str">
        <f>'Stakeholder list'!O264</f>
        <v>Brasília, DF, Brazil</v>
      </c>
      <c r="O259" s="71" t="str">
        <f>'Stakeholder list'!P264</f>
        <v>Grantee</v>
      </c>
      <c r="P259" s="71" t="str">
        <f>'Stakeholder list'!Q264</f>
        <v/>
      </c>
      <c r="Q259" s="71" t="str">
        <f>'Stakeholder list'!R264</f>
        <v/>
      </c>
      <c r="R259" s="71" t="str">
        <f>'Stakeholder list'!S264</f>
        <v/>
      </c>
      <c r="S259" s="71" t="str">
        <f>'Stakeholder list'!T264</f>
        <v>—</v>
      </c>
      <c r="T259" s="71" t="str">
        <f>'Stakeholder list'!U264</f>
        <v/>
      </c>
      <c r="U259" s="71" t="str">
        <f>'Stakeholder list'!V264</f>
        <v/>
      </c>
      <c r="V259" s="71" t="str">
        <f>'Stakeholder list'!W264</f>
        <v/>
      </c>
      <c r="W259" s="71" t="str">
        <f>'Stakeholder list'!X264</f>
        <v/>
      </c>
    </row>
    <row r="260">
      <c r="A260" s="71">
        <f>'Stakeholder list'!B265</f>
        <v>259</v>
      </c>
      <c r="B260" s="71" t="str">
        <f>'Stakeholder list'!C265</f>
        <v>Instituto Brasileiro de Defesa do Consumidor (Idec)</v>
      </c>
      <c r="C260" s="71" t="str">
        <f>'Stakeholder list'!D265</f>
        <v>Civil Society Organization (CSO)</v>
      </c>
      <c r="D260" s="71" t="str">
        <f>'Stakeholder list'!E265</f>
        <v>Alliances </v>
      </c>
      <c r="E260" s="71" t="str">
        <f>'Stakeholder list'!F265</f>
        <v>Consumer rights organization; contributes to energy/buildings transition by advocating for fair, efficient and transparent energy and consumer markets, including efficiency, pricing and access issues.</v>
      </c>
      <c r="F260" s="71" t="str">
        <f>'Stakeholder list'!G265</f>
        <v>National</v>
      </c>
      <c r="G260" s="71" t="str">
        <f>'Stakeholder list'!H265</f>
        <v/>
      </c>
      <c r="H260" s="71" t="str">
        <f>'Stakeholder list'!I265</f>
        <v/>
      </c>
      <c r="I260" s="71" t="str">
        <f>'Stakeholder list'!J265</f>
        <v/>
      </c>
      <c r="J260" s="71" t="str">
        <f>'Stakeholder list'!K265</f>
        <v>No biome lens was assigned because it worked through national consumer/market advocacy and not biome-delimited initiatives.</v>
      </c>
      <c r="K260" s="71" t="str">
        <f>'Stakeholder list'!L265</f>
        <v>Policy influence / regulation, Community legitimacy / proximate leadership</v>
      </c>
      <c r="L260" s="71" t="str">
        <f>'Stakeholder list'!M265</f>
        <v>Upstream</v>
      </c>
      <c r="M260" s="71" t="str">
        <f>'Stakeholder list'!N265</f>
        <v>Grant recipient</v>
      </c>
      <c r="N260" s="71" t="str">
        <f>'Stakeholder list'!O265</f>
        <v>São Paulo, SP, Brazil</v>
      </c>
      <c r="O260" s="71" t="str">
        <f>'Stakeholder list'!P265</f>
        <v>Grantee</v>
      </c>
      <c r="P260" s="71" t="str">
        <f>'Stakeholder list'!Q265</f>
        <v/>
      </c>
      <c r="Q260" s="71" t="str">
        <f>'Stakeholder list'!R265</f>
        <v/>
      </c>
      <c r="R260" s="71" t="str">
        <f>'Stakeholder list'!S265</f>
        <v/>
      </c>
      <c r="S260" s="71" t="str">
        <f>'Stakeholder list'!T265</f>
        <v>—</v>
      </c>
      <c r="T260" s="71" t="str">
        <f>'Stakeholder list'!U265</f>
        <v/>
      </c>
      <c r="U260" s="71" t="str">
        <f>'Stakeholder list'!V265</f>
        <v/>
      </c>
      <c r="V260" s="71" t="str">
        <f>'Stakeholder list'!W265</f>
        <v/>
      </c>
      <c r="W260" s="71" t="str">
        <f>'Stakeholder list'!X265</f>
        <v/>
      </c>
    </row>
    <row r="261">
      <c r="A261" s="71">
        <f>'Stakeholder list'!B266</f>
        <v>260</v>
      </c>
      <c r="B261" s="71" t="str">
        <f>'Stakeholder list'!C266</f>
        <v>Greenpeace Brasil</v>
      </c>
      <c r="C261" s="71" t="str">
        <f>'Stakeholder list'!D266</f>
        <v>Civil Society Organization (CSO)</v>
      </c>
      <c r="D261" s="71" t="str">
        <f>'Stakeholder list'!E266</f>
        <v>Bilateral cooperation agencies</v>
      </c>
      <c r="E261" s="71" t="str">
        <f>'Stakeholder list'!F266</f>
        <v>Environmental advocacy organization; contributes to systemic transition through campaigns and public pressure to accelerate climate action, protect forests and biodiversity, and shift corporate and public policies.</v>
      </c>
      <c r="F261" s="71" t="str">
        <f>'Stakeholder list'!G266</f>
        <v>Cross-border / international</v>
      </c>
      <c r="G261" s="71" t="str">
        <f>'Stakeholder list'!H266</f>
        <v>Energy, "Land, Food and Forest"</v>
      </c>
      <c r="H261" s="71" t="str">
        <f>'Stakeholder list'!I266</f>
        <v>Amazonia, Cerrado</v>
      </c>
      <c r="I261" s="71" t="str">
        <f>'Stakeholder list'!J266</f>
        <v>Mata&amp;Atlântica, Pantanal</v>
      </c>
      <c r="J261" s="71" t="str">
        <f>'Stakeholder list'!K266</f>
        <v>It conducted high-visibility forest and land-use campaigns most consistently associated with Amazônia and Cerrado pressures, while it also engaged recurring agendas linked to Mata Atlântica and Pantanal conservation.</v>
      </c>
      <c r="K261" s="71" t="str">
        <f>'Stakeholder list'!L266</f>
        <v>Policy influence / regulation, Project developer / Implementer</v>
      </c>
      <c r="L261" s="71" t="str">
        <f>'Stakeholder list'!M266</f>
        <v>Downstream</v>
      </c>
      <c r="M261" s="71" t="str">
        <f>'Stakeholder list'!N266</f>
        <v>Grant recipient</v>
      </c>
      <c r="N261" s="71" t="str">
        <f>'Stakeholder list'!O266</f>
        <v>São Paulo, SP, Brazil</v>
      </c>
      <c r="O261" s="71" t="str">
        <f>'Stakeholder list'!P266</f>
        <v>Grantee</v>
      </c>
      <c r="P261" s="71" t="str">
        <f>'Stakeholder list'!Q266</f>
        <v/>
      </c>
      <c r="Q261" s="71" t="str">
        <f>'Stakeholder list'!R266</f>
        <v/>
      </c>
      <c r="R261" s="71" t="str">
        <f>'Stakeholder list'!S266</f>
        <v/>
      </c>
      <c r="S261" s="71" t="str">
        <f>'Stakeholder list'!T266</f>
        <v>—</v>
      </c>
      <c r="T261" s="71" t="str">
        <f>'Stakeholder list'!U266</f>
        <v/>
      </c>
      <c r="U261" s="71" t="str">
        <f>'Stakeholder list'!V266</f>
        <v/>
      </c>
      <c r="V261" s="71" t="str">
        <f>'Stakeholder list'!W266</f>
        <v/>
      </c>
      <c r="W261" s="71" t="str">
        <f>'Stakeholder list'!X266</f>
        <v/>
      </c>
    </row>
    <row r="262">
      <c r="A262" s="71">
        <f>'Stakeholder list'!B267</f>
        <v>261</v>
      </c>
      <c r="B262" s="71" t="str">
        <f>'Stakeholder list'!C267</f>
        <v>Instituto Internacional Arayara (Arayara)</v>
      </c>
      <c r="C262" s="71" t="str">
        <f>'Stakeholder list'!D267</f>
        <v>Civil Society Organization (CSO)</v>
      </c>
      <c r="D262" s="71" t="str">
        <f>'Stakeholder list'!E267</f>
        <v>Local implementers</v>
      </c>
      <c r="E262" s="71" t="str">
        <f>'Stakeholder list'!F267</f>
        <v>Civil society organization focused on climate and energy transition; contributes by monitoring projects, engaging policy processes and supporting coalitions to reduce fossil dependence and expand clean energy.</v>
      </c>
      <c r="F262" s="71" t="str">
        <f>'Stakeholder list'!G267</f>
        <v>National</v>
      </c>
      <c r="G262" s="71" t="str">
        <f>'Stakeholder list'!H267</f>
        <v>Energy, "Land, Food and Forest"</v>
      </c>
      <c r="H262" s="71" t="str">
        <f>'Stakeholder list'!I267</f>
        <v/>
      </c>
      <c r="I262" s="71" t="str">
        <f>'Stakeholder list'!J267</f>
        <v/>
      </c>
      <c r="J262" s="71" t="str">
        <f>'Stakeholder list'!K267</f>
        <v>No biome lens was assigned because it operated via energy-policy monitoring and project advocacy without a stable biome-delimited portfolio in this mapping.</v>
      </c>
      <c r="K262" s="71" t="str">
        <f>'Stakeholder list'!L267</f>
        <v>Policy influence / regulation, Technical assistance / research</v>
      </c>
      <c r="L262" s="71" t="str">
        <f>'Stakeholder list'!M267</f>
        <v>Upstream</v>
      </c>
      <c r="M262" s="71" t="str">
        <f>'Stakeholder list'!N267</f>
        <v>Grant recipient</v>
      </c>
      <c r="N262" s="71" t="str">
        <f>'Stakeholder list'!O267</f>
        <v>Curitiba, PR, Brazil</v>
      </c>
      <c r="O262" s="71" t="str">
        <f>'Stakeholder list'!P267</f>
        <v>Grantee</v>
      </c>
      <c r="P262" s="71" t="str">
        <f>'Stakeholder list'!Q267</f>
        <v/>
      </c>
      <c r="Q262" s="71" t="str">
        <f>'Stakeholder list'!R267</f>
        <v/>
      </c>
      <c r="R262" s="71" t="str">
        <f>'Stakeholder list'!S267</f>
        <v/>
      </c>
      <c r="S262" s="71" t="str">
        <f>'Stakeholder list'!T267</f>
        <v>—</v>
      </c>
      <c r="T262" s="71" t="str">
        <f>'Stakeholder list'!U267</f>
        <v/>
      </c>
      <c r="U262" s="71" t="str">
        <f>'Stakeholder list'!V267</f>
        <v/>
      </c>
      <c r="V262" s="71" t="str">
        <f>'Stakeholder list'!W267</f>
        <v/>
      </c>
      <c r="W262" s="71" t="str">
        <f>'Stakeholder list'!X267</f>
        <v/>
      </c>
    </row>
    <row r="263">
      <c r="A263" s="71">
        <f>'Stakeholder list'!B268</f>
        <v>262</v>
      </c>
      <c r="B263" s="71" t="str">
        <f>'Stakeholder list'!C268</f>
        <v>Rede Brasileira de Justiça Ambiental (RBJA)</v>
      </c>
      <c r="C263" s="71" t="str">
        <f>'Stakeholder list'!D268</f>
        <v>Others</v>
      </c>
      <c r="D263" s="71" t="str">
        <f>'Stakeholder list'!E268</f>
        <v>Grassroots networks</v>
      </c>
      <c r="E263" s="71" t="str">
        <f>'Stakeholder list'!F268</f>
        <v>National network advancing environmental justice; contributes to systemic transition by connecting communities and organizations, amplifying socio-environmental impacts and influencing public debate and policy.</v>
      </c>
      <c r="F263" s="71" t="str">
        <f>'Stakeholder list'!G268</f>
        <v>National</v>
      </c>
      <c r="G263" s="71" t="str">
        <f>'Stakeholder list'!H268</f>
        <v>Energy, "Land, Food and Forest"</v>
      </c>
      <c r="H263" s="71" t="str">
        <f>'Stakeholder list'!I268</f>
        <v/>
      </c>
      <c r="I263" s="71" t="str">
        <f>'Stakeholder list'!J268</f>
        <v/>
      </c>
      <c r="J263" s="71" t="str">
        <f>'Stakeholder list'!K268</f>
        <v>No biome lens was assigned because it functioned as a rights/justice network across cases and territories without a consistent biome-delimited initiative set.</v>
      </c>
      <c r="K263" s="71" t="str">
        <f>'Stakeholder list'!L268</f>
        <v>Policy influence / regulation, Community legitimacy / proximate leadership</v>
      </c>
      <c r="L263" s="71" t="str">
        <f>'Stakeholder list'!M268</f>
        <v>Upstream</v>
      </c>
      <c r="M263" s="71" t="str">
        <f>'Stakeholder list'!N268</f>
        <v>Strategic partner</v>
      </c>
      <c r="N263" s="71" t="str">
        <f>'Stakeholder list'!O268</f>
        <v>Rio de Janeiro, RJ, Brazil</v>
      </c>
      <c r="O263" s="71" t="str">
        <f>'Stakeholder list'!P268</f>
        <v>Grantee</v>
      </c>
      <c r="P263" s="71" t="str">
        <f>'Stakeholder list'!Q268</f>
        <v/>
      </c>
      <c r="Q263" s="71" t="str">
        <f>'Stakeholder list'!R268</f>
        <v/>
      </c>
      <c r="R263" s="71" t="str">
        <f>'Stakeholder list'!S268</f>
        <v/>
      </c>
      <c r="S263" s="71" t="str">
        <f>'Stakeholder list'!T268</f>
        <v>—</v>
      </c>
      <c r="T263" s="71" t="str">
        <f>'Stakeholder list'!U268</f>
        <v/>
      </c>
      <c r="U263" s="71" t="str">
        <f>'Stakeholder list'!V268</f>
        <v/>
      </c>
      <c r="V263" s="71" t="str">
        <f>'Stakeholder list'!W268</f>
        <v/>
      </c>
      <c r="W263" s="71" t="str">
        <f>'Stakeholder list'!X268</f>
        <v/>
      </c>
    </row>
    <row r="264">
      <c r="A264" s="71">
        <f>'Stakeholder list'!B269</f>
        <v>263</v>
      </c>
      <c r="B264" s="71" t="str">
        <f>'Stakeholder list'!C269</f>
        <v>Fundação Pró-Natureza (Funatura)</v>
      </c>
      <c r="C264" s="71" t="str">
        <f>'Stakeholder list'!D269</f>
        <v>Funders</v>
      </c>
      <c r="D264" s="71" t="str">
        <f>'Stakeholder list'!E269</f>
        <v>Local implementers</v>
      </c>
      <c r="E264" s="71" t="str">
        <f>'Stakeholder list'!F269</f>
        <v>Environmental NGO with long-standing conservation work (notably in the Cerrado); contributes to AFOLU transition through biodiversity protection, project implementation, community engagement and support to sustainable territorial management.</v>
      </c>
      <c r="F264" s="71" t="str">
        <f>'Stakeholder list'!G269</f>
        <v>National</v>
      </c>
      <c r="G264" s="71" t="str">
        <f>'Stakeholder list'!H269</f>
        <v>"Land, Food and Forest"</v>
      </c>
      <c r="H264" s="71" t="str">
        <f>'Stakeholder list'!I269</f>
        <v>Amazonia, Cerrado</v>
      </c>
      <c r="I264" s="71" t="str">
        <f>'Stakeholder list'!J269</f>
        <v/>
      </c>
      <c r="J264" s="71" t="str">
        <f>'Stakeholder list'!K269</f>
        <v>It implemented a conservation portfolio strongly linked to the Cerrado and it also engaged forest and protected-area agendas connected to Amazônia through projects/partnerships.</v>
      </c>
      <c r="K264" s="71" t="str">
        <f>'Stakeholder list'!L269</f>
        <v>Project developer / Implementer</v>
      </c>
      <c r="L264" s="71" t="str">
        <f>'Stakeholder list'!M269</f>
        <v>Downstream</v>
      </c>
      <c r="M264" s="71" t="str">
        <f>'Stakeholder list'!N269</f>
        <v>Grant recipient</v>
      </c>
      <c r="N264" s="71" t="str">
        <f>'Stakeholder list'!O269</f>
        <v>Brasília, DF, Brazil</v>
      </c>
      <c r="O264" s="71" t="str">
        <f>'Stakeholder list'!P269</f>
        <v>Grantee</v>
      </c>
      <c r="P264" s="71" t="str">
        <f>'Stakeholder list'!Q269</f>
        <v/>
      </c>
      <c r="Q264" s="71" t="str">
        <f>'Stakeholder list'!R269</f>
        <v/>
      </c>
      <c r="R264" s="71" t="str">
        <f>'Stakeholder list'!S269</f>
        <v/>
      </c>
      <c r="S264" s="71" t="str">
        <f>'Stakeholder list'!T269</f>
        <v>—</v>
      </c>
      <c r="T264" s="71" t="str">
        <f>'Stakeholder list'!U269</f>
        <v/>
      </c>
      <c r="U264" s="71" t="str">
        <f>'Stakeholder list'!V269</f>
        <v/>
      </c>
      <c r="V264" s="71" t="str">
        <f>'Stakeholder list'!W269</f>
        <v/>
      </c>
      <c r="W264" s="71" t="str">
        <f>'Stakeholder list'!X269</f>
        <v/>
      </c>
    </row>
    <row r="265">
      <c r="A265" s="71">
        <f>'Stakeholder list'!B270</f>
        <v>264</v>
      </c>
      <c r="B265" s="71" t="str">
        <f>'Stakeholder list'!C270</f>
        <v>Instituto Cerrados (IC)</v>
      </c>
      <c r="C265" s="71" t="str">
        <f>'Stakeholder list'!D270</f>
        <v>Civil Society Organization (CSO)</v>
      </c>
      <c r="D265" s="71" t="str">
        <f>'Stakeholder list'!E270</f>
        <v>Monitoring, Evaluation, and Learning</v>
      </c>
      <c r="E265" s="71" t="str">
        <f>'Stakeholder list'!F270</f>
        <v>Civil society organization focused on Cerrado conservation and sustainable development; contributes to AFOLU transition through projects, territorial governance support and promotion of sustainable production and conservation strategies.</v>
      </c>
      <c r="F265" s="71" t="str">
        <f>'Stakeholder list'!G270</f>
        <v>Regional</v>
      </c>
      <c r="G265" s="71" t="str">
        <f>'Stakeholder list'!H270</f>
        <v>"Land, Food and Forest"</v>
      </c>
      <c r="H265" s="71" t="str">
        <f>'Stakeholder list'!I270</f>
        <v>Cerrado</v>
      </c>
      <c r="I265" s="71" t="str">
        <f>'Stakeholder list'!J270</f>
        <v/>
      </c>
      <c r="J265" s="71" t="str">
        <f>'Stakeholder list'!K270</f>
        <v>It implemented projects and territorial governance work explicitly tied to the Cerrado biome.</v>
      </c>
      <c r="K265" s="71" t="str">
        <f>'Stakeholder list'!L270</f>
        <v>Project developer / Implementer, Data / MRV / platforms</v>
      </c>
      <c r="L265" s="71" t="str">
        <f>'Stakeholder list'!M270</f>
        <v>Downstream</v>
      </c>
      <c r="M265" s="71" t="str">
        <f>'Stakeholder list'!N270</f>
        <v>Grant recipient</v>
      </c>
      <c r="N265" s="71" t="str">
        <f>'Stakeholder list'!O270</f>
        <v>Goiânia, GO, Brazil</v>
      </c>
      <c r="O265" s="71" t="str">
        <f>'Stakeholder list'!P270</f>
        <v>Grantee</v>
      </c>
      <c r="P265" s="71" t="str">
        <f>'Stakeholder list'!Q270</f>
        <v/>
      </c>
      <c r="Q265" s="71" t="str">
        <f>'Stakeholder list'!R270</f>
        <v/>
      </c>
      <c r="R265" s="71" t="str">
        <f>'Stakeholder list'!S270</f>
        <v/>
      </c>
      <c r="S265" s="71" t="str">
        <f>'Stakeholder list'!T270</f>
        <v>Cerrado conservation monitoring, land-use data and territorial governance indicators</v>
      </c>
      <c r="T265" s="71" t="str">
        <f>'Stakeholder list'!U270</f>
        <v/>
      </c>
      <c r="U265" s="71" t="str">
        <f>'Stakeholder list'!V270</f>
        <v/>
      </c>
      <c r="V265" s="71" t="str">
        <f>'Stakeholder list'!W270</f>
        <v/>
      </c>
      <c r="W265" s="71" t="str">
        <f>'Stakeholder list'!X270</f>
        <v/>
      </c>
    </row>
    <row r="266">
      <c r="A266" s="71">
        <f>'Stakeholder list'!B271</f>
        <v>265</v>
      </c>
      <c r="B266" s="71" t="str">
        <f>'Stakeholder list'!C271</f>
        <v>Operação Amazônia Nativa (OPAN)</v>
      </c>
      <c r="C266" s="71" t="str">
        <f>'Stakeholder list'!D271</f>
        <v>Civil Society Organization (CSO)</v>
      </c>
      <c r="D266" s="71" t="str">
        <f>'Stakeholder list'!E271</f>
        <v>Alliances </v>
      </c>
      <c r="E266" s="71" t="str">
        <f>'Stakeholder list'!F271</f>
        <v>Brazilian civil society organization working with Indigenous peoples and traditional communities in the Amazon, combining rights-based approaches, territorial protection, and support to community-led sustainable development aligned with AFOLU and just transition goals.</v>
      </c>
      <c r="F266" s="71" t="str">
        <f>'Stakeholder list'!G271</f>
        <v>Regional</v>
      </c>
      <c r="G266" s="71" t="str">
        <f>'Stakeholder list'!H271</f>
        <v>"Land, Food and Forest"</v>
      </c>
      <c r="H266" s="71" t="str">
        <f>'Stakeholder list'!I271</f>
        <v>Amazonia</v>
      </c>
      <c r="I266" s="71" t="str">
        <f>'Stakeholder list'!J271</f>
        <v/>
      </c>
      <c r="J266" s="71" t="str">
        <f>'Stakeholder list'!K271</f>
        <v>It operated primarily with Amazon Indigenous and traditional territories and implemented programs explicitly linked to the Amazônia biome.</v>
      </c>
      <c r="K266" s="71" t="str">
        <f>'Stakeholder list'!L271</f>
        <v>Project developer / Implementer, Community legitimacy / proximate leadership</v>
      </c>
      <c r="L266" s="71" t="str">
        <f>'Stakeholder list'!M271</f>
        <v>Downstream</v>
      </c>
      <c r="M266" s="71" t="str">
        <f>'Stakeholder list'!N271</f>
        <v>Grant recipient</v>
      </c>
      <c r="N266" s="71" t="str">
        <f>'Stakeholder list'!O271</f>
        <v>Cuiabá, MT, Brazil</v>
      </c>
      <c r="O266" s="71" t="str">
        <f>'Stakeholder list'!P271</f>
        <v>Grantee</v>
      </c>
      <c r="P266" s="71" t="str">
        <f>'Stakeholder list'!Q271</f>
        <v/>
      </c>
      <c r="Q266" s="71" t="str">
        <f>'Stakeholder list'!R271</f>
        <v/>
      </c>
      <c r="R266" s="71" t="str">
        <f>'Stakeholder list'!S271</f>
        <v/>
      </c>
      <c r="S266" s="71" t="str">
        <f>'Stakeholder list'!T271</f>
        <v>—</v>
      </c>
      <c r="T266" s="71" t="str">
        <f>'Stakeholder list'!U271</f>
        <v/>
      </c>
      <c r="U266" s="71" t="str">
        <f>'Stakeholder list'!V271</f>
        <v/>
      </c>
      <c r="V266" s="71" t="str">
        <f>'Stakeholder list'!W271</f>
        <v/>
      </c>
      <c r="W266" s="71" t="str">
        <f>'Stakeholder list'!X271</f>
        <v/>
      </c>
    </row>
    <row r="267">
      <c r="A267" s="71">
        <f>'Stakeholder list'!B272</f>
        <v>266</v>
      </c>
      <c r="B267" s="71" t="str">
        <f>'Stakeholder list'!C272</f>
        <v>Instituto Peabiru</v>
      </c>
      <c r="C267" s="71" t="str">
        <f>'Stakeholder list'!D272</f>
        <v>Civil Society Organization (CSO)</v>
      </c>
      <c r="D267" s="71" t="str">
        <f>'Stakeholder list'!E272</f>
        <v>Local implementers</v>
      </c>
      <c r="E267" s="71" t="str">
        <f>'Stakeholder list'!F272</f>
        <v>Civil society organization operating mainly in the Amazon (especially Pará), supporting community-based territorial development, socio-biodiversity value chains, and local governance arrangements that connect conservation with inclusive livelihoods.</v>
      </c>
      <c r="F267" s="71" t="str">
        <f>'Stakeholder list'!G272</f>
        <v>Regional</v>
      </c>
      <c r="G267" s="71" t="str">
        <f>'Stakeholder list'!H272</f>
        <v>"Land, Food and Forest"</v>
      </c>
      <c r="H267" s="71" t="str">
        <f>'Stakeholder list'!I272</f>
        <v>Amazonia</v>
      </c>
      <c r="I267" s="71" t="str">
        <f>'Stakeholder list'!J272</f>
        <v/>
      </c>
      <c r="J267" s="71" t="str">
        <f>'Stakeholder list'!K272</f>
        <v>It implemented territorial development and socio-biodiversity chain initiatives mainly in Pará/Amazon contexts and maintained an explicit Amazônia biome linkage.</v>
      </c>
      <c r="K267" s="71" t="str">
        <f>'Stakeholder list'!L272</f>
        <v>Project developer / Implementer, Territorial anchor</v>
      </c>
      <c r="L267" s="71" t="str">
        <f>'Stakeholder list'!M272</f>
        <v>Downstream</v>
      </c>
      <c r="M267" s="71" t="str">
        <f>'Stakeholder list'!N272</f>
        <v>Grant recipient</v>
      </c>
      <c r="N267" s="71" t="str">
        <f>'Stakeholder list'!O272</f>
        <v>São Paulo, SP, Brazil</v>
      </c>
      <c r="O267" s="71" t="str">
        <f>'Stakeholder list'!P272</f>
        <v>Grantee</v>
      </c>
      <c r="P267" s="71" t="str">
        <f>'Stakeholder list'!Q272</f>
        <v/>
      </c>
      <c r="Q267" s="71" t="str">
        <f>'Stakeholder list'!R272</f>
        <v/>
      </c>
      <c r="R267" s="71" t="str">
        <f>'Stakeholder list'!S272</f>
        <v/>
      </c>
      <c r="S267" s="71" t="str">
        <f>'Stakeholder list'!T272</f>
        <v>—</v>
      </c>
      <c r="T267" s="71" t="str">
        <f>'Stakeholder list'!U272</f>
        <v/>
      </c>
      <c r="U267" s="71" t="str">
        <f>'Stakeholder list'!V272</f>
        <v/>
      </c>
      <c r="V267" s="71" t="str">
        <f>'Stakeholder list'!W272</f>
        <v/>
      </c>
      <c r="W267" s="71" t="str">
        <f>'Stakeholder list'!X272</f>
        <v/>
      </c>
    </row>
    <row r="268">
      <c r="A268" s="71">
        <f>'Stakeholder list'!B273</f>
        <v>267</v>
      </c>
      <c r="B268" s="71" t="str">
        <f>'Stakeholder list'!C273</f>
        <v>Projeto Saúde e Alegria (PSA)</v>
      </c>
      <c r="C268" s="71" t="str">
        <f>'Stakeholder list'!D273</f>
        <v>Civil Society Organization (CSO)</v>
      </c>
      <c r="D268" s="71" t="str">
        <f>'Stakeholder list'!E273</f>
        <v>Local implementers</v>
      </c>
      <c r="E268" s="71" t="str">
        <f>'Stakeholder list'!F273</f>
        <v>Non-profit initiative working in the Brazilian Amazon, promoting participatory and integrated community development (health, education, citizenship, and sustainable livelihoods), strengthening local resilience and inclusive territorial transitions.</v>
      </c>
      <c r="F268" s="71" t="str">
        <f>'Stakeholder list'!G273</f>
        <v>Regional</v>
      </c>
      <c r="G268" s="71" t="str">
        <f>'Stakeholder list'!H273</f>
        <v>"Land, Food and Forest"</v>
      </c>
      <c r="H268" s="71" t="str">
        <f>'Stakeholder list'!I273</f>
        <v>Amazonia</v>
      </c>
      <c r="I268" s="71" t="str">
        <f>'Stakeholder list'!J273</f>
        <v/>
      </c>
      <c r="J268" s="71" t="str">
        <f>'Stakeholder list'!K273</f>
        <v>It implemented integrated community development in Amazon territories and maintained a clear Amazônia biome focus.</v>
      </c>
      <c r="K268" s="71" t="str">
        <f>'Stakeholder list'!L273</f>
        <v>Project developer / Implementer, Community legitimacy / proximate leadership</v>
      </c>
      <c r="L268" s="71" t="str">
        <f>'Stakeholder list'!M273</f>
        <v>Downstream</v>
      </c>
      <c r="M268" s="71" t="str">
        <f>'Stakeholder list'!N273</f>
        <v>Grant recipient</v>
      </c>
      <c r="N268" s="71" t="str">
        <f>'Stakeholder list'!O273</f>
        <v>Santarém, PA, Brazil</v>
      </c>
      <c r="O268" s="71" t="str">
        <f>'Stakeholder list'!P273</f>
        <v>Grantee</v>
      </c>
      <c r="P268" s="71" t="str">
        <f>'Stakeholder list'!Q273</f>
        <v/>
      </c>
      <c r="Q268" s="71" t="str">
        <f>'Stakeholder list'!R273</f>
        <v/>
      </c>
      <c r="R268" s="71" t="str">
        <f>'Stakeholder list'!S273</f>
        <v/>
      </c>
      <c r="S268" s="71" t="str">
        <f>'Stakeholder list'!T273</f>
        <v>—</v>
      </c>
      <c r="T268" s="71" t="str">
        <f>'Stakeholder list'!U273</f>
        <v/>
      </c>
      <c r="U268" s="71" t="str">
        <f>'Stakeholder list'!V273</f>
        <v/>
      </c>
      <c r="V268" s="71" t="str">
        <f>'Stakeholder list'!W273</f>
        <v/>
      </c>
      <c r="W268" s="71" t="str">
        <f>'Stakeholder list'!X273</f>
        <v/>
      </c>
    </row>
    <row r="269">
      <c r="A269" s="71">
        <f>'Stakeholder list'!B274</f>
        <v>268</v>
      </c>
      <c r="B269" s="71" t="str">
        <f>'Stakeholder list'!C274</f>
        <v>Articulação dos Povos Indígenas do Brasil (APIB)</v>
      </c>
      <c r="C269" s="71" t="str">
        <f>'Stakeholder list'!D274</f>
        <v>Others</v>
      </c>
      <c r="D269" s="71" t="str">
        <f>'Stakeholder list'!E274</f>
        <v>Grassroots networks</v>
      </c>
      <c r="E269" s="71" t="str">
        <f>'Stakeholder list'!F274</f>
        <v>National Indigenous movement articulation that connects regional Indigenous organizations and agendas, with strong advocacy on territorial rights, protection of forests, climate justice, and human rights—central for AFOLU and territorial governance in Amazon/Cerrado/Caatinga.</v>
      </c>
      <c r="F269" s="71" t="str">
        <f>'Stakeholder list'!G274</f>
        <v>National</v>
      </c>
      <c r="G269" s="71" t="str">
        <f>'Stakeholder list'!H274</f>
        <v>"Land, Food and Forest"</v>
      </c>
      <c r="H269" s="71" t="str">
        <f>'Stakeholder list'!I274</f>
        <v>Amazonia, Caatinga, Cerrado</v>
      </c>
      <c r="I269" s="71" t="str">
        <f>'Stakeholder list'!J274</f>
        <v>Mata&amp;Atlântica</v>
      </c>
      <c r="J269" s="71" t="str">
        <f>'Stakeholder list'!K274</f>
        <v>It mobilized advocacy and rights-based agendas most visibly linked to Amazônia and Cerrado Indigenous territorial pressures, while it also engaged national struggles affecting Caatinga and Mata Atlântica Indigenous territories.</v>
      </c>
      <c r="K269" s="71" t="str">
        <f>'Stakeholder list'!L274</f>
        <v>Community legitimacy / proximate leadership, Policy influence / regulation</v>
      </c>
      <c r="L269" s="71" t="str">
        <f>'Stakeholder list'!M274</f>
        <v>Downstream</v>
      </c>
      <c r="M269" s="71" t="str">
        <f>'Stakeholder list'!N274</f>
        <v>Strategic partner</v>
      </c>
      <c r="N269" s="71" t="str">
        <f>'Stakeholder list'!O274</f>
        <v>Brasília, DF, Brazil</v>
      </c>
      <c r="O269" s="71" t="str">
        <f>'Stakeholder list'!P274</f>
        <v>Grantee</v>
      </c>
      <c r="P269" s="71" t="str">
        <f>'Stakeholder list'!Q274</f>
        <v/>
      </c>
      <c r="Q269" s="71" t="str">
        <f>'Stakeholder list'!R274</f>
        <v/>
      </c>
      <c r="R269" s="71" t="str">
        <f>'Stakeholder list'!S274</f>
        <v/>
      </c>
      <c r="S269" s="71" t="str">
        <f>'Stakeholder list'!T274</f>
        <v>—</v>
      </c>
      <c r="T269" s="71" t="str">
        <f>'Stakeholder list'!U274</f>
        <v/>
      </c>
      <c r="U269" s="71" t="str">
        <f>'Stakeholder list'!V274</f>
        <v/>
      </c>
      <c r="V269" s="71" t="str">
        <f>'Stakeholder list'!W274</f>
        <v/>
      </c>
      <c r="W269" s="71" t="str">
        <f>'Stakeholder list'!X274</f>
        <v/>
      </c>
    </row>
    <row r="270">
      <c r="A270" s="71">
        <f>'Stakeholder list'!B275</f>
        <v>269</v>
      </c>
      <c r="B270" s="71" t="str">
        <f>'Stakeholder list'!C275</f>
        <v>Coordenação das Organizações Indígenas da Amazônia Brasileira (COIAB)</v>
      </c>
      <c r="C270" s="71" t="str">
        <f>'Stakeholder list'!D275</f>
        <v>Others</v>
      </c>
      <c r="D270" s="71" t="str">
        <f>'Stakeholder list'!E275</f>
        <v>Grassroots networks</v>
      </c>
      <c r="E270" s="71" t="str">
        <f>'Stakeholder list'!F275</f>
        <v>Indigenous coordination in the Brazilian Amazon that supports collective representation, territorial rights, and protection of forests and communities, strengthening Indigenous governance and climate/AFOLU outcomes.</v>
      </c>
      <c r="F270" s="71" t="str">
        <f>'Stakeholder list'!G275</f>
        <v>Regional</v>
      </c>
      <c r="G270" s="71" t="str">
        <f>'Stakeholder list'!H275</f>
        <v>"Land, Food and Forest"</v>
      </c>
      <c r="H270" s="71" t="str">
        <f>'Stakeholder list'!I275</f>
        <v>Amazonia</v>
      </c>
      <c r="I270" s="71" t="str">
        <f>'Stakeholder list'!J275</f>
        <v/>
      </c>
      <c r="J270" s="71" t="str">
        <f>'Stakeholder list'!K275</f>
        <v>It coordinated Indigenous organizations explicitly within the Amazônia biome and anchored action in Amazon territories.</v>
      </c>
      <c r="K270" s="71" t="str">
        <f>'Stakeholder list'!L275</f>
        <v>Community legitimacy / proximate leadership, Territorial anchor</v>
      </c>
      <c r="L270" s="71" t="str">
        <f>'Stakeholder list'!M275</f>
        <v>Downstream</v>
      </c>
      <c r="M270" s="71" t="str">
        <f>'Stakeholder list'!N275</f>
        <v>Strategic partner</v>
      </c>
      <c r="N270" s="71" t="str">
        <f>'Stakeholder list'!O275</f>
        <v>Manaus, AM, Brazil</v>
      </c>
      <c r="O270" s="71" t="str">
        <f>'Stakeholder list'!P275</f>
        <v>Grantee</v>
      </c>
      <c r="P270" s="71" t="str">
        <f>'Stakeholder list'!Q275</f>
        <v/>
      </c>
      <c r="Q270" s="71" t="str">
        <f>'Stakeholder list'!R275</f>
        <v/>
      </c>
      <c r="R270" s="71" t="str">
        <f>'Stakeholder list'!S275</f>
        <v/>
      </c>
      <c r="S270" s="71" t="str">
        <f>'Stakeholder list'!T275</f>
        <v>—</v>
      </c>
      <c r="T270" s="71" t="str">
        <f>'Stakeholder list'!U275</f>
        <v/>
      </c>
      <c r="U270" s="71" t="str">
        <f>'Stakeholder list'!V275</f>
        <v/>
      </c>
      <c r="V270" s="71" t="str">
        <f>'Stakeholder list'!W275</f>
        <v/>
      </c>
      <c r="W270" s="71" t="str">
        <f>'Stakeholder list'!X275</f>
        <v/>
      </c>
    </row>
    <row r="271">
      <c r="A271" s="71">
        <f>'Stakeholder list'!B276</f>
        <v>270</v>
      </c>
      <c r="B271" s="71" t="str">
        <f>'Stakeholder list'!C276</f>
        <v>Conselho Indigenista Missionário (CIMI)</v>
      </c>
      <c r="C271" s="71" t="str">
        <f>'Stakeholder list'!D276</f>
        <v>Civil Society Organization (CSO)</v>
      </c>
      <c r="D271" s="71" t="str">
        <f>'Stakeholder list'!E276</f>
        <v>Local implementers</v>
      </c>
      <c r="E271" s="71" t="str">
        <f>'Stakeholder list'!F276</f>
        <v>Organization linked to the CNBB that supports Indigenous peoples’ rights in Brazil, including accompaniment of communities and advocacy/monitoring of rights violations—relevant for safeguards, land rights, and just territorial transitions.</v>
      </c>
      <c r="F271" s="71" t="str">
        <f>'Stakeholder list'!G276</f>
        <v>National</v>
      </c>
      <c r="G271" s="71" t="str">
        <f>'Stakeholder list'!H276</f>
        <v>"Land, Food and Forest"</v>
      </c>
      <c r="H271" s="71" t="str">
        <f>'Stakeholder list'!I276</f>
        <v>Amazonia, Caatinga, Cerrado</v>
      </c>
      <c r="I271" s="71" t="str">
        <f>'Stakeholder list'!J276</f>
        <v>Mata&amp;Atlântica</v>
      </c>
      <c r="J271" s="71" t="str">
        <f>'Stakeholder list'!K276</f>
        <v>It monitored conflicts and supported Indigenous rights across Brazil with recurrent prominence in Amazônia and Cerrado land-rights disputes, while it also acted in Mata Atlântica and Caatinga contexts through national coverage.</v>
      </c>
      <c r="K271" s="71" t="str">
        <f>'Stakeholder list'!L276</f>
        <v>Community legitimacy / proximate leadership, Policy influence / regulation</v>
      </c>
      <c r="L271" s="71" t="str">
        <f>'Stakeholder list'!M276</f>
        <v>Downstream</v>
      </c>
      <c r="M271" s="71" t="str">
        <f>'Stakeholder list'!N276</f>
        <v>Strategic partner</v>
      </c>
      <c r="N271" s="71" t="str">
        <f>'Stakeholder list'!O276</f>
        <v>Brasília, DF, Brazil</v>
      </c>
      <c r="O271" s="71" t="str">
        <f>'Stakeholder list'!P276</f>
        <v>Grantee</v>
      </c>
      <c r="P271" s="71" t="str">
        <f>'Stakeholder list'!Q276</f>
        <v/>
      </c>
      <c r="Q271" s="71" t="str">
        <f>'Stakeholder list'!R276</f>
        <v/>
      </c>
      <c r="R271" s="71" t="str">
        <f>'Stakeholder list'!S276</f>
        <v/>
      </c>
      <c r="S271" s="71" t="str">
        <f>'Stakeholder list'!T276</f>
        <v>—</v>
      </c>
      <c r="T271" s="71" t="str">
        <f>'Stakeholder list'!U276</f>
        <v/>
      </c>
      <c r="U271" s="71" t="str">
        <f>'Stakeholder list'!V276</f>
        <v/>
      </c>
      <c r="V271" s="71" t="str">
        <f>'Stakeholder list'!W276</f>
        <v/>
      </c>
      <c r="W271" s="71" t="str">
        <f>'Stakeholder list'!X276</f>
        <v/>
      </c>
    </row>
    <row r="272">
      <c r="A272" s="71">
        <f>'Stakeholder list'!B277</f>
        <v>271</v>
      </c>
      <c r="B272" s="71" t="str">
        <f>'Stakeholder list'!C277</f>
        <v>Comissão Pastoral da Terra (CPT)</v>
      </c>
      <c r="C272" s="71" t="str">
        <f>'Stakeholder list'!D277</f>
        <v>Civil Society Organization (CSO)</v>
      </c>
      <c r="D272" s="71" t="str">
        <f>'Stakeholder list'!E277</f>
        <v>Social moviments </v>
      </c>
      <c r="E272" s="71" t="str">
        <f>'Stakeholder list'!F277</f>
        <v>Rights-based organization that supports rural peoples and communities, documents land and environmental conflicts, and strengthens grassroots organization and advocacy for land/water rights and socio-environmental justice.</v>
      </c>
      <c r="F272" s="71" t="str">
        <f>'Stakeholder list'!G277</f>
        <v>National</v>
      </c>
      <c r="G272" s="71" t="str">
        <f>'Stakeholder list'!H277</f>
        <v>Emergency response, Energy, "Land, Food and Forest"</v>
      </c>
      <c r="H272" s="71" t="str">
        <f>'Stakeholder list'!I277</f>
        <v>Amazonia, Caatinga, Cerrado</v>
      </c>
      <c r="I272" s="71" t="str">
        <f>'Stakeholder list'!J277</f>
        <v>Mata&amp;Atlântica</v>
      </c>
      <c r="J272" s="71" t="str">
        <f>'Stakeholder list'!K277</f>
        <v>It documented and engaged land/conflict dynamics frequently concentrated in Amazônia and Cerrado frontiers, while it also covered rural conflict and rights agendas in Caatinga and Mata Atlântica areas.</v>
      </c>
      <c r="K272" s="71" t="str">
        <f>'Stakeholder list'!L277</f>
        <v>Community legitimacy / proximate leadership, Policy influence / regulation</v>
      </c>
      <c r="L272" s="71" t="str">
        <f>'Stakeholder list'!M277</f>
        <v>Downstream</v>
      </c>
      <c r="M272" s="71" t="str">
        <f>'Stakeholder list'!N277</f>
        <v>Grant recipient</v>
      </c>
      <c r="N272" s="71" t="str">
        <f>'Stakeholder list'!O277</f>
        <v>Goiânia, GO, Brazil</v>
      </c>
      <c r="O272" s="71" t="str">
        <f>'Stakeholder list'!P277</f>
        <v>Grantee</v>
      </c>
      <c r="P272" s="71" t="str">
        <f>'Stakeholder list'!Q277</f>
        <v/>
      </c>
      <c r="Q272" s="71" t="str">
        <f>'Stakeholder list'!R277</f>
        <v/>
      </c>
      <c r="R272" s="71" t="str">
        <f>'Stakeholder list'!S277</f>
        <v/>
      </c>
      <c r="S272" s="71" t="str">
        <f>'Stakeholder list'!T277</f>
        <v>—</v>
      </c>
      <c r="T272" s="71" t="str">
        <f>'Stakeholder list'!U277</f>
        <v/>
      </c>
      <c r="U272" s="71" t="str">
        <f>'Stakeholder list'!V277</f>
        <v/>
      </c>
      <c r="V272" s="71" t="str">
        <f>'Stakeholder list'!W277</f>
        <v/>
      </c>
      <c r="W272" s="71" t="str">
        <f>'Stakeholder list'!X277</f>
        <v/>
      </c>
    </row>
    <row r="273">
      <c r="A273" s="71">
        <f>'Stakeholder list'!B278</f>
        <v>272</v>
      </c>
      <c r="B273" s="71" t="str">
        <f>'Stakeholder list'!C278</f>
        <v>Conselho Nacional das Populações Extrativistas (CNS)</v>
      </c>
      <c r="C273" s="71" t="str">
        <f>'Stakeholder list'!D278</f>
        <v>Others</v>
      </c>
      <c r="D273" s="71" t="str">
        <f>'Stakeholder list'!E278</f>
        <v>Grassroots networks</v>
      </c>
      <c r="E273" s="71" t="str">
        <f>'Stakeholder list'!F278</f>
        <v>National organization/movement representing extractive communities, advocating for public policies and collective-use territories that ensure socio-environmental sustainability and forest conservation (e.g., extractive reserves).</v>
      </c>
      <c r="F273" s="71" t="str">
        <f>'Stakeholder list'!G278</f>
        <v>National</v>
      </c>
      <c r="G273" s="71" t="str">
        <f>'Stakeholder list'!H278</f>
        <v>"Land, Food and Forest"</v>
      </c>
      <c r="H273" s="71" t="str">
        <f>'Stakeholder list'!I278</f>
        <v>Amazonia, Caatinga, Cerrado</v>
      </c>
      <c r="I273" s="71" t="str">
        <f>'Stakeholder list'!J278</f>
        <v>Mata&amp;Atlântica</v>
      </c>
      <c r="J273" s="71" t="str">
        <f>'Stakeholder list'!K278</f>
        <v>It represented extractive-reserve and forest-based livelihoods strongly anchored in Amazônia and it also engaged extractive/community territories in Mata Atlântica contexts where applicable.</v>
      </c>
      <c r="K273" s="71" t="str">
        <f>'Stakeholder list'!L278</f>
        <v>Community legitimacy / proximate leadership, Policy influence / regulation</v>
      </c>
      <c r="L273" s="71" t="str">
        <f>'Stakeholder list'!M278</f>
        <v>Downstream</v>
      </c>
      <c r="M273" s="71" t="str">
        <f>'Stakeholder list'!N278</f>
        <v>Grant recipient</v>
      </c>
      <c r="N273" s="71" t="str">
        <f>'Stakeholder list'!O278</f>
        <v>Brasília, DF, Brazil</v>
      </c>
      <c r="O273" s="71" t="str">
        <f>'Stakeholder list'!P278</f>
        <v>Grantee</v>
      </c>
      <c r="P273" s="71" t="str">
        <f>'Stakeholder list'!Q278</f>
        <v/>
      </c>
      <c r="Q273" s="71" t="str">
        <f>'Stakeholder list'!R278</f>
        <v/>
      </c>
      <c r="R273" s="71" t="str">
        <f>'Stakeholder list'!S278</f>
        <v/>
      </c>
      <c r="S273" s="71" t="str">
        <f>'Stakeholder list'!T278</f>
        <v>—</v>
      </c>
      <c r="T273" s="71" t="str">
        <f>'Stakeholder list'!U278</f>
        <v/>
      </c>
      <c r="U273" s="71" t="str">
        <f>'Stakeholder list'!V278</f>
        <v/>
      </c>
      <c r="V273" s="71" t="str">
        <f>'Stakeholder list'!W278</f>
        <v/>
      </c>
      <c r="W273" s="71" t="str">
        <f>'Stakeholder list'!X278</f>
        <v/>
      </c>
    </row>
    <row r="274">
      <c r="A274" s="71">
        <f>'Stakeholder list'!B279</f>
        <v>273</v>
      </c>
      <c r="B274" s="71" t="str">
        <f>'Stakeholder list'!C279</f>
        <v>Articulação Nacional de Agroecologia (ANA)</v>
      </c>
      <c r="C274" s="71" t="str">
        <f>'Stakeholder list'!D279</f>
        <v>Others</v>
      </c>
      <c r="D274" s="71" t="str">
        <f>'Stakeholder list'!E279</f>
        <v>Grassroots networks</v>
      </c>
      <c r="E274" s="71" t="str">
        <f>'Stakeholder list'!F279</f>
        <v>National space for convergence among movements, networks and civil society organizations engaged in agroecology and family farming, promoting knowledge exchange and policy advocacy for sustainable rural development.</v>
      </c>
      <c r="F274" s="71" t="str">
        <f>'Stakeholder list'!G279</f>
        <v>National</v>
      </c>
      <c r="G274" s="71" t="str">
        <f>'Stakeholder list'!H279</f>
        <v>"Land, Food and Forest"</v>
      </c>
      <c r="H274" s="71" t="str">
        <f>'Stakeholder list'!I279</f>
        <v>Amazonia, Caatinga, Cerrado</v>
      </c>
      <c r="I274" s="71" t="str">
        <f>'Stakeholder list'!J279</f>
        <v>Mata&amp;Atlântica</v>
      </c>
      <c r="J274" s="71" t="str">
        <f>'Stakeholder list'!K279</f>
        <v>It convened agroecology networks with strong presence in Caatinga and Cerrado family-farming territories and it also mobilized agendas across Mata Atlântica and Amazônia through national articulation.</v>
      </c>
      <c r="K274" s="71" t="str">
        <f>'Stakeholder list'!L279</f>
        <v>Convenor/enablers, Community legitimacy / proximate leadership</v>
      </c>
      <c r="L274" s="71" t="str">
        <f>'Stakeholder list'!M279</f>
        <v>Midstream</v>
      </c>
      <c r="M274" s="71" t="str">
        <f>'Stakeholder list'!N279</f>
        <v>Strategic partner</v>
      </c>
      <c r="N274" s="71" t="str">
        <f>'Stakeholder list'!O279</f>
        <v>São Paulo, SP, Brazil</v>
      </c>
      <c r="O274" s="71" t="str">
        <f>'Stakeholder list'!P279</f>
        <v>Grantee</v>
      </c>
      <c r="P274" s="71" t="str">
        <f>'Stakeholder list'!Q279</f>
        <v/>
      </c>
      <c r="Q274" s="71" t="str">
        <f>'Stakeholder list'!R279</f>
        <v/>
      </c>
      <c r="R274" s="71" t="str">
        <f>'Stakeholder list'!S279</f>
        <v/>
      </c>
      <c r="S274" s="71" t="str">
        <f>'Stakeholder list'!T279</f>
        <v>—</v>
      </c>
      <c r="T274" s="71" t="str">
        <f>'Stakeholder list'!U279</f>
        <v/>
      </c>
      <c r="U274" s="71" t="str">
        <f>'Stakeholder list'!V279</f>
        <v/>
      </c>
      <c r="V274" s="71" t="str">
        <f>'Stakeholder list'!W279</f>
        <v/>
      </c>
      <c r="W274" s="71" t="str">
        <f>'Stakeholder list'!X279</f>
        <v/>
      </c>
    </row>
    <row r="275">
      <c r="A275" s="71">
        <f>'Stakeholder list'!B280</f>
        <v>274</v>
      </c>
      <c r="B275" s="71" t="str">
        <f>'Stakeholder list'!C280</f>
        <v>Diaconia</v>
      </c>
      <c r="C275" s="71" t="str">
        <f>'Stakeholder list'!D280</f>
        <v>Civil Society Organization (CSO)</v>
      </c>
      <c r="D275" s="71" t="str">
        <f>'Stakeholder list'!E280</f>
        <v>Social moviments </v>
      </c>
      <c r="E275" s="71" t="str">
        <f>'Stakeholder list'!F280</f>
        <v>Civil society organization with strong presence in Brazil’s Northeast/Semi-arid, strengthening social processes and policy advocacy for rights, climate resilience, and sustainable community development—relevant to AFOLU and adaptation.</v>
      </c>
      <c r="F275" s="71" t="str">
        <f>'Stakeholder list'!G280</f>
        <v>National</v>
      </c>
      <c r="G275" s="71" t="str">
        <f>'Stakeholder list'!H280</f>
        <v>Emergency response, "Land, Food and Forest"</v>
      </c>
      <c r="H275" s="71" t="str">
        <f>'Stakeholder list'!I280</f>
        <v>Caatinga</v>
      </c>
      <c r="I275" s="71" t="str">
        <f>'Stakeholder list'!J280</f>
        <v>Coastal&amp;maritime</v>
      </c>
      <c r="J275" s="71" t="str">
        <f>'Stakeholder list'!K280</f>
        <v>It implemented programs strongly associated with the Semi-arid Caatinga and it also operated in coastal Northeast communities with coastal-maritime interfaces.</v>
      </c>
      <c r="K275" s="71" t="str">
        <f>'Stakeholder list'!L280</f>
        <v>Project developer / Implementer, Implementation capacity (delivery)</v>
      </c>
      <c r="L275" s="71" t="str">
        <f>'Stakeholder list'!M280</f>
        <v>Downstream</v>
      </c>
      <c r="M275" s="71" t="str">
        <f>'Stakeholder list'!N280</f>
        <v>Grant recipient</v>
      </c>
      <c r="N275" s="71" t="str">
        <f>'Stakeholder list'!O280</f>
        <v>Recife, PE, Brazil</v>
      </c>
      <c r="O275" s="71" t="str">
        <f>'Stakeholder list'!P280</f>
        <v>Grantee</v>
      </c>
      <c r="P275" s="71" t="str">
        <f>'Stakeholder list'!Q280</f>
        <v/>
      </c>
      <c r="Q275" s="71" t="str">
        <f>'Stakeholder list'!R280</f>
        <v/>
      </c>
      <c r="R275" s="71" t="str">
        <f>'Stakeholder list'!S280</f>
        <v/>
      </c>
      <c r="S275" s="71" t="str">
        <f>'Stakeholder list'!T280</f>
        <v>—</v>
      </c>
      <c r="T275" s="71" t="str">
        <f>'Stakeholder list'!U280</f>
        <v/>
      </c>
      <c r="U275" s="71" t="str">
        <f>'Stakeholder list'!V280</f>
        <v/>
      </c>
      <c r="V275" s="71" t="str">
        <f>'Stakeholder list'!W280</f>
        <v/>
      </c>
      <c r="W275" s="71" t="str">
        <f>'Stakeholder list'!X280</f>
        <v/>
      </c>
    </row>
    <row r="276">
      <c r="A276" s="71">
        <f>'Stakeholder list'!B281</f>
        <v>275</v>
      </c>
      <c r="B276" s="71" t="str">
        <f>'Stakeholder list'!C281</f>
        <v>Cáritas Brasileira</v>
      </c>
      <c r="C276" s="71" t="str">
        <f>'Stakeholder list'!D281</f>
        <v>Civil Society Organization (CSO)</v>
      </c>
      <c r="D276" s="71" t="str">
        <f>'Stakeholder list'!E281</f>
        <v>Social moviments </v>
      </c>
      <c r="E276" s="71" t="str">
        <f>'Stakeholder list'!F281</f>
        <v>Catholic humanitarian and social development network in Brazil working with vulnerable populations, human rights, food security and solidarity-based development (including emergency response and community resilience).</v>
      </c>
      <c r="F276" s="71" t="str">
        <f>'Stakeholder list'!G281</f>
        <v>National</v>
      </c>
      <c r="G276" s="71" t="str">
        <f>'Stakeholder list'!H281</f>
        <v>Emergency response, "Land, Food and Forest"</v>
      </c>
      <c r="H276" s="71" t="str">
        <f>'Stakeholder list'!I281</f>
        <v>Amazonia, Caatinga, Cerrado</v>
      </c>
      <c r="I276" s="71" t="str">
        <f>'Stakeholder list'!J281</f>
        <v>Mata&amp;Atlântica</v>
      </c>
      <c r="J276" s="71" t="str">
        <f>'Stakeholder list'!K281</f>
        <v>No biome lens was assigned because humanitarian and social development actions were delivered across diverse territories without a consistent biome-delimited operational framing in this mapping.</v>
      </c>
      <c r="K276" s="71" t="str">
        <f>'Stakeholder list'!L281</f>
        <v>Project developer / Implementer, Implementation capacity (delivery)</v>
      </c>
      <c r="L276" s="71" t="str">
        <f>'Stakeholder list'!M281</f>
        <v>Downstream</v>
      </c>
      <c r="M276" s="71" t="str">
        <f>'Stakeholder list'!N281</f>
        <v>Grant recipient</v>
      </c>
      <c r="N276" s="71" t="str">
        <f>'Stakeholder list'!O281</f>
        <v>Brasília, DF, Brazil</v>
      </c>
      <c r="O276" s="71" t="str">
        <f>'Stakeholder list'!P281</f>
        <v>Grantee</v>
      </c>
      <c r="P276" s="71" t="str">
        <f>'Stakeholder list'!Q281</f>
        <v/>
      </c>
      <c r="Q276" s="71" t="str">
        <f>'Stakeholder list'!R281</f>
        <v/>
      </c>
      <c r="R276" s="71" t="str">
        <f>'Stakeholder list'!S281</f>
        <v/>
      </c>
      <c r="S276" s="71" t="str">
        <f>'Stakeholder list'!T281</f>
        <v>—</v>
      </c>
      <c r="T276" s="71" t="str">
        <f>'Stakeholder list'!U281</f>
        <v/>
      </c>
      <c r="U276" s="71" t="str">
        <f>'Stakeholder list'!V281</f>
        <v/>
      </c>
      <c r="V276" s="71" t="str">
        <f>'Stakeholder list'!W281</f>
        <v/>
      </c>
      <c r="W276" s="71" t="str">
        <f>'Stakeholder list'!X281</f>
        <v/>
      </c>
    </row>
    <row r="277">
      <c r="A277" s="71">
        <f>'Stakeholder list'!B282</f>
        <v>276</v>
      </c>
      <c r="B277" s="71" t="str">
        <f>'Stakeholder list'!C282</f>
        <v>Federação de Órgãos para Assistência Social e Educacional (FASE)</v>
      </c>
      <c r="C277" s="71" t="str">
        <f>'Stakeholder list'!D282</f>
        <v>Civil Society Organization (CSO)</v>
      </c>
      <c r="D277" s="71" t="str">
        <f>'Stakeholder list'!E282</f>
        <v>Local implementers</v>
      </c>
      <c r="E277" s="71" t="str">
        <f>'Stakeholder list'!F282</f>
        <v>Brazilian NGO that strengthens grassroots groups and civic participation for rights, democracy and environmental justice, operating across multiple states in urban and rural contexts.</v>
      </c>
      <c r="F277" s="71" t="str">
        <f>'Stakeholder list'!G282</f>
        <v>National</v>
      </c>
      <c r="G277" s="71" t="str">
        <f>'Stakeholder list'!H282</f>
        <v>"Land, Food and Forest"</v>
      </c>
      <c r="H277" s="71" t="str">
        <f>'Stakeholder list'!I282</f>
        <v/>
      </c>
      <c r="I277" s="71" t="str">
        <f>'Stakeholder list'!J282</f>
        <v/>
      </c>
      <c r="J277" s="71" t="str">
        <f>'Stakeholder list'!K282</f>
        <v>No biome lens was assigned because it operated through civic participation and rights agendas across states without a stable biome-delimited project portfolio in this mapping.</v>
      </c>
      <c r="K277" s="71" t="str">
        <f>'Stakeholder list'!L282</f>
        <v>Project developer / Implementer, Policy influence / regulation</v>
      </c>
      <c r="L277" s="71" t="str">
        <f>'Stakeholder list'!M282</f>
        <v>Downstream</v>
      </c>
      <c r="M277" s="71" t="str">
        <f>'Stakeholder list'!N282</f>
        <v>Grant recipient</v>
      </c>
      <c r="N277" s="71" t="str">
        <f>'Stakeholder list'!O282</f>
        <v>Rio de Janeiro, RJ, Brazil</v>
      </c>
      <c r="O277" s="71" t="str">
        <f>'Stakeholder list'!P282</f>
        <v>Grantee</v>
      </c>
      <c r="P277" s="71" t="str">
        <f>'Stakeholder list'!Q282</f>
        <v/>
      </c>
      <c r="Q277" s="71" t="str">
        <f>'Stakeholder list'!R282</f>
        <v/>
      </c>
      <c r="R277" s="71" t="str">
        <f>'Stakeholder list'!S282</f>
        <v/>
      </c>
      <c r="S277" s="71" t="str">
        <f>'Stakeholder list'!T282</f>
        <v>—</v>
      </c>
      <c r="T277" s="71" t="str">
        <f>'Stakeholder list'!U282</f>
        <v/>
      </c>
      <c r="U277" s="71" t="str">
        <f>'Stakeholder list'!V282</f>
        <v/>
      </c>
      <c r="V277" s="71" t="str">
        <f>'Stakeholder list'!W282</f>
        <v/>
      </c>
      <c r="W277" s="71" t="str">
        <f>'Stakeholder list'!X282</f>
        <v/>
      </c>
    </row>
    <row r="278">
      <c r="A278" s="71">
        <f>'Stakeholder list'!B283</f>
        <v>277</v>
      </c>
      <c r="B278" s="71" t="str">
        <f>'Stakeholder list'!C283</f>
        <v>Centro de Estudos do Trabalho e de Assessoria ao Trabalhador e à Trabalhadora (CETRA)</v>
      </c>
      <c r="C278" s="71" t="str">
        <f>'Stakeholder list'!D283</f>
        <v>Civil Society Organization (CSO)</v>
      </c>
      <c r="D278" s="71" t="str">
        <f>'Stakeholder list'!E283</f>
        <v>Local implementers</v>
      </c>
      <c r="E278" s="71" t="str">
        <f>'Stakeholder list'!F283</f>
        <v>Civil society organization providing technical and social advisory support to family farmers and rural workers, promoting agroecology, social technologies, and territorial development—relevant to AFOLU transitions and resilience in the Semi-arid.</v>
      </c>
      <c r="F278" s="71" t="str">
        <f>'Stakeholder list'!G283</f>
        <v>State-level</v>
      </c>
      <c r="G278" s="71" t="str">
        <f>'Stakeholder list'!H283</f>
        <v>"Land, Food and Forest"</v>
      </c>
      <c r="H278" s="71" t="str">
        <f>'Stakeholder list'!I283</f>
        <v>Caatinga</v>
      </c>
      <c r="I278" s="71" t="str">
        <f>'Stakeholder list'!J283</f>
        <v/>
      </c>
      <c r="J278" s="71" t="str">
        <f>'Stakeholder list'!K283</f>
        <v>It implemented agroecology and social-technology support for family farming in Semi-arid territories explicitly tied to the Caatinga biome.</v>
      </c>
      <c r="K278" s="71" t="str">
        <f>'Stakeholder list'!L283</f>
        <v>Project developer / Implementer, Implementation capacity (delivery)</v>
      </c>
      <c r="L278" s="71" t="str">
        <f>'Stakeholder list'!M283</f>
        <v>Downstream</v>
      </c>
      <c r="M278" s="71" t="str">
        <f>'Stakeholder list'!N283</f>
        <v>Grant recipient</v>
      </c>
      <c r="N278" s="71" t="str">
        <f>'Stakeholder list'!O283</f>
        <v>Fortaleza, CE, Brazil</v>
      </c>
      <c r="O278" s="71" t="str">
        <f>'Stakeholder list'!P283</f>
        <v>Grantee</v>
      </c>
      <c r="P278" s="71" t="str">
        <f>'Stakeholder list'!Q283</f>
        <v/>
      </c>
      <c r="Q278" s="71" t="str">
        <f>'Stakeholder list'!R283</f>
        <v/>
      </c>
      <c r="R278" s="71" t="str">
        <f>'Stakeholder list'!S283</f>
        <v/>
      </c>
      <c r="S278" s="71" t="str">
        <f>'Stakeholder list'!T283</f>
        <v>—</v>
      </c>
      <c r="T278" s="71" t="str">
        <f>'Stakeholder list'!U283</f>
        <v/>
      </c>
      <c r="U278" s="71" t="str">
        <f>'Stakeholder list'!V283</f>
        <v/>
      </c>
      <c r="V278" s="71" t="str">
        <f>'Stakeholder list'!W283</f>
        <v/>
      </c>
      <c r="W278" s="71" t="str">
        <f>'Stakeholder list'!X283</f>
        <v/>
      </c>
    </row>
    <row r="279">
      <c r="A279" s="71">
        <f>'Stakeholder list'!B284</f>
        <v>278</v>
      </c>
      <c r="B279" s="71" t="str">
        <f>'Stakeholder list'!C284</f>
        <v>Centro de Desenvolvimento Agroecológico Sabiá (Centro Sabiá)</v>
      </c>
      <c r="C279" s="71" t="str">
        <f>'Stakeholder list'!D284</f>
        <v>Civil Society Organization (CSO)</v>
      </c>
      <c r="D279" s="71" t="str">
        <f>'Stakeholder list'!E284</f>
        <v>Local implementers</v>
      </c>
      <c r="E279" s="71" t="str">
        <f>'Stakeholder list'!F284</f>
        <v>NGO that promotes family farming under agroecology principles, working with agroforestry systems, territorial rural economies and policy advocacy—relevant for AFOLU transitions and climate-resilient food systems.</v>
      </c>
      <c r="F279" s="71" t="str">
        <f>'Stakeholder list'!G284</f>
        <v>State-level</v>
      </c>
      <c r="G279" s="71" t="str">
        <f>'Stakeholder list'!H284</f>
        <v>"Land, Food and Forest"</v>
      </c>
      <c r="H279" s="71" t="str">
        <f>'Stakeholder list'!I284</f>
        <v>Caatinga</v>
      </c>
      <c r="I279" s="71" t="str">
        <f>'Stakeholder list'!J284</f>
        <v>Mata&amp;Atlântica</v>
      </c>
      <c r="J279" s="71" t="str">
        <f>'Stakeholder list'!K284</f>
        <v>It operated in Pernambuco with strong Mata Atlântica-zone rural territories and it also engaged Semi-arid interfaces connected to Caatinga through agroecology/agroforestry programming.</v>
      </c>
      <c r="K279" s="71" t="str">
        <f>'Stakeholder list'!L284</f>
        <v>Project developer / Implementer, Implementation capacity (delivery)</v>
      </c>
      <c r="L279" s="71" t="str">
        <f>'Stakeholder list'!M284</f>
        <v>Downstream</v>
      </c>
      <c r="M279" s="71" t="str">
        <f>'Stakeholder list'!N284</f>
        <v>Grant recipient</v>
      </c>
      <c r="N279" s="71" t="str">
        <f>'Stakeholder list'!O284</f>
        <v>Recife, PE, Brazil</v>
      </c>
      <c r="O279" s="71" t="str">
        <f>'Stakeholder list'!P284</f>
        <v>Grantee</v>
      </c>
      <c r="P279" s="71" t="str">
        <f>'Stakeholder list'!Q284</f>
        <v/>
      </c>
      <c r="Q279" s="71" t="str">
        <f>'Stakeholder list'!R284</f>
        <v/>
      </c>
      <c r="R279" s="71" t="str">
        <f>'Stakeholder list'!S284</f>
        <v/>
      </c>
      <c r="S279" s="71" t="str">
        <f>'Stakeholder list'!T284</f>
        <v>—</v>
      </c>
      <c r="T279" s="71" t="str">
        <f>'Stakeholder list'!U284</f>
        <v/>
      </c>
      <c r="U279" s="71" t="str">
        <f>'Stakeholder list'!V284</f>
        <v/>
      </c>
      <c r="V279" s="71" t="str">
        <f>'Stakeholder list'!W284</f>
        <v/>
      </c>
      <c r="W279" s="71" t="str">
        <f>'Stakeholder list'!X284</f>
        <v/>
      </c>
    </row>
    <row r="280">
      <c r="A280" s="71">
        <f>'Stakeholder list'!B285</f>
        <v>279</v>
      </c>
      <c r="B280" s="71" t="str">
        <f>'Stakeholder list'!C285</f>
        <v>Programa de Aplicação de Tecnologias Apropriadas às Comunidades (PATAC)</v>
      </c>
      <c r="C280" s="71" t="str">
        <f>'Stakeholder list'!D285</f>
        <v>Civil Society Organization (CSO)</v>
      </c>
      <c r="D280" s="71" t="str">
        <f>'Stakeholder list'!E285</f>
        <v>Local implementers</v>
      </c>
      <c r="E280" s="71" t="str">
        <f>'Stakeholder list'!F285</f>
        <v>Civil society organization focused on disseminating appropriate/social technologies and strengthening family farming and agroecology, especially in semi-arid contexts—supporting climate resilience, food security, and inclusive AFOLU transitions.</v>
      </c>
      <c r="F280" s="71" t="str">
        <f>'Stakeholder list'!G285</f>
        <v>State-level</v>
      </c>
      <c r="G280" s="71" t="str">
        <f>'Stakeholder list'!H285</f>
        <v>"Land, Food and Forest"</v>
      </c>
      <c r="H280" s="71" t="str">
        <f>'Stakeholder list'!I285</f>
        <v>Caatinga</v>
      </c>
      <c r="I280" s="71" t="str">
        <f>'Stakeholder list'!J285</f>
        <v/>
      </c>
      <c r="J280" s="71" t="str">
        <f>'Stakeholder list'!K285</f>
        <v>It implemented social technologies and agroecology initiatives explicitly concentrated in Semi-arid territories linked to the Caatinga biome.</v>
      </c>
      <c r="K280" s="71" t="str">
        <f>'Stakeholder list'!L285</f>
        <v>Project developer / Implementer, Implementation capacity (delivery)</v>
      </c>
      <c r="L280" s="71" t="str">
        <f>'Stakeholder list'!M285</f>
        <v>Downstream</v>
      </c>
      <c r="M280" s="71" t="str">
        <f>'Stakeholder list'!N285</f>
        <v>Grant recipient</v>
      </c>
      <c r="N280" s="71" t="str">
        <f>'Stakeholder list'!O285</f>
        <v>Campina Grande, PB, Brazil</v>
      </c>
      <c r="O280" s="71" t="str">
        <f>'Stakeholder list'!P285</f>
        <v>Grantee</v>
      </c>
      <c r="P280" s="71" t="str">
        <f>'Stakeholder list'!Q285</f>
        <v/>
      </c>
      <c r="Q280" s="71" t="str">
        <f>'Stakeholder list'!R285</f>
        <v/>
      </c>
      <c r="R280" s="71" t="str">
        <f>'Stakeholder list'!S285</f>
        <v/>
      </c>
      <c r="S280" s="71" t="str">
        <f>'Stakeholder list'!T285</f>
        <v>—</v>
      </c>
      <c r="T280" s="71" t="str">
        <f>'Stakeholder list'!U285</f>
        <v/>
      </c>
      <c r="U280" s="71" t="str">
        <f>'Stakeholder list'!V285</f>
        <v/>
      </c>
      <c r="V280" s="71" t="str">
        <f>'Stakeholder list'!W285</f>
        <v/>
      </c>
      <c r="W280" s="71" t="str">
        <f>'Stakeholder list'!X285</f>
        <v/>
      </c>
    </row>
    <row r="281">
      <c r="A281" s="71">
        <f>'Stakeholder list'!B286</f>
        <v>280</v>
      </c>
      <c r="B281" s="71" t="str">
        <f>'Stakeholder list'!C286</f>
        <v>Instituto de Arquitetos do Brasil (IAB)</v>
      </c>
      <c r="C281" s="71" t="str">
        <f>'Stakeholder list'!D286</f>
        <v>Civil Society Organization (CSO)</v>
      </c>
      <c r="D281" s="71" t="str">
        <f>'Stakeholder list'!E286</f>
        <v>Industry platforms and sectoral initiatives</v>
      </c>
      <c r="E281" s="71" t="str">
        <f>'Stakeholder list'!F286</f>
        <v>National professional institute for architects; supports the buildings transition by advancing technical debate, professional practice standards, and advocacy for sustainable, low-carbon and climate-resilient architecture and urban development.</v>
      </c>
      <c r="F281" s="71" t="str">
        <f>'Stakeholder list'!G286</f>
        <v>National</v>
      </c>
      <c r="G281" s="71" t="str">
        <f>'Stakeholder list'!H286</f>
        <v>Buildings &amp; Transport</v>
      </c>
      <c r="H281" s="71" t="str">
        <f>'Stakeholder list'!I286</f>
        <v/>
      </c>
      <c r="I281" s="71" t="str">
        <f>'Stakeholder list'!J286</f>
        <v/>
      </c>
      <c r="J281" s="71" t="str">
        <f>'Stakeholder list'!K286</f>
        <v>No biome lens was assigned because it operated through professional standards and advocacy rather than biome-delimited initiatives.</v>
      </c>
      <c r="K281" s="71" t="str">
        <f>'Stakeholder list'!L286</f>
        <v>Technical assistance / research, Policy influence / regulation</v>
      </c>
      <c r="L281" s="71" t="str">
        <f>'Stakeholder list'!M286</f>
        <v>Upstream</v>
      </c>
      <c r="M281" s="71" t="str">
        <f>'Stakeholder list'!N286</f>
        <v>Grant recipient</v>
      </c>
      <c r="N281" s="71" t="str">
        <f>'Stakeholder list'!O286</f>
        <v>Rio de Janeiro, RJ, Brazil</v>
      </c>
      <c r="O281" s="71" t="str">
        <f>'Stakeholder list'!P286</f>
        <v>Grantee</v>
      </c>
      <c r="P281" s="71" t="str">
        <f>'Stakeholder list'!Q286</f>
        <v/>
      </c>
      <c r="Q281" s="71" t="str">
        <f>'Stakeholder list'!R286</f>
        <v/>
      </c>
      <c r="R281" s="71" t="str">
        <f>'Stakeholder list'!S286</f>
        <v/>
      </c>
      <c r="S281" s="71" t="str">
        <f>'Stakeholder list'!T286</f>
        <v>—</v>
      </c>
      <c r="T281" s="71" t="str">
        <f>'Stakeholder list'!U286</f>
        <v/>
      </c>
      <c r="U281" s="71" t="str">
        <f>'Stakeholder list'!V286</f>
        <v/>
      </c>
      <c r="V281" s="71" t="str">
        <f>'Stakeholder list'!W286</f>
        <v/>
      </c>
      <c r="W281" s="71" t="str">
        <f>'Stakeholder list'!X286</f>
        <v/>
      </c>
    </row>
    <row r="282">
      <c r="A282" s="71">
        <f>'Stakeholder list'!B287</f>
        <v>281</v>
      </c>
      <c r="B282" s="71" t="str">
        <f>'Stakeholder list'!C287</f>
        <v>Deutsche Gesellschaft für Internationale Zusammenarbeit (GIZ)</v>
      </c>
      <c r="C282" s="71" t="str">
        <f>'Stakeholder list'!D287</f>
        <v>Others</v>
      </c>
      <c r="D282" s="71" t="str">
        <f>'Stakeholder list'!E287</f>
        <v>Bilateral cooperation agencies</v>
      </c>
      <c r="E282" s="71" t="str">
        <f>'Stakeholder list'!F287</f>
        <v>German international cooperation agency; supports systemic transition by providing technical assistance, capacity building and policy support for energy transition, sustainable transport, resilient cities/buildings and AFOLU initiatives.</v>
      </c>
      <c r="F282" s="71" t="str">
        <f>'Stakeholder list'!G287</f>
        <v>Cross-border / international</v>
      </c>
      <c r="G282" s="71" t="str">
        <f>'Stakeholder list'!H287</f>
        <v>Buildings &amp; Transport, Energy, "Land, Food and Forest"</v>
      </c>
      <c r="H282" s="71" t="str">
        <f>'Stakeholder list'!I287</f>
        <v>Amazonia, Cerrado</v>
      </c>
      <c r="I282" s="71" t="str">
        <f>'Stakeholder list'!J287</f>
        <v/>
      </c>
      <c r="J282" s="71" t="str">
        <f>'Stakeholder list'!K287</f>
        <v>No biome lens was assigned because the entry described broad technical cooperation and did not specify a consistent, biome-delimited portfolio in Brazil within this mapping.</v>
      </c>
      <c r="K282" s="71" t="str">
        <f>'Stakeholder list'!L287</f>
        <v>Strategic partner, Technical assistance / research, Funder</v>
      </c>
      <c r="L282" s="71" t="str">
        <f>'Stakeholder list'!M287</f>
        <v>Midstream</v>
      </c>
      <c r="M282" s="71" t="str">
        <f>'Stakeholder list'!N287</f>
        <v>Co-funding partner</v>
      </c>
      <c r="N282" s="71" t="str">
        <f>'Stakeholder list'!O287</f>
        <v>Brasília, DF, Brazil</v>
      </c>
      <c r="O282" s="71" t="str">
        <f>'Stakeholder list'!P287</f>
        <v>Donor</v>
      </c>
      <c r="P282" s="71" t="str">
        <f>'Stakeholder list'!Q287</f>
        <v/>
      </c>
      <c r="Q282" s="71" t="str">
        <f>'Stakeholder list'!R287</f>
        <v/>
      </c>
      <c r="R282" s="71" t="str">
        <f>'Stakeholder list'!S287</f>
        <v/>
      </c>
      <c r="S282" s="71" t="str">
        <f>'Stakeholder list'!T287</f>
        <v>—</v>
      </c>
      <c r="T282" s="71" t="str">
        <f>'Stakeholder list'!U287</f>
        <v/>
      </c>
      <c r="U282" s="71" t="str">
        <f>'Stakeholder list'!V287</f>
        <v/>
      </c>
      <c r="V282" s="71" t="str">
        <f>'Stakeholder list'!W287</f>
        <v/>
      </c>
      <c r="W282" s="71" t="str">
        <f>'Stakeholder list'!X287</f>
        <v/>
      </c>
    </row>
    <row r="283">
      <c r="A283" s="71">
        <f>'Stakeholder list'!B288</f>
        <v>282</v>
      </c>
      <c r="B283" s="71" t="str">
        <f>'Stakeholder list'!C288</f>
        <v>Kreditanstalt für Wiederaufbau (KfW)</v>
      </c>
      <c r="C283" s="71" t="str">
        <f>'Stakeholder list'!D288</f>
        <v>Others</v>
      </c>
      <c r="D283" s="71" t="str">
        <f>'Stakeholder list'!E288</f>
        <v>Development banks</v>
      </c>
      <c r="E283" s="71" t="str">
        <f>'Stakeholder list'!F288</f>
        <v>German development bank; enables transition through concessional finance and blended-finance structures for renewable energy, urban infrastructure, sustainable land use and climate resilience.</v>
      </c>
      <c r="F283" s="71" t="str">
        <f>'Stakeholder list'!G288</f>
        <v>Cross-border / international</v>
      </c>
      <c r="G283" s="71" t="str">
        <f>'Stakeholder list'!H288</f>
        <v>Buildings &amp; Transport, Energy, "Land, Food and Forest"</v>
      </c>
      <c r="H283" s="71" t="str">
        <f>'Stakeholder list'!I288</f>
        <v>Amazonia</v>
      </c>
      <c r="I283" s="71" t="str">
        <f>'Stakeholder list'!J288</f>
        <v>Mata&amp;Atlântica</v>
      </c>
      <c r="J283" s="71" t="str">
        <f>'Stakeholder list'!K288</f>
        <v>No biome lens was assigned because financing operated across sectors and the mapping did not isolate a stable, biome-specific project portfolio for this entry.</v>
      </c>
      <c r="K283" s="71" t="str">
        <f>'Stakeholder list'!L288</f>
        <v>Capital provider / Financial intermediary, Strategic partner</v>
      </c>
      <c r="L283" s="71" t="str">
        <f>'Stakeholder list'!M288</f>
        <v>Midstream</v>
      </c>
      <c r="M283" s="71" t="str">
        <f>'Stakeholder list'!N288</f>
        <v>Co-funding partner</v>
      </c>
      <c r="N283" s="71" t="str">
        <f>'Stakeholder list'!O288</f>
        <v>Brasília, DF, Brazil</v>
      </c>
      <c r="O283" s="71" t="str">
        <f>'Stakeholder list'!P288</f>
        <v>Re-granter</v>
      </c>
      <c r="P283" s="71" t="str">
        <f>'Stakeholder list'!Q288</f>
        <v/>
      </c>
      <c r="Q283" s="71" t="str">
        <f>'Stakeholder list'!R288</f>
        <v/>
      </c>
      <c r="R283" s="71" t="str">
        <f>'Stakeholder list'!S288</f>
        <v/>
      </c>
      <c r="S283" s="71" t="str">
        <f>'Stakeholder list'!T288</f>
        <v>—</v>
      </c>
      <c r="T283" s="71" t="str">
        <f>'Stakeholder list'!U288</f>
        <v/>
      </c>
      <c r="U283" s="71" t="str">
        <f>'Stakeholder list'!V288</f>
        <v/>
      </c>
      <c r="V283" s="71" t="str">
        <f>'Stakeholder list'!W288</f>
        <v/>
      </c>
      <c r="W283" s="71" t="str">
        <f>'Stakeholder list'!X288</f>
        <v/>
      </c>
    </row>
    <row r="284">
      <c r="A284" s="71">
        <f>'Stakeholder list'!B289</f>
        <v>283</v>
      </c>
      <c r="B284" s="71" t="str">
        <f>'Stakeholder list'!C289</f>
        <v>Deutsche Investitions- und Entwicklungsgesellschaft (DEG)</v>
      </c>
      <c r="C284" s="71" t="str">
        <f>'Stakeholder list'!D289</f>
        <v>Others</v>
      </c>
      <c r="D284" s="71" t="str">
        <f>'Stakeholder list'!E289</f>
        <v>Development banks</v>
      </c>
      <c r="E284" s="71" t="str">
        <f>'Stakeholder list'!F289</f>
        <v>German development finance institution (DFI) focused on private-sector investment; supports transition by financing companies and projects aligned with decarbonization, sustainable value chains, and resilient infrastructure.</v>
      </c>
      <c r="F284" s="71" t="str">
        <f>'Stakeholder list'!G289</f>
        <v>Cross-border / international</v>
      </c>
      <c r="G284" s="71" t="str">
        <f>'Stakeholder list'!H289</f>
        <v>Buildings &amp; Transport, Energy, "Land, Food and Forest"</v>
      </c>
      <c r="H284" s="71" t="str">
        <f>'Stakeholder list'!I289</f>
        <v/>
      </c>
      <c r="I284" s="71" t="str">
        <f>'Stakeholder list'!J289</f>
        <v/>
      </c>
      <c r="J284" s="71" t="str">
        <f>'Stakeholder list'!K289</f>
        <v>No biome lens was assigned because investments were transaction-based and no consistent biome-delimited portfolio was identified in this mapping.</v>
      </c>
      <c r="K284" s="71" t="str">
        <f>'Stakeholder list'!L289</f>
        <v>Capital provider / Financial intermediary</v>
      </c>
      <c r="L284" s="71" t="str">
        <f>'Stakeholder list'!M289</f>
        <v>Midstream</v>
      </c>
      <c r="M284" s="71" t="str">
        <f>'Stakeholder list'!N289</f>
        <v>Co-funding partner</v>
      </c>
      <c r="N284" s="71" t="str">
        <f>'Stakeholder list'!O289</f>
        <v>São Paulo, SP, Brazil</v>
      </c>
      <c r="O284" s="71" t="str">
        <f>'Stakeholder list'!P289</f>
        <v>Re-granter</v>
      </c>
      <c r="P284" s="71" t="str">
        <f>'Stakeholder list'!Q289</f>
        <v/>
      </c>
      <c r="Q284" s="71" t="str">
        <f>'Stakeholder list'!R289</f>
        <v/>
      </c>
      <c r="R284" s="71" t="str">
        <f>'Stakeholder list'!S289</f>
        <v/>
      </c>
      <c r="S284" s="71" t="str">
        <f>'Stakeholder list'!T289</f>
        <v>—</v>
      </c>
      <c r="T284" s="71" t="str">
        <f>'Stakeholder list'!U289</f>
        <v/>
      </c>
      <c r="U284" s="71" t="str">
        <f>'Stakeholder list'!V289</f>
        <v/>
      </c>
      <c r="V284" s="71" t="str">
        <f>'Stakeholder list'!W289</f>
        <v/>
      </c>
      <c r="W284" s="71" t="str">
        <f>'Stakeholder list'!X289</f>
        <v/>
      </c>
    </row>
    <row r="285">
      <c r="A285" s="71">
        <f>'Stakeholder list'!B290</f>
        <v>284</v>
      </c>
      <c r="B285" s="71" t="str">
        <f>'Stakeholder list'!C290</f>
        <v>Agência Francesa de Desenvolvimento (AFD)</v>
      </c>
      <c r="C285" s="71" t="str">
        <f>'Stakeholder list'!D290</f>
        <v>Others</v>
      </c>
      <c r="D285" s="71" t="str">
        <f>'Stakeholder list'!E290</f>
        <v>Development banks</v>
      </c>
      <c r="E285" s="71" t="str">
        <f>'Stakeholder list'!F290</f>
        <v>French development agency; supports systemic transition via financing and policy support for climate, biodiversity, sustainable cities, transport decarbonization and resilient infrastructure.</v>
      </c>
      <c r="F285" s="71" t="str">
        <f>'Stakeholder list'!G290</f>
        <v>Cross-border / international</v>
      </c>
      <c r="G285" s="71" t="str">
        <f>'Stakeholder list'!H290</f>
        <v>Buildings &amp; Transport, Energy, "Land, Food and Forest"</v>
      </c>
      <c r="H285" s="71" t="str">
        <f>'Stakeholder list'!I290</f>
        <v/>
      </c>
      <c r="I285" s="71" t="str">
        <f>'Stakeholder list'!J290</f>
        <v/>
      </c>
      <c r="J285" s="71" t="str">
        <f>'Stakeholder list'!K290</f>
        <v>No biome lens was assigned because the entry did not specify a biome-delimited Brazil portfolio and support was described as cross-sectoral.</v>
      </c>
      <c r="K285" s="71" t="str">
        <f>'Stakeholder list'!L290</f>
        <v>Capital provider / Financial intermediary, Strategic partner</v>
      </c>
      <c r="L285" s="71" t="str">
        <f>'Stakeholder list'!M290</f>
        <v>Midstream</v>
      </c>
      <c r="M285" s="71" t="str">
        <f>'Stakeholder list'!N290</f>
        <v>Co-funding partner</v>
      </c>
      <c r="N285" s="71" t="str">
        <f>'Stakeholder list'!O290</f>
        <v>Brasília, DF, Brazil</v>
      </c>
      <c r="O285" s="71" t="str">
        <f>'Stakeholder list'!P290</f>
        <v>Re-granter</v>
      </c>
      <c r="P285" s="71" t="str">
        <f>'Stakeholder list'!Q290</f>
        <v/>
      </c>
      <c r="Q285" s="71" t="str">
        <f>'Stakeholder list'!R290</f>
        <v/>
      </c>
      <c r="R285" s="71" t="str">
        <f>'Stakeholder list'!S290</f>
        <v/>
      </c>
      <c r="S285" s="71" t="str">
        <f>'Stakeholder list'!T290</f>
        <v>—</v>
      </c>
      <c r="T285" s="71" t="str">
        <f>'Stakeholder list'!U290</f>
        <v/>
      </c>
      <c r="U285" s="71" t="str">
        <f>'Stakeholder list'!V290</f>
        <v/>
      </c>
      <c r="V285" s="71" t="str">
        <f>'Stakeholder list'!W290</f>
        <v/>
      </c>
      <c r="W285" s="71" t="str">
        <f>'Stakeholder list'!X290</f>
        <v/>
      </c>
    </row>
    <row r="286">
      <c r="A286" s="71">
        <f>'Stakeholder list'!B291</f>
        <v>285</v>
      </c>
      <c r="B286" s="71" t="str">
        <f>'Stakeholder list'!C291</f>
        <v>Proparco</v>
      </c>
      <c r="C286" s="71" t="str">
        <f>'Stakeholder list'!D291</f>
        <v>Others</v>
      </c>
      <c r="D286" s="71" t="str">
        <f>'Stakeholder list'!E291</f>
        <v>Development banks</v>
      </c>
      <c r="E286" s="71" t="str">
        <f>'Stakeholder list'!F291</f>
        <v>French DFI focused on private-sector operations; accelerates transition by financing businesses and financial institutions for renewable energy, sustainable infrastructure, and nature-positive value chains.</v>
      </c>
      <c r="F286" s="71" t="str">
        <f>'Stakeholder list'!G291</f>
        <v>Cross-border / international</v>
      </c>
      <c r="G286" s="71" t="str">
        <f>'Stakeholder list'!H291</f>
        <v>Buildings &amp; Transport, Energy, "Land, Food and Forest"</v>
      </c>
      <c r="H286" s="71" t="str">
        <f>'Stakeholder list'!I291</f>
        <v/>
      </c>
      <c r="I286" s="71" t="str">
        <f>'Stakeholder list'!J291</f>
        <v/>
      </c>
      <c r="J286" s="71" t="str">
        <f>'Stakeholder list'!K291</f>
        <v>No biome lens was assigned because the mapping did not confirm a stable biome-delimited investment portfolio for this entry.</v>
      </c>
      <c r="K286" s="71" t="str">
        <f>'Stakeholder list'!L291</f>
        <v>Capital provider / Financial intermediary</v>
      </c>
      <c r="L286" s="71" t="str">
        <f>'Stakeholder list'!M291</f>
        <v>Midstream</v>
      </c>
      <c r="M286" s="71" t="str">
        <f>'Stakeholder list'!N291</f>
        <v>Co-funding partner</v>
      </c>
      <c r="N286" s="71" t="str">
        <f>'Stakeholder list'!O291</f>
        <v>Brasília, DF, Brazil</v>
      </c>
      <c r="O286" s="71" t="str">
        <f>'Stakeholder list'!P291</f>
        <v>Re-granter</v>
      </c>
      <c r="P286" s="71" t="str">
        <f>'Stakeholder list'!Q291</f>
        <v/>
      </c>
      <c r="Q286" s="71" t="str">
        <f>'Stakeholder list'!R291</f>
        <v/>
      </c>
      <c r="R286" s="71" t="str">
        <f>'Stakeholder list'!S291</f>
        <v/>
      </c>
      <c r="S286" s="71" t="str">
        <f>'Stakeholder list'!T291</f>
        <v>—</v>
      </c>
      <c r="T286" s="71" t="str">
        <f>'Stakeholder list'!U291</f>
        <v/>
      </c>
      <c r="U286" s="71" t="str">
        <f>'Stakeholder list'!V291</f>
        <v/>
      </c>
      <c r="V286" s="71" t="str">
        <f>'Stakeholder list'!W291</f>
        <v/>
      </c>
      <c r="W286" s="71" t="str">
        <f>'Stakeholder list'!X291</f>
        <v/>
      </c>
    </row>
    <row r="287">
      <c r="A287" s="71">
        <f>'Stakeholder list'!B292</f>
        <v>286</v>
      </c>
      <c r="B287" s="71" t="str">
        <f>'Stakeholder list'!C292</f>
        <v>Expertise France</v>
      </c>
      <c r="C287" s="71" t="str">
        <f>'Stakeholder list'!D292</f>
        <v>Others</v>
      </c>
      <c r="D287" s="71" t="str">
        <f>'Stakeholder list'!E292</f>
        <v>Bilateral cooperation agencies</v>
      </c>
      <c r="E287" s="71" t="str">
        <f>'Stakeholder list'!F292</f>
        <v>French technical cooperation agency; supports transition by implementing technical assistance and institutional strengthening in climate policy, energy, sustainable mobility, urban development and territorial governance.</v>
      </c>
      <c r="F287" s="71" t="str">
        <f>'Stakeholder list'!G292</f>
        <v>Cross-border / international</v>
      </c>
      <c r="G287" s="71" t="str">
        <f>'Stakeholder list'!H292</f>
        <v>Buildings &amp; Transport, Energy, "Land, Food and Forest"</v>
      </c>
      <c r="H287" s="71" t="str">
        <f>'Stakeholder list'!I292</f>
        <v/>
      </c>
      <c r="I287" s="71" t="str">
        <f>'Stakeholder list'!J292</f>
        <v/>
      </c>
      <c r="J287" s="71" t="str">
        <f>'Stakeholder list'!K292</f>
        <v>No biome lens was assigned because the mapping did not confirm a consistent biome-delimited Brazil implementation portfolio for this entry.</v>
      </c>
      <c r="K287" s="71" t="str">
        <f>'Stakeholder list'!L292</f>
        <v>Technical assistance / research, Project developer / Implementer</v>
      </c>
      <c r="L287" s="71" t="str">
        <f>'Stakeholder list'!M292</f>
        <v>Midstream</v>
      </c>
      <c r="M287" s="71" t="str">
        <f>'Stakeholder list'!N292</f>
        <v>Co-funding partner</v>
      </c>
      <c r="N287" s="71" t="str">
        <f>'Stakeholder list'!O292</f>
        <v>Brasília, DF, Brazil</v>
      </c>
      <c r="O287" s="71" t="str">
        <f>'Stakeholder list'!P292</f>
        <v>Grantee</v>
      </c>
      <c r="P287" s="71" t="str">
        <f>'Stakeholder list'!Q292</f>
        <v/>
      </c>
      <c r="Q287" s="71" t="str">
        <f>'Stakeholder list'!R292</f>
        <v/>
      </c>
      <c r="R287" s="71" t="str">
        <f>'Stakeholder list'!S292</f>
        <v/>
      </c>
      <c r="S287" s="71" t="str">
        <f>'Stakeholder list'!T292</f>
        <v>—</v>
      </c>
      <c r="T287" s="71" t="str">
        <f>'Stakeholder list'!U292</f>
        <v/>
      </c>
      <c r="U287" s="71" t="str">
        <f>'Stakeholder list'!V292</f>
        <v/>
      </c>
      <c r="V287" s="71" t="str">
        <f>'Stakeholder list'!W292</f>
        <v/>
      </c>
      <c r="W287" s="71" t="str">
        <f>'Stakeholder list'!X292</f>
        <v/>
      </c>
    </row>
    <row r="288">
      <c r="A288" s="71">
        <f>'Stakeholder list'!B293</f>
        <v>287</v>
      </c>
      <c r="B288" s="71" t="str">
        <f>'Stakeholder list'!C293</f>
        <v>Agência de Cooperação Internacional do Japão (JICA)</v>
      </c>
      <c r="C288" s="71" t="str">
        <f>'Stakeholder list'!D293</f>
        <v>Others</v>
      </c>
      <c r="D288" s="71" t="str">
        <f>'Stakeholder list'!E293</f>
        <v>Bilateral cooperation agencies</v>
      </c>
      <c r="E288" s="71" t="str">
        <f>'Stakeholder list'!F293</f>
        <v>Japanese cooperation agency; supports transition through technical cooperation and financing windows for low-carbon energy, resilient infrastructure, disaster-risk management, sustainable transport and environmental governance.</v>
      </c>
      <c r="F288" s="71" t="str">
        <f>'Stakeholder list'!G293</f>
        <v>Cross-border / international</v>
      </c>
      <c r="G288" s="71" t="str">
        <f>'Stakeholder list'!H293</f>
        <v>Buildings &amp; Transport, Energy, "Land, Food and Forest"</v>
      </c>
      <c r="H288" s="71" t="str">
        <f>'Stakeholder list'!I293</f>
        <v/>
      </c>
      <c r="I288" s="71" t="str">
        <f>'Stakeholder list'!J293</f>
        <v/>
      </c>
      <c r="J288" s="71" t="str">
        <f>'Stakeholder list'!K293</f>
        <v>No biome lens was assigned because the entry did not specify a stable biome-delimited portfolio in Brazil within this mapping.</v>
      </c>
      <c r="K288" s="71" t="str">
        <f>'Stakeholder list'!L293</f>
        <v>Capital provider / Financial intermediary, Strategic partner</v>
      </c>
      <c r="L288" s="71" t="str">
        <f>'Stakeholder list'!M293</f>
        <v>Midstream</v>
      </c>
      <c r="M288" s="71" t="str">
        <f>'Stakeholder list'!N293</f>
        <v>Co-funding partner</v>
      </c>
      <c r="N288" s="71" t="str">
        <f>'Stakeholder list'!O293</f>
        <v>Brasília, DF, Brazil</v>
      </c>
      <c r="O288" s="71" t="str">
        <f>'Stakeholder list'!P293</f>
        <v>Re-granter</v>
      </c>
      <c r="P288" s="71" t="str">
        <f>'Stakeholder list'!Q293</f>
        <v/>
      </c>
      <c r="Q288" s="71" t="str">
        <f>'Stakeholder list'!R293</f>
        <v/>
      </c>
      <c r="R288" s="71" t="str">
        <f>'Stakeholder list'!S293</f>
        <v/>
      </c>
      <c r="S288" s="71" t="str">
        <f>'Stakeholder list'!T293</f>
        <v>—</v>
      </c>
      <c r="T288" s="71" t="str">
        <f>'Stakeholder list'!U293</f>
        <v/>
      </c>
      <c r="U288" s="71" t="str">
        <f>'Stakeholder list'!V293</f>
        <v/>
      </c>
      <c r="V288" s="71" t="str">
        <f>'Stakeholder list'!W293</f>
        <v/>
      </c>
      <c r="W288" s="71" t="str">
        <f>'Stakeholder list'!X293</f>
        <v/>
      </c>
    </row>
    <row r="289">
      <c r="A289" s="71">
        <f>'Stakeholder list'!B294</f>
        <v>288</v>
      </c>
      <c r="B289" s="71" t="str">
        <f>'Stakeholder list'!C294</f>
        <v>Agência de Cooperação Internacional da Coreia (KOICA)</v>
      </c>
      <c r="C289" s="71" t="str">
        <f>'Stakeholder list'!D294</f>
        <v>Others</v>
      </c>
      <c r="D289" s="71" t="str">
        <f>'Stakeholder list'!E294</f>
        <v>Bilateral cooperation agencies</v>
      </c>
      <c r="E289" s="71" t="str">
        <f>'Stakeholder list'!F294</f>
        <v>Korean cooperation agency; supports systemic transition via grants and technical assistance for climate solutions, sustainable cities, clean energy, and inclusive development.</v>
      </c>
      <c r="F289" s="71" t="str">
        <f>'Stakeholder list'!G294</f>
        <v>Cross-border / international</v>
      </c>
      <c r="G289" s="71" t="str">
        <f>'Stakeholder list'!H294</f>
        <v>Buildings &amp; Transport, Energy, "Land, Food and Forest"</v>
      </c>
      <c r="H289" s="71" t="str">
        <f>'Stakeholder list'!I294</f>
        <v/>
      </c>
      <c r="I289" s="71" t="str">
        <f>'Stakeholder list'!J294</f>
        <v/>
      </c>
      <c r="J289" s="71" t="str">
        <f>'Stakeholder list'!K294</f>
        <v>No biome lens was assigned because the entry described broad cooperation and did not identify biome-delimited projects in Brazil for classification.</v>
      </c>
      <c r="K289" s="71" t="str">
        <f>'Stakeholder list'!L294</f>
        <v>Funder, Project developer / Implementer</v>
      </c>
      <c r="L289" s="71" t="str">
        <f>'Stakeholder list'!M294</f>
        <v>Midstream</v>
      </c>
      <c r="M289" s="71" t="str">
        <f>'Stakeholder list'!N294</f>
        <v>Co-funding partner</v>
      </c>
      <c r="N289" s="71" t="str">
        <f>'Stakeholder list'!O294</f>
        <v>Brasília, DF, Brazil</v>
      </c>
      <c r="O289" s="71" t="str">
        <f>'Stakeholder list'!P294</f>
        <v>Donor</v>
      </c>
      <c r="P289" s="71" t="str">
        <f>'Stakeholder list'!Q294</f>
        <v/>
      </c>
      <c r="Q289" s="71" t="str">
        <f>'Stakeholder list'!R294</f>
        <v/>
      </c>
      <c r="R289" s="71" t="str">
        <f>'Stakeholder list'!S294</f>
        <v/>
      </c>
      <c r="S289" s="71" t="str">
        <f>'Stakeholder list'!T294</f>
        <v>—</v>
      </c>
      <c r="T289" s="71" t="str">
        <f>'Stakeholder list'!U294</f>
        <v/>
      </c>
      <c r="U289" s="71" t="str">
        <f>'Stakeholder list'!V294</f>
        <v/>
      </c>
      <c r="V289" s="71" t="str">
        <f>'Stakeholder list'!W294</f>
        <v/>
      </c>
      <c r="W289" s="71" t="str">
        <f>'Stakeholder list'!X294</f>
        <v/>
      </c>
    </row>
    <row r="290">
      <c r="A290" s="71">
        <f>'Stakeholder list'!B295</f>
        <v>289</v>
      </c>
      <c r="B290" s="71" t="str">
        <f>'Stakeholder list'!C295</f>
        <v>Agência Espanhola de Cooperação Internacional para o Desenvolvimento (AECID)</v>
      </c>
      <c r="C290" s="71" t="str">
        <f>'Stakeholder list'!D295</f>
        <v>Others</v>
      </c>
      <c r="D290" s="71" t="str">
        <f>'Stakeholder list'!E295</f>
        <v>Bilateral cooperation agencies</v>
      </c>
      <c r="E290" s="71" t="str">
        <f>'Stakeholder list'!F295</f>
        <v>Spanish cooperation agency; contributes through grants and technical cooperation that strengthen institutions and implement programs aligned with climate resilience, sustainable urban systems and inclusive territorial development.</v>
      </c>
      <c r="F290" s="71" t="str">
        <f>'Stakeholder list'!G295</f>
        <v>Cross-border / international</v>
      </c>
      <c r="G290" s="71" t="str">
        <f>'Stakeholder list'!H295</f>
        <v>Buildings &amp; Transport, Energy, "Land, Food and Forest"</v>
      </c>
      <c r="H290" s="71" t="str">
        <f>'Stakeholder list'!I295</f>
        <v/>
      </c>
      <c r="I290" s="71" t="str">
        <f>'Stakeholder list'!J295</f>
        <v/>
      </c>
      <c r="J290" s="71" t="str">
        <f>'Stakeholder list'!K295</f>
        <v>No biome lens was assigned because a specific biome-delimited Brazil portfolio was not identified for this entry in the mapping.</v>
      </c>
      <c r="K290" s="71" t="str">
        <f>'Stakeholder list'!L295</f>
        <v>Funder, Project developer / Implementer</v>
      </c>
      <c r="L290" s="71" t="str">
        <f>'Stakeholder list'!M295</f>
        <v>Midstream</v>
      </c>
      <c r="M290" s="71" t="str">
        <f>'Stakeholder list'!N295</f>
        <v>Co-funding partner</v>
      </c>
      <c r="N290" s="71" t="str">
        <f>'Stakeholder list'!O295</f>
        <v>Brasília, DF, Brazil</v>
      </c>
      <c r="O290" s="71" t="str">
        <f>'Stakeholder list'!P295</f>
        <v>Donor</v>
      </c>
      <c r="P290" s="71" t="str">
        <f>'Stakeholder list'!Q295</f>
        <v/>
      </c>
      <c r="Q290" s="71" t="str">
        <f>'Stakeholder list'!R295</f>
        <v/>
      </c>
      <c r="R290" s="71" t="str">
        <f>'Stakeholder list'!S295</f>
        <v/>
      </c>
      <c r="S290" s="71" t="str">
        <f>'Stakeholder list'!T295</f>
        <v>—</v>
      </c>
      <c r="T290" s="71" t="str">
        <f>'Stakeholder list'!U295</f>
        <v/>
      </c>
      <c r="U290" s="71" t="str">
        <f>'Stakeholder list'!V295</f>
        <v/>
      </c>
      <c r="V290" s="71" t="str">
        <f>'Stakeholder list'!W295</f>
        <v/>
      </c>
      <c r="W290" s="71" t="str">
        <f>'Stakeholder list'!X295</f>
        <v/>
      </c>
    </row>
    <row r="291">
      <c r="A291" s="71">
        <f>'Stakeholder list'!B296</f>
        <v>290</v>
      </c>
      <c r="B291" s="71" t="str">
        <f>'Stakeholder list'!C296</f>
        <v>Agência Italiana de Cooperação para o Desenvolvimento (AICS)</v>
      </c>
      <c r="C291" s="71" t="str">
        <f>'Stakeholder list'!D296</f>
        <v>Others</v>
      </c>
      <c r="D291" s="71" t="str">
        <f>'Stakeholder list'!E296</f>
        <v>Bilateral cooperation agencies</v>
      </c>
      <c r="E291" s="71" t="str">
        <f>'Stakeholder list'!F296</f>
        <v>Italian cooperation agency; supports transition by funding and implementing development programs that can include climate adaptation, sustainable agriculture, resilient infrastructure and inclusive local development.</v>
      </c>
      <c r="F291" s="71" t="str">
        <f>'Stakeholder list'!G296</f>
        <v>Cross-border / international</v>
      </c>
      <c r="G291" s="71" t="str">
        <f>'Stakeholder list'!H296</f>
        <v>Buildings &amp; Transport, Energy, "Land, Food and Forest"</v>
      </c>
      <c r="H291" s="71" t="str">
        <f>'Stakeholder list'!I296</f>
        <v/>
      </c>
      <c r="I291" s="71" t="str">
        <f>'Stakeholder list'!J296</f>
        <v/>
      </c>
      <c r="J291" s="71" t="str">
        <f>'Stakeholder list'!K296</f>
        <v>No biome lens was assigned because the entry did not confirm publicly identifiable, biome-delimited implementation in Brazil for classification.</v>
      </c>
      <c r="K291" s="71" t="str">
        <f>'Stakeholder list'!L296</f>
        <v>Funder, Project developer / Implementer</v>
      </c>
      <c r="L291" s="71" t="str">
        <f>'Stakeholder list'!M296</f>
        <v>Midstream</v>
      </c>
      <c r="M291" s="71" t="str">
        <f>'Stakeholder list'!N296</f>
        <v>Co-funding partner</v>
      </c>
      <c r="N291" s="71" t="str">
        <f>'Stakeholder list'!O296</f>
        <v>Brasília, DF, Brazil</v>
      </c>
      <c r="O291" s="71" t="str">
        <f>'Stakeholder list'!P296</f>
        <v>Donor</v>
      </c>
      <c r="P291" s="71" t="str">
        <f>'Stakeholder list'!Q296</f>
        <v/>
      </c>
      <c r="Q291" s="71" t="str">
        <f>'Stakeholder list'!R296</f>
        <v/>
      </c>
      <c r="R291" s="71" t="str">
        <f>'Stakeholder list'!S296</f>
        <v/>
      </c>
      <c r="S291" s="71" t="str">
        <f>'Stakeholder list'!T296</f>
        <v>—</v>
      </c>
      <c r="T291" s="71" t="str">
        <f>'Stakeholder list'!U296</f>
        <v/>
      </c>
      <c r="U291" s="71" t="str">
        <f>'Stakeholder list'!V296</f>
        <v/>
      </c>
      <c r="V291" s="71" t="str">
        <f>'Stakeholder list'!W296</f>
        <v/>
      </c>
      <c r="W291" s="71" t="str">
        <f>'Stakeholder list'!X296</f>
        <v/>
      </c>
    </row>
    <row r="292">
      <c r="A292" s="71">
        <f>'Stakeholder list'!B297</f>
        <v>291</v>
      </c>
      <c r="B292" s="71" t="str">
        <f>'Stakeholder list'!C297</f>
        <v>Agência Suíça para o Desenvolvimento e Cooperação (COSUDE)</v>
      </c>
      <c r="C292" s="71" t="str">
        <f>'Stakeholder list'!D297</f>
        <v>Others</v>
      </c>
      <c r="D292" s="71" t="str">
        <f>'Stakeholder list'!E297</f>
        <v>Bilateral cooperation agencies</v>
      </c>
      <c r="E292" s="71" t="str">
        <f>'Stakeholder list'!F297</f>
        <v>Swiss cooperation agency; supports systemic transition via technical cooperation and grants focused on climate resilience, natural resources governance, sustainable value chains and inclusive development.</v>
      </c>
      <c r="F292" s="71" t="str">
        <f>'Stakeholder list'!G297</f>
        <v>Cross-border / international</v>
      </c>
      <c r="G292" s="71" t="str">
        <f>'Stakeholder list'!H297</f>
        <v>Emergency response, "Land, Food and Forest"</v>
      </c>
      <c r="H292" s="71" t="str">
        <f>'Stakeholder list'!I297</f>
        <v/>
      </c>
      <c r="I292" s="71" t="str">
        <f>'Stakeholder list'!J297</f>
        <v/>
      </c>
      <c r="J292" s="71" t="str">
        <f>'Stakeholder list'!K297</f>
        <v>No biome lens was assigned because the mapping did not confirm a stable biome-delimited Brazil portfolio for this entry.</v>
      </c>
      <c r="K292" s="71" t="str">
        <f>'Stakeholder list'!L297</f>
        <v>Funder, Strategic partner</v>
      </c>
      <c r="L292" s="71" t="str">
        <f>'Stakeholder list'!M297</f>
        <v>Midstream</v>
      </c>
      <c r="M292" s="71" t="str">
        <f>'Stakeholder list'!N297</f>
        <v>Co-funding partner</v>
      </c>
      <c r="N292" s="71" t="str">
        <f>'Stakeholder list'!O297</f>
        <v>Brasília, DF, Brazil</v>
      </c>
      <c r="O292" s="71" t="str">
        <f>'Stakeholder list'!P297</f>
        <v>Donor</v>
      </c>
      <c r="P292" s="71" t="str">
        <f>'Stakeholder list'!Q297</f>
        <v/>
      </c>
      <c r="Q292" s="71" t="str">
        <f>'Stakeholder list'!R297</f>
        <v/>
      </c>
      <c r="R292" s="71" t="str">
        <f>'Stakeholder list'!S297</f>
        <v/>
      </c>
      <c r="S292" s="71" t="str">
        <f>'Stakeholder list'!T297</f>
        <v>—</v>
      </c>
      <c r="T292" s="71" t="str">
        <f>'Stakeholder list'!U297</f>
        <v/>
      </c>
      <c r="U292" s="71" t="str">
        <f>'Stakeholder list'!V297</f>
        <v/>
      </c>
      <c r="V292" s="71" t="str">
        <f>'Stakeholder list'!W297</f>
        <v/>
      </c>
      <c r="W292" s="71" t="str">
        <f>'Stakeholder list'!X297</f>
        <v/>
      </c>
    </row>
    <row r="293">
      <c r="A293" s="71">
        <f>'Stakeholder list'!B298</f>
        <v>292</v>
      </c>
      <c r="B293" s="71" t="str">
        <f>'Stakeholder list'!C298</f>
        <v>Agência Sueca de Cooperação para o Desenvolvimento Internacional (Sida)</v>
      </c>
      <c r="C293" s="71" t="str">
        <f>'Stakeholder list'!D298</f>
        <v>Others</v>
      </c>
      <c r="D293" s="71" t="str">
        <f>'Stakeholder list'!E298</f>
        <v>Bilateral cooperation agencies</v>
      </c>
      <c r="E293" s="71" t="str">
        <f>'Stakeholder list'!F298</f>
        <v>Swedish development agency; contributes through grants and partnerships strengthening climate action, democratic governance and inclusive, sustainable development—including nature and land-use agendas.</v>
      </c>
      <c r="F293" s="71" t="str">
        <f>'Stakeholder list'!G298</f>
        <v>Cross-border / international</v>
      </c>
      <c r="G293" s="71" t="str">
        <f>'Stakeholder list'!H298</f>
        <v>Energy, "Land, Food and Forest"</v>
      </c>
      <c r="H293" s="71" t="str">
        <f>'Stakeholder list'!I298</f>
        <v/>
      </c>
      <c r="I293" s="71" t="str">
        <f>'Stakeholder list'!J298</f>
        <v/>
      </c>
      <c r="J293" s="71" t="str">
        <f>'Stakeholder list'!K298</f>
        <v>No biome lens was assigned because the entry described broad grantmaking/partnerships and did not identify biome-delimited implementation in Brazil for this mapping.</v>
      </c>
      <c r="K293" s="71" t="str">
        <f>'Stakeholder list'!L298</f>
        <v>Funder, Strategic partner</v>
      </c>
      <c r="L293" s="71" t="str">
        <f>'Stakeholder list'!M298</f>
        <v>Upstream</v>
      </c>
      <c r="M293" s="71" t="str">
        <f>'Stakeholder list'!N298</f>
        <v>Co-funding partner</v>
      </c>
      <c r="N293" s="71" t="str">
        <f>'Stakeholder list'!O298</f>
        <v>Brasília, DF, Brazil</v>
      </c>
      <c r="O293" s="71" t="str">
        <f>'Stakeholder list'!P298</f>
        <v>Donor</v>
      </c>
      <c r="P293" s="71" t="str">
        <f>'Stakeholder list'!Q298</f>
        <v/>
      </c>
      <c r="Q293" s="71" t="str">
        <f>'Stakeholder list'!R298</f>
        <v/>
      </c>
      <c r="R293" s="71" t="str">
        <f>'Stakeholder list'!S298</f>
        <v/>
      </c>
      <c r="S293" s="71" t="str">
        <f>'Stakeholder list'!T298</f>
        <v>—</v>
      </c>
      <c r="T293" s="71" t="str">
        <f>'Stakeholder list'!U298</f>
        <v/>
      </c>
      <c r="U293" s="71" t="str">
        <f>'Stakeholder list'!V298</f>
        <v/>
      </c>
      <c r="V293" s="71" t="str">
        <f>'Stakeholder list'!W298</f>
        <v/>
      </c>
      <c r="W293" s="71" t="str">
        <f>'Stakeholder list'!X298</f>
        <v/>
      </c>
    </row>
    <row r="294">
      <c r="A294" s="71">
        <f>'Stakeholder list'!B299</f>
        <v>293</v>
      </c>
      <c r="B294" s="71" t="str">
        <f>'Stakeholder list'!C299</f>
        <v>Agência Dinamarquesa para o Desenvolvimento Internacional (DANIDA)</v>
      </c>
      <c r="C294" s="71" t="str">
        <f>'Stakeholder list'!D299</f>
        <v>Others</v>
      </c>
      <c r="D294" s="71" t="str">
        <f>'Stakeholder list'!E299</f>
        <v>Bilateral cooperation agencies</v>
      </c>
      <c r="E294" s="71" t="str">
        <f>'Stakeholder list'!F299</f>
        <v>Danish development cooperation; supports transition through financing and technical assistance for climate mitigation/adaptation, clean energy, resilient infrastructure and sustainable development programs.</v>
      </c>
      <c r="F294" s="71" t="str">
        <f>'Stakeholder list'!G299</f>
        <v>Cross-border / international</v>
      </c>
      <c r="G294" s="71" t="str">
        <f>'Stakeholder list'!H299</f>
        <v>Energy, "Land, Food and Forest"</v>
      </c>
      <c r="H294" s="71" t="str">
        <f>'Stakeholder list'!I299</f>
        <v/>
      </c>
      <c r="I294" s="71" t="str">
        <f>'Stakeholder list'!J299</f>
        <v/>
      </c>
      <c r="J294" s="71" t="str">
        <f>'Stakeholder list'!K299</f>
        <v>No biome lens was assigned because a Brazil-facing, biome-delimited portfolio was not confirmed in this mapping entry.</v>
      </c>
      <c r="K294" s="71" t="str">
        <f>'Stakeholder list'!L299</f>
        <v>Funder, Strategic partner</v>
      </c>
      <c r="L294" s="71" t="str">
        <f>'Stakeholder list'!M299</f>
        <v>Upstream</v>
      </c>
      <c r="M294" s="71" t="str">
        <f>'Stakeholder list'!N299</f>
        <v>Co-funding partner</v>
      </c>
      <c r="N294" s="71" t="str">
        <f>'Stakeholder list'!O299</f>
        <v>Brasília, DF, Brazil</v>
      </c>
      <c r="O294" s="71" t="str">
        <f>'Stakeholder list'!P299</f>
        <v>Donor</v>
      </c>
      <c r="P294" s="71" t="str">
        <f>'Stakeholder list'!Q299</f>
        <v/>
      </c>
      <c r="Q294" s="71" t="str">
        <f>'Stakeholder list'!R299</f>
        <v/>
      </c>
      <c r="R294" s="71" t="str">
        <f>'Stakeholder list'!S299</f>
        <v/>
      </c>
      <c r="S294" s="71" t="str">
        <f>'Stakeholder list'!T299</f>
        <v>—</v>
      </c>
      <c r="T294" s="71" t="str">
        <f>'Stakeholder list'!U299</f>
        <v/>
      </c>
      <c r="U294" s="71" t="str">
        <f>'Stakeholder list'!V299</f>
        <v/>
      </c>
      <c r="V294" s="71" t="str">
        <f>'Stakeholder list'!W299</f>
        <v/>
      </c>
      <c r="W294" s="71" t="str">
        <f>'Stakeholder list'!X299</f>
        <v/>
      </c>
    </row>
    <row r="295">
      <c r="A295" s="71">
        <f>'Stakeholder list'!B300</f>
        <v>294</v>
      </c>
      <c r="B295" s="71" t="str">
        <f>'Stakeholder list'!C300</f>
        <v>Agência Norueguesa de Cooperação para o Desenvolvimento (Norad)</v>
      </c>
      <c r="C295" s="71" t="str">
        <f>'Stakeholder list'!D300</f>
        <v>Others</v>
      </c>
      <c r="D295" s="71" t="str">
        <f>'Stakeholder list'!E300</f>
        <v>Bilateral cooperation agencies</v>
      </c>
      <c r="E295" s="71" t="str">
        <f>'Stakeholder list'!F300</f>
        <v>Norwegian development cooperation agency; supports systemic transition via funding and oversight of programs related to climate, forests, renewable energy and inclusive development.</v>
      </c>
      <c r="F295" s="71" t="str">
        <f>'Stakeholder list'!G300</f>
        <v>Cross-border / international</v>
      </c>
      <c r="G295" s="71" t="str">
        <f>'Stakeholder list'!H300</f>
        <v>Energy, "Land, Food and Forest"</v>
      </c>
      <c r="H295" s="71" t="str">
        <f>'Stakeholder list'!I300</f>
        <v>Amazonia, Cerrado</v>
      </c>
      <c r="I295" s="71" t="str">
        <f>'Stakeholder list'!J300</f>
        <v/>
      </c>
      <c r="J295" s="71" t="str">
        <f>'Stakeholder list'!K300</f>
        <v>It supported forest and climate programming most visibly associated with Amazon protection and it also engaged land-use governance agendas connected to the Cerrado.</v>
      </c>
      <c r="K295" s="71" t="str">
        <f>'Stakeholder list'!L300</f>
        <v>Funder, Strategic partner</v>
      </c>
      <c r="L295" s="71" t="str">
        <f>'Stakeholder list'!M300</f>
        <v>Upstream</v>
      </c>
      <c r="M295" s="71" t="str">
        <f>'Stakeholder list'!N300</f>
        <v>Co-funding partner</v>
      </c>
      <c r="N295" s="71" t="str">
        <f>'Stakeholder list'!O300</f>
        <v>Brasília, DF, Brazil</v>
      </c>
      <c r="O295" s="71" t="str">
        <f>'Stakeholder list'!P300</f>
        <v>Donor</v>
      </c>
      <c r="P295" s="71" t="str">
        <f>'Stakeholder list'!Q300</f>
        <v/>
      </c>
      <c r="Q295" s="71" t="str">
        <f>'Stakeholder list'!R300</f>
        <v/>
      </c>
      <c r="R295" s="71" t="str">
        <f>'Stakeholder list'!S300</f>
        <v/>
      </c>
      <c r="S295" s="71" t="str">
        <f>'Stakeholder list'!T300</f>
        <v>—</v>
      </c>
      <c r="T295" s="71" t="str">
        <f>'Stakeholder list'!U300</f>
        <v/>
      </c>
      <c r="U295" s="71" t="str">
        <f>'Stakeholder list'!V300</f>
        <v/>
      </c>
      <c r="V295" s="71" t="str">
        <f>'Stakeholder list'!W300</f>
        <v/>
      </c>
      <c r="W295" s="71" t="str">
        <f>'Stakeholder list'!X300</f>
        <v/>
      </c>
    </row>
    <row r="296">
      <c r="A296" s="71">
        <f>'Stakeholder list'!B301</f>
        <v>295</v>
      </c>
      <c r="B296" s="71" t="str">
        <f>'Stakeholder list'!C301</f>
        <v>Iniciativa Internacional de Clima e Florestas da Noruega (NICFI)</v>
      </c>
      <c r="C296" s="71" t="str">
        <f>'Stakeholder list'!D301</f>
        <v>Others</v>
      </c>
      <c r="D296" s="71" t="str">
        <f>'Stakeholder list'!E301</f>
        <v>Bilateral cooperation agencies</v>
      </c>
      <c r="E296" s="71" t="str">
        <f>'Stakeholder list'!F301</f>
        <v>Norwegian international initiative focused on climate and forests; supports AFOLU transition by financing forest conservation, deforestation reduction and partnerships that strengthen governance and results-based approaches.</v>
      </c>
      <c r="F296" s="71" t="str">
        <f>'Stakeholder list'!G301</f>
        <v>Cross-border / international</v>
      </c>
      <c r="G296" s="71" t="str">
        <f>'Stakeholder list'!H301</f>
        <v>"Land, Food and Forest"</v>
      </c>
      <c r="H296" s="71" t="str">
        <f>'Stakeholder list'!I301</f>
        <v>Amazonia, Cerrado</v>
      </c>
      <c r="I296" s="71" t="str">
        <f>'Stakeholder list'!J301</f>
        <v/>
      </c>
      <c r="J296" s="71" t="str">
        <f>'Stakeholder list'!K301</f>
        <v>It financed large-scale forest and deforestation-reduction efforts most consistently linked to the Amazon and it also supported forest-positive agendas relevant to the Cerrado frontier.</v>
      </c>
      <c r="K296" s="71" t="str">
        <f>'Stakeholder list'!L301</f>
        <v>Funder, Strategic partner</v>
      </c>
      <c r="L296" s="71" t="str">
        <f>'Stakeholder list'!M301</f>
        <v>Upstream</v>
      </c>
      <c r="M296" s="71" t="str">
        <f>'Stakeholder list'!N301</f>
        <v>Co-funding partner</v>
      </c>
      <c r="N296" s="71" t="str">
        <f>'Stakeholder list'!O301</f>
        <v>Oslo, Norway</v>
      </c>
      <c r="O296" s="71" t="str">
        <f>'Stakeholder list'!P301</f>
        <v>Donor</v>
      </c>
      <c r="P296" s="71" t="str">
        <f>'Stakeholder list'!Q301</f>
        <v/>
      </c>
      <c r="Q296" s="71" t="str">
        <f>'Stakeholder list'!R301</f>
        <v/>
      </c>
      <c r="R296" s="71" t="str">
        <f>'Stakeholder list'!S301</f>
        <v/>
      </c>
      <c r="S296" s="71" t="str">
        <f>'Stakeholder list'!T301</f>
        <v>—</v>
      </c>
      <c r="T296" s="71" t="str">
        <f>'Stakeholder list'!U301</f>
        <v/>
      </c>
      <c r="U296" s="71" t="str">
        <f>'Stakeholder list'!V301</f>
        <v/>
      </c>
      <c r="V296" s="71" t="str">
        <f>'Stakeholder list'!W301</f>
        <v/>
      </c>
      <c r="W296" s="71" t="str">
        <f>'Stakeholder list'!X301</f>
        <v/>
      </c>
    </row>
    <row r="297">
      <c r="A297" s="71">
        <f>'Stakeholder list'!B302</f>
        <v>296</v>
      </c>
      <c r="B297" s="71" t="str">
        <f>'Stakeholder list'!C302</f>
        <v>Ministério das Relações Exteriores, Commonwealth e Desenvolvimento do Reino Unido (FCDO)</v>
      </c>
      <c r="C297" s="71" t="str">
        <f>'Stakeholder list'!D302</f>
        <v>Public sector</v>
      </c>
      <c r="D297" s="71" t="str">
        <f>'Stakeholder list'!E302</f>
        <v>Federal Government</v>
      </c>
      <c r="E297" s="71" t="str">
        <f>'Stakeholder list'!F302</f>
        <v>UK government ministry leading international development and diplomacy; supports systemic transition by setting strategy and funding international cooperation in climate, energy transition, sustainable infrastructure and nature.</v>
      </c>
      <c r="F297" s="71" t="str">
        <f>'Stakeholder list'!G302</f>
        <v>Cross-border / international</v>
      </c>
      <c r="G297" s="71" t="str">
        <f>'Stakeholder list'!H302</f>
        <v/>
      </c>
      <c r="H297" s="71" t="str">
        <f>'Stakeholder list'!I302</f>
        <v/>
      </c>
      <c r="I297" s="71" t="str">
        <f>'Stakeholder list'!J302</f>
        <v/>
      </c>
      <c r="J297" s="71" t="str">
        <f>'Stakeholder list'!K302</f>
        <v>No biome lens was assigned because the entry described broad international cooperation and did not confirm a biome-delimited Brazil implementation focus.</v>
      </c>
      <c r="K297" s="71" t="str">
        <f>'Stakeholder list'!L302</f>
        <v>Funder, Strategic partner</v>
      </c>
      <c r="L297" s="71" t="str">
        <f>'Stakeholder list'!M302</f>
        <v>Upstream</v>
      </c>
      <c r="M297" s="71" t="str">
        <f>'Stakeholder list'!N302</f>
        <v>Strategic partner</v>
      </c>
      <c r="N297" s="71" t="str">
        <f>'Stakeholder list'!O302</f>
        <v>Brasília, DF, Brazil</v>
      </c>
      <c r="O297" s="71" t="str">
        <f>'Stakeholder list'!P302</f>
        <v>Donor</v>
      </c>
      <c r="P297" s="71" t="str">
        <f>'Stakeholder list'!Q302</f>
        <v/>
      </c>
      <c r="Q297" s="71" t="str">
        <f>'Stakeholder list'!R302</f>
        <v/>
      </c>
      <c r="R297" s="71" t="str">
        <f>'Stakeholder list'!S302</f>
        <v/>
      </c>
      <c r="S297" s="71" t="str">
        <f>'Stakeholder list'!T302</f>
        <v>—</v>
      </c>
      <c r="T297" s="71" t="str">
        <f>'Stakeholder list'!U302</f>
        <v/>
      </c>
      <c r="U297" s="71" t="str">
        <f>'Stakeholder list'!V302</f>
        <v/>
      </c>
      <c r="V297" s="71" t="str">
        <f>'Stakeholder list'!W302</f>
        <v/>
      </c>
      <c r="W297" s="71" t="str">
        <f>'Stakeholder list'!X302</f>
        <v/>
      </c>
    </row>
    <row r="298">
      <c r="A298" s="71">
        <f>'Stakeholder list'!B303</f>
        <v>297</v>
      </c>
      <c r="B298" s="71" t="str">
        <f>'Stakeholder list'!C303</f>
        <v>UK PACT</v>
      </c>
      <c r="C298" s="71" t="str">
        <f>'Stakeholder list'!D303</f>
        <v>Others</v>
      </c>
      <c r="D298" s="71" t="str">
        <f>'Stakeholder list'!E303</f>
        <v>Bilateral cooperation agencies</v>
      </c>
      <c r="E298" s="71" t="str">
        <f>'Stakeholder list'!F303</f>
        <v>UK program providing technical assistance and capacity building for climate policy and implementation; supports transition by accelerating decarbonization solutions in energy, transport, cities/buildings and land-use agendas through partnerships.</v>
      </c>
      <c r="F298" s="71" t="str">
        <f>'Stakeholder list'!G303</f>
        <v>Cross-border / international</v>
      </c>
      <c r="G298" s="71" t="str">
        <f>'Stakeholder list'!H303</f>
        <v>Buildings &amp; Transport, Energy, "Land, Food and Forest"</v>
      </c>
      <c r="H298" s="71" t="str">
        <f>'Stakeholder list'!I303</f>
        <v/>
      </c>
      <c r="I298" s="71" t="str">
        <f>'Stakeholder list'!J303</f>
        <v/>
      </c>
      <c r="J298" s="71" t="str">
        <f>'Stakeholder list'!K303</f>
        <v>No biome lens was assigned because the portfolio was described as cross-sector policy/TA and this mapping did not confirm stable, biome-delimited projects.</v>
      </c>
      <c r="K298" s="71" t="str">
        <f>'Stakeholder list'!L303</f>
        <v>Funder, Technical assistance / research</v>
      </c>
      <c r="L298" s="71" t="str">
        <f>'Stakeholder list'!M303</f>
        <v>Midstream</v>
      </c>
      <c r="M298" s="71" t="str">
        <f>'Stakeholder list'!N303</f>
        <v>Co-funding partner</v>
      </c>
      <c r="N298" s="71" t="str">
        <f>'Stakeholder list'!O303</f>
        <v>Brasília, DF, Brazil</v>
      </c>
      <c r="O298" s="71" t="str">
        <f>'Stakeholder list'!P303</f>
        <v>Donor</v>
      </c>
      <c r="P298" s="71" t="str">
        <f>'Stakeholder list'!Q303</f>
        <v/>
      </c>
      <c r="Q298" s="71" t="str">
        <f>'Stakeholder list'!R303</f>
        <v/>
      </c>
      <c r="R298" s="71" t="str">
        <f>'Stakeholder list'!S303</f>
        <v/>
      </c>
      <c r="S298" s="71" t="str">
        <f>'Stakeholder list'!T303</f>
        <v>—</v>
      </c>
      <c r="T298" s="71" t="str">
        <f>'Stakeholder list'!U303</f>
        <v/>
      </c>
      <c r="U298" s="71" t="str">
        <f>'Stakeholder list'!V303</f>
        <v/>
      </c>
      <c r="V298" s="71" t="str">
        <f>'Stakeholder list'!W303</f>
        <v/>
      </c>
      <c r="W298" s="71" t="str">
        <f>'Stakeholder list'!X303</f>
        <v/>
      </c>
    </row>
    <row r="299">
      <c r="A299" s="71">
        <f>'Stakeholder list'!B304</f>
        <v>298</v>
      </c>
      <c r="B299" s="71" t="str">
        <f>'Stakeholder list'!C304</f>
        <v>Delegação da União Europeia no Brasil (UE)</v>
      </c>
      <c r="C299" s="71" t="str">
        <f>'Stakeholder list'!D304</f>
        <v>Others</v>
      </c>
      <c r="D299" s="71" t="str">
        <f>'Stakeholder list'!E304</f>
        <v>Multilateral organizations</v>
      </c>
      <c r="E299" s="71" t="str">
        <f>'Stakeholder list'!F304</f>
        <v>EU representation that coordinates cooperation and partnerships; supports transition by mobilizing programs and partnerships for climate, energy transition, sustainable transport, resilient cities and nature-positive development.</v>
      </c>
      <c r="F299" s="71" t="str">
        <f>'Stakeholder list'!G304</f>
        <v>Cross-border / international</v>
      </c>
      <c r="G299" s="71" t="str">
        <f>'Stakeholder list'!H304</f>
        <v>Buildings &amp; Transport, Energy, "Land, Food and Forest"</v>
      </c>
      <c r="H299" s="71" t="str">
        <f>'Stakeholder list'!I304</f>
        <v/>
      </c>
      <c r="I299" s="71" t="str">
        <f>'Stakeholder list'!J304</f>
        <v/>
      </c>
      <c r="J299" s="71" t="str">
        <f>'Stakeholder list'!K304</f>
        <v>No biome lens was assigned because the entry did not specify biome-delimited implementation in Brazil for classification.</v>
      </c>
      <c r="K299" s="71" t="str">
        <f>'Stakeholder list'!L304</f>
        <v>Policy influence / regulation, Funder, Strategic partner</v>
      </c>
      <c r="L299" s="71" t="str">
        <f>'Stakeholder list'!M304</f>
        <v>Upstream</v>
      </c>
      <c r="M299" s="71" t="str">
        <f>'Stakeholder list'!N304</f>
        <v>Co-funding partner</v>
      </c>
      <c r="N299" s="71" t="str">
        <f>'Stakeholder list'!O304</f>
        <v>Brasília, DF, Brazil</v>
      </c>
      <c r="O299" s="71" t="str">
        <f>'Stakeholder list'!P304</f>
        <v>Donor</v>
      </c>
      <c r="P299" s="71" t="str">
        <f>'Stakeholder list'!Q304</f>
        <v/>
      </c>
      <c r="Q299" s="71" t="str">
        <f>'Stakeholder list'!R304</f>
        <v/>
      </c>
      <c r="R299" s="71" t="str">
        <f>'Stakeholder list'!S304</f>
        <v/>
      </c>
      <c r="S299" s="71" t="str">
        <f>'Stakeholder list'!T304</f>
        <v>—</v>
      </c>
      <c r="T299" s="71" t="str">
        <f>'Stakeholder list'!U304</f>
        <v/>
      </c>
      <c r="U299" s="71" t="str">
        <f>'Stakeholder list'!V304</f>
        <v/>
      </c>
      <c r="V299" s="71" t="str">
        <f>'Stakeholder list'!W304</f>
        <v/>
      </c>
      <c r="W299" s="71" t="str">
        <f>'Stakeholder list'!X304</f>
        <v/>
      </c>
    </row>
    <row r="300">
      <c r="A300" s="71">
        <f>'Stakeholder list'!B305</f>
        <v>299</v>
      </c>
      <c r="B300" s="71" t="str">
        <f>'Stakeholder list'!C305</f>
        <v>Banco Europeu de Investimento (BEI)</v>
      </c>
      <c r="C300" s="71" t="str">
        <f>'Stakeholder list'!D305</f>
        <v>Others</v>
      </c>
      <c r="D300" s="71" t="str">
        <f>'Stakeholder list'!E305</f>
        <v>Multilateral development banks (MDBs)</v>
      </c>
      <c r="E300" s="71" t="str">
        <f>'Stakeholder list'!F305</f>
        <v>European multilateral development bank; enables systemic transition through long-term finance and de-risking for renewable energy, sustainable transport, resilient urban infrastructure and climate/nature investments.</v>
      </c>
      <c r="F300" s="71" t="str">
        <f>'Stakeholder list'!G305</f>
        <v>Cross-border / international</v>
      </c>
      <c r="G300" s="71" t="str">
        <f>'Stakeholder list'!H305</f>
        <v>Buildings &amp; Transport, Energy, "Land, Food and Forest"</v>
      </c>
      <c r="H300" s="71" t="str">
        <f>'Stakeholder list'!I305</f>
        <v/>
      </c>
      <c r="I300" s="71" t="str">
        <f>'Stakeholder list'!J305</f>
        <v/>
      </c>
      <c r="J300" s="71" t="str">
        <f>'Stakeholder list'!K305</f>
        <v>No biome lens was assigned because financing was transaction-based and no consistent biome-delimited Brazil portfolio was identified in this mapping entry.</v>
      </c>
      <c r="K300" s="71" t="str">
        <f>'Stakeholder list'!L305</f>
        <v>Capital provider / Financial intermediary, Strategic partner</v>
      </c>
      <c r="L300" s="71" t="str">
        <f>'Stakeholder list'!M305</f>
        <v>Midstream</v>
      </c>
      <c r="M300" s="71" t="str">
        <f>'Stakeholder list'!N305</f>
        <v>Co-funding partner</v>
      </c>
      <c r="N300" s="71" t="str">
        <f>'Stakeholder list'!O305</f>
        <v>São Paulo, SP, Brazil</v>
      </c>
      <c r="O300" s="71" t="str">
        <f>'Stakeholder list'!P305</f>
        <v>Re-granter</v>
      </c>
      <c r="P300" s="71" t="str">
        <f>'Stakeholder list'!Q305</f>
        <v/>
      </c>
      <c r="Q300" s="71" t="str">
        <f>'Stakeholder list'!R305</f>
        <v/>
      </c>
      <c r="R300" s="71" t="str">
        <f>'Stakeholder list'!S305</f>
        <v/>
      </c>
      <c r="S300" s="71" t="str">
        <f>'Stakeholder list'!T305</f>
        <v>—</v>
      </c>
      <c r="T300" s="71" t="str">
        <f>'Stakeholder list'!U305</f>
        <v/>
      </c>
      <c r="U300" s="71" t="str">
        <f>'Stakeholder list'!V305</f>
        <v/>
      </c>
      <c r="V300" s="71" t="str">
        <f>'Stakeholder list'!W305</f>
        <v/>
      </c>
      <c r="W300" s="71" t="str">
        <f>'Stakeholder list'!X305</f>
        <v/>
      </c>
    </row>
    <row r="301">
      <c r="A301" s="71">
        <f>'Stakeholder list'!B306</f>
        <v>300</v>
      </c>
      <c r="B301" s="71" t="str">
        <f>'Stakeholder list'!C306</f>
        <v>Lux-Development (LuxDev)</v>
      </c>
      <c r="C301" s="71" t="str">
        <f>'Stakeholder list'!D306</f>
        <v>Others</v>
      </c>
      <c r="D301" s="71" t="str">
        <f>'Stakeholder list'!E306</f>
        <v>Bilateral cooperation agencies</v>
      </c>
      <c r="E301" s="71" t="str">
        <f>'Stakeholder list'!F306</f>
        <v>Luxembourg’s development cooperation agency; supports systemic transition through grants and technical cooperation for climate, resilient infrastructure, sustainable value chains and inclusive development in partner countries.</v>
      </c>
      <c r="F301" s="71" t="str">
        <f>'Stakeholder list'!G306</f>
        <v>Cross-border / international</v>
      </c>
      <c r="G301" s="71" t="str">
        <f>'Stakeholder list'!H306</f>
        <v>Buildings &amp; Transport, Energy, "Land, Food and Forest"</v>
      </c>
      <c r="H301" s="71" t="str">
        <f>'Stakeholder list'!I306</f>
        <v/>
      </c>
      <c r="I301" s="71" t="str">
        <f>'Stakeholder list'!J306</f>
        <v/>
      </c>
      <c r="J301" s="71" t="str">
        <f>'Stakeholder list'!K306</f>
        <v>No biome lens was assigned because a Brazil-facing, biome-delimited implementation portfolio was not confirmed for this entry.</v>
      </c>
      <c r="K301" s="71" t="str">
        <f>'Stakeholder list'!L306</f>
        <v>Project developer / Implementer</v>
      </c>
      <c r="L301" s="71" t="str">
        <f>'Stakeholder list'!M306</f>
        <v>Downstream</v>
      </c>
      <c r="M301" s="71" t="str">
        <f>'Stakeholder list'!N306</f>
        <v>Co-funding partner</v>
      </c>
      <c r="N301" s="71" t="str">
        <f>'Stakeholder list'!O306</f>
        <v>Luxembourg, Luxembourg</v>
      </c>
      <c r="O301" s="71" t="str">
        <f>'Stakeholder list'!P306</f>
        <v>Grantee</v>
      </c>
      <c r="P301" s="71" t="str">
        <f>'Stakeholder list'!Q306</f>
        <v/>
      </c>
      <c r="Q301" s="71" t="str">
        <f>'Stakeholder list'!R306</f>
        <v/>
      </c>
      <c r="R301" s="71" t="str">
        <f>'Stakeholder list'!S306</f>
        <v/>
      </c>
      <c r="S301" s="71" t="str">
        <f>'Stakeholder list'!T306</f>
        <v>—</v>
      </c>
      <c r="T301" s="71" t="str">
        <f>'Stakeholder list'!U306</f>
        <v/>
      </c>
      <c r="U301" s="71" t="str">
        <f>'Stakeholder list'!V306</f>
        <v/>
      </c>
      <c r="V301" s="71" t="str">
        <f>'Stakeholder list'!W306</f>
        <v/>
      </c>
      <c r="W301" s="71" t="str">
        <f>'Stakeholder list'!X306</f>
        <v/>
      </c>
    </row>
    <row r="302">
      <c r="A302" s="71">
        <f>'Stakeholder list'!B307</f>
        <v>301</v>
      </c>
      <c r="B302" s="71" t="str">
        <f>'Stakeholder list'!C307</f>
        <v>Irish Aid (Irish Aid)</v>
      </c>
      <c r="C302" s="71" t="str">
        <f>'Stakeholder list'!D307</f>
        <v>Others</v>
      </c>
      <c r="D302" s="71" t="str">
        <f>'Stakeholder list'!E307</f>
        <v>Bilateral cooperation agencies</v>
      </c>
      <c r="E302" s="71" t="str">
        <f>'Stakeholder list'!F307</f>
        <v>Ireland’s development cooperation program; supports systemic transition through funding and partnerships focused on poverty reduction, resilience, climate action and sustainable development.</v>
      </c>
      <c r="F302" s="71" t="str">
        <f>'Stakeholder list'!G307</f>
        <v>Cross-border / international</v>
      </c>
      <c r="G302" s="71" t="str">
        <f>'Stakeholder list'!H307</f>
        <v>Buildings &amp; Transport, Emergency response, Energy, "Land, Food and Forest"</v>
      </c>
      <c r="H302" s="71" t="str">
        <f>'Stakeholder list'!I307</f>
        <v/>
      </c>
      <c r="I302" s="71" t="str">
        <f>'Stakeholder list'!J307</f>
        <v/>
      </c>
      <c r="J302" s="71" t="str">
        <f>'Stakeholder list'!K307</f>
        <v>No biome lens was assigned because the entry did not confirm biome-delimited implementation in Brazil within this mapping.</v>
      </c>
      <c r="K302" s="71" t="str">
        <f>'Stakeholder list'!L307</f>
        <v>Funder</v>
      </c>
      <c r="L302" s="71" t="str">
        <f>'Stakeholder list'!M307</f>
        <v>Upstream</v>
      </c>
      <c r="M302" s="71" t="str">
        <f>'Stakeholder list'!N307</f>
        <v>Co-funding partner</v>
      </c>
      <c r="N302" s="71" t="str">
        <f>'Stakeholder list'!O307</f>
        <v>Brasília, DF, Brazil</v>
      </c>
      <c r="O302" s="71" t="str">
        <f>'Stakeholder list'!P307</f>
        <v>Donor</v>
      </c>
      <c r="P302" s="71" t="str">
        <f>'Stakeholder list'!Q307</f>
        <v/>
      </c>
      <c r="Q302" s="71" t="str">
        <f>'Stakeholder list'!R307</f>
        <v/>
      </c>
      <c r="R302" s="71" t="str">
        <f>'Stakeholder list'!S307</f>
        <v/>
      </c>
      <c r="S302" s="71" t="str">
        <f>'Stakeholder list'!T307</f>
        <v>—</v>
      </c>
      <c r="T302" s="71" t="str">
        <f>'Stakeholder list'!U307</f>
        <v/>
      </c>
      <c r="U302" s="71" t="str">
        <f>'Stakeholder list'!V307</f>
        <v/>
      </c>
      <c r="V302" s="71" t="str">
        <f>'Stakeholder list'!W307</f>
        <v/>
      </c>
      <c r="W302" s="71" t="str">
        <f>'Stakeholder list'!X307</f>
        <v/>
      </c>
    </row>
    <row r="303">
      <c r="A303" s="71">
        <f>'Stakeholder list'!B308</f>
        <v>302</v>
      </c>
      <c r="B303" s="71" t="str">
        <f>'Stakeholder list'!C308</f>
        <v>Agência Austríaca de Desenvolvimento (ADA)</v>
      </c>
      <c r="C303" s="71" t="str">
        <f>'Stakeholder list'!D308</f>
        <v>Others</v>
      </c>
      <c r="D303" s="71" t="str">
        <f>'Stakeholder list'!E308</f>
        <v>Bilateral cooperation agencies</v>
      </c>
      <c r="E303" s="71" t="str">
        <f>'Stakeholder list'!F308</f>
        <v>Austria’s development cooperation agency; contributes via grants and technical assistance supporting climate mitigation/adaptation, sustainable infrastructure and inclusive local development.</v>
      </c>
      <c r="F303" s="71" t="str">
        <f>'Stakeholder list'!G308</f>
        <v>Cross-border / international</v>
      </c>
      <c r="G303" s="71" t="str">
        <f>'Stakeholder list'!H308</f>
        <v>Buildings &amp; Transport, Energy, "Land, Food and Forest"</v>
      </c>
      <c r="H303" s="71" t="str">
        <f>'Stakeholder list'!I308</f>
        <v/>
      </c>
      <c r="I303" s="71" t="str">
        <f>'Stakeholder list'!J308</f>
        <v/>
      </c>
      <c r="J303" s="71" t="str">
        <f>'Stakeholder list'!K308</f>
        <v>No biome lens was assigned because a Brazil-facing, biome-delimited portfolio was not confirmed in this mapping entry.</v>
      </c>
      <c r="K303" s="71" t="str">
        <f>'Stakeholder list'!L308</f>
        <v>Funder</v>
      </c>
      <c r="L303" s="71" t="str">
        <f>'Stakeholder list'!M308</f>
        <v>Upstream</v>
      </c>
      <c r="M303" s="71" t="str">
        <f>'Stakeholder list'!N308</f>
        <v>Co-funding partner</v>
      </c>
      <c r="N303" s="71" t="str">
        <f>'Stakeholder list'!O308</f>
        <v>Brasília, DF, Brazil</v>
      </c>
      <c r="O303" s="71" t="str">
        <f>'Stakeholder list'!P308</f>
        <v>Donor</v>
      </c>
      <c r="P303" s="71" t="str">
        <f>'Stakeholder list'!Q308</f>
        <v/>
      </c>
      <c r="Q303" s="71" t="str">
        <f>'Stakeholder list'!R308</f>
        <v/>
      </c>
      <c r="R303" s="71" t="str">
        <f>'Stakeholder list'!S308</f>
        <v/>
      </c>
      <c r="S303" s="71" t="str">
        <f>'Stakeholder list'!T308</f>
        <v>—</v>
      </c>
      <c r="T303" s="71" t="str">
        <f>'Stakeholder list'!U308</f>
        <v/>
      </c>
      <c r="U303" s="71" t="str">
        <f>'Stakeholder list'!V308</f>
        <v/>
      </c>
      <c r="V303" s="71" t="str">
        <f>'Stakeholder list'!W308</f>
        <v/>
      </c>
      <c r="W303" s="71" t="str">
        <f>'Stakeholder list'!X308</f>
        <v/>
      </c>
    </row>
    <row r="304">
      <c r="A304" s="71">
        <f>'Stakeholder list'!B309</f>
        <v>303</v>
      </c>
      <c r="B304" s="71" t="str">
        <f>'Stakeholder list'!C309</f>
        <v>Camões – Instituto da Cooperação e da Língua (Camões, I.P.)</v>
      </c>
      <c r="C304" s="71" t="str">
        <f>'Stakeholder list'!D309</f>
        <v>Others</v>
      </c>
      <c r="D304" s="71" t="str">
        <f>'Stakeholder list'!E309</f>
        <v>Bilateral cooperation agencies</v>
      </c>
      <c r="E304" s="71" t="str">
        <f>'Stakeholder list'!F309</f>
        <v>Portugal’s institute for international cooperation and language; supports systemic transition through cooperation programs, institutional strengthening and partnerships that may include climate and sustainable development agendas.</v>
      </c>
      <c r="F304" s="71" t="str">
        <f>'Stakeholder list'!G309</f>
        <v>Cross-border / international</v>
      </c>
      <c r="G304" s="71" t="str">
        <f>'Stakeholder list'!H309</f>
        <v>Buildings &amp; Transport, Energy, "Land, Food and Forest"</v>
      </c>
      <c r="H304" s="71" t="str">
        <f>'Stakeholder list'!I309</f>
        <v/>
      </c>
      <c r="I304" s="71" t="str">
        <f>'Stakeholder list'!J309</f>
        <v/>
      </c>
      <c r="J304" s="71" t="str">
        <f>'Stakeholder list'!K309</f>
        <v>No biome lens was assigned because the entry did not identify biome-delimited initiatives in Brazil for classification.</v>
      </c>
      <c r="K304" s="71" t="str">
        <f>'Stakeholder list'!L309</f>
        <v>Funder, Strategic partner</v>
      </c>
      <c r="L304" s="71" t="str">
        <f>'Stakeholder list'!M309</f>
        <v>Upstream</v>
      </c>
      <c r="M304" s="71" t="str">
        <f>'Stakeholder list'!N309</f>
        <v>Co-funding partner</v>
      </c>
      <c r="N304" s="71" t="str">
        <f>'Stakeholder list'!O309</f>
        <v>Brasília, DF, Brazil</v>
      </c>
      <c r="O304" s="71" t="str">
        <f>'Stakeholder list'!P309</f>
        <v>Donor</v>
      </c>
      <c r="P304" s="71" t="str">
        <f>'Stakeholder list'!Q309</f>
        <v/>
      </c>
      <c r="Q304" s="71" t="str">
        <f>'Stakeholder list'!R309</f>
        <v/>
      </c>
      <c r="R304" s="71" t="str">
        <f>'Stakeholder list'!S309</f>
        <v/>
      </c>
      <c r="S304" s="71" t="str">
        <f>'Stakeholder list'!T309</f>
        <v>—</v>
      </c>
      <c r="T304" s="71" t="str">
        <f>'Stakeholder list'!U309</f>
        <v/>
      </c>
      <c r="U304" s="71" t="str">
        <f>'Stakeholder list'!V309</f>
        <v/>
      </c>
      <c r="V304" s="71" t="str">
        <f>'Stakeholder list'!W309</f>
        <v/>
      </c>
      <c r="W304" s="71" t="str">
        <f>'Stakeholder list'!X309</f>
        <v/>
      </c>
    </row>
    <row r="305">
      <c r="A305" s="71">
        <f>'Stakeholder list'!B310</f>
        <v>304</v>
      </c>
      <c r="B305" s="71" t="str">
        <f>'Stakeholder list'!C310</f>
        <v>Misereor (Misereor)</v>
      </c>
      <c r="C305" s="71" t="str">
        <f>'Stakeholder list'!D310</f>
        <v>Civil Society Organization (CSO)</v>
      </c>
      <c r="D305" s="71" t="str">
        <f>'Stakeholder list'!E310</f>
        <v>Bilateral cooperation agencies</v>
      </c>
      <c r="E305" s="71" t="str">
        <f>'Stakeholder list'!F310</f>
        <v>German Catholic development organization (grantmaker/partner); supports systemic transition by funding civil society, rights-based approaches and sustainable livelihoods, often connected to land rights, food systems and environmental justice.</v>
      </c>
      <c r="F305" s="71" t="str">
        <f>'Stakeholder list'!G310</f>
        <v>Cross-border / international</v>
      </c>
      <c r="G305" s="71" t="str">
        <f>'Stakeholder list'!H310</f>
        <v>"Land, Food and Forest"</v>
      </c>
      <c r="H305" s="71" t="str">
        <f>'Stakeholder list'!I310</f>
        <v>Amazonia, Cerrado</v>
      </c>
      <c r="I305" s="71" t="str">
        <f>'Stakeholder list'!J310</f>
        <v/>
      </c>
      <c r="J305" s="71" t="str">
        <f>'Stakeholder list'!K310</f>
        <v>No biome lens was assigned because the mapping did not confirm a consistent, Brazil-specific biome-delimited implementation portfolio for this entry.</v>
      </c>
      <c r="K305" s="71" t="str">
        <f>'Stakeholder list'!L310</f>
        <v>Funder, Strategic partner</v>
      </c>
      <c r="L305" s="71" t="str">
        <f>'Stakeholder list'!M310</f>
        <v>Upstream</v>
      </c>
      <c r="M305" s="71" t="str">
        <f>'Stakeholder list'!N310</f>
        <v>Co-funding partner</v>
      </c>
      <c r="N305" s="71" t="str">
        <f>'Stakeholder list'!O310</f>
        <v>Aachen, Germany</v>
      </c>
      <c r="O305" s="71" t="str">
        <f>'Stakeholder list'!P310</f>
        <v>Donor</v>
      </c>
      <c r="P305" s="71" t="str">
        <f>'Stakeholder list'!Q310</f>
        <v/>
      </c>
      <c r="Q305" s="71" t="str">
        <f>'Stakeholder list'!R310</f>
        <v/>
      </c>
      <c r="R305" s="71" t="str">
        <f>'Stakeholder list'!S310</f>
        <v/>
      </c>
      <c r="S305" s="71" t="str">
        <f>'Stakeholder list'!T310</f>
        <v>—</v>
      </c>
      <c r="T305" s="71" t="str">
        <f>'Stakeholder list'!U310</f>
        <v/>
      </c>
      <c r="U305" s="71" t="str">
        <f>'Stakeholder list'!V310</f>
        <v/>
      </c>
      <c r="V305" s="71" t="str">
        <f>'Stakeholder list'!W310</f>
        <v/>
      </c>
      <c r="W305" s="71" t="str">
        <f>'Stakeholder list'!X310</f>
        <v/>
      </c>
    </row>
    <row r="306">
      <c r="A306" s="71">
        <f>'Stakeholder list'!B311</f>
        <v>305</v>
      </c>
      <c r="B306" s="71" t="str">
        <f>'Stakeholder list'!C311</f>
        <v>Trias (Trias vzw)</v>
      </c>
      <c r="C306" s="71" t="str">
        <f>'Stakeholder list'!D311</f>
        <v>Civil Society Organization (CSO)</v>
      </c>
      <c r="D306" s="71" t="str">
        <f>'Stakeholder list'!E311</f>
        <v>Bilateral cooperation agencies</v>
      </c>
      <c r="E306" s="71" t="str">
        <f>'Stakeholder list'!F311</f>
        <v>International NGO focused on strengthening entrepreneurship and cooperatives; supports AFOLU and inclusive transition by building capacities of farmers’ organizations, SMEs and value chains for resilient, sustainable local economies.</v>
      </c>
      <c r="F306" s="71" t="str">
        <f>'Stakeholder list'!G311</f>
        <v>Cross-border / international</v>
      </c>
      <c r="G306" s="71" t="str">
        <f>'Stakeholder list'!H311</f>
        <v>"Land, Food and Forest"</v>
      </c>
      <c r="H306" s="71" t="str">
        <f>'Stakeholder list'!I311</f>
        <v>Amazonia, Caatinga, Cerrado</v>
      </c>
      <c r="I306" s="71" t="str">
        <f>'Stakeholder list'!J311</f>
        <v/>
      </c>
      <c r="J306" s="71" t="str">
        <f>'Stakeholder list'!K311</f>
        <v>No biome lens was assigned because a biome-delimited Brazil portfolio was not confirmed for this entry.</v>
      </c>
      <c r="K306" s="71" t="str">
        <f>'Stakeholder list'!L311</f>
        <v>Project developer / Implementer, Implementation capacity (delivery)</v>
      </c>
      <c r="L306" s="71" t="str">
        <f>'Stakeholder list'!M311</f>
        <v>Downstream</v>
      </c>
      <c r="M306" s="71" t="str">
        <f>'Stakeholder list'!N311</f>
        <v>Strategic partner</v>
      </c>
      <c r="N306" s="71" t="str">
        <f>'Stakeholder list'!O311</f>
        <v>Brussels, Belgium</v>
      </c>
      <c r="O306" s="71" t="str">
        <f>'Stakeholder list'!P311</f>
        <v>Grantee</v>
      </c>
      <c r="P306" s="71" t="str">
        <f>'Stakeholder list'!Q311</f>
        <v/>
      </c>
      <c r="Q306" s="71" t="str">
        <f>'Stakeholder list'!R311</f>
        <v/>
      </c>
      <c r="R306" s="71" t="str">
        <f>'Stakeholder list'!S311</f>
        <v/>
      </c>
      <c r="S306" s="71" t="str">
        <f>'Stakeholder list'!T311</f>
        <v>—</v>
      </c>
      <c r="T306" s="71" t="str">
        <f>'Stakeholder list'!U311</f>
        <v/>
      </c>
      <c r="U306" s="71" t="str">
        <f>'Stakeholder list'!V311</f>
        <v/>
      </c>
      <c r="V306" s="71" t="str">
        <f>'Stakeholder list'!W311</f>
        <v/>
      </c>
      <c r="W306" s="71" t="str">
        <f>'Stakeholder list'!X311</f>
        <v/>
      </c>
    </row>
    <row r="307">
      <c r="A307" s="71">
        <f>'Stakeholder list'!B312</f>
        <v>306</v>
      </c>
      <c r="B307" s="71" t="str">
        <f>'Stakeholder list'!C312</f>
        <v>Brot für die Welt (Brot für die Welt)</v>
      </c>
      <c r="C307" s="71" t="str">
        <f>'Stakeholder list'!D312</f>
        <v>Civil Society Organization (CSO)</v>
      </c>
      <c r="D307" s="71" t="str">
        <f>'Stakeholder list'!E312</f>
        <v>Bilateral cooperation agencies</v>
      </c>
      <c r="E307" s="71" t="str">
        <f>'Stakeholder list'!F312</f>
        <v>Protestant development organization (grantmaker/partner); supports systemic transition by funding civil society and community-based programs on rights, food systems, climate resilience and environmental justice.</v>
      </c>
      <c r="F307" s="71" t="str">
        <f>'Stakeholder list'!G312</f>
        <v>Cross-border / international</v>
      </c>
      <c r="G307" s="71" t="str">
        <f>'Stakeholder list'!H312</f>
        <v>Emergency response, "Land, Food and Forest"</v>
      </c>
      <c r="H307" s="71" t="str">
        <f>'Stakeholder list'!I312</f>
        <v>Amazonia, Cerrado</v>
      </c>
      <c r="I307" s="71" t="str">
        <f>'Stakeholder list'!J312</f>
        <v/>
      </c>
      <c r="J307" s="71" t="str">
        <f>'Stakeholder list'!K312</f>
        <v>No biome lens was assigned because the entry did not confirm biome-delimited implementation in Brazil for classification.</v>
      </c>
      <c r="K307" s="71" t="str">
        <f>'Stakeholder list'!L312</f>
        <v>Funder, Strategic partner</v>
      </c>
      <c r="L307" s="71" t="str">
        <f>'Stakeholder list'!M312</f>
        <v>Upstream</v>
      </c>
      <c r="M307" s="71" t="str">
        <f>'Stakeholder list'!N312</f>
        <v>Co-funding partner</v>
      </c>
      <c r="N307" s="71" t="str">
        <f>'Stakeholder list'!O312</f>
        <v>Berlin, Germany</v>
      </c>
      <c r="O307" s="71" t="str">
        <f>'Stakeholder list'!P312</f>
        <v>Donor</v>
      </c>
      <c r="P307" s="71" t="str">
        <f>'Stakeholder list'!Q312</f>
        <v/>
      </c>
      <c r="Q307" s="71" t="str">
        <f>'Stakeholder list'!R312</f>
        <v/>
      </c>
      <c r="R307" s="71" t="str">
        <f>'Stakeholder list'!S312</f>
        <v/>
      </c>
      <c r="S307" s="71" t="str">
        <f>'Stakeholder list'!T312</f>
        <v>—</v>
      </c>
      <c r="T307" s="71" t="str">
        <f>'Stakeholder list'!U312</f>
        <v/>
      </c>
      <c r="U307" s="71" t="str">
        <f>'Stakeholder list'!V312</f>
        <v/>
      </c>
      <c r="V307" s="71" t="str">
        <f>'Stakeholder list'!W312</f>
        <v/>
      </c>
      <c r="W307" s="71" t="str">
        <f>'Stakeholder list'!X312</f>
        <v/>
      </c>
    </row>
    <row r="308">
      <c r="A308" s="71">
        <f>'Stakeholder list'!B313</f>
        <v>307</v>
      </c>
      <c r="B308" s="71" t="str">
        <f>'Stakeholder list'!C313</f>
        <v>Catholic Agency for Overseas Development (CAFOD)</v>
      </c>
      <c r="C308" s="71" t="str">
        <f>'Stakeholder list'!D313</f>
        <v>Civil Society Organization (CSO)</v>
      </c>
      <c r="D308" s="71" t="str">
        <f>'Stakeholder list'!E313</f>
        <v>Bilateral cooperation agencies</v>
      </c>
      <c r="E308" s="71" t="str">
        <f>'Stakeholder list'!F313</f>
        <v>UK Catholic development NGO; supports systemic transition through rights-based humanitarian and development work, including climate resilience, livelihoods, and advocacy aligned with just transition outcomes.</v>
      </c>
      <c r="F308" s="71" t="str">
        <f>'Stakeholder list'!G313</f>
        <v>Cross-border / international</v>
      </c>
      <c r="G308" s="71" t="str">
        <f>'Stakeholder list'!H313</f>
        <v>Emergency response, "Land, Food and Forest"</v>
      </c>
      <c r="H308" s="71" t="str">
        <f>'Stakeholder list'!I313</f>
        <v/>
      </c>
      <c r="I308" s="71" t="str">
        <f>'Stakeholder list'!J313</f>
        <v/>
      </c>
      <c r="J308" s="71" t="str">
        <f>'Stakeholder list'!K313</f>
        <v>No biome lens was assigned because the entry did not confirm a stable, biome-delimited Brazil portfolio in this mapping.</v>
      </c>
      <c r="K308" s="71" t="str">
        <f>'Stakeholder list'!L313</f>
        <v>Funder, Strategic partner</v>
      </c>
      <c r="L308" s="71" t="str">
        <f>'Stakeholder list'!M313</f>
        <v>Upstream</v>
      </c>
      <c r="M308" s="71" t="str">
        <f>'Stakeholder list'!N313</f>
        <v>Co-funding partner</v>
      </c>
      <c r="N308" s="71" t="str">
        <f>'Stakeholder list'!O313</f>
        <v>São Paulo, SP, Brazil</v>
      </c>
      <c r="O308" s="71" t="str">
        <f>'Stakeholder list'!P313</f>
        <v>Donor</v>
      </c>
      <c r="P308" s="71" t="str">
        <f>'Stakeholder list'!Q313</f>
        <v/>
      </c>
      <c r="Q308" s="71" t="str">
        <f>'Stakeholder list'!R313</f>
        <v/>
      </c>
      <c r="R308" s="71" t="str">
        <f>'Stakeholder list'!S313</f>
        <v/>
      </c>
      <c r="S308" s="71" t="str">
        <f>'Stakeholder list'!T313</f>
        <v>—</v>
      </c>
      <c r="T308" s="71" t="str">
        <f>'Stakeholder list'!U313</f>
        <v/>
      </c>
      <c r="U308" s="71" t="str">
        <f>'Stakeholder list'!V313</f>
        <v/>
      </c>
      <c r="V308" s="71" t="str">
        <f>'Stakeholder list'!W313</f>
        <v/>
      </c>
      <c r="W308" s="71" t="str">
        <f>'Stakeholder list'!X313</f>
        <v/>
      </c>
    </row>
    <row r="309">
      <c r="A309" s="71">
        <f>'Stakeholder list'!B314</f>
        <v>308</v>
      </c>
      <c r="B309" s="71" t="str">
        <f>'Stakeholder list'!C314</f>
        <v>Fundação Heinrich Böll (Heinrich Böll Stiftung)</v>
      </c>
      <c r="C309" s="71" t="str">
        <f>'Stakeholder list'!D314</f>
        <v>Funders</v>
      </c>
      <c r="D309" s="71" t="str">
        <f>'Stakeholder list'!E314</f>
        <v>Philanthropy foundations</v>
      </c>
      <c r="E309" s="71" t="str">
        <f>'Stakeholder list'!F314</f>
        <v>Political foundation linked to the German Green movement; supports systemic transition through policy dialogue, research, convening and grants focused on climate, democracy, gender and socio-environmental justice.</v>
      </c>
      <c r="F309" s="71" t="str">
        <f>'Stakeholder list'!G314</f>
        <v>Cross-border / international</v>
      </c>
      <c r="G309" s="71" t="str">
        <f>'Stakeholder list'!H314</f>
        <v>Energy, "Land, Food and Forest"</v>
      </c>
      <c r="H309" s="71" t="str">
        <f>'Stakeholder list'!I314</f>
        <v/>
      </c>
      <c r="I309" s="71" t="str">
        <f>'Stakeholder list'!J314</f>
        <v/>
      </c>
      <c r="J309" s="71" t="str">
        <f>'Stakeholder list'!K314</f>
        <v>No biome lens was assigned because it operated through policy dialogue/grants and the mapping did not confirm biome-delimited Brazil initiatives for classification.</v>
      </c>
      <c r="K309" s="71" t="str">
        <f>'Stakeholder list'!L314</f>
        <v>Funder, Technical assistance / research, Policy influence / regulation</v>
      </c>
      <c r="L309" s="71" t="str">
        <f>'Stakeholder list'!M314</f>
        <v>Upstream</v>
      </c>
      <c r="M309" s="71" t="str">
        <f>'Stakeholder list'!N314</f>
        <v>Co-funding partner</v>
      </c>
      <c r="N309" s="71" t="str">
        <f>'Stakeholder list'!O314</f>
        <v>Rio de Janeiro, RJ, Brazil</v>
      </c>
      <c r="O309" s="71" t="str">
        <f>'Stakeholder list'!P314</f>
        <v>Donor</v>
      </c>
      <c r="P309" s="71" t="str">
        <f>'Stakeholder list'!Q314</f>
        <v/>
      </c>
      <c r="Q309" s="71" t="str">
        <f>'Stakeholder list'!R314</f>
        <v/>
      </c>
      <c r="R309" s="71" t="str">
        <f>'Stakeholder list'!S314</f>
        <v/>
      </c>
      <c r="S309" s="71" t="str">
        <f>'Stakeholder list'!T314</f>
        <v>—</v>
      </c>
      <c r="T309" s="71" t="str">
        <f>'Stakeholder list'!U314</f>
        <v/>
      </c>
      <c r="U309" s="71" t="str">
        <f>'Stakeholder list'!V314</f>
        <v/>
      </c>
      <c r="V309" s="71" t="str">
        <f>'Stakeholder list'!W314</f>
        <v/>
      </c>
      <c r="W309" s="71" t="str">
        <f>'Stakeholder list'!X314</f>
        <v/>
      </c>
    </row>
    <row r="310">
      <c r="A310" s="71">
        <f>'Stakeholder list'!B315</f>
        <v>309</v>
      </c>
      <c r="B310" s="71" t="str">
        <f>'Stakeholder list'!C315</f>
        <v>Fundação Friedrich Ebert (Friedrich-Ebert-Stiftung)</v>
      </c>
      <c r="C310" s="71" t="str">
        <f>'Stakeholder list'!D315</f>
        <v>Funders</v>
      </c>
      <c r="D310" s="71" t="str">
        <f>'Stakeholder list'!E315</f>
        <v>Philanthropy foundations</v>
      </c>
      <c r="E310" s="71" t="str">
        <f>'Stakeholder list'!F315</f>
        <v>Political foundation linked to German social democracy; supports transition through policy dialogue, research and partnerships on inclusive development, decent work, governance and climate/energy debates.</v>
      </c>
      <c r="F310" s="71" t="str">
        <f>'Stakeholder list'!G315</f>
        <v>Cross-border / international</v>
      </c>
      <c r="G310" s="71" t="str">
        <f>'Stakeholder list'!H315</f>
        <v>Buildings &amp; Transport, Energy</v>
      </c>
      <c r="H310" s="71" t="str">
        <f>'Stakeholder list'!I315</f>
        <v/>
      </c>
      <c r="I310" s="71" t="str">
        <f>'Stakeholder list'!J315</f>
        <v/>
      </c>
      <c r="J310" s="71" t="str">
        <f>'Stakeholder list'!K315</f>
        <v>No biome lens was assigned because it acted through policy dialogue and the mapping did not confirm biome-delimited Brazil programs for classification.</v>
      </c>
      <c r="K310" s="71" t="str">
        <f>'Stakeholder list'!L315</f>
        <v>Funder, Technical assistance / research, Policy influence / regulation</v>
      </c>
      <c r="L310" s="71" t="str">
        <f>'Stakeholder list'!M315</f>
        <v>Upstream</v>
      </c>
      <c r="M310" s="71" t="str">
        <f>'Stakeholder list'!N315</f>
        <v>Co-funding partner</v>
      </c>
      <c r="N310" s="71" t="str">
        <f>'Stakeholder list'!O315</f>
        <v>São Paulo, SP, Brazil</v>
      </c>
      <c r="O310" s="71" t="str">
        <f>'Stakeholder list'!P315</f>
        <v>Donor</v>
      </c>
      <c r="P310" s="71" t="str">
        <f>'Stakeholder list'!Q315</f>
        <v/>
      </c>
      <c r="Q310" s="71" t="str">
        <f>'Stakeholder list'!R315</f>
        <v/>
      </c>
      <c r="R310" s="71" t="str">
        <f>'Stakeholder list'!S315</f>
        <v/>
      </c>
      <c r="S310" s="71" t="str">
        <f>'Stakeholder list'!T315</f>
        <v>—</v>
      </c>
      <c r="T310" s="71" t="str">
        <f>'Stakeholder list'!U315</f>
        <v/>
      </c>
      <c r="U310" s="71" t="str">
        <f>'Stakeholder list'!V315</f>
        <v/>
      </c>
      <c r="V310" s="71" t="str">
        <f>'Stakeholder list'!W315</f>
        <v/>
      </c>
      <c r="W310" s="71" t="str">
        <f>'Stakeholder list'!X315</f>
        <v/>
      </c>
    </row>
    <row r="311">
      <c r="A311" s="71">
        <f>'Stakeholder list'!B316</f>
        <v>310</v>
      </c>
      <c r="B311" s="71" t="str">
        <f>'Stakeholder list'!C316</f>
        <v>Fundação Konrad Adenauer (Konrad-Adenauer-Stiftung)</v>
      </c>
      <c r="C311" s="71" t="str">
        <f>'Stakeholder list'!D316</f>
        <v>Funders</v>
      </c>
      <c r="D311" s="71" t="str">
        <f>'Stakeholder list'!E316</f>
        <v>Philanthropy foundations</v>
      </c>
      <c r="E311" s="71" t="str">
        <f>'Stakeholder list'!F316</f>
        <v>Political foundation linked to German Christian democracy; contributes through policy dialogue, governance support and programs that may include sustainable development, energy transition and institutional strengthening.</v>
      </c>
      <c r="F311" s="71" t="str">
        <f>'Stakeholder list'!G316</f>
        <v>Cross-border / international</v>
      </c>
      <c r="G311" s="71" t="str">
        <f>'Stakeholder list'!H316</f>
        <v>Buildings &amp; Transport, Energy</v>
      </c>
      <c r="H311" s="71" t="str">
        <f>'Stakeholder list'!I316</f>
        <v/>
      </c>
      <c r="I311" s="71" t="str">
        <f>'Stakeholder list'!J316</f>
        <v/>
      </c>
      <c r="J311" s="71" t="str">
        <f>'Stakeholder list'!K316</f>
        <v>No biome lens was assigned because biome-delimited implementation in Brazil was not confirmed for this entry.</v>
      </c>
      <c r="K311" s="71" t="str">
        <f>'Stakeholder list'!L316</f>
        <v>Funder, Technical assistance / research, Policy influence / regulation</v>
      </c>
      <c r="L311" s="71" t="str">
        <f>'Stakeholder list'!M316</f>
        <v>Upstream</v>
      </c>
      <c r="M311" s="71" t="str">
        <f>'Stakeholder list'!N316</f>
        <v>Co-funding partner</v>
      </c>
      <c r="N311" s="71" t="str">
        <f>'Stakeholder list'!O316</f>
        <v>Brasília, DF, Brazil</v>
      </c>
      <c r="O311" s="71" t="str">
        <f>'Stakeholder list'!P316</f>
        <v>Donor</v>
      </c>
      <c r="P311" s="71" t="str">
        <f>'Stakeholder list'!Q316</f>
        <v/>
      </c>
      <c r="Q311" s="71" t="str">
        <f>'Stakeholder list'!R316</f>
        <v/>
      </c>
      <c r="R311" s="71" t="str">
        <f>'Stakeholder list'!S316</f>
        <v/>
      </c>
      <c r="S311" s="71" t="str">
        <f>'Stakeholder list'!T316</f>
        <v>—</v>
      </c>
      <c r="T311" s="71" t="str">
        <f>'Stakeholder list'!U316</f>
        <v/>
      </c>
      <c r="U311" s="71" t="str">
        <f>'Stakeholder list'!V316</f>
        <v/>
      </c>
      <c r="V311" s="71" t="str">
        <f>'Stakeholder list'!W316</f>
        <v/>
      </c>
      <c r="W311" s="71" t="str">
        <f>'Stakeholder list'!X316</f>
        <v/>
      </c>
    </row>
    <row r="312">
      <c r="A312" s="71">
        <f>'Stakeholder list'!B317</f>
        <v>311</v>
      </c>
      <c r="B312" s="71" t="str">
        <f>'Stakeholder list'!C317</f>
        <v>Fundação Rosa Luxemburgo (Rosa-Luxemburg-Stiftung)</v>
      </c>
      <c r="C312" s="71" t="str">
        <f>'Stakeholder list'!D317</f>
        <v>Funders</v>
      </c>
      <c r="D312" s="71" t="str">
        <f>'Stakeholder list'!E317</f>
        <v>Philanthropy foundations</v>
      </c>
      <c r="E312" s="71" t="str">
        <f>'Stakeholder list'!F317</f>
        <v>Political foundation linked to democratic socialism; supports systemic transition via research, convening and partnerships emphasizing social justice, rights, and critical perspectives on development and climate.</v>
      </c>
      <c r="F312" s="71" t="str">
        <f>'Stakeholder list'!G317</f>
        <v>Cross-border / international</v>
      </c>
      <c r="G312" s="71" t="str">
        <f>'Stakeholder list'!H317</f>
        <v>Energy, "Land, Food and Forest"</v>
      </c>
      <c r="H312" s="71" t="str">
        <f>'Stakeholder list'!I317</f>
        <v/>
      </c>
      <c r="I312" s="71" t="str">
        <f>'Stakeholder list'!J317</f>
        <v/>
      </c>
      <c r="J312" s="71" t="str">
        <f>'Stakeholder list'!K317</f>
        <v>No biome lens was assigned because the entry described convening/research and did not confirm biome-delimited Brazil initiatives.</v>
      </c>
      <c r="K312" s="71" t="str">
        <f>'Stakeholder list'!L317</f>
        <v>Funder, Technical assistance / research, Policy influence / regulation</v>
      </c>
      <c r="L312" s="71" t="str">
        <f>'Stakeholder list'!M317</f>
        <v>Upstream</v>
      </c>
      <c r="M312" s="71" t="str">
        <f>'Stakeholder list'!N317</f>
        <v>Co-funding partner</v>
      </c>
      <c r="N312" s="71" t="str">
        <f>'Stakeholder list'!O317</f>
        <v>São Paulo, SP, Brazil</v>
      </c>
      <c r="O312" s="71" t="str">
        <f>'Stakeholder list'!P317</f>
        <v>Donor</v>
      </c>
      <c r="P312" s="71" t="str">
        <f>'Stakeholder list'!Q317</f>
        <v/>
      </c>
      <c r="Q312" s="71" t="str">
        <f>'Stakeholder list'!R317</f>
        <v/>
      </c>
      <c r="R312" s="71" t="str">
        <f>'Stakeholder list'!S317</f>
        <v/>
      </c>
      <c r="S312" s="71" t="str">
        <f>'Stakeholder list'!T317</f>
        <v>—</v>
      </c>
      <c r="T312" s="71" t="str">
        <f>'Stakeholder list'!U317</f>
        <v/>
      </c>
      <c r="U312" s="71" t="str">
        <f>'Stakeholder list'!V317</f>
        <v/>
      </c>
      <c r="V312" s="71" t="str">
        <f>'Stakeholder list'!W317</f>
        <v/>
      </c>
      <c r="W312" s="71" t="str">
        <f>'Stakeholder list'!X317</f>
        <v/>
      </c>
    </row>
    <row r="313">
      <c r="A313" s="71">
        <f>'Stakeholder list'!B318</f>
        <v>312</v>
      </c>
      <c r="B313" s="71" t="str">
        <f>'Stakeholder list'!C318</f>
        <v>Plan International Brasil (Plan International)</v>
      </c>
      <c r="C313" s="71" t="str">
        <f>'Stakeholder list'!D318</f>
        <v>Civil Society Organization (CSO)</v>
      </c>
      <c r="D313" s="71" t="str">
        <f>'Stakeholder list'!E318</f>
        <v>Bilateral cooperation agencies</v>
      </c>
      <c r="E313" s="71" t="str">
        <f>'Stakeholder list'!F318</f>
        <v>International NGO focused on children’s and girls’ rights; supports systemic transition by strengthening resilience, education and protection, with programs that can intersect with climate impacts and inclusive urban/rural development.</v>
      </c>
      <c r="F313" s="71" t="str">
        <f>'Stakeholder list'!G318</f>
        <v>Cross-border / international</v>
      </c>
      <c r="G313" s="71" t="str">
        <f>'Stakeholder list'!H318</f>
        <v>Emergency response</v>
      </c>
      <c r="H313" s="71" t="str">
        <f>'Stakeholder list'!I318</f>
        <v/>
      </c>
      <c r="I313" s="71" t="str">
        <f>'Stakeholder list'!J318</f>
        <v/>
      </c>
      <c r="J313" s="71" t="str">
        <f>'Stakeholder list'!K318</f>
        <v>No biome lens was assigned because the entry did not indicate a biome-delimited portfolio and programs were organized by communities/municipalities rather than biomes.</v>
      </c>
      <c r="K313" s="71" t="str">
        <f>'Stakeholder list'!L318</f>
        <v>Project developer / Implementer, Implementation capacity (delivery)</v>
      </c>
      <c r="L313" s="71" t="str">
        <f>'Stakeholder list'!M318</f>
        <v>Downstream</v>
      </c>
      <c r="M313" s="71" t="str">
        <f>'Stakeholder list'!N318</f>
        <v>Capacity building partner</v>
      </c>
      <c r="N313" s="71" t="str">
        <f>'Stakeholder list'!O318</f>
        <v>São Paulo, SP, Brazil</v>
      </c>
      <c r="O313" s="71" t="str">
        <f>'Stakeholder list'!P318</f>
        <v>Grantee</v>
      </c>
      <c r="P313" s="71" t="str">
        <f>'Stakeholder list'!Q318</f>
        <v/>
      </c>
      <c r="Q313" s="71" t="str">
        <f>'Stakeholder list'!R318</f>
        <v/>
      </c>
      <c r="R313" s="71" t="str">
        <f>'Stakeholder list'!S318</f>
        <v/>
      </c>
      <c r="S313" s="71" t="str">
        <f>'Stakeholder list'!T318</f>
        <v>—</v>
      </c>
      <c r="T313" s="71" t="str">
        <f>'Stakeholder list'!U318</f>
        <v/>
      </c>
      <c r="U313" s="71" t="str">
        <f>'Stakeholder list'!V318</f>
        <v/>
      </c>
      <c r="V313" s="71" t="str">
        <f>'Stakeholder list'!W318</f>
        <v/>
      </c>
      <c r="W313" s="71" t="str">
        <f>'Stakeholder list'!X318</f>
        <v/>
      </c>
    </row>
    <row r="314">
      <c r="A314" s="71">
        <f>'Stakeholder list'!B319</f>
        <v>313</v>
      </c>
      <c r="B314" s="71" t="str">
        <f>'Stakeholder list'!C319</f>
        <v>Save the Children Brasil (Save the Children)</v>
      </c>
      <c r="C314" s="71" t="str">
        <f>'Stakeholder list'!D319</f>
        <v>Civil Society Organization (CSO)</v>
      </c>
      <c r="D314" s="71" t="str">
        <f>'Stakeholder list'!E319</f>
        <v>Bilateral cooperation agencies</v>
      </c>
      <c r="E314" s="71" t="str">
        <f>'Stakeholder list'!F319</f>
        <v>International NGO focused on children’s rights and humanitarian response; supports systemic transition by addressing vulnerability, resilience and protection, including in climate-affected contexts.</v>
      </c>
      <c r="F314" s="71" t="str">
        <f>'Stakeholder list'!G319</f>
        <v>Cross-border / international</v>
      </c>
      <c r="G314" s="71" t="str">
        <f>'Stakeholder list'!H319</f>
        <v>Emergency response</v>
      </c>
      <c r="H314" s="71" t="str">
        <f>'Stakeholder list'!I319</f>
        <v/>
      </c>
      <c r="I314" s="71" t="str">
        <f>'Stakeholder list'!J319</f>
        <v/>
      </c>
      <c r="J314" s="71" t="str">
        <f>'Stakeholder list'!K319</f>
        <v>No biome lens was assigned because the mapping did not confirm a biome-delimited Brazil implementation portfolio for this entry.</v>
      </c>
      <c r="K314" s="71" t="str">
        <f>'Stakeholder list'!L319</f>
        <v>Project developer / Implementer, Implementation capacity (delivery)</v>
      </c>
      <c r="L314" s="71" t="str">
        <f>'Stakeholder list'!M319</f>
        <v>Downstream</v>
      </c>
      <c r="M314" s="71" t="str">
        <f>'Stakeholder list'!N319</f>
        <v>Capacity building partner</v>
      </c>
      <c r="N314" s="71" t="str">
        <f>'Stakeholder list'!O319</f>
        <v>São Paulo, SP, Brazil</v>
      </c>
      <c r="O314" s="71" t="str">
        <f>'Stakeholder list'!P319</f>
        <v>Grantee</v>
      </c>
      <c r="P314" s="71" t="str">
        <f>'Stakeholder list'!Q319</f>
        <v/>
      </c>
      <c r="Q314" s="71" t="str">
        <f>'Stakeholder list'!R319</f>
        <v/>
      </c>
      <c r="R314" s="71" t="str">
        <f>'Stakeholder list'!S319</f>
        <v/>
      </c>
      <c r="S314" s="71" t="str">
        <f>'Stakeholder list'!T319</f>
        <v>—</v>
      </c>
      <c r="T314" s="71" t="str">
        <f>'Stakeholder list'!U319</f>
        <v/>
      </c>
      <c r="U314" s="71" t="str">
        <f>'Stakeholder list'!V319</f>
        <v/>
      </c>
      <c r="V314" s="71" t="str">
        <f>'Stakeholder list'!W319</f>
        <v/>
      </c>
      <c r="W314" s="71" t="str">
        <f>'Stakeholder list'!X319</f>
        <v/>
      </c>
    </row>
    <row r="315">
      <c r="A315" s="71">
        <f>'Stakeholder list'!B320</f>
        <v>314</v>
      </c>
      <c r="B315" s="71" t="str">
        <f>'Stakeholder list'!C320</f>
        <v>Visão Mundial (Visão Mundial)</v>
      </c>
      <c r="C315" s="71" t="str">
        <f>'Stakeholder list'!D320</f>
        <v>Civil Society Organization (CSO)</v>
      </c>
      <c r="D315" s="71" t="str">
        <f>'Stakeholder list'!E320</f>
        <v>Bilateral cooperation agencies</v>
      </c>
      <c r="E315" s="71" t="str">
        <f>'Stakeholder list'!F320</f>
        <v>International humanitarian and development NGO; supports systemic transition through community-based development, emergency response and resilience building, including in climate-vulnerable territories.</v>
      </c>
      <c r="F315" s="71" t="str">
        <f>'Stakeholder list'!G320</f>
        <v>Cross-border / international</v>
      </c>
      <c r="G315" s="71" t="str">
        <f>'Stakeholder list'!H320</f>
        <v>Emergency response</v>
      </c>
      <c r="H315" s="71" t="str">
        <f>'Stakeholder list'!I320</f>
        <v/>
      </c>
      <c r="I315" s="71" t="str">
        <f>'Stakeholder list'!J320</f>
        <v/>
      </c>
      <c r="J315" s="71" t="str">
        <f>'Stakeholder list'!K320</f>
        <v>No biome lens was assigned because the entry did not confirm biome-delimited programming and actions were organized by communities/regions rather than biomes.</v>
      </c>
      <c r="K315" s="71" t="str">
        <f>'Stakeholder list'!L320</f>
        <v>Project developer / Implementer, Implementation capacity (delivery)</v>
      </c>
      <c r="L315" s="71" t="str">
        <f>'Stakeholder list'!M320</f>
        <v>Downstream</v>
      </c>
      <c r="M315" s="71" t="str">
        <f>'Stakeholder list'!N320</f>
        <v>Capacity building partner</v>
      </c>
      <c r="N315" s="71" t="str">
        <f>'Stakeholder list'!O320</f>
        <v>São Paulo, SP, Brazil</v>
      </c>
      <c r="O315" s="71" t="str">
        <f>'Stakeholder list'!P320</f>
        <v>Grantee</v>
      </c>
      <c r="P315" s="71" t="str">
        <f>'Stakeholder list'!Q320</f>
        <v/>
      </c>
      <c r="Q315" s="71" t="str">
        <f>'Stakeholder list'!R320</f>
        <v/>
      </c>
      <c r="R315" s="71" t="str">
        <f>'Stakeholder list'!S320</f>
        <v/>
      </c>
      <c r="S315" s="71" t="str">
        <f>'Stakeholder list'!T320</f>
        <v>—</v>
      </c>
      <c r="T315" s="71" t="str">
        <f>'Stakeholder list'!U320</f>
        <v/>
      </c>
      <c r="U315" s="71" t="str">
        <f>'Stakeholder list'!V320</f>
        <v/>
      </c>
      <c r="V315" s="71" t="str">
        <f>'Stakeholder list'!W320</f>
        <v/>
      </c>
      <c r="W315" s="71" t="str">
        <f>'Stakeholder list'!X320</f>
        <v/>
      </c>
    </row>
    <row r="316">
      <c r="A316" s="71">
        <f>'Stakeholder list'!B321</f>
        <v>315</v>
      </c>
      <c r="B316" s="71" t="str">
        <f>'Stakeholder list'!C321</f>
        <v>Movimento dos Trabalhadores Rurais Sem Terra (MST)</v>
      </c>
      <c r="C316" s="71" t="str">
        <f>'Stakeholder list'!D321</f>
        <v>Others</v>
      </c>
      <c r="D316" s="71" t="str">
        <f>'Stakeholder list'!E321</f>
        <v>Social moviments </v>
      </c>
      <c r="E316" s="71" t="str">
        <f>'Stakeholder list'!F321</f>
        <v>Mass social movement for agrarian reform and rural rights; influences AFOLU transition through advocacy, territorial organization, agroecology and food sovereignty agendas.</v>
      </c>
      <c r="F316" s="71" t="str">
        <f>'Stakeholder list'!G321</f>
        <v>National</v>
      </c>
      <c r="G316" s="71" t="str">
        <f>'Stakeholder list'!H321</f>
        <v>Emergency response, "Land, Food and Forest"</v>
      </c>
      <c r="H316" s="71" t="str">
        <f>'Stakeholder list'!I321</f>
        <v>Amazonia, Caatinga, Cerrado</v>
      </c>
      <c r="I316" s="71" t="str">
        <f>'Stakeholder list'!J321</f>
        <v>Mata&amp;Atlântica, Pantanal, Pampa</v>
      </c>
      <c r="J316" s="71" t="str">
        <f>'Stakeholder list'!K321</f>
        <v>It organized land/agroecology struggles strongly present in Cerrado and Mata Atlântica rural zones and it also operated in Caatinga and Amazônia territories through national capillarity.</v>
      </c>
      <c r="K316" s="71" t="str">
        <f>'Stakeholder list'!L321</f>
        <v>Community legitimacy / proximate leadership, Implementation capacity (delivery)</v>
      </c>
      <c r="L316" s="71" t="str">
        <f>'Stakeholder list'!M321</f>
        <v>Downstream</v>
      </c>
      <c r="M316" s="71" t="str">
        <f>'Stakeholder list'!N321</f>
        <v>Grant recipient</v>
      </c>
      <c r="N316" s="71" t="str">
        <f>'Stakeholder list'!O321</f>
        <v>São Paulo, SP, Brazil</v>
      </c>
      <c r="O316" s="71" t="str">
        <f>'Stakeholder list'!P321</f>
        <v>Grantee</v>
      </c>
      <c r="P316" s="71" t="str">
        <f>'Stakeholder list'!Q321</f>
        <v/>
      </c>
      <c r="Q316" s="71" t="str">
        <f>'Stakeholder list'!R321</f>
        <v/>
      </c>
      <c r="R316" s="71" t="str">
        <f>'Stakeholder list'!S321</f>
        <v/>
      </c>
      <c r="S316" s="71" t="str">
        <f>'Stakeholder list'!T321</f>
        <v>—</v>
      </c>
      <c r="T316" s="71" t="str">
        <f>'Stakeholder list'!U321</f>
        <v/>
      </c>
      <c r="U316" s="71" t="str">
        <f>'Stakeholder list'!V321</f>
        <v/>
      </c>
      <c r="V316" s="71" t="str">
        <f>'Stakeholder list'!W321</f>
        <v/>
      </c>
      <c r="W316" s="71" t="str">
        <f>'Stakeholder list'!X321</f>
        <v/>
      </c>
    </row>
    <row r="317">
      <c r="A317" s="71">
        <f>'Stakeholder list'!B322</f>
        <v>316</v>
      </c>
      <c r="B317" s="71" t="str">
        <f>'Stakeholder list'!C322</f>
        <v>Movimento dos Trabalhadores Sem Teto (MTST)</v>
      </c>
      <c r="C317" s="71" t="str">
        <f>'Stakeholder list'!D322</f>
        <v>Others</v>
      </c>
      <c r="D317" s="71" t="str">
        <f>'Stakeholder list'!E322</f>
        <v>Social moviments </v>
      </c>
      <c r="E317" s="71" t="str">
        <f>'Stakeholder list'!F322</f>
        <v>Urban housing rights movement; relevant to buildings/urban transition through advocacy for inclusive housing policy, urban services and just city development.</v>
      </c>
      <c r="F317" s="71" t="str">
        <f>'Stakeholder list'!G322</f>
        <v>National</v>
      </c>
      <c r="G317" s="71" t="str">
        <f>'Stakeholder list'!H322</f>
        <v>Buildings &amp; Transport</v>
      </c>
      <c r="H317" s="71" t="str">
        <f>'Stakeholder list'!I322</f>
        <v/>
      </c>
      <c r="I317" s="71" t="str">
        <f>'Stakeholder list'!J322</f>
        <v/>
      </c>
      <c r="J317" s="71" t="str">
        <f>'Stakeholder list'!K322</f>
        <v>No biome lens was assigned because it operated as an urban movement and the territorial unit was metropolitan/peripheral areas rather than biomes.</v>
      </c>
      <c r="K317" s="71" t="str">
        <f>'Stakeholder list'!L322</f>
        <v>Community legitimacy / proximate leadership, Policy influence / regulation</v>
      </c>
      <c r="L317" s="71" t="str">
        <f>'Stakeholder list'!M322</f>
        <v>Downstream</v>
      </c>
      <c r="M317" s="71" t="str">
        <f>'Stakeholder list'!N322</f>
        <v>Grant recipient</v>
      </c>
      <c r="N317" s="71" t="str">
        <f>'Stakeholder list'!O322</f>
        <v>São Paulo, SP, Brazil</v>
      </c>
      <c r="O317" s="71" t="str">
        <f>'Stakeholder list'!P322</f>
        <v>Grantee</v>
      </c>
      <c r="P317" s="71" t="str">
        <f>'Stakeholder list'!Q322</f>
        <v/>
      </c>
      <c r="Q317" s="71" t="str">
        <f>'Stakeholder list'!R322</f>
        <v/>
      </c>
      <c r="R317" s="71" t="str">
        <f>'Stakeholder list'!S322</f>
        <v/>
      </c>
      <c r="S317" s="71" t="str">
        <f>'Stakeholder list'!T322</f>
        <v>—</v>
      </c>
      <c r="T317" s="71" t="str">
        <f>'Stakeholder list'!U322</f>
        <v/>
      </c>
      <c r="U317" s="71" t="str">
        <f>'Stakeholder list'!V322</f>
        <v/>
      </c>
      <c r="V317" s="71" t="str">
        <f>'Stakeholder list'!W322</f>
        <v/>
      </c>
      <c r="W317" s="71" t="str">
        <f>'Stakeholder list'!X322</f>
        <v/>
      </c>
    </row>
    <row r="318">
      <c r="A318" s="71">
        <f>'Stakeholder list'!B323</f>
        <v>317</v>
      </c>
      <c r="B318" s="71" t="str">
        <f>'Stakeholder list'!C323</f>
        <v>Movimento dos Atingidos por Barragens (MAB)</v>
      </c>
      <c r="C318" s="71" t="str">
        <f>'Stakeholder list'!D323</f>
        <v>Others</v>
      </c>
      <c r="D318" s="71" t="str">
        <f>'Stakeholder list'!E323</f>
        <v>Social moviments </v>
      </c>
      <c r="E318" s="71" t="str">
        <f>'Stakeholder list'!F323</f>
        <v>Movement representing communities affected by dams and energy projects; relevant to energy transition governance, safeguards, compensation and rights-based infrastructure planning.</v>
      </c>
      <c r="F318" s="71" t="str">
        <f>'Stakeholder list'!G323</f>
        <v>National</v>
      </c>
      <c r="G318" s="71" t="str">
        <f>'Stakeholder list'!H323</f>
        <v>Energy, "Land, Food and Forest"</v>
      </c>
      <c r="H318" s="71" t="str">
        <f>'Stakeholder list'!I323</f>
        <v>Amazonia, Caatinga, Cerrado</v>
      </c>
      <c r="I318" s="71" t="str">
        <f>'Stakeholder list'!J323</f>
        <v>Mata&amp;Atlântica</v>
      </c>
      <c r="J318" s="71" t="str">
        <f>'Stakeholder list'!K323</f>
        <v>It mobilized around large hydropower and river-basin conflicts prominently affecting Amazon and Atlantic Forest regions and it also acted in Cerrado and Caatinga basins through national coverage.</v>
      </c>
      <c r="K318" s="71" t="str">
        <f>'Stakeholder list'!L323</f>
        <v>Community legitimacy / proximate leadership, Policy influence / regulation</v>
      </c>
      <c r="L318" s="71" t="str">
        <f>'Stakeholder list'!M323</f>
        <v>Downstream</v>
      </c>
      <c r="M318" s="71" t="str">
        <f>'Stakeholder list'!N323</f>
        <v>Grant recipient</v>
      </c>
      <c r="N318" s="71" t="str">
        <f>'Stakeholder list'!O323</f>
        <v>Brasília, DF, Brazil</v>
      </c>
      <c r="O318" s="71" t="str">
        <f>'Stakeholder list'!P323</f>
        <v>Grantee</v>
      </c>
      <c r="P318" s="71" t="str">
        <f>'Stakeholder list'!Q323</f>
        <v/>
      </c>
      <c r="Q318" s="71" t="str">
        <f>'Stakeholder list'!R323</f>
        <v/>
      </c>
      <c r="R318" s="71" t="str">
        <f>'Stakeholder list'!S323</f>
        <v/>
      </c>
      <c r="S318" s="71" t="str">
        <f>'Stakeholder list'!T323</f>
        <v>—</v>
      </c>
      <c r="T318" s="71" t="str">
        <f>'Stakeholder list'!U323</f>
        <v/>
      </c>
      <c r="U318" s="71" t="str">
        <f>'Stakeholder list'!V323</f>
        <v/>
      </c>
      <c r="V318" s="71" t="str">
        <f>'Stakeholder list'!W323</f>
        <v/>
      </c>
      <c r="W318" s="71" t="str">
        <f>'Stakeholder list'!X323</f>
        <v/>
      </c>
    </row>
    <row r="319">
      <c r="A319" s="71">
        <f>'Stakeholder list'!B324</f>
        <v>318</v>
      </c>
      <c r="B319" s="71" t="str">
        <f>'Stakeholder list'!C324</f>
        <v>Movimento dos Pequenos Agricultores (MPA)</v>
      </c>
      <c r="C319" s="71" t="str">
        <f>'Stakeholder list'!D324</f>
        <v>Others</v>
      </c>
      <c r="D319" s="71" t="str">
        <f>'Stakeholder list'!E324</f>
        <v>Social moviments </v>
      </c>
      <c r="E319" s="71" t="str">
        <f>'Stakeholder list'!F324</f>
        <v>Rural movement representing small farmers; supports AFOLU transition through agroecology, food sovereignty and advocacy for inclusive rural policies and resilient production systems.</v>
      </c>
      <c r="F319" s="71" t="str">
        <f>'Stakeholder list'!G324</f>
        <v>National</v>
      </c>
      <c r="G319" s="71" t="str">
        <f>'Stakeholder list'!H324</f>
        <v>"Land, Food and Forest"</v>
      </c>
      <c r="H319" s="71" t="str">
        <f>'Stakeholder list'!I324</f>
        <v>Amazonia, Caatinga, Cerrado</v>
      </c>
      <c r="I319" s="71" t="str">
        <f>'Stakeholder list'!J324</f>
        <v>Mata&amp;Atlântica</v>
      </c>
      <c r="J319" s="71" t="str">
        <f>'Stakeholder list'!K324</f>
        <v>It organized smallholder and agroecology agendas strongly associated with Semi-arid Caatinga and Cerrado family-farming territories and it also acted in Mata Atlântica and Amazônia contexts via national presence.</v>
      </c>
      <c r="K319" s="71" t="str">
        <f>'Stakeholder list'!L324</f>
        <v>Community legitimacy / proximate leadership, Implementation capacity (delivery)</v>
      </c>
      <c r="L319" s="71" t="str">
        <f>'Stakeholder list'!M324</f>
        <v>Downstream</v>
      </c>
      <c r="M319" s="71" t="str">
        <f>'Stakeholder list'!N324</f>
        <v>Grant recipient</v>
      </c>
      <c r="N319" s="71" t="str">
        <f>'Stakeholder list'!O324</f>
        <v>Brasília, DF, Brazil</v>
      </c>
      <c r="O319" s="71" t="str">
        <f>'Stakeholder list'!P324</f>
        <v>Grantee</v>
      </c>
      <c r="P319" s="71" t="str">
        <f>'Stakeholder list'!Q324</f>
        <v/>
      </c>
      <c r="Q319" s="71" t="str">
        <f>'Stakeholder list'!R324</f>
        <v/>
      </c>
      <c r="R319" s="71" t="str">
        <f>'Stakeholder list'!S324</f>
        <v/>
      </c>
      <c r="S319" s="71" t="str">
        <f>'Stakeholder list'!T324</f>
        <v>—</v>
      </c>
      <c r="T319" s="71" t="str">
        <f>'Stakeholder list'!U324</f>
        <v/>
      </c>
      <c r="U319" s="71" t="str">
        <f>'Stakeholder list'!V324</f>
        <v/>
      </c>
      <c r="V319" s="71" t="str">
        <f>'Stakeholder list'!W324</f>
        <v/>
      </c>
      <c r="W319" s="71" t="str">
        <f>'Stakeholder list'!X324</f>
        <v/>
      </c>
    </row>
    <row r="320">
      <c r="A320" s="71">
        <f>'Stakeholder list'!B325</f>
        <v>319</v>
      </c>
      <c r="B320" s="71" t="str">
        <f>'Stakeholder list'!C325</f>
        <v>Movimento pela Soberania Popular na Mineração (MAM)</v>
      </c>
      <c r="C320" s="71" t="str">
        <f>'Stakeholder list'!D325</f>
        <v>Others</v>
      </c>
      <c r="D320" s="71" t="str">
        <f>'Stakeholder list'!E325</f>
        <v>Social moviments </v>
      </c>
      <c r="E320" s="71" t="str">
        <f>'Stakeholder list'!F325</f>
        <v>Social movement focused on mining impacts and sovereignty; relevant to just transition by advocating for socio-environmental safeguards, community rights and responsible mineral supply chains.</v>
      </c>
      <c r="F320" s="71" t="str">
        <f>'Stakeholder list'!G325</f>
        <v>National</v>
      </c>
      <c r="G320" s="71" t="str">
        <f>'Stakeholder list'!H325</f>
        <v>Energy, "Land, Food and Forest"</v>
      </c>
      <c r="H320" s="71" t="str">
        <f>'Stakeholder list'!I325</f>
        <v>Amazonia, Cerrado</v>
      </c>
      <c r="I320" s="71" t="str">
        <f>'Stakeholder list'!J325</f>
        <v>Mata&amp;Atlântica</v>
      </c>
      <c r="J320" s="71" t="str">
        <f>'Stakeholder list'!K325</f>
        <v>It mobilized around mining frontiers and socio-environmental conflicts frequently concentrated in Amazônia and mining corridors in Mata Atlântica states and it also engaged Cerrado mining expansion areas.</v>
      </c>
      <c r="K320" s="71" t="str">
        <f>'Stakeholder list'!L325</f>
        <v>Community legitimacy / proximate leadership, Policy influence / regulation</v>
      </c>
      <c r="L320" s="71" t="str">
        <f>'Stakeholder list'!M325</f>
        <v>Downstream</v>
      </c>
      <c r="M320" s="71" t="str">
        <f>'Stakeholder list'!N325</f>
        <v>Grant recipient</v>
      </c>
      <c r="N320" s="71" t="str">
        <f>'Stakeholder list'!O325</f>
        <v>Belo Horizonte, MG, Brazil</v>
      </c>
      <c r="O320" s="71" t="str">
        <f>'Stakeholder list'!P325</f>
        <v>Grantee</v>
      </c>
      <c r="P320" s="71" t="str">
        <f>'Stakeholder list'!Q325</f>
        <v/>
      </c>
      <c r="Q320" s="71" t="str">
        <f>'Stakeholder list'!R325</f>
        <v/>
      </c>
      <c r="R320" s="71" t="str">
        <f>'Stakeholder list'!S325</f>
        <v/>
      </c>
      <c r="S320" s="71" t="str">
        <f>'Stakeholder list'!T325</f>
        <v>—</v>
      </c>
      <c r="T320" s="71" t="str">
        <f>'Stakeholder list'!U325</f>
        <v/>
      </c>
      <c r="U320" s="71" t="str">
        <f>'Stakeholder list'!V325</f>
        <v/>
      </c>
      <c r="V320" s="71" t="str">
        <f>'Stakeholder list'!W325</f>
        <v/>
      </c>
      <c r="W320" s="71" t="str">
        <f>'Stakeholder list'!X325</f>
        <v/>
      </c>
    </row>
    <row r="321">
      <c r="A321" s="71">
        <f>'Stakeholder list'!B326</f>
        <v>320</v>
      </c>
      <c r="B321" s="71" t="str">
        <f>'Stakeholder list'!C326</f>
        <v>Confederação Nacional dos Trabalhadores Rurais Agricultores e Agricultoras Familiares (CONTAG)</v>
      </c>
      <c r="C321" s="71" t="str">
        <f>'Stakeholder list'!D326</f>
        <v>Others</v>
      </c>
      <c r="D321" s="71" t="str">
        <f>'Stakeholder list'!E326</f>
        <v>Social moviments </v>
      </c>
      <c r="E321" s="71" t="str">
        <f>'Stakeholder list'!F326</f>
        <v>National confederation representing rural workers and family farmers; central to AFOLU transition via advocacy, collective organization, and policy engagement for inclusive, resilient rural development.</v>
      </c>
      <c r="F321" s="71" t="str">
        <f>'Stakeholder list'!G326</f>
        <v>National</v>
      </c>
      <c r="G321" s="71" t="str">
        <f>'Stakeholder list'!H326</f>
        <v>"Land, Food and Forest"</v>
      </c>
      <c r="H321" s="71" t="str">
        <f>'Stakeholder list'!I326</f>
        <v>Amazonia, Caatinga, Cerrado</v>
      </c>
      <c r="I321" s="71" t="str">
        <f>'Stakeholder list'!J326</f>
        <v>Mata&amp;Atlântica, Pantanal, Pampa</v>
      </c>
      <c r="J321" s="71" t="str">
        <f>'Stakeholder list'!K326</f>
        <v>It represented large family-farming bases strongly present in Caatinga and Cerrado territories and it also engaged national agendas affecting Mata Atlântica and Amazônia rural workers.</v>
      </c>
      <c r="K321" s="71" t="str">
        <f>'Stakeholder list'!L326</f>
        <v>Community legitimacy / proximate leadership, Convenor/enablers</v>
      </c>
      <c r="L321" s="71" t="str">
        <f>'Stakeholder list'!M326</f>
        <v>Midstream</v>
      </c>
      <c r="M321" s="71" t="str">
        <f>'Stakeholder list'!N326</f>
        <v>Grant recipient</v>
      </c>
      <c r="N321" s="71" t="str">
        <f>'Stakeholder list'!O326</f>
        <v>Brasília, DF, Brazil</v>
      </c>
      <c r="O321" s="71" t="str">
        <f>'Stakeholder list'!P326</f>
        <v>Grantee</v>
      </c>
      <c r="P321" s="71" t="str">
        <f>'Stakeholder list'!Q326</f>
        <v/>
      </c>
      <c r="Q321" s="71" t="str">
        <f>'Stakeholder list'!R326</f>
        <v/>
      </c>
      <c r="R321" s="71" t="str">
        <f>'Stakeholder list'!S326</f>
        <v/>
      </c>
      <c r="S321" s="71" t="str">
        <f>'Stakeholder list'!T326</f>
        <v>—</v>
      </c>
      <c r="T321" s="71" t="str">
        <f>'Stakeholder list'!U326</f>
        <v/>
      </c>
      <c r="U321" s="71" t="str">
        <f>'Stakeholder list'!V326</f>
        <v/>
      </c>
      <c r="V321" s="71" t="str">
        <f>'Stakeholder list'!W326</f>
        <v/>
      </c>
      <c r="W321" s="71" t="str">
        <f>'Stakeholder list'!X326</f>
        <v/>
      </c>
    </row>
    <row r="322">
      <c r="A322" s="71">
        <f>'Stakeholder list'!B327</f>
        <v>321</v>
      </c>
      <c r="B322" s="71" t="str">
        <f>'Stakeholder list'!C327</f>
        <v>Coordenação Nacional de Articulação das Comunidades Negras Rurais Quilombolas (CONAQ)</v>
      </c>
      <c r="C322" s="71" t="str">
        <f>'Stakeholder list'!D327</f>
        <v>Others</v>
      </c>
      <c r="D322" s="71" t="str">
        <f>'Stakeholder list'!E327</f>
        <v>Social moviments </v>
      </c>
      <c r="E322" s="71" t="str">
        <f>'Stakeholder list'!F327</f>
        <v>National articulation of Quilombola communities; critical for territorial rights, socio-environmental justice and nature-positive development aligned with AFOLU and just transition goals.</v>
      </c>
      <c r="F322" s="71" t="str">
        <f>'Stakeholder list'!G327</f>
        <v>National</v>
      </c>
      <c r="G322" s="71" t="str">
        <f>'Stakeholder list'!H327</f>
        <v>"Land, Food and Forest"</v>
      </c>
      <c r="H322" s="71" t="str">
        <f>'Stakeholder list'!I327</f>
        <v>Amazonia, Caatinga, Cerrado</v>
      </c>
      <c r="I322" s="71" t="str">
        <f>'Stakeholder list'!J327</f>
        <v>Mata&amp;Atlântica, Pantanal, Pampa</v>
      </c>
      <c r="J322" s="71" t="str">
        <f>'Stakeholder list'!K327</f>
        <v>It defended Quilombola territorial rights with strong incidence in Mata Atlântica and Cerrado areas and it also engaged Amazon and Caatinga quilombola territories through national articulation.</v>
      </c>
      <c r="K322" s="71" t="str">
        <f>'Stakeholder list'!L327</f>
        <v>Community legitimacy / proximate leadership, Policy influence / regulation</v>
      </c>
      <c r="L322" s="71" t="str">
        <f>'Stakeholder list'!M327</f>
        <v>Downstream</v>
      </c>
      <c r="M322" s="71" t="str">
        <f>'Stakeholder list'!N327</f>
        <v>Grant recipient</v>
      </c>
      <c r="N322" s="71" t="str">
        <f>'Stakeholder list'!O327</f>
        <v>Brasília, DF, Brazil</v>
      </c>
      <c r="O322" s="71" t="str">
        <f>'Stakeholder list'!P327</f>
        <v>Grantee</v>
      </c>
      <c r="P322" s="71" t="str">
        <f>'Stakeholder list'!Q327</f>
        <v/>
      </c>
      <c r="Q322" s="71" t="str">
        <f>'Stakeholder list'!R327</f>
        <v/>
      </c>
      <c r="R322" s="71" t="str">
        <f>'Stakeholder list'!S327</f>
        <v/>
      </c>
      <c r="S322" s="71" t="str">
        <f>'Stakeholder list'!T327</f>
        <v>—</v>
      </c>
      <c r="T322" s="71" t="str">
        <f>'Stakeholder list'!U327</f>
        <v/>
      </c>
      <c r="U322" s="71" t="str">
        <f>'Stakeholder list'!V327</f>
        <v/>
      </c>
      <c r="V322" s="71" t="str">
        <f>'Stakeholder list'!W327</f>
        <v/>
      </c>
      <c r="W322" s="71" t="str">
        <f>'Stakeholder list'!X327</f>
        <v/>
      </c>
    </row>
    <row r="323">
      <c r="A323" s="71">
        <f>'Stakeholder list'!B328</f>
        <v>322</v>
      </c>
      <c r="B323" s="71" t="str">
        <f>'Stakeholder list'!C328</f>
        <v>Movimento Negro Unificado (MNU)</v>
      </c>
      <c r="C323" s="71" t="str">
        <f>'Stakeholder list'!D328</f>
        <v>Others</v>
      </c>
      <c r="D323" s="71" t="str">
        <f>'Stakeholder list'!E328</f>
        <v>Social moviments </v>
      </c>
      <c r="E323" s="71" t="str">
        <f>'Stakeholder list'!F328</f>
        <v>Black movement organization advocating racial justice; relevant for just transition by linking climate and development agendas to equity, rights and anti-racism in policy and governance.</v>
      </c>
      <c r="F323" s="71" t="str">
        <f>'Stakeholder list'!G328</f>
        <v>National</v>
      </c>
      <c r="G323" s="71" t="str">
        <f>'Stakeholder list'!H328</f>
        <v/>
      </c>
      <c r="H323" s="71" t="str">
        <f>'Stakeholder list'!I328</f>
        <v/>
      </c>
      <c r="I323" s="71" t="str">
        <f>'Stakeholder list'!J328</f>
        <v/>
      </c>
      <c r="J323" s="71" t="str">
        <f>'Stakeholder list'!K328</f>
        <v>No biome lens was assigned because it operated through social/political advocacy without biome-delimited initiatives in this mapping.</v>
      </c>
      <c r="K323" s="71" t="str">
        <f>'Stakeholder list'!L328</f>
        <v>Community legitimacy / proximate leadership, Policy influence / regulation</v>
      </c>
      <c r="L323" s="71" t="str">
        <f>'Stakeholder list'!M328</f>
        <v>Downstream</v>
      </c>
      <c r="M323" s="71" t="str">
        <f>'Stakeholder list'!N328</f>
        <v>Grant recipient</v>
      </c>
      <c r="N323" s="71" t="str">
        <f>'Stakeholder list'!O328</f>
        <v>São Paulo, SP, Brazil</v>
      </c>
      <c r="O323" s="71" t="str">
        <f>'Stakeholder list'!P328</f>
        <v>Grantee</v>
      </c>
      <c r="P323" s="71" t="str">
        <f>'Stakeholder list'!Q328</f>
        <v/>
      </c>
      <c r="Q323" s="71" t="str">
        <f>'Stakeholder list'!R328</f>
        <v/>
      </c>
      <c r="R323" s="71" t="str">
        <f>'Stakeholder list'!S328</f>
        <v/>
      </c>
      <c r="S323" s="71" t="str">
        <f>'Stakeholder list'!T328</f>
        <v>—</v>
      </c>
      <c r="T323" s="71" t="str">
        <f>'Stakeholder list'!U328</f>
        <v/>
      </c>
      <c r="U323" s="71" t="str">
        <f>'Stakeholder list'!V328</f>
        <v/>
      </c>
      <c r="V323" s="71" t="str">
        <f>'Stakeholder list'!W328</f>
        <v/>
      </c>
      <c r="W323" s="71" t="str">
        <f>'Stakeholder list'!X328</f>
        <v/>
      </c>
    </row>
    <row r="324">
      <c r="A324" s="71">
        <f>'Stakeholder list'!B329</f>
        <v>323</v>
      </c>
      <c r="B324" s="71" t="str">
        <f>'Stakeholder list'!C329</f>
        <v>Movimento de Mulheres Camponesas (MMC)</v>
      </c>
      <c r="C324" s="71" t="str">
        <f>'Stakeholder list'!D329</f>
        <v>Others</v>
      </c>
      <c r="D324" s="71" t="str">
        <f>'Stakeholder list'!E329</f>
        <v>Social moviments </v>
      </c>
      <c r="E324" s="71" t="str">
        <f>'Stakeholder list'!F329</f>
        <v>Movement of peasant women; supports AFOLU transition through agroecology, food systems, gender justice and rural livelihoods advocacy.</v>
      </c>
      <c r="F324" s="71" t="str">
        <f>'Stakeholder list'!G329</f>
        <v>National</v>
      </c>
      <c r="G324" s="71" t="str">
        <f>'Stakeholder list'!H329</f>
        <v>"Land, Food and Forest"</v>
      </c>
      <c r="H324" s="71" t="str">
        <f>'Stakeholder list'!I329</f>
        <v>Amazonia, Caatinga, Cerrado</v>
      </c>
      <c r="I324" s="71" t="str">
        <f>'Stakeholder list'!J329</f>
        <v>Mata&amp;Atlântica, Pantanal, Pampa</v>
      </c>
      <c r="J324" s="71" t="str">
        <f>'Stakeholder list'!K329</f>
        <v>It advanced agroecology and rural women’s organizing strongly present in Caatinga and Mata Atlântica rural territories and it also operated in Cerrado and Amazônia contexts through national reach.</v>
      </c>
      <c r="K324" s="71" t="str">
        <f>'Stakeholder list'!L329</f>
        <v>Community legitimacy / proximate leadership</v>
      </c>
      <c r="L324" s="71" t="str">
        <f>'Stakeholder list'!M329</f>
        <v>Downstream</v>
      </c>
      <c r="M324" s="71" t="str">
        <f>'Stakeholder list'!N329</f>
        <v>Grant recipient</v>
      </c>
      <c r="N324" s="71" t="str">
        <f>'Stakeholder list'!O329</f>
        <v>Passo Fundo, RS, Brazil</v>
      </c>
      <c r="O324" s="71" t="str">
        <f>'Stakeholder list'!P329</f>
        <v>Grantee</v>
      </c>
      <c r="P324" s="71" t="str">
        <f>'Stakeholder list'!Q329</f>
        <v/>
      </c>
      <c r="Q324" s="71" t="str">
        <f>'Stakeholder list'!R329</f>
        <v/>
      </c>
      <c r="R324" s="71" t="str">
        <f>'Stakeholder list'!S329</f>
        <v/>
      </c>
      <c r="S324" s="71" t="str">
        <f>'Stakeholder list'!T329</f>
        <v>—</v>
      </c>
      <c r="T324" s="71" t="str">
        <f>'Stakeholder list'!U329</f>
        <v/>
      </c>
      <c r="U324" s="71" t="str">
        <f>'Stakeholder list'!V329</f>
        <v/>
      </c>
      <c r="V324" s="71" t="str">
        <f>'Stakeholder list'!W329</f>
        <v/>
      </c>
      <c r="W324" s="71" t="str">
        <f>'Stakeholder list'!X329</f>
        <v/>
      </c>
    </row>
    <row r="325">
      <c r="A325" s="71">
        <f>'Stakeholder list'!B330</f>
        <v>324</v>
      </c>
      <c r="B325" s="71" t="str">
        <f>'Stakeholder list'!C330</f>
        <v>Movimento Interestadual das Quebradeiras de Coco Babaçu (MIQCB)</v>
      </c>
      <c r="C325" s="71" t="str">
        <f>'Stakeholder list'!D330</f>
        <v>Others</v>
      </c>
      <c r="D325" s="71" t="str">
        <f>'Stakeholder list'!E330</f>
        <v>Social moviments </v>
      </c>
      <c r="E325" s="71" t="str">
        <f>'Stakeholder list'!F330</f>
        <v>Movement representing babaçu coconut breakers; relevant to AFOLU transition through defense of access rights, socio-biodiversity value chains and community-based forest/agroextractive economies.</v>
      </c>
      <c r="F325" s="71" t="str">
        <f>'Stakeholder list'!G330</f>
        <v>Regional</v>
      </c>
      <c r="G325" s="71" t="str">
        <f>'Stakeholder list'!H330</f>
        <v>"Land, Food and Forest"</v>
      </c>
      <c r="H325" s="71" t="str">
        <f>'Stakeholder list'!I330</f>
        <v>Amazonia, Cerrado</v>
      </c>
      <c r="I325" s="71" t="str">
        <f>'Stakeholder list'!J330</f>
        <v/>
      </c>
      <c r="J325" s="71" t="str">
        <f>'Stakeholder list'!K330</f>
        <v>It operated in the babaçu zone strongly associated with Cerrado transition areas and it also engaged forest–frontier territories connected to Amazônia interfaces.</v>
      </c>
      <c r="K325" s="71" t="str">
        <f>'Stakeholder list'!L330</f>
        <v>Community legitimacy / proximate leadership, Territorial anchor</v>
      </c>
      <c r="L325" s="71" t="str">
        <f>'Stakeholder list'!M330</f>
        <v>Downstream</v>
      </c>
      <c r="M325" s="71" t="str">
        <f>'Stakeholder list'!N330</f>
        <v>Grant recipient</v>
      </c>
      <c r="N325" s="71" t="str">
        <f>'Stakeholder list'!O330</f>
        <v>São Luís, MA, Brazil</v>
      </c>
      <c r="O325" s="71" t="str">
        <f>'Stakeholder list'!P330</f>
        <v>Grantee</v>
      </c>
      <c r="P325" s="71" t="str">
        <f>'Stakeholder list'!Q330</f>
        <v/>
      </c>
      <c r="Q325" s="71" t="str">
        <f>'Stakeholder list'!R330</f>
        <v/>
      </c>
      <c r="R325" s="71" t="str">
        <f>'Stakeholder list'!S330</f>
        <v/>
      </c>
      <c r="S325" s="71" t="str">
        <f>'Stakeholder list'!T330</f>
        <v>—</v>
      </c>
      <c r="T325" s="71" t="str">
        <f>'Stakeholder list'!U330</f>
        <v/>
      </c>
      <c r="U325" s="71" t="str">
        <f>'Stakeholder list'!V330</f>
        <v/>
      </c>
      <c r="V325" s="71" t="str">
        <f>'Stakeholder list'!W330</f>
        <v/>
      </c>
      <c r="W325" s="71" t="str">
        <f>'Stakeholder list'!X330</f>
        <v/>
      </c>
    </row>
    <row r="326">
      <c r="A326" s="71">
        <f>'Stakeholder list'!B331</f>
        <v>325</v>
      </c>
      <c r="B326" s="71" t="str">
        <f>'Stakeholder list'!C331</f>
        <v>Conselho Pastoral dos Pescadores (CPP)</v>
      </c>
      <c r="C326" s="71" t="str">
        <f>'Stakeholder list'!D331</f>
        <v>Civil Society Organization (CSO)</v>
      </c>
      <c r="D326" s="71" t="str">
        <f>'Stakeholder list'!E331</f>
        <v>Social moviments </v>
      </c>
      <c r="E326" s="71" t="str">
        <f>'Stakeholder list'!F331</f>
        <v>Rights-based pastoral organization supporting artisanal fishing communities; relevant to just transition and AFOLU by advocating for livelihoods, territorial waters rights and protection of traditional communities.</v>
      </c>
      <c r="F326" s="71" t="str">
        <f>'Stakeholder list'!G331</f>
        <v>National</v>
      </c>
      <c r="G326" s="71" t="str">
        <f>'Stakeholder list'!H331</f>
        <v>"Land, Food and Forest"</v>
      </c>
      <c r="H326" s="71" t="str">
        <f>'Stakeholder list'!I331</f>
        <v>Amazonia</v>
      </c>
      <c r="I326" s="71" t="str">
        <f>'Stakeholder list'!J331</f>
        <v>Coastal&amp;maritime, Mata&amp;Atlântica</v>
      </c>
      <c r="J326" s="71" t="str">
        <f>'Stakeholder list'!K331</f>
        <v>It supported artisanal fishing agendas primarily in coastal-maritime territories and it also engaged riverine/fishing conflicts linked to Amazônia and Mata Atlântica coastal states.</v>
      </c>
      <c r="K326" s="71" t="str">
        <f>'Stakeholder list'!L331</f>
        <v>Community legitimacy / proximate leadership</v>
      </c>
      <c r="L326" s="71" t="str">
        <f>'Stakeholder list'!M331</f>
        <v>Downstream</v>
      </c>
      <c r="M326" s="71" t="str">
        <f>'Stakeholder list'!N331</f>
        <v>Grant recipient</v>
      </c>
      <c r="N326" s="71" t="str">
        <f>'Stakeholder list'!O331</f>
        <v>Recife, PE, Brazil</v>
      </c>
      <c r="O326" s="71" t="str">
        <f>'Stakeholder list'!P331</f>
        <v>Grantee</v>
      </c>
      <c r="P326" s="71" t="str">
        <f>'Stakeholder list'!Q331</f>
        <v/>
      </c>
      <c r="Q326" s="71" t="str">
        <f>'Stakeholder list'!R331</f>
        <v/>
      </c>
      <c r="R326" s="71" t="str">
        <f>'Stakeholder list'!S331</f>
        <v/>
      </c>
      <c r="S326" s="71" t="str">
        <f>'Stakeholder list'!T331</f>
        <v>—</v>
      </c>
      <c r="T326" s="71" t="str">
        <f>'Stakeholder list'!U331</f>
        <v/>
      </c>
      <c r="U326" s="71" t="str">
        <f>'Stakeholder list'!V331</f>
        <v/>
      </c>
      <c r="V326" s="71" t="str">
        <f>'Stakeholder list'!W331</f>
        <v/>
      </c>
      <c r="W326" s="71" t="str">
        <f>'Stakeholder list'!X331</f>
        <v/>
      </c>
    </row>
    <row r="327">
      <c r="A327" s="71">
        <f>'Stakeholder list'!B332</f>
        <v>326</v>
      </c>
      <c r="B327" s="71" t="str">
        <f>'Stakeholder list'!C332</f>
        <v>Movimento Nacional de Catadores de Materiais Recicláveis (MNCR)</v>
      </c>
      <c r="C327" s="71" t="str">
        <f>'Stakeholder list'!D332</f>
        <v>Others</v>
      </c>
      <c r="D327" s="71" t="str">
        <f>'Stakeholder list'!E332</f>
        <v>Social moviments </v>
      </c>
      <c r="E327" s="71" t="str">
        <f>'Stakeholder list'!F332</f>
        <v>National movement of recyclables collectors; relevant to buildings/cities transition via circular economy, waste management justice and inclusion of waste picker cooperatives.</v>
      </c>
      <c r="F327" s="71" t="str">
        <f>'Stakeholder list'!G332</f>
        <v>National</v>
      </c>
      <c r="G327" s="71" t="str">
        <f>'Stakeholder list'!H332</f>
        <v>Buildings &amp; Transport</v>
      </c>
      <c r="H327" s="71" t="str">
        <f>'Stakeholder list'!I332</f>
        <v/>
      </c>
      <c r="I327" s="71" t="str">
        <f>'Stakeholder list'!J332</f>
        <v/>
      </c>
      <c r="J327" s="71" t="str">
        <f>'Stakeholder list'!K332</f>
        <v>No biome lens was assigned because it operated in urban waste systems across municipalities rather than biome-delimited territories.</v>
      </c>
      <c r="K327" s="71" t="str">
        <f>'Stakeholder list'!L332</f>
        <v>Community legitimacy / proximate leadership, Implementation capacity (delivery)</v>
      </c>
      <c r="L327" s="71" t="str">
        <f>'Stakeholder list'!M332</f>
        <v>Downstream</v>
      </c>
      <c r="M327" s="71" t="str">
        <f>'Stakeholder list'!N332</f>
        <v>Grant recipient</v>
      </c>
      <c r="N327" s="71" t="str">
        <f>'Stakeholder list'!O332</f>
        <v>São Paulo, SP, Brazil</v>
      </c>
      <c r="O327" s="71" t="str">
        <f>'Stakeholder list'!P332</f>
        <v>Grantee</v>
      </c>
      <c r="P327" s="71" t="str">
        <f>'Stakeholder list'!Q332</f>
        <v/>
      </c>
      <c r="Q327" s="71" t="str">
        <f>'Stakeholder list'!R332</f>
        <v/>
      </c>
      <c r="R327" s="71" t="str">
        <f>'Stakeholder list'!S332</f>
        <v/>
      </c>
      <c r="S327" s="71" t="str">
        <f>'Stakeholder list'!T332</f>
        <v>—</v>
      </c>
      <c r="T327" s="71" t="str">
        <f>'Stakeholder list'!U332</f>
        <v/>
      </c>
      <c r="U327" s="71" t="str">
        <f>'Stakeholder list'!V332</f>
        <v/>
      </c>
      <c r="V327" s="71" t="str">
        <f>'Stakeholder list'!W332</f>
        <v/>
      </c>
      <c r="W327" s="71" t="str">
        <f>'Stakeholder list'!X332</f>
        <v/>
      </c>
    </row>
    <row r="328">
      <c r="A328" s="71">
        <f>'Stakeholder list'!B333</f>
        <v>327</v>
      </c>
      <c r="B328" s="71" t="str">
        <f>'Stakeholder list'!C333</f>
        <v>Central de Movimentos Populares (CMP)</v>
      </c>
      <c r="C328" s="71" t="str">
        <f>'Stakeholder list'!D333</f>
        <v>Others</v>
      </c>
      <c r="D328" s="71" t="str">
        <f>'Stakeholder list'!E333</f>
        <v>Social moviments </v>
      </c>
      <c r="E328" s="71" t="str">
        <f>'Stakeholder list'!F333</f>
        <v>Umbrella movement connecting popular urban and rural organizations; relevant to just transition by mobilizing civil society for inclusive policies on housing, services, and rights.</v>
      </c>
      <c r="F328" s="71" t="str">
        <f>'Stakeholder list'!G333</f>
        <v>National</v>
      </c>
      <c r="G328" s="71" t="str">
        <f>'Stakeholder list'!H333</f>
        <v/>
      </c>
      <c r="H328" s="71" t="str">
        <f>'Stakeholder list'!I333</f>
        <v/>
      </c>
      <c r="I328" s="71" t="str">
        <f>'Stakeholder list'!J333</f>
        <v/>
      </c>
      <c r="J328" s="71" t="str">
        <f>'Stakeholder list'!K333</f>
        <v>No biome lens was assigned because it acted as a cross-territory social articulation without biome-delimited initiatives in this mapping.</v>
      </c>
      <c r="K328" s="71" t="str">
        <f>'Stakeholder list'!L333</f>
        <v>Community legitimacy / proximate leadership, Policy influence / regulation</v>
      </c>
      <c r="L328" s="71" t="str">
        <f>'Stakeholder list'!M333</f>
        <v>Downstream</v>
      </c>
      <c r="M328" s="71" t="str">
        <f>'Stakeholder list'!N333</f>
        <v>Grant recipient</v>
      </c>
      <c r="N328" s="71" t="str">
        <f>'Stakeholder list'!O333</f>
        <v>São Paulo, SP, Brazil</v>
      </c>
      <c r="O328" s="71" t="str">
        <f>'Stakeholder list'!P333</f>
        <v>Grantee</v>
      </c>
      <c r="P328" s="71" t="str">
        <f>'Stakeholder list'!Q333</f>
        <v/>
      </c>
      <c r="Q328" s="71" t="str">
        <f>'Stakeholder list'!R333</f>
        <v/>
      </c>
      <c r="R328" s="71" t="str">
        <f>'Stakeholder list'!S333</f>
        <v/>
      </c>
      <c r="S328" s="71" t="str">
        <f>'Stakeholder list'!T333</f>
        <v>—</v>
      </c>
      <c r="T328" s="71" t="str">
        <f>'Stakeholder list'!U333</f>
        <v/>
      </c>
      <c r="U328" s="71" t="str">
        <f>'Stakeholder list'!V333</f>
        <v/>
      </c>
      <c r="V328" s="71" t="str">
        <f>'Stakeholder list'!W333</f>
        <v/>
      </c>
      <c r="W328" s="71" t="str">
        <f>'Stakeholder list'!X333</f>
        <v/>
      </c>
    </row>
    <row r="329">
      <c r="A329" s="71">
        <f>'Stakeholder list'!B334</f>
        <v>328</v>
      </c>
      <c r="B329" s="71" t="str">
        <f>'Stakeholder list'!C334</f>
        <v>Articulação dos Povos Indígenas do Nordeste, Minas Gerais e Espírito Santo (APOINME)</v>
      </c>
      <c r="C329" s="71" t="str">
        <f>'Stakeholder list'!D334</f>
        <v>Others</v>
      </c>
      <c r="D329" s="71" t="str">
        <f>'Stakeholder list'!E334</f>
        <v>Grassroots networks</v>
      </c>
      <c r="E329" s="71" t="str">
        <f>'Stakeholder list'!F334</f>
        <v>Regional Indigenous articulation; supports territorial rights and climate/AFOLU agendas through representation and coordination of Indigenous organizations.</v>
      </c>
      <c r="F329" s="71" t="str">
        <f>'Stakeholder list'!G334</f>
        <v>Regional</v>
      </c>
      <c r="G329" s="71" t="str">
        <f>'Stakeholder list'!H334</f>
        <v>"Land, Food and Forest"</v>
      </c>
      <c r="H329" s="71" t="str">
        <f>'Stakeholder list'!I334</f>
        <v>Caatinga</v>
      </c>
      <c r="I329" s="71" t="str">
        <f>'Stakeholder list'!J334</f>
        <v>Mata&amp;Atlântica</v>
      </c>
      <c r="J329" s="71" t="str">
        <f>'Stakeholder list'!K334</f>
        <v>It coordinated Indigenous organizations across the Northeast with strong Caatinga presence and it also covered Minas Gerais/Espírito Santo territories linked to Mata Atlântica.</v>
      </c>
      <c r="K329" s="71" t="str">
        <f>'Stakeholder list'!L334</f>
        <v>Community legitimacy / proximate leadership, Territorial anchor</v>
      </c>
      <c r="L329" s="71" t="str">
        <f>'Stakeholder list'!M334</f>
        <v>Downstream</v>
      </c>
      <c r="M329" s="71" t="str">
        <f>'Stakeholder list'!N334</f>
        <v>Grant recipient</v>
      </c>
      <c r="N329" s="71" t="str">
        <f>'Stakeholder list'!O334</f>
        <v>Salvador, BA, Brazil</v>
      </c>
      <c r="O329" s="71" t="str">
        <f>'Stakeholder list'!P334</f>
        <v>Grantee</v>
      </c>
      <c r="P329" s="71" t="str">
        <f>'Stakeholder list'!Q334</f>
        <v/>
      </c>
      <c r="Q329" s="71" t="str">
        <f>'Stakeholder list'!R334</f>
        <v/>
      </c>
      <c r="R329" s="71" t="str">
        <f>'Stakeholder list'!S334</f>
        <v/>
      </c>
      <c r="S329" s="71" t="str">
        <f>'Stakeholder list'!T334</f>
        <v>—</v>
      </c>
      <c r="T329" s="71" t="str">
        <f>'Stakeholder list'!U334</f>
        <v/>
      </c>
      <c r="U329" s="71" t="str">
        <f>'Stakeholder list'!V334</f>
        <v/>
      </c>
      <c r="V329" s="71" t="str">
        <f>'Stakeholder list'!W334</f>
        <v/>
      </c>
      <c r="W329" s="71" t="str">
        <f>'Stakeholder list'!X334</f>
        <v/>
      </c>
    </row>
    <row r="330">
      <c r="A330" s="71">
        <f>'Stakeholder list'!B335</f>
        <v>329</v>
      </c>
      <c r="B330" s="71" t="str">
        <f>'Stakeholder list'!C335</f>
        <v>Federação das Organizações Indígenas do Rio Negro (FOIRN)</v>
      </c>
      <c r="C330" s="71" t="str">
        <f>'Stakeholder list'!D335</f>
        <v>Others</v>
      </c>
      <c r="D330" s="71" t="str">
        <f>'Stakeholder list'!E335</f>
        <v>Grassroots networks</v>
      </c>
      <c r="E330" s="71" t="str">
        <f>'Stakeholder list'!F335</f>
        <v>Indigenous federation in the Rio Negro region; central for territorial governance, rights protection and community-led conservation in the Amazon.</v>
      </c>
      <c r="F330" s="71" t="str">
        <f>'Stakeholder list'!G335</f>
        <v>State-level</v>
      </c>
      <c r="G330" s="71" t="str">
        <f>'Stakeholder list'!H335</f>
        <v>"Land, Food and Forest"</v>
      </c>
      <c r="H330" s="71" t="str">
        <f>'Stakeholder list'!I335</f>
        <v>Amazonia</v>
      </c>
      <c r="I330" s="71" t="str">
        <f>'Stakeholder list'!J335</f>
        <v/>
      </c>
      <c r="J330" s="71" t="str">
        <f>'Stakeholder list'!K335</f>
        <v>It operated in the Rio Negro Amazon region and maintained an explicit Amazônia biome linkage.</v>
      </c>
      <c r="K330" s="71" t="str">
        <f>'Stakeholder list'!L335</f>
        <v>Community legitimacy / proximate leadership, Territorial anchor</v>
      </c>
      <c r="L330" s="71" t="str">
        <f>'Stakeholder list'!M335</f>
        <v>Downstream</v>
      </c>
      <c r="M330" s="71" t="str">
        <f>'Stakeholder list'!N335</f>
        <v>Grant recipient</v>
      </c>
      <c r="N330" s="71" t="str">
        <f>'Stakeholder list'!O335</f>
        <v>São Gabriel da Cachoeira, AM, Brazil</v>
      </c>
      <c r="O330" s="71" t="str">
        <f>'Stakeholder list'!P335</f>
        <v>Grantee</v>
      </c>
      <c r="P330" s="71" t="str">
        <f>'Stakeholder list'!Q335</f>
        <v/>
      </c>
      <c r="Q330" s="71" t="str">
        <f>'Stakeholder list'!R335</f>
        <v/>
      </c>
      <c r="R330" s="71" t="str">
        <f>'Stakeholder list'!S335</f>
        <v/>
      </c>
      <c r="S330" s="71" t="str">
        <f>'Stakeholder list'!T335</f>
        <v>—</v>
      </c>
      <c r="T330" s="71" t="str">
        <f>'Stakeholder list'!U335</f>
        <v/>
      </c>
      <c r="U330" s="71" t="str">
        <f>'Stakeholder list'!V335</f>
        <v/>
      </c>
      <c r="V330" s="71" t="str">
        <f>'Stakeholder list'!W335</f>
        <v/>
      </c>
      <c r="W330" s="71" t="str">
        <f>'Stakeholder list'!X335</f>
        <v/>
      </c>
    </row>
    <row r="331">
      <c r="A331" s="71">
        <f>'Stakeholder list'!B336</f>
        <v>330</v>
      </c>
      <c r="B331" s="71" t="str">
        <f>'Stakeholder list'!C336</f>
        <v>Conselho Indígena de Roraima (CIR)</v>
      </c>
      <c r="C331" s="71" t="str">
        <f>'Stakeholder list'!D336</f>
        <v>Others</v>
      </c>
      <c r="D331" s="71" t="str">
        <f>'Stakeholder list'!E336</f>
        <v>Grassroots networks</v>
      </c>
      <c r="E331" s="71" t="str">
        <f>'Stakeholder list'!F336</f>
        <v>Indigenous council representing peoples in Roraima; supports territorial rights, governance and protection of forests and communities.</v>
      </c>
      <c r="F331" s="71" t="str">
        <f>'Stakeholder list'!G336</f>
        <v>State-level</v>
      </c>
      <c r="G331" s="71" t="str">
        <f>'Stakeholder list'!H336</f>
        <v>"Land, Food and Forest"</v>
      </c>
      <c r="H331" s="71" t="str">
        <f>'Stakeholder list'!I336</f>
        <v>Amazonia, Cerrado</v>
      </c>
      <c r="I331" s="71" t="str">
        <f>'Stakeholder list'!J336</f>
        <v/>
      </c>
      <c r="J331" s="71" t="str">
        <f>'Stakeholder list'!K336</f>
        <v>It acted in Roraima with strong Amazon territorial linkage and it also operated across savanna/transition landscapes connected to Cerrado-like formations in the state.</v>
      </c>
      <c r="K331" s="71" t="str">
        <f>'Stakeholder list'!L336</f>
        <v>Community legitimacy / proximate leadership, Territorial anchor</v>
      </c>
      <c r="L331" s="71" t="str">
        <f>'Stakeholder list'!M336</f>
        <v>Downstream</v>
      </c>
      <c r="M331" s="71" t="str">
        <f>'Stakeholder list'!N336</f>
        <v>Grant recipient</v>
      </c>
      <c r="N331" s="71" t="str">
        <f>'Stakeholder list'!O336</f>
        <v>Boa Vista, RR, Brazil</v>
      </c>
      <c r="O331" s="71" t="str">
        <f>'Stakeholder list'!P336</f>
        <v>Grantee</v>
      </c>
      <c r="P331" s="71" t="str">
        <f>'Stakeholder list'!Q336</f>
        <v/>
      </c>
      <c r="Q331" s="71" t="str">
        <f>'Stakeholder list'!R336</f>
        <v/>
      </c>
      <c r="R331" s="71" t="str">
        <f>'Stakeholder list'!S336</f>
        <v/>
      </c>
      <c r="S331" s="71" t="str">
        <f>'Stakeholder list'!T336</f>
        <v>—</v>
      </c>
      <c r="T331" s="71" t="str">
        <f>'Stakeholder list'!U336</f>
        <v/>
      </c>
      <c r="U331" s="71" t="str">
        <f>'Stakeholder list'!V336</f>
        <v/>
      </c>
      <c r="V331" s="71" t="str">
        <f>'Stakeholder list'!W336</f>
        <v/>
      </c>
      <c r="W331" s="71" t="str">
        <f>'Stakeholder list'!X336</f>
        <v/>
      </c>
    </row>
    <row r="332">
      <c r="A332" s="71">
        <f>'Stakeholder list'!B337</f>
        <v>331</v>
      </c>
      <c r="B332" s="71" t="str">
        <f>'Stakeholder list'!C337</f>
        <v>Hutukara Associação Yanomami (HAY)</v>
      </c>
      <c r="C332" s="71" t="str">
        <f>'Stakeholder list'!D337</f>
        <v>Civil Society Organization (CSO)</v>
      </c>
      <c r="D332" s="71" t="str">
        <f>'Stakeholder list'!E337</f>
        <v>Grassroots networks</v>
      </c>
      <c r="E332" s="71" t="str">
        <f>'Stakeholder list'!F337</f>
        <v>Yanomami association supporting territorial protection, health and rights; relevant to AFOLU and just transition through safeguarding Indigenous lands and addressing illegal pressures.</v>
      </c>
      <c r="F332" s="71" t="str">
        <f>'Stakeholder list'!G337</f>
        <v>Regional</v>
      </c>
      <c r="G332" s="71" t="str">
        <f>'Stakeholder list'!H337</f>
        <v>"Land, Food and Forest"</v>
      </c>
      <c r="H332" s="71" t="str">
        <f>'Stakeholder list'!I337</f>
        <v>Amazonia</v>
      </c>
      <c r="I332" s="71" t="str">
        <f>'Stakeholder list'!J337</f>
        <v/>
      </c>
      <c r="J332" s="71" t="str">
        <f>'Stakeholder list'!K337</f>
        <v>It operated to safeguard Yanomami territories located in the Amazônia biome.</v>
      </c>
      <c r="K332" s="71" t="str">
        <f>'Stakeholder list'!L337</f>
        <v>Community legitimacy / proximate leadership, Territorial anchor</v>
      </c>
      <c r="L332" s="71" t="str">
        <f>'Stakeholder list'!M337</f>
        <v>Downstream</v>
      </c>
      <c r="M332" s="71" t="str">
        <f>'Stakeholder list'!N337</f>
        <v>Grant recipient</v>
      </c>
      <c r="N332" s="71" t="str">
        <f>'Stakeholder list'!O337</f>
        <v>Boa Vista, RR, Brazil</v>
      </c>
      <c r="O332" s="71" t="str">
        <f>'Stakeholder list'!P337</f>
        <v>Grantee</v>
      </c>
      <c r="P332" s="71" t="str">
        <f>'Stakeholder list'!Q337</f>
        <v/>
      </c>
      <c r="Q332" s="71" t="str">
        <f>'Stakeholder list'!R337</f>
        <v/>
      </c>
      <c r="R332" s="71" t="str">
        <f>'Stakeholder list'!S337</f>
        <v/>
      </c>
      <c r="S332" s="71" t="str">
        <f>'Stakeholder list'!T337</f>
        <v>—</v>
      </c>
      <c r="T332" s="71" t="str">
        <f>'Stakeholder list'!U337</f>
        <v/>
      </c>
      <c r="U332" s="71" t="str">
        <f>'Stakeholder list'!V337</f>
        <v/>
      </c>
      <c r="V332" s="71" t="str">
        <f>'Stakeholder list'!W337</f>
        <v/>
      </c>
      <c r="W332" s="71" t="str">
        <f>'Stakeholder list'!X337</f>
        <v/>
      </c>
    </row>
    <row r="333">
      <c r="A333" s="71">
        <f>'Stakeholder list'!B338</f>
        <v>332</v>
      </c>
      <c r="B333" s="71" t="str">
        <f>'Stakeholder list'!C338</f>
        <v>Movimento Xingu Vivo para Sempre</v>
      </c>
      <c r="C333" s="71" t="str">
        <f>'Stakeholder list'!D338</f>
        <v>Others</v>
      </c>
      <c r="D333" s="71" t="str">
        <f>'Stakeholder list'!E338</f>
        <v>Social moviments </v>
      </c>
      <c r="E333" s="71" t="str">
        <f>'Stakeholder list'!F338</f>
        <v>Social movement coalition in the Xingu region; relevant to energy and AFOLU transitions through advocacy on rights, safeguards and territorial protection in infrastructure and land-use decisions.</v>
      </c>
      <c r="F333" s="71" t="str">
        <f>'Stakeholder list'!G338</f>
        <v>Regional</v>
      </c>
      <c r="G333" s="71" t="str">
        <f>'Stakeholder list'!H338</f>
        <v>Energy, "Land, Food and Forest"</v>
      </c>
      <c r="H333" s="71" t="str">
        <f>'Stakeholder list'!I338</f>
        <v>Amazonia, Cerrado</v>
      </c>
      <c r="I333" s="71" t="str">
        <f>'Stakeholder list'!J338</f>
        <v/>
      </c>
      <c r="J333" s="71" t="str">
        <f>'Stakeholder list'!K338</f>
        <v>It mobilized around the Xingu basin strongly linked to Amazônia and it also engaged the Amazon–Cerrado interface where frontier pressures were relevant.</v>
      </c>
      <c r="K333" s="71" t="str">
        <f>'Stakeholder list'!L338</f>
        <v>Community legitimacy / proximate leadership, Policy influence / regulation</v>
      </c>
      <c r="L333" s="71" t="str">
        <f>'Stakeholder list'!M338</f>
        <v>Downstream</v>
      </c>
      <c r="M333" s="71" t="str">
        <f>'Stakeholder list'!N338</f>
        <v>Grant recipient</v>
      </c>
      <c r="N333" s="71" t="str">
        <f>'Stakeholder list'!O338</f>
        <v>Altamira, PA, Brazil</v>
      </c>
      <c r="O333" s="71" t="str">
        <f>'Stakeholder list'!P338</f>
        <v>Grantee</v>
      </c>
      <c r="P333" s="71" t="str">
        <f>'Stakeholder list'!Q338</f>
        <v/>
      </c>
      <c r="Q333" s="71" t="str">
        <f>'Stakeholder list'!R338</f>
        <v/>
      </c>
      <c r="R333" s="71" t="str">
        <f>'Stakeholder list'!S338</f>
        <v/>
      </c>
      <c r="S333" s="71" t="str">
        <f>'Stakeholder list'!T338</f>
        <v>—</v>
      </c>
      <c r="T333" s="71" t="str">
        <f>'Stakeholder list'!U338</f>
        <v/>
      </c>
      <c r="U333" s="71" t="str">
        <f>'Stakeholder list'!V338</f>
        <v/>
      </c>
      <c r="V333" s="71" t="str">
        <f>'Stakeholder list'!W338</f>
        <v/>
      </c>
      <c r="W333" s="71" t="str">
        <f>'Stakeholder list'!X338</f>
        <v/>
      </c>
    </row>
    <row r="334">
      <c r="A334" s="71">
        <f>'Stakeholder list'!B339</f>
        <v>333</v>
      </c>
      <c r="B334" s="71" t="str">
        <f>'Stakeholder list'!C339</f>
        <v>Rede Xingu+ (Rede Xingu+)</v>
      </c>
      <c r="C334" s="71" t="str">
        <f>'Stakeholder list'!D339</f>
        <v>Others</v>
      </c>
      <c r="D334" s="71" t="str">
        <f>'Stakeholder list'!E339</f>
        <v>Grassroots networks</v>
      </c>
      <c r="E334" s="71" t="str">
        <f>'Stakeholder list'!F339</f>
        <v>Network of Indigenous and traditional peoples and partners in the Xingu basin; supports territorial governance, restoration and sustainable livelihoods aligned with AFOLU and just transition goals.</v>
      </c>
      <c r="F334" s="71" t="str">
        <f>'Stakeholder list'!G339</f>
        <v>Regional</v>
      </c>
      <c r="G334" s="71" t="str">
        <f>'Stakeholder list'!H339</f>
        <v>"Land, Food and Forest"</v>
      </c>
      <c r="H334" s="71" t="str">
        <f>'Stakeholder list'!I339</f>
        <v>Amazonia, Cerrado</v>
      </c>
      <c r="I334" s="71" t="str">
        <f>'Stakeholder list'!J339</f>
        <v/>
      </c>
      <c r="J334" s="71" t="str">
        <f>'Stakeholder list'!K339</f>
        <v>It supported territorial governance and restoration in the Xingu basin within Amazônia and it also operated across Cerrado transition areas in the wider basin.</v>
      </c>
      <c r="K334" s="71" t="str">
        <f>'Stakeholder list'!L339</f>
        <v>Convenor/enablers, Community legitimacy / proximate leadership</v>
      </c>
      <c r="L334" s="71" t="str">
        <f>'Stakeholder list'!M339</f>
        <v>Midstream</v>
      </c>
      <c r="M334" s="71" t="str">
        <f>'Stakeholder list'!N339</f>
        <v>Grant recipient</v>
      </c>
      <c r="N334" s="71" t="str">
        <f>'Stakeholder list'!O339</f>
        <v>Altamira, PA, Brazil</v>
      </c>
      <c r="O334" s="71" t="str">
        <f>'Stakeholder list'!P339</f>
        <v>Grantee</v>
      </c>
      <c r="P334" s="71" t="str">
        <f>'Stakeholder list'!Q339</f>
        <v/>
      </c>
      <c r="Q334" s="71" t="str">
        <f>'Stakeholder list'!R339</f>
        <v/>
      </c>
      <c r="R334" s="71" t="str">
        <f>'Stakeholder list'!S339</f>
        <v/>
      </c>
      <c r="S334" s="71" t="str">
        <f>'Stakeholder list'!T339</f>
        <v>—</v>
      </c>
      <c r="T334" s="71" t="str">
        <f>'Stakeholder list'!U339</f>
        <v/>
      </c>
      <c r="U334" s="71" t="str">
        <f>'Stakeholder list'!V339</f>
        <v/>
      </c>
      <c r="V334" s="71" t="str">
        <f>'Stakeholder list'!W339</f>
        <v/>
      </c>
      <c r="W334" s="71" t="str">
        <f>'Stakeholder list'!X339</f>
        <v/>
      </c>
    </row>
    <row r="335">
      <c r="A335" s="71">
        <f>'Stakeholder list'!B340</f>
        <v>334</v>
      </c>
      <c r="B335" s="71" t="str">
        <f>'Stakeholder list'!C340</f>
        <v>Movimento Tapajós Vivo</v>
      </c>
      <c r="C335" s="71" t="str">
        <f>'Stakeholder list'!D340</f>
        <v>Others</v>
      </c>
      <c r="D335" s="71" t="str">
        <f>'Stakeholder list'!E340</f>
        <v>Social moviments </v>
      </c>
      <c r="E335" s="71" t="str">
        <f>'Stakeholder list'!F340</f>
        <v>Social movement coalition in the Tapajós region; relevant to energy and AFOLU transitions through advocacy on territorial rights, safeguards and responsible infrastructure planning.</v>
      </c>
      <c r="F335" s="71" t="str">
        <f>'Stakeholder list'!G340</f>
        <v>Regional</v>
      </c>
      <c r="G335" s="71" t="str">
        <f>'Stakeholder list'!H340</f>
        <v>Energy, "Land, Food and Forest"</v>
      </c>
      <c r="H335" s="71" t="str">
        <f>'Stakeholder list'!I340</f>
        <v>Amazonia</v>
      </c>
      <c r="I335" s="71" t="str">
        <f>'Stakeholder list'!J340</f>
        <v/>
      </c>
      <c r="J335" s="71" t="str">
        <f>'Stakeholder list'!K340</f>
        <v>It operated in Tapajós territories explicitly linked to the Amazônia biome.</v>
      </c>
      <c r="K335" s="71" t="str">
        <f>'Stakeholder list'!L340</f>
        <v>Community legitimacy / proximate leadership</v>
      </c>
      <c r="L335" s="71" t="str">
        <f>'Stakeholder list'!M340</f>
        <v>Downstream</v>
      </c>
      <c r="M335" s="71" t="str">
        <f>'Stakeholder list'!N340</f>
        <v>Grant recipient</v>
      </c>
      <c r="N335" s="71" t="str">
        <f>'Stakeholder list'!O340</f>
        <v>Santarém, PA, Brazil</v>
      </c>
      <c r="O335" s="71" t="str">
        <f>'Stakeholder list'!P340</f>
        <v>Grantee</v>
      </c>
      <c r="P335" s="71" t="str">
        <f>'Stakeholder list'!Q340</f>
        <v/>
      </c>
      <c r="Q335" s="71" t="str">
        <f>'Stakeholder list'!R340</f>
        <v/>
      </c>
      <c r="R335" s="71" t="str">
        <f>'Stakeholder list'!S340</f>
        <v/>
      </c>
      <c r="S335" s="71" t="str">
        <f>'Stakeholder list'!T340</f>
        <v>—</v>
      </c>
      <c r="T335" s="71" t="str">
        <f>'Stakeholder list'!U340</f>
        <v/>
      </c>
      <c r="U335" s="71" t="str">
        <f>'Stakeholder list'!V340</f>
        <v/>
      </c>
      <c r="V335" s="71" t="str">
        <f>'Stakeholder list'!W340</f>
        <v/>
      </c>
      <c r="W335" s="71" t="str">
        <f>'Stakeholder list'!X340</f>
        <v/>
      </c>
    </row>
    <row r="336">
      <c r="A336" s="71">
        <f>'Stakeholder list'!B341</f>
        <v>335</v>
      </c>
      <c r="B336" s="71" t="str">
        <f>'Stakeholder list'!C341</f>
        <v>Articulação Nacional de Economia Solidária (FBES)</v>
      </c>
      <c r="C336" s="71" t="str">
        <f>'Stakeholder list'!D341</f>
        <v>Others</v>
      </c>
      <c r="D336" s="71" t="str">
        <f>'Stakeholder list'!E341</f>
        <v>Grassroots networks</v>
      </c>
      <c r="E336" s="71" t="str">
        <f>'Stakeholder list'!F341</f>
        <v>National forum/network for solidarity economy; supports transition through cooperative and inclusive economic models, strengthening community enterprises in green and circular value chains.</v>
      </c>
      <c r="F336" s="71" t="str">
        <f>'Stakeholder list'!G341</f>
        <v>National</v>
      </c>
      <c r="G336" s="71" t="str">
        <f>'Stakeholder list'!H341</f>
        <v>Buildings &amp; Transport, "Land, Food and Forest"</v>
      </c>
      <c r="H336" s="71" t="str">
        <f>'Stakeholder list'!I341</f>
        <v/>
      </c>
      <c r="I336" s="71" t="str">
        <f>'Stakeholder list'!J341</f>
        <v/>
      </c>
      <c r="J336" s="71" t="str">
        <f>'Stakeholder list'!K341</f>
        <v>No biome lens was assigned because it acted through socio-economic organizing across territories and did not present biome-delimited initiatives in this mapping.</v>
      </c>
      <c r="K336" s="71" t="str">
        <f>'Stakeholder list'!L341</f>
        <v>Convenor/enablers, Implementation capacity (delivery)</v>
      </c>
      <c r="L336" s="71" t="str">
        <f>'Stakeholder list'!M341</f>
        <v>Midstream</v>
      </c>
      <c r="M336" s="71" t="str">
        <f>'Stakeholder list'!N341</f>
        <v>Grant recipient</v>
      </c>
      <c r="N336" s="71" t="str">
        <f>'Stakeholder list'!O341</f>
        <v>Brasília, DF, Brazil</v>
      </c>
      <c r="O336" s="71" t="str">
        <f>'Stakeholder list'!P341</f>
        <v>Grantee</v>
      </c>
      <c r="P336" s="71" t="str">
        <f>'Stakeholder list'!Q341</f>
        <v/>
      </c>
      <c r="Q336" s="71" t="str">
        <f>'Stakeholder list'!R341</f>
        <v/>
      </c>
      <c r="R336" s="71" t="str">
        <f>'Stakeholder list'!S341</f>
        <v/>
      </c>
      <c r="S336" s="71" t="str">
        <f>'Stakeholder list'!T341</f>
        <v>—</v>
      </c>
      <c r="T336" s="71" t="str">
        <f>'Stakeholder list'!U341</f>
        <v/>
      </c>
      <c r="U336" s="71" t="str">
        <f>'Stakeholder list'!V341</f>
        <v/>
      </c>
      <c r="V336" s="71" t="str">
        <f>'Stakeholder list'!W341</f>
        <v/>
      </c>
      <c r="W336" s="71" t="str">
        <f>'Stakeholder list'!X341</f>
        <v/>
      </c>
    </row>
    <row r="337">
      <c r="A337" s="71">
        <f>'Stakeholder list'!B342</f>
        <v>336</v>
      </c>
      <c r="B337" s="71" t="str">
        <f>'Stakeholder list'!C342</f>
        <v>Movimento Atingidos pelas Renováveis (MAR)</v>
      </c>
      <c r="C337" s="71" t="str">
        <f>'Stakeholder list'!D342</f>
        <v>Others</v>
      </c>
      <c r="D337" s="71" t="str">
        <f>'Stakeholder list'!E342</f>
        <v>Social moviments </v>
      </c>
      <c r="E337" s="71" t="str">
        <f>'Stakeholder list'!F342</f>
        <v>Movement focused on communities affected by renewable energy projects; relevant to energy transition by advocating safeguards, fair benefit-sharing and community rights in clean energy expansion.</v>
      </c>
      <c r="F337" s="71" t="str">
        <f>'Stakeholder list'!G342</f>
        <v>National</v>
      </c>
      <c r="G337" s="71" t="str">
        <f>'Stakeholder list'!H342</f>
        <v>Energy</v>
      </c>
      <c r="H337" s="71" t="str">
        <f>'Stakeholder list'!I342</f>
        <v>Caatinga, Cerrado</v>
      </c>
      <c r="I337" s="71" t="str">
        <f>'Stakeholder list'!J342</f>
        <v/>
      </c>
      <c r="J337" s="71" t="str">
        <f>'Stakeholder list'!K342</f>
        <v>It engaged conflicts and safeguard agendas strongly associated with wind/renewables expansion in Caatinga-region states and it also connected to Cerrado and coastal-maritime project corridors through national action.</v>
      </c>
      <c r="K337" s="71" t="str">
        <f>'Stakeholder list'!L342</f>
        <v>Community legitimacy / proximate leadership, Policy influence / regulation</v>
      </c>
      <c r="L337" s="71" t="str">
        <f>'Stakeholder list'!M342</f>
        <v>Downstream</v>
      </c>
      <c r="M337" s="71" t="str">
        <f>'Stakeholder list'!N342</f>
        <v>Grant recipient</v>
      </c>
      <c r="N337" s="71" t="str">
        <f>'Stakeholder list'!O342</f>
        <v>São Paulo, SP, Brazil</v>
      </c>
      <c r="O337" s="71" t="str">
        <f>'Stakeholder list'!P342</f>
        <v>Grantee</v>
      </c>
      <c r="P337" s="71" t="str">
        <f>'Stakeholder list'!Q342</f>
        <v/>
      </c>
      <c r="Q337" s="71" t="str">
        <f>'Stakeholder list'!R342</f>
        <v/>
      </c>
      <c r="R337" s="71" t="str">
        <f>'Stakeholder list'!S342</f>
        <v/>
      </c>
      <c r="S337" s="71" t="str">
        <f>'Stakeholder list'!T342</f>
        <v>—</v>
      </c>
      <c r="T337" s="71" t="str">
        <f>'Stakeholder list'!U342</f>
        <v/>
      </c>
      <c r="U337" s="71" t="str">
        <f>'Stakeholder list'!V342</f>
        <v/>
      </c>
      <c r="V337" s="71" t="str">
        <f>'Stakeholder list'!W342</f>
        <v/>
      </c>
      <c r="W337" s="71" t="str">
        <f>'Stakeholder list'!X342</f>
        <v/>
      </c>
    </row>
    <row r="338">
      <c r="A338" s="71">
        <f>'Stakeholder list'!B343</f>
        <v>337</v>
      </c>
      <c r="B338" s="71" t="str">
        <f>'Stakeholder list'!C343</f>
        <v>Seridó Vivo (Seridó Vivo)</v>
      </c>
      <c r="C338" s="71" t="str">
        <f>'Stakeholder list'!D343</f>
        <v>Others</v>
      </c>
      <c r="D338" s="71" t="str">
        <f>'Stakeholder list'!E343</f>
        <v>Grassroots networks</v>
      </c>
      <c r="E338" s="71" t="str">
        <f>'Stakeholder list'!F343</f>
        <v>Regional network/initiative in the Seridó (Semi-arid Northeast); supports AFOLU and resilience by mobilizing territorial action around water security, sustainable livelihoods and climate adaptation.</v>
      </c>
      <c r="F338" s="71" t="str">
        <f>'Stakeholder list'!G343</f>
        <v>Regional</v>
      </c>
      <c r="G338" s="71" t="str">
        <f>'Stakeholder list'!H343</f>
        <v>Energy</v>
      </c>
      <c r="H338" s="71" t="str">
        <f>'Stakeholder list'!I343</f>
        <v>Caatinga</v>
      </c>
      <c r="I338" s="71" t="str">
        <f>'Stakeholder list'!J343</f>
        <v/>
      </c>
      <c r="J338" s="71" t="str">
        <f>'Stakeholder list'!K343</f>
        <v>It operated in the Semi-arid Seridó territory and aligned action with the Caatinga biome.</v>
      </c>
      <c r="K338" s="71" t="str">
        <f>'Stakeholder list'!L343</f>
        <v>Community legitimacy / proximate leadership, Territorial anchor</v>
      </c>
      <c r="L338" s="71" t="str">
        <f>'Stakeholder list'!M343</f>
        <v>Downstream</v>
      </c>
      <c r="M338" s="71" t="str">
        <f>'Stakeholder list'!N343</f>
        <v>Grant recipient</v>
      </c>
      <c r="N338" s="71" t="str">
        <f>'Stakeholder list'!O343</f>
        <v>Caicó, RN, Brazil</v>
      </c>
      <c r="O338" s="71" t="str">
        <f>'Stakeholder list'!P343</f>
        <v>Grantee</v>
      </c>
      <c r="P338" s="71" t="str">
        <f>'Stakeholder list'!Q343</f>
        <v/>
      </c>
      <c r="Q338" s="71" t="str">
        <f>'Stakeholder list'!R343</f>
        <v/>
      </c>
      <c r="R338" s="71" t="str">
        <f>'Stakeholder list'!S343</f>
        <v/>
      </c>
      <c r="S338" s="71" t="str">
        <f>'Stakeholder list'!T343</f>
        <v>—</v>
      </c>
      <c r="T338" s="71" t="str">
        <f>'Stakeholder list'!U343</f>
        <v/>
      </c>
      <c r="U338" s="71" t="str">
        <f>'Stakeholder list'!V343</f>
        <v/>
      </c>
      <c r="V338" s="71" t="str">
        <f>'Stakeholder list'!W343</f>
        <v/>
      </c>
      <c r="W338" s="71" t="str">
        <f>'Stakeholder list'!X343</f>
        <v/>
      </c>
    </row>
    <row r="339">
      <c r="A339" s="71">
        <f>'Stakeholder list'!B344</f>
        <v>338</v>
      </c>
      <c r="B339" s="71" t="str">
        <f>'Stakeholder list'!C344</f>
        <v>Coalizão Energia Limpa (Coalizão Energia Limpa)</v>
      </c>
      <c r="C339" s="71" t="str">
        <f>'Stakeholder list'!D344</f>
        <v>Others</v>
      </c>
      <c r="D339" s="71" t="str">
        <f>'Stakeholder list'!E344</f>
        <v>Alliances</v>
      </c>
      <c r="E339" s="71" t="str">
        <f>'Stakeholder list'!F344</f>
        <v>Civil society coalition advocating for clean energy and a just energy transition; supports systemic transition through coordination, policy engagement and public communication.</v>
      </c>
      <c r="F339" s="71" t="str">
        <f>'Stakeholder list'!G344</f>
        <v>National</v>
      </c>
      <c r="G339" s="71" t="str">
        <f>'Stakeholder list'!H344</f>
        <v>Energy</v>
      </c>
      <c r="H339" s="71" t="str">
        <f>'Stakeholder list'!I344</f>
        <v/>
      </c>
      <c r="I339" s="71" t="str">
        <f>'Stakeholder list'!J344</f>
        <v/>
      </c>
      <c r="J339" s="71" t="str">
        <f>'Stakeholder list'!K344</f>
        <v>No biome lens was assigned because it operated through national energy policy advocacy rather than biome-delimited initiatives.</v>
      </c>
      <c r="K339" s="71" t="str">
        <f>'Stakeholder list'!L344</f>
        <v>Policy influence / regulation, Convenor/enablers</v>
      </c>
      <c r="L339" s="71" t="str">
        <f>'Stakeholder list'!M344</f>
        <v>Upstream</v>
      </c>
      <c r="M339" s="71" t="str">
        <f>'Stakeholder list'!N344</f>
        <v>Grant recipient</v>
      </c>
      <c r="N339" s="71" t="str">
        <f>'Stakeholder list'!O344</f>
        <v>Brasília, DF, Brazil</v>
      </c>
      <c r="O339" s="71" t="str">
        <f>'Stakeholder list'!P344</f>
        <v>Grantee</v>
      </c>
      <c r="P339" s="71" t="str">
        <f>'Stakeholder list'!Q344</f>
        <v/>
      </c>
      <c r="Q339" s="71" t="str">
        <f>'Stakeholder list'!R344</f>
        <v/>
      </c>
      <c r="R339" s="71" t="str">
        <f>'Stakeholder list'!S344</f>
        <v/>
      </c>
      <c r="S339" s="71" t="str">
        <f>'Stakeholder list'!T344</f>
        <v>—</v>
      </c>
      <c r="T339" s="71" t="str">
        <f>'Stakeholder list'!U344</f>
        <v/>
      </c>
      <c r="U339" s="71" t="str">
        <f>'Stakeholder list'!V344</f>
        <v/>
      </c>
      <c r="V339" s="71" t="str">
        <f>'Stakeholder list'!W344</f>
        <v/>
      </c>
      <c r="W339" s="71" t="str">
        <f>'Stakeholder list'!X344</f>
        <v/>
      </c>
    </row>
    <row r="340">
      <c r="A340" s="71">
        <f>'Stakeholder list'!B345</f>
        <v>339</v>
      </c>
      <c r="B340" s="71" t="str">
        <f>'Stakeholder list'!C345</f>
        <v>União Nacional de Catadoras e Catadores (Unicatadores)</v>
      </c>
      <c r="C340" s="71" t="str">
        <f>'Stakeholder list'!D345</f>
        <v>Others</v>
      </c>
      <c r="D340" s="71" t="str">
        <f>'Stakeholder list'!E345</f>
        <v>Grassroots networks</v>
      </c>
      <c r="E340" s="71" t="str">
        <f>'Stakeholder list'!F345</f>
        <v>National union/network of waste picker cooperatives; supports transition through circular economy inclusion, improved livelihoods and advocacy for fair waste management systems in cities.</v>
      </c>
      <c r="F340" s="71" t="str">
        <f>'Stakeholder list'!G345</f>
        <v>National</v>
      </c>
      <c r="G340" s="71" t="str">
        <f>'Stakeholder list'!H345</f>
        <v>Buildings &amp; Transport</v>
      </c>
      <c r="H340" s="71" t="str">
        <f>'Stakeholder list'!I345</f>
        <v/>
      </c>
      <c r="I340" s="71" t="str">
        <f>'Stakeholder list'!J345</f>
        <v/>
      </c>
      <c r="J340" s="71" t="str">
        <f>'Stakeholder list'!K345</f>
        <v>No biome lens was assigned because it operated in urban waste systems across municipalities rather than biome-delimited territories.</v>
      </c>
      <c r="K340" s="71" t="str">
        <f>'Stakeholder list'!L345</f>
        <v>Implementation capacity (delivery), Community legitimacy / proximate leadership</v>
      </c>
      <c r="L340" s="71" t="str">
        <f>'Stakeholder list'!M345</f>
        <v>Downstream</v>
      </c>
      <c r="M340" s="71" t="str">
        <f>'Stakeholder list'!N345</f>
        <v>Grant recipient</v>
      </c>
      <c r="N340" s="71" t="str">
        <f>'Stakeholder list'!O345</f>
        <v>São Paulo, SP, Brazil</v>
      </c>
      <c r="O340" s="71" t="str">
        <f>'Stakeholder list'!P345</f>
        <v>Grantee</v>
      </c>
      <c r="P340" s="71" t="str">
        <f>'Stakeholder list'!Q345</f>
        <v/>
      </c>
      <c r="Q340" s="71" t="str">
        <f>'Stakeholder list'!R345</f>
        <v/>
      </c>
      <c r="R340" s="71" t="str">
        <f>'Stakeholder list'!S345</f>
        <v/>
      </c>
      <c r="S340" s="71" t="str">
        <f>'Stakeholder list'!T345</f>
        <v>—</v>
      </c>
      <c r="T340" s="71" t="str">
        <f>'Stakeholder list'!U345</f>
        <v/>
      </c>
      <c r="U340" s="71" t="str">
        <f>'Stakeholder list'!V345</f>
        <v/>
      </c>
      <c r="V340" s="71" t="str">
        <f>'Stakeholder list'!W345</f>
        <v/>
      </c>
      <c r="W340" s="71" t="str">
        <f>'Stakeholder list'!X345</f>
        <v/>
      </c>
    </row>
    <row r="341">
      <c r="A341" s="71">
        <f>'Stakeholder list'!B346</f>
        <v>340</v>
      </c>
      <c r="B341" s="71" t="str">
        <f>'Stakeholder list'!C346</f>
        <v>Confederação Nacional da Indústria (CNI)</v>
      </c>
      <c r="C341" s="71" t="str">
        <f>'Stakeholder list'!D346</f>
        <v>Private sector</v>
      </c>
      <c r="D341" s="71" t="str">
        <f>'Stakeholder list'!E346</f>
        <v>Industry platforms and sectoral initiatives</v>
      </c>
      <c r="E341" s="71" t="str">
        <f>'Stakeholder list'!F346</f>
        <v>Brazil’s peak industry confederation representing industrial federations and sectoral associations; convenes private-sector stakeholders and engages in policy advocacy, technical studies, and programs on competitiveness, innovation, energy/industrial transition, infrastructure and logistics, and sustainable production.</v>
      </c>
      <c r="F341" s="71" t="str">
        <f>'Stakeholder list'!G346</f>
        <v>National</v>
      </c>
      <c r="G341" s="71" t="str">
        <f>'Stakeholder list'!H346</f>
        <v>Buildings &amp; Transport, Energy, "Land, Food and Forest"</v>
      </c>
      <c r="H341" s="71" t="str">
        <f>'Stakeholder list'!I346</f>
        <v/>
      </c>
      <c r="I341" s="71" t="str">
        <f>'Stakeholder list'!J346</f>
        <v/>
      </c>
      <c r="J341" s="71" t="str">
        <f>'Stakeholder list'!K346</f>
        <v>No biome lens was assigned because it acted through national industrial policy and sector coordination without biome-delimited implementation in this mapping.</v>
      </c>
      <c r="K341" s="71" t="str">
        <f>'Stakeholder list'!L346</f>
        <v>Policy influence / regulation, Convenor/enablers</v>
      </c>
      <c r="L341" s="71" t="str">
        <f>'Stakeholder list'!M346</f>
        <v>Upstream</v>
      </c>
      <c r="M341" s="71" t="str">
        <f>'Stakeholder list'!N346</f>
        <v>Strategic partner</v>
      </c>
      <c r="N341" s="71" t="str">
        <f>'Stakeholder list'!O346</f>
        <v>Brasília, DF, Brazil</v>
      </c>
      <c r="O341" s="71" t="str">
        <f>'Stakeholder list'!P346</f>
        <v>Grantee</v>
      </c>
      <c r="P341" s="71" t="str">
        <f>'Stakeholder list'!Q346</f>
        <v/>
      </c>
      <c r="Q341" s="71" t="str">
        <f>'Stakeholder list'!R346</f>
        <v/>
      </c>
      <c r="R341" s="71" t="str">
        <f>'Stakeholder list'!S346</f>
        <v/>
      </c>
      <c r="S341" s="71" t="str">
        <f>'Stakeholder list'!T346</f>
        <v>—</v>
      </c>
      <c r="T341" s="71" t="str">
        <f>'Stakeholder list'!U346</f>
        <v/>
      </c>
      <c r="U341" s="71" t="str">
        <f>'Stakeholder list'!V346</f>
        <v/>
      </c>
      <c r="V341" s="71" t="str">
        <f>'Stakeholder list'!W346</f>
        <v/>
      </c>
      <c r="W341" s="71" t="str">
        <f>'Stakeholder list'!X346</f>
        <v/>
      </c>
    </row>
    <row r="342">
      <c r="A342" s="71">
        <f>'Stakeholder list'!B347</f>
        <v>341</v>
      </c>
      <c r="B342" s="71" t="str">
        <f>'Stakeholder list'!C347</f>
        <v>Petrobras</v>
      </c>
      <c r="C342" s="71" t="str">
        <f>'Stakeholder list'!D347</f>
        <v>Public sector</v>
      </c>
      <c r="D342" s="71" t="str">
        <f>'Stakeholder list'!E347</f>
        <v>Industry platforms and sectoral initiatives</v>
      </c>
      <c r="E342" s="71" t="str">
        <f>'Stakeholder list'!F347</f>
        <v>Brazilian state-controlled energy company focused on oil &amp; gas production, refining and energy supply; relevant to the climate/energy transition through its decarbonization agenda and influence on Brazil’s energy system.</v>
      </c>
      <c r="F342" s="71" t="str">
        <f>'Stakeholder list'!G347</f>
        <v>National</v>
      </c>
      <c r="G342" s="71" t="str">
        <f>'Stakeholder list'!H347</f>
        <v>Energy</v>
      </c>
      <c r="H342" s="71" t="str">
        <f>'Stakeholder list'!I347</f>
        <v/>
      </c>
      <c r="I342" s="71" t="str">
        <f>'Stakeholder list'!J347</f>
        <v/>
      </c>
      <c r="J342" s="71" t="str">
        <f>'Stakeholder list'!K347</f>
        <v>No biome lens was assigned because the company operates nationwide/offshore and the mapping did not isolate a stable biome-specific operational portfolio.</v>
      </c>
      <c r="K342" s="71" t="str">
        <f>'Stakeholder list'!L347</f>
        <v>Implementation capacity (delivery), Policy influence / regulation</v>
      </c>
      <c r="L342" s="71" t="str">
        <f>'Stakeholder list'!M347</f>
        <v>Upstream</v>
      </c>
      <c r="M342" s="71" t="str">
        <f>'Stakeholder list'!N347</f>
        <v>Strategic partner</v>
      </c>
      <c r="N342" s="71" t="str">
        <f>'Stakeholder list'!O347</f>
        <v>Rio de Janeiro, RJ, Brazil</v>
      </c>
      <c r="O342" s="71" t="str">
        <f>'Stakeholder list'!P347</f>
        <v>Donor</v>
      </c>
      <c r="P342" s="71" t="str">
        <f>'Stakeholder list'!Q347</f>
        <v/>
      </c>
      <c r="Q342" s="71" t="str">
        <f>'Stakeholder list'!R347</f>
        <v/>
      </c>
      <c r="R342" s="71" t="str">
        <f>'Stakeholder list'!S347</f>
        <v/>
      </c>
      <c r="S342" s="71" t="str">
        <f>'Stakeholder list'!T347</f>
        <v>—</v>
      </c>
      <c r="T342" s="71" t="str">
        <f>'Stakeholder list'!U347</f>
        <v/>
      </c>
      <c r="U342" s="71" t="str">
        <f>'Stakeholder list'!V347</f>
        <v/>
      </c>
      <c r="V342" s="71" t="str">
        <f>'Stakeholder list'!W347</f>
        <v/>
      </c>
      <c r="W342" s="71" t="str">
        <f>'Stakeholder list'!X347</f>
        <v/>
      </c>
    </row>
    <row r="343">
      <c r="A343" s="71">
        <f>'Stakeholder list'!B348</f>
        <v>342</v>
      </c>
      <c r="B343" s="71" t="str">
        <f>'Stakeholder list'!C348</f>
        <v>Eletrobrás</v>
      </c>
      <c r="C343" s="71" t="str">
        <f>'Stakeholder list'!D348</f>
        <v>Public sector</v>
      </c>
      <c r="D343" s="71" t="str">
        <f>'Stakeholder list'!E348</f>
        <v>Industry platforms and sectoral initiatives</v>
      </c>
      <c r="E343" s="71" t="str">
        <f>'Stakeholder list'!F348</f>
        <v>Brazilian electric power company with major generation and transmission assets; central to Brazil’s power system and energy transition. (The group announced a corporate rebranding to “Axia Energia” effective 10/11/2025 (segunda-feira).)</v>
      </c>
      <c r="F343" s="71" t="str">
        <f>'Stakeholder list'!G348</f>
        <v>National</v>
      </c>
      <c r="G343" s="71" t="str">
        <f>'Stakeholder list'!H348</f>
        <v>Energy</v>
      </c>
      <c r="H343" s="71" t="str">
        <f>'Stakeholder list'!I348</f>
        <v/>
      </c>
      <c r="I343" s="71" t="str">
        <f>'Stakeholder list'!J348</f>
        <v/>
      </c>
      <c r="J343" s="71" t="str">
        <f>'Stakeholder list'!K348</f>
        <v>No biome lens was assigned because operations are nationwide and the mapping did not isolate a stable biome-specific operational portfolio.</v>
      </c>
      <c r="K343" s="71" t="str">
        <f>'Stakeholder list'!L348</f>
        <v>Implementation capacity (delivery), Policy influence / regulation</v>
      </c>
      <c r="L343" s="71" t="str">
        <f>'Stakeholder list'!M348</f>
        <v>Midstream</v>
      </c>
      <c r="M343" s="71" t="str">
        <f>'Stakeholder list'!N348</f>
        <v>Strategic partner</v>
      </c>
      <c r="N343" s="71" t="str">
        <f>'Stakeholder list'!O348</f>
        <v>Rio de Janeiro, RJ, Brazil</v>
      </c>
      <c r="O343" s="71" t="str">
        <f>'Stakeholder list'!P348</f>
        <v>Donor</v>
      </c>
      <c r="P343" s="71" t="str">
        <f>'Stakeholder list'!Q348</f>
        <v/>
      </c>
      <c r="Q343" s="71" t="str">
        <f>'Stakeholder list'!R348</f>
        <v/>
      </c>
      <c r="R343" s="71" t="str">
        <f>'Stakeholder list'!S348</f>
        <v/>
      </c>
      <c r="S343" s="71" t="str">
        <f>'Stakeholder list'!T348</f>
        <v>—</v>
      </c>
      <c r="T343" s="71" t="str">
        <f>'Stakeholder list'!U348</f>
        <v/>
      </c>
      <c r="U343" s="71" t="str">
        <f>'Stakeholder list'!V348</f>
        <v/>
      </c>
      <c r="V343" s="71" t="str">
        <f>'Stakeholder list'!W348</f>
        <v/>
      </c>
      <c r="W343" s="71" t="str">
        <f>'Stakeholder list'!X348</f>
        <v/>
      </c>
    </row>
    <row r="344">
      <c r="A344" s="71">
        <f>'Stakeholder list'!B349</f>
        <v>343</v>
      </c>
      <c r="B344" s="71" t="str">
        <f>'Stakeholder list'!C349</f>
        <v>Vox Capital</v>
      </c>
      <c r="C344" s="71" t="str">
        <f>'Stakeholder list'!D349</f>
        <v>Private sector</v>
      </c>
      <c r="D344" s="71" t="str">
        <f>'Stakeholder list'!E349</f>
        <v>Impact investors</v>
      </c>
      <c r="E344" s="71" t="str">
        <f>'Stakeholder list'!F349</f>
        <v>Brazilian impact investment manager/VC investing in scalable businesses with measurable social and environmental impact.</v>
      </c>
      <c r="F344" s="71" t="str">
        <f>'Stakeholder list'!G349</f>
        <v>National</v>
      </c>
      <c r="G344" s="71" t="str">
        <f>'Stakeholder list'!H349</f>
        <v>Energy, "Land, Food and Forest"</v>
      </c>
      <c r="H344" s="71" t="str">
        <f>'Stakeholder list'!I349</f>
        <v/>
      </c>
      <c r="I344" s="71" t="str">
        <f>'Stakeholder list'!J349</f>
        <v/>
      </c>
      <c r="J344" s="71" t="str">
        <f>'Stakeholder list'!K349</f>
        <v>No biome lens was assigned because the investment portfolio is multi-sector and not restricted to a single biome.</v>
      </c>
      <c r="K344" s="71" t="str">
        <f>'Stakeholder list'!L349</f>
        <v>Capital provider / Financial intermediary</v>
      </c>
      <c r="L344" s="71" t="str">
        <f>'Stakeholder list'!M349</f>
        <v>Upstream</v>
      </c>
      <c r="M344" s="71" t="str">
        <f>'Stakeholder list'!N349</f>
        <v>Blended finance partner</v>
      </c>
      <c r="N344" s="71" t="str">
        <f>'Stakeholder list'!O349</f>
        <v>São Paulo, SP, Brazil</v>
      </c>
      <c r="O344" s="71" t="str">
        <f>'Stakeholder list'!P349</f>
        <v>Re-granter</v>
      </c>
      <c r="P344" s="71" t="str">
        <f>'Stakeholder list'!Q349</f>
        <v/>
      </c>
      <c r="Q344" s="71" t="str">
        <f>'Stakeholder list'!R349</f>
        <v/>
      </c>
      <c r="R344" s="71" t="str">
        <f>'Stakeholder list'!S349</f>
        <v/>
      </c>
      <c r="S344" s="71" t="str">
        <f>'Stakeholder list'!T349</f>
        <v>—</v>
      </c>
      <c r="T344" s="71" t="str">
        <f>'Stakeholder list'!U349</f>
        <v/>
      </c>
      <c r="U344" s="71" t="str">
        <f>'Stakeholder list'!V349</f>
        <v/>
      </c>
      <c r="V344" s="71" t="str">
        <f>'Stakeholder list'!W349</f>
        <v/>
      </c>
      <c r="W344" s="71" t="str">
        <f>'Stakeholder list'!X349</f>
        <v/>
      </c>
    </row>
    <row r="345">
      <c r="A345" s="71">
        <f>'Stakeholder list'!B350</f>
        <v>344</v>
      </c>
      <c r="B345" s="71" t="str">
        <f>'Stakeholder list'!C350</f>
        <v>Meraki Impact</v>
      </c>
      <c r="C345" s="71" t="str">
        <f>'Stakeholder list'!D350</f>
        <v>Funders</v>
      </c>
      <c r="D345" s="71" t="str">
        <f>'Stakeholder list'!E350</f>
        <v>Impact investors</v>
      </c>
      <c r="E345" s="71" t="str">
        <f>'Stakeholder list'!F350</f>
        <v>Impact-first investor providing catalytic capital for regenerative food systems and nature-positive solutions (with operations in Brazil).</v>
      </c>
      <c r="F345" s="71" t="str">
        <f>'Stakeholder list'!G350</f>
        <v>Cross-border / international</v>
      </c>
      <c r="G345" s="71" t="str">
        <f>'Stakeholder list'!H350</f>
        <v>"Land, Food and Forest"</v>
      </c>
      <c r="H345" s="71" t="str">
        <f>'Stakeholder list'!I350</f>
        <v/>
      </c>
      <c r="I345" s="71" t="str">
        <f>'Stakeholder list'!J350</f>
        <v/>
      </c>
      <c r="J345" s="71" t="str">
        <f>'Stakeholder list'!K350</f>
        <v>No biome lens was assigned because the investment focus is thematic (regenerative food systems) and multi-geography.</v>
      </c>
      <c r="K345" s="71" t="str">
        <f>'Stakeholder list'!L350</f>
        <v>Capital provider / Financial intermediary</v>
      </c>
      <c r="L345" s="71" t="str">
        <f>'Stakeholder list'!M350</f>
        <v>Upstream</v>
      </c>
      <c r="M345" s="71" t="str">
        <f>'Stakeholder list'!N350</f>
        <v>Blended finance partner</v>
      </c>
      <c r="N345" s="71" t="str">
        <f>'Stakeholder list'!O350</f>
        <v>São Paulo, SP, Brazil</v>
      </c>
      <c r="O345" s="71" t="str">
        <f>'Stakeholder list'!P350</f>
        <v>Re-granter</v>
      </c>
      <c r="P345" s="71" t="str">
        <f>'Stakeholder list'!Q350</f>
        <v/>
      </c>
      <c r="Q345" s="71" t="str">
        <f>'Stakeholder list'!R350</f>
        <v/>
      </c>
      <c r="R345" s="71" t="str">
        <f>'Stakeholder list'!S350</f>
        <v/>
      </c>
      <c r="S345" s="71" t="str">
        <f>'Stakeholder list'!T350</f>
        <v>—</v>
      </c>
      <c r="T345" s="71" t="str">
        <f>'Stakeholder list'!U350</f>
        <v/>
      </c>
      <c r="U345" s="71" t="str">
        <f>'Stakeholder list'!V350</f>
        <v/>
      </c>
      <c r="V345" s="71" t="str">
        <f>'Stakeholder list'!W350</f>
        <v/>
      </c>
      <c r="W345" s="71" t="str">
        <f>'Stakeholder list'!X350</f>
        <v/>
      </c>
    </row>
    <row r="346">
      <c r="A346" s="71">
        <f>'Stakeholder list'!B351</f>
        <v>345</v>
      </c>
      <c r="B346" s="71" t="str">
        <f>'Stakeholder list'!C351</f>
        <v>Fundo Vale</v>
      </c>
      <c r="C346" s="71" t="str">
        <f>'Stakeholder list'!D351</f>
        <v>Funders</v>
      </c>
      <c r="D346" s="71" t="str">
        <f>'Stakeholder list'!E351</f>
        <v>Philanthropy foundations</v>
      </c>
      <c r="E346" s="71" t="str">
        <f>'Stakeholder list'!F351</f>
        <v>Socio-environmental fund linked to Vale that supports initiatives for conservation, restoration and sustainable development (including the Amazon and other priority territories).</v>
      </c>
      <c r="F346" s="71" t="str">
        <f>'Stakeholder list'!G351</f>
        <v>National</v>
      </c>
      <c r="G346" s="71" t="str">
        <f>'Stakeholder list'!H351</f>
        <v>"Land, Food and Forest"</v>
      </c>
      <c r="H346" s="71" t="str">
        <f>'Stakeholder list'!I351</f>
        <v>Amazonia</v>
      </c>
      <c r="I346" s="71" t="str">
        <f>'Stakeholder list'!J351</f>
        <v>Mata&amp;Atlântica</v>
      </c>
      <c r="J346" s="71" t="str">
        <f>'Stakeholder list'!K351</f>
        <v>Portfolio includes conservation and sustainable development initiatives in priority biomes, especially Amazonia and Atlantic Forest.</v>
      </c>
      <c r="K346" s="71" t="str">
        <f>'Stakeholder list'!L351</f>
        <v>Funder, Project developer / Implementer</v>
      </c>
      <c r="L346" s="71" t="str">
        <f>'Stakeholder list'!M351</f>
        <v>Upstream</v>
      </c>
      <c r="M346" s="71" t="str">
        <f>'Stakeholder list'!N351</f>
        <v>Co-funding partner</v>
      </c>
      <c r="N346" s="71" t="str">
        <f>'Stakeholder list'!O351</f>
        <v>Rio de Janeiro, RJ, Brazil</v>
      </c>
      <c r="O346" s="71" t="str">
        <f>'Stakeholder list'!P351</f>
        <v>Donor</v>
      </c>
      <c r="P346" s="71" t="str">
        <f>'Stakeholder list'!Q351</f>
        <v/>
      </c>
      <c r="Q346" s="71" t="str">
        <f>'Stakeholder list'!R351</f>
        <v/>
      </c>
      <c r="R346" s="71" t="str">
        <f>'Stakeholder list'!S351</f>
        <v/>
      </c>
      <c r="S346" s="71" t="str">
        <f>'Stakeholder list'!T351</f>
        <v>—</v>
      </c>
      <c r="T346" s="71" t="str">
        <f>'Stakeholder list'!U351</f>
        <v/>
      </c>
      <c r="U346" s="71" t="str">
        <f>'Stakeholder list'!V351</f>
        <v/>
      </c>
      <c r="V346" s="71" t="str">
        <f>'Stakeholder list'!W351</f>
        <v/>
      </c>
      <c r="W346" s="71" t="str">
        <f>'Stakeholder list'!X351</f>
        <v/>
      </c>
    </row>
    <row r="347">
      <c r="A347" s="71">
        <f>'Stakeholder list'!B352</f>
        <v>346</v>
      </c>
      <c r="B347" s="71" t="str">
        <f>'Stakeholder list'!C352</f>
        <v>Instituto Natura</v>
      </c>
      <c r="C347" s="71" t="str">
        <f>'Stakeholder list'!D352</f>
        <v>Civil Society Organization (CSO)</v>
      </c>
      <c r="D347" s="71" t="str">
        <f>'Stakeholder list'!E352</f>
        <v>Philanthropy foundations</v>
      </c>
      <c r="E347" s="71" t="str">
        <f>'Stakeholder list'!F352</f>
        <v>Institute created by Natura focused on improving public education and strengthening learning outcomes (social resilience and equity).</v>
      </c>
      <c r="F347" s="71" t="str">
        <f>'Stakeholder list'!G352</f>
        <v>National</v>
      </c>
      <c r="G347" s="71" t="str">
        <f>'Stakeholder list'!H352</f>
        <v>Emergency response</v>
      </c>
      <c r="H347" s="71" t="str">
        <f>'Stakeholder list'!I352</f>
        <v/>
      </c>
      <c r="I347" s="71" t="str">
        <f>'Stakeholder list'!J352</f>
        <v/>
      </c>
      <c r="J347" s="71" t="str">
        <f>'Stakeholder list'!K352</f>
        <v>No biome lens was assigned because the institute’s mission is social/education-focused rather than biome-specific.</v>
      </c>
      <c r="K347" s="71" t="str">
        <f>'Stakeholder list'!L352</f>
        <v>Funder, Implementation capacity (delivery)</v>
      </c>
      <c r="L347" s="71" t="str">
        <f>'Stakeholder list'!M352</f>
        <v>Downstream</v>
      </c>
      <c r="M347" s="71" t="str">
        <f>'Stakeholder list'!N352</f>
        <v>Capacity building partner</v>
      </c>
      <c r="N347" s="71" t="str">
        <f>'Stakeholder list'!O352</f>
        <v>São Paulo, SP, Brazil</v>
      </c>
      <c r="O347" s="71" t="str">
        <f>'Stakeholder list'!P352</f>
        <v>Donor</v>
      </c>
      <c r="P347" s="71" t="str">
        <f>'Stakeholder list'!Q352</f>
        <v/>
      </c>
      <c r="Q347" s="71" t="str">
        <f>'Stakeholder list'!R352</f>
        <v/>
      </c>
      <c r="R347" s="71" t="str">
        <f>'Stakeholder list'!S352</f>
        <v/>
      </c>
      <c r="S347" s="71" t="str">
        <f>'Stakeholder list'!T352</f>
        <v>—</v>
      </c>
      <c r="T347" s="71" t="str">
        <f>'Stakeholder list'!U352</f>
        <v/>
      </c>
      <c r="U347" s="71" t="str">
        <f>'Stakeholder list'!V352</f>
        <v/>
      </c>
      <c r="V347" s="71" t="str">
        <f>'Stakeholder list'!W352</f>
        <v/>
      </c>
      <c r="W347" s="71" t="str">
        <f>'Stakeholder list'!X352</f>
        <v/>
      </c>
    </row>
    <row r="348">
      <c r="A348" s="71">
        <f>'Stakeholder list'!B353</f>
        <v>347</v>
      </c>
      <c r="B348" s="71" t="str">
        <f>'Stakeholder list'!C353</f>
        <v>Amazon Investor Coalition</v>
      </c>
      <c r="C348" s="71" t="str">
        <f>'Stakeholder list'!D353</f>
        <v>Civil Society Organization (CSO)</v>
      </c>
      <c r="D348" s="71" t="str">
        <f>'Stakeholder list'!E353</f>
        <v>Monitoring, Evaluation, and Learning</v>
      </c>
      <c r="E348" s="71" t="str">
        <f>'Stakeholder list'!F353</f>
        <v>Nonprofit investor coalition that connects philanthropies, investors, corporate buyers and allies to reduce deforestation and strengthen a forest-positive bioeconomy across the Amazon region.</v>
      </c>
      <c r="F348" s="71" t="str">
        <f>'Stakeholder list'!G353</f>
        <v>Cross-border / international</v>
      </c>
      <c r="G348" s="71" t="str">
        <f>'Stakeholder list'!H353</f>
        <v>"Land, Food and Forest"</v>
      </c>
      <c r="H348" s="71" t="str">
        <f>'Stakeholder list'!I353</f>
        <v>Amazonia</v>
      </c>
      <c r="I348" s="71" t="str">
        <f>'Stakeholder list'!J353</f>
        <v/>
      </c>
      <c r="J348" s="71" t="str">
        <f>'Stakeholder list'!K353</f>
        <v>Explicit focus on reducing deforestation and advancing bioeconomy solutions across the Amazon region.</v>
      </c>
      <c r="K348" s="71" t="str">
        <f>'Stakeholder list'!L353</f>
        <v>Convenor/enablers, Data / MRV / platforms</v>
      </c>
      <c r="L348" s="71" t="str">
        <f>'Stakeholder list'!M353</f>
        <v>Midstream</v>
      </c>
      <c r="M348" s="71" t="str">
        <f>'Stakeholder list'!N353</f>
        <v>Strategic partner</v>
      </c>
      <c r="N348" s="71" t="str">
        <f>'Stakeholder list'!O353</f>
        <v>Global (virtual coalition)</v>
      </c>
      <c r="O348" s="71" t="str">
        <f>'Stakeholder list'!P353</f>
        <v>Re-granter</v>
      </c>
      <c r="P348" s="71" t="str">
        <f>'Stakeholder list'!Q353</f>
        <v/>
      </c>
      <c r="Q348" s="71" t="str">
        <f>'Stakeholder list'!R353</f>
        <v/>
      </c>
      <c r="R348" s="71" t="str">
        <f>'Stakeholder list'!S353</f>
        <v/>
      </c>
      <c r="S348" s="71" t="str">
        <f>'Stakeholder list'!T353</f>
        <v>Deforestation and bioeconomy outcome monitoring, data for investor accountability in the Amazon</v>
      </c>
      <c r="T348" s="71" t="str">
        <f>'Stakeholder list'!U353</f>
        <v/>
      </c>
      <c r="U348" s="71" t="str">
        <f>'Stakeholder list'!V353</f>
        <v/>
      </c>
      <c r="V348" s="71" t="str">
        <f>'Stakeholder list'!W353</f>
        <v/>
      </c>
      <c r="W348" s="71" t="str">
        <f>'Stakeholder list'!X353</f>
        <v/>
      </c>
    </row>
    <row r="349">
      <c r="A349" s="71">
        <f>'Stakeholder list'!B354</f>
        <v>348</v>
      </c>
      <c r="B349" s="71" t="str">
        <f>'Stakeholder list'!C354</f>
        <v>Fundo pela Amazônia</v>
      </c>
      <c r="C349" s="71" t="str">
        <f>'Stakeholder list'!D354</f>
        <v>Funders</v>
      </c>
      <c r="D349" s="71" t="str">
        <f>'Stakeholder list'!E354</f>
        <v>Philanthropy foundations</v>
      </c>
      <c r="E349" s="71" t="str">
        <f>'Stakeholder list'!F354</f>
        <v>Philanthropic fund created by JBS (“Fundo Pela Amazônia”) to support projects for conservation and sustainable development in the Amazon.</v>
      </c>
      <c r="F349" s="71" t="str">
        <f>'Stakeholder list'!G354</f>
        <v>Regional</v>
      </c>
      <c r="G349" s="71" t="str">
        <f>'Stakeholder list'!H354</f>
        <v>"Land, Food and Forest"</v>
      </c>
      <c r="H349" s="71" t="str">
        <f>'Stakeholder list'!I354</f>
        <v>Amazonia</v>
      </c>
      <c r="I349" s="71" t="str">
        <f>'Stakeholder list'!J354</f>
        <v/>
      </c>
      <c r="J349" s="71" t="str">
        <f>'Stakeholder list'!K354</f>
        <v>Explicit Amazon focus through project funding dedicated to the biome and its peoples/territories.</v>
      </c>
      <c r="K349" s="71" t="str">
        <f>'Stakeholder list'!L354</f>
        <v>Funder</v>
      </c>
      <c r="L349" s="71" t="str">
        <f>'Stakeholder list'!M354</f>
        <v>Upstream</v>
      </c>
      <c r="M349" s="71" t="str">
        <f>'Stakeholder list'!N354</f>
        <v>Co-funding partner</v>
      </c>
      <c r="N349" s="71" t="str">
        <f>'Stakeholder list'!O354</f>
        <v>São Paulo, SP, Brazil</v>
      </c>
      <c r="O349" s="71" t="str">
        <f>'Stakeholder list'!P354</f>
        <v>Donor</v>
      </c>
      <c r="P349" s="71" t="str">
        <f>'Stakeholder list'!Q354</f>
        <v/>
      </c>
      <c r="Q349" s="71" t="str">
        <f>'Stakeholder list'!R354</f>
        <v/>
      </c>
      <c r="R349" s="71" t="str">
        <f>'Stakeholder list'!S354</f>
        <v/>
      </c>
      <c r="S349" s="71" t="str">
        <f>'Stakeholder list'!T354</f>
        <v>—</v>
      </c>
      <c r="T349" s="71" t="str">
        <f>'Stakeholder list'!U354</f>
        <v/>
      </c>
      <c r="U349" s="71" t="str">
        <f>'Stakeholder list'!V354</f>
        <v/>
      </c>
      <c r="V349" s="71" t="str">
        <f>'Stakeholder list'!W354</f>
        <v/>
      </c>
      <c r="W349" s="71" t="str">
        <f>'Stakeholder list'!X354</f>
        <v/>
      </c>
    </row>
    <row r="350">
      <c r="A350" s="71">
        <f>'Stakeholder list'!B355</f>
        <v>349</v>
      </c>
      <c r="B350" s="71" t="str">
        <f>'Stakeholder list'!C355</f>
        <v>PPA</v>
      </c>
      <c r="C350" s="71" t="str">
        <f>'Stakeholder list'!D355</f>
        <v>Civil Society Organization (CSO)</v>
      </c>
      <c r="D350" s="71" t="str">
        <f>'Stakeholder list'!E355</f>
        <v>Industry platforms and sectoral initiatives</v>
      </c>
      <c r="E350" s="71" t="str">
        <f>'Stakeholder list'!F355</f>
        <v>Multi-stakeholder platform (“Parceiros pela Amazônia”) that articulates partnerships and support to strengthen sustainable development and forest-positive solutions in the Amazon.</v>
      </c>
      <c r="F350" s="71" t="str">
        <f>'Stakeholder list'!G355</f>
        <v>Regional</v>
      </c>
      <c r="G350" s="71" t="str">
        <f>'Stakeholder list'!H355</f>
        <v>"Land, Food and Forest"</v>
      </c>
      <c r="H350" s="71" t="str">
        <f>'Stakeholder list'!I355</f>
        <v>Amazonia</v>
      </c>
      <c r="I350" s="71" t="str">
        <f>'Stakeholder list'!J355</f>
        <v/>
      </c>
      <c r="J350" s="71" t="str">
        <f>'Stakeholder list'!K355</f>
        <v>Platform explicitly centered on the Amazon and partnership building for sustainable territorial development.</v>
      </c>
      <c r="K350" s="71" t="str">
        <f>'Stakeholder list'!L355</f>
        <v>Convenor/enablers, Territorial anchor</v>
      </c>
      <c r="L350" s="71" t="str">
        <f>'Stakeholder list'!M355</f>
        <v>Midstream</v>
      </c>
      <c r="M350" s="71" t="str">
        <f>'Stakeholder list'!N355</f>
        <v>Strategic partner</v>
      </c>
      <c r="N350" s="71" t="str">
        <f>'Stakeholder list'!O355</f>
        <v>Belém, PA, Brazil</v>
      </c>
      <c r="O350" s="71" t="str">
        <f>'Stakeholder list'!P355</f>
        <v>Re-granter</v>
      </c>
      <c r="P350" s="71" t="str">
        <f>'Stakeholder list'!Q355</f>
        <v/>
      </c>
      <c r="Q350" s="71" t="str">
        <f>'Stakeholder list'!R355</f>
        <v/>
      </c>
      <c r="R350" s="71" t="str">
        <f>'Stakeholder list'!S355</f>
        <v/>
      </c>
      <c r="S350" s="71" t="str">
        <f>'Stakeholder list'!T355</f>
        <v>—</v>
      </c>
      <c r="T350" s="71" t="str">
        <f>'Stakeholder list'!U355</f>
        <v/>
      </c>
      <c r="U350" s="71" t="str">
        <f>'Stakeholder list'!V355</f>
        <v/>
      </c>
      <c r="V350" s="71" t="str">
        <f>'Stakeholder list'!W355</f>
        <v/>
      </c>
      <c r="W350" s="71" t="str">
        <f>'Stakeholder list'!X355</f>
        <v/>
      </c>
    </row>
    <row r="351">
      <c r="A351" s="71">
        <f>'Stakeholder list'!B356</f>
        <v>350</v>
      </c>
      <c r="B351" s="71" t="str">
        <f>'Stakeholder list'!C356</f>
        <v>Biofilica</v>
      </c>
      <c r="C351" s="71" t="str">
        <f>'Stakeholder list'!D356</f>
        <v>Private sector</v>
      </c>
      <c r="D351" s="71" t="str">
        <f>'Stakeholder list'!E356</f>
        <v>Private companies (large / leading)</v>
      </c>
      <c r="E351" s="71" t="str">
        <f>'Stakeholder list'!F356</f>
        <v>Brazilian company specialized in nature-based solutions and carbon markets (e.g., forest conservation and restoration projects).</v>
      </c>
      <c r="F351" s="71" t="str">
        <f>'Stakeholder list'!G356</f>
        <v>National</v>
      </c>
      <c r="G351" s="71" t="str">
        <f>'Stakeholder list'!H356</f>
        <v>"Land, Food and Forest"</v>
      </c>
      <c r="H351" s="71" t="str">
        <f>'Stakeholder list'!I356</f>
        <v>Amazonia</v>
      </c>
      <c r="I351" s="71" t="str">
        <f>'Stakeholder list'!J356</f>
        <v>Mata&amp;Atlântica</v>
      </c>
      <c r="J351" s="71" t="str">
        <f>'Stakeholder list'!K356</f>
        <v>Operational footprint linked to forest conservation/restoration and carbon projects, notably in Amazonia and Atlantic Forest contexts.</v>
      </c>
      <c r="K351" s="71" t="str">
        <f>'Stakeholder list'!L356</f>
        <v>Project developer / Implementer, Capital provider / Financial intermediary</v>
      </c>
      <c r="L351" s="71" t="str">
        <f>'Stakeholder list'!M356</f>
        <v>Downstream</v>
      </c>
      <c r="M351" s="71" t="str">
        <f>'Stakeholder list'!N356</f>
        <v>Implementing partner</v>
      </c>
      <c r="N351" s="71" t="str">
        <f>'Stakeholder list'!O356</f>
        <v>São Paulo, SP, Brazil</v>
      </c>
      <c r="O351" s="71" t="str">
        <f>'Stakeholder list'!P356</f>
        <v>Donor</v>
      </c>
      <c r="P351" s="71" t="str">
        <f>'Stakeholder list'!Q356</f>
        <v/>
      </c>
      <c r="Q351" s="71" t="str">
        <f>'Stakeholder list'!R356</f>
        <v/>
      </c>
      <c r="R351" s="71" t="str">
        <f>'Stakeholder list'!S356</f>
        <v/>
      </c>
      <c r="S351" s="71" t="str">
        <f>'Stakeholder list'!T356</f>
        <v>—</v>
      </c>
      <c r="T351" s="71" t="str">
        <f>'Stakeholder list'!U356</f>
        <v/>
      </c>
      <c r="U351" s="71" t="str">
        <f>'Stakeholder list'!V356</f>
        <v/>
      </c>
      <c r="V351" s="71" t="str">
        <f>'Stakeholder list'!W356</f>
        <v/>
      </c>
      <c r="W351" s="71" t="str">
        <f>'Stakeholder list'!X356</f>
        <v/>
      </c>
    </row>
    <row r="352">
      <c r="A352" s="71">
        <f>'Stakeholder list'!B357</f>
        <v>351</v>
      </c>
      <c r="B352" s="71" t="str">
        <f>'Stakeholder list'!C357</f>
        <v>Engajamundo</v>
      </c>
      <c r="C352" s="71" t="str">
        <f>'Stakeholder list'!D357</f>
        <v>Civil Society Organization (CSO)</v>
      </c>
      <c r="D352" s="71" t="str">
        <f>'Stakeholder list'!E357</f>
        <v>Grassroots networks</v>
      </c>
      <c r="E352" s="71" t="str">
        <f>'Stakeholder list'!F357</f>
        <v>Brazilian youth-led organization focused on climate advocacy, participation in international processes and mobilization for socio-environmental justice.</v>
      </c>
      <c r="F352" s="71" t="str">
        <f>'Stakeholder list'!G357</f>
        <v>National</v>
      </c>
      <c r="G352" s="71" t="str">
        <f>'Stakeholder list'!H357</f>
        <v>Emergency response</v>
      </c>
      <c r="H352" s="71" t="str">
        <f>'Stakeholder list'!I357</f>
        <v/>
      </c>
      <c r="I352" s="71" t="str">
        <f>'Stakeholder list'!J357</f>
        <v/>
      </c>
      <c r="J352" s="71" t="str">
        <f>'Stakeholder list'!K357</f>
        <v>No biome lens was assigned because the organization’s work is advocacy/mobilization across agendas and territories.</v>
      </c>
      <c r="K352" s="71" t="str">
        <f>'Stakeholder list'!L357</f>
        <v>Community legitimacy / proximate leadership, Policy influence / regulation</v>
      </c>
      <c r="L352" s="71" t="str">
        <f>'Stakeholder list'!M357</f>
        <v>Downstream</v>
      </c>
      <c r="M352" s="71" t="str">
        <f>'Stakeholder list'!N357</f>
        <v>Grant recipient</v>
      </c>
      <c r="N352" s="71" t="str">
        <f>'Stakeholder list'!O357</f>
        <v>São Paulo, SP, Brazil</v>
      </c>
      <c r="O352" s="71" t="str">
        <f>'Stakeholder list'!P357</f>
        <v>Grantee</v>
      </c>
      <c r="P352" s="71" t="str">
        <f>'Stakeholder list'!Q357</f>
        <v/>
      </c>
      <c r="Q352" s="71" t="str">
        <f>'Stakeholder list'!R357</f>
        <v/>
      </c>
      <c r="R352" s="71" t="str">
        <f>'Stakeholder list'!S357</f>
        <v/>
      </c>
      <c r="S352" s="71" t="str">
        <f>'Stakeholder list'!T357</f>
        <v>—</v>
      </c>
      <c r="T352" s="71" t="str">
        <f>'Stakeholder list'!U357</f>
        <v/>
      </c>
      <c r="U352" s="71" t="str">
        <f>'Stakeholder list'!V357</f>
        <v/>
      </c>
      <c r="V352" s="71" t="str">
        <f>'Stakeholder list'!W357</f>
        <v/>
      </c>
      <c r="W352" s="71" t="str">
        <f>'Stakeholder list'!X357</f>
        <v/>
      </c>
    </row>
    <row r="353">
      <c r="A353" s="71">
        <f>'Stakeholder list'!B358</f>
        <v>352</v>
      </c>
      <c r="B353" s="71" t="str">
        <f>'Stakeholder list'!C358</f>
        <v>Youth Climate Leaders</v>
      </c>
      <c r="C353" s="71" t="str">
        <f>'Stakeholder list'!D358</f>
        <v>Civil Society Organization (CSO)</v>
      </c>
      <c r="D353" s="71" t="str">
        <f>'Stakeholder list'!E358</f>
        <v>Grassroots networks</v>
      </c>
      <c r="E353" s="71" t="str">
        <f>'Stakeholder list'!F358</f>
        <v>Youth network/program supporting climate leadership, community engagement and advocacy for climate action (Brazil/LatAm focus).</v>
      </c>
      <c r="F353" s="71" t="str">
        <f>'Stakeholder list'!G358</f>
        <v>Cross-border / international</v>
      </c>
      <c r="G353" s="71" t="str">
        <f>'Stakeholder list'!H358</f>
        <v>Emergency response</v>
      </c>
      <c r="H353" s="71" t="str">
        <f>'Stakeholder list'!I358</f>
        <v/>
      </c>
      <c r="I353" s="71" t="str">
        <f>'Stakeholder list'!J358</f>
        <v/>
      </c>
      <c r="J353" s="71" t="str">
        <f>'Stakeholder list'!K358</f>
        <v>No biome lens was assigned because activities are network-based and multi-territory.</v>
      </c>
      <c r="K353" s="71" t="str">
        <f>'Stakeholder list'!L358</f>
        <v>Community legitimacy / proximate leadership, Convenor/enablers</v>
      </c>
      <c r="L353" s="71" t="str">
        <f>'Stakeholder list'!M358</f>
        <v>Downstream</v>
      </c>
      <c r="M353" s="71" t="str">
        <f>'Stakeholder list'!N358</f>
        <v>Capacity building partner</v>
      </c>
      <c r="N353" s="71" t="str">
        <f>'Stakeholder list'!O358</f>
        <v>Brazil (multi-city / network)</v>
      </c>
      <c r="O353" s="71" t="str">
        <f>'Stakeholder list'!P358</f>
        <v>Grantee</v>
      </c>
      <c r="P353" s="71" t="str">
        <f>'Stakeholder list'!Q358</f>
        <v/>
      </c>
      <c r="Q353" s="71" t="str">
        <f>'Stakeholder list'!R358</f>
        <v/>
      </c>
      <c r="R353" s="71" t="str">
        <f>'Stakeholder list'!S358</f>
        <v/>
      </c>
      <c r="S353" s="71" t="str">
        <f>'Stakeholder list'!T358</f>
        <v>—</v>
      </c>
      <c r="T353" s="71" t="str">
        <f>'Stakeholder list'!U358</f>
        <v/>
      </c>
      <c r="U353" s="71" t="str">
        <f>'Stakeholder list'!V358</f>
        <v/>
      </c>
      <c r="V353" s="71" t="str">
        <f>'Stakeholder list'!W358</f>
        <v/>
      </c>
      <c r="W353" s="71" t="str">
        <f>'Stakeholder list'!X358</f>
        <v/>
      </c>
    </row>
    <row r="354">
      <c r="A354" s="71">
        <f>'Stakeholder list'!B359</f>
        <v>353</v>
      </c>
      <c r="B354" s="71" t="str">
        <f>'Stakeholder list'!C359</f>
        <v>Climate Disclosure Project</v>
      </c>
      <c r="C354" s="71" t="str">
        <f>'Stakeholder list'!D359</f>
        <v>Civil Society Organization (CSO)</v>
      </c>
      <c r="D354" s="71" t="str">
        <f>'Stakeholder list'!E359</f>
        <v>Monitoring, Evaluation, and Learning</v>
      </c>
      <c r="E354" s="71" t="str">
        <f>'Stakeholder list'!F359</f>
        <v>Global nonprofit (CDP) that runs a disclosure system for companies, cities and regions to report environmental impacts and climate-related data, supporting transparency and accountability.</v>
      </c>
      <c r="F354" s="71" t="str">
        <f>'Stakeholder list'!G359</f>
        <v>Cross-border / international</v>
      </c>
      <c r="G354" s="71" t="str">
        <f>'Stakeholder list'!H359</f>
        <v>Energy, "Land, Food and Forest"</v>
      </c>
      <c r="H354" s="71" t="str">
        <f>'Stakeholder list'!I359</f>
        <v/>
      </c>
      <c r="I354" s="71" t="str">
        <f>'Stakeholder list'!J359</f>
        <v/>
      </c>
      <c r="J354" s="71" t="str">
        <f>'Stakeholder list'!K359</f>
        <v>No biome lens was assigned because CDP’s work is cross-sector and based on disclosure/data systems rather than place-based operations.</v>
      </c>
      <c r="K354" s="71" t="str">
        <f>'Stakeholder list'!L359</f>
        <v>Data / MRV / platforms, Policy influence / regulation</v>
      </c>
      <c r="L354" s="71" t="str">
        <f>'Stakeholder list'!M359</f>
        <v>Midstream</v>
      </c>
      <c r="M354" s="71" t="str">
        <f>'Stakeholder list'!N359</f>
        <v>Strategic partner</v>
      </c>
      <c r="N354" s="71" t="str">
        <f>'Stakeholder list'!O359</f>
        <v>London, UK</v>
      </c>
      <c r="O354" s="71" t="str">
        <f>'Stakeholder list'!P359</f>
        <v>Re-granter</v>
      </c>
      <c r="P354" s="71" t="str">
        <f>'Stakeholder list'!Q359</f>
        <v/>
      </c>
      <c r="Q354" s="71" t="str">
        <f>'Stakeholder list'!R359</f>
        <v/>
      </c>
      <c r="R354" s="71" t="str">
        <f>'Stakeholder list'!S359</f>
        <v/>
      </c>
      <c r="S354" s="71" t="str">
        <f>'Stakeholder list'!T359</f>
        <v>Corporate and city climate data disclosure system, GHG reporting and environmental accountability</v>
      </c>
      <c r="T354" s="71" t="str">
        <f>'Stakeholder list'!U359</f>
        <v/>
      </c>
      <c r="U354" s="71" t="str">
        <f>'Stakeholder list'!V359</f>
        <v/>
      </c>
      <c r="V354" s="71" t="str">
        <f>'Stakeholder list'!W359</f>
        <v/>
      </c>
      <c r="W354" s="71" t="str">
        <f>'Stakeholder list'!X359</f>
        <v/>
      </c>
    </row>
    <row r="355">
      <c r="A355" s="71">
        <f>'Stakeholder list'!B360</f>
        <v>354</v>
      </c>
      <c r="B355" s="71" t="str">
        <f>'Stakeholder list'!C360</f>
        <v>Tré</v>
      </c>
      <c r="C355" s="71" t="str">
        <f>'Stakeholder list'!D360</f>
        <v>Funders</v>
      </c>
      <c r="D355" s="71" t="str">
        <f>'Stakeholder list'!E360</f>
        <v>Impact investors</v>
      </c>
      <c r="E355" s="71" t="str">
        <f>'Stakeholder list'!F360</f>
        <v>Brazilian impact investing/venture philanthropy initiative (“Trê Investindo em Gente”) supporting social and environmental solutions through capital, governance support and partnerships.</v>
      </c>
      <c r="F355" s="71" t="str">
        <f>'Stakeholder list'!G360</f>
        <v>National</v>
      </c>
      <c r="G355" s="71" t="str">
        <f>'Stakeholder list'!H360</f>
        <v>Emergency response, "Land, Food and Forest"</v>
      </c>
      <c r="H355" s="71" t="str">
        <f>'Stakeholder list'!I360</f>
        <v/>
      </c>
      <c r="I355" s="71" t="str">
        <f>'Stakeholder list'!J360</f>
        <v/>
      </c>
      <c r="J355" s="71" t="str">
        <f>'Stakeholder list'!K360</f>
        <v>No biome lens was assigned because the investment/support portfolio is cross-thematic and not restricted to a single biome.</v>
      </c>
      <c r="K355" s="71" t="str">
        <f>'Stakeholder list'!L360</f>
        <v>Capital provider / Financial intermediary, Funder</v>
      </c>
      <c r="L355" s="71" t="str">
        <f>'Stakeholder list'!M360</f>
        <v>Upstream</v>
      </c>
      <c r="M355" s="71" t="str">
        <f>'Stakeholder list'!N360</f>
        <v>Blended finance partner</v>
      </c>
      <c r="N355" s="71" t="str">
        <f>'Stakeholder list'!O360</f>
        <v>São Paulo, SP, Brazil</v>
      </c>
      <c r="O355" s="71" t="str">
        <f>'Stakeholder list'!P360</f>
        <v>Re-granter</v>
      </c>
      <c r="P355" s="71" t="str">
        <f>'Stakeholder list'!Q360</f>
        <v/>
      </c>
      <c r="Q355" s="71" t="str">
        <f>'Stakeholder list'!R360</f>
        <v/>
      </c>
      <c r="R355" s="71" t="str">
        <f>'Stakeholder list'!S360</f>
        <v/>
      </c>
      <c r="S355" s="71" t="str">
        <f>'Stakeholder list'!T360</f>
        <v>—</v>
      </c>
      <c r="T355" s="71" t="str">
        <f>'Stakeholder list'!U360</f>
        <v/>
      </c>
      <c r="U355" s="71" t="str">
        <f>'Stakeholder list'!V360</f>
        <v/>
      </c>
      <c r="V355" s="71" t="str">
        <f>'Stakeholder list'!W360</f>
        <v/>
      </c>
      <c r="W355" s="71" t="str">
        <f>'Stakeholder list'!X360</f>
        <v/>
      </c>
    </row>
    <row r="356">
      <c r="A356" s="71">
        <f>'Stakeholder list'!B361</f>
        <v>355</v>
      </c>
      <c r="B356" s="71" t="str">
        <f>'Stakeholder list'!C361</f>
        <v>Rede Pajeú de Agroecologia</v>
      </c>
      <c r="C356" s="71" t="str">
        <f>'Stakeholder list'!D361</f>
        <v>Civil Society Organization (CSO)</v>
      </c>
      <c r="D356" s="71" t="str">
        <f>'Stakeholder list'!E361</f>
        <v>Grassroots networks</v>
      </c>
      <c r="E356" s="71" t="str">
        <f>'Stakeholder list'!F361</f>
        <v>Rede Pajeú de Agroecologia (RPA): network of organizations and communities promoting agroecology, food security and climate resilience in Brazil’s semi-arid region (Pernambuco/Caatinga).</v>
      </c>
      <c r="F356" s="71" t="str">
        <f>'Stakeholder list'!G361</f>
        <v>Regional</v>
      </c>
      <c r="G356" s="71" t="str">
        <f>'Stakeholder list'!H361</f>
        <v>"Land, Food and Forest"</v>
      </c>
      <c r="H356" s="71" t="str">
        <f>'Stakeholder list'!I361</f>
        <v>Caatinga</v>
      </c>
      <c r="I356" s="71" t="str">
        <f>'Stakeholder list'!J361</f>
        <v/>
      </c>
      <c r="J356" s="71" t="str">
        <f>'Stakeholder list'!K361</f>
        <v>Explicit semi-arid/Caatinga territorial focus through agroecology and community-based resilience initiatives.</v>
      </c>
      <c r="K356" s="71" t="str">
        <f>'Stakeholder list'!L361</f>
        <v>Territorial anchor, Project developer / Implementer</v>
      </c>
      <c r="L356" s="71" t="str">
        <f>'Stakeholder list'!M361</f>
        <v>Downstream</v>
      </c>
      <c r="M356" s="71" t="str">
        <f>'Stakeholder list'!N361</f>
        <v>Grant recipient</v>
      </c>
      <c r="N356" s="71" t="str">
        <f>'Stakeholder list'!O361</f>
        <v>Serra Talhada, PE, Brazil</v>
      </c>
      <c r="O356" s="71" t="str">
        <f>'Stakeholder list'!P361</f>
        <v>Grantee</v>
      </c>
      <c r="P356" s="71" t="str">
        <f>'Stakeholder list'!Q361</f>
        <v/>
      </c>
      <c r="Q356" s="71" t="str">
        <f>'Stakeholder list'!R361</f>
        <v/>
      </c>
      <c r="R356" s="71" t="str">
        <f>'Stakeholder list'!S361</f>
        <v/>
      </c>
      <c r="S356" s="71" t="str">
        <f>'Stakeholder list'!T361</f>
        <v>—</v>
      </c>
      <c r="T356" s="71" t="str">
        <f>'Stakeholder list'!U361</f>
        <v/>
      </c>
      <c r="U356" s="71" t="str">
        <f>'Stakeholder list'!V361</f>
        <v/>
      </c>
      <c r="V356" s="71" t="str">
        <f>'Stakeholder list'!W361</f>
        <v/>
      </c>
      <c r="W356" s="71" t="str">
        <f>'Stakeholder list'!X361</f>
        <v/>
      </c>
    </row>
    <row r="357">
      <c r="A357" s="71">
        <f>'Stakeholder list'!B362</f>
        <v>356</v>
      </c>
      <c r="B357" s="71" t="str">
        <f>'Stakeholder list'!C362</f>
        <v>COPPE-UFRJ</v>
      </c>
      <c r="C357" s="71" t="str">
        <f>'Stakeholder list'!D362</f>
        <v>Public sector</v>
      </c>
      <c r="D357" s="71" t="str">
        <f>'Stakeholder list'!E362</f>
        <v>Monitoring, Evaluation, and Learning</v>
      </c>
      <c r="E357" s="71" t="str">
        <f>'Stakeholder list'!F362</f>
        <v>Federal University of Rio de Janeiro (UFRJ): major public research university contributing scientific research and talent formation, including in energy, climate and sustainability fields.</v>
      </c>
      <c r="F357" s="71" t="str">
        <f>'Stakeholder list'!G362</f>
        <v>National</v>
      </c>
      <c r="G357" s="71" t="str">
        <f>'Stakeholder list'!H362</f>
        <v>Energy, "Land, Food and Forest"</v>
      </c>
      <c r="H357" s="71" t="str">
        <f>'Stakeholder list'!I362</f>
        <v/>
      </c>
      <c r="I357" s="71" t="str">
        <f>'Stakeholder list'!J362</f>
        <v/>
      </c>
      <c r="J357" s="71" t="str">
        <f>'Stakeholder list'!K362</f>
        <v>No biome lens was assigned because research activities are cross-sector and not tied to a single biome portfolio.</v>
      </c>
      <c r="K357" s="71" t="str">
        <f>'Stakeholder list'!L362</f>
        <v>Technical assistance / research</v>
      </c>
      <c r="L357" s="71" t="str">
        <f>'Stakeholder list'!M362</f>
        <v>Midstream</v>
      </c>
      <c r="M357" s="71" t="str">
        <f>'Stakeholder list'!N362</f>
        <v>Research and knowledge partner</v>
      </c>
      <c r="N357" s="71" t="str">
        <f>'Stakeholder list'!O362</f>
        <v>Rio de Janeiro, RJ, Brazil</v>
      </c>
      <c r="O357" s="71" t="str">
        <f>'Stakeholder list'!P362</f>
        <v>Grantee</v>
      </c>
      <c r="P357" s="71" t="str">
        <f>'Stakeholder list'!Q362</f>
        <v/>
      </c>
      <c r="Q357" s="71" t="str">
        <f>'Stakeholder list'!R362</f>
        <v/>
      </c>
      <c r="R357" s="71" t="str">
        <f>'Stakeholder list'!S362</f>
        <v/>
      </c>
      <c r="S357" s="71" t="str">
        <f>'Stakeholder list'!T362</f>
        <v>Energy systems modelling, GHG inventories, climate scenarios and low-carbon transition research</v>
      </c>
      <c r="T357" s="71" t="str">
        <f>'Stakeholder list'!U362</f>
        <v/>
      </c>
      <c r="U357" s="71" t="str">
        <f>'Stakeholder list'!V362</f>
        <v/>
      </c>
      <c r="V357" s="71" t="str">
        <f>'Stakeholder list'!W362</f>
        <v/>
      </c>
      <c r="W357" s="71" t="str">
        <f>'Stakeholder list'!X362</f>
        <v/>
      </c>
    </row>
    <row r="358">
      <c r="A358" s="71">
        <f>'Stakeholder list'!B363</f>
        <v>357</v>
      </c>
      <c r="B358" s="71" t="str">
        <f>'Stakeholder list'!C363</f>
        <v>CERTI</v>
      </c>
      <c r="C358" s="71" t="str">
        <f>'Stakeholder list'!D363</f>
        <v>Civil Society Organization (CSO)</v>
      </c>
      <c r="D358" s="71" t="str">
        <f>'Stakeholder list'!E363</f>
        <v>Research centers</v>
      </c>
      <c r="E358" s="71" t="str">
        <f>'Stakeholder list'!F363</f>
        <v>Fundação CERTI: Brazilian science, technology and innovation center supporting applied R&amp;D, entrepreneurship and technology solutions (including sustainability and energy-related innovation).</v>
      </c>
      <c r="F358" s="71" t="str">
        <f>'Stakeholder list'!G363</f>
        <v>National</v>
      </c>
      <c r="G358" s="71" t="str">
        <f>'Stakeholder list'!H363</f>
        <v>Energy, "Land, Food and Forest"</v>
      </c>
      <c r="H358" s="71" t="str">
        <f>'Stakeholder list'!I363</f>
        <v/>
      </c>
      <c r="I358" s="71" t="str">
        <f>'Stakeholder list'!J363</f>
        <v/>
      </c>
      <c r="J358" s="71" t="str">
        <f>'Stakeholder list'!K363</f>
        <v/>
      </c>
      <c r="K358" s="71" t="str">
        <f>'Stakeholder list'!L363</f>
        <v>Project developer / Implementer</v>
      </c>
      <c r="L358" s="71" t="str">
        <f>'Stakeholder list'!M363</f>
        <v>Downstream</v>
      </c>
      <c r="M358" s="71" t="str">
        <f>'Stakeholder list'!N363</f>
        <v>Research and knowledge partner</v>
      </c>
      <c r="N358" s="71" t="str">
        <f>'Stakeholder list'!O363</f>
        <v>Florianopólis, SC, Brazil</v>
      </c>
      <c r="O358" s="71" t="str">
        <f>'Stakeholder list'!P363</f>
        <v>Grantee</v>
      </c>
      <c r="P358" s="71" t="str">
        <f>'Stakeholder list'!Q363</f>
        <v/>
      </c>
      <c r="Q358" s="71" t="str">
        <f>'Stakeholder list'!R363</f>
        <v/>
      </c>
      <c r="R358" s="71" t="str">
        <f>'Stakeholder list'!S363</f>
        <v/>
      </c>
      <c r="S358" s="71" t="str">
        <f>'Stakeholder list'!T363</f>
        <v>—</v>
      </c>
      <c r="T358" s="71" t="str">
        <f>'Stakeholder list'!U363</f>
        <v/>
      </c>
      <c r="U358" s="71" t="str">
        <f>'Stakeholder list'!V363</f>
        <v/>
      </c>
      <c r="V358" s="71" t="str">
        <f>'Stakeholder list'!W363</f>
        <v/>
      </c>
      <c r="W358" s="71" t="str">
        <f>'Stakeholder list'!X363</f>
        <v/>
      </c>
    </row>
    <row r="359">
      <c r="A359" s="71">
        <f>'Stakeholder list'!B364</f>
        <v>358</v>
      </c>
      <c r="B359" s="71" t="str">
        <f>'Stakeholder list'!C364</f>
        <v>Pacto Contra a Fome</v>
      </c>
      <c r="C359" s="71" t="str">
        <f>'Stakeholder list'!D364</f>
        <v>Civil Society Organization (CSO)</v>
      </c>
      <c r="D359" s="71" t="str">
        <f>'Stakeholder list'!E364</f>
        <v>Multilateral organizations</v>
      </c>
      <c r="E359" s="71" t="str">
        <f>'Stakeholder list'!F364</f>
        <v>Coalizão multissetorial e sem fins lucrativos que articula governo, empresas, academia e sociedade civil para combater a fome e reduzir o desperdício de alimentos no Brasil, fortalecendo políticas públicas e incentivos e conectando iniciativas e apoiadores via HUB.</v>
      </c>
      <c r="F359" s="71" t="str">
        <f>'Stakeholder list'!G364</f>
        <v>National</v>
      </c>
      <c r="G359" s="71" t="str">
        <f>'Stakeholder list'!H364</f>
        <v>"Land, Food and Forest"</v>
      </c>
      <c r="H359" s="71" t="str">
        <f>'Stakeholder list'!I364</f>
        <v/>
      </c>
      <c r="I359" s="71" t="str">
        <f>'Stakeholder list'!J364</f>
        <v/>
      </c>
      <c r="J359" s="71" t="str">
        <f>'Stakeholder list'!K364</f>
        <v>No biome lens was assigned because the agenda is national (food security and waste reduction) and not tied to a single biome.</v>
      </c>
      <c r="K359" s="71" t="str">
        <f>'Stakeholder list'!L364</f>
        <v>Convenor/enablers, Policy influence / regulation, Data / MRV / platforms</v>
      </c>
      <c r="L359" s="71" t="str">
        <f>'Stakeholder list'!M364</f>
        <v>Midstream</v>
      </c>
      <c r="M359" s="71" t="str">
        <f>'Stakeholder list'!N364</f>
        <v>Strategic partner</v>
      </c>
      <c r="N359" s="71" t="str">
        <f>'Stakeholder list'!O364</f>
        <v>São Paulo, SP, Brazil</v>
      </c>
      <c r="O359" s="71" t="str">
        <f>'Stakeholder list'!P364</f>
        <v>Grantee</v>
      </c>
      <c r="P359" s="71" t="str">
        <f>'Stakeholder list'!Q364</f>
        <v/>
      </c>
      <c r="Q359" s="71" t="str">
        <f>'Stakeholder list'!R364</f>
        <v/>
      </c>
      <c r="R359" s="71" t="str">
        <f>'Stakeholder list'!S364</f>
        <v/>
      </c>
      <c r="S359" s="71" t="str">
        <f>'Stakeholder list'!T364</f>
        <v>—</v>
      </c>
      <c r="T359" s="71" t="str">
        <f>'Stakeholder list'!U364</f>
        <v/>
      </c>
      <c r="U359" s="71" t="str">
        <f>'Stakeholder list'!V364</f>
        <v/>
      </c>
      <c r="V359" s="71" t="str">
        <f>'Stakeholder list'!W364</f>
        <v/>
      </c>
      <c r="W359" s="71" t="str">
        <f>'Stakeholder list'!X364</f>
        <v/>
      </c>
    </row>
    <row r="360">
      <c r="A360" s="71">
        <f>'Stakeholder list'!B365</f>
        <v>359</v>
      </c>
      <c r="B360" s="71" t="str">
        <f>'Stakeholder list'!C365</f>
        <v>Good Energies Foundation (Porticus)</v>
      </c>
      <c r="C360" s="71" t="str">
        <f>'Stakeholder list'!D365</f>
        <v>Funders</v>
      </c>
      <c r="D360" s="71" t="str">
        <f>'Stakeholder list'!E365</f>
        <v>Philanthropy foundations</v>
      </c>
      <c r="E360" s="71" t="str">
        <f>'Stakeholder list'!F365</f>
        <v>Swiss-based philanthropic organisation (part of Porticus) funding initiatives to reverse climate change impacts through two priorities: access to clean energy and protection of tropical forests.</v>
      </c>
      <c r="F360" s="71" t="str">
        <f>'Stakeholder list'!G365</f>
        <v>Cross-border / international</v>
      </c>
      <c r="G360" s="71" t="str">
        <f>'Stakeholder list'!H365</f>
        <v>Energy, "Land, Food and Forest"</v>
      </c>
      <c r="H360" s="71" t="str">
        <f>'Stakeholder list'!I365</f>
        <v/>
      </c>
      <c r="I360" s="71" t="str">
        <f>'Stakeholder list'!J365</f>
        <v/>
      </c>
      <c r="J360" s="71" t="str">
        <f>'Stakeholder list'!K365</f>
        <v>No biome lens was assigned because the foundation’s focus is global (clean energy access) and tropical forests across regions rather than a single named biome.</v>
      </c>
      <c r="K360" s="71" t="str">
        <f>'Stakeholder list'!L365</f>
        <v>Funder</v>
      </c>
      <c r="L360" s="71" t="str">
        <f>'Stakeholder list'!M365</f>
        <v>Upstream</v>
      </c>
      <c r="M360" s="71" t="str">
        <f>'Stakeholder list'!N365</f>
        <v>Co-funding partner</v>
      </c>
      <c r="N360" s="71" t="str">
        <f>'Stakeholder list'!O365</f>
        <v>Zug, Switzerland</v>
      </c>
      <c r="O360" s="71" t="str">
        <f>'Stakeholder list'!P365</f>
        <v>Donor</v>
      </c>
      <c r="P360" s="71" t="str">
        <f>'Stakeholder list'!Q365</f>
        <v>mail@goodenergies.org</v>
      </c>
      <c r="Q360" s="73" t="str">
        <f>'Stakeholder list'!R365</f>
        <v>https://www.porticus.com/what-we-do/earth/good-energies-foundation/</v>
      </c>
      <c r="R360" s="71" t="str">
        <f>'Stakeholder list'!S365</f>
        <v/>
      </c>
      <c r="S360" s="71" t="str">
        <f>'Stakeholder list'!T365</f>
        <v>—</v>
      </c>
      <c r="T360" s="71" t="str">
        <f>'Stakeholder list'!U365</f>
        <v/>
      </c>
      <c r="U360" s="71" t="str">
        <f>'Stakeholder list'!V365</f>
        <v/>
      </c>
      <c r="V360" s="71" t="str">
        <f>'Stakeholder list'!W365</f>
        <v/>
      </c>
      <c r="W360" s="71" t="str">
        <f>'Stakeholder list'!X365</f>
        <v/>
      </c>
    </row>
    <row r="361">
      <c r="A361" s="71">
        <f>'Stakeholder list'!B366</f>
        <v>360</v>
      </c>
      <c r="B361" s="71" t="str">
        <f>'Stakeholder list'!C366</f>
        <v>MOV Investimentos</v>
      </c>
      <c r="C361" s="71" t="str">
        <f>'Stakeholder list'!D366</f>
        <v>Funders</v>
      </c>
      <c r="D361" s="71" t="str">
        <f>'Stakeholder list'!E366</f>
        <v>Impact investors</v>
      </c>
      <c r="E361" s="71" t="str">
        <f>'Stakeholder list'!F366</f>
        <v>Brazilian impact investment manager (founded 2012) that invests and co-creates scalable companies to reduce social inequalities and reverse environmental degradation; its current vehicle (FIP MOV 2, launched 2022) focuses on nature-based solutions for the Brazilian Amazon.</v>
      </c>
      <c r="F361" s="71" t="str">
        <f>'Stakeholder list'!G366</f>
        <v>National</v>
      </c>
      <c r="G361" s="71" t="str">
        <f>'Stakeholder list'!H366</f>
        <v>"Land, Food and Forest"</v>
      </c>
      <c r="H361" s="71" t="str">
        <f>'Stakeholder list'!I366</f>
        <v>Amazonia</v>
      </c>
      <c r="I361" s="71" t="str">
        <f>'Stakeholder list'!J366</f>
        <v/>
      </c>
      <c r="J361" s="71" t="str">
        <f>'Stakeholder list'!K366</f>
        <v>The fund thesis explicitly targets the Brazilian Amazon through nature-based solutions that value forest/biodiversity, reduce deforestation and regenerate degraded areas.</v>
      </c>
      <c r="K361" s="71" t="str">
        <f>'Stakeholder list'!L366</f>
        <v>Capital provider / Financial intermediary</v>
      </c>
      <c r="L361" s="71" t="str">
        <f>'Stakeholder list'!M366</f>
        <v>Upstream</v>
      </c>
      <c r="M361" s="71" t="str">
        <f>'Stakeholder list'!N366</f>
        <v>Blended finance partner</v>
      </c>
      <c r="N361" s="71" t="str">
        <f>'Stakeholder list'!O366</f>
        <v>São Paulo, SP, Brazil</v>
      </c>
      <c r="O361" s="71" t="str">
        <f>'Stakeholder list'!P366</f>
        <v>Re-granter</v>
      </c>
      <c r="P361" s="71" t="str">
        <f>'Stakeholder list'!Q366</f>
        <v/>
      </c>
      <c r="Q361" s="71" t="str">
        <f>'Stakeholder list'!R366</f>
        <v/>
      </c>
      <c r="R361" s="71" t="str">
        <f>'Stakeholder list'!S366</f>
        <v/>
      </c>
      <c r="S361" s="71" t="str">
        <f>'Stakeholder list'!T366</f>
        <v>—</v>
      </c>
      <c r="T361" s="71" t="str">
        <f>'Stakeholder list'!U366</f>
        <v/>
      </c>
      <c r="U361" s="71" t="str">
        <f>'Stakeholder list'!V366</f>
        <v/>
      </c>
      <c r="V361" s="71" t="str">
        <f>'Stakeholder list'!W366</f>
        <v/>
      </c>
      <c r="W361" s="71" t="str">
        <f>'Stakeholder list'!X366</f>
        <v/>
      </c>
    </row>
    <row r="362">
      <c r="A362" s="71" t="str">
        <f>'Stakeholder list'!B368</f>
        <v/>
      </c>
      <c r="B362" s="71" t="str">
        <f>'Stakeholder list'!C368</f>
        <v/>
      </c>
      <c r="C362" s="71" t="str">
        <f>'Stakeholder list'!D368</f>
        <v/>
      </c>
      <c r="D362" s="71" t="str">
        <f>'Stakeholder list'!E368</f>
        <v/>
      </c>
      <c r="E362" s="71" t="str">
        <f>'Stakeholder list'!F368</f>
        <v/>
      </c>
      <c r="F362" s="71" t="str">
        <f>'Stakeholder list'!G368</f>
        <v/>
      </c>
      <c r="G362" s="71" t="str">
        <f>'Stakeholder list'!H368</f>
        <v/>
      </c>
      <c r="H362" s="71" t="str">
        <f>'Stakeholder list'!I368</f>
        <v/>
      </c>
      <c r="I362" s="71" t="str">
        <f>'Stakeholder list'!J368</f>
        <v/>
      </c>
      <c r="J362" s="71" t="str">
        <f>'Stakeholder list'!K368</f>
        <v/>
      </c>
      <c r="K362" s="71" t="str">
        <f>'Stakeholder list'!L368</f>
        <v/>
      </c>
      <c r="L362" s="71" t="str">
        <f>'Stakeholder list'!M368</f>
        <v/>
      </c>
      <c r="M362" s="71" t="str">
        <f>'Stakeholder list'!N368</f>
        <v/>
      </c>
      <c r="N362" s="71" t="str">
        <f>'Stakeholder list'!O368</f>
        <v/>
      </c>
      <c r="O362" s="71" t="str">
        <f>'Stakeholder list'!P368</f>
        <v/>
      </c>
      <c r="P362" s="71" t="str">
        <f>'Stakeholder list'!Q368</f>
        <v/>
      </c>
      <c r="Q362" s="71" t="str">
        <f>'Stakeholder list'!R368</f>
        <v/>
      </c>
      <c r="R362" s="71" t="str">
        <f>'Stakeholder list'!S368</f>
        <v/>
      </c>
      <c r="S362" s="74"/>
      <c r="T362" s="74"/>
      <c r="U362" s="74"/>
      <c r="V362" s="74"/>
      <c r="W362" s="74"/>
    </row>
    <row r="363">
      <c r="A363" s="71" t="str">
        <f>'Stakeholder list'!B369</f>
        <v/>
      </c>
      <c r="B363" s="71" t="str">
        <f>'Stakeholder list'!C369</f>
        <v/>
      </c>
      <c r="C363" s="71" t="str">
        <f>'Stakeholder list'!D369</f>
        <v/>
      </c>
      <c r="D363" s="71" t="str">
        <f>'Stakeholder list'!E369</f>
        <v/>
      </c>
      <c r="E363" s="71" t="str">
        <f>'Stakeholder list'!F369</f>
        <v/>
      </c>
      <c r="F363" s="71" t="str">
        <f>'Stakeholder list'!G369</f>
        <v/>
      </c>
      <c r="G363" s="71" t="str">
        <f>'Stakeholder list'!H369</f>
        <v/>
      </c>
      <c r="H363" s="71" t="str">
        <f>'Stakeholder list'!I369</f>
        <v/>
      </c>
      <c r="I363" s="71" t="str">
        <f>'Stakeholder list'!J369</f>
        <v/>
      </c>
      <c r="J363" s="71" t="str">
        <f>'Stakeholder list'!K369</f>
        <v/>
      </c>
      <c r="K363" s="71" t="str">
        <f>'Stakeholder list'!L369</f>
        <v/>
      </c>
      <c r="L363" s="71" t="str">
        <f>'Stakeholder list'!M369</f>
        <v/>
      </c>
      <c r="M363" s="71" t="str">
        <f>'Stakeholder list'!N369</f>
        <v/>
      </c>
      <c r="N363" s="71" t="str">
        <f>'Stakeholder list'!O369</f>
        <v/>
      </c>
      <c r="O363" s="71" t="str">
        <f>'Stakeholder list'!P369</f>
        <v/>
      </c>
      <c r="P363" s="71" t="str">
        <f>'Stakeholder list'!Q369</f>
        <v/>
      </c>
      <c r="Q363" s="71" t="str">
        <f>'Stakeholder list'!R369</f>
        <v/>
      </c>
      <c r="R363" s="71" t="str">
        <f>'Stakeholder list'!S369</f>
        <v/>
      </c>
      <c r="S363" s="74"/>
      <c r="T363" s="74"/>
      <c r="U363" s="74"/>
      <c r="V363" s="74"/>
      <c r="W363" s="74"/>
    </row>
    <row r="364">
      <c r="A364" s="71" t="str">
        <f>'Stakeholder list'!B370</f>
        <v/>
      </c>
      <c r="B364" s="71" t="str">
        <f>'Stakeholder list'!C370</f>
        <v/>
      </c>
      <c r="C364" s="71" t="str">
        <f>'Stakeholder list'!D370</f>
        <v/>
      </c>
      <c r="D364" s="71" t="str">
        <f>'Stakeholder list'!E370</f>
        <v/>
      </c>
      <c r="E364" s="71" t="str">
        <f>'Stakeholder list'!F370</f>
        <v/>
      </c>
      <c r="F364" s="71" t="str">
        <f>'Stakeholder list'!G370</f>
        <v/>
      </c>
      <c r="G364" s="71" t="str">
        <f>'Stakeholder list'!H370</f>
        <v/>
      </c>
      <c r="H364" s="71" t="str">
        <f>'Stakeholder list'!I370</f>
        <v/>
      </c>
      <c r="I364" s="71" t="str">
        <f>'Stakeholder list'!J370</f>
        <v/>
      </c>
      <c r="J364" s="71" t="str">
        <f>'Stakeholder list'!K370</f>
        <v/>
      </c>
      <c r="K364" s="71" t="str">
        <f>'Stakeholder list'!L370</f>
        <v/>
      </c>
      <c r="L364" s="71" t="str">
        <f>'Stakeholder list'!M370</f>
        <v/>
      </c>
      <c r="M364" s="71" t="str">
        <f>'Stakeholder list'!N370</f>
        <v/>
      </c>
      <c r="N364" s="71" t="str">
        <f>'Stakeholder list'!O370</f>
        <v/>
      </c>
      <c r="O364" s="71" t="str">
        <f>'Stakeholder list'!P370</f>
        <v/>
      </c>
      <c r="P364" s="71" t="str">
        <f>'Stakeholder list'!Q370</f>
        <v/>
      </c>
      <c r="Q364" s="71" t="str">
        <f>'Stakeholder list'!R370</f>
        <v/>
      </c>
      <c r="R364" s="71" t="str">
        <f>'Stakeholder list'!S370</f>
        <v/>
      </c>
      <c r="S364" s="74"/>
      <c r="T364" s="74"/>
      <c r="U364" s="74"/>
      <c r="V364" s="74"/>
      <c r="W364" s="74"/>
    </row>
    <row r="365">
      <c r="A365" s="71" t="str">
        <f>'Stakeholder list'!B371</f>
        <v/>
      </c>
      <c r="B365" s="71" t="str">
        <f>'Stakeholder list'!C371</f>
        <v/>
      </c>
      <c r="C365" s="71" t="str">
        <f>'Stakeholder list'!D371</f>
        <v/>
      </c>
      <c r="D365" s="71" t="str">
        <f>'Stakeholder list'!E371</f>
        <v/>
      </c>
      <c r="E365" s="71" t="str">
        <f>'Stakeholder list'!F371</f>
        <v/>
      </c>
      <c r="F365" s="71" t="str">
        <f>'Stakeholder list'!G371</f>
        <v/>
      </c>
      <c r="G365" s="71" t="str">
        <f>'Stakeholder list'!H371</f>
        <v/>
      </c>
      <c r="H365" s="71" t="str">
        <f>'Stakeholder list'!I371</f>
        <v/>
      </c>
      <c r="I365" s="71" t="str">
        <f>'Stakeholder list'!J371</f>
        <v/>
      </c>
      <c r="J365" s="71" t="str">
        <f>'Stakeholder list'!K371</f>
        <v/>
      </c>
      <c r="K365" s="71" t="str">
        <f>'Stakeholder list'!L371</f>
        <v/>
      </c>
      <c r="L365" s="71" t="str">
        <f>'Stakeholder list'!M371</f>
        <v/>
      </c>
      <c r="M365" s="71" t="str">
        <f>'Stakeholder list'!N371</f>
        <v/>
      </c>
      <c r="N365" s="71" t="str">
        <f>'Stakeholder list'!O371</f>
        <v/>
      </c>
      <c r="O365" s="71" t="str">
        <f>'Stakeholder list'!P371</f>
        <v/>
      </c>
      <c r="P365" s="71" t="str">
        <f>'Stakeholder list'!Q371</f>
        <v/>
      </c>
      <c r="Q365" s="71" t="str">
        <f>'Stakeholder list'!R371</f>
        <v/>
      </c>
      <c r="R365" s="71" t="str">
        <f>'Stakeholder list'!S371</f>
        <v/>
      </c>
      <c r="S365" s="74"/>
      <c r="T365" s="74"/>
      <c r="U365" s="74"/>
      <c r="V365" s="74"/>
      <c r="W365" s="74"/>
    </row>
    <row r="366">
      <c r="A366" s="71" t="str">
        <f>'Stakeholder list'!B372</f>
        <v/>
      </c>
      <c r="B366" s="71" t="str">
        <f>'Stakeholder list'!C372</f>
        <v/>
      </c>
      <c r="C366" s="71" t="str">
        <f>'Stakeholder list'!D372</f>
        <v/>
      </c>
      <c r="D366" s="71" t="str">
        <f>'Stakeholder list'!E372</f>
        <v/>
      </c>
      <c r="E366" s="71" t="str">
        <f>'Stakeholder list'!F372</f>
        <v/>
      </c>
      <c r="F366" s="71" t="str">
        <f>'Stakeholder list'!G372</f>
        <v/>
      </c>
      <c r="G366" s="71" t="str">
        <f>'Stakeholder list'!H372</f>
        <v/>
      </c>
      <c r="H366" s="71" t="str">
        <f>'Stakeholder list'!I372</f>
        <v/>
      </c>
      <c r="I366" s="71" t="str">
        <f>'Stakeholder list'!J372</f>
        <v/>
      </c>
      <c r="J366" s="71" t="str">
        <f>'Stakeholder list'!K372</f>
        <v/>
      </c>
      <c r="K366" s="71" t="str">
        <f>'Stakeholder list'!L372</f>
        <v/>
      </c>
      <c r="L366" s="71" t="str">
        <f>'Stakeholder list'!M372</f>
        <v/>
      </c>
      <c r="M366" s="71" t="str">
        <f>'Stakeholder list'!N372</f>
        <v/>
      </c>
      <c r="N366" s="71" t="str">
        <f>'Stakeholder list'!O372</f>
        <v/>
      </c>
      <c r="O366" s="71" t="str">
        <f>'Stakeholder list'!P372</f>
        <v/>
      </c>
      <c r="P366" s="71" t="str">
        <f>'Stakeholder list'!Q372</f>
        <v/>
      </c>
      <c r="Q366" s="71" t="str">
        <f>'Stakeholder list'!R372</f>
        <v/>
      </c>
      <c r="R366" s="71" t="str">
        <f>'Stakeholder list'!S372</f>
        <v/>
      </c>
      <c r="S366" s="74"/>
      <c r="T366" s="74"/>
      <c r="U366" s="74"/>
      <c r="V366" s="74"/>
      <c r="W366" s="74"/>
    </row>
    <row r="367">
      <c r="A367" s="71" t="str">
        <f>'Stakeholder list'!B373</f>
        <v/>
      </c>
      <c r="B367" s="71" t="str">
        <f>'Stakeholder list'!C373</f>
        <v/>
      </c>
      <c r="C367" s="71" t="str">
        <f>'Stakeholder list'!D373</f>
        <v/>
      </c>
      <c r="D367" s="71" t="str">
        <f>'Stakeholder list'!E373</f>
        <v/>
      </c>
      <c r="E367" s="71" t="str">
        <f>'Stakeholder list'!F373</f>
        <v/>
      </c>
      <c r="F367" s="71" t="str">
        <f>'Stakeholder list'!G373</f>
        <v/>
      </c>
      <c r="G367" s="71" t="str">
        <f>'Stakeholder list'!H373</f>
        <v/>
      </c>
      <c r="H367" s="71" t="str">
        <f>'Stakeholder list'!I373</f>
        <v/>
      </c>
      <c r="I367" s="71" t="str">
        <f>'Stakeholder list'!J373</f>
        <v/>
      </c>
      <c r="J367" s="71" t="str">
        <f>'Stakeholder list'!K373</f>
        <v/>
      </c>
      <c r="K367" s="71" t="str">
        <f>'Stakeholder list'!L373</f>
        <v/>
      </c>
      <c r="L367" s="71" t="str">
        <f>'Stakeholder list'!M373</f>
        <v/>
      </c>
      <c r="M367" s="71" t="str">
        <f>'Stakeholder list'!N373</f>
        <v/>
      </c>
      <c r="N367" s="71" t="str">
        <f>'Stakeholder list'!O373</f>
        <v/>
      </c>
      <c r="O367" s="71" t="str">
        <f>'Stakeholder list'!P373</f>
        <v/>
      </c>
      <c r="P367" s="71" t="str">
        <f>'Stakeholder list'!Q373</f>
        <v/>
      </c>
      <c r="Q367" s="71" t="str">
        <f>'Stakeholder list'!R373</f>
        <v/>
      </c>
      <c r="R367" s="71" t="str">
        <f>'Stakeholder list'!S373</f>
        <v/>
      </c>
      <c r="S367" s="74"/>
      <c r="T367" s="74"/>
      <c r="U367" s="74"/>
      <c r="V367" s="74"/>
      <c r="W367" s="74"/>
    </row>
    <row r="368">
      <c r="A368" s="71" t="str">
        <f>'Stakeholder list'!B374</f>
        <v/>
      </c>
      <c r="B368" s="71" t="str">
        <f>'Stakeholder list'!C374</f>
        <v/>
      </c>
      <c r="C368" s="71" t="str">
        <f>'Stakeholder list'!D374</f>
        <v/>
      </c>
      <c r="D368" s="71" t="str">
        <f>'Stakeholder list'!E374</f>
        <v/>
      </c>
      <c r="E368" s="71" t="str">
        <f>'Stakeholder list'!F374</f>
        <v/>
      </c>
      <c r="F368" s="71" t="str">
        <f>'Stakeholder list'!G374</f>
        <v/>
      </c>
      <c r="G368" s="71" t="str">
        <f>'Stakeholder list'!H374</f>
        <v/>
      </c>
      <c r="H368" s="74"/>
      <c r="I368" s="74"/>
      <c r="J368" s="74"/>
      <c r="K368" s="74"/>
      <c r="L368" s="74"/>
      <c r="M368" s="74"/>
      <c r="N368" s="74"/>
      <c r="O368" s="74"/>
      <c r="P368" s="74"/>
      <c r="Q368" s="74"/>
      <c r="R368" s="74"/>
      <c r="S368" s="74"/>
      <c r="T368" s="74"/>
      <c r="U368" s="74"/>
      <c r="V368" s="74"/>
      <c r="W368" s="74"/>
    </row>
    <row r="369">
      <c r="A369" s="71" t="str">
        <f>'Stakeholder list'!B375</f>
        <v/>
      </c>
      <c r="B369" s="71" t="str">
        <f>'Stakeholder list'!C375</f>
        <v/>
      </c>
      <c r="C369" s="71" t="str">
        <f>'Stakeholder list'!D375</f>
        <v/>
      </c>
      <c r="D369" s="71" t="str">
        <f>'Stakeholder list'!E375</f>
        <v/>
      </c>
      <c r="E369" s="71" t="str">
        <f>'Stakeholder list'!F375</f>
        <v/>
      </c>
      <c r="F369" s="71" t="str">
        <f>'Stakeholder list'!G375</f>
        <v/>
      </c>
      <c r="G369" s="71" t="str">
        <f>'Stakeholder list'!H375</f>
        <v/>
      </c>
      <c r="H369" s="74"/>
      <c r="I369" s="74"/>
      <c r="J369" s="74"/>
      <c r="K369" s="74"/>
      <c r="L369" s="74"/>
      <c r="M369" s="74"/>
      <c r="N369" s="74"/>
      <c r="O369" s="74"/>
      <c r="P369" s="74"/>
      <c r="Q369" s="74"/>
      <c r="R369" s="74"/>
      <c r="S369" s="74"/>
      <c r="T369" s="74"/>
      <c r="U369" s="74"/>
      <c r="V369" s="74"/>
      <c r="W369" s="74"/>
    </row>
    <row r="370">
      <c r="A370" s="74"/>
      <c r="B370" s="74"/>
      <c r="C370" s="74"/>
      <c r="D370" s="74"/>
      <c r="E370" s="74"/>
      <c r="F370" s="74"/>
      <c r="G370" s="74"/>
      <c r="H370" s="74"/>
      <c r="I370" s="74"/>
      <c r="J370" s="74"/>
      <c r="K370" s="74"/>
      <c r="L370" s="74"/>
      <c r="M370" s="74"/>
      <c r="N370" s="74"/>
      <c r="O370" s="74"/>
      <c r="P370" s="74"/>
      <c r="Q370" s="74"/>
      <c r="R370" s="74"/>
      <c r="S370" s="74"/>
      <c r="T370" s="74"/>
      <c r="U370" s="74"/>
      <c r="V370" s="74"/>
      <c r="W370" s="74"/>
    </row>
    <row r="371">
      <c r="A371" s="74"/>
      <c r="B371" s="74"/>
      <c r="C371" s="74"/>
      <c r="D371" s="74"/>
      <c r="E371" s="74"/>
      <c r="F371" s="74"/>
      <c r="G371" s="74"/>
      <c r="H371" s="74"/>
      <c r="I371" s="74"/>
      <c r="J371" s="74"/>
      <c r="K371" s="74"/>
      <c r="L371" s="74"/>
      <c r="M371" s="74"/>
      <c r="N371" s="74"/>
      <c r="O371" s="74"/>
      <c r="P371" s="74"/>
      <c r="Q371" s="74"/>
      <c r="R371" s="74"/>
      <c r="S371" s="74"/>
      <c r="T371" s="74"/>
      <c r="U371" s="74"/>
      <c r="V371" s="74"/>
      <c r="W371" s="74"/>
    </row>
    <row r="372">
      <c r="A372" s="74"/>
      <c r="B372" s="74"/>
      <c r="C372" s="74"/>
      <c r="D372" s="74"/>
      <c r="E372" s="74"/>
      <c r="F372" s="74"/>
      <c r="G372" s="74"/>
      <c r="H372" s="74"/>
      <c r="I372" s="74"/>
      <c r="J372" s="74"/>
      <c r="K372" s="74"/>
      <c r="L372" s="74"/>
      <c r="M372" s="74"/>
      <c r="N372" s="74"/>
      <c r="O372" s="74"/>
      <c r="P372" s="74"/>
      <c r="Q372" s="74"/>
      <c r="R372" s="74"/>
      <c r="S372" s="74"/>
      <c r="T372" s="74"/>
      <c r="U372" s="74"/>
      <c r="V372" s="74"/>
      <c r="W372" s="74"/>
    </row>
    <row r="373">
      <c r="A373" s="74"/>
      <c r="B373" s="74"/>
      <c r="C373" s="74"/>
      <c r="D373" s="74"/>
      <c r="E373" s="74"/>
      <c r="F373" s="74"/>
      <c r="G373" s="74"/>
      <c r="H373" s="74"/>
      <c r="I373" s="74"/>
      <c r="J373" s="74"/>
      <c r="K373" s="74"/>
      <c r="L373" s="74"/>
      <c r="M373" s="74"/>
      <c r="N373" s="74"/>
      <c r="O373" s="74"/>
      <c r="P373" s="74"/>
      <c r="Q373" s="74"/>
      <c r="R373" s="74"/>
      <c r="S373" s="74"/>
      <c r="T373" s="74"/>
      <c r="U373" s="74"/>
      <c r="V373" s="74"/>
      <c r="W373" s="74"/>
    </row>
    <row r="374">
      <c r="A374" s="74"/>
      <c r="B374" s="74"/>
      <c r="C374" s="74"/>
      <c r="D374" s="74"/>
      <c r="E374" s="74"/>
      <c r="F374" s="74"/>
      <c r="G374" s="74"/>
      <c r="H374" s="74"/>
      <c r="I374" s="74"/>
      <c r="J374" s="74"/>
      <c r="K374" s="74"/>
      <c r="L374" s="74"/>
      <c r="M374" s="74"/>
      <c r="N374" s="74"/>
      <c r="O374" s="74"/>
      <c r="P374" s="74"/>
      <c r="Q374" s="74"/>
      <c r="R374" s="74"/>
      <c r="S374" s="74"/>
      <c r="T374" s="74"/>
      <c r="U374" s="74"/>
      <c r="V374" s="74"/>
      <c r="W374" s="74"/>
    </row>
    <row r="375">
      <c r="A375" s="74"/>
      <c r="B375" s="74"/>
      <c r="C375" s="74"/>
      <c r="D375" s="74"/>
      <c r="E375" s="74"/>
      <c r="F375" s="74"/>
      <c r="G375" s="74"/>
      <c r="H375" s="74"/>
      <c r="I375" s="74"/>
      <c r="J375" s="74"/>
      <c r="K375" s="74"/>
      <c r="L375" s="74"/>
      <c r="M375" s="74"/>
      <c r="N375" s="74"/>
      <c r="O375" s="74"/>
      <c r="P375" s="74"/>
      <c r="Q375" s="74"/>
      <c r="R375" s="74"/>
      <c r="S375" s="74"/>
      <c r="T375" s="74"/>
      <c r="U375" s="74"/>
      <c r="V375" s="74"/>
      <c r="W375" s="74"/>
    </row>
    <row r="376">
      <c r="A376" s="74"/>
      <c r="B376" s="74"/>
      <c r="C376" s="74"/>
      <c r="D376" s="74"/>
      <c r="E376" s="74"/>
      <c r="F376" s="74"/>
      <c r="G376" s="74"/>
      <c r="H376" s="74"/>
      <c r="I376" s="74"/>
      <c r="J376" s="74"/>
      <c r="K376" s="74"/>
      <c r="L376" s="74"/>
      <c r="M376" s="74"/>
      <c r="N376" s="74"/>
      <c r="O376" s="74"/>
      <c r="P376" s="74"/>
      <c r="Q376" s="74"/>
      <c r="R376" s="74"/>
      <c r="S376" s="74"/>
      <c r="T376" s="74"/>
      <c r="U376" s="74"/>
      <c r="V376" s="74"/>
      <c r="W376" s="74"/>
    </row>
    <row r="377">
      <c r="A377" s="74"/>
      <c r="B377" s="74"/>
      <c r="C377" s="74"/>
      <c r="D377" s="74"/>
      <c r="E377" s="74"/>
      <c r="F377" s="74"/>
      <c r="G377" s="74"/>
      <c r="H377" s="74"/>
      <c r="I377" s="74"/>
      <c r="J377" s="74"/>
      <c r="K377" s="74"/>
      <c r="L377" s="74"/>
      <c r="M377" s="74"/>
      <c r="N377" s="74"/>
      <c r="O377" s="74"/>
      <c r="P377" s="74"/>
      <c r="Q377" s="74"/>
      <c r="R377" s="74"/>
      <c r="S377" s="74"/>
      <c r="T377" s="74"/>
      <c r="U377" s="74"/>
      <c r="V377" s="74"/>
      <c r="W377" s="74"/>
    </row>
    <row r="378">
      <c r="A378" s="74"/>
      <c r="B378" s="74"/>
      <c r="C378" s="74"/>
      <c r="D378" s="74"/>
      <c r="E378" s="74"/>
      <c r="F378" s="74"/>
      <c r="G378" s="74"/>
      <c r="H378" s="74"/>
      <c r="I378" s="74"/>
      <c r="J378" s="74"/>
      <c r="K378" s="74"/>
      <c r="L378" s="74"/>
      <c r="M378" s="74"/>
      <c r="N378" s="74"/>
      <c r="O378" s="74"/>
      <c r="P378" s="74"/>
      <c r="Q378" s="74"/>
      <c r="R378" s="74"/>
      <c r="S378" s="74"/>
      <c r="T378" s="74"/>
      <c r="U378" s="74"/>
      <c r="V378" s="74"/>
      <c r="W378" s="74"/>
    </row>
    <row r="379">
      <c r="A379" s="74"/>
      <c r="B379" s="74"/>
      <c r="C379" s="74"/>
      <c r="D379" s="74"/>
      <c r="E379" s="74"/>
      <c r="F379" s="74"/>
      <c r="G379" s="74"/>
      <c r="H379" s="74"/>
      <c r="I379" s="74"/>
      <c r="J379" s="74"/>
      <c r="K379" s="74"/>
      <c r="L379" s="74"/>
      <c r="M379" s="74"/>
      <c r="N379" s="74"/>
      <c r="O379" s="74"/>
      <c r="P379" s="74"/>
      <c r="Q379" s="74"/>
      <c r="R379" s="74"/>
      <c r="S379" s="74"/>
      <c r="T379" s="74"/>
      <c r="U379" s="74"/>
      <c r="V379" s="74"/>
      <c r="W379" s="74"/>
    </row>
    <row r="380">
      <c r="A380" s="74"/>
      <c r="B380" s="74"/>
      <c r="C380" s="74"/>
      <c r="D380" s="74"/>
      <c r="E380" s="74"/>
      <c r="F380" s="74"/>
      <c r="G380" s="74"/>
      <c r="H380" s="74"/>
      <c r="I380" s="74"/>
      <c r="J380" s="74"/>
      <c r="K380" s="74"/>
      <c r="L380" s="74"/>
      <c r="M380" s="74"/>
      <c r="N380" s="74"/>
      <c r="O380" s="74"/>
      <c r="P380" s="74"/>
      <c r="Q380" s="74"/>
      <c r="R380" s="74"/>
      <c r="S380" s="74"/>
      <c r="T380" s="74"/>
      <c r="U380" s="74"/>
      <c r="V380" s="74"/>
      <c r="W380" s="74"/>
    </row>
    <row r="381">
      <c r="A381" s="74"/>
      <c r="B381" s="74"/>
      <c r="C381" s="74"/>
      <c r="D381" s="74"/>
      <c r="E381" s="74"/>
      <c r="F381" s="74"/>
      <c r="G381" s="74"/>
      <c r="H381" s="74"/>
      <c r="I381" s="74"/>
      <c r="J381" s="74"/>
      <c r="K381" s="74"/>
      <c r="L381" s="74"/>
      <c r="M381" s="74"/>
      <c r="N381" s="74"/>
      <c r="O381" s="74"/>
      <c r="P381" s="74"/>
      <c r="Q381" s="74"/>
      <c r="R381" s="74"/>
      <c r="S381" s="74"/>
      <c r="T381" s="74"/>
      <c r="U381" s="74"/>
      <c r="V381" s="74"/>
      <c r="W381" s="74"/>
    </row>
    <row r="382">
      <c r="A382" s="74"/>
      <c r="B382" s="74"/>
      <c r="C382" s="74"/>
      <c r="D382" s="74"/>
      <c r="E382" s="74"/>
      <c r="F382" s="74"/>
      <c r="G382" s="74"/>
      <c r="H382" s="74"/>
      <c r="I382" s="74"/>
      <c r="J382" s="74"/>
      <c r="K382" s="74"/>
      <c r="L382" s="74"/>
      <c r="M382" s="74"/>
      <c r="N382" s="74"/>
      <c r="O382" s="74"/>
      <c r="P382" s="74"/>
      <c r="Q382" s="74"/>
      <c r="R382" s="74"/>
      <c r="S382" s="74"/>
      <c r="T382" s="74"/>
      <c r="U382" s="74"/>
      <c r="V382" s="74"/>
      <c r="W382" s="74"/>
    </row>
    <row r="383">
      <c r="A383" s="74"/>
      <c r="B383" s="74"/>
      <c r="C383" s="74"/>
      <c r="D383" s="74"/>
      <c r="E383" s="74"/>
      <c r="F383" s="74"/>
      <c r="G383" s="74"/>
      <c r="H383" s="74"/>
      <c r="I383" s="74"/>
      <c r="J383" s="74"/>
      <c r="K383" s="74"/>
      <c r="L383" s="74"/>
      <c r="M383" s="74"/>
      <c r="N383" s="74"/>
      <c r="O383" s="74"/>
      <c r="P383" s="74"/>
      <c r="Q383" s="74"/>
      <c r="R383" s="74"/>
      <c r="S383" s="74"/>
      <c r="T383" s="74"/>
      <c r="U383" s="74"/>
      <c r="V383" s="74"/>
      <c r="W383" s="74"/>
    </row>
    <row r="384">
      <c r="A384" s="74"/>
      <c r="B384" s="74"/>
      <c r="C384" s="74"/>
      <c r="D384" s="74"/>
      <c r="E384" s="74"/>
      <c r="F384" s="74"/>
      <c r="G384" s="74"/>
      <c r="H384" s="74"/>
      <c r="I384" s="74"/>
      <c r="J384" s="74"/>
      <c r="K384" s="74"/>
      <c r="L384" s="74"/>
      <c r="M384" s="74"/>
      <c r="N384" s="74"/>
      <c r="O384" s="74"/>
      <c r="P384" s="74"/>
      <c r="Q384" s="74"/>
      <c r="R384" s="74"/>
      <c r="S384" s="74"/>
      <c r="T384" s="74"/>
      <c r="U384" s="74"/>
      <c r="V384" s="74"/>
      <c r="W384" s="74"/>
    </row>
    <row r="385">
      <c r="A385" s="74"/>
      <c r="B385" s="74"/>
      <c r="C385" s="74"/>
      <c r="D385" s="74"/>
      <c r="E385" s="74"/>
      <c r="F385" s="74"/>
      <c r="G385" s="74"/>
      <c r="H385" s="74"/>
      <c r="I385" s="74"/>
      <c r="J385" s="74"/>
      <c r="K385" s="74"/>
      <c r="L385" s="74"/>
      <c r="M385" s="74"/>
      <c r="N385" s="74"/>
      <c r="O385" s="74"/>
      <c r="P385" s="74"/>
      <c r="Q385" s="74"/>
      <c r="R385" s="74"/>
      <c r="S385" s="74"/>
      <c r="T385" s="74"/>
      <c r="U385" s="74"/>
      <c r="V385" s="74"/>
      <c r="W385" s="74"/>
    </row>
    <row r="386">
      <c r="A386" s="74"/>
      <c r="B386" s="74"/>
      <c r="C386" s="74"/>
      <c r="D386" s="74"/>
      <c r="E386" s="74"/>
      <c r="F386" s="74"/>
      <c r="G386" s="74"/>
      <c r="H386" s="74"/>
      <c r="I386" s="74"/>
      <c r="J386" s="74"/>
      <c r="K386" s="74"/>
      <c r="L386" s="74"/>
      <c r="M386" s="74"/>
      <c r="N386" s="74"/>
      <c r="O386" s="74"/>
      <c r="P386" s="74"/>
      <c r="Q386" s="74"/>
      <c r="R386" s="74"/>
      <c r="S386" s="74"/>
      <c r="T386" s="74"/>
      <c r="U386" s="74"/>
      <c r="V386" s="74"/>
      <c r="W386" s="74"/>
    </row>
    <row r="387">
      <c r="A387" s="74"/>
      <c r="B387" s="74"/>
      <c r="C387" s="74"/>
      <c r="D387" s="74"/>
      <c r="E387" s="74"/>
      <c r="F387" s="74"/>
      <c r="G387" s="74"/>
      <c r="H387" s="74"/>
      <c r="I387" s="74"/>
      <c r="J387" s="74"/>
      <c r="K387" s="74"/>
      <c r="L387" s="74"/>
      <c r="M387" s="74"/>
      <c r="N387" s="74"/>
      <c r="O387" s="74"/>
      <c r="P387" s="74"/>
      <c r="Q387" s="74"/>
      <c r="R387" s="74"/>
      <c r="S387" s="74"/>
      <c r="T387" s="74"/>
      <c r="U387" s="74"/>
      <c r="V387" s="74"/>
      <c r="W387" s="74"/>
    </row>
    <row r="388">
      <c r="A388" s="74"/>
      <c r="B388" s="74"/>
      <c r="C388" s="74"/>
      <c r="D388" s="74"/>
      <c r="E388" s="74"/>
      <c r="F388" s="74"/>
      <c r="G388" s="74"/>
      <c r="H388" s="74"/>
      <c r="I388" s="74"/>
      <c r="J388" s="74"/>
      <c r="K388" s="74"/>
      <c r="L388" s="74"/>
      <c r="M388" s="74"/>
      <c r="N388" s="74"/>
      <c r="O388" s="74"/>
      <c r="P388" s="74"/>
      <c r="Q388" s="74"/>
      <c r="R388" s="74"/>
      <c r="S388" s="74"/>
      <c r="T388" s="74"/>
      <c r="U388" s="74"/>
      <c r="V388" s="74"/>
      <c r="W388" s="74"/>
    </row>
    <row r="389">
      <c r="A389" s="74"/>
      <c r="B389" s="74"/>
      <c r="C389" s="74"/>
      <c r="D389" s="74"/>
      <c r="E389" s="74"/>
      <c r="F389" s="74"/>
      <c r="G389" s="74"/>
      <c r="H389" s="74"/>
      <c r="I389" s="74"/>
      <c r="J389" s="74"/>
      <c r="K389" s="74"/>
      <c r="L389" s="74"/>
      <c r="M389" s="74"/>
      <c r="N389" s="74"/>
      <c r="O389" s="74"/>
      <c r="P389" s="74"/>
      <c r="Q389" s="74"/>
      <c r="R389" s="74"/>
      <c r="S389" s="74"/>
      <c r="T389" s="74"/>
      <c r="U389" s="74"/>
      <c r="V389" s="74"/>
      <c r="W389" s="74"/>
    </row>
    <row r="390">
      <c r="A390" s="74"/>
      <c r="B390" s="74"/>
      <c r="C390" s="74"/>
      <c r="D390" s="74"/>
      <c r="E390" s="74"/>
      <c r="F390" s="74"/>
      <c r="G390" s="74"/>
      <c r="H390" s="74"/>
      <c r="I390" s="74"/>
      <c r="J390" s="74"/>
      <c r="K390" s="74"/>
      <c r="L390" s="74"/>
      <c r="M390" s="74"/>
      <c r="N390" s="74"/>
      <c r="O390" s="74"/>
      <c r="P390" s="74"/>
      <c r="Q390" s="74"/>
      <c r="R390" s="74"/>
      <c r="S390" s="74"/>
      <c r="T390" s="74"/>
      <c r="U390" s="74"/>
      <c r="V390" s="74"/>
      <c r="W390" s="74"/>
    </row>
    <row r="391">
      <c r="A391" s="74"/>
      <c r="B391" s="74"/>
      <c r="C391" s="74"/>
      <c r="D391" s="74"/>
      <c r="E391" s="74"/>
      <c r="F391" s="74"/>
      <c r="G391" s="74"/>
      <c r="H391" s="74"/>
      <c r="I391" s="74"/>
      <c r="J391" s="74"/>
      <c r="K391" s="74"/>
      <c r="L391" s="74"/>
      <c r="M391" s="74"/>
      <c r="N391" s="74"/>
      <c r="O391" s="74"/>
      <c r="P391" s="74"/>
      <c r="Q391" s="74"/>
      <c r="R391" s="74"/>
      <c r="S391" s="74"/>
      <c r="T391" s="74"/>
      <c r="U391" s="74"/>
      <c r="V391" s="74"/>
      <c r="W391" s="74"/>
    </row>
    <row r="392">
      <c r="A392" s="74"/>
      <c r="B392" s="74"/>
      <c r="C392" s="74"/>
      <c r="D392" s="74"/>
      <c r="E392" s="74"/>
      <c r="F392" s="74"/>
      <c r="G392" s="74"/>
      <c r="H392" s="74"/>
      <c r="I392" s="74"/>
      <c r="J392" s="74"/>
      <c r="K392" s="74"/>
      <c r="L392" s="74"/>
      <c r="M392" s="74"/>
      <c r="N392" s="74"/>
      <c r="O392" s="74"/>
      <c r="P392" s="74"/>
      <c r="Q392" s="74"/>
      <c r="R392" s="74"/>
      <c r="S392" s="74"/>
      <c r="T392" s="74"/>
      <c r="U392" s="74"/>
      <c r="V392" s="74"/>
      <c r="W392" s="74"/>
    </row>
    <row r="393">
      <c r="A393" s="74"/>
      <c r="B393" s="74"/>
      <c r="C393" s="74"/>
      <c r="D393" s="74"/>
      <c r="E393" s="74"/>
      <c r="F393" s="74"/>
      <c r="G393" s="74"/>
      <c r="H393" s="74"/>
      <c r="I393" s="74"/>
      <c r="J393" s="74"/>
      <c r="K393" s="74"/>
      <c r="L393" s="74"/>
      <c r="M393" s="74"/>
      <c r="N393" s="74"/>
      <c r="O393" s="74"/>
      <c r="P393" s="74"/>
      <c r="Q393" s="74"/>
      <c r="R393" s="74"/>
      <c r="S393" s="74"/>
      <c r="T393" s="74"/>
      <c r="U393" s="74"/>
      <c r="V393" s="74"/>
      <c r="W393" s="74"/>
    </row>
    <row r="394">
      <c r="A394" s="74"/>
      <c r="B394" s="74"/>
      <c r="C394" s="74"/>
      <c r="D394" s="74"/>
      <c r="E394" s="74"/>
      <c r="F394" s="74"/>
      <c r="G394" s="74"/>
      <c r="H394" s="74"/>
      <c r="I394" s="74"/>
      <c r="J394" s="74"/>
      <c r="K394" s="74"/>
      <c r="L394" s="74"/>
      <c r="M394" s="74"/>
      <c r="N394" s="74"/>
      <c r="O394" s="74"/>
      <c r="P394" s="74"/>
      <c r="Q394" s="74"/>
      <c r="R394" s="74"/>
      <c r="S394" s="74"/>
      <c r="T394" s="74"/>
      <c r="U394" s="74"/>
      <c r="V394" s="74"/>
      <c r="W394" s="74"/>
    </row>
    <row r="395">
      <c r="A395" s="74"/>
      <c r="B395" s="74"/>
      <c r="C395" s="74"/>
      <c r="D395" s="74"/>
      <c r="E395" s="74"/>
      <c r="F395" s="74"/>
      <c r="G395" s="74"/>
      <c r="H395" s="74"/>
      <c r="I395" s="74"/>
      <c r="J395" s="74"/>
      <c r="K395" s="74"/>
      <c r="L395" s="74"/>
      <c r="M395" s="74"/>
      <c r="N395" s="74"/>
      <c r="O395" s="74"/>
      <c r="P395" s="74"/>
      <c r="Q395" s="74"/>
      <c r="R395" s="74"/>
      <c r="S395" s="74"/>
      <c r="T395" s="74"/>
      <c r="U395" s="74"/>
      <c r="V395" s="74"/>
      <c r="W395" s="74"/>
    </row>
    <row r="396">
      <c r="A396" s="74"/>
      <c r="B396" s="74"/>
      <c r="C396" s="74"/>
      <c r="D396" s="74"/>
      <c r="E396" s="74"/>
      <c r="F396" s="74"/>
      <c r="G396" s="74"/>
      <c r="H396" s="74"/>
      <c r="I396" s="74"/>
      <c r="J396" s="74"/>
      <c r="K396" s="74"/>
      <c r="L396" s="74"/>
      <c r="M396" s="74"/>
      <c r="N396" s="74"/>
      <c r="O396" s="74"/>
      <c r="P396" s="74"/>
      <c r="Q396" s="74"/>
      <c r="R396" s="74"/>
      <c r="S396" s="74"/>
      <c r="T396" s="74"/>
      <c r="U396" s="74"/>
      <c r="V396" s="74"/>
      <c r="W396" s="74"/>
    </row>
    <row r="397">
      <c r="A397" s="74"/>
      <c r="B397" s="74"/>
      <c r="C397" s="74"/>
      <c r="D397" s="74"/>
      <c r="E397" s="74"/>
      <c r="F397" s="74"/>
      <c r="G397" s="74"/>
      <c r="H397" s="74"/>
      <c r="I397" s="74"/>
      <c r="J397" s="74"/>
      <c r="K397" s="74"/>
      <c r="L397" s="74"/>
      <c r="M397" s="74"/>
      <c r="N397" s="74"/>
      <c r="O397" s="74"/>
      <c r="P397" s="74"/>
      <c r="Q397" s="74"/>
      <c r="R397" s="74"/>
      <c r="S397" s="74"/>
      <c r="T397" s="74"/>
      <c r="U397" s="74"/>
      <c r="V397" s="74"/>
      <c r="W397" s="74"/>
    </row>
    <row r="398">
      <c r="A398" s="74"/>
      <c r="B398" s="74"/>
      <c r="C398" s="74"/>
      <c r="D398" s="74"/>
      <c r="E398" s="74"/>
      <c r="F398" s="74"/>
      <c r="G398" s="74"/>
      <c r="H398" s="74"/>
      <c r="I398" s="74"/>
      <c r="J398" s="74"/>
      <c r="K398" s="74"/>
      <c r="L398" s="74"/>
      <c r="M398" s="74"/>
      <c r="N398" s="74"/>
      <c r="O398" s="74"/>
      <c r="P398" s="74"/>
      <c r="Q398" s="74"/>
      <c r="R398" s="74"/>
      <c r="S398" s="74"/>
      <c r="T398" s="74"/>
      <c r="U398" s="74"/>
      <c r="V398" s="74"/>
      <c r="W398" s="74"/>
    </row>
    <row r="399">
      <c r="A399" s="74"/>
      <c r="B399" s="74"/>
      <c r="C399" s="74"/>
      <c r="D399" s="74"/>
      <c r="E399" s="74"/>
      <c r="F399" s="74"/>
      <c r="G399" s="74"/>
      <c r="H399" s="74"/>
      <c r="I399" s="74"/>
      <c r="J399" s="74"/>
      <c r="K399" s="74"/>
      <c r="L399" s="74"/>
      <c r="M399" s="74"/>
      <c r="N399" s="74"/>
      <c r="O399" s="74"/>
      <c r="P399" s="74"/>
      <c r="Q399" s="74"/>
      <c r="R399" s="74"/>
      <c r="S399" s="74"/>
      <c r="T399" s="74"/>
      <c r="U399" s="74"/>
      <c r="V399" s="74"/>
      <c r="W399" s="74"/>
    </row>
    <row r="400">
      <c r="A400" s="74"/>
      <c r="B400" s="74"/>
      <c r="C400" s="74"/>
      <c r="D400" s="74"/>
      <c r="E400" s="74"/>
      <c r="F400" s="74"/>
      <c r="G400" s="74"/>
      <c r="H400" s="74"/>
      <c r="I400" s="74"/>
      <c r="J400" s="74"/>
      <c r="K400" s="74"/>
      <c r="L400" s="74"/>
      <c r="M400" s="74"/>
      <c r="N400" s="74"/>
      <c r="O400" s="74"/>
      <c r="P400" s="74"/>
      <c r="Q400" s="74"/>
      <c r="R400" s="74"/>
      <c r="S400" s="74"/>
      <c r="T400" s="74"/>
      <c r="U400" s="74"/>
      <c r="V400" s="74"/>
      <c r="W400" s="74"/>
    </row>
    <row r="401">
      <c r="A401" s="74"/>
      <c r="B401" s="74"/>
      <c r="C401" s="74"/>
      <c r="D401" s="74"/>
      <c r="E401" s="74"/>
      <c r="F401" s="74"/>
      <c r="G401" s="74"/>
      <c r="H401" s="74"/>
      <c r="I401" s="74"/>
      <c r="J401" s="74"/>
      <c r="K401" s="74"/>
      <c r="L401" s="74"/>
      <c r="M401" s="74"/>
      <c r="N401" s="74"/>
      <c r="O401" s="74"/>
      <c r="P401" s="74"/>
      <c r="Q401" s="74"/>
      <c r="R401" s="74"/>
      <c r="S401" s="74"/>
      <c r="T401" s="74"/>
      <c r="U401" s="74"/>
      <c r="V401" s="74"/>
      <c r="W401" s="74"/>
    </row>
    <row r="402">
      <c r="A402" s="74"/>
      <c r="B402" s="74"/>
      <c r="C402" s="74"/>
      <c r="D402" s="74"/>
      <c r="E402" s="74"/>
      <c r="F402" s="74"/>
      <c r="G402" s="74"/>
      <c r="H402" s="74"/>
      <c r="I402" s="74"/>
      <c r="J402" s="74"/>
      <c r="K402" s="74"/>
      <c r="L402" s="74"/>
      <c r="M402" s="74"/>
      <c r="N402" s="74"/>
      <c r="O402" s="74"/>
      <c r="P402" s="74"/>
      <c r="Q402" s="74"/>
      <c r="R402" s="74"/>
      <c r="S402" s="74"/>
      <c r="T402" s="74"/>
      <c r="U402" s="74"/>
      <c r="V402" s="74"/>
      <c r="W402" s="74"/>
    </row>
    <row r="403">
      <c r="A403" s="74"/>
      <c r="B403" s="74"/>
      <c r="C403" s="74"/>
      <c r="D403" s="74"/>
      <c r="E403" s="74"/>
      <c r="F403" s="74"/>
      <c r="G403" s="74"/>
      <c r="H403" s="74"/>
      <c r="I403" s="74"/>
      <c r="J403" s="74"/>
      <c r="K403" s="74"/>
      <c r="L403" s="74"/>
      <c r="M403" s="74"/>
      <c r="N403" s="74"/>
      <c r="O403" s="74"/>
      <c r="P403" s="74"/>
      <c r="Q403" s="74"/>
      <c r="R403" s="74"/>
      <c r="S403" s="74"/>
      <c r="T403" s="74"/>
      <c r="U403" s="74"/>
      <c r="V403" s="74"/>
      <c r="W403" s="74"/>
    </row>
    <row r="404">
      <c r="A404" s="74"/>
      <c r="B404" s="74"/>
      <c r="C404" s="74"/>
      <c r="D404" s="74"/>
      <c r="E404" s="74"/>
      <c r="F404" s="74"/>
      <c r="G404" s="74"/>
      <c r="H404" s="74"/>
      <c r="I404" s="74"/>
      <c r="J404" s="74"/>
      <c r="K404" s="74"/>
      <c r="L404" s="74"/>
      <c r="M404" s="74"/>
      <c r="N404" s="74"/>
      <c r="O404" s="74"/>
      <c r="P404" s="74"/>
      <c r="Q404" s="74"/>
      <c r="R404" s="74"/>
      <c r="S404" s="74"/>
      <c r="T404" s="74"/>
      <c r="U404" s="74"/>
      <c r="V404" s="74"/>
      <c r="W404" s="74"/>
    </row>
    <row r="405">
      <c r="A405" s="74"/>
      <c r="B405" s="74"/>
      <c r="C405" s="74"/>
      <c r="D405" s="74"/>
      <c r="E405" s="74"/>
      <c r="F405" s="74"/>
      <c r="G405" s="74"/>
      <c r="H405" s="74"/>
      <c r="I405" s="74"/>
      <c r="J405" s="74"/>
      <c r="K405" s="74"/>
      <c r="L405" s="74"/>
      <c r="M405" s="74"/>
      <c r="N405" s="74"/>
      <c r="O405" s="74"/>
      <c r="P405" s="74"/>
      <c r="Q405" s="74"/>
      <c r="R405" s="74"/>
      <c r="S405" s="74"/>
      <c r="T405" s="74"/>
      <c r="U405" s="74"/>
      <c r="V405" s="74"/>
      <c r="W405" s="74"/>
    </row>
    <row r="406">
      <c r="A406" s="74"/>
      <c r="B406" s="74"/>
      <c r="C406" s="74"/>
      <c r="D406" s="74"/>
      <c r="E406" s="74"/>
      <c r="F406" s="74"/>
      <c r="G406" s="74"/>
      <c r="H406" s="74"/>
      <c r="I406" s="74"/>
      <c r="J406" s="74"/>
      <c r="K406" s="74"/>
      <c r="L406" s="74"/>
      <c r="M406" s="74"/>
      <c r="N406" s="74"/>
      <c r="O406" s="74"/>
      <c r="P406" s="74"/>
      <c r="Q406" s="74"/>
      <c r="R406" s="74"/>
      <c r="S406" s="74"/>
      <c r="T406" s="74"/>
      <c r="U406" s="74"/>
      <c r="V406" s="74"/>
      <c r="W406" s="74"/>
    </row>
    <row r="407">
      <c r="A407" s="74"/>
      <c r="B407" s="74"/>
      <c r="C407" s="74"/>
      <c r="D407" s="74"/>
      <c r="E407" s="74"/>
      <c r="F407" s="74"/>
      <c r="G407" s="74"/>
      <c r="H407" s="74"/>
      <c r="I407" s="74"/>
      <c r="J407" s="74"/>
      <c r="K407" s="74"/>
      <c r="L407" s="74"/>
      <c r="M407" s="74"/>
      <c r="N407" s="74"/>
      <c r="O407" s="74"/>
      <c r="P407" s="74"/>
      <c r="Q407" s="74"/>
      <c r="R407" s="74"/>
      <c r="S407" s="74"/>
      <c r="T407" s="74"/>
      <c r="U407" s="74"/>
      <c r="V407" s="74"/>
      <c r="W407" s="74"/>
    </row>
    <row r="408">
      <c r="A408" s="74"/>
      <c r="B408" s="74"/>
      <c r="C408" s="74"/>
      <c r="D408" s="74"/>
      <c r="E408" s="74"/>
      <c r="F408" s="74"/>
      <c r="G408" s="74"/>
      <c r="H408" s="74"/>
      <c r="I408" s="74"/>
      <c r="J408" s="74"/>
      <c r="K408" s="74"/>
      <c r="L408" s="74"/>
      <c r="M408" s="74"/>
      <c r="N408" s="74"/>
      <c r="O408" s="74"/>
      <c r="P408" s="74"/>
      <c r="Q408" s="74"/>
      <c r="R408" s="74"/>
      <c r="S408" s="74"/>
      <c r="T408" s="74"/>
      <c r="U408" s="74"/>
      <c r="V408" s="74"/>
      <c r="W408" s="74"/>
    </row>
    <row r="409">
      <c r="A409" s="74"/>
      <c r="B409" s="74"/>
      <c r="C409" s="74"/>
      <c r="D409" s="74"/>
      <c r="E409" s="74"/>
      <c r="F409" s="74"/>
      <c r="G409" s="74"/>
      <c r="H409" s="74"/>
      <c r="I409" s="74"/>
      <c r="J409" s="74"/>
      <c r="K409" s="74"/>
      <c r="L409" s="74"/>
      <c r="M409" s="74"/>
      <c r="N409" s="74"/>
      <c r="O409" s="74"/>
      <c r="P409" s="74"/>
      <c r="Q409" s="74"/>
      <c r="R409" s="74"/>
      <c r="S409" s="74"/>
      <c r="T409" s="74"/>
      <c r="U409" s="74"/>
      <c r="V409" s="74"/>
      <c r="W409" s="74"/>
    </row>
    <row r="410">
      <c r="A410" s="74"/>
      <c r="B410" s="74"/>
      <c r="C410" s="74"/>
      <c r="D410" s="74"/>
      <c r="E410" s="74"/>
      <c r="F410" s="74"/>
      <c r="G410" s="74"/>
      <c r="H410" s="74"/>
      <c r="I410" s="74"/>
      <c r="J410" s="74"/>
      <c r="K410" s="74"/>
      <c r="L410" s="74"/>
      <c r="M410" s="74"/>
      <c r="N410" s="74"/>
      <c r="O410" s="74"/>
      <c r="P410" s="74"/>
      <c r="Q410" s="74"/>
      <c r="R410" s="74"/>
      <c r="S410" s="74"/>
      <c r="T410" s="74"/>
      <c r="U410" s="74"/>
      <c r="V410" s="74"/>
      <c r="W410" s="74"/>
    </row>
    <row r="411">
      <c r="A411" s="74"/>
      <c r="B411" s="74"/>
      <c r="C411" s="74"/>
      <c r="D411" s="74"/>
      <c r="E411" s="74"/>
      <c r="F411" s="74"/>
      <c r="G411" s="74"/>
      <c r="H411" s="74"/>
      <c r="I411" s="74"/>
      <c r="J411" s="74"/>
      <c r="K411" s="74"/>
      <c r="L411" s="74"/>
      <c r="M411" s="74"/>
      <c r="N411" s="74"/>
      <c r="O411" s="74"/>
      <c r="P411" s="74"/>
      <c r="Q411" s="74"/>
      <c r="R411" s="74"/>
      <c r="S411" s="74"/>
      <c r="T411" s="74"/>
      <c r="U411" s="74"/>
      <c r="V411" s="74"/>
      <c r="W411" s="74"/>
    </row>
    <row r="412">
      <c r="A412" s="74"/>
      <c r="B412" s="74"/>
      <c r="C412" s="74"/>
      <c r="D412" s="74"/>
      <c r="E412" s="74"/>
      <c r="F412" s="74"/>
      <c r="G412" s="74"/>
      <c r="H412" s="74"/>
      <c r="I412" s="74"/>
      <c r="J412" s="74"/>
      <c r="K412" s="74"/>
      <c r="L412" s="74"/>
      <c r="M412" s="74"/>
      <c r="N412" s="74"/>
      <c r="O412" s="74"/>
      <c r="P412" s="74"/>
      <c r="Q412" s="74"/>
      <c r="R412" s="74"/>
      <c r="S412" s="74"/>
      <c r="T412" s="74"/>
      <c r="U412" s="74"/>
      <c r="V412" s="74"/>
      <c r="W412" s="74"/>
    </row>
    <row r="413">
      <c r="A413" s="74"/>
      <c r="B413" s="74"/>
      <c r="C413" s="74"/>
      <c r="D413" s="74"/>
      <c r="E413" s="74"/>
      <c r="F413" s="74"/>
      <c r="G413" s="74"/>
      <c r="H413" s="74"/>
      <c r="I413" s="74"/>
      <c r="J413" s="74"/>
      <c r="K413" s="74"/>
      <c r="L413" s="74"/>
      <c r="M413" s="74"/>
      <c r="N413" s="74"/>
      <c r="O413" s="74"/>
      <c r="P413" s="74"/>
      <c r="Q413" s="74"/>
      <c r="R413" s="74"/>
      <c r="S413" s="74"/>
      <c r="T413" s="74"/>
      <c r="U413" s="74"/>
      <c r="V413" s="74"/>
      <c r="W413" s="74"/>
    </row>
    <row r="414">
      <c r="A414" s="74"/>
      <c r="B414" s="74"/>
      <c r="C414" s="74"/>
      <c r="D414" s="74"/>
      <c r="E414" s="74"/>
      <c r="F414" s="74"/>
      <c r="G414" s="74"/>
      <c r="H414" s="74"/>
      <c r="I414" s="74"/>
      <c r="J414" s="74"/>
      <c r="K414" s="74"/>
      <c r="L414" s="74"/>
      <c r="M414" s="74"/>
      <c r="N414" s="74"/>
      <c r="O414" s="74"/>
      <c r="P414" s="74"/>
      <c r="Q414" s="74"/>
      <c r="R414" s="74"/>
      <c r="S414" s="74"/>
      <c r="T414" s="74"/>
      <c r="U414" s="74"/>
      <c r="V414" s="74"/>
      <c r="W414" s="74"/>
    </row>
    <row r="415">
      <c r="A415" s="74"/>
      <c r="B415" s="74"/>
      <c r="C415" s="74"/>
      <c r="D415" s="74"/>
      <c r="E415" s="74"/>
      <c r="F415" s="74"/>
      <c r="G415" s="74"/>
      <c r="H415" s="74"/>
      <c r="I415" s="74"/>
      <c r="J415" s="74"/>
      <c r="K415" s="74"/>
      <c r="L415" s="74"/>
      <c r="M415" s="74"/>
      <c r="N415" s="74"/>
      <c r="O415" s="74"/>
      <c r="P415" s="74"/>
      <c r="Q415" s="74"/>
      <c r="R415" s="74"/>
      <c r="S415" s="74"/>
      <c r="T415" s="74"/>
      <c r="U415" s="74"/>
      <c r="V415" s="74"/>
      <c r="W415" s="74"/>
    </row>
    <row r="416">
      <c r="A416" s="74"/>
      <c r="B416" s="74"/>
      <c r="C416" s="74"/>
      <c r="D416" s="74"/>
      <c r="E416" s="74"/>
      <c r="F416" s="74"/>
      <c r="G416" s="74"/>
      <c r="H416" s="74"/>
      <c r="I416" s="74"/>
      <c r="J416" s="74"/>
      <c r="K416" s="74"/>
      <c r="L416" s="74"/>
      <c r="M416" s="74"/>
      <c r="N416" s="74"/>
      <c r="O416" s="74"/>
      <c r="P416" s="74"/>
      <c r="Q416" s="74"/>
      <c r="R416" s="74"/>
      <c r="S416" s="74"/>
      <c r="T416" s="74"/>
      <c r="U416" s="74"/>
      <c r="V416" s="74"/>
      <c r="W416" s="74"/>
    </row>
    <row r="417">
      <c r="A417" s="74"/>
      <c r="B417" s="74"/>
      <c r="C417" s="74"/>
      <c r="D417" s="74"/>
      <c r="E417" s="74"/>
      <c r="F417" s="74"/>
      <c r="G417" s="74"/>
      <c r="H417" s="74"/>
      <c r="I417" s="74"/>
      <c r="J417" s="74"/>
      <c r="K417" s="74"/>
      <c r="L417" s="74"/>
      <c r="M417" s="74"/>
      <c r="N417" s="74"/>
      <c r="O417" s="74"/>
      <c r="P417" s="74"/>
      <c r="Q417" s="74"/>
      <c r="R417" s="74"/>
      <c r="S417" s="74"/>
      <c r="T417" s="74"/>
      <c r="U417" s="74"/>
      <c r="V417" s="74"/>
      <c r="W417" s="74"/>
    </row>
    <row r="418">
      <c r="A418" s="74"/>
      <c r="B418" s="74"/>
      <c r="C418" s="74"/>
      <c r="D418" s="74"/>
      <c r="E418" s="74"/>
      <c r="F418" s="74"/>
      <c r="G418" s="74"/>
      <c r="H418" s="74"/>
      <c r="I418" s="74"/>
      <c r="J418" s="74"/>
      <c r="K418" s="74"/>
      <c r="L418" s="74"/>
      <c r="M418" s="74"/>
      <c r="N418" s="74"/>
      <c r="O418" s="74"/>
      <c r="P418" s="74"/>
      <c r="Q418" s="74"/>
      <c r="R418" s="74"/>
      <c r="S418" s="74"/>
      <c r="T418" s="74"/>
      <c r="U418" s="74"/>
      <c r="V418" s="74"/>
      <c r="W418" s="74"/>
    </row>
    <row r="419">
      <c r="A419" s="74"/>
      <c r="B419" s="74"/>
      <c r="C419" s="74"/>
      <c r="D419" s="74"/>
      <c r="E419" s="74"/>
      <c r="F419" s="74"/>
      <c r="G419" s="74"/>
      <c r="H419" s="74"/>
      <c r="I419" s="74"/>
      <c r="J419" s="74"/>
      <c r="K419" s="74"/>
      <c r="L419" s="74"/>
      <c r="M419" s="74"/>
      <c r="N419" s="74"/>
      <c r="O419" s="74"/>
      <c r="P419" s="74"/>
      <c r="Q419" s="74"/>
      <c r="R419" s="74"/>
      <c r="S419" s="74"/>
      <c r="T419" s="74"/>
      <c r="U419" s="74"/>
      <c r="V419" s="74"/>
      <c r="W419" s="74"/>
    </row>
    <row r="420">
      <c r="A420" s="74"/>
      <c r="B420" s="74"/>
      <c r="C420" s="74"/>
      <c r="D420" s="74"/>
      <c r="E420" s="74"/>
      <c r="F420" s="74"/>
      <c r="G420" s="74"/>
      <c r="H420" s="74"/>
      <c r="I420" s="74"/>
      <c r="J420" s="74"/>
      <c r="K420" s="74"/>
      <c r="L420" s="74"/>
      <c r="M420" s="74"/>
      <c r="N420" s="74"/>
      <c r="O420" s="74"/>
      <c r="P420" s="74"/>
      <c r="Q420" s="74"/>
      <c r="R420" s="74"/>
      <c r="S420" s="74"/>
      <c r="T420" s="74"/>
      <c r="U420" s="74"/>
      <c r="V420" s="74"/>
      <c r="W420" s="74"/>
    </row>
    <row r="421">
      <c r="A421" s="74"/>
      <c r="B421" s="74"/>
      <c r="C421" s="74"/>
      <c r="D421" s="74"/>
      <c r="E421" s="74"/>
      <c r="F421" s="74"/>
      <c r="G421" s="74"/>
      <c r="H421" s="74"/>
      <c r="I421" s="74"/>
      <c r="J421" s="74"/>
      <c r="K421" s="74"/>
      <c r="L421" s="74"/>
      <c r="M421" s="74"/>
      <c r="N421" s="74"/>
      <c r="O421" s="74"/>
      <c r="P421" s="74"/>
      <c r="Q421" s="74"/>
      <c r="R421" s="74"/>
      <c r="S421" s="74"/>
      <c r="T421" s="74"/>
      <c r="U421" s="74"/>
      <c r="V421" s="74"/>
      <c r="W421" s="74"/>
    </row>
    <row r="422">
      <c r="A422" s="74"/>
      <c r="B422" s="74"/>
      <c r="C422" s="74"/>
      <c r="D422" s="74"/>
      <c r="E422" s="74"/>
      <c r="F422" s="74"/>
      <c r="G422" s="74"/>
      <c r="H422" s="74"/>
      <c r="I422" s="74"/>
      <c r="J422" s="74"/>
      <c r="K422" s="74"/>
      <c r="L422" s="74"/>
      <c r="M422" s="74"/>
      <c r="N422" s="74"/>
      <c r="O422" s="74"/>
      <c r="P422" s="74"/>
      <c r="Q422" s="74"/>
      <c r="R422" s="74"/>
      <c r="S422" s="74"/>
      <c r="T422" s="74"/>
      <c r="U422" s="74"/>
      <c r="V422" s="74"/>
      <c r="W422" s="74"/>
    </row>
    <row r="423">
      <c r="A423" s="74"/>
      <c r="B423" s="74"/>
      <c r="C423" s="74"/>
      <c r="D423" s="74"/>
      <c r="E423" s="74"/>
      <c r="F423" s="74"/>
      <c r="G423" s="74"/>
      <c r="H423" s="74"/>
      <c r="I423" s="74"/>
      <c r="J423" s="74"/>
      <c r="K423" s="74"/>
      <c r="L423" s="74"/>
      <c r="M423" s="74"/>
      <c r="N423" s="74"/>
      <c r="O423" s="74"/>
      <c r="P423" s="74"/>
      <c r="Q423" s="74"/>
      <c r="R423" s="74"/>
      <c r="S423" s="74"/>
      <c r="T423" s="74"/>
      <c r="U423" s="74"/>
      <c r="V423" s="74"/>
      <c r="W423" s="74"/>
    </row>
    <row r="424">
      <c r="A424" s="74"/>
      <c r="B424" s="74"/>
      <c r="C424" s="74"/>
      <c r="D424" s="74"/>
      <c r="E424" s="74"/>
      <c r="F424" s="74"/>
      <c r="G424" s="74"/>
      <c r="H424" s="74"/>
      <c r="I424" s="74"/>
      <c r="J424" s="74"/>
      <c r="K424" s="74"/>
      <c r="L424" s="74"/>
      <c r="M424" s="74"/>
      <c r="N424" s="74"/>
      <c r="O424" s="74"/>
      <c r="P424" s="74"/>
      <c r="Q424" s="74"/>
      <c r="R424" s="74"/>
      <c r="S424" s="74"/>
      <c r="T424" s="74"/>
      <c r="U424" s="74"/>
      <c r="V424" s="74"/>
      <c r="W424" s="74"/>
    </row>
    <row r="425">
      <c r="A425" s="74"/>
      <c r="B425" s="74"/>
      <c r="C425" s="74"/>
      <c r="D425" s="74"/>
      <c r="E425" s="74"/>
      <c r="F425" s="74"/>
      <c r="G425" s="74"/>
      <c r="H425" s="74"/>
      <c r="I425" s="74"/>
      <c r="J425" s="74"/>
      <c r="K425" s="74"/>
      <c r="L425" s="74"/>
      <c r="M425" s="74"/>
      <c r="N425" s="74"/>
      <c r="O425" s="74"/>
      <c r="P425" s="74"/>
      <c r="Q425" s="74"/>
      <c r="R425" s="74"/>
      <c r="S425" s="74"/>
      <c r="T425" s="74"/>
      <c r="U425" s="74"/>
      <c r="V425" s="74"/>
      <c r="W425" s="74"/>
    </row>
    <row r="426">
      <c r="A426" s="74"/>
      <c r="B426" s="74"/>
      <c r="C426" s="74"/>
      <c r="D426" s="74"/>
      <c r="E426" s="74"/>
      <c r="F426" s="74"/>
      <c r="G426" s="74"/>
      <c r="H426" s="74"/>
      <c r="I426" s="74"/>
      <c r="J426" s="74"/>
      <c r="K426" s="74"/>
      <c r="L426" s="74"/>
      <c r="M426" s="74"/>
      <c r="N426" s="74"/>
      <c r="O426" s="74"/>
      <c r="P426" s="74"/>
      <c r="Q426" s="74"/>
      <c r="R426" s="74"/>
      <c r="S426" s="74"/>
      <c r="T426" s="74"/>
      <c r="U426" s="74"/>
      <c r="V426" s="74"/>
      <c r="W426" s="74"/>
    </row>
    <row r="427">
      <c r="A427" s="74"/>
      <c r="B427" s="74"/>
      <c r="C427" s="74"/>
      <c r="D427" s="74"/>
      <c r="E427" s="74"/>
      <c r="F427" s="74"/>
      <c r="G427" s="74"/>
      <c r="H427" s="74"/>
      <c r="I427" s="74"/>
      <c r="J427" s="74"/>
      <c r="K427" s="74"/>
      <c r="L427" s="74"/>
      <c r="M427" s="74"/>
      <c r="N427" s="74"/>
      <c r="O427" s="74"/>
      <c r="P427" s="74"/>
      <c r="Q427" s="74"/>
      <c r="R427" s="74"/>
      <c r="S427" s="74"/>
      <c r="T427" s="74"/>
      <c r="U427" s="74"/>
      <c r="V427" s="74"/>
      <c r="W427" s="74"/>
    </row>
    <row r="428">
      <c r="A428" s="74"/>
      <c r="B428" s="74"/>
      <c r="C428" s="74"/>
      <c r="D428" s="74"/>
      <c r="E428" s="74"/>
      <c r="F428" s="74"/>
      <c r="G428" s="74"/>
      <c r="H428" s="74"/>
      <c r="I428" s="74"/>
      <c r="J428" s="74"/>
      <c r="K428" s="74"/>
      <c r="L428" s="74"/>
      <c r="M428" s="74"/>
      <c r="N428" s="74"/>
      <c r="O428" s="74"/>
      <c r="P428" s="74"/>
      <c r="Q428" s="74"/>
      <c r="R428" s="74"/>
      <c r="S428" s="74"/>
      <c r="T428" s="74"/>
      <c r="U428" s="74"/>
      <c r="V428" s="74"/>
      <c r="W428" s="74"/>
    </row>
    <row r="429">
      <c r="A429" s="74"/>
      <c r="B429" s="74"/>
      <c r="C429" s="74"/>
      <c r="D429" s="74"/>
      <c r="E429" s="74"/>
      <c r="F429" s="74"/>
      <c r="G429" s="74"/>
      <c r="H429" s="74"/>
      <c r="I429" s="74"/>
      <c r="J429" s="74"/>
      <c r="K429" s="74"/>
      <c r="L429" s="74"/>
      <c r="M429" s="74"/>
      <c r="N429" s="74"/>
      <c r="O429" s="74"/>
      <c r="P429" s="74"/>
      <c r="Q429" s="74"/>
      <c r="R429" s="74"/>
      <c r="S429" s="74"/>
      <c r="T429" s="74"/>
      <c r="U429" s="74"/>
      <c r="V429" s="74"/>
      <c r="W429" s="74"/>
    </row>
    <row r="430">
      <c r="A430" s="74"/>
      <c r="B430" s="74"/>
      <c r="C430" s="74"/>
      <c r="D430" s="74"/>
      <c r="E430" s="74"/>
      <c r="F430" s="74"/>
      <c r="G430" s="74"/>
      <c r="H430" s="74"/>
      <c r="I430" s="74"/>
      <c r="J430" s="74"/>
      <c r="K430" s="74"/>
      <c r="L430" s="74"/>
      <c r="M430" s="74"/>
      <c r="N430" s="74"/>
      <c r="O430" s="74"/>
      <c r="P430" s="74"/>
      <c r="Q430" s="74"/>
      <c r="R430" s="74"/>
      <c r="S430" s="74"/>
      <c r="T430" s="74"/>
      <c r="U430" s="74"/>
      <c r="V430" s="74"/>
      <c r="W430" s="74"/>
    </row>
    <row r="431">
      <c r="A431" s="74"/>
      <c r="B431" s="74"/>
      <c r="C431" s="74"/>
      <c r="D431" s="74"/>
      <c r="E431" s="74"/>
      <c r="F431" s="74"/>
      <c r="G431" s="74"/>
      <c r="H431" s="74"/>
      <c r="I431" s="74"/>
      <c r="J431" s="74"/>
      <c r="K431" s="74"/>
      <c r="L431" s="74"/>
      <c r="M431" s="74"/>
      <c r="N431" s="74"/>
      <c r="O431" s="74"/>
      <c r="P431" s="74"/>
      <c r="Q431" s="74"/>
      <c r="R431" s="74"/>
      <c r="S431" s="74"/>
      <c r="T431" s="74"/>
      <c r="U431" s="74"/>
      <c r="V431" s="74"/>
      <c r="W431" s="74"/>
    </row>
    <row r="432">
      <c r="A432" s="74"/>
      <c r="B432" s="74"/>
      <c r="C432" s="74"/>
      <c r="D432" s="74"/>
      <c r="E432" s="74"/>
      <c r="F432" s="74"/>
      <c r="G432" s="74"/>
      <c r="H432" s="74"/>
      <c r="I432" s="74"/>
      <c r="J432" s="74"/>
      <c r="K432" s="74"/>
      <c r="L432" s="74"/>
      <c r="M432" s="74"/>
      <c r="N432" s="74"/>
      <c r="O432" s="74"/>
      <c r="P432" s="74"/>
      <c r="Q432" s="74"/>
      <c r="R432" s="74"/>
      <c r="S432" s="74"/>
      <c r="T432" s="74"/>
      <c r="U432" s="74"/>
      <c r="V432" s="74"/>
      <c r="W432" s="74"/>
    </row>
    <row r="433">
      <c r="A433" s="74"/>
      <c r="B433" s="74"/>
      <c r="C433" s="74"/>
      <c r="D433" s="74"/>
      <c r="E433" s="74"/>
      <c r="F433" s="74"/>
      <c r="G433" s="74"/>
      <c r="H433" s="74"/>
      <c r="I433" s="74"/>
      <c r="J433" s="74"/>
      <c r="K433" s="74"/>
      <c r="L433" s="74"/>
      <c r="M433" s="74"/>
      <c r="N433" s="74"/>
      <c r="O433" s="74"/>
      <c r="P433" s="74"/>
      <c r="Q433" s="74"/>
      <c r="R433" s="74"/>
      <c r="S433" s="74"/>
      <c r="T433" s="74"/>
      <c r="U433" s="74"/>
      <c r="V433" s="74"/>
      <c r="W433" s="74"/>
    </row>
    <row r="434">
      <c r="A434" s="74"/>
      <c r="B434" s="74"/>
      <c r="C434" s="74"/>
      <c r="D434" s="74"/>
      <c r="E434" s="74"/>
      <c r="F434" s="74"/>
      <c r="G434" s="74"/>
      <c r="H434" s="74"/>
      <c r="I434" s="74"/>
      <c r="J434" s="74"/>
      <c r="K434" s="74"/>
      <c r="L434" s="74"/>
      <c r="M434" s="74"/>
      <c r="N434" s="74"/>
      <c r="O434" s="74"/>
      <c r="P434" s="74"/>
      <c r="Q434" s="74"/>
      <c r="R434" s="74"/>
      <c r="S434" s="74"/>
      <c r="T434" s="74"/>
      <c r="U434" s="74"/>
      <c r="V434" s="74"/>
      <c r="W434" s="74"/>
    </row>
    <row r="435">
      <c r="A435" s="74"/>
      <c r="B435" s="74"/>
      <c r="C435" s="74"/>
      <c r="D435" s="74"/>
      <c r="E435" s="74"/>
      <c r="F435" s="74"/>
      <c r="G435" s="74"/>
      <c r="H435" s="74"/>
      <c r="I435" s="74"/>
      <c r="J435" s="74"/>
      <c r="K435" s="74"/>
      <c r="L435" s="74"/>
      <c r="M435" s="74"/>
      <c r="N435" s="74"/>
      <c r="O435" s="74"/>
      <c r="P435" s="74"/>
      <c r="Q435" s="74"/>
      <c r="R435" s="74"/>
      <c r="S435" s="74"/>
      <c r="T435" s="74"/>
      <c r="U435" s="74"/>
      <c r="V435" s="74"/>
      <c r="W435" s="74"/>
    </row>
    <row r="436">
      <c r="A436" s="74"/>
      <c r="B436" s="74"/>
      <c r="C436" s="74"/>
      <c r="D436" s="74"/>
      <c r="E436" s="74"/>
      <c r="F436" s="74"/>
      <c r="G436" s="74"/>
      <c r="H436" s="74"/>
      <c r="I436" s="74"/>
      <c r="J436" s="74"/>
      <c r="K436" s="74"/>
      <c r="L436" s="74"/>
      <c r="M436" s="74"/>
      <c r="N436" s="74"/>
      <c r="O436" s="74"/>
      <c r="P436" s="74"/>
      <c r="Q436" s="74"/>
      <c r="R436" s="74"/>
      <c r="S436" s="74"/>
      <c r="T436" s="74"/>
      <c r="U436" s="74"/>
      <c r="V436" s="74"/>
      <c r="W436" s="74"/>
    </row>
    <row r="437">
      <c r="A437" s="74"/>
      <c r="B437" s="74"/>
      <c r="C437" s="74"/>
      <c r="D437" s="74"/>
      <c r="E437" s="74"/>
      <c r="F437" s="74"/>
      <c r="G437" s="74"/>
      <c r="H437" s="74"/>
      <c r="I437" s="74"/>
      <c r="J437" s="74"/>
      <c r="K437" s="74"/>
      <c r="L437" s="74"/>
      <c r="M437" s="74"/>
      <c r="N437" s="74"/>
      <c r="O437" s="74"/>
      <c r="P437" s="74"/>
      <c r="Q437" s="74"/>
      <c r="R437" s="74"/>
      <c r="S437" s="74"/>
      <c r="T437" s="74"/>
      <c r="U437" s="74"/>
      <c r="V437" s="74"/>
      <c r="W437" s="74"/>
    </row>
    <row r="438">
      <c r="A438" s="74"/>
      <c r="B438" s="74"/>
      <c r="C438" s="74"/>
      <c r="D438" s="74"/>
      <c r="E438" s="74"/>
      <c r="F438" s="74"/>
      <c r="G438" s="74"/>
      <c r="H438" s="74"/>
      <c r="I438" s="74"/>
      <c r="J438" s="74"/>
      <c r="K438" s="74"/>
      <c r="L438" s="74"/>
      <c r="M438" s="74"/>
      <c r="N438" s="74"/>
      <c r="O438" s="74"/>
      <c r="P438" s="74"/>
      <c r="Q438" s="74"/>
      <c r="R438" s="74"/>
      <c r="S438" s="74"/>
      <c r="T438" s="74"/>
      <c r="U438" s="74"/>
      <c r="V438" s="74"/>
      <c r="W438" s="74"/>
    </row>
    <row r="439">
      <c r="A439" s="74"/>
      <c r="B439" s="74"/>
      <c r="C439" s="74"/>
      <c r="D439" s="74"/>
      <c r="E439" s="74"/>
      <c r="F439" s="74"/>
      <c r="G439" s="74"/>
      <c r="H439" s="74"/>
      <c r="I439" s="74"/>
      <c r="J439" s="74"/>
      <c r="K439" s="74"/>
      <c r="L439" s="74"/>
      <c r="M439" s="74"/>
      <c r="N439" s="74"/>
      <c r="O439" s="74"/>
      <c r="P439" s="74"/>
      <c r="Q439" s="74"/>
      <c r="R439" s="74"/>
      <c r="S439" s="74"/>
      <c r="T439" s="74"/>
      <c r="U439" s="74"/>
      <c r="V439" s="74"/>
      <c r="W439" s="74"/>
    </row>
    <row r="440">
      <c r="A440" s="74"/>
      <c r="B440" s="74"/>
      <c r="C440" s="74"/>
      <c r="D440" s="74"/>
      <c r="E440" s="74"/>
      <c r="F440" s="74"/>
      <c r="G440" s="74"/>
      <c r="H440" s="74"/>
      <c r="I440" s="74"/>
      <c r="J440" s="74"/>
      <c r="K440" s="74"/>
      <c r="L440" s="74"/>
      <c r="M440" s="74"/>
      <c r="N440" s="74"/>
      <c r="O440" s="74"/>
      <c r="P440" s="74"/>
      <c r="Q440" s="74"/>
      <c r="R440" s="74"/>
      <c r="S440" s="74"/>
      <c r="T440" s="74"/>
      <c r="U440" s="74"/>
      <c r="V440" s="74"/>
      <c r="W440" s="74"/>
    </row>
    <row r="441">
      <c r="A441" s="74"/>
      <c r="B441" s="74"/>
      <c r="C441" s="74"/>
      <c r="D441" s="74"/>
      <c r="E441" s="74"/>
      <c r="F441" s="74"/>
      <c r="G441" s="74"/>
      <c r="H441" s="74"/>
      <c r="I441" s="74"/>
      <c r="J441" s="74"/>
      <c r="K441" s="74"/>
      <c r="L441" s="74"/>
      <c r="M441" s="74"/>
      <c r="N441" s="74"/>
      <c r="O441" s="74"/>
      <c r="P441" s="74"/>
      <c r="Q441" s="74"/>
      <c r="R441" s="74"/>
      <c r="S441" s="74"/>
      <c r="T441" s="74"/>
      <c r="U441" s="74"/>
      <c r="V441" s="74"/>
      <c r="W441" s="74"/>
    </row>
    <row r="442">
      <c r="A442" s="74"/>
      <c r="B442" s="74"/>
      <c r="C442" s="74"/>
      <c r="D442" s="74"/>
      <c r="E442" s="74"/>
      <c r="F442" s="74"/>
      <c r="G442" s="74"/>
      <c r="H442" s="74"/>
      <c r="I442" s="74"/>
      <c r="J442" s="74"/>
      <c r="K442" s="74"/>
      <c r="L442" s="74"/>
      <c r="M442" s="74"/>
      <c r="N442" s="74"/>
      <c r="O442" s="74"/>
      <c r="P442" s="74"/>
      <c r="Q442" s="74"/>
      <c r="R442" s="74"/>
      <c r="S442" s="74"/>
      <c r="T442" s="74"/>
      <c r="U442" s="74"/>
      <c r="V442" s="74"/>
      <c r="W442" s="74"/>
    </row>
    <row r="443">
      <c r="A443" s="74"/>
      <c r="B443" s="74"/>
      <c r="C443" s="74"/>
      <c r="D443" s="74"/>
      <c r="E443" s="74"/>
      <c r="F443" s="74"/>
      <c r="G443" s="74"/>
      <c r="H443" s="74"/>
      <c r="I443" s="74"/>
      <c r="J443" s="74"/>
      <c r="K443" s="74"/>
      <c r="L443" s="74"/>
      <c r="M443" s="74"/>
      <c r="N443" s="74"/>
      <c r="O443" s="74"/>
      <c r="P443" s="74"/>
      <c r="Q443" s="74"/>
      <c r="R443" s="74"/>
      <c r="S443" s="74"/>
      <c r="T443" s="74"/>
      <c r="U443" s="74"/>
      <c r="V443" s="74"/>
      <c r="W443" s="74"/>
    </row>
    <row r="444">
      <c r="A444" s="74"/>
      <c r="B444" s="74"/>
      <c r="C444" s="74"/>
      <c r="D444" s="74"/>
      <c r="E444" s="74"/>
      <c r="F444" s="74"/>
      <c r="G444" s="74"/>
      <c r="H444" s="74"/>
      <c r="I444" s="74"/>
      <c r="J444" s="74"/>
      <c r="K444" s="74"/>
      <c r="L444" s="74"/>
      <c r="M444" s="74"/>
      <c r="N444" s="74"/>
      <c r="O444" s="74"/>
      <c r="P444" s="74"/>
      <c r="Q444" s="74"/>
      <c r="R444" s="74"/>
      <c r="S444" s="74"/>
      <c r="T444" s="74"/>
      <c r="U444" s="74"/>
      <c r="V444" s="74"/>
      <c r="W444" s="74"/>
    </row>
    <row r="445">
      <c r="A445" s="74"/>
      <c r="B445" s="74"/>
      <c r="C445" s="74"/>
      <c r="D445" s="74"/>
      <c r="E445" s="74"/>
      <c r="F445" s="74"/>
      <c r="G445" s="74"/>
      <c r="H445" s="74"/>
      <c r="I445" s="74"/>
      <c r="J445" s="74"/>
      <c r="K445" s="74"/>
      <c r="L445" s="74"/>
      <c r="M445" s="74"/>
      <c r="N445" s="74"/>
      <c r="O445" s="74"/>
      <c r="P445" s="74"/>
      <c r="Q445" s="74"/>
      <c r="R445" s="74"/>
      <c r="S445" s="74"/>
      <c r="T445" s="74"/>
      <c r="U445" s="74"/>
      <c r="V445" s="74"/>
      <c r="W445" s="74"/>
    </row>
    <row r="446">
      <c r="A446" s="74"/>
      <c r="B446" s="74"/>
      <c r="C446" s="74"/>
      <c r="D446" s="74"/>
      <c r="E446" s="74"/>
      <c r="F446" s="74"/>
      <c r="G446" s="74"/>
      <c r="H446" s="74"/>
      <c r="I446" s="74"/>
      <c r="J446" s="74"/>
      <c r="K446" s="74"/>
      <c r="L446" s="74"/>
      <c r="M446" s="74"/>
      <c r="N446" s="74"/>
      <c r="O446" s="74"/>
      <c r="P446" s="74"/>
      <c r="Q446" s="74"/>
      <c r="R446" s="74"/>
      <c r="S446" s="74"/>
      <c r="T446" s="74"/>
      <c r="U446" s="74"/>
      <c r="V446" s="74"/>
      <c r="W446" s="74"/>
    </row>
    <row r="447">
      <c r="A447" s="74"/>
      <c r="B447" s="74"/>
      <c r="C447" s="74"/>
      <c r="D447" s="74"/>
      <c r="E447" s="74"/>
      <c r="F447" s="74"/>
      <c r="G447" s="74"/>
      <c r="H447" s="74"/>
      <c r="I447" s="74"/>
      <c r="J447" s="74"/>
      <c r="K447" s="74"/>
      <c r="L447" s="74"/>
      <c r="M447" s="74"/>
      <c r="N447" s="74"/>
      <c r="O447" s="74"/>
      <c r="P447" s="74"/>
      <c r="Q447" s="74"/>
      <c r="R447" s="74"/>
      <c r="S447" s="74"/>
      <c r="T447" s="74"/>
      <c r="U447" s="74"/>
      <c r="V447" s="74"/>
      <c r="W447" s="74"/>
    </row>
    <row r="448">
      <c r="A448" s="74"/>
      <c r="B448" s="74"/>
      <c r="C448" s="74"/>
      <c r="D448" s="74"/>
      <c r="E448" s="74"/>
      <c r="F448" s="74"/>
      <c r="G448" s="74"/>
      <c r="H448" s="74"/>
      <c r="I448" s="74"/>
      <c r="J448" s="74"/>
      <c r="K448" s="74"/>
      <c r="L448" s="74"/>
      <c r="M448" s="74"/>
      <c r="N448" s="74"/>
      <c r="O448" s="74"/>
      <c r="P448" s="74"/>
      <c r="Q448" s="74"/>
      <c r="R448" s="74"/>
      <c r="S448" s="74"/>
      <c r="T448" s="74"/>
      <c r="U448" s="74"/>
      <c r="V448" s="74"/>
      <c r="W448" s="74"/>
    </row>
    <row r="449">
      <c r="A449" s="74"/>
      <c r="B449" s="74"/>
      <c r="C449" s="74"/>
      <c r="D449" s="74"/>
      <c r="E449" s="74"/>
      <c r="F449" s="74"/>
      <c r="G449" s="74"/>
      <c r="H449" s="74"/>
      <c r="I449" s="74"/>
      <c r="J449" s="74"/>
      <c r="K449" s="74"/>
      <c r="L449" s="74"/>
      <c r="M449" s="74"/>
      <c r="N449" s="74"/>
      <c r="O449" s="74"/>
      <c r="P449" s="74"/>
      <c r="Q449" s="74"/>
      <c r="R449" s="74"/>
      <c r="S449" s="74"/>
      <c r="T449" s="74"/>
      <c r="U449" s="74"/>
      <c r="V449" s="74"/>
      <c r="W449" s="74"/>
    </row>
    <row r="450">
      <c r="A450" s="74"/>
      <c r="B450" s="74"/>
      <c r="C450" s="74"/>
      <c r="D450" s="74"/>
      <c r="E450" s="74"/>
      <c r="F450" s="74"/>
      <c r="G450" s="74"/>
      <c r="H450" s="74"/>
      <c r="I450" s="74"/>
      <c r="J450" s="74"/>
      <c r="K450" s="74"/>
      <c r="L450" s="74"/>
      <c r="M450" s="74"/>
      <c r="N450" s="74"/>
      <c r="O450" s="74"/>
      <c r="P450" s="74"/>
      <c r="Q450" s="74"/>
      <c r="R450" s="74"/>
      <c r="S450" s="74"/>
      <c r="T450" s="74"/>
      <c r="U450" s="74"/>
      <c r="V450" s="74"/>
      <c r="W450" s="74"/>
    </row>
    <row r="451">
      <c r="A451" s="74"/>
      <c r="B451" s="74"/>
      <c r="C451" s="74"/>
      <c r="D451" s="74"/>
      <c r="E451" s="74"/>
      <c r="F451" s="74"/>
      <c r="G451" s="74"/>
      <c r="H451" s="74"/>
      <c r="I451" s="74"/>
      <c r="J451" s="74"/>
      <c r="K451" s="74"/>
      <c r="L451" s="74"/>
      <c r="M451" s="74"/>
      <c r="N451" s="74"/>
      <c r="O451" s="74"/>
      <c r="P451" s="74"/>
      <c r="Q451" s="74"/>
      <c r="R451" s="74"/>
      <c r="S451" s="74"/>
      <c r="T451" s="74"/>
      <c r="U451" s="74"/>
      <c r="V451" s="74"/>
      <c r="W451" s="74"/>
    </row>
    <row r="452">
      <c r="A452" s="74"/>
      <c r="B452" s="74"/>
      <c r="C452" s="74"/>
      <c r="D452" s="74"/>
      <c r="E452" s="74"/>
      <c r="F452" s="74"/>
      <c r="G452" s="74"/>
      <c r="H452" s="74"/>
      <c r="I452" s="74"/>
      <c r="J452" s="74"/>
      <c r="K452" s="74"/>
      <c r="L452" s="74"/>
      <c r="M452" s="74"/>
      <c r="N452" s="74"/>
      <c r="O452" s="74"/>
      <c r="P452" s="74"/>
      <c r="Q452" s="74"/>
      <c r="R452" s="74"/>
      <c r="S452" s="74"/>
      <c r="T452" s="74"/>
      <c r="U452" s="74"/>
      <c r="V452" s="74"/>
      <c r="W452" s="74"/>
    </row>
    <row r="453">
      <c r="A453" s="74"/>
      <c r="B453" s="74"/>
      <c r="C453" s="74"/>
      <c r="D453" s="74"/>
      <c r="E453" s="74"/>
      <c r="F453" s="74"/>
      <c r="G453" s="74"/>
      <c r="H453" s="74"/>
      <c r="I453" s="74"/>
      <c r="J453" s="74"/>
      <c r="K453" s="74"/>
      <c r="L453" s="74"/>
      <c r="M453" s="74"/>
      <c r="N453" s="74"/>
      <c r="O453" s="74"/>
      <c r="P453" s="74"/>
      <c r="Q453" s="74"/>
      <c r="R453" s="74"/>
      <c r="S453" s="74"/>
      <c r="T453" s="74"/>
      <c r="U453" s="74"/>
      <c r="V453" s="74"/>
      <c r="W453" s="74"/>
    </row>
    <row r="454">
      <c r="A454" s="74"/>
      <c r="B454" s="74"/>
      <c r="C454" s="74"/>
      <c r="D454" s="74"/>
      <c r="E454" s="74"/>
      <c r="F454" s="74"/>
      <c r="G454" s="74"/>
      <c r="H454" s="74"/>
      <c r="I454" s="74"/>
      <c r="J454" s="74"/>
      <c r="K454" s="74"/>
      <c r="L454" s="74"/>
      <c r="M454" s="74"/>
      <c r="N454" s="74"/>
      <c r="O454" s="74"/>
      <c r="P454" s="74"/>
      <c r="Q454" s="74"/>
      <c r="R454" s="74"/>
      <c r="S454" s="74"/>
      <c r="T454" s="74"/>
      <c r="U454" s="74"/>
      <c r="V454" s="74"/>
      <c r="W454" s="74"/>
    </row>
    <row r="455">
      <c r="A455" s="74"/>
      <c r="B455" s="74"/>
      <c r="C455" s="74"/>
      <c r="D455" s="74"/>
      <c r="E455" s="74"/>
      <c r="F455" s="74"/>
      <c r="G455" s="74"/>
      <c r="H455" s="74"/>
      <c r="I455" s="74"/>
      <c r="J455" s="74"/>
      <c r="K455" s="74"/>
      <c r="L455" s="74"/>
      <c r="M455" s="74"/>
      <c r="N455" s="74"/>
      <c r="O455" s="74"/>
      <c r="P455" s="74"/>
      <c r="Q455" s="74"/>
      <c r="R455" s="74"/>
      <c r="S455" s="74"/>
      <c r="T455" s="74"/>
      <c r="U455" s="74"/>
      <c r="V455" s="74"/>
      <c r="W455" s="74"/>
    </row>
    <row r="456">
      <c r="A456" s="74"/>
      <c r="B456" s="74"/>
      <c r="C456" s="74"/>
      <c r="D456" s="74"/>
      <c r="E456" s="74"/>
      <c r="F456" s="74"/>
      <c r="G456" s="74"/>
      <c r="H456" s="74"/>
      <c r="I456" s="74"/>
      <c r="J456" s="74"/>
      <c r="K456" s="74"/>
      <c r="L456" s="74"/>
      <c r="M456" s="74"/>
      <c r="N456" s="74"/>
      <c r="O456" s="74"/>
      <c r="P456" s="74"/>
      <c r="Q456" s="74"/>
      <c r="R456" s="74"/>
      <c r="S456" s="74"/>
      <c r="T456" s="74"/>
      <c r="U456" s="74"/>
      <c r="V456" s="74"/>
      <c r="W456" s="74"/>
    </row>
    <row r="457">
      <c r="A457" s="74"/>
      <c r="B457" s="74"/>
      <c r="C457" s="74"/>
      <c r="D457" s="74"/>
      <c r="E457" s="74"/>
      <c r="F457" s="74"/>
      <c r="G457" s="74"/>
      <c r="H457" s="74"/>
      <c r="I457" s="74"/>
      <c r="J457" s="74"/>
      <c r="K457" s="74"/>
      <c r="L457" s="74"/>
      <c r="M457" s="74"/>
      <c r="N457" s="74"/>
      <c r="O457" s="74"/>
      <c r="P457" s="74"/>
      <c r="Q457" s="74"/>
      <c r="R457" s="74"/>
      <c r="S457" s="74"/>
      <c r="T457" s="74"/>
      <c r="U457" s="74"/>
      <c r="V457" s="74"/>
      <c r="W457" s="74"/>
    </row>
    <row r="458">
      <c r="A458" s="74"/>
      <c r="B458" s="74"/>
      <c r="C458" s="74"/>
      <c r="D458" s="74"/>
      <c r="E458" s="74"/>
      <c r="F458" s="74"/>
      <c r="G458" s="74"/>
      <c r="H458" s="74"/>
      <c r="I458" s="74"/>
      <c r="J458" s="74"/>
      <c r="K458" s="74"/>
      <c r="L458" s="74"/>
      <c r="M458" s="74"/>
      <c r="N458" s="74"/>
      <c r="O458" s="74"/>
      <c r="P458" s="74"/>
      <c r="Q458" s="74"/>
      <c r="R458" s="74"/>
      <c r="S458" s="74"/>
      <c r="T458" s="74"/>
      <c r="U458" s="74"/>
      <c r="V458" s="74"/>
      <c r="W458" s="74"/>
    </row>
    <row r="459">
      <c r="A459" s="74"/>
      <c r="B459" s="74"/>
      <c r="C459" s="74"/>
      <c r="D459" s="74"/>
      <c r="E459" s="74"/>
      <c r="F459" s="74"/>
      <c r="G459" s="74"/>
      <c r="H459" s="74"/>
      <c r="I459" s="74"/>
      <c r="J459" s="74"/>
      <c r="K459" s="74"/>
      <c r="L459" s="74"/>
      <c r="M459" s="74"/>
      <c r="N459" s="74"/>
      <c r="O459" s="74"/>
      <c r="P459" s="74"/>
      <c r="Q459" s="74"/>
      <c r="R459" s="74"/>
      <c r="S459" s="74"/>
      <c r="T459" s="74"/>
      <c r="U459" s="74"/>
      <c r="V459" s="74"/>
      <c r="W459" s="74"/>
    </row>
    <row r="460">
      <c r="A460" s="74"/>
      <c r="B460" s="74"/>
      <c r="C460" s="74"/>
      <c r="D460" s="74"/>
      <c r="E460" s="74"/>
      <c r="F460" s="74"/>
      <c r="G460" s="74"/>
      <c r="H460" s="74"/>
      <c r="I460" s="74"/>
      <c r="J460" s="74"/>
      <c r="K460" s="74"/>
      <c r="L460" s="74"/>
      <c r="M460" s="74"/>
      <c r="N460" s="74"/>
      <c r="O460" s="74"/>
      <c r="P460" s="74"/>
      <c r="Q460" s="74"/>
      <c r="R460" s="74"/>
      <c r="S460" s="74"/>
      <c r="T460" s="74"/>
      <c r="U460" s="74"/>
      <c r="V460" s="74"/>
      <c r="W460" s="74"/>
    </row>
    <row r="461">
      <c r="A461" s="74"/>
      <c r="B461" s="74"/>
      <c r="C461" s="74"/>
      <c r="D461" s="74"/>
      <c r="E461" s="74"/>
      <c r="F461" s="74"/>
      <c r="G461" s="74"/>
      <c r="H461" s="74"/>
      <c r="I461" s="74"/>
      <c r="J461" s="74"/>
      <c r="K461" s="74"/>
      <c r="L461" s="74"/>
      <c r="M461" s="74"/>
      <c r="N461" s="74"/>
      <c r="O461" s="74"/>
      <c r="P461" s="74"/>
      <c r="Q461" s="74"/>
      <c r="R461" s="74"/>
      <c r="S461" s="74"/>
      <c r="T461" s="74"/>
      <c r="U461" s="74"/>
      <c r="V461" s="74"/>
      <c r="W461" s="74"/>
    </row>
    <row r="462">
      <c r="A462" s="74"/>
      <c r="B462" s="74"/>
      <c r="C462" s="74"/>
      <c r="D462" s="74"/>
      <c r="E462" s="74"/>
      <c r="F462" s="74"/>
      <c r="G462" s="74"/>
      <c r="H462" s="74"/>
      <c r="I462" s="74"/>
      <c r="J462" s="74"/>
      <c r="K462" s="74"/>
      <c r="L462" s="74"/>
      <c r="M462" s="74"/>
      <c r="N462" s="74"/>
      <c r="O462" s="74"/>
      <c r="P462" s="74"/>
      <c r="Q462" s="74"/>
      <c r="R462" s="74"/>
      <c r="S462" s="74"/>
      <c r="T462" s="74"/>
      <c r="U462" s="74"/>
      <c r="V462" s="74"/>
      <c r="W462" s="74"/>
    </row>
    <row r="463">
      <c r="A463" s="74"/>
      <c r="B463" s="74"/>
      <c r="C463" s="74"/>
      <c r="D463" s="74"/>
      <c r="E463" s="74"/>
      <c r="F463" s="74"/>
      <c r="G463" s="74"/>
      <c r="H463" s="74"/>
      <c r="I463" s="74"/>
      <c r="J463" s="74"/>
      <c r="K463" s="74"/>
      <c r="L463" s="74"/>
      <c r="M463" s="74"/>
      <c r="N463" s="74"/>
      <c r="O463" s="74"/>
      <c r="P463" s="74"/>
      <c r="Q463" s="74"/>
      <c r="R463" s="74"/>
      <c r="S463" s="74"/>
      <c r="T463" s="74"/>
      <c r="U463" s="74"/>
      <c r="V463" s="74"/>
      <c r="W463" s="74"/>
    </row>
    <row r="464">
      <c r="A464" s="74"/>
      <c r="B464" s="74"/>
      <c r="C464" s="74"/>
      <c r="D464" s="74"/>
      <c r="E464" s="74"/>
      <c r="F464" s="74"/>
      <c r="G464" s="74"/>
      <c r="H464" s="74"/>
      <c r="I464" s="74"/>
      <c r="J464" s="74"/>
      <c r="K464" s="74"/>
      <c r="L464" s="74"/>
      <c r="M464" s="74"/>
      <c r="N464" s="74"/>
      <c r="O464" s="74"/>
      <c r="P464" s="74"/>
      <c r="Q464" s="74"/>
      <c r="R464" s="74"/>
      <c r="S464" s="74"/>
      <c r="T464" s="74"/>
      <c r="U464" s="74"/>
      <c r="V464" s="74"/>
      <c r="W464" s="74"/>
    </row>
    <row r="465">
      <c r="A465" s="74"/>
      <c r="B465" s="74"/>
      <c r="C465" s="74"/>
      <c r="D465" s="74"/>
      <c r="E465" s="74"/>
      <c r="F465" s="74"/>
      <c r="G465" s="74"/>
      <c r="H465" s="74"/>
      <c r="I465" s="74"/>
      <c r="J465" s="74"/>
      <c r="K465" s="74"/>
      <c r="L465" s="74"/>
      <c r="M465" s="74"/>
      <c r="N465" s="74"/>
      <c r="O465" s="74"/>
      <c r="P465" s="74"/>
      <c r="Q465" s="74"/>
      <c r="R465" s="74"/>
      <c r="S465" s="74"/>
      <c r="T465" s="74"/>
      <c r="U465" s="74"/>
      <c r="V465" s="74"/>
      <c r="W465" s="74"/>
    </row>
    <row r="466">
      <c r="A466" s="74"/>
      <c r="B466" s="74"/>
      <c r="C466" s="74"/>
      <c r="D466" s="74"/>
      <c r="E466" s="74"/>
      <c r="F466" s="74"/>
      <c r="G466" s="74"/>
      <c r="H466" s="74"/>
      <c r="I466" s="74"/>
      <c r="J466" s="74"/>
      <c r="K466" s="74"/>
      <c r="L466" s="74"/>
      <c r="M466" s="74"/>
      <c r="N466" s="74"/>
      <c r="O466" s="74"/>
      <c r="P466" s="74"/>
      <c r="Q466" s="74"/>
      <c r="R466" s="74"/>
      <c r="S466" s="74"/>
      <c r="T466" s="74"/>
      <c r="U466" s="74"/>
      <c r="V466" s="74"/>
      <c r="W466" s="74"/>
    </row>
    <row r="467">
      <c r="A467" s="74"/>
      <c r="B467" s="74"/>
      <c r="C467" s="74"/>
      <c r="D467" s="74"/>
      <c r="E467" s="74"/>
      <c r="F467" s="74"/>
      <c r="G467" s="74"/>
      <c r="H467" s="74"/>
      <c r="I467" s="74"/>
      <c r="J467" s="74"/>
      <c r="K467" s="74"/>
      <c r="L467" s="74"/>
      <c r="M467" s="74"/>
      <c r="N467" s="74"/>
      <c r="O467" s="74"/>
      <c r="P467" s="74"/>
      <c r="Q467" s="74"/>
      <c r="R467" s="74"/>
      <c r="S467" s="74"/>
      <c r="T467" s="74"/>
      <c r="U467" s="74"/>
      <c r="V467" s="74"/>
      <c r="W467" s="74"/>
    </row>
    <row r="468">
      <c r="A468" s="74"/>
      <c r="B468" s="74"/>
      <c r="C468" s="74"/>
      <c r="D468" s="74"/>
      <c r="E468" s="74"/>
      <c r="F468" s="74"/>
      <c r="G468" s="74"/>
      <c r="H468" s="74"/>
      <c r="I468" s="74"/>
      <c r="J468" s="74"/>
      <c r="K468" s="74"/>
      <c r="L468" s="74"/>
      <c r="M468" s="74"/>
      <c r="N468" s="74"/>
      <c r="O468" s="74"/>
      <c r="P468" s="74"/>
      <c r="Q468" s="74"/>
      <c r="R468" s="74"/>
      <c r="S468" s="74"/>
      <c r="T468" s="74"/>
      <c r="U468" s="74"/>
      <c r="V468" s="74"/>
      <c r="W468" s="74"/>
    </row>
    <row r="469">
      <c r="A469" s="74"/>
      <c r="B469" s="74"/>
      <c r="C469" s="74"/>
      <c r="D469" s="74"/>
      <c r="E469" s="74"/>
      <c r="F469" s="74"/>
      <c r="G469" s="74"/>
      <c r="H469" s="74"/>
      <c r="I469" s="74"/>
      <c r="J469" s="74"/>
      <c r="K469" s="74"/>
      <c r="L469" s="74"/>
      <c r="M469" s="74"/>
      <c r="N469" s="74"/>
      <c r="O469" s="74"/>
      <c r="P469" s="74"/>
      <c r="Q469" s="74"/>
      <c r="R469" s="74"/>
      <c r="S469" s="74"/>
      <c r="T469" s="74"/>
      <c r="U469" s="74"/>
      <c r="V469" s="74"/>
      <c r="W469" s="74"/>
    </row>
    <row r="470">
      <c r="A470" s="74"/>
      <c r="B470" s="74"/>
      <c r="C470" s="74"/>
      <c r="D470" s="74"/>
      <c r="E470" s="74"/>
      <c r="F470" s="74"/>
      <c r="G470" s="74"/>
      <c r="H470" s="74"/>
      <c r="I470" s="74"/>
      <c r="J470" s="74"/>
      <c r="K470" s="74"/>
      <c r="L470" s="74"/>
      <c r="M470" s="74"/>
      <c r="N470" s="74"/>
      <c r="O470" s="74"/>
      <c r="P470" s="74"/>
      <c r="Q470" s="74"/>
      <c r="R470" s="74"/>
      <c r="S470" s="74"/>
      <c r="T470" s="74"/>
      <c r="U470" s="74"/>
      <c r="V470" s="74"/>
      <c r="W470" s="74"/>
    </row>
    <row r="471">
      <c r="A471" s="74"/>
      <c r="B471" s="74"/>
      <c r="C471" s="74"/>
      <c r="D471" s="74"/>
      <c r="E471" s="74"/>
      <c r="F471" s="74"/>
      <c r="G471" s="74"/>
      <c r="H471" s="74"/>
      <c r="I471" s="74"/>
      <c r="J471" s="74"/>
      <c r="K471" s="74"/>
      <c r="L471" s="74"/>
      <c r="M471" s="74"/>
      <c r="N471" s="74"/>
      <c r="O471" s="74"/>
      <c r="P471" s="74"/>
      <c r="Q471" s="74"/>
      <c r="R471" s="74"/>
      <c r="S471" s="74"/>
      <c r="T471" s="74"/>
      <c r="U471" s="74"/>
      <c r="V471" s="74"/>
      <c r="W471" s="74"/>
    </row>
    <row r="472">
      <c r="A472" s="74"/>
      <c r="B472" s="74"/>
      <c r="C472" s="74"/>
      <c r="D472" s="74"/>
      <c r="E472" s="74"/>
      <c r="F472" s="74"/>
      <c r="G472" s="74"/>
      <c r="H472" s="74"/>
      <c r="I472" s="74"/>
      <c r="J472" s="74"/>
      <c r="K472" s="74"/>
      <c r="L472" s="74"/>
      <c r="M472" s="74"/>
      <c r="N472" s="74"/>
      <c r="O472" s="74"/>
      <c r="P472" s="74"/>
      <c r="Q472" s="74"/>
      <c r="R472" s="74"/>
      <c r="S472" s="74"/>
      <c r="T472" s="74"/>
      <c r="U472" s="74"/>
      <c r="V472" s="74"/>
      <c r="W472" s="74"/>
    </row>
    <row r="473">
      <c r="A473" s="74"/>
      <c r="B473" s="74"/>
      <c r="C473" s="74"/>
      <c r="D473" s="74"/>
      <c r="E473" s="74"/>
      <c r="F473" s="74"/>
      <c r="G473" s="74"/>
      <c r="H473" s="74"/>
      <c r="I473" s="74"/>
      <c r="J473" s="74"/>
      <c r="K473" s="74"/>
      <c r="L473" s="74"/>
      <c r="M473" s="74"/>
      <c r="N473" s="74"/>
      <c r="O473" s="74"/>
      <c r="P473" s="74"/>
      <c r="Q473" s="74"/>
      <c r="R473" s="74"/>
      <c r="S473" s="74"/>
      <c r="T473" s="74"/>
      <c r="U473" s="74"/>
      <c r="V473" s="74"/>
      <c r="W473" s="74"/>
    </row>
    <row r="474">
      <c r="A474" s="74"/>
      <c r="B474" s="74"/>
      <c r="C474" s="74"/>
      <c r="D474" s="74"/>
      <c r="E474" s="74"/>
      <c r="F474" s="74"/>
      <c r="G474" s="74"/>
      <c r="H474" s="74"/>
      <c r="I474" s="74"/>
      <c r="J474" s="74"/>
      <c r="K474" s="74"/>
      <c r="L474" s="74"/>
      <c r="M474" s="74"/>
      <c r="N474" s="74"/>
      <c r="O474" s="74"/>
      <c r="P474" s="74"/>
      <c r="Q474" s="74"/>
      <c r="R474" s="74"/>
      <c r="S474" s="74"/>
      <c r="T474" s="74"/>
      <c r="U474" s="74"/>
      <c r="V474" s="74"/>
      <c r="W474" s="74"/>
    </row>
    <row r="475">
      <c r="A475" s="74"/>
      <c r="B475" s="74"/>
      <c r="C475" s="74"/>
      <c r="D475" s="74"/>
      <c r="E475" s="74"/>
      <c r="F475" s="74"/>
      <c r="G475" s="74"/>
      <c r="H475" s="74"/>
      <c r="I475" s="74"/>
      <c r="J475" s="74"/>
      <c r="K475" s="74"/>
      <c r="L475" s="74"/>
      <c r="M475" s="74"/>
      <c r="N475" s="74"/>
      <c r="O475" s="74"/>
      <c r="P475" s="74"/>
      <c r="Q475" s="74"/>
      <c r="R475" s="74"/>
      <c r="S475" s="74"/>
      <c r="T475" s="74"/>
      <c r="U475" s="74"/>
      <c r="V475" s="74"/>
      <c r="W475" s="74"/>
    </row>
    <row r="476">
      <c r="A476" s="74"/>
      <c r="B476" s="74"/>
      <c r="C476" s="74"/>
      <c r="D476" s="74"/>
      <c r="E476" s="74"/>
      <c r="F476" s="74"/>
      <c r="G476" s="74"/>
      <c r="H476" s="74"/>
      <c r="I476" s="74"/>
      <c r="J476" s="74"/>
      <c r="K476" s="74"/>
      <c r="L476" s="74"/>
      <c r="M476" s="74"/>
      <c r="N476" s="74"/>
      <c r="O476" s="74"/>
      <c r="P476" s="74"/>
      <c r="Q476" s="74"/>
      <c r="R476" s="74"/>
      <c r="S476" s="74"/>
      <c r="T476" s="74"/>
      <c r="U476" s="74"/>
      <c r="V476" s="74"/>
      <c r="W476" s="74"/>
    </row>
    <row r="477">
      <c r="A477" s="74"/>
      <c r="B477" s="74"/>
      <c r="C477" s="74"/>
      <c r="D477" s="74"/>
      <c r="E477" s="74"/>
      <c r="F477" s="74"/>
      <c r="G477" s="74"/>
      <c r="H477" s="74"/>
      <c r="I477" s="74"/>
      <c r="J477" s="74"/>
      <c r="K477" s="74"/>
      <c r="L477" s="74"/>
      <c r="M477" s="74"/>
      <c r="N477" s="74"/>
      <c r="O477" s="74"/>
      <c r="P477" s="74"/>
      <c r="Q477" s="74"/>
      <c r="R477" s="74"/>
      <c r="S477" s="74"/>
      <c r="T477" s="74"/>
      <c r="U477" s="74"/>
      <c r="V477" s="74"/>
      <c r="W477" s="74"/>
    </row>
    <row r="478">
      <c r="A478" s="74"/>
      <c r="B478" s="74"/>
      <c r="C478" s="74"/>
      <c r="D478" s="74"/>
      <c r="E478" s="74"/>
      <c r="F478" s="74"/>
      <c r="G478" s="74"/>
      <c r="H478" s="74"/>
      <c r="I478" s="74"/>
      <c r="J478" s="74"/>
      <c r="K478" s="74"/>
      <c r="L478" s="74"/>
      <c r="M478" s="74"/>
      <c r="N478" s="74"/>
      <c r="O478" s="74"/>
      <c r="P478" s="74"/>
      <c r="Q478" s="74"/>
      <c r="R478" s="74"/>
      <c r="S478" s="74"/>
      <c r="T478" s="74"/>
      <c r="U478" s="74"/>
      <c r="V478" s="74"/>
      <c r="W478" s="74"/>
    </row>
    <row r="479">
      <c r="A479" s="74"/>
      <c r="B479" s="74"/>
      <c r="C479" s="74"/>
      <c r="D479" s="74"/>
      <c r="E479" s="74"/>
      <c r="F479" s="74"/>
      <c r="G479" s="74"/>
      <c r="H479" s="74"/>
      <c r="I479" s="74"/>
      <c r="J479" s="74"/>
      <c r="K479" s="74"/>
      <c r="L479" s="74"/>
      <c r="M479" s="74"/>
      <c r="N479" s="74"/>
      <c r="O479" s="74"/>
      <c r="P479" s="74"/>
      <c r="Q479" s="74"/>
      <c r="R479" s="74"/>
      <c r="S479" s="74"/>
      <c r="T479" s="74"/>
      <c r="U479" s="74"/>
      <c r="V479" s="74"/>
      <c r="W479" s="74"/>
    </row>
    <row r="480">
      <c r="A480" s="74"/>
      <c r="B480" s="74"/>
      <c r="C480" s="74"/>
      <c r="D480" s="74"/>
      <c r="E480" s="74"/>
      <c r="F480" s="74"/>
      <c r="G480" s="74"/>
      <c r="H480" s="74"/>
      <c r="I480" s="74"/>
      <c r="J480" s="74"/>
      <c r="K480" s="74"/>
      <c r="L480" s="74"/>
      <c r="M480" s="74"/>
      <c r="N480" s="74"/>
      <c r="O480" s="74"/>
      <c r="P480" s="74"/>
      <c r="Q480" s="74"/>
      <c r="R480" s="74"/>
      <c r="S480" s="74"/>
      <c r="T480" s="74"/>
      <c r="U480" s="74"/>
      <c r="V480" s="74"/>
      <c r="W480" s="74"/>
    </row>
    <row r="481">
      <c r="A481" s="74"/>
      <c r="B481" s="74"/>
      <c r="C481" s="74"/>
      <c r="D481" s="74"/>
      <c r="E481" s="74"/>
      <c r="F481" s="74"/>
      <c r="G481" s="74"/>
      <c r="H481" s="74"/>
      <c r="I481" s="74"/>
      <c r="J481" s="74"/>
      <c r="K481" s="74"/>
      <c r="L481" s="74"/>
      <c r="M481" s="74"/>
      <c r="N481" s="74"/>
      <c r="O481" s="74"/>
      <c r="P481" s="74"/>
      <c r="Q481" s="74"/>
      <c r="R481" s="74"/>
      <c r="S481" s="74"/>
      <c r="T481" s="74"/>
      <c r="U481" s="74"/>
      <c r="V481" s="74"/>
      <c r="W481" s="74"/>
    </row>
    <row r="482">
      <c r="A482" s="74"/>
      <c r="B482" s="74"/>
      <c r="C482" s="74"/>
      <c r="D482" s="74"/>
      <c r="E482" s="74"/>
      <c r="F482" s="74"/>
      <c r="G482" s="74"/>
      <c r="H482" s="74"/>
      <c r="I482" s="74"/>
      <c r="J482" s="74"/>
      <c r="K482" s="74"/>
      <c r="L482" s="74"/>
      <c r="M482" s="74"/>
      <c r="N482" s="74"/>
      <c r="O482" s="74"/>
      <c r="P482" s="74"/>
      <c r="Q482" s="74"/>
      <c r="R482" s="74"/>
      <c r="S482" s="74"/>
      <c r="T482" s="74"/>
      <c r="U482" s="74"/>
      <c r="V482" s="74"/>
      <c r="W482" s="74"/>
    </row>
    <row r="483">
      <c r="A483" s="74"/>
      <c r="B483" s="74"/>
      <c r="C483" s="74"/>
      <c r="D483" s="74"/>
      <c r="E483" s="74"/>
      <c r="F483" s="74"/>
      <c r="G483" s="74"/>
      <c r="H483" s="74"/>
      <c r="I483" s="74"/>
      <c r="J483" s="74"/>
      <c r="K483" s="74"/>
      <c r="L483" s="74"/>
      <c r="M483" s="74"/>
      <c r="N483" s="74"/>
      <c r="O483" s="74"/>
      <c r="P483" s="74"/>
      <c r="Q483" s="74"/>
      <c r="R483" s="74"/>
      <c r="S483" s="74"/>
      <c r="T483" s="74"/>
      <c r="U483" s="74"/>
      <c r="V483" s="74"/>
      <c r="W483" s="74"/>
    </row>
    <row r="484">
      <c r="A484" s="74"/>
      <c r="B484" s="74"/>
      <c r="C484" s="74"/>
      <c r="D484" s="74"/>
      <c r="E484" s="74"/>
      <c r="F484" s="74"/>
      <c r="G484" s="74"/>
      <c r="H484" s="74"/>
      <c r="I484" s="74"/>
      <c r="J484" s="74"/>
      <c r="K484" s="74"/>
      <c r="L484" s="74"/>
      <c r="M484" s="74"/>
      <c r="N484" s="74"/>
      <c r="O484" s="74"/>
      <c r="P484" s="74"/>
      <c r="Q484" s="74"/>
      <c r="R484" s="74"/>
      <c r="S484" s="74"/>
      <c r="T484" s="74"/>
      <c r="U484" s="74"/>
      <c r="V484" s="74"/>
      <c r="W484" s="74"/>
    </row>
    <row r="485">
      <c r="A485" s="74"/>
      <c r="B485" s="74"/>
      <c r="C485" s="74"/>
      <c r="D485" s="74"/>
      <c r="E485" s="74"/>
      <c r="F485" s="74"/>
      <c r="G485" s="74"/>
      <c r="H485" s="74"/>
      <c r="I485" s="74"/>
      <c r="J485" s="74"/>
      <c r="K485" s="74"/>
      <c r="L485" s="74"/>
      <c r="M485" s="74"/>
      <c r="N485" s="74"/>
      <c r="O485" s="74"/>
      <c r="P485" s="74"/>
      <c r="Q485" s="74"/>
      <c r="R485" s="74"/>
      <c r="S485" s="74"/>
      <c r="T485" s="74"/>
      <c r="U485" s="74"/>
      <c r="V485" s="74"/>
      <c r="W485" s="74"/>
    </row>
    <row r="486">
      <c r="A486" s="74"/>
      <c r="B486" s="74"/>
      <c r="C486" s="74"/>
      <c r="D486" s="74"/>
      <c r="E486" s="74"/>
      <c r="F486" s="74"/>
      <c r="G486" s="74"/>
      <c r="H486" s="74"/>
      <c r="I486" s="74"/>
      <c r="J486" s="74"/>
      <c r="K486" s="74"/>
      <c r="L486" s="74"/>
      <c r="M486" s="74"/>
      <c r="N486" s="74"/>
      <c r="O486" s="74"/>
      <c r="P486" s="74"/>
      <c r="Q486" s="74"/>
      <c r="R486" s="74"/>
      <c r="S486" s="74"/>
      <c r="T486" s="74"/>
      <c r="U486" s="74"/>
      <c r="V486" s="74"/>
      <c r="W486" s="74"/>
    </row>
    <row r="487">
      <c r="A487" s="74"/>
      <c r="B487" s="74"/>
      <c r="C487" s="74"/>
      <c r="D487" s="74"/>
      <c r="E487" s="74"/>
      <c r="F487" s="74"/>
      <c r="G487" s="74"/>
      <c r="H487" s="74"/>
      <c r="I487" s="74"/>
      <c r="J487" s="74"/>
      <c r="K487" s="74"/>
      <c r="L487" s="74"/>
      <c r="M487" s="74"/>
      <c r="N487" s="74"/>
      <c r="O487" s="74"/>
      <c r="P487" s="74"/>
      <c r="Q487" s="74"/>
      <c r="R487" s="74"/>
      <c r="S487" s="74"/>
      <c r="T487" s="74"/>
      <c r="U487" s="74"/>
      <c r="V487" s="74"/>
      <c r="W487" s="74"/>
    </row>
    <row r="488">
      <c r="A488" s="74"/>
      <c r="B488" s="74"/>
      <c r="C488" s="74"/>
      <c r="D488" s="74"/>
      <c r="E488" s="74"/>
      <c r="F488" s="74"/>
      <c r="G488" s="74"/>
      <c r="H488" s="74"/>
      <c r="I488" s="74"/>
      <c r="J488" s="74"/>
      <c r="K488" s="74"/>
      <c r="L488" s="74"/>
      <c r="M488" s="74"/>
      <c r="N488" s="74"/>
      <c r="O488" s="74"/>
      <c r="P488" s="74"/>
      <c r="Q488" s="74"/>
      <c r="R488" s="74"/>
      <c r="S488" s="74"/>
      <c r="T488" s="74"/>
      <c r="U488" s="74"/>
      <c r="V488" s="74"/>
      <c r="W488" s="74"/>
    </row>
    <row r="489">
      <c r="A489" s="74"/>
      <c r="B489" s="74"/>
      <c r="C489" s="74"/>
      <c r="D489" s="74"/>
      <c r="E489" s="74"/>
      <c r="F489" s="74"/>
      <c r="G489" s="74"/>
      <c r="H489" s="74"/>
      <c r="I489" s="74"/>
      <c r="J489" s="74"/>
      <c r="K489" s="74"/>
      <c r="L489" s="74"/>
      <c r="M489" s="74"/>
      <c r="N489" s="74"/>
      <c r="O489" s="74"/>
      <c r="P489" s="74"/>
      <c r="Q489" s="74"/>
      <c r="R489" s="74"/>
      <c r="S489" s="74"/>
      <c r="T489" s="74"/>
      <c r="U489" s="74"/>
      <c r="V489" s="74"/>
      <c r="W489" s="74"/>
    </row>
    <row r="490">
      <c r="A490" s="74"/>
      <c r="B490" s="74"/>
      <c r="C490" s="74"/>
      <c r="D490" s="74"/>
      <c r="E490" s="74"/>
      <c r="F490" s="74"/>
      <c r="G490" s="74"/>
      <c r="H490" s="74"/>
      <c r="I490" s="74"/>
      <c r="J490" s="74"/>
      <c r="K490" s="74"/>
      <c r="L490" s="74"/>
      <c r="M490" s="74"/>
      <c r="N490" s="74"/>
      <c r="O490" s="74"/>
      <c r="P490" s="74"/>
      <c r="Q490" s="74"/>
      <c r="R490" s="74"/>
      <c r="S490" s="74"/>
      <c r="T490" s="74"/>
      <c r="U490" s="74"/>
      <c r="V490" s="74"/>
      <c r="W490" s="74"/>
    </row>
    <row r="491">
      <c r="A491" s="74"/>
      <c r="B491" s="74"/>
      <c r="C491" s="74"/>
      <c r="D491" s="74"/>
      <c r="E491" s="74"/>
      <c r="F491" s="74"/>
      <c r="G491" s="74"/>
      <c r="H491" s="74"/>
      <c r="I491" s="74"/>
      <c r="J491" s="74"/>
      <c r="K491" s="74"/>
      <c r="L491" s="74"/>
      <c r="M491" s="74"/>
      <c r="N491" s="74"/>
      <c r="O491" s="74"/>
      <c r="P491" s="74"/>
      <c r="Q491" s="74"/>
      <c r="R491" s="74"/>
      <c r="S491" s="74"/>
      <c r="T491" s="74"/>
      <c r="U491" s="74"/>
      <c r="V491" s="74"/>
      <c r="W491" s="74"/>
    </row>
    <row r="492">
      <c r="A492" s="74"/>
      <c r="B492" s="74"/>
      <c r="C492" s="74"/>
      <c r="D492" s="74"/>
      <c r="E492" s="74"/>
      <c r="F492" s="74"/>
      <c r="G492" s="74"/>
      <c r="H492" s="74"/>
      <c r="I492" s="74"/>
      <c r="J492" s="74"/>
      <c r="K492" s="74"/>
      <c r="L492" s="74"/>
      <c r="M492" s="74"/>
      <c r="N492" s="74"/>
      <c r="O492" s="74"/>
      <c r="P492" s="74"/>
      <c r="Q492" s="74"/>
      <c r="R492" s="74"/>
      <c r="S492" s="74"/>
      <c r="T492" s="74"/>
      <c r="U492" s="74"/>
      <c r="V492" s="74"/>
      <c r="W492" s="74"/>
    </row>
    <row r="493">
      <c r="A493" s="74"/>
      <c r="B493" s="74"/>
      <c r="C493" s="74"/>
      <c r="D493" s="74"/>
      <c r="E493" s="74"/>
      <c r="F493" s="74"/>
      <c r="G493" s="74"/>
      <c r="H493" s="74"/>
      <c r="I493" s="74"/>
      <c r="J493" s="74"/>
      <c r="K493" s="74"/>
      <c r="L493" s="74"/>
      <c r="M493" s="74"/>
      <c r="N493" s="74"/>
      <c r="O493" s="74"/>
      <c r="P493" s="74"/>
      <c r="Q493" s="74"/>
      <c r="R493" s="74"/>
      <c r="S493" s="74"/>
      <c r="T493" s="74"/>
      <c r="U493" s="74"/>
      <c r="V493" s="74"/>
      <c r="W493" s="74"/>
    </row>
    <row r="494">
      <c r="A494" s="74"/>
      <c r="B494" s="74"/>
      <c r="C494" s="74"/>
      <c r="D494" s="74"/>
      <c r="E494" s="74"/>
      <c r="F494" s="74"/>
      <c r="G494" s="74"/>
      <c r="H494" s="74"/>
      <c r="I494" s="74"/>
      <c r="J494" s="74"/>
      <c r="K494" s="74"/>
      <c r="L494" s="74"/>
      <c r="M494" s="74"/>
      <c r="N494" s="74"/>
      <c r="O494" s="74"/>
      <c r="P494" s="74"/>
      <c r="Q494" s="74"/>
      <c r="R494" s="74"/>
      <c r="S494" s="74"/>
      <c r="T494" s="74"/>
      <c r="U494" s="74"/>
      <c r="V494" s="74"/>
      <c r="W494" s="74"/>
    </row>
    <row r="495">
      <c r="A495" s="74"/>
      <c r="B495" s="74"/>
      <c r="C495" s="74"/>
      <c r="D495" s="74"/>
      <c r="E495" s="74"/>
      <c r="F495" s="74"/>
      <c r="G495" s="74"/>
      <c r="H495" s="74"/>
      <c r="I495" s="74"/>
      <c r="J495" s="74"/>
      <c r="K495" s="74"/>
      <c r="L495" s="74"/>
      <c r="M495" s="74"/>
      <c r="N495" s="74"/>
      <c r="O495" s="74"/>
      <c r="P495" s="74"/>
      <c r="Q495" s="74"/>
      <c r="R495" s="74"/>
      <c r="S495" s="74"/>
      <c r="T495" s="74"/>
      <c r="U495" s="74"/>
      <c r="V495" s="74"/>
      <c r="W495" s="74"/>
    </row>
    <row r="496">
      <c r="A496" s="74"/>
      <c r="B496" s="74"/>
      <c r="C496" s="74"/>
      <c r="D496" s="74"/>
      <c r="E496" s="74"/>
      <c r="F496" s="74"/>
      <c r="G496" s="74"/>
      <c r="H496" s="74"/>
      <c r="I496" s="74"/>
      <c r="J496" s="74"/>
      <c r="K496" s="74"/>
      <c r="L496" s="74"/>
      <c r="M496" s="74"/>
      <c r="N496" s="74"/>
      <c r="O496" s="74"/>
      <c r="P496" s="74"/>
      <c r="Q496" s="74"/>
      <c r="R496" s="74"/>
      <c r="S496" s="74"/>
      <c r="T496" s="74"/>
      <c r="U496" s="74"/>
      <c r="V496" s="74"/>
      <c r="W496" s="74"/>
    </row>
    <row r="497">
      <c r="A497" s="74"/>
      <c r="B497" s="74"/>
      <c r="C497" s="74"/>
      <c r="D497" s="74"/>
      <c r="E497" s="74"/>
      <c r="F497" s="74"/>
      <c r="G497" s="74"/>
      <c r="H497" s="74"/>
      <c r="I497" s="74"/>
      <c r="J497" s="74"/>
      <c r="K497" s="74"/>
      <c r="L497" s="74"/>
      <c r="M497" s="74"/>
      <c r="N497" s="74"/>
      <c r="O497" s="74"/>
      <c r="P497" s="74"/>
      <c r="Q497" s="74"/>
      <c r="R497" s="74"/>
      <c r="S497" s="74"/>
      <c r="T497" s="74"/>
      <c r="U497" s="74"/>
      <c r="V497" s="74"/>
      <c r="W497" s="74"/>
    </row>
    <row r="498">
      <c r="A498" s="74"/>
      <c r="B498" s="74"/>
      <c r="C498" s="74"/>
      <c r="D498" s="74"/>
      <c r="E498" s="74"/>
      <c r="F498" s="74"/>
      <c r="G498" s="74"/>
      <c r="H498" s="74"/>
      <c r="I498" s="74"/>
      <c r="J498" s="74"/>
      <c r="K498" s="74"/>
      <c r="L498" s="74"/>
      <c r="M498" s="74"/>
      <c r="N498" s="74"/>
      <c r="O498" s="74"/>
      <c r="P498" s="74"/>
      <c r="Q498" s="74"/>
      <c r="R498" s="74"/>
      <c r="S498" s="74"/>
      <c r="T498" s="74"/>
      <c r="U498" s="74"/>
      <c r="V498" s="74"/>
      <c r="W498" s="74"/>
    </row>
    <row r="499">
      <c r="A499" s="74"/>
      <c r="B499" s="74"/>
      <c r="C499" s="74"/>
      <c r="D499" s="74"/>
      <c r="E499" s="74"/>
      <c r="F499" s="74"/>
      <c r="G499" s="74"/>
      <c r="H499" s="74"/>
      <c r="I499" s="74"/>
      <c r="J499" s="74"/>
      <c r="K499" s="74"/>
      <c r="L499" s="74"/>
      <c r="M499" s="74"/>
      <c r="N499" s="74"/>
      <c r="O499" s="74"/>
      <c r="P499" s="74"/>
      <c r="Q499" s="74"/>
      <c r="R499" s="74"/>
      <c r="S499" s="74"/>
      <c r="T499" s="74"/>
      <c r="U499" s="74"/>
      <c r="V499" s="74"/>
      <c r="W499" s="74"/>
    </row>
    <row r="500">
      <c r="A500" s="74"/>
      <c r="B500" s="74"/>
      <c r="C500" s="74"/>
      <c r="D500" s="74"/>
      <c r="E500" s="74"/>
      <c r="F500" s="74"/>
      <c r="G500" s="74"/>
      <c r="H500" s="74"/>
      <c r="I500" s="74"/>
      <c r="J500" s="74"/>
      <c r="K500" s="74"/>
      <c r="L500" s="74"/>
      <c r="M500" s="74"/>
      <c r="N500" s="74"/>
      <c r="O500" s="74"/>
      <c r="P500" s="74"/>
      <c r="Q500" s="74"/>
      <c r="R500" s="74"/>
      <c r="S500" s="74"/>
      <c r="T500" s="74"/>
      <c r="U500" s="74"/>
      <c r="V500" s="74"/>
      <c r="W500" s="74"/>
    </row>
    <row r="501">
      <c r="A501" s="74"/>
      <c r="B501" s="74"/>
      <c r="C501" s="74"/>
      <c r="D501" s="74"/>
      <c r="E501" s="74"/>
      <c r="F501" s="74"/>
      <c r="G501" s="74"/>
      <c r="H501" s="74"/>
      <c r="I501" s="74"/>
      <c r="J501" s="74"/>
      <c r="K501" s="74"/>
      <c r="L501" s="74"/>
      <c r="M501" s="74"/>
      <c r="N501" s="74"/>
      <c r="O501" s="74"/>
      <c r="P501" s="74"/>
      <c r="Q501" s="74"/>
      <c r="R501" s="74"/>
      <c r="S501" s="74"/>
      <c r="T501" s="74"/>
      <c r="U501" s="74"/>
      <c r="V501" s="74"/>
      <c r="W501" s="74"/>
    </row>
    <row r="502">
      <c r="A502" s="74"/>
      <c r="B502" s="74"/>
      <c r="C502" s="74"/>
      <c r="D502" s="74"/>
      <c r="E502" s="74"/>
      <c r="F502" s="74"/>
      <c r="G502" s="74"/>
      <c r="H502" s="74"/>
      <c r="I502" s="74"/>
      <c r="J502" s="74"/>
      <c r="K502" s="74"/>
      <c r="L502" s="74"/>
      <c r="M502" s="74"/>
      <c r="N502" s="74"/>
      <c r="O502" s="74"/>
      <c r="P502" s="74"/>
      <c r="Q502" s="74"/>
      <c r="R502" s="74"/>
      <c r="S502" s="74"/>
      <c r="T502" s="74"/>
      <c r="U502" s="74"/>
      <c r="V502" s="74"/>
      <c r="W502" s="74"/>
    </row>
    <row r="503">
      <c r="A503" s="74"/>
      <c r="B503" s="74"/>
      <c r="C503" s="74"/>
      <c r="D503" s="74"/>
      <c r="E503" s="74"/>
      <c r="F503" s="74"/>
      <c r="G503" s="74"/>
      <c r="H503" s="74"/>
      <c r="I503" s="74"/>
      <c r="J503" s="74"/>
      <c r="K503" s="74"/>
      <c r="L503" s="74"/>
      <c r="M503" s="74"/>
      <c r="N503" s="74"/>
      <c r="O503" s="74"/>
      <c r="P503" s="74"/>
      <c r="Q503" s="74"/>
      <c r="R503" s="74"/>
      <c r="S503" s="74"/>
      <c r="T503" s="74"/>
      <c r="U503" s="74"/>
      <c r="V503" s="74"/>
      <c r="W503" s="74"/>
    </row>
    <row r="504">
      <c r="A504" s="74"/>
      <c r="B504" s="74"/>
      <c r="C504" s="74"/>
      <c r="D504" s="74"/>
      <c r="E504" s="74"/>
      <c r="F504" s="74"/>
      <c r="G504" s="74"/>
      <c r="H504" s="74"/>
      <c r="I504" s="74"/>
      <c r="J504" s="74"/>
      <c r="K504" s="74"/>
      <c r="L504" s="74"/>
      <c r="M504" s="74"/>
      <c r="N504" s="74"/>
      <c r="O504" s="74"/>
      <c r="P504" s="74"/>
      <c r="Q504" s="74"/>
      <c r="R504" s="74"/>
      <c r="S504" s="74"/>
      <c r="T504" s="74"/>
      <c r="U504" s="74"/>
      <c r="V504" s="74"/>
      <c r="W504" s="74"/>
    </row>
    <row r="505">
      <c r="A505" s="74"/>
      <c r="B505" s="74"/>
      <c r="C505" s="74"/>
      <c r="D505" s="74"/>
      <c r="E505" s="74"/>
      <c r="F505" s="74"/>
      <c r="G505" s="74"/>
      <c r="H505" s="74"/>
      <c r="I505" s="74"/>
      <c r="J505" s="74"/>
      <c r="K505" s="74"/>
      <c r="L505" s="74"/>
      <c r="M505" s="74"/>
      <c r="N505" s="74"/>
      <c r="O505" s="74"/>
      <c r="P505" s="74"/>
      <c r="Q505" s="74"/>
      <c r="R505" s="74"/>
      <c r="S505" s="74"/>
      <c r="T505" s="74"/>
      <c r="U505" s="74"/>
      <c r="V505" s="74"/>
      <c r="W505" s="74"/>
    </row>
    <row r="506">
      <c r="A506" s="74"/>
      <c r="B506" s="74"/>
      <c r="C506" s="74"/>
      <c r="D506" s="74"/>
      <c r="E506" s="74"/>
      <c r="F506" s="74"/>
      <c r="G506" s="74"/>
      <c r="H506" s="74"/>
      <c r="I506" s="74"/>
      <c r="J506" s="74"/>
      <c r="K506" s="74"/>
      <c r="L506" s="74"/>
      <c r="M506" s="74"/>
      <c r="N506" s="74"/>
      <c r="O506" s="74"/>
      <c r="P506" s="74"/>
      <c r="Q506" s="74"/>
      <c r="R506" s="74"/>
      <c r="S506" s="74"/>
      <c r="T506" s="74"/>
      <c r="U506" s="74"/>
      <c r="V506" s="74"/>
      <c r="W506" s="74"/>
    </row>
    <row r="507">
      <c r="A507" s="74"/>
      <c r="B507" s="74"/>
      <c r="C507" s="74"/>
      <c r="D507" s="74"/>
      <c r="E507" s="74"/>
      <c r="F507" s="74"/>
      <c r="G507" s="74"/>
      <c r="H507" s="74"/>
      <c r="I507" s="74"/>
      <c r="J507" s="74"/>
      <c r="K507" s="74"/>
      <c r="L507" s="74"/>
      <c r="M507" s="74"/>
      <c r="N507" s="74"/>
      <c r="O507" s="74"/>
      <c r="P507" s="74"/>
      <c r="Q507" s="74"/>
      <c r="R507" s="74"/>
      <c r="S507" s="74"/>
      <c r="T507" s="74"/>
      <c r="U507" s="74"/>
      <c r="V507" s="74"/>
      <c r="W507" s="74"/>
    </row>
    <row r="508">
      <c r="A508" s="74"/>
      <c r="B508" s="74"/>
      <c r="C508" s="74"/>
      <c r="D508" s="74"/>
      <c r="E508" s="74"/>
      <c r="F508" s="74"/>
      <c r="G508" s="74"/>
      <c r="H508" s="74"/>
      <c r="I508" s="74"/>
      <c r="J508" s="74"/>
      <c r="K508" s="74"/>
      <c r="L508" s="74"/>
      <c r="M508" s="74"/>
      <c r="N508" s="74"/>
      <c r="O508" s="74"/>
      <c r="P508" s="74"/>
      <c r="Q508" s="74"/>
      <c r="R508" s="74"/>
      <c r="S508" s="74"/>
      <c r="T508" s="74"/>
      <c r="U508" s="74"/>
      <c r="V508" s="74"/>
      <c r="W508" s="74"/>
    </row>
    <row r="509">
      <c r="A509" s="74"/>
      <c r="B509" s="74"/>
      <c r="C509" s="74"/>
      <c r="D509" s="74"/>
      <c r="E509" s="74"/>
      <c r="F509" s="74"/>
      <c r="G509" s="74"/>
      <c r="H509" s="74"/>
      <c r="I509" s="74"/>
      <c r="J509" s="74"/>
      <c r="K509" s="74"/>
      <c r="L509" s="74"/>
      <c r="M509" s="74"/>
      <c r="N509" s="74"/>
      <c r="O509" s="74"/>
      <c r="P509" s="74"/>
      <c r="Q509" s="74"/>
      <c r="R509" s="74"/>
      <c r="S509" s="74"/>
      <c r="T509" s="74"/>
      <c r="U509" s="74"/>
      <c r="V509" s="74"/>
      <c r="W509" s="74"/>
    </row>
    <row r="510">
      <c r="A510" s="74"/>
      <c r="B510" s="74"/>
      <c r="C510" s="74"/>
      <c r="D510" s="74"/>
      <c r="E510" s="74"/>
      <c r="F510" s="74"/>
      <c r="G510" s="74"/>
      <c r="H510" s="74"/>
      <c r="I510" s="74"/>
      <c r="J510" s="74"/>
      <c r="K510" s="74"/>
      <c r="L510" s="74"/>
      <c r="M510" s="74"/>
      <c r="N510" s="74"/>
      <c r="O510" s="74"/>
      <c r="P510" s="74"/>
      <c r="Q510" s="74"/>
      <c r="R510" s="74"/>
      <c r="S510" s="74"/>
      <c r="T510" s="74"/>
      <c r="U510" s="74"/>
      <c r="V510" s="74"/>
      <c r="W510" s="74"/>
    </row>
    <row r="511">
      <c r="A511" s="74"/>
      <c r="B511" s="74"/>
      <c r="C511" s="74"/>
      <c r="D511" s="74"/>
      <c r="E511" s="74"/>
      <c r="F511" s="74"/>
      <c r="G511" s="74"/>
      <c r="H511" s="74"/>
      <c r="I511" s="74"/>
      <c r="J511" s="74"/>
      <c r="K511" s="74"/>
      <c r="L511" s="74"/>
      <c r="M511" s="74"/>
      <c r="N511" s="74"/>
      <c r="O511" s="74"/>
      <c r="P511" s="74"/>
      <c r="Q511" s="74"/>
      <c r="R511" s="74"/>
      <c r="S511" s="74"/>
      <c r="T511" s="74"/>
      <c r="U511" s="74"/>
      <c r="V511" s="74"/>
      <c r="W511" s="74"/>
    </row>
    <row r="512">
      <c r="A512" s="74"/>
      <c r="B512" s="74"/>
      <c r="C512" s="74"/>
      <c r="D512" s="74"/>
      <c r="E512" s="74"/>
      <c r="F512" s="74"/>
      <c r="G512" s="74"/>
      <c r="H512" s="74"/>
      <c r="I512" s="74"/>
      <c r="J512" s="74"/>
      <c r="K512" s="74"/>
      <c r="L512" s="74"/>
      <c r="M512" s="74"/>
      <c r="N512" s="74"/>
      <c r="O512" s="74"/>
      <c r="P512" s="74"/>
      <c r="Q512" s="74"/>
      <c r="R512" s="74"/>
      <c r="S512" s="74"/>
      <c r="T512" s="74"/>
      <c r="U512" s="74"/>
      <c r="V512" s="74"/>
      <c r="W512" s="74"/>
    </row>
    <row r="513">
      <c r="A513" s="74"/>
      <c r="B513" s="74"/>
      <c r="C513" s="74"/>
      <c r="D513" s="74"/>
      <c r="E513" s="74"/>
      <c r="F513" s="74"/>
      <c r="G513" s="74"/>
      <c r="H513" s="74"/>
      <c r="I513" s="74"/>
      <c r="J513" s="74"/>
      <c r="K513" s="74"/>
      <c r="L513" s="74"/>
      <c r="M513" s="74"/>
      <c r="N513" s="74"/>
      <c r="O513" s="74"/>
      <c r="P513" s="74"/>
      <c r="Q513" s="74"/>
      <c r="R513" s="74"/>
      <c r="S513" s="74"/>
      <c r="T513" s="74"/>
      <c r="U513" s="74"/>
      <c r="V513" s="74"/>
      <c r="W513" s="74"/>
    </row>
    <row r="514">
      <c r="A514" s="74"/>
      <c r="B514" s="74"/>
      <c r="C514" s="74"/>
      <c r="D514" s="74"/>
      <c r="E514" s="74"/>
      <c r="F514" s="74"/>
      <c r="G514" s="74"/>
      <c r="H514" s="74"/>
      <c r="I514" s="74"/>
      <c r="J514" s="74"/>
      <c r="K514" s="74"/>
      <c r="L514" s="74"/>
      <c r="M514" s="74"/>
      <c r="N514" s="74"/>
      <c r="O514" s="74"/>
      <c r="P514" s="74"/>
      <c r="Q514" s="74"/>
      <c r="R514" s="74"/>
      <c r="S514" s="74"/>
      <c r="T514" s="74"/>
      <c r="U514" s="74"/>
      <c r="V514" s="74"/>
      <c r="W514" s="74"/>
    </row>
    <row r="515">
      <c r="A515" s="74"/>
      <c r="B515" s="74"/>
      <c r="C515" s="74"/>
      <c r="D515" s="74"/>
      <c r="E515" s="74"/>
      <c r="F515" s="74"/>
      <c r="G515" s="74"/>
      <c r="H515" s="74"/>
      <c r="I515" s="74"/>
      <c r="J515" s="74"/>
      <c r="K515" s="74"/>
      <c r="L515" s="74"/>
      <c r="M515" s="74"/>
      <c r="N515" s="74"/>
      <c r="O515" s="74"/>
      <c r="P515" s="74"/>
      <c r="Q515" s="74"/>
      <c r="R515" s="74"/>
      <c r="S515" s="74"/>
      <c r="T515" s="74"/>
      <c r="U515" s="74"/>
      <c r="V515" s="74"/>
      <c r="W515" s="74"/>
    </row>
    <row r="516">
      <c r="A516" s="74"/>
      <c r="B516" s="74"/>
      <c r="C516" s="74"/>
      <c r="D516" s="74"/>
      <c r="E516" s="74"/>
      <c r="F516" s="74"/>
      <c r="G516" s="74"/>
      <c r="H516" s="74"/>
      <c r="I516" s="74"/>
      <c r="J516" s="74"/>
      <c r="K516" s="74"/>
      <c r="L516" s="74"/>
      <c r="M516" s="74"/>
      <c r="N516" s="74"/>
      <c r="O516" s="74"/>
      <c r="P516" s="74"/>
      <c r="Q516" s="74"/>
      <c r="R516" s="74"/>
      <c r="S516" s="74"/>
      <c r="T516" s="74"/>
      <c r="U516" s="74"/>
      <c r="V516" s="74"/>
      <c r="W516" s="74"/>
    </row>
    <row r="517">
      <c r="A517" s="74"/>
      <c r="B517" s="74"/>
      <c r="C517" s="74"/>
      <c r="D517" s="74"/>
      <c r="E517" s="74"/>
      <c r="F517" s="74"/>
      <c r="G517" s="74"/>
      <c r="H517" s="74"/>
      <c r="I517" s="74"/>
      <c r="J517" s="74"/>
      <c r="K517" s="74"/>
      <c r="L517" s="74"/>
      <c r="M517" s="74"/>
      <c r="N517" s="74"/>
      <c r="O517" s="74"/>
      <c r="P517" s="74"/>
      <c r="Q517" s="74"/>
      <c r="R517" s="74"/>
      <c r="S517" s="74"/>
      <c r="T517" s="74"/>
      <c r="U517" s="74"/>
      <c r="V517" s="74"/>
      <c r="W517" s="74"/>
    </row>
    <row r="518">
      <c r="A518" s="74"/>
      <c r="B518" s="74"/>
      <c r="C518" s="74"/>
      <c r="D518" s="74"/>
      <c r="E518" s="74"/>
      <c r="F518" s="74"/>
      <c r="G518" s="74"/>
      <c r="H518" s="74"/>
      <c r="I518" s="74"/>
      <c r="J518" s="74"/>
      <c r="K518" s="74"/>
      <c r="L518" s="74"/>
      <c r="M518" s="74"/>
      <c r="N518" s="74"/>
      <c r="O518" s="74"/>
      <c r="P518" s="74"/>
      <c r="Q518" s="74"/>
      <c r="R518" s="74"/>
      <c r="S518" s="74"/>
      <c r="T518" s="74"/>
      <c r="U518" s="74"/>
      <c r="V518" s="74"/>
      <c r="W518" s="74"/>
    </row>
    <row r="519">
      <c r="A519" s="74"/>
      <c r="B519" s="74"/>
      <c r="C519" s="74"/>
      <c r="D519" s="74"/>
      <c r="E519" s="74"/>
      <c r="F519" s="74"/>
      <c r="G519" s="74"/>
      <c r="H519" s="74"/>
      <c r="I519" s="74"/>
      <c r="J519" s="74"/>
      <c r="K519" s="74"/>
      <c r="L519" s="74"/>
      <c r="M519" s="74"/>
      <c r="N519" s="74"/>
      <c r="O519" s="74"/>
      <c r="P519" s="74"/>
      <c r="Q519" s="74"/>
      <c r="R519" s="74"/>
      <c r="S519" s="74"/>
      <c r="T519" s="74"/>
      <c r="U519" s="74"/>
      <c r="V519" s="74"/>
      <c r="W519" s="74"/>
    </row>
    <row r="520">
      <c r="A520" s="74"/>
      <c r="B520" s="74"/>
      <c r="C520" s="74"/>
      <c r="D520" s="74"/>
      <c r="E520" s="74"/>
      <c r="F520" s="74"/>
      <c r="G520" s="74"/>
      <c r="H520" s="74"/>
      <c r="I520" s="74"/>
      <c r="J520" s="74"/>
      <c r="K520" s="74"/>
      <c r="L520" s="74"/>
      <c r="M520" s="74"/>
      <c r="N520" s="74"/>
      <c r="O520" s="74"/>
      <c r="P520" s="74"/>
      <c r="Q520" s="74"/>
      <c r="R520" s="74"/>
      <c r="S520" s="74"/>
      <c r="T520" s="74"/>
      <c r="U520" s="74"/>
      <c r="V520" s="74"/>
      <c r="W520" s="74"/>
    </row>
    <row r="521">
      <c r="A521" s="74"/>
      <c r="B521" s="74"/>
      <c r="C521" s="74"/>
      <c r="D521" s="74"/>
      <c r="E521" s="74"/>
      <c r="F521" s="74"/>
      <c r="G521" s="74"/>
      <c r="H521" s="74"/>
      <c r="I521" s="74"/>
      <c r="J521" s="74"/>
      <c r="K521" s="74"/>
      <c r="L521" s="74"/>
      <c r="M521" s="74"/>
      <c r="N521" s="74"/>
      <c r="O521" s="74"/>
      <c r="P521" s="74"/>
      <c r="Q521" s="74"/>
      <c r="R521" s="74"/>
      <c r="S521" s="74"/>
      <c r="T521" s="74"/>
      <c r="U521" s="74"/>
      <c r="V521" s="74"/>
      <c r="W521" s="74"/>
    </row>
    <row r="522">
      <c r="A522" s="74"/>
      <c r="B522" s="74"/>
      <c r="C522" s="74"/>
      <c r="D522" s="74"/>
      <c r="E522" s="74"/>
      <c r="F522" s="74"/>
      <c r="G522" s="74"/>
      <c r="H522" s="74"/>
      <c r="I522" s="74"/>
      <c r="J522" s="74"/>
      <c r="K522" s="74"/>
      <c r="L522" s="74"/>
      <c r="M522" s="74"/>
      <c r="N522" s="74"/>
      <c r="O522" s="74"/>
      <c r="P522" s="74"/>
      <c r="Q522" s="74"/>
      <c r="R522" s="74"/>
      <c r="S522" s="74"/>
      <c r="T522" s="74"/>
      <c r="U522" s="74"/>
      <c r="V522" s="74"/>
      <c r="W522" s="74"/>
    </row>
    <row r="523">
      <c r="A523" s="74"/>
      <c r="B523" s="74"/>
      <c r="C523" s="74"/>
      <c r="D523" s="74"/>
      <c r="E523" s="74"/>
      <c r="F523" s="74"/>
      <c r="G523" s="74"/>
      <c r="H523" s="74"/>
      <c r="I523" s="74"/>
      <c r="J523" s="74"/>
      <c r="K523" s="74"/>
      <c r="L523" s="74"/>
      <c r="M523" s="74"/>
      <c r="N523" s="74"/>
      <c r="O523" s="74"/>
      <c r="P523" s="74"/>
      <c r="Q523" s="74"/>
      <c r="R523" s="74"/>
      <c r="S523" s="74"/>
      <c r="T523" s="74"/>
      <c r="U523" s="74"/>
      <c r="V523" s="74"/>
      <c r="W523" s="74"/>
    </row>
    <row r="524">
      <c r="A524" s="74"/>
      <c r="B524" s="74"/>
      <c r="C524" s="74"/>
      <c r="D524" s="74"/>
      <c r="E524" s="74"/>
      <c r="F524" s="74"/>
      <c r="G524" s="74"/>
      <c r="H524" s="74"/>
      <c r="I524" s="74"/>
      <c r="J524" s="74"/>
      <c r="K524" s="74"/>
      <c r="L524" s="74"/>
      <c r="M524" s="74"/>
      <c r="N524" s="74"/>
      <c r="O524" s="74"/>
      <c r="P524" s="74"/>
      <c r="Q524" s="74"/>
      <c r="R524" s="74"/>
      <c r="S524" s="74"/>
      <c r="T524" s="74"/>
      <c r="U524" s="74"/>
      <c r="V524" s="74"/>
      <c r="W524" s="74"/>
    </row>
    <row r="525">
      <c r="A525" s="74"/>
      <c r="B525" s="74"/>
      <c r="C525" s="74"/>
      <c r="D525" s="74"/>
      <c r="E525" s="74"/>
      <c r="F525" s="74"/>
      <c r="G525" s="74"/>
      <c r="H525" s="74"/>
      <c r="I525" s="74"/>
      <c r="J525" s="74"/>
      <c r="K525" s="74"/>
      <c r="L525" s="74"/>
      <c r="M525" s="74"/>
      <c r="N525" s="74"/>
      <c r="O525" s="74"/>
      <c r="P525" s="74"/>
      <c r="Q525" s="74"/>
      <c r="R525" s="74"/>
      <c r="S525" s="74"/>
      <c r="T525" s="74"/>
      <c r="U525" s="74"/>
      <c r="V525" s="74"/>
      <c r="W525" s="74"/>
    </row>
    <row r="526">
      <c r="A526" s="74"/>
      <c r="B526" s="74"/>
      <c r="C526" s="74"/>
      <c r="D526" s="74"/>
      <c r="E526" s="74"/>
      <c r="F526" s="74"/>
      <c r="G526" s="74"/>
      <c r="H526" s="74"/>
      <c r="I526" s="74"/>
      <c r="J526" s="74"/>
      <c r="K526" s="74"/>
      <c r="L526" s="74"/>
      <c r="M526" s="74"/>
      <c r="N526" s="74"/>
      <c r="O526" s="74"/>
      <c r="P526" s="74"/>
      <c r="Q526" s="74"/>
      <c r="R526" s="74"/>
      <c r="S526" s="74"/>
      <c r="T526" s="74"/>
      <c r="U526" s="74"/>
      <c r="V526" s="74"/>
      <c r="W526" s="74"/>
    </row>
    <row r="527">
      <c r="A527" s="74"/>
      <c r="B527" s="74"/>
      <c r="C527" s="74"/>
      <c r="D527" s="74"/>
      <c r="E527" s="74"/>
      <c r="F527" s="74"/>
      <c r="G527" s="74"/>
      <c r="H527" s="74"/>
      <c r="I527" s="74"/>
      <c r="J527" s="74"/>
      <c r="K527" s="74"/>
      <c r="L527" s="74"/>
      <c r="M527" s="74"/>
      <c r="N527" s="74"/>
      <c r="O527" s="74"/>
      <c r="P527" s="74"/>
      <c r="Q527" s="74"/>
      <c r="R527" s="74"/>
      <c r="S527" s="74"/>
      <c r="T527" s="74"/>
      <c r="U527" s="74"/>
      <c r="V527" s="74"/>
      <c r="W527" s="74"/>
    </row>
    <row r="528">
      <c r="A528" s="74"/>
      <c r="B528" s="74"/>
      <c r="C528" s="74"/>
      <c r="D528" s="74"/>
      <c r="E528" s="74"/>
      <c r="F528" s="74"/>
      <c r="G528" s="74"/>
      <c r="H528" s="74"/>
      <c r="I528" s="74"/>
      <c r="J528" s="74"/>
      <c r="K528" s="74"/>
      <c r="L528" s="74"/>
      <c r="M528" s="74"/>
      <c r="N528" s="74"/>
      <c r="O528" s="74"/>
      <c r="P528" s="74"/>
      <c r="Q528" s="74"/>
      <c r="R528" s="74"/>
      <c r="S528" s="74"/>
      <c r="T528" s="74"/>
      <c r="U528" s="74"/>
      <c r="V528" s="74"/>
      <c r="W528" s="74"/>
    </row>
    <row r="529">
      <c r="A529" s="74"/>
      <c r="B529" s="74"/>
      <c r="C529" s="74"/>
      <c r="D529" s="74"/>
      <c r="E529" s="74"/>
      <c r="F529" s="74"/>
      <c r="G529" s="74"/>
      <c r="H529" s="74"/>
      <c r="I529" s="74"/>
      <c r="J529" s="74"/>
      <c r="K529" s="74"/>
      <c r="L529" s="74"/>
      <c r="M529" s="74"/>
      <c r="N529" s="74"/>
      <c r="O529" s="74"/>
      <c r="P529" s="74"/>
      <c r="Q529" s="74"/>
      <c r="R529" s="74"/>
      <c r="S529" s="74"/>
      <c r="T529" s="74"/>
      <c r="U529" s="74"/>
      <c r="V529" s="74"/>
      <c r="W529" s="74"/>
    </row>
    <row r="530">
      <c r="A530" s="74"/>
      <c r="B530" s="74"/>
      <c r="C530" s="74"/>
      <c r="D530" s="74"/>
      <c r="E530" s="74"/>
      <c r="F530" s="74"/>
      <c r="G530" s="74"/>
      <c r="H530" s="74"/>
      <c r="I530" s="74"/>
      <c r="J530" s="74"/>
      <c r="K530" s="74"/>
      <c r="L530" s="74"/>
      <c r="M530" s="74"/>
      <c r="N530" s="74"/>
      <c r="O530" s="74"/>
      <c r="P530" s="74"/>
      <c r="Q530" s="74"/>
      <c r="R530" s="74"/>
      <c r="S530" s="74"/>
      <c r="T530" s="74"/>
      <c r="U530" s="74"/>
      <c r="V530" s="74"/>
      <c r="W530" s="74"/>
    </row>
    <row r="531">
      <c r="A531" s="74"/>
      <c r="B531" s="74"/>
      <c r="C531" s="74"/>
      <c r="D531" s="74"/>
      <c r="E531" s="74"/>
      <c r="F531" s="74"/>
      <c r="G531" s="74"/>
      <c r="H531" s="74"/>
      <c r="I531" s="74"/>
      <c r="J531" s="74"/>
      <c r="K531" s="74"/>
      <c r="L531" s="74"/>
      <c r="M531" s="74"/>
      <c r="N531" s="74"/>
      <c r="O531" s="74"/>
      <c r="P531" s="74"/>
      <c r="Q531" s="74"/>
      <c r="R531" s="74"/>
      <c r="S531" s="74"/>
      <c r="T531" s="74"/>
      <c r="U531" s="74"/>
      <c r="V531" s="74"/>
      <c r="W531" s="74"/>
    </row>
    <row r="532">
      <c r="A532" s="74"/>
      <c r="B532" s="74"/>
      <c r="C532" s="74"/>
      <c r="D532" s="74"/>
      <c r="E532" s="74"/>
      <c r="F532" s="74"/>
      <c r="G532" s="74"/>
      <c r="H532" s="74"/>
      <c r="I532" s="74"/>
      <c r="J532" s="74"/>
      <c r="K532" s="74"/>
      <c r="L532" s="74"/>
      <c r="M532" s="74"/>
      <c r="N532" s="74"/>
      <c r="O532" s="74"/>
      <c r="P532" s="74"/>
      <c r="Q532" s="74"/>
      <c r="R532" s="74"/>
      <c r="S532" s="74"/>
      <c r="T532" s="74"/>
      <c r="U532" s="74"/>
      <c r="V532" s="74"/>
      <c r="W532" s="74"/>
    </row>
    <row r="533">
      <c r="A533" s="74"/>
      <c r="B533" s="74"/>
      <c r="C533" s="74"/>
      <c r="D533" s="74"/>
      <c r="E533" s="74"/>
      <c r="F533" s="74"/>
      <c r="G533" s="74"/>
      <c r="H533" s="74"/>
      <c r="I533" s="74"/>
      <c r="J533" s="74"/>
      <c r="K533" s="74"/>
      <c r="L533" s="74"/>
      <c r="M533" s="74"/>
      <c r="N533" s="74"/>
      <c r="O533" s="74"/>
      <c r="P533" s="74"/>
      <c r="Q533" s="74"/>
      <c r="R533" s="74"/>
      <c r="S533" s="74"/>
      <c r="T533" s="74"/>
      <c r="U533" s="74"/>
      <c r="V533" s="74"/>
      <c r="W533" s="74"/>
    </row>
    <row r="534">
      <c r="A534" s="74"/>
      <c r="B534" s="74"/>
      <c r="C534" s="74"/>
      <c r="D534" s="74"/>
      <c r="E534" s="74"/>
      <c r="F534" s="74"/>
      <c r="G534" s="74"/>
      <c r="H534" s="74"/>
      <c r="I534" s="74"/>
      <c r="J534" s="74"/>
      <c r="K534" s="74"/>
      <c r="L534" s="74"/>
      <c r="M534" s="74"/>
      <c r="N534" s="74"/>
      <c r="O534" s="74"/>
      <c r="P534" s="74"/>
      <c r="Q534" s="74"/>
      <c r="R534" s="74"/>
      <c r="S534" s="74"/>
      <c r="T534" s="74"/>
      <c r="U534" s="74"/>
      <c r="V534" s="74"/>
      <c r="W534" s="74"/>
    </row>
    <row r="535">
      <c r="A535" s="74"/>
      <c r="B535" s="74"/>
      <c r="C535" s="74"/>
      <c r="D535" s="74"/>
      <c r="E535" s="74"/>
      <c r="F535" s="74"/>
      <c r="G535" s="74"/>
      <c r="H535" s="74"/>
      <c r="I535" s="74"/>
      <c r="J535" s="74"/>
      <c r="K535" s="74"/>
      <c r="L535" s="74"/>
      <c r="M535" s="74"/>
      <c r="N535" s="74"/>
      <c r="O535" s="74"/>
      <c r="P535" s="74"/>
      <c r="Q535" s="74"/>
      <c r="R535" s="74"/>
      <c r="S535" s="74"/>
      <c r="T535" s="74"/>
      <c r="U535" s="74"/>
      <c r="V535" s="74"/>
      <c r="W535" s="74"/>
    </row>
    <row r="536">
      <c r="A536" s="74"/>
      <c r="B536" s="74"/>
      <c r="C536" s="74"/>
      <c r="D536" s="74"/>
      <c r="E536" s="74"/>
      <c r="F536" s="74"/>
      <c r="G536" s="74"/>
      <c r="H536" s="74"/>
      <c r="I536" s="74"/>
      <c r="J536" s="74"/>
      <c r="K536" s="74"/>
      <c r="L536" s="74"/>
      <c r="M536" s="74"/>
      <c r="N536" s="74"/>
      <c r="O536" s="74"/>
      <c r="P536" s="74"/>
      <c r="Q536" s="74"/>
      <c r="R536" s="74"/>
      <c r="S536" s="74"/>
      <c r="T536" s="74"/>
      <c r="U536" s="74"/>
      <c r="V536" s="74"/>
      <c r="W536" s="74"/>
    </row>
    <row r="537">
      <c r="A537" s="74"/>
      <c r="B537" s="74"/>
      <c r="C537" s="74"/>
      <c r="D537" s="74"/>
      <c r="E537" s="74"/>
      <c r="F537" s="74"/>
      <c r="G537" s="74"/>
      <c r="H537" s="74"/>
      <c r="I537" s="74"/>
      <c r="J537" s="74"/>
      <c r="K537" s="74"/>
      <c r="L537" s="74"/>
      <c r="M537" s="74"/>
      <c r="N537" s="74"/>
      <c r="O537" s="74"/>
      <c r="P537" s="74"/>
      <c r="Q537" s="74"/>
      <c r="R537" s="74"/>
      <c r="S537" s="74"/>
      <c r="T537" s="74"/>
      <c r="U537" s="74"/>
      <c r="V537" s="74"/>
      <c r="W537" s="74"/>
    </row>
    <row r="538">
      <c r="A538" s="74"/>
      <c r="B538" s="74"/>
      <c r="C538" s="74"/>
      <c r="D538" s="74"/>
      <c r="E538" s="74"/>
      <c r="F538" s="74"/>
      <c r="G538" s="74"/>
      <c r="H538" s="74"/>
      <c r="I538" s="74"/>
      <c r="J538" s="74"/>
      <c r="K538" s="74"/>
      <c r="L538" s="74"/>
      <c r="M538" s="74"/>
      <c r="N538" s="74"/>
      <c r="O538" s="74"/>
      <c r="P538" s="74"/>
      <c r="Q538" s="74"/>
      <c r="R538" s="74"/>
      <c r="S538" s="74"/>
      <c r="T538" s="74"/>
      <c r="U538" s="74"/>
      <c r="V538" s="74"/>
      <c r="W538" s="74"/>
    </row>
    <row r="539">
      <c r="A539" s="74"/>
      <c r="B539" s="74"/>
      <c r="C539" s="74"/>
      <c r="D539" s="74"/>
      <c r="E539" s="74"/>
      <c r="F539" s="74"/>
      <c r="G539" s="74"/>
      <c r="H539" s="74"/>
      <c r="I539" s="74"/>
      <c r="J539" s="74"/>
      <c r="K539" s="74"/>
      <c r="L539" s="74"/>
      <c r="M539" s="74"/>
      <c r="N539" s="74"/>
      <c r="O539" s="74"/>
      <c r="P539" s="74"/>
      <c r="Q539" s="74"/>
      <c r="R539" s="74"/>
      <c r="S539" s="74"/>
      <c r="T539" s="74"/>
      <c r="U539" s="74"/>
      <c r="V539" s="74"/>
      <c r="W539" s="74"/>
    </row>
    <row r="540">
      <c r="A540" s="74"/>
      <c r="B540" s="74"/>
      <c r="C540" s="74"/>
      <c r="D540" s="74"/>
      <c r="E540" s="74"/>
      <c r="F540" s="74"/>
      <c r="G540" s="74"/>
      <c r="H540" s="74"/>
      <c r="I540" s="74"/>
      <c r="J540" s="74"/>
      <c r="K540" s="74"/>
      <c r="L540" s="74"/>
      <c r="M540" s="74"/>
      <c r="N540" s="74"/>
      <c r="O540" s="74"/>
      <c r="P540" s="74"/>
      <c r="Q540" s="74"/>
      <c r="R540" s="74"/>
      <c r="S540" s="74"/>
      <c r="T540" s="74"/>
      <c r="U540" s="74"/>
      <c r="V540" s="74"/>
      <c r="W540" s="74"/>
    </row>
    <row r="541">
      <c r="A541" s="74"/>
      <c r="B541" s="74"/>
      <c r="C541" s="74"/>
      <c r="D541" s="74"/>
      <c r="E541" s="74"/>
      <c r="F541" s="74"/>
      <c r="G541" s="74"/>
      <c r="H541" s="74"/>
      <c r="I541" s="74"/>
      <c r="J541" s="74"/>
      <c r="K541" s="74"/>
      <c r="L541" s="74"/>
      <c r="M541" s="74"/>
      <c r="N541" s="74"/>
      <c r="O541" s="74"/>
      <c r="P541" s="74"/>
      <c r="Q541" s="74"/>
      <c r="R541" s="74"/>
      <c r="S541" s="74"/>
      <c r="T541" s="74"/>
      <c r="U541" s="74"/>
      <c r="V541" s="74"/>
      <c r="W541" s="74"/>
    </row>
    <row r="542">
      <c r="A542" s="74"/>
      <c r="B542" s="74"/>
      <c r="C542" s="74"/>
      <c r="D542" s="74"/>
      <c r="E542" s="74"/>
      <c r="F542" s="74"/>
      <c r="G542" s="74"/>
      <c r="H542" s="74"/>
      <c r="I542" s="74"/>
      <c r="J542" s="74"/>
      <c r="K542" s="74"/>
      <c r="L542" s="74"/>
      <c r="M542" s="74"/>
      <c r="N542" s="74"/>
      <c r="O542" s="74"/>
      <c r="P542" s="74"/>
      <c r="Q542" s="74"/>
      <c r="R542" s="74"/>
      <c r="S542" s="74"/>
      <c r="T542" s="74"/>
      <c r="U542" s="74"/>
      <c r="V542" s="74"/>
      <c r="W542" s="74"/>
    </row>
    <row r="543">
      <c r="A543" s="74"/>
      <c r="B543" s="74"/>
      <c r="C543" s="74"/>
      <c r="D543" s="74"/>
      <c r="E543" s="74"/>
      <c r="F543" s="74"/>
      <c r="G543" s="74"/>
      <c r="H543" s="74"/>
      <c r="I543" s="74"/>
      <c r="J543" s="74"/>
      <c r="K543" s="74"/>
      <c r="L543" s="74"/>
      <c r="M543" s="74"/>
      <c r="N543" s="74"/>
      <c r="O543" s="74"/>
      <c r="P543" s="74"/>
      <c r="Q543" s="74"/>
      <c r="R543" s="74"/>
      <c r="S543" s="74"/>
      <c r="T543" s="74"/>
      <c r="U543" s="74"/>
      <c r="V543" s="74"/>
      <c r="W543" s="74"/>
    </row>
    <row r="544">
      <c r="A544" s="74"/>
      <c r="B544" s="74"/>
      <c r="C544" s="74"/>
      <c r="D544" s="74"/>
      <c r="E544" s="74"/>
      <c r="F544" s="74"/>
      <c r="G544" s="74"/>
      <c r="H544" s="74"/>
      <c r="I544" s="74"/>
      <c r="J544" s="74"/>
      <c r="K544" s="74"/>
      <c r="L544" s="74"/>
      <c r="M544" s="74"/>
      <c r="N544" s="74"/>
      <c r="O544" s="74"/>
      <c r="P544" s="74"/>
      <c r="Q544" s="74"/>
      <c r="R544" s="74"/>
      <c r="S544" s="74"/>
      <c r="T544" s="74"/>
      <c r="U544" s="74"/>
      <c r="V544" s="74"/>
      <c r="W544" s="74"/>
    </row>
    <row r="545">
      <c r="A545" s="74"/>
      <c r="B545" s="74"/>
      <c r="C545" s="74"/>
      <c r="D545" s="74"/>
      <c r="E545" s="74"/>
      <c r="F545" s="74"/>
      <c r="G545" s="74"/>
      <c r="H545" s="74"/>
      <c r="I545" s="74"/>
      <c r="J545" s="74"/>
      <c r="K545" s="74"/>
      <c r="L545" s="74"/>
      <c r="M545" s="74"/>
      <c r="N545" s="74"/>
      <c r="O545" s="74"/>
      <c r="P545" s="74"/>
      <c r="Q545" s="74"/>
      <c r="R545" s="74"/>
      <c r="S545" s="74"/>
      <c r="T545" s="74"/>
      <c r="U545" s="74"/>
      <c r="V545" s="74"/>
      <c r="W545" s="74"/>
    </row>
    <row r="546">
      <c r="A546" s="74"/>
      <c r="B546" s="74"/>
      <c r="C546" s="74"/>
      <c r="D546" s="74"/>
      <c r="E546" s="74"/>
      <c r="F546" s="74"/>
      <c r="G546" s="74"/>
      <c r="H546" s="74"/>
      <c r="I546" s="74"/>
      <c r="J546" s="74"/>
      <c r="K546" s="74"/>
      <c r="L546" s="74"/>
      <c r="M546" s="74"/>
      <c r="N546" s="74"/>
      <c r="O546" s="74"/>
      <c r="P546" s="74"/>
      <c r="Q546" s="74"/>
      <c r="R546" s="74"/>
      <c r="S546" s="74"/>
      <c r="T546" s="74"/>
      <c r="U546" s="74"/>
      <c r="V546" s="74"/>
      <c r="W546" s="74"/>
    </row>
    <row r="547">
      <c r="A547" s="74"/>
      <c r="B547" s="74"/>
      <c r="C547" s="74"/>
      <c r="D547" s="74"/>
      <c r="E547" s="74"/>
      <c r="F547" s="74"/>
      <c r="G547" s="74"/>
      <c r="H547" s="74"/>
      <c r="I547" s="74"/>
      <c r="J547" s="74"/>
      <c r="K547" s="74"/>
      <c r="L547" s="74"/>
      <c r="M547" s="74"/>
      <c r="N547" s="74"/>
      <c r="O547" s="74"/>
      <c r="P547" s="74"/>
      <c r="Q547" s="74"/>
      <c r="R547" s="74"/>
      <c r="S547" s="74"/>
      <c r="T547" s="74"/>
      <c r="U547" s="74"/>
      <c r="V547" s="74"/>
      <c r="W547" s="74"/>
    </row>
    <row r="548">
      <c r="A548" s="74"/>
      <c r="B548" s="74"/>
      <c r="C548" s="74"/>
      <c r="D548" s="74"/>
      <c r="E548" s="74"/>
      <c r="F548" s="74"/>
      <c r="G548" s="74"/>
      <c r="H548" s="74"/>
      <c r="I548" s="74"/>
      <c r="J548" s="74"/>
      <c r="K548" s="74"/>
      <c r="L548" s="74"/>
      <c r="M548" s="74"/>
      <c r="N548" s="74"/>
      <c r="O548" s="74"/>
      <c r="P548" s="74"/>
      <c r="Q548" s="74"/>
      <c r="R548" s="74"/>
      <c r="S548" s="74"/>
      <c r="T548" s="74"/>
      <c r="U548" s="74"/>
      <c r="V548" s="74"/>
      <c r="W548" s="74"/>
    </row>
    <row r="549">
      <c r="A549" s="74"/>
      <c r="B549" s="74"/>
      <c r="C549" s="74"/>
      <c r="D549" s="74"/>
      <c r="E549" s="74"/>
      <c r="F549" s="74"/>
      <c r="G549" s="74"/>
      <c r="H549" s="74"/>
      <c r="I549" s="74"/>
      <c r="J549" s="74"/>
      <c r="K549" s="74"/>
      <c r="L549" s="74"/>
      <c r="M549" s="74"/>
      <c r="N549" s="74"/>
      <c r="O549" s="74"/>
      <c r="P549" s="74"/>
      <c r="Q549" s="74"/>
      <c r="R549" s="74"/>
      <c r="S549" s="74"/>
      <c r="T549" s="74"/>
      <c r="U549" s="74"/>
      <c r="V549" s="74"/>
      <c r="W549" s="74"/>
    </row>
    <row r="550">
      <c r="A550" s="74"/>
      <c r="B550" s="74"/>
      <c r="C550" s="74"/>
      <c r="D550" s="74"/>
      <c r="E550" s="74"/>
      <c r="F550" s="74"/>
      <c r="G550" s="74"/>
      <c r="H550" s="74"/>
      <c r="I550" s="74"/>
      <c r="J550" s="74"/>
      <c r="K550" s="74"/>
      <c r="L550" s="74"/>
      <c r="M550" s="74"/>
      <c r="N550" s="74"/>
      <c r="O550" s="74"/>
      <c r="P550" s="74"/>
      <c r="Q550" s="74"/>
      <c r="R550" s="74"/>
      <c r="S550" s="74"/>
      <c r="T550" s="74"/>
      <c r="U550" s="74"/>
      <c r="V550" s="74"/>
      <c r="W550" s="74"/>
    </row>
    <row r="551">
      <c r="A551" s="74"/>
      <c r="B551" s="74"/>
      <c r="C551" s="74"/>
      <c r="D551" s="74"/>
      <c r="E551" s="74"/>
      <c r="F551" s="74"/>
      <c r="G551" s="74"/>
      <c r="H551" s="74"/>
      <c r="I551" s="74"/>
      <c r="J551" s="74"/>
      <c r="K551" s="74"/>
      <c r="L551" s="74"/>
      <c r="M551" s="74"/>
      <c r="N551" s="74"/>
      <c r="O551" s="74"/>
      <c r="P551" s="74"/>
      <c r="Q551" s="74"/>
      <c r="R551" s="74"/>
      <c r="S551" s="74"/>
      <c r="T551" s="74"/>
      <c r="U551" s="74"/>
      <c r="V551" s="74"/>
      <c r="W551" s="74"/>
    </row>
    <row r="552">
      <c r="A552" s="74"/>
      <c r="B552" s="74"/>
      <c r="C552" s="74"/>
      <c r="D552" s="74"/>
      <c r="E552" s="74"/>
      <c r="F552" s="74"/>
      <c r="G552" s="74"/>
      <c r="H552" s="74"/>
      <c r="I552" s="74"/>
      <c r="J552" s="74"/>
      <c r="K552" s="74"/>
      <c r="L552" s="74"/>
      <c r="M552" s="74"/>
      <c r="N552" s="74"/>
      <c r="O552" s="74"/>
      <c r="P552" s="74"/>
      <c r="Q552" s="74"/>
      <c r="R552" s="74"/>
      <c r="S552" s="74"/>
      <c r="T552" s="74"/>
      <c r="U552" s="74"/>
      <c r="V552" s="74"/>
      <c r="W552" s="74"/>
    </row>
    <row r="553">
      <c r="A553" s="74"/>
      <c r="B553" s="74"/>
      <c r="C553" s="74"/>
      <c r="D553" s="74"/>
      <c r="E553" s="74"/>
      <c r="F553" s="74"/>
      <c r="G553" s="74"/>
      <c r="H553" s="74"/>
      <c r="I553" s="74"/>
      <c r="J553" s="74"/>
      <c r="K553" s="74"/>
      <c r="L553" s="74"/>
      <c r="M553" s="74"/>
      <c r="N553" s="74"/>
      <c r="O553" s="74"/>
      <c r="P553" s="74"/>
      <c r="Q553" s="74"/>
      <c r="R553" s="74"/>
      <c r="S553" s="74"/>
      <c r="T553" s="74"/>
      <c r="U553" s="74"/>
      <c r="V553" s="74"/>
      <c r="W553" s="74"/>
    </row>
    <row r="554">
      <c r="A554" s="74"/>
      <c r="B554" s="74"/>
      <c r="C554" s="74"/>
      <c r="D554" s="74"/>
      <c r="E554" s="74"/>
      <c r="F554" s="74"/>
      <c r="G554" s="74"/>
      <c r="H554" s="74"/>
      <c r="I554" s="74"/>
      <c r="J554" s="74"/>
      <c r="K554" s="74"/>
      <c r="L554" s="74"/>
      <c r="M554" s="74"/>
      <c r="N554" s="74"/>
      <c r="O554" s="74"/>
      <c r="P554" s="74"/>
      <c r="Q554" s="74"/>
      <c r="R554" s="74"/>
      <c r="S554" s="74"/>
      <c r="T554" s="74"/>
      <c r="U554" s="74"/>
      <c r="V554" s="74"/>
      <c r="W554" s="74"/>
    </row>
    <row r="555">
      <c r="A555" s="74"/>
      <c r="B555" s="74"/>
      <c r="C555" s="74"/>
      <c r="D555" s="74"/>
      <c r="E555" s="74"/>
      <c r="F555" s="74"/>
      <c r="G555" s="74"/>
      <c r="H555" s="74"/>
      <c r="I555" s="74"/>
      <c r="J555" s="74"/>
      <c r="K555" s="74"/>
      <c r="L555" s="74"/>
      <c r="M555" s="74"/>
      <c r="N555" s="74"/>
      <c r="O555" s="74"/>
      <c r="P555" s="74"/>
      <c r="Q555" s="74"/>
      <c r="R555" s="74"/>
      <c r="S555" s="74"/>
      <c r="T555" s="74"/>
      <c r="U555" s="74"/>
      <c r="V555" s="74"/>
      <c r="W555" s="74"/>
    </row>
    <row r="556">
      <c r="A556" s="74"/>
      <c r="B556" s="74"/>
      <c r="C556" s="74"/>
      <c r="D556" s="74"/>
      <c r="E556" s="74"/>
      <c r="F556" s="74"/>
      <c r="G556" s="74"/>
      <c r="H556" s="74"/>
      <c r="I556" s="74"/>
      <c r="J556" s="74"/>
      <c r="K556" s="74"/>
      <c r="L556" s="74"/>
      <c r="M556" s="74"/>
      <c r="N556" s="74"/>
      <c r="O556" s="74"/>
      <c r="P556" s="74"/>
      <c r="Q556" s="74"/>
      <c r="R556" s="74"/>
      <c r="S556" s="74"/>
      <c r="T556" s="74"/>
      <c r="U556" s="74"/>
      <c r="V556" s="74"/>
      <c r="W556" s="74"/>
    </row>
    <row r="557">
      <c r="A557" s="74"/>
      <c r="B557" s="74"/>
      <c r="C557" s="74"/>
      <c r="D557" s="74"/>
      <c r="E557" s="74"/>
      <c r="F557" s="74"/>
      <c r="G557" s="74"/>
      <c r="H557" s="74"/>
      <c r="I557" s="74"/>
      <c r="J557" s="74"/>
      <c r="K557" s="74"/>
      <c r="L557" s="74"/>
      <c r="M557" s="74"/>
      <c r="N557" s="74"/>
      <c r="O557" s="74"/>
      <c r="P557" s="74"/>
      <c r="Q557" s="74"/>
      <c r="R557" s="74"/>
      <c r="S557" s="74"/>
      <c r="T557" s="74"/>
      <c r="U557" s="74"/>
      <c r="V557" s="74"/>
      <c r="W557" s="74"/>
    </row>
    <row r="558">
      <c r="A558" s="74"/>
      <c r="B558" s="74"/>
      <c r="C558" s="74"/>
      <c r="D558" s="74"/>
      <c r="E558" s="74"/>
      <c r="F558" s="74"/>
      <c r="G558" s="74"/>
      <c r="H558" s="74"/>
      <c r="I558" s="74"/>
      <c r="J558" s="74"/>
      <c r="K558" s="74"/>
      <c r="L558" s="74"/>
      <c r="M558" s="74"/>
      <c r="N558" s="74"/>
      <c r="O558" s="74"/>
      <c r="P558" s="74"/>
      <c r="Q558" s="74"/>
      <c r="R558" s="74"/>
      <c r="S558" s="74"/>
      <c r="T558" s="74"/>
      <c r="U558" s="74"/>
      <c r="V558" s="74"/>
      <c r="W558" s="74"/>
    </row>
    <row r="559">
      <c r="A559" s="74"/>
      <c r="B559" s="74"/>
      <c r="C559" s="74"/>
      <c r="D559" s="74"/>
      <c r="E559" s="74"/>
      <c r="F559" s="74"/>
      <c r="G559" s="74"/>
      <c r="H559" s="74"/>
      <c r="I559" s="74"/>
      <c r="J559" s="74"/>
      <c r="K559" s="74"/>
      <c r="L559" s="74"/>
      <c r="M559" s="74"/>
      <c r="N559" s="74"/>
      <c r="O559" s="74"/>
      <c r="P559" s="74"/>
      <c r="Q559" s="74"/>
      <c r="R559" s="74"/>
      <c r="S559" s="74"/>
      <c r="T559" s="74"/>
      <c r="U559" s="74"/>
      <c r="V559" s="74"/>
      <c r="W559" s="74"/>
    </row>
    <row r="560">
      <c r="A560" s="74"/>
      <c r="B560" s="74"/>
      <c r="C560" s="74"/>
      <c r="D560" s="74"/>
      <c r="E560" s="74"/>
      <c r="F560" s="74"/>
      <c r="G560" s="74"/>
      <c r="H560" s="74"/>
      <c r="I560" s="74"/>
      <c r="J560" s="74"/>
      <c r="K560" s="74"/>
      <c r="L560" s="74"/>
      <c r="M560" s="74"/>
      <c r="N560" s="74"/>
      <c r="O560" s="74"/>
      <c r="P560" s="74"/>
      <c r="Q560" s="74"/>
      <c r="R560" s="74"/>
      <c r="S560" s="74"/>
      <c r="T560" s="74"/>
      <c r="U560" s="74"/>
      <c r="V560" s="74"/>
      <c r="W560" s="74"/>
    </row>
    <row r="561">
      <c r="A561" s="74"/>
      <c r="B561" s="74"/>
      <c r="C561" s="74"/>
      <c r="D561" s="74"/>
      <c r="E561" s="74"/>
      <c r="F561" s="74"/>
      <c r="G561" s="74"/>
      <c r="H561" s="74"/>
      <c r="I561" s="74"/>
      <c r="J561" s="74"/>
      <c r="K561" s="74"/>
      <c r="L561" s="74"/>
      <c r="M561" s="74"/>
      <c r="N561" s="74"/>
      <c r="O561" s="74"/>
      <c r="P561" s="74"/>
      <c r="Q561" s="74"/>
      <c r="R561" s="74"/>
      <c r="S561" s="74"/>
      <c r="T561" s="74"/>
      <c r="U561" s="74"/>
      <c r="V561" s="74"/>
      <c r="W561" s="74"/>
    </row>
    <row r="562">
      <c r="A562" s="74"/>
      <c r="B562" s="74"/>
      <c r="C562" s="74"/>
      <c r="D562" s="74"/>
      <c r="E562" s="74"/>
      <c r="F562" s="74"/>
      <c r="G562" s="74"/>
      <c r="H562" s="74"/>
      <c r="I562" s="74"/>
      <c r="J562" s="74"/>
      <c r="K562" s="74"/>
      <c r="L562" s="74"/>
      <c r="M562" s="74"/>
      <c r="N562" s="74"/>
      <c r="O562" s="74"/>
      <c r="P562" s="74"/>
      <c r="Q562" s="74"/>
      <c r="R562" s="74"/>
      <c r="S562" s="74"/>
      <c r="T562" s="74"/>
      <c r="U562" s="74"/>
      <c r="V562" s="74"/>
      <c r="W562" s="74"/>
    </row>
    <row r="563">
      <c r="A563" s="74"/>
      <c r="B563" s="74"/>
      <c r="C563" s="74"/>
      <c r="D563" s="74"/>
      <c r="E563" s="74"/>
      <c r="F563" s="74"/>
      <c r="G563" s="74"/>
      <c r="H563" s="74"/>
      <c r="I563" s="74"/>
      <c r="J563" s="74"/>
      <c r="K563" s="74"/>
      <c r="L563" s="74"/>
      <c r="M563" s="74"/>
      <c r="N563" s="74"/>
      <c r="O563" s="74"/>
      <c r="P563" s="74"/>
      <c r="Q563" s="74"/>
      <c r="R563" s="74"/>
      <c r="S563" s="74"/>
      <c r="T563" s="74"/>
      <c r="U563" s="74"/>
      <c r="V563" s="74"/>
      <c r="W563" s="74"/>
    </row>
    <row r="564">
      <c r="A564" s="74"/>
      <c r="B564" s="74"/>
      <c r="C564" s="74"/>
      <c r="D564" s="74"/>
      <c r="E564" s="74"/>
      <c r="F564" s="74"/>
      <c r="G564" s="74"/>
      <c r="H564" s="74"/>
      <c r="I564" s="74"/>
      <c r="J564" s="74"/>
      <c r="K564" s="74"/>
      <c r="L564" s="74"/>
      <c r="M564" s="74"/>
      <c r="N564" s="74"/>
      <c r="O564" s="74"/>
      <c r="P564" s="74"/>
      <c r="Q564" s="74"/>
      <c r="R564" s="74"/>
      <c r="S564" s="74"/>
      <c r="T564" s="74"/>
      <c r="U564" s="74"/>
      <c r="V564" s="74"/>
      <c r="W564" s="74"/>
    </row>
    <row r="565">
      <c r="A565" s="74"/>
      <c r="B565" s="74"/>
      <c r="C565" s="74"/>
      <c r="D565" s="74"/>
      <c r="E565" s="74"/>
      <c r="F565" s="74"/>
      <c r="G565" s="74"/>
      <c r="H565" s="74"/>
      <c r="I565" s="74"/>
      <c r="J565" s="74"/>
      <c r="K565" s="74"/>
      <c r="L565" s="74"/>
      <c r="M565" s="74"/>
      <c r="N565" s="74"/>
      <c r="O565" s="74"/>
      <c r="P565" s="74"/>
      <c r="Q565" s="74"/>
      <c r="R565" s="74"/>
      <c r="S565" s="74"/>
      <c r="T565" s="74"/>
      <c r="U565" s="74"/>
      <c r="V565" s="74"/>
      <c r="W565" s="74"/>
    </row>
    <row r="566">
      <c r="A566" s="74"/>
      <c r="B566" s="74"/>
      <c r="C566" s="74"/>
      <c r="D566" s="74"/>
      <c r="E566" s="74"/>
      <c r="F566" s="74"/>
      <c r="G566" s="74"/>
      <c r="H566" s="74"/>
      <c r="I566" s="74"/>
      <c r="J566" s="74"/>
      <c r="K566" s="74"/>
      <c r="L566" s="74"/>
      <c r="M566" s="74"/>
      <c r="N566" s="74"/>
      <c r="O566" s="74"/>
      <c r="P566" s="74"/>
      <c r="Q566" s="74"/>
      <c r="R566" s="74"/>
      <c r="S566" s="74"/>
      <c r="T566" s="74"/>
      <c r="U566" s="74"/>
      <c r="V566" s="74"/>
      <c r="W566" s="74"/>
    </row>
    <row r="567">
      <c r="A567" s="74"/>
      <c r="B567" s="74"/>
      <c r="C567" s="74"/>
      <c r="D567" s="74"/>
      <c r="E567" s="74"/>
      <c r="F567" s="74"/>
      <c r="G567" s="74"/>
      <c r="H567" s="74"/>
      <c r="I567" s="74"/>
      <c r="J567" s="74"/>
      <c r="K567" s="74"/>
      <c r="L567" s="74"/>
      <c r="M567" s="74"/>
      <c r="N567" s="74"/>
      <c r="O567" s="74"/>
      <c r="P567" s="74"/>
      <c r="Q567" s="74"/>
      <c r="R567" s="74"/>
      <c r="S567" s="74"/>
      <c r="T567" s="74"/>
      <c r="U567" s="74"/>
      <c r="V567" s="74"/>
      <c r="W567" s="74"/>
    </row>
    <row r="568">
      <c r="A568" s="74"/>
      <c r="B568" s="74"/>
      <c r="C568" s="74"/>
      <c r="D568" s="74"/>
      <c r="E568" s="74"/>
      <c r="F568" s="74"/>
      <c r="G568" s="74"/>
      <c r="H568" s="74"/>
      <c r="I568" s="74"/>
      <c r="J568" s="74"/>
      <c r="K568" s="74"/>
      <c r="L568" s="74"/>
      <c r="M568" s="74"/>
      <c r="N568" s="74"/>
      <c r="O568" s="74"/>
      <c r="P568" s="74"/>
      <c r="Q568" s="74"/>
      <c r="R568" s="74"/>
      <c r="S568" s="74"/>
      <c r="T568" s="74"/>
      <c r="U568" s="74"/>
      <c r="V568" s="74"/>
      <c r="W568" s="74"/>
    </row>
    <row r="569">
      <c r="A569" s="74"/>
      <c r="B569" s="74"/>
      <c r="C569" s="74"/>
      <c r="D569" s="74"/>
      <c r="E569" s="74"/>
      <c r="F569" s="74"/>
      <c r="G569" s="74"/>
      <c r="H569" s="74"/>
      <c r="I569" s="74"/>
      <c r="J569" s="74"/>
      <c r="K569" s="74"/>
      <c r="L569" s="74"/>
      <c r="M569" s="74"/>
      <c r="N569" s="74"/>
      <c r="O569" s="74"/>
      <c r="P569" s="74"/>
      <c r="Q569" s="74"/>
      <c r="R569" s="74"/>
      <c r="S569" s="74"/>
      <c r="T569" s="74"/>
      <c r="U569" s="74"/>
      <c r="V569" s="74"/>
      <c r="W569" s="74"/>
    </row>
    <row r="570">
      <c r="A570" s="74"/>
      <c r="B570" s="74"/>
      <c r="C570" s="74"/>
      <c r="D570" s="74"/>
      <c r="E570" s="74"/>
      <c r="F570" s="74"/>
      <c r="G570" s="74"/>
      <c r="H570" s="74"/>
      <c r="I570" s="74"/>
      <c r="J570" s="74"/>
      <c r="K570" s="74"/>
      <c r="L570" s="74"/>
      <c r="M570" s="74"/>
      <c r="N570" s="74"/>
      <c r="O570" s="74"/>
      <c r="P570" s="74"/>
      <c r="Q570" s="74"/>
      <c r="R570" s="74"/>
      <c r="S570" s="74"/>
      <c r="T570" s="74"/>
      <c r="U570" s="74"/>
      <c r="V570" s="74"/>
      <c r="W570" s="74"/>
    </row>
    <row r="571">
      <c r="A571" s="74"/>
      <c r="B571" s="74"/>
      <c r="C571" s="74"/>
      <c r="D571" s="74"/>
      <c r="E571" s="74"/>
      <c r="F571" s="74"/>
      <c r="G571" s="74"/>
      <c r="H571" s="74"/>
      <c r="I571" s="74"/>
      <c r="J571" s="74"/>
      <c r="K571" s="74"/>
      <c r="L571" s="74"/>
      <c r="M571" s="74"/>
      <c r="N571" s="74"/>
      <c r="O571" s="74"/>
      <c r="P571" s="74"/>
      <c r="Q571" s="74"/>
      <c r="R571" s="74"/>
      <c r="S571" s="74"/>
      <c r="T571" s="74"/>
      <c r="U571" s="74"/>
      <c r="V571" s="74"/>
      <c r="W571" s="74"/>
    </row>
    <row r="572">
      <c r="A572" s="74"/>
      <c r="B572" s="74"/>
      <c r="C572" s="74"/>
      <c r="D572" s="74"/>
      <c r="E572" s="74"/>
      <c r="F572" s="74"/>
      <c r="G572" s="74"/>
      <c r="H572" s="74"/>
      <c r="I572" s="74"/>
      <c r="J572" s="74"/>
      <c r="K572" s="74"/>
      <c r="L572" s="74"/>
      <c r="M572" s="74"/>
      <c r="N572" s="74"/>
      <c r="O572" s="74"/>
      <c r="P572" s="74"/>
      <c r="Q572" s="74"/>
      <c r="R572" s="74"/>
      <c r="S572" s="74"/>
      <c r="T572" s="74"/>
      <c r="U572" s="74"/>
      <c r="V572" s="74"/>
      <c r="W572" s="74"/>
    </row>
    <row r="573">
      <c r="A573" s="74"/>
      <c r="B573" s="74"/>
      <c r="C573" s="74"/>
      <c r="D573" s="74"/>
      <c r="E573" s="74"/>
      <c r="F573" s="74"/>
      <c r="G573" s="74"/>
      <c r="H573" s="74"/>
      <c r="I573" s="74"/>
      <c r="J573" s="74"/>
      <c r="K573" s="74"/>
      <c r="L573" s="74"/>
      <c r="M573" s="74"/>
      <c r="N573" s="74"/>
      <c r="O573" s="74"/>
      <c r="P573" s="74"/>
      <c r="Q573" s="74"/>
      <c r="R573" s="74"/>
      <c r="S573" s="74"/>
      <c r="T573" s="74"/>
      <c r="U573" s="74"/>
      <c r="V573" s="74"/>
      <c r="W573" s="74"/>
    </row>
    <row r="574">
      <c r="A574" s="74"/>
      <c r="B574" s="74"/>
      <c r="C574" s="74"/>
      <c r="D574" s="74"/>
      <c r="E574" s="74"/>
      <c r="F574" s="74"/>
      <c r="G574" s="74"/>
      <c r="H574" s="74"/>
      <c r="I574" s="74"/>
      <c r="J574" s="74"/>
      <c r="K574" s="74"/>
      <c r="L574" s="74"/>
      <c r="M574" s="74"/>
      <c r="N574" s="74"/>
      <c r="O574" s="74"/>
      <c r="P574" s="74"/>
      <c r="Q574" s="74"/>
      <c r="R574" s="74"/>
      <c r="S574" s="74"/>
      <c r="T574" s="74"/>
      <c r="U574" s="74"/>
      <c r="V574" s="74"/>
      <c r="W574" s="74"/>
    </row>
    <row r="575">
      <c r="A575" s="74"/>
      <c r="B575" s="74"/>
      <c r="C575" s="74"/>
      <c r="D575" s="74"/>
      <c r="E575" s="74"/>
      <c r="F575" s="74"/>
      <c r="G575" s="74"/>
      <c r="H575" s="74"/>
      <c r="I575" s="74"/>
      <c r="J575" s="74"/>
      <c r="K575" s="74"/>
      <c r="L575" s="74"/>
      <c r="M575" s="74"/>
      <c r="N575" s="74"/>
      <c r="O575" s="74"/>
      <c r="P575" s="74"/>
      <c r="Q575" s="74"/>
      <c r="R575" s="74"/>
      <c r="S575" s="74"/>
      <c r="T575" s="74"/>
      <c r="U575" s="74"/>
      <c r="V575" s="74"/>
      <c r="W575" s="74"/>
    </row>
    <row r="576">
      <c r="A576" s="74"/>
      <c r="B576" s="74"/>
      <c r="C576" s="74"/>
      <c r="D576" s="74"/>
      <c r="E576" s="74"/>
      <c r="F576" s="74"/>
      <c r="G576" s="74"/>
      <c r="H576" s="74"/>
      <c r="I576" s="74"/>
      <c r="J576" s="74"/>
      <c r="K576" s="74"/>
      <c r="L576" s="74"/>
      <c r="M576" s="74"/>
      <c r="N576" s="74"/>
      <c r="O576" s="74"/>
      <c r="P576" s="74"/>
      <c r="Q576" s="74"/>
      <c r="R576" s="74"/>
      <c r="S576" s="74"/>
      <c r="T576" s="74"/>
      <c r="U576" s="74"/>
      <c r="V576" s="74"/>
      <c r="W576" s="74"/>
    </row>
    <row r="577">
      <c r="A577" s="74"/>
      <c r="B577" s="74"/>
      <c r="C577" s="74"/>
      <c r="D577" s="74"/>
      <c r="E577" s="74"/>
      <c r="F577" s="74"/>
      <c r="G577" s="74"/>
      <c r="H577" s="74"/>
      <c r="I577" s="74"/>
      <c r="J577" s="74"/>
      <c r="K577" s="74"/>
      <c r="L577" s="74"/>
      <c r="M577" s="74"/>
      <c r="N577" s="74"/>
      <c r="O577" s="74"/>
      <c r="P577" s="74"/>
      <c r="Q577" s="74"/>
      <c r="R577" s="74"/>
      <c r="S577" s="74"/>
      <c r="T577" s="74"/>
      <c r="U577" s="74"/>
      <c r="V577" s="74"/>
      <c r="W577" s="74"/>
    </row>
    <row r="578">
      <c r="A578" s="74"/>
      <c r="B578" s="74"/>
      <c r="C578" s="74"/>
      <c r="D578" s="74"/>
      <c r="E578" s="74"/>
      <c r="F578" s="74"/>
      <c r="G578" s="74"/>
      <c r="H578" s="74"/>
      <c r="I578" s="74"/>
      <c r="J578" s="74"/>
      <c r="K578" s="74"/>
      <c r="L578" s="74"/>
      <c r="M578" s="74"/>
      <c r="N578" s="74"/>
      <c r="O578" s="74"/>
      <c r="P578" s="74"/>
      <c r="Q578" s="74"/>
      <c r="R578" s="74"/>
      <c r="S578" s="74"/>
      <c r="T578" s="74"/>
      <c r="U578" s="74"/>
      <c r="V578" s="74"/>
      <c r="W578" s="74"/>
    </row>
    <row r="579">
      <c r="A579" s="74"/>
      <c r="B579" s="74"/>
      <c r="C579" s="74"/>
      <c r="D579" s="74"/>
      <c r="E579" s="74"/>
      <c r="F579" s="74"/>
      <c r="G579" s="74"/>
      <c r="H579" s="74"/>
      <c r="I579" s="74"/>
      <c r="J579" s="74"/>
      <c r="K579" s="74"/>
      <c r="L579" s="74"/>
      <c r="M579" s="74"/>
      <c r="N579" s="74"/>
      <c r="O579" s="74"/>
      <c r="P579" s="74"/>
      <c r="Q579" s="74"/>
      <c r="R579" s="74"/>
      <c r="S579" s="74"/>
      <c r="T579" s="74"/>
      <c r="U579" s="74"/>
      <c r="V579" s="74"/>
      <c r="W579" s="74"/>
    </row>
    <row r="580">
      <c r="A580" s="74"/>
      <c r="B580" s="74"/>
      <c r="C580" s="74"/>
      <c r="D580" s="74"/>
      <c r="E580" s="74"/>
      <c r="F580" s="74"/>
      <c r="G580" s="74"/>
      <c r="H580" s="74"/>
      <c r="I580" s="74"/>
      <c r="J580" s="74"/>
      <c r="K580" s="74"/>
      <c r="L580" s="74"/>
      <c r="M580" s="74"/>
      <c r="N580" s="74"/>
      <c r="O580" s="74"/>
      <c r="P580" s="74"/>
      <c r="Q580" s="74"/>
      <c r="R580" s="74"/>
      <c r="S580" s="74"/>
      <c r="T580" s="74"/>
      <c r="U580" s="74"/>
      <c r="V580" s="74"/>
      <c r="W580" s="74"/>
    </row>
    <row r="581">
      <c r="A581" s="74"/>
      <c r="B581" s="74"/>
      <c r="C581" s="74"/>
      <c r="D581" s="74"/>
      <c r="E581" s="74"/>
      <c r="F581" s="74"/>
      <c r="G581" s="74"/>
      <c r="H581" s="74"/>
      <c r="I581" s="74"/>
      <c r="J581" s="74"/>
      <c r="K581" s="74"/>
      <c r="L581" s="74"/>
      <c r="M581" s="74"/>
      <c r="N581" s="74"/>
      <c r="O581" s="74"/>
      <c r="P581" s="74"/>
      <c r="Q581" s="74"/>
      <c r="R581" s="74"/>
      <c r="S581" s="74"/>
      <c r="T581" s="74"/>
      <c r="U581" s="74"/>
      <c r="V581" s="74"/>
      <c r="W581" s="74"/>
    </row>
    <row r="582">
      <c r="A582" s="74"/>
      <c r="B582" s="74"/>
      <c r="C582" s="74"/>
      <c r="D582" s="74"/>
      <c r="E582" s="74"/>
      <c r="F582" s="74"/>
      <c r="G582" s="74"/>
      <c r="H582" s="74"/>
      <c r="I582" s="74"/>
      <c r="J582" s="74"/>
      <c r="K582" s="74"/>
      <c r="L582" s="74"/>
      <c r="M582" s="74"/>
      <c r="N582" s="74"/>
      <c r="O582" s="74"/>
      <c r="P582" s="74"/>
      <c r="Q582" s="74"/>
      <c r="R582" s="74"/>
      <c r="S582" s="74"/>
      <c r="T582" s="74"/>
      <c r="U582" s="74"/>
      <c r="V582" s="74"/>
      <c r="W582" s="74"/>
    </row>
    <row r="583">
      <c r="A583" s="74"/>
      <c r="B583" s="74"/>
      <c r="C583" s="74"/>
      <c r="D583" s="74"/>
      <c r="E583" s="74"/>
      <c r="F583" s="74"/>
      <c r="G583" s="74"/>
      <c r="H583" s="74"/>
      <c r="I583" s="74"/>
      <c r="J583" s="74"/>
      <c r="K583" s="74"/>
      <c r="L583" s="74"/>
      <c r="M583" s="74"/>
      <c r="N583" s="74"/>
      <c r="O583" s="74"/>
      <c r="P583" s="74"/>
      <c r="Q583" s="74"/>
      <c r="R583" s="74"/>
      <c r="S583" s="74"/>
      <c r="T583" s="74"/>
      <c r="U583" s="74"/>
      <c r="V583" s="74"/>
      <c r="W583" s="74"/>
    </row>
    <row r="584">
      <c r="A584" s="74"/>
      <c r="B584" s="74"/>
      <c r="C584" s="74"/>
      <c r="D584" s="74"/>
      <c r="E584" s="74"/>
      <c r="F584" s="74"/>
      <c r="G584" s="74"/>
      <c r="H584" s="74"/>
      <c r="I584" s="74"/>
      <c r="J584" s="74"/>
      <c r="K584" s="74"/>
      <c r="L584" s="74"/>
      <c r="M584" s="74"/>
      <c r="N584" s="74"/>
      <c r="O584" s="74"/>
      <c r="P584" s="74"/>
      <c r="Q584" s="74"/>
      <c r="R584" s="74"/>
      <c r="S584" s="74"/>
      <c r="T584" s="74"/>
      <c r="U584" s="74"/>
      <c r="V584" s="74"/>
      <c r="W584" s="74"/>
    </row>
    <row r="585">
      <c r="A585" s="74"/>
      <c r="B585" s="74"/>
      <c r="C585" s="74"/>
      <c r="D585" s="74"/>
      <c r="E585" s="74"/>
      <c r="F585" s="74"/>
      <c r="G585" s="74"/>
      <c r="H585" s="74"/>
      <c r="I585" s="74"/>
      <c r="J585" s="74"/>
      <c r="K585" s="74"/>
      <c r="L585" s="74"/>
      <c r="M585" s="74"/>
      <c r="N585" s="74"/>
      <c r="O585" s="74"/>
      <c r="P585" s="74"/>
      <c r="Q585" s="74"/>
      <c r="R585" s="74"/>
      <c r="S585" s="74"/>
      <c r="T585" s="74"/>
      <c r="U585" s="74"/>
      <c r="V585" s="74"/>
      <c r="W585" s="74"/>
    </row>
    <row r="586">
      <c r="A586" s="74"/>
      <c r="B586" s="74"/>
      <c r="C586" s="74"/>
      <c r="D586" s="74"/>
      <c r="E586" s="74"/>
      <c r="F586" s="74"/>
      <c r="G586" s="74"/>
      <c r="H586" s="74"/>
      <c r="I586" s="74"/>
      <c r="J586" s="74"/>
      <c r="K586" s="74"/>
      <c r="L586" s="74"/>
      <c r="M586" s="74"/>
      <c r="N586" s="74"/>
      <c r="O586" s="74"/>
      <c r="P586" s="74"/>
      <c r="Q586" s="74"/>
      <c r="R586" s="74"/>
      <c r="S586" s="74"/>
      <c r="T586" s="74"/>
      <c r="U586" s="74"/>
      <c r="V586" s="74"/>
      <c r="W586" s="74"/>
    </row>
    <row r="587">
      <c r="A587" s="74"/>
      <c r="B587" s="74"/>
      <c r="C587" s="74"/>
      <c r="D587" s="74"/>
      <c r="E587" s="74"/>
      <c r="F587" s="74"/>
      <c r="G587" s="74"/>
      <c r="H587" s="74"/>
      <c r="I587" s="74"/>
      <c r="J587" s="74"/>
      <c r="K587" s="74"/>
      <c r="L587" s="74"/>
      <c r="M587" s="74"/>
      <c r="N587" s="74"/>
      <c r="O587" s="74"/>
      <c r="P587" s="74"/>
      <c r="Q587" s="74"/>
      <c r="R587" s="74"/>
      <c r="S587" s="74"/>
      <c r="T587" s="74"/>
      <c r="U587" s="74"/>
      <c r="V587" s="74"/>
      <c r="W587" s="74"/>
    </row>
    <row r="588">
      <c r="A588" s="74"/>
      <c r="B588" s="74"/>
      <c r="C588" s="74"/>
      <c r="D588" s="74"/>
      <c r="E588" s="74"/>
      <c r="F588" s="74"/>
      <c r="G588" s="74"/>
      <c r="H588" s="74"/>
      <c r="I588" s="74"/>
      <c r="J588" s="74"/>
      <c r="K588" s="74"/>
      <c r="L588" s="74"/>
      <c r="M588" s="74"/>
      <c r="N588" s="74"/>
      <c r="O588" s="74"/>
      <c r="P588" s="74"/>
      <c r="Q588" s="74"/>
      <c r="R588" s="74"/>
      <c r="S588" s="74"/>
      <c r="T588" s="74"/>
      <c r="U588" s="74"/>
      <c r="V588" s="74"/>
      <c r="W588" s="74"/>
    </row>
    <row r="589">
      <c r="A589" s="74"/>
      <c r="B589" s="74"/>
      <c r="C589" s="74"/>
      <c r="D589" s="74"/>
      <c r="E589" s="74"/>
      <c r="F589" s="74"/>
      <c r="G589" s="74"/>
      <c r="H589" s="74"/>
      <c r="I589" s="74"/>
      <c r="J589" s="74"/>
      <c r="K589" s="74"/>
      <c r="L589" s="74"/>
      <c r="M589" s="74"/>
      <c r="N589" s="74"/>
      <c r="O589" s="74"/>
      <c r="P589" s="74"/>
      <c r="Q589" s="74"/>
      <c r="R589" s="74"/>
      <c r="S589" s="74"/>
      <c r="T589" s="74"/>
      <c r="U589" s="74"/>
      <c r="V589" s="74"/>
      <c r="W589" s="74"/>
    </row>
    <row r="590">
      <c r="A590" s="74"/>
      <c r="B590" s="74"/>
      <c r="C590" s="74"/>
      <c r="D590" s="74"/>
      <c r="E590" s="74"/>
      <c r="F590" s="74"/>
      <c r="G590" s="74"/>
      <c r="H590" s="74"/>
      <c r="I590" s="74"/>
      <c r="J590" s="74"/>
      <c r="K590" s="74"/>
      <c r="L590" s="74"/>
      <c r="M590" s="74"/>
      <c r="N590" s="74"/>
      <c r="O590" s="74"/>
      <c r="P590" s="74"/>
      <c r="Q590" s="74"/>
      <c r="R590" s="74"/>
      <c r="S590" s="74"/>
      <c r="T590" s="74"/>
      <c r="U590" s="74"/>
      <c r="V590" s="74"/>
      <c r="W590" s="74"/>
    </row>
    <row r="591">
      <c r="A591" s="74"/>
      <c r="B591" s="74"/>
      <c r="C591" s="74"/>
      <c r="D591" s="74"/>
      <c r="E591" s="74"/>
      <c r="F591" s="74"/>
      <c r="G591" s="74"/>
      <c r="H591" s="74"/>
      <c r="I591" s="74"/>
      <c r="J591" s="74"/>
      <c r="K591" s="74"/>
      <c r="L591" s="74"/>
      <c r="M591" s="74"/>
      <c r="N591" s="74"/>
      <c r="O591" s="74"/>
      <c r="P591" s="74"/>
      <c r="Q591" s="74"/>
      <c r="R591" s="74"/>
      <c r="S591" s="74"/>
      <c r="T591" s="74"/>
      <c r="U591" s="74"/>
      <c r="V591" s="74"/>
      <c r="W591" s="74"/>
    </row>
    <row r="592">
      <c r="A592" s="74"/>
      <c r="B592" s="74"/>
      <c r="C592" s="74"/>
      <c r="D592" s="74"/>
      <c r="E592" s="74"/>
      <c r="F592" s="74"/>
      <c r="G592" s="74"/>
      <c r="H592" s="74"/>
      <c r="I592" s="74"/>
      <c r="J592" s="74"/>
      <c r="K592" s="74"/>
      <c r="L592" s="74"/>
      <c r="M592" s="74"/>
      <c r="N592" s="74"/>
      <c r="O592" s="74"/>
      <c r="P592" s="74"/>
      <c r="Q592" s="74"/>
      <c r="R592" s="74"/>
      <c r="S592" s="74"/>
      <c r="T592" s="74"/>
      <c r="U592" s="74"/>
      <c r="V592" s="74"/>
      <c r="W592" s="74"/>
    </row>
    <row r="593">
      <c r="A593" s="74"/>
      <c r="B593" s="74"/>
      <c r="C593" s="74"/>
      <c r="D593" s="74"/>
      <c r="E593" s="74"/>
      <c r="F593" s="74"/>
      <c r="G593" s="74"/>
      <c r="H593" s="74"/>
      <c r="I593" s="74"/>
      <c r="J593" s="74"/>
      <c r="K593" s="74"/>
      <c r="L593" s="74"/>
      <c r="M593" s="74"/>
      <c r="N593" s="74"/>
      <c r="O593" s="74"/>
      <c r="P593" s="74"/>
      <c r="Q593" s="74"/>
      <c r="R593" s="74"/>
      <c r="S593" s="74"/>
      <c r="T593" s="74"/>
      <c r="U593" s="74"/>
      <c r="V593" s="74"/>
      <c r="W593" s="74"/>
    </row>
    <row r="594">
      <c r="A594" s="74"/>
      <c r="B594" s="74"/>
      <c r="C594" s="74"/>
      <c r="D594" s="74"/>
      <c r="E594" s="74"/>
      <c r="F594" s="74"/>
      <c r="G594" s="74"/>
      <c r="H594" s="74"/>
      <c r="I594" s="74"/>
      <c r="J594" s="74"/>
      <c r="K594" s="74"/>
      <c r="L594" s="74"/>
      <c r="M594" s="74"/>
      <c r="N594" s="74"/>
      <c r="O594" s="74"/>
      <c r="P594" s="74"/>
      <c r="Q594" s="74"/>
      <c r="R594" s="74"/>
      <c r="S594" s="74"/>
      <c r="T594" s="74"/>
      <c r="U594" s="74"/>
      <c r="V594" s="74"/>
      <c r="W594" s="74"/>
    </row>
    <row r="595">
      <c r="A595" s="74"/>
      <c r="B595" s="74"/>
      <c r="C595" s="74"/>
      <c r="D595" s="74"/>
      <c r="E595" s="74"/>
      <c r="F595" s="74"/>
      <c r="G595" s="74"/>
      <c r="H595" s="74"/>
      <c r="I595" s="74"/>
      <c r="J595" s="74"/>
      <c r="K595" s="74"/>
      <c r="L595" s="74"/>
      <c r="M595" s="74"/>
      <c r="N595" s="74"/>
      <c r="O595" s="74"/>
      <c r="P595" s="74"/>
      <c r="Q595" s="74"/>
      <c r="R595" s="74"/>
      <c r="S595" s="74"/>
      <c r="T595" s="74"/>
      <c r="U595" s="74"/>
      <c r="V595" s="74"/>
      <c r="W595" s="74"/>
    </row>
    <row r="596">
      <c r="A596" s="74"/>
      <c r="B596" s="74"/>
      <c r="C596" s="74"/>
      <c r="D596" s="74"/>
      <c r="E596" s="74"/>
      <c r="F596" s="74"/>
      <c r="G596" s="74"/>
      <c r="H596" s="74"/>
      <c r="I596" s="74"/>
      <c r="J596" s="74"/>
      <c r="K596" s="74"/>
      <c r="L596" s="74"/>
      <c r="M596" s="74"/>
      <c r="N596" s="74"/>
      <c r="O596" s="74"/>
      <c r="P596" s="74"/>
      <c r="Q596" s="74"/>
      <c r="R596" s="74"/>
      <c r="S596" s="74"/>
      <c r="T596" s="74"/>
      <c r="U596" s="74"/>
      <c r="V596" s="74"/>
      <c r="W596" s="74"/>
    </row>
    <row r="597">
      <c r="A597" s="74"/>
      <c r="B597" s="74"/>
      <c r="C597" s="74"/>
      <c r="D597" s="74"/>
      <c r="E597" s="74"/>
      <c r="F597" s="74"/>
      <c r="G597" s="74"/>
      <c r="H597" s="74"/>
      <c r="I597" s="74"/>
      <c r="J597" s="74"/>
      <c r="K597" s="74"/>
      <c r="L597" s="74"/>
      <c r="M597" s="74"/>
      <c r="N597" s="74"/>
      <c r="O597" s="74"/>
      <c r="P597" s="74"/>
      <c r="Q597" s="74"/>
      <c r="R597" s="74"/>
      <c r="S597" s="74"/>
      <c r="T597" s="74"/>
      <c r="U597" s="74"/>
      <c r="V597" s="74"/>
      <c r="W597" s="74"/>
    </row>
    <row r="598">
      <c r="A598" s="74"/>
      <c r="B598" s="74"/>
      <c r="C598" s="74"/>
      <c r="D598" s="74"/>
      <c r="E598" s="74"/>
      <c r="F598" s="74"/>
      <c r="G598" s="74"/>
      <c r="H598" s="74"/>
      <c r="I598" s="74"/>
      <c r="J598" s="74"/>
      <c r="K598" s="74"/>
      <c r="L598" s="74"/>
      <c r="M598" s="74"/>
      <c r="N598" s="74"/>
      <c r="O598" s="74"/>
      <c r="P598" s="74"/>
      <c r="Q598" s="74"/>
      <c r="R598" s="74"/>
      <c r="S598" s="74"/>
      <c r="T598" s="74"/>
      <c r="U598" s="74"/>
      <c r="V598" s="74"/>
      <c r="W598" s="74"/>
    </row>
    <row r="599">
      <c r="A599" s="74"/>
      <c r="B599" s="74"/>
      <c r="C599" s="74"/>
      <c r="D599" s="74"/>
      <c r="E599" s="74"/>
      <c r="F599" s="74"/>
      <c r="G599" s="74"/>
      <c r="H599" s="74"/>
      <c r="I599" s="74"/>
      <c r="J599" s="74"/>
      <c r="K599" s="74"/>
      <c r="L599" s="74"/>
      <c r="M599" s="74"/>
      <c r="N599" s="74"/>
      <c r="O599" s="74"/>
      <c r="P599" s="74"/>
      <c r="Q599" s="74"/>
      <c r="R599" s="74"/>
      <c r="S599" s="74"/>
      <c r="T599" s="74"/>
      <c r="U599" s="74"/>
      <c r="V599" s="74"/>
      <c r="W599" s="74"/>
    </row>
    <row r="600">
      <c r="A600" s="74"/>
      <c r="B600" s="74"/>
      <c r="C600" s="74"/>
      <c r="D600" s="74"/>
      <c r="E600" s="74"/>
      <c r="F600" s="74"/>
      <c r="G600" s="74"/>
      <c r="H600" s="74"/>
      <c r="I600" s="74"/>
      <c r="J600" s="74"/>
      <c r="K600" s="74"/>
      <c r="L600" s="74"/>
      <c r="M600" s="74"/>
      <c r="N600" s="74"/>
      <c r="O600" s="74"/>
      <c r="P600" s="74"/>
      <c r="Q600" s="74"/>
      <c r="R600" s="74"/>
      <c r="S600" s="74"/>
      <c r="T600" s="74"/>
      <c r="U600" s="74"/>
      <c r="V600" s="74"/>
      <c r="W600" s="74"/>
    </row>
    <row r="601">
      <c r="A601" s="74"/>
      <c r="B601" s="74"/>
      <c r="C601" s="74"/>
      <c r="D601" s="74"/>
      <c r="E601" s="74"/>
      <c r="F601" s="74"/>
      <c r="G601" s="74"/>
      <c r="H601" s="74"/>
      <c r="I601" s="74"/>
      <c r="J601" s="74"/>
      <c r="K601" s="74"/>
      <c r="L601" s="74"/>
      <c r="M601" s="74"/>
      <c r="N601" s="74"/>
      <c r="O601" s="74"/>
      <c r="P601" s="74"/>
      <c r="Q601" s="74"/>
      <c r="R601" s="74"/>
      <c r="S601" s="74"/>
      <c r="T601" s="74"/>
      <c r="U601" s="74"/>
      <c r="V601" s="74"/>
      <c r="W601" s="74"/>
    </row>
    <row r="602">
      <c r="A602" s="74"/>
      <c r="B602" s="74"/>
      <c r="C602" s="74"/>
      <c r="D602" s="74"/>
      <c r="E602" s="74"/>
      <c r="F602" s="74"/>
      <c r="G602" s="74"/>
      <c r="H602" s="74"/>
      <c r="I602" s="74"/>
      <c r="J602" s="74"/>
      <c r="K602" s="74"/>
      <c r="L602" s="74"/>
      <c r="M602" s="74"/>
      <c r="N602" s="74"/>
      <c r="O602" s="74"/>
      <c r="P602" s="74"/>
      <c r="Q602" s="74"/>
      <c r="R602" s="74"/>
      <c r="S602" s="74"/>
      <c r="T602" s="74"/>
      <c r="U602" s="74"/>
      <c r="V602" s="74"/>
      <c r="W602" s="74"/>
    </row>
    <row r="603">
      <c r="A603" s="74"/>
      <c r="B603" s="74"/>
      <c r="C603" s="74"/>
      <c r="D603" s="74"/>
      <c r="E603" s="74"/>
      <c r="F603" s="74"/>
      <c r="G603" s="74"/>
      <c r="H603" s="74"/>
      <c r="I603" s="74"/>
      <c r="J603" s="74"/>
      <c r="K603" s="74"/>
      <c r="L603" s="74"/>
      <c r="M603" s="74"/>
      <c r="N603" s="74"/>
      <c r="O603" s="74"/>
      <c r="P603" s="74"/>
      <c r="Q603" s="74"/>
      <c r="R603" s="74"/>
      <c r="S603" s="74"/>
      <c r="T603" s="74"/>
      <c r="U603" s="74"/>
      <c r="V603" s="74"/>
      <c r="W603" s="74"/>
    </row>
    <row r="604">
      <c r="A604" s="74"/>
      <c r="B604" s="74"/>
      <c r="C604" s="74"/>
      <c r="D604" s="74"/>
      <c r="E604" s="74"/>
      <c r="F604" s="74"/>
      <c r="G604" s="74"/>
      <c r="H604" s="74"/>
      <c r="I604" s="74"/>
      <c r="J604" s="74"/>
      <c r="K604" s="74"/>
      <c r="L604" s="74"/>
      <c r="M604" s="74"/>
      <c r="N604" s="74"/>
      <c r="O604" s="74"/>
      <c r="P604" s="74"/>
      <c r="Q604" s="74"/>
      <c r="R604" s="74"/>
      <c r="S604" s="74"/>
      <c r="T604" s="74"/>
      <c r="U604" s="74"/>
      <c r="V604" s="74"/>
      <c r="W604" s="74"/>
    </row>
    <row r="605">
      <c r="A605" s="74"/>
      <c r="B605" s="74"/>
      <c r="C605" s="74"/>
      <c r="D605" s="74"/>
      <c r="E605" s="74"/>
      <c r="F605" s="74"/>
      <c r="G605" s="74"/>
      <c r="H605" s="74"/>
      <c r="I605" s="74"/>
      <c r="J605" s="74"/>
      <c r="K605" s="74"/>
      <c r="L605" s="74"/>
      <c r="M605" s="74"/>
      <c r="N605" s="74"/>
      <c r="O605" s="74"/>
      <c r="P605" s="74"/>
      <c r="Q605" s="74"/>
      <c r="R605" s="74"/>
      <c r="S605" s="74"/>
      <c r="T605" s="74"/>
      <c r="U605" s="74"/>
      <c r="V605" s="74"/>
      <c r="W605" s="74"/>
    </row>
    <row r="606">
      <c r="A606" s="74"/>
      <c r="B606" s="74"/>
      <c r="C606" s="74"/>
      <c r="D606" s="74"/>
      <c r="E606" s="74"/>
      <c r="F606" s="74"/>
      <c r="G606" s="74"/>
      <c r="H606" s="74"/>
      <c r="I606" s="74"/>
      <c r="J606" s="74"/>
      <c r="K606" s="74"/>
      <c r="L606" s="74"/>
      <c r="M606" s="74"/>
      <c r="N606" s="74"/>
      <c r="O606" s="74"/>
      <c r="P606" s="74"/>
      <c r="Q606" s="74"/>
      <c r="R606" s="74"/>
      <c r="S606" s="74"/>
      <c r="T606" s="74"/>
      <c r="U606" s="74"/>
      <c r="V606" s="74"/>
      <c r="W606" s="74"/>
    </row>
    <row r="607">
      <c r="A607" s="74"/>
      <c r="B607" s="74"/>
      <c r="C607" s="74"/>
      <c r="D607" s="74"/>
      <c r="E607" s="74"/>
      <c r="F607" s="74"/>
      <c r="G607" s="74"/>
      <c r="H607" s="74"/>
      <c r="I607" s="74"/>
      <c r="J607" s="74"/>
      <c r="K607" s="74"/>
      <c r="L607" s="74"/>
      <c r="M607" s="74"/>
      <c r="N607" s="74"/>
      <c r="O607" s="74"/>
      <c r="P607" s="74"/>
      <c r="Q607" s="74"/>
      <c r="R607" s="74"/>
      <c r="S607" s="74"/>
      <c r="T607" s="74"/>
      <c r="U607" s="74"/>
      <c r="V607" s="74"/>
      <c r="W607" s="74"/>
    </row>
    <row r="608">
      <c r="A608" s="74"/>
      <c r="B608" s="74"/>
      <c r="C608" s="74"/>
      <c r="D608" s="74"/>
      <c r="E608" s="74"/>
      <c r="F608" s="74"/>
      <c r="G608" s="74"/>
      <c r="H608" s="74"/>
      <c r="I608" s="74"/>
      <c r="J608" s="74"/>
      <c r="K608" s="74"/>
      <c r="L608" s="74"/>
      <c r="M608" s="74"/>
      <c r="N608" s="74"/>
      <c r="O608" s="74"/>
      <c r="P608" s="74"/>
      <c r="Q608" s="74"/>
      <c r="R608" s="74"/>
      <c r="S608" s="74"/>
      <c r="T608" s="74"/>
      <c r="U608" s="74"/>
      <c r="V608" s="74"/>
      <c r="W608" s="74"/>
    </row>
    <row r="609">
      <c r="A609" s="74"/>
      <c r="B609" s="74"/>
      <c r="C609" s="74"/>
      <c r="D609" s="74"/>
      <c r="E609" s="74"/>
      <c r="F609" s="74"/>
      <c r="G609" s="74"/>
      <c r="H609" s="74"/>
      <c r="I609" s="74"/>
      <c r="J609" s="74"/>
      <c r="K609" s="74"/>
      <c r="L609" s="74"/>
      <c r="M609" s="74"/>
      <c r="N609" s="74"/>
      <c r="O609" s="74"/>
      <c r="P609" s="74"/>
      <c r="Q609" s="74"/>
      <c r="R609" s="74"/>
      <c r="S609" s="74"/>
      <c r="T609" s="74"/>
      <c r="U609" s="74"/>
      <c r="V609" s="74"/>
      <c r="W609" s="74"/>
    </row>
    <row r="610">
      <c r="A610" s="74"/>
      <c r="B610" s="74"/>
      <c r="C610" s="74"/>
      <c r="D610" s="74"/>
      <c r="E610" s="74"/>
      <c r="F610" s="74"/>
      <c r="G610" s="74"/>
      <c r="H610" s="74"/>
      <c r="I610" s="74"/>
      <c r="J610" s="74"/>
      <c r="K610" s="74"/>
      <c r="L610" s="74"/>
      <c r="M610" s="74"/>
      <c r="N610" s="74"/>
      <c r="O610" s="74"/>
      <c r="P610" s="74"/>
      <c r="Q610" s="74"/>
      <c r="R610" s="74"/>
      <c r="S610" s="74"/>
      <c r="T610" s="74"/>
      <c r="U610" s="74"/>
      <c r="V610" s="74"/>
      <c r="W610" s="74"/>
    </row>
    <row r="611">
      <c r="A611" s="74"/>
      <c r="B611" s="74"/>
      <c r="C611" s="74"/>
      <c r="D611" s="74"/>
      <c r="E611" s="74"/>
      <c r="F611" s="74"/>
      <c r="G611" s="74"/>
      <c r="H611" s="74"/>
      <c r="I611" s="74"/>
      <c r="J611" s="74"/>
      <c r="K611" s="74"/>
      <c r="L611" s="74"/>
      <c r="M611" s="74"/>
      <c r="N611" s="74"/>
      <c r="O611" s="74"/>
      <c r="P611" s="74"/>
      <c r="Q611" s="74"/>
      <c r="R611" s="74"/>
      <c r="S611" s="74"/>
      <c r="T611" s="74"/>
      <c r="U611" s="74"/>
      <c r="V611" s="74"/>
      <c r="W611" s="74"/>
    </row>
    <row r="612">
      <c r="A612" s="74"/>
      <c r="B612" s="74"/>
      <c r="C612" s="74"/>
      <c r="D612" s="74"/>
      <c r="E612" s="74"/>
      <c r="F612" s="74"/>
      <c r="G612" s="74"/>
      <c r="H612" s="74"/>
      <c r="I612" s="74"/>
      <c r="J612" s="74"/>
      <c r="K612" s="74"/>
      <c r="L612" s="74"/>
      <c r="M612" s="74"/>
      <c r="N612" s="74"/>
      <c r="O612" s="74"/>
      <c r="P612" s="74"/>
      <c r="Q612" s="74"/>
      <c r="R612" s="74"/>
      <c r="S612" s="74"/>
      <c r="T612" s="74"/>
      <c r="U612" s="74"/>
      <c r="V612" s="74"/>
      <c r="W612" s="74"/>
    </row>
    <row r="613">
      <c r="A613" s="74"/>
      <c r="B613" s="74"/>
      <c r="C613" s="74"/>
      <c r="D613" s="74"/>
      <c r="E613" s="74"/>
      <c r="F613" s="74"/>
      <c r="G613" s="74"/>
      <c r="H613" s="74"/>
      <c r="I613" s="74"/>
      <c r="J613" s="74"/>
      <c r="K613" s="74"/>
      <c r="L613" s="74"/>
      <c r="M613" s="74"/>
      <c r="N613" s="74"/>
      <c r="O613" s="74"/>
      <c r="P613" s="74"/>
      <c r="Q613" s="74"/>
      <c r="R613" s="74"/>
      <c r="S613" s="74"/>
      <c r="T613" s="74"/>
      <c r="U613" s="74"/>
      <c r="V613" s="74"/>
      <c r="W613" s="74"/>
    </row>
    <row r="614">
      <c r="A614" s="74"/>
      <c r="B614" s="74"/>
      <c r="C614" s="74"/>
      <c r="D614" s="74"/>
      <c r="E614" s="74"/>
      <c r="F614" s="74"/>
      <c r="G614" s="74"/>
      <c r="H614" s="74"/>
      <c r="I614" s="74"/>
      <c r="J614" s="74"/>
      <c r="K614" s="74"/>
      <c r="L614" s="74"/>
      <c r="M614" s="74"/>
      <c r="N614" s="74"/>
      <c r="O614" s="74"/>
      <c r="P614" s="74"/>
      <c r="Q614" s="74"/>
      <c r="R614" s="74"/>
      <c r="S614" s="74"/>
      <c r="T614" s="74"/>
      <c r="U614" s="74"/>
      <c r="V614" s="74"/>
      <c r="W614" s="74"/>
    </row>
    <row r="615">
      <c r="A615" s="74"/>
      <c r="B615" s="74"/>
      <c r="C615" s="74"/>
      <c r="D615" s="74"/>
      <c r="E615" s="74"/>
      <c r="F615" s="74"/>
      <c r="G615" s="74"/>
      <c r="H615" s="74"/>
      <c r="I615" s="74"/>
      <c r="J615" s="74"/>
      <c r="K615" s="74"/>
      <c r="L615" s="74"/>
      <c r="M615" s="74"/>
      <c r="N615" s="74"/>
      <c r="O615" s="74"/>
      <c r="P615" s="74"/>
      <c r="Q615" s="74"/>
      <c r="R615" s="74"/>
      <c r="S615" s="74"/>
      <c r="T615" s="74"/>
      <c r="U615" s="74"/>
      <c r="V615" s="74"/>
      <c r="W615" s="74"/>
    </row>
    <row r="616">
      <c r="A616" s="74"/>
      <c r="B616" s="74"/>
      <c r="C616" s="74"/>
      <c r="D616" s="74"/>
      <c r="E616" s="74"/>
      <c r="F616" s="74"/>
      <c r="G616" s="74"/>
      <c r="H616" s="74"/>
      <c r="I616" s="74"/>
      <c r="J616" s="74"/>
      <c r="K616" s="74"/>
      <c r="L616" s="74"/>
      <c r="M616" s="74"/>
      <c r="N616" s="74"/>
      <c r="O616" s="74"/>
      <c r="P616" s="74"/>
      <c r="Q616" s="74"/>
      <c r="R616" s="74"/>
      <c r="S616" s="74"/>
      <c r="T616" s="74"/>
      <c r="U616" s="74"/>
      <c r="V616" s="74"/>
      <c r="W616" s="74"/>
    </row>
    <row r="617">
      <c r="A617" s="74"/>
      <c r="B617" s="74"/>
      <c r="C617" s="74"/>
      <c r="D617" s="74"/>
      <c r="E617" s="74"/>
      <c r="F617" s="74"/>
      <c r="G617" s="74"/>
      <c r="H617" s="74"/>
      <c r="I617" s="74"/>
      <c r="J617" s="74"/>
      <c r="K617" s="74"/>
      <c r="L617" s="74"/>
      <c r="M617" s="74"/>
      <c r="N617" s="74"/>
      <c r="O617" s="74"/>
      <c r="P617" s="74"/>
      <c r="Q617" s="74"/>
      <c r="R617" s="74"/>
      <c r="S617" s="74"/>
      <c r="T617" s="74"/>
      <c r="U617" s="74"/>
      <c r="V617" s="74"/>
      <c r="W617" s="74"/>
    </row>
    <row r="618">
      <c r="A618" s="74"/>
      <c r="B618" s="74"/>
      <c r="C618" s="74"/>
      <c r="D618" s="74"/>
      <c r="E618" s="74"/>
      <c r="F618" s="74"/>
      <c r="G618" s="74"/>
      <c r="H618" s="74"/>
      <c r="I618" s="74"/>
      <c r="J618" s="74"/>
      <c r="K618" s="74"/>
      <c r="L618" s="74"/>
      <c r="M618" s="74"/>
      <c r="N618" s="74"/>
      <c r="O618" s="74"/>
      <c r="P618" s="74"/>
      <c r="Q618" s="74"/>
      <c r="R618" s="74"/>
      <c r="S618" s="74"/>
      <c r="T618" s="74"/>
      <c r="U618" s="74"/>
      <c r="V618" s="74"/>
      <c r="W618" s="74"/>
    </row>
    <row r="619">
      <c r="A619" s="74"/>
      <c r="B619" s="74"/>
      <c r="C619" s="74"/>
      <c r="D619" s="74"/>
      <c r="E619" s="74"/>
      <c r="F619" s="74"/>
      <c r="G619" s="74"/>
      <c r="H619" s="74"/>
      <c r="I619" s="74"/>
      <c r="J619" s="74"/>
      <c r="K619" s="74"/>
      <c r="L619" s="74"/>
      <c r="M619" s="74"/>
      <c r="N619" s="74"/>
      <c r="O619" s="74"/>
      <c r="P619" s="74"/>
      <c r="Q619" s="74"/>
      <c r="R619" s="74"/>
      <c r="S619" s="74"/>
      <c r="T619" s="74"/>
      <c r="U619" s="74"/>
      <c r="V619" s="74"/>
      <c r="W619" s="74"/>
    </row>
    <row r="620">
      <c r="A620" s="74"/>
      <c r="B620" s="74"/>
      <c r="C620" s="74"/>
      <c r="D620" s="74"/>
      <c r="E620" s="74"/>
      <c r="F620" s="74"/>
      <c r="G620" s="74"/>
      <c r="H620" s="74"/>
      <c r="I620" s="74"/>
      <c r="J620" s="74"/>
      <c r="K620" s="74"/>
      <c r="L620" s="74"/>
      <c r="M620" s="74"/>
      <c r="N620" s="74"/>
      <c r="O620" s="74"/>
      <c r="P620" s="74"/>
      <c r="Q620" s="74"/>
      <c r="R620" s="74"/>
      <c r="S620" s="74"/>
      <c r="T620" s="74"/>
      <c r="U620" s="74"/>
      <c r="V620" s="74"/>
      <c r="W620" s="74"/>
    </row>
    <row r="621">
      <c r="A621" s="74"/>
      <c r="B621" s="74"/>
      <c r="C621" s="74"/>
      <c r="D621" s="74"/>
      <c r="E621" s="74"/>
      <c r="F621" s="74"/>
      <c r="G621" s="74"/>
      <c r="H621" s="74"/>
      <c r="I621" s="74"/>
      <c r="J621" s="74"/>
      <c r="K621" s="74"/>
      <c r="L621" s="74"/>
      <c r="M621" s="74"/>
      <c r="N621" s="74"/>
      <c r="O621" s="74"/>
      <c r="P621" s="74"/>
      <c r="Q621" s="74"/>
      <c r="R621" s="74"/>
      <c r="S621" s="74"/>
      <c r="T621" s="74"/>
      <c r="U621" s="74"/>
      <c r="V621" s="74"/>
      <c r="W621" s="74"/>
    </row>
    <row r="622">
      <c r="A622" s="74"/>
      <c r="B622" s="74"/>
      <c r="C622" s="74"/>
      <c r="D622" s="74"/>
      <c r="E622" s="74"/>
      <c r="F622" s="74"/>
      <c r="G622" s="74"/>
      <c r="H622" s="74"/>
      <c r="I622" s="74"/>
      <c r="J622" s="74"/>
      <c r="K622" s="74"/>
      <c r="L622" s="74"/>
      <c r="M622" s="74"/>
      <c r="N622" s="74"/>
      <c r="O622" s="74"/>
      <c r="P622" s="74"/>
      <c r="Q622" s="74"/>
      <c r="R622" s="74"/>
      <c r="S622" s="74"/>
      <c r="T622" s="74"/>
      <c r="U622" s="74"/>
      <c r="V622" s="74"/>
      <c r="W622" s="74"/>
    </row>
    <row r="623">
      <c r="A623" s="74"/>
      <c r="B623" s="74"/>
      <c r="C623" s="74"/>
      <c r="D623" s="74"/>
      <c r="E623" s="74"/>
      <c r="F623" s="74"/>
      <c r="G623" s="74"/>
      <c r="H623" s="74"/>
      <c r="I623" s="74"/>
      <c r="J623" s="74"/>
      <c r="K623" s="74"/>
      <c r="L623" s="74"/>
      <c r="M623" s="74"/>
      <c r="N623" s="74"/>
      <c r="O623" s="74"/>
      <c r="P623" s="74"/>
      <c r="Q623" s="74"/>
      <c r="R623" s="74"/>
      <c r="S623" s="74"/>
      <c r="T623" s="74"/>
      <c r="U623" s="74"/>
      <c r="V623" s="74"/>
      <c r="W623" s="74"/>
    </row>
    <row r="624">
      <c r="A624" s="74"/>
      <c r="B624" s="74"/>
      <c r="C624" s="74"/>
      <c r="D624" s="74"/>
      <c r="E624" s="74"/>
      <c r="F624" s="74"/>
      <c r="G624" s="74"/>
      <c r="H624" s="74"/>
      <c r="I624" s="74"/>
      <c r="J624" s="74"/>
      <c r="K624" s="74"/>
      <c r="L624" s="74"/>
      <c r="M624" s="74"/>
      <c r="N624" s="74"/>
      <c r="O624" s="74"/>
      <c r="P624" s="74"/>
      <c r="Q624" s="74"/>
      <c r="R624" s="74"/>
      <c r="S624" s="74"/>
      <c r="T624" s="74"/>
      <c r="U624" s="74"/>
      <c r="V624" s="74"/>
      <c r="W624" s="74"/>
    </row>
    <row r="625">
      <c r="A625" s="74"/>
      <c r="B625" s="74"/>
      <c r="C625" s="74"/>
      <c r="D625" s="74"/>
      <c r="E625" s="74"/>
      <c r="F625" s="74"/>
      <c r="G625" s="74"/>
      <c r="H625" s="74"/>
      <c r="I625" s="74"/>
      <c r="J625" s="74"/>
      <c r="K625" s="74"/>
      <c r="L625" s="74"/>
      <c r="M625" s="74"/>
      <c r="N625" s="74"/>
      <c r="O625" s="74"/>
      <c r="P625" s="74"/>
      <c r="Q625" s="74"/>
      <c r="R625" s="74"/>
      <c r="S625" s="74"/>
      <c r="T625" s="74"/>
      <c r="U625" s="74"/>
      <c r="V625" s="74"/>
      <c r="W625" s="74"/>
    </row>
    <row r="626">
      <c r="A626" s="74"/>
      <c r="B626" s="74"/>
      <c r="C626" s="74"/>
      <c r="D626" s="74"/>
      <c r="E626" s="74"/>
      <c r="F626" s="74"/>
      <c r="G626" s="74"/>
      <c r="H626" s="74"/>
      <c r="I626" s="74"/>
      <c r="J626" s="74"/>
      <c r="K626" s="74"/>
      <c r="L626" s="74"/>
      <c r="M626" s="74"/>
      <c r="N626" s="74"/>
      <c r="O626" s="74"/>
      <c r="P626" s="74"/>
      <c r="Q626" s="74"/>
      <c r="R626" s="74"/>
      <c r="S626" s="74"/>
      <c r="T626" s="74"/>
      <c r="U626" s="74"/>
      <c r="V626" s="74"/>
      <c r="W626" s="74"/>
    </row>
    <row r="627">
      <c r="A627" s="74"/>
      <c r="B627" s="74"/>
      <c r="C627" s="74"/>
      <c r="D627" s="74"/>
      <c r="E627" s="74"/>
      <c r="F627" s="74"/>
      <c r="G627" s="74"/>
      <c r="H627" s="74"/>
      <c r="I627" s="74"/>
      <c r="J627" s="74"/>
      <c r="K627" s="74"/>
      <c r="L627" s="74"/>
      <c r="M627" s="74"/>
      <c r="N627" s="74"/>
      <c r="O627" s="74"/>
      <c r="P627" s="74"/>
      <c r="Q627" s="74"/>
      <c r="R627" s="74"/>
      <c r="S627" s="74"/>
      <c r="T627" s="74"/>
      <c r="U627" s="74"/>
      <c r="V627" s="74"/>
      <c r="W627" s="74"/>
    </row>
    <row r="628">
      <c r="A628" s="74"/>
      <c r="B628" s="74"/>
      <c r="C628" s="74"/>
      <c r="D628" s="74"/>
      <c r="E628" s="74"/>
      <c r="F628" s="74"/>
      <c r="G628" s="74"/>
      <c r="H628" s="74"/>
      <c r="I628" s="74"/>
      <c r="J628" s="74"/>
      <c r="K628" s="74"/>
      <c r="L628" s="74"/>
      <c r="M628" s="74"/>
      <c r="N628" s="74"/>
      <c r="O628" s="74"/>
      <c r="P628" s="74"/>
      <c r="Q628" s="74"/>
      <c r="R628" s="74"/>
      <c r="S628" s="74"/>
      <c r="T628" s="74"/>
      <c r="U628" s="74"/>
      <c r="V628" s="74"/>
      <c r="W628" s="74"/>
    </row>
    <row r="629">
      <c r="A629" s="74"/>
      <c r="B629" s="74"/>
      <c r="C629" s="74"/>
      <c r="D629" s="74"/>
      <c r="E629" s="74"/>
      <c r="F629" s="74"/>
      <c r="G629" s="74"/>
      <c r="H629" s="74"/>
      <c r="I629" s="74"/>
      <c r="J629" s="74"/>
      <c r="K629" s="74"/>
      <c r="L629" s="74"/>
      <c r="M629" s="74"/>
      <c r="N629" s="74"/>
      <c r="O629" s="74"/>
      <c r="P629" s="74"/>
      <c r="Q629" s="74"/>
      <c r="R629" s="74"/>
      <c r="S629" s="74"/>
      <c r="T629" s="74"/>
      <c r="U629" s="74"/>
      <c r="V629" s="74"/>
      <c r="W629" s="74"/>
    </row>
    <row r="630">
      <c r="A630" s="74"/>
      <c r="B630" s="74"/>
      <c r="C630" s="74"/>
      <c r="D630" s="74"/>
      <c r="E630" s="74"/>
      <c r="F630" s="74"/>
      <c r="G630" s="74"/>
      <c r="H630" s="74"/>
      <c r="I630" s="74"/>
      <c r="J630" s="74"/>
      <c r="K630" s="74"/>
      <c r="L630" s="74"/>
      <c r="M630" s="74"/>
      <c r="N630" s="74"/>
      <c r="O630" s="74"/>
      <c r="P630" s="74"/>
      <c r="Q630" s="74"/>
      <c r="R630" s="74"/>
      <c r="S630" s="74"/>
      <c r="T630" s="74"/>
      <c r="U630" s="74"/>
      <c r="V630" s="74"/>
      <c r="W630" s="74"/>
    </row>
    <row r="631">
      <c r="A631" s="74"/>
      <c r="B631" s="74"/>
      <c r="C631" s="74"/>
      <c r="D631" s="74"/>
      <c r="E631" s="74"/>
      <c r="F631" s="74"/>
      <c r="G631" s="74"/>
      <c r="H631" s="74"/>
      <c r="I631" s="74"/>
      <c r="J631" s="74"/>
      <c r="K631" s="74"/>
      <c r="L631" s="74"/>
      <c r="M631" s="74"/>
      <c r="N631" s="74"/>
      <c r="O631" s="74"/>
      <c r="P631" s="74"/>
      <c r="Q631" s="74"/>
      <c r="R631" s="74"/>
      <c r="S631" s="74"/>
      <c r="T631" s="74"/>
      <c r="U631" s="74"/>
      <c r="V631" s="74"/>
      <c r="W631" s="74"/>
    </row>
    <row r="632">
      <c r="A632" s="74"/>
      <c r="B632" s="74"/>
      <c r="C632" s="74"/>
      <c r="D632" s="74"/>
      <c r="E632" s="74"/>
      <c r="F632" s="74"/>
      <c r="G632" s="74"/>
      <c r="H632" s="74"/>
      <c r="I632" s="74"/>
      <c r="J632" s="74"/>
      <c r="K632" s="74"/>
      <c r="L632" s="74"/>
      <c r="M632" s="74"/>
      <c r="N632" s="74"/>
      <c r="O632" s="74"/>
      <c r="P632" s="74"/>
      <c r="Q632" s="74"/>
      <c r="R632" s="74"/>
      <c r="S632" s="74"/>
      <c r="T632" s="74"/>
      <c r="U632" s="74"/>
      <c r="V632" s="74"/>
      <c r="W632" s="74"/>
    </row>
    <row r="633">
      <c r="A633" s="74"/>
      <c r="B633" s="74"/>
      <c r="C633" s="74"/>
      <c r="D633" s="74"/>
      <c r="E633" s="74"/>
      <c r="F633" s="74"/>
      <c r="G633" s="74"/>
      <c r="H633" s="74"/>
      <c r="I633" s="74"/>
      <c r="J633" s="74"/>
      <c r="K633" s="74"/>
      <c r="L633" s="74"/>
      <c r="M633" s="74"/>
      <c r="N633" s="74"/>
      <c r="O633" s="74"/>
      <c r="P633" s="74"/>
      <c r="Q633" s="74"/>
      <c r="R633" s="74"/>
      <c r="S633" s="74"/>
      <c r="T633" s="74"/>
      <c r="U633" s="74"/>
      <c r="V633" s="74"/>
      <c r="W633" s="74"/>
    </row>
    <row r="634">
      <c r="A634" s="74"/>
      <c r="B634" s="74"/>
      <c r="C634" s="74"/>
      <c r="D634" s="74"/>
      <c r="E634" s="74"/>
      <c r="F634" s="74"/>
      <c r="G634" s="74"/>
      <c r="H634" s="74"/>
      <c r="I634" s="74"/>
      <c r="J634" s="74"/>
      <c r="K634" s="74"/>
      <c r="L634" s="74"/>
      <c r="M634" s="74"/>
      <c r="N634" s="74"/>
      <c r="O634" s="74"/>
      <c r="P634" s="74"/>
      <c r="Q634" s="74"/>
      <c r="R634" s="74"/>
      <c r="S634" s="74"/>
      <c r="T634" s="74"/>
      <c r="U634" s="74"/>
      <c r="V634" s="74"/>
      <c r="W634" s="74"/>
    </row>
    <row r="635">
      <c r="A635" s="74"/>
      <c r="B635" s="74"/>
      <c r="C635" s="74"/>
      <c r="D635" s="74"/>
      <c r="E635" s="74"/>
      <c r="F635" s="74"/>
      <c r="G635" s="74"/>
      <c r="H635" s="74"/>
      <c r="I635" s="74"/>
      <c r="J635" s="74"/>
      <c r="K635" s="74"/>
      <c r="L635" s="74"/>
      <c r="M635" s="74"/>
      <c r="N635" s="74"/>
      <c r="O635" s="74"/>
      <c r="P635" s="74"/>
      <c r="Q635" s="74"/>
      <c r="R635" s="74"/>
      <c r="S635" s="74"/>
      <c r="T635" s="74"/>
      <c r="U635" s="74"/>
      <c r="V635" s="74"/>
      <c r="W635" s="74"/>
    </row>
    <row r="636">
      <c r="A636" s="74"/>
      <c r="B636" s="74"/>
      <c r="C636" s="74"/>
      <c r="D636" s="74"/>
      <c r="E636" s="74"/>
      <c r="F636" s="74"/>
      <c r="G636" s="74"/>
      <c r="H636" s="74"/>
      <c r="I636" s="74"/>
      <c r="J636" s="74"/>
      <c r="K636" s="74"/>
      <c r="L636" s="74"/>
      <c r="M636" s="74"/>
      <c r="N636" s="74"/>
      <c r="O636" s="74"/>
      <c r="P636" s="74"/>
      <c r="Q636" s="74"/>
      <c r="R636" s="74"/>
      <c r="S636" s="74"/>
      <c r="T636" s="74"/>
      <c r="U636" s="74"/>
      <c r="V636" s="74"/>
      <c r="W636" s="74"/>
    </row>
    <row r="637">
      <c r="A637" s="74"/>
      <c r="B637" s="74"/>
      <c r="C637" s="74"/>
      <c r="D637" s="74"/>
      <c r="E637" s="74"/>
      <c r="F637" s="74"/>
      <c r="G637" s="74"/>
      <c r="H637" s="74"/>
      <c r="I637" s="74"/>
      <c r="J637" s="74"/>
      <c r="K637" s="74"/>
      <c r="L637" s="74"/>
      <c r="M637" s="74"/>
      <c r="N637" s="74"/>
      <c r="O637" s="74"/>
      <c r="P637" s="74"/>
      <c r="Q637" s="74"/>
      <c r="R637" s="74"/>
      <c r="S637" s="74"/>
      <c r="T637" s="74"/>
      <c r="U637" s="74"/>
      <c r="V637" s="74"/>
      <c r="W637" s="74"/>
    </row>
    <row r="638">
      <c r="A638" s="74"/>
      <c r="B638" s="74"/>
      <c r="C638" s="74"/>
      <c r="D638" s="74"/>
      <c r="E638" s="74"/>
      <c r="F638" s="74"/>
      <c r="G638" s="74"/>
      <c r="H638" s="74"/>
      <c r="I638" s="74"/>
      <c r="J638" s="74"/>
      <c r="K638" s="74"/>
      <c r="L638" s="74"/>
      <c r="M638" s="74"/>
      <c r="N638" s="74"/>
      <c r="O638" s="74"/>
      <c r="P638" s="74"/>
      <c r="Q638" s="74"/>
      <c r="R638" s="74"/>
      <c r="S638" s="74"/>
      <c r="T638" s="74"/>
      <c r="U638" s="74"/>
      <c r="V638" s="74"/>
      <c r="W638" s="74"/>
    </row>
    <row r="639">
      <c r="A639" s="74"/>
      <c r="B639" s="74"/>
      <c r="C639" s="74"/>
      <c r="D639" s="74"/>
      <c r="E639" s="74"/>
      <c r="F639" s="74"/>
      <c r="G639" s="74"/>
      <c r="H639" s="74"/>
      <c r="I639" s="74"/>
      <c r="J639" s="74"/>
      <c r="K639" s="74"/>
      <c r="L639" s="74"/>
      <c r="M639" s="74"/>
      <c r="N639" s="74"/>
      <c r="O639" s="74"/>
      <c r="P639" s="74"/>
      <c r="Q639" s="74"/>
      <c r="R639" s="74"/>
      <c r="S639" s="74"/>
      <c r="T639" s="74"/>
      <c r="U639" s="74"/>
      <c r="V639" s="74"/>
      <c r="W639" s="74"/>
    </row>
    <row r="640">
      <c r="A640" s="74"/>
      <c r="B640" s="74"/>
      <c r="C640" s="74"/>
      <c r="D640" s="74"/>
      <c r="E640" s="74"/>
      <c r="F640" s="74"/>
      <c r="G640" s="74"/>
      <c r="H640" s="74"/>
      <c r="I640" s="74"/>
      <c r="J640" s="74"/>
      <c r="K640" s="74"/>
      <c r="L640" s="74"/>
      <c r="M640" s="74"/>
      <c r="N640" s="74"/>
      <c r="O640" s="74"/>
      <c r="P640" s="74"/>
      <c r="Q640" s="74"/>
      <c r="R640" s="74"/>
      <c r="S640" s="74"/>
      <c r="T640" s="74"/>
      <c r="U640" s="74"/>
      <c r="V640" s="74"/>
      <c r="W640" s="74"/>
    </row>
    <row r="641">
      <c r="A641" s="74"/>
      <c r="B641" s="74"/>
      <c r="C641" s="74"/>
      <c r="D641" s="74"/>
      <c r="E641" s="74"/>
      <c r="F641" s="74"/>
      <c r="G641" s="74"/>
      <c r="H641" s="74"/>
      <c r="I641" s="74"/>
      <c r="J641" s="74"/>
      <c r="K641" s="74"/>
      <c r="L641" s="74"/>
      <c r="M641" s="74"/>
      <c r="N641" s="74"/>
      <c r="O641" s="74"/>
      <c r="P641" s="74"/>
      <c r="Q641" s="74"/>
      <c r="R641" s="74"/>
      <c r="S641" s="74"/>
      <c r="T641" s="74"/>
      <c r="U641" s="74"/>
      <c r="V641" s="74"/>
      <c r="W641" s="74"/>
    </row>
    <row r="642">
      <c r="A642" s="74"/>
      <c r="B642" s="74"/>
      <c r="C642" s="74"/>
      <c r="D642" s="74"/>
      <c r="E642" s="74"/>
      <c r="F642" s="74"/>
      <c r="G642" s="74"/>
      <c r="H642" s="74"/>
      <c r="I642" s="74"/>
      <c r="J642" s="74"/>
      <c r="K642" s="74"/>
      <c r="L642" s="74"/>
      <c r="M642" s="74"/>
      <c r="N642" s="74"/>
      <c r="O642" s="74"/>
      <c r="P642" s="74"/>
      <c r="Q642" s="74"/>
      <c r="R642" s="74"/>
      <c r="S642" s="74"/>
      <c r="T642" s="74"/>
      <c r="U642" s="74"/>
      <c r="V642" s="74"/>
      <c r="W642" s="74"/>
    </row>
    <row r="643">
      <c r="A643" s="74"/>
      <c r="B643" s="74"/>
      <c r="C643" s="74"/>
      <c r="D643" s="74"/>
      <c r="E643" s="74"/>
      <c r="F643" s="74"/>
      <c r="G643" s="74"/>
      <c r="H643" s="74"/>
      <c r="I643" s="74"/>
      <c r="J643" s="74"/>
      <c r="K643" s="74"/>
      <c r="L643" s="74"/>
      <c r="M643" s="74"/>
      <c r="N643" s="74"/>
      <c r="O643" s="74"/>
      <c r="P643" s="74"/>
      <c r="Q643" s="74"/>
      <c r="R643" s="74"/>
      <c r="S643" s="74"/>
      <c r="T643" s="74"/>
      <c r="U643" s="74"/>
      <c r="V643" s="74"/>
      <c r="W643" s="74"/>
    </row>
    <row r="644">
      <c r="A644" s="74"/>
      <c r="B644" s="74"/>
      <c r="C644" s="74"/>
      <c r="D644" s="74"/>
      <c r="E644" s="74"/>
      <c r="F644" s="74"/>
      <c r="G644" s="74"/>
      <c r="H644" s="74"/>
      <c r="I644" s="74"/>
      <c r="J644" s="74"/>
      <c r="K644" s="74"/>
      <c r="L644" s="74"/>
      <c r="M644" s="74"/>
      <c r="N644" s="74"/>
      <c r="O644" s="74"/>
      <c r="P644" s="74"/>
      <c r="Q644" s="74"/>
      <c r="R644" s="74"/>
      <c r="S644" s="74"/>
      <c r="T644" s="74"/>
      <c r="U644" s="74"/>
      <c r="V644" s="74"/>
      <c r="W644" s="74"/>
    </row>
    <row r="645">
      <c r="A645" s="74"/>
      <c r="B645" s="74"/>
      <c r="C645" s="74"/>
      <c r="D645" s="74"/>
      <c r="E645" s="74"/>
      <c r="F645" s="74"/>
      <c r="G645" s="74"/>
      <c r="H645" s="74"/>
      <c r="I645" s="74"/>
      <c r="J645" s="74"/>
      <c r="K645" s="74"/>
      <c r="L645" s="74"/>
      <c r="M645" s="74"/>
      <c r="N645" s="74"/>
      <c r="O645" s="74"/>
      <c r="P645" s="74"/>
      <c r="Q645" s="74"/>
      <c r="R645" s="74"/>
      <c r="S645" s="74"/>
      <c r="T645" s="74"/>
      <c r="U645" s="74"/>
      <c r="V645" s="74"/>
      <c r="W645" s="74"/>
    </row>
    <row r="646">
      <c r="A646" s="74"/>
      <c r="B646" s="74"/>
      <c r="C646" s="74"/>
      <c r="D646" s="74"/>
      <c r="E646" s="74"/>
      <c r="F646" s="74"/>
      <c r="G646" s="74"/>
      <c r="H646" s="74"/>
      <c r="I646" s="74"/>
      <c r="J646" s="74"/>
      <c r="K646" s="74"/>
      <c r="L646" s="74"/>
      <c r="M646" s="74"/>
      <c r="N646" s="74"/>
      <c r="O646" s="74"/>
      <c r="P646" s="74"/>
      <c r="Q646" s="74"/>
      <c r="R646" s="74"/>
      <c r="S646" s="74"/>
      <c r="T646" s="74"/>
      <c r="U646" s="74"/>
      <c r="V646" s="74"/>
      <c r="W646" s="74"/>
    </row>
    <row r="647">
      <c r="A647" s="74"/>
      <c r="B647" s="74"/>
      <c r="C647" s="74"/>
      <c r="D647" s="74"/>
      <c r="E647" s="74"/>
      <c r="F647" s="74"/>
      <c r="G647" s="74"/>
      <c r="H647" s="74"/>
      <c r="I647" s="74"/>
      <c r="J647" s="74"/>
      <c r="K647" s="74"/>
      <c r="L647" s="74"/>
      <c r="M647" s="74"/>
      <c r="N647" s="74"/>
      <c r="O647" s="74"/>
      <c r="P647" s="74"/>
      <c r="Q647" s="74"/>
      <c r="R647" s="74"/>
      <c r="S647" s="74"/>
      <c r="T647" s="74"/>
      <c r="U647" s="74"/>
      <c r="V647" s="74"/>
      <c r="W647" s="74"/>
    </row>
    <row r="648">
      <c r="A648" s="74"/>
      <c r="B648" s="74"/>
      <c r="C648" s="74"/>
      <c r="D648" s="74"/>
      <c r="E648" s="74"/>
      <c r="F648" s="74"/>
      <c r="G648" s="74"/>
      <c r="H648" s="74"/>
      <c r="I648" s="74"/>
      <c r="J648" s="74"/>
      <c r="K648" s="74"/>
      <c r="L648" s="74"/>
      <c r="M648" s="74"/>
      <c r="N648" s="74"/>
      <c r="O648" s="74"/>
      <c r="P648" s="74"/>
      <c r="Q648" s="74"/>
      <c r="R648" s="74"/>
      <c r="S648" s="74"/>
      <c r="T648" s="74"/>
      <c r="U648" s="74"/>
      <c r="V648" s="74"/>
      <c r="W648" s="74"/>
    </row>
    <row r="649">
      <c r="A649" s="74"/>
      <c r="B649" s="74"/>
      <c r="C649" s="74"/>
      <c r="D649" s="74"/>
      <c r="E649" s="74"/>
      <c r="F649" s="74"/>
      <c r="G649" s="74"/>
      <c r="H649" s="74"/>
      <c r="I649" s="74"/>
      <c r="J649" s="74"/>
      <c r="K649" s="74"/>
      <c r="L649" s="74"/>
      <c r="M649" s="74"/>
      <c r="N649" s="74"/>
      <c r="O649" s="74"/>
      <c r="P649" s="74"/>
      <c r="Q649" s="74"/>
      <c r="R649" s="74"/>
      <c r="S649" s="74"/>
      <c r="T649" s="74"/>
      <c r="U649" s="74"/>
      <c r="V649" s="74"/>
      <c r="W649" s="74"/>
    </row>
    <row r="650">
      <c r="A650" s="74"/>
      <c r="B650" s="74"/>
      <c r="C650" s="74"/>
      <c r="D650" s="74"/>
      <c r="E650" s="74"/>
      <c r="F650" s="74"/>
      <c r="G650" s="74"/>
      <c r="H650" s="74"/>
      <c r="I650" s="74"/>
      <c r="J650" s="74"/>
      <c r="K650" s="74"/>
      <c r="L650" s="74"/>
      <c r="M650" s="74"/>
      <c r="N650" s="74"/>
      <c r="O650" s="74"/>
      <c r="P650" s="74"/>
      <c r="Q650" s="74"/>
      <c r="R650" s="74"/>
      <c r="S650" s="74"/>
      <c r="T650" s="74"/>
      <c r="U650" s="74"/>
      <c r="V650" s="74"/>
      <c r="W650" s="74"/>
    </row>
    <row r="651">
      <c r="A651" s="74"/>
      <c r="B651" s="74"/>
      <c r="C651" s="74"/>
      <c r="D651" s="74"/>
      <c r="E651" s="74"/>
      <c r="F651" s="74"/>
      <c r="G651" s="74"/>
      <c r="H651" s="74"/>
      <c r="I651" s="74"/>
      <c r="J651" s="74"/>
      <c r="K651" s="74"/>
      <c r="L651" s="74"/>
      <c r="M651" s="74"/>
      <c r="N651" s="74"/>
      <c r="O651" s="74"/>
      <c r="P651" s="74"/>
      <c r="Q651" s="74"/>
      <c r="R651" s="74"/>
      <c r="S651" s="74"/>
      <c r="T651" s="74"/>
      <c r="U651" s="74"/>
      <c r="V651" s="74"/>
      <c r="W651" s="74"/>
    </row>
    <row r="652">
      <c r="A652" s="74"/>
      <c r="B652" s="74"/>
      <c r="C652" s="74"/>
      <c r="D652" s="74"/>
      <c r="E652" s="74"/>
      <c r="F652" s="74"/>
      <c r="G652" s="74"/>
      <c r="H652" s="74"/>
      <c r="I652" s="74"/>
      <c r="J652" s="74"/>
      <c r="K652" s="74"/>
      <c r="L652" s="74"/>
      <c r="M652" s="74"/>
      <c r="N652" s="74"/>
      <c r="O652" s="74"/>
      <c r="P652" s="74"/>
      <c r="Q652" s="74"/>
      <c r="R652" s="74"/>
      <c r="S652" s="74"/>
      <c r="T652" s="74"/>
      <c r="U652" s="74"/>
      <c r="V652" s="74"/>
      <c r="W652" s="74"/>
    </row>
    <row r="653">
      <c r="A653" s="74"/>
      <c r="B653" s="74"/>
      <c r="C653" s="74"/>
      <c r="D653" s="74"/>
      <c r="E653" s="74"/>
      <c r="F653" s="74"/>
      <c r="G653" s="74"/>
      <c r="H653" s="74"/>
      <c r="I653" s="74"/>
      <c r="J653" s="74"/>
      <c r="K653" s="74"/>
      <c r="L653" s="74"/>
      <c r="M653" s="74"/>
      <c r="N653" s="74"/>
      <c r="O653" s="74"/>
      <c r="P653" s="74"/>
      <c r="Q653" s="74"/>
      <c r="R653" s="74"/>
      <c r="S653" s="74"/>
      <c r="T653" s="74"/>
      <c r="U653" s="74"/>
      <c r="V653" s="74"/>
      <c r="W653" s="74"/>
    </row>
    <row r="654">
      <c r="A654" s="74"/>
      <c r="B654" s="74"/>
      <c r="C654" s="74"/>
      <c r="D654" s="74"/>
      <c r="E654" s="74"/>
      <c r="F654" s="74"/>
      <c r="G654" s="74"/>
      <c r="H654" s="74"/>
      <c r="I654" s="74"/>
      <c r="J654" s="74"/>
      <c r="K654" s="74"/>
      <c r="L654" s="74"/>
      <c r="M654" s="74"/>
      <c r="N654" s="74"/>
      <c r="O654" s="74"/>
      <c r="P654" s="74"/>
      <c r="Q654" s="74"/>
      <c r="R654" s="74"/>
      <c r="S654" s="74"/>
      <c r="T654" s="74"/>
      <c r="U654" s="74"/>
      <c r="V654" s="74"/>
      <c r="W654" s="74"/>
    </row>
    <row r="655">
      <c r="A655" s="74"/>
      <c r="B655" s="74"/>
      <c r="C655" s="74"/>
      <c r="D655" s="74"/>
      <c r="E655" s="74"/>
      <c r="F655" s="74"/>
      <c r="G655" s="74"/>
      <c r="H655" s="74"/>
      <c r="I655" s="74"/>
      <c r="J655" s="74"/>
      <c r="K655" s="74"/>
      <c r="L655" s="74"/>
      <c r="M655" s="74"/>
      <c r="N655" s="74"/>
      <c r="O655" s="74"/>
      <c r="P655" s="74"/>
      <c r="Q655" s="74"/>
      <c r="R655" s="74"/>
      <c r="S655" s="74"/>
      <c r="T655" s="74"/>
      <c r="U655" s="74"/>
      <c r="V655" s="74"/>
      <c r="W655" s="74"/>
    </row>
    <row r="656">
      <c r="A656" s="74"/>
      <c r="B656" s="74"/>
      <c r="C656" s="74"/>
      <c r="D656" s="74"/>
      <c r="E656" s="74"/>
      <c r="F656" s="74"/>
      <c r="G656" s="74"/>
      <c r="H656" s="74"/>
      <c r="I656" s="74"/>
      <c r="J656" s="74"/>
      <c r="K656" s="74"/>
      <c r="L656" s="74"/>
      <c r="M656" s="74"/>
      <c r="N656" s="74"/>
      <c r="O656" s="74"/>
      <c r="P656" s="74"/>
      <c r="Q656" s="74"/>
      <c r="R656" s="74"/>
      <c r="S656" s="74"/>
      <c r="T656" s="74"/>
      <c r="U656" s="74"/>
      <c r="V656" s="74"/>
      <c r="W656" s="74"/>
    </row>
    <row r="657">
      <c r="A657" s="74"/>
      <c r="B657" s="74"/>
      <c r="C657" s="74"/>
      <c r="D657" s="74"/>
      <c r="E657" s="74"/>
      <c r="F657" s="74"/>
      <c r="G657" s="74"/>
      <c r="H657" s="74"/>
      <c r="I657" s="74"/>
      <c r="J657" s="74"/>
      <c r="K657" s="74"/>
      <c r="L657" s="74"/>
      <c r="M657" s="74"/>
      <c r="N657" s="74"/>
      <c r="O657" s="74"/>
      <c r="P657" s="74"/>
      <c r="Q657" s="74"/>
      <c r="R657" s="74"/>
      <c r="S657" s="74"/>
      <c r="T657" s="74"/>
      <c r="U657" s="74"/>
      <c r="V657" s="74"/>
      <c r="W657" s="74"/>
    </row>
    <row r="658">
      <c r="A658" s="74"/>
      <c r="B658" s="74"/>
      <c r="C658" s="74"/>
      <c r="D658" s="74"/>
      <c r="E658" s="74"/>
      <c r="F658" s="74"/>
      <c r="G658" s="74"/>
      <c r="H658" s="74"/>
      <c r="I658" s="74"/>
      <c r="J658" s="74"/>
      <c r="K658" s="74"/>
      <c r="L658" s="74"/>
      <c r="M658" s="74"/>
      <c r="N658" s="74"/>
      <c r="O658" s="74"/>
      <c r="P658" s="74"/>
      <c r="Q658" s="74"/>
      <c r="R658" s="74"/>
      <c r="S658" s="74"/>
      <c r="T658" s="74"/>
      <c r="U658" s="74"/>
      <c r="V658" s="74"/>
      <c r="W658" s="74"/>
    </row>
    <row r="659">
      <c r="A659" s="74"/>
      <c r="B659" s="74"/>
      <c r="C659" s="74"/>
      <c r="D659" s="74"/>
      <c r="E659" s="74"/>
      <c r="F659" s="74"/>
      <c r="G659" s="74"/>
      <c r="H659" s="74"/>
      <c r="I659" s="74"/>
      <c r="J659" s="74"/>
      <c r="K659" s="74"/>
      <c r="L659" s="74"/>
      <c r="M659" s="74"/>
      <c r="N659" s="74"/>
      <c r="O659" s="74"/>
      <c r="P659" s="74"/>
      <c r="Q659" s="74"/>
      <c r="R659" s="74"/>
      <c r="S659" s="74"/>
      <c r="T659" s="74"/>
      <c r="U659" s="74"/>
      <c r="V659" s="74"/>
      <c r="W659" s="74"/>
    </row>
    <row r="660">
      <c r="A660" s="74"/>
      <c r="B660" s="74"/>
      <c r="C660" s="74"/>
      <c r="D660" s="74"/>
      <c r="E660" s="74"/>
      <c r="F660" s="74"/>
      <c r="G660" s="74"/>
      <c r="H660" s="74"/>
      <c r="I660" s="74"/>
      <c r="J660" s="74"/>
      <c r="K660" s="74"/>
      <c r="L660" s="74"/>
      <c r="M660" s="74"/>
      <c r="N660" s="74"/>
      <c r="O660" s="74"/>
      <c r="P660" s="74"/>
      <c r="Q660" s="74"/>
      <c r="R660" s="74"/>
      <c r="S660" s="74"/>
      <c r="T660" s="74"/>
      <c r="U660" s="74"/>
      <c r="V660" s="74"/>
      <c r="W660" s="74"/>
    </row>
    <row r="661">
      <c r="A661" s="74"/>
      <c r="B661" s="74"/>
      <c r="C661" s="74"/>
      <c r="D661" s="74"/>
      <c r="E661" s="74"/>
      <c r="F661" s="74"/>
      <c r="G661" s="74"/>
      <c r="H661" s="74"/>
      <c r="I661" s="74"/>
      <c r="J661" s="74"/>
      <c r="K661" s="74"/>
      <c r="L661" s="74"/>
      <c r="M661" s="74"/>
      <c r="N661" s="74"/>
      <c r="O661" s="74"/>
      <c r="P661" s="74"/>
      <c r="Q661" s="74"/>
      <c r="R661" s="74"/>
      <c r="S661" s="74"/>
      <c r="T661" s="74"/>
      <c r="U661" s="74"/>
      <c r="V661" s="74"/>
      <c r="W661" s="74"/>
    </row>
    <row r="662">
      <c r="A662" s="74"/>
      <c r="B662" s="74"/>
      <c r="C662" s="74"/>
      <c r="D662" s="74"/>
      <c r="E662" s="74"/>
      <c r="F662" s="74"/>
      <c r="G662" s="74"/>
      <c r="H662" s="74"/>
      <c r="I662" s="74"/>
      <c r="J662" s="74"/>
      <c r="K662" s="74"/>
      <c r="L662" s="74"/>
      <c r="M662" s="74"/>
      <c r="N662" s="74"/>
      <c r="O662" s="74"/>
      <c r="P662" s="74"/>
      <c r="Q662" s="74"/>
      <c r="R662" s="74"/>
      <c r="S662" s="74"/>
      <c r="T662" s="74"/>
      <c r="U662" s="74"/>
      <c r="V662" s="74"/>
      <c r="W662" s="74"/>
    </row>
    <row r="663">
      <c r="A663" s="74"/>
      <c r="B663" s="74"/>
      <c r="C663" s="74"/>
      <c r="D663" s="74"/>
      <c r="E663" s="74"/>
      <c r="F663" s="74"/>
      <c r="G663" s="74"/>
      <c r="H663" s="74"/>
      <c r="I663" s="74"/>
      <c r="J663" s="74"/>
      <c r="K663" s="74"/>
      <c r="L663" s="74"/>
      <c r="M663" s="74"/>
      <c r="N663" s="74"/>
      <c r="O663" s="74"/>
      <c r="P663" s="74"/>
      <c r="Q663" s="74"/>
      <c r="R663" s="74"/>
      <c r="S663" s="74"/>
      <c r="T663" s="74"/>
      <c r="U663" s="74"/>
      <c r="V663" s="74"/>
      <c r="W663" s="74"/>
    </row>
    <row r="664">
      <c r="A664" s="74"/>
      <c r="B664" s="74"/>
      <c r="C664" s="74"/>
      <c r="D664" s="74"/>
      <c r="E664" s="74"/>
      <c r="F664" s="74"/>
      <c r="G664" s="74"/>
      <c r="H664" s="74"/>
      <c r="I664" s="74"/>
      <c r="J664" s="74"/>
      <c r="K664" s="74"/>
      <c r="L664" s="74"/>
      <c r="M664" s="74"/>
      <c r="N664" s="74"/>
      <c r="O664" s="74"/>
      <c r="P664" s="74"/>
      <c r="Q664" s="74"/>
      <c r="R664" s="74"/>
      <c r="S664" s="74"/>
      <c r="T664" s="74"/>
      <c r="U664" s="74"/>
      <c r="V664" s="74"/>
      <c r="W664" s="74"/>
    </row>
    <row r="665">
      <c r="A665" s="74"/>
      <c r="B665" s="74"/>
      <c r="C665" s="74"/>
      <c r="D665" s="74"/>
      <c r="E665" s="74"/>
      <c r="F665" s="74"/>
      <c r="G665" s="74"/>
      <c r="H665" s="74"/>
      <c r="I665" s="74"/>
      <c r="J665" s="74"/>
      <c r="K665" s="74"/>
      <c r="L665" s="74"/>
      <c r="M665" s="74"/>
      <c r="N665" s="74"/>
      <c r="O665" s="74"/>
      <c r="P665" s="74"/>
      <c r="Q665" s="74"/>
      <c r="R665" s="74"/>
      <c r="S665" s="74"/>
      <c r="T665" s="74"/>
      <c r="U665" s="74"/>
      <c r="V665" s="74"/>
      <c r="W665" s="74"/>
    </row>
    <row r="666">
      <c r="A666" s="74"/>
      <c r="B666" s="74"/>
      <c r="C666" s="74"/>
      <c r="D666" s="74"/>
      <c r="E666" s="74"/>
      <c r="F666" s="74"/>
      <c r="G666" s="74"/>
      <c r="H666" s="74"/>
      <c r="I666" s="74"/>
      <c r="J666" s="74"/>
      <c r="K666" s="74"/>
      <c r="L666" s="74"/>
      <c r="M666" s="74"/>
      <c r="N666" s="74"/>
      <c r="O666" s="74"/>
      <c r="P666" s="74"/>
      <c r="Q666" s="74"/>
      <c r="R666" s="74"/>
      <c r="S666" s="74"/>
      <c r="T666" s="74"/>
      <c r="U666" s="74"/>
      <c r="V666" s="74"/>
      <c r="W666" s="74"/>
    </row>
    <row r="667">
      <c r="A667" s="74"/>
      <c r="B667" s="74"/>
      <c r="C667" s="74"/>
      <c r="D667" s="74"/>
      <c r="E667" s="74"/>
      <c r="F667" s="74"/>
      <c r="G667" s="74"/>
      <c r="H667" s="74"/>
      <c r="I667" s="74"/>
      <c r="J667" s="74"/>
      <c r="K667" s="74"/>
      <c r="L667" s="74"/>
      <c r="M667" s="74"/>
      <c r="N667" s="74"/>
      <c r="O667" s="74"/>
      <c r="P667" s="74"/>
      <c r="Q667" s="74"/>
      <c r="R667" s="74"/>
      <c r="S667" s="74"/>
      <c r="T667" s="74"/>
      <c r="U667" s="74"/>
      <c r="V667" s="74"/>
      <c r="W667" s="74"/>
    </row>
    <row r="668">
      <c r="A668" s="74"/>
      <c r="B668" s="74"/>
      <c r="C668" s="74"/>
      <c r="D668" s="74"/>
      <c r="E668" s="74"/>
      <c r="F668" s="74"/>
      <c r="G668" s="74"/>
      <c r="H668" s="74"/>
      <c r="I668" s="74"/>
      <c r="J668" s="74"/>
      <c r="K668" s="74"/>
      <c r="L668" s="74"/>
      <c r="M668" s="74"/>
      <c r="N668" s="74"/>
      <c r="O668" s="74"/>
      <c r="P668" s="74"/>
      <c r="Q668" s="74"/>
      <c r="R668" s="74"/>
      <c r="S668" s="74"/>
      <c r="T668" s="74"/>
      <c r="U668" s="74"/>
      <c r="V668" s="74"/>
      <c r="W668" s="74"/>
    </row>
    <row r="669">
      <c r="A669" s="74"/>
      <c r="B669" s="74"/>
      <c r="C669" s="74"/>
      <c r="D669" s="74"/>
      <c r="E669" s="74"/>
      <c r="F669" s="74"/>
      <c r="G669" s="74"/>
      <c r="H669" s="74"/>
      <c r="I669" s="74"/>
      <c r="J669" s="74"/>
      <c r="K669" s="74"/>
      <c r="L669" s="74"/>
      <c r="M669" s="74"/>
      <c r="N669" s="74"/>
      <c r="O669" s="74"/>
      <c r="P669" s="74"/>
      <c r="Q669" s="74"/>
      <c r="R669" s="74"/>
      <c r="S669" s="74"/>
      <c r="T669" s="74"/>
      <c r="U669" s="74"/>
      <c r="V669" s="74"/>
      <c r="W669" s="74"/>
    </row>
    <row r="670">
      <c r="A670" s="74"/>
      <c r="B670" s="74"/>
      <c r="C670" s="74"/>
      <c r="D670" s="74"/>
      <c r="E670" s="74"/>
      <c r="F670" s="74"/>
      <c r="G670" s="74"/>
      <c r="H670" s="74"/>
      <c r="I670" s="74"/>
      <c r="J670" s="74"/>
      <c r="K670" s="74"/>
      <c r="L670" s="74"/>
      <c r="M670" s="74"/>
      <c r="N670" s="74"/>
      <c r="O670" s="74"/>
      <c r="P670" s="74"/>
      <c r="Q670" s="74"/>
      <c r="R670" s="74"/>
      <c r="S670" s="74"/>
      <c r="T670" s="74"/>
      <c r="U670" s="74"/>
      <c r="V670" s="74"/>
      <c r="W670" s="74"/>
    </row>
    <row r="671">
      <c r="A671" s="74"/>
      <c r="B671" s="74"/>
      <c r="C671" s="74"/>
      <c r="D671" s="74"/>
      <c r="E671" s="74"/>
      <c r="F671" s="74"/>
      <c r="G671" s="74"/>
      <c r="H671" s="74"/>
      <c r="I671" s="74"/>
      <c r="J671" s="74"/>
      <c r="K671" s="74"/>
      <c r="L671" s="74"/>
      <c r="M671" s="74"/>
      <c r="N671" s="74"/>
      <c r="O671" s="74"/>
      <c r="P671" s="74"/>
      <c r="Q671" s="74"/>
      <c r="R671" s="74"/>
      <c r="S671" s="74"/>
      <c r="T671" s="74"/>
      <c r="U671" s="74"/>
      <c r="V671" s="74"/>
      <c r="W671" s="74"/>
    </row>
    <row r="672">
      <c r="A672" s="74"/>
      <c r="B672" s="74"/>
      <c r="C672" s="74"/>
      <c r="D672" s="74"/>
      <c r="E672" s="74"/>
      <c r="F672" s="74"/>
      <c r="G672" s="74"/>
      <c r="H672" s="74"/>
      <c r="I672" s="74"/>
      <c r="J672" s="74"/>
      <c r="K672" s="74"/>
      <c r="L672" s="74"/>
      <c r="M672" s="74"/>
      <c r="N672" s="74"/>
      <c r="O672" s="74"/>
      <c r="P672" s="74"/>
      <c r="Q672" s="74"/>
      <c r="R672" s="74"/>
      <c r="S672" s="74"/>
      <c r="T672" s="74"/>
      <c r="U672" s="74"/>
      <c r="V672" s="74"/>
      <c r="W672" s="74"/>
    </row>
    <row r="673">
      <c r="A673" s="74"/>
      <c r="B673" s="74"/>
      <c r="C673" s="74"/>
      <c r="D673" s="74"/>
      <c r="E673" s="74"/>
      <c r="F673" s="74"/>
      <c r="G673" s="74"/>
      <c r="H673" s="74"/>
      <c r="I673" s="74"/>
      <c r="J673" s="74"/>
      <c r="K673" s="74"/>
      <c r="L673" s="74"/>
      <c r="M673" s="74"/>
      <c r="N673" s="74"/>
      <c r="O673" s="74"/>
      <c r="P673" s="74"/>
      <c r="Q673" s="74"/>
      <c r="R673" s="74"/>
      <c r="S673" s="74"/>
      <c r="T673" s="74"/>
      <c r="U673" s="74"/>
      <c r="V673" s="74"/>
      <c r="W673" s="74"/>
    </row>
    <row r="674">
      <c r="A674" s="74"/>
      <c r="B674" s="74"/>
      <c r="C674" s="74"/>
      <c r="D674" s="74"/>
      <c r="E674" s="74"/>
      <c r="F674" s="74"/>
      <c r="G674" s="74"/>
      <c r="H674" s="74"/>
      <c r="I674" s="74"/>
      <c r="J674" s="74"/>
      <c r="K674" s="74"/>
      <c r="L674" s="74"/>
      <c r="M674" s="74"/>
      <c r="N674" s="74"/>
      <c r="O674" s="74"/>
      <c r="P674" s="74"/>
      <c r="Q674" s="74"/>
      <c r="R674" s="74"/>
      <c r="S674" s="74"/>
      <c r="T674" s="74"/>
      <c r="U674" s="74"/>
      <c r="V674" s="74"/>
      <c r="W674" s="74"/>
    </row>
    <row r="675">
      <c r="A675" s="74"/>
      <c r="B675" s="74"/>
      <c r="C675" s="74"/>
      <c r="D675" s="74"/>
      <c r="E675" s="74"/>
      <c r="F675" s="74"/>
      <c r="G675" s="74"/>
      <c r="H675" s="74"/>
      <c r="I675" s="74"/>
      <c r="J675" s="74"/>
      <c r="K675" s="74"/>
      <c r="L675" s="74"/>
      <c r="M675" s="74"/>
      <c r="N675" s="74"/>
      <c r="O675" s="74"/>
      <c r="P675" s="74"/>
      <c r="Q675" s="74"/>
      <c r="R675" s="74"/>
      <c r="S675" s="74"/>
      <c r="T675" s="74"/>
      <c r="U675" s="74"/>
      <c r="V675" s="74"/>
      <c r="W675" s="74"/>
    </row>
    <row r="676">
      <c r="A676" s="74"/>
      <c r="B676" s="74"/>
      <c r="C676" s="74"/>
      <c r="D676" s="74"/>
      <c r="E676" s="74"/>
      <c r="F676" s="74"/>
      <c r="G676" s="74"/>
      <c r="H676" s="74"/>
      <c r="I676" s="74"/>
      <c r="J676" s="74"/>
      <c r="K676" s="74"/>
      <c r="L676" s="74"/>
      <c r="M676" s="74"/>
      <c r="N676" s="74"/>
      <c r="O676" s="74"/>
      <c r="P676" s="74"/>
      <c r="Q676" s="74"/>
      <c r="R676" s="74"/>
      <c r="S676" s="74"/>
      <c r="T676" s="74"/>
      <c r="U676" s="74"/>
      <c r="V676" s="74"/>
      <c r="W676" s="74"/>
    </row>
    <row r="677">
      <c r="A677" s="74"/>
      <c r="B677" s="74"/>
      <c r="C677" s="74"/>
      <c r="D677" s="74"/>
      <c r="E677" s="74"/>
      <c r="F677" s="74"/>
      <c r="G677" s="74"/>
      <c r="H677" s="74"/>
      <c r="I677" s="74"/>
      <c r="J677" s="74"/>
      <c r="K677" s="74"/>
      <c r="L677" s="74"/>
      <c r="M677" s="74"/>
      <c r="N677" s="74"/>
      <c r="O677" s="74"/>
      <c r="P677" s="74"/>
      <c r="Q677" s="74"/>
      <c r="R677" s="74"/>
      <c r="S677" s="74"/>
      <c r="T677" s="74"/>
      <c r="U677" s="74"/>
      <c r="V677" s="74"/>
      <c r="W677" s="74"/>
    </row>
    <row r="678">
      <c r="A678" s="74"/>
      <c r="B678" s="74"/>
      <c r="C678" s="74"/>
      <c r="D678" s="74"/>
      <c r="E678" s="74"/>
      <c r="F678" s="74"/>
      <c r="G678" s="74"/>
      <c r="H678" s="74"/>
      <c r="I678" s="74"/>
      <c r="J678" s="74"/>
      <c r="K678" s="74"/>
      <c r="L678" s="74"/>
      <c r="M678" s="74"/>
      <c r="N678" s="74"/>
      <c r="O678" s="74"/>
      <c r="P678" s="74"/>
      <c r="Q678" s="74"/>
      <c r="R678" s="74"/>
      <c r="S678" s="74"/>
      <c r="T678" s="74"/>
      <c r="U678" s="74"/>
      <c r="V678" s="74"/>
      <c r="W678" s="74"/>
    </row>
    <row r="679">
      <c r="A679" s="74"/>
      <c r="B679" s="74"/>
      <c r="C679" s="74"/>
      <c r="D679" s="74"/>
      <c r="E679" s="74"/>
      <c r="F679" s="74"/>
      <c r="G679" s="74"/>
      <c r="H679" s="74"/>
      <c r="I679" s="74"/>
      <c r="J679" s="74"/>
      <c r="K679" s="74"/>
      <c r="L679" s="74"/>
      <c r="M679" s="74"/>
      <c r="N679" s="74"/>
      <c r="O679" s="74"/>
      <c r="P679" s="74"/>
      <c r="Q679" s="74"/>
      <c r="R679" s="74"/>
      <c r="S679" s="74"/>
      <c r="T679" s="74"/>
      <c r="U679" s="74"/>
      <c r="V679" s="74"/>
      <c r="W679" s="74"/>
    </row>
    <row r="680">
      <c r="A680" s="74"/>
      <c r="B680" s="74"/>
      <c r="C680" s="74"/>
      <c r="D680" s="74"/>
      <c r="E680" s="74"/>
      <c r="F680" s="74"/>
      <c r="G680" s="74"/>
      <c r="H680" s="74"/>
      <c r="I680" s="74"/>
      <c r="J680" s="74"/>
      <c r="K680" s="74"/>
      <c r="L680" s="74"/>
      <c r="M680" s="74"/>
      <c r="N680" s="74"/>
      <c r="O680" s="74"/>
      <c r="P680" s="74"/>
      <c r="Q680" s="74"/>
      <c r="R680" s="74"/>
      <c r="S680" s="74"/>
      <c r="T680" s="74"/>
      <c r="U680" s="74"/>
      <c r="V680" s="74"/>
      <c r="W680" s="74"/>
    </row>
    <row r="681">
      <c r="A681" s="74"/>
      <c r="B681" s="74"/>
      <c r="C681" s="74"/>
      <c r="D681" s="74"/>
      <c r="E681" s="74"/>
      <c r="F681" s="74"/>
      <c r="G681" s="74"/>
      <c r="H681" s="74"/>
      <c r="I681" s="74"/>
      <c r="J681" s="74"/>
      <c r="K681" s="74"/>
      <c r="L681" s="74"/>
      <c r="M681" s="74"/>
      <c r="N681" s="74"/>
      <c r="O681" s="74"/>
      <c r="P681" s="74"/>
      <c r="Q681" s="74"/>
      <c r="R681" s="74"/>
      <c r="S681" s="74"/>
      <c r="T681" s="74"/>
      <c r="U681" s="74"/>
      <c r="V681" s="74"/>
      <c r="W681" s="74"/>
    </row>
    <row r="682">
      <c r="A682" s="74"/>
      <c r="B682" s="74"/>
      <c r="C682" s="74"/>
      <c r="D682" s="74"/>
      <c r="E682" s="74"/>
      <c r="F682" s="74"/>
      <c r="G682" s="74"/>
      <c r="H682" s="74"/>
      <c r="I682" s="74"/>
      <c r="J682" s="74"/>
      <c r="K682" s="74"/>
      <c r="L682" s="74"/>
      <c r="M682" s="74"/>
      <c r="N682" s="74"/>
      <c r="O682" s="74"/>
      <c r="P682" s="74"/>
      <c r="Q682" s="74"/>
      <c r="R682" s="74"/>
      <c r="S682" s="74"/>
      <c r="T682" s="74"/>
      <c r="U682" s="74"/>
      <c r="V682" s="74"/>
      <c r="W682" s="74"/>
    </row>
    <row r="683">
      <c r="A683" s="74"/>
      <c r="B683" s="74"/>
      <c r="C683" s="74"/>
      <c r="D683" s="74"/>
      <c r="E683" s="74"/>
      <c r="F683" s="74"/>
      <c r="G683" s="74"/>
      <c r="H683" s="74"/>
      <c r="I683" s="74"/>
      <c r="J683" s="74"/>
      <c r="K683" s="74"/>
      <c r="L683" s="74"/>
      <c r="M683" s="74"/>
      <c r="N683" s="74"/>
      <c r="O683" s="74"/>
      <c r="P683" s="74"/>
      <c r="Q683" s="74"/>
      <c r="R683" s="74"/>
      <c r="S683" s="74"/>
      <c r="T683" s="74"/>
      <c r="U683" s="74"/>
      <c r="V683" s="74"/>
      <c r="W683" s="74"/>
    </row>
    <row r="684">
      <c r="A684" s="74"/>
      <c r="B684" s="74"/>
      <c r="C684" s="74"/>
      <c r="D684" s="74"/>
      <c r="E684" s="74"/>
      <c r="F684" s="74"/>
      <c r="G684" s="74"/>
      <c r="H684" s="74"/>
      <c r="I684" s="74"/>
      <c r="J684" s="74"/>
      <c r="K684" s="74"/>
      <c r="L684" s="74"/>
      <c r="M684" s="74"/>
      <c r="N684" s="74"/>
      <c r="O684" s="74"/>
      <c r="P684" s="74"/>
      <c r="Q684" s="74"/>
      <c r="R684" s="74"/>
      <c r="S684" s="74"/>
      <c r="T684" s="74"/>
      <c r="U684" s="74"/>
      <c r="V684" s="74"/>
      <c r="W684" s="74"/>
    </row>
    <row r="685">
      <c r="A685" s="74"/>
      <c r="B685" s="74"/>
      <c r="C685" s="74"/>
      <c r="D685" s="74"/>
      <c r="E685" s="74"/>
      <c r="F685" s="74"/>
      <c r="G685" s="74"/>
      <c r="H685" s="74"/>
      <c r="I685" s="74"/>
      <c r="J685" s="74"/>
      <c r="K685" s="74"/>
      <c r="L685" s="74"/>
      <c r="M685" s="74"/>
      <c r="N685" s="74"/>
      <c r="O685" s="74"/>
      <c r="P685" s="74"/>
      <c r="Q685" s="74"/>
      <c r="R685" s="74"/>
      <c r="S685" s="74"/>
      <c r="T685" s="74"/>
      <c r="U685" s="74"/>
      <c r="V685" s="74"/>
      <c r="W685" s="74"/>
    </row>
    <row r="686">
      <c r="A686" s="74"/>
      <c r="B686" s="74"/>
      <c r="C686" s="74"/>
      <c r="D686" s="74"/>
      <c r="E686" s="74"/>
      <c r="F686" s="74"/>
      <c r="G686" s="74"/>
      <c r="H686" s="74"/>
      <c r="I686" s="74"/>
      <c r="J686" s="74"/>
      <c r="K686" s="74"/>
      <c r="L686" s="74"/>
      <c r="M686" s="74"/>
      <c r="N686" s="74"/>
      <c r="O686" s="74"/>
      <c r="P686" s="74"/>
      <c r="Q686" s="74"/>
      <c r="R686" s="74"/>
      <c r="S686" s="74"/>
      <c r="T686" s="74"/>
      <c r="U686" s="74"/>
      <c r="V686" s="74"/>
      <c r="W686" s="74"/>
    </row>
    <row r="687">
      <c r="A687" s="74"/>
      <c r="B687" s="74"/>
      <c r="C687" s="74"/>
      <c r="D687" s="74"/>
      <c r="E687" s="74"/>
      <c r="F687" s="74"/>
      <c r="G687" s="74"/>
      <c r="H687" s="74"/>
      <c r="I687" s="74"/>
      <c r="J687" s="74"/>
      <c r="K687" s="74"/>
      <c r="L687" s="74"/>
      <c r="M687" s="74"/>
      <c r="N687" s="74"/>
      <c r="O687" s="74"/>
      <c r="P687" s="74"/>
      <c r="Q687" s="74"/>
      <c r="R687" s="74"/>
      <c r="S687" s="74"/>
      <c r="T687" s="74"/>
      <c r="U687" s="74"/>
      <c r="V687" s="74"/>
      <c r="W687" s="74"/>
    </row>
    <row r="688">
      <c r="A688" s="74"/>
      <c r="B688" s="74"/>
      <c r="C688" s="74"/>
      <c r="D688" s="74"/>
      <c r="E688" s="74"/>
      <c r="F688" s="74"/>
      <c r="G688" s="74"/>
      <c r="H688" s="74"/>
      <c r="I688" s="74"/>
      <c r="J688" s="74"/>
      <c r="K688" s="74"/>
      <c r="L688" s="74"/>
      <c r="M688" s="74"/>
      <c r="N688" s="74"/>
      <c r="O688" s="74"/>
      <c r="P688" s="74"/>
      <c r="Q688" s="74"/>
      <c r="R688" s="74"/>
      <c r="S688" s="74"/>
      <c r="T688" s="74"/>
      <c r="U688" s="74"/>
      <c r="V688" s="74"/>
      <c r="W688" s="74"/>
    </row>
    <row r="689">
      <c r="A689" s="74"/>
      <c r="B689" s="74"/>
      <c r="C689" s="74"/>
      <c r="D689" s="74"/>
      <c r="E689" s="74"/>
      <c r="F689" s="74"/>
      <c r="G689" s="74"/>
      <c r="H689" s="74"/>
      <c r="I689" s="74"/>
      <c r="J689" s="74"/>
      <c r="K689" s="74"/>
      <c r="L689" s="74"/>
      <c r="M689" s="74"/>
      <c r="N689" s="74"/>
      <c r="O689" s="74"/>
      <c r="P689" s="74"/>
      <c r="Q689" s="74"/>
      <c r="R689" s="74"/>
      <c r="S689" s="74"/>
      <c r="T689" s="74"/>
      <c r="U689" s="74"/>
      <c r="V689" s="74"/>
      <c r="W689" s="74"/>
    </row>
    <row r="690">
      <c r="A690" s="74"/>
      <c r="B690" s="74"/>
      <c r="C690" s="74"/>
      <c r="D690" s="74"/>
      <c r="E690" s="74"/>
      <c r="F690" s="74"/>
      <c r="G690" s="74"/>
      <c r="H690" s="74"/>
      <c r="I690" s="74"/>
      <c r="J690" s="74"/>
      <c r="K690" s="74"/>
      <c r="L690" s="74"/>
      <c r="M690" s="74"/>
      <c r="N690" s="74"/>
      <c r="O690" s="74"/>
      <c r="P690" s="74"/>
      <c r="Q690" s="74"/>
      <c r="R690" s="74"/>
      <c r="S690" s="74"/>
      <c r="T690" s="74"/>
      <c r="U690" s="74"/>
      <c r="V690" s="74"/>
      <c r="W690" s="74"/>
    </row>
    <row r="691">
      <c r="A691" s="74"/>
      <c r="B691" s="74"/>
      <c r="C691" s="74"/>
      <c r="D691" s="74"/>
      <c r="E691" s="74"/>
      <c r="F691" s="74"/>
      <c r="G691" s="74"/>
      <c r="H691" s="74"/>
      <c r="I691" s="74"/>
      <c r="J691" s="74"/>
      <c r="K691" s="74"/>
      <c r="L691" s="74"/>
      <c r="M691" s="74"/>
      <c r="N691" s="74"/>
      <c r="O691" s="74"/>
      <c r="P691" s="74"/>
      <c r="Q691" s="74"/>
      <c r="R691" s="74"/>
      <c r="S691" s="74"/>
      <c r="T691" s="74"/>
      <c r="U691" s="74"/>
      <c r="V691" s="74"/>
      <c r="W691" s="74"/>
    </row>
    <row r="692">
      <c r="A692" s="74"/>
      <c r="B692" s="74"/>
      <c r="C692" s="74"/>
      <c r="D692" s="74"/>
      <c r="E692" s="74"/>
      <c r="F692" s="74"/>
      <c r="G692" s="74"/>
      <c r="H692" s="74"/>
      <c r="I692" s="74"/>
      <c r="J692" s="74"/>
      <c r="K692" s="74"/>
      <c r="L692" s="74"/>
      <c r="M692" s="74"/>
      <c r="N692" s="74"/>
      <c r="O692" s="74"/>
      <c r="P692" s="74"/>
      <c r="Q692" s="74"/>
      <c r="R692" s="74"/>
      <c r="S692" s="74"/>
      <c r="T692" s="74"/>
      <c r="U692" s="74"/>
      <c r="V692" s="74"/>
      <c r="W692" s="74"/>
    </row>
    <row r="693">
      <c r="A693" s="74"/>
      <c r="B693" s="74"/>
      <c r="C693" s="74"/>
      <c r="D693" s="74"/>
      <c r="E693" s="74"/>
      <c r="F693" s="74"/>
      <c r="G693" s="74"/>
      <c r="H693" s="74"/>
      <c r="I693" s="74"/>
      <c r="J693" s="74"/>
      <c r="K693" s="74"/>
      <c r="L693" s="74"/>
      <c r="M693" s="74"/>
      <c r="N693" s="74"/>
      <c r="O693" s="74"/>
      <c r="P693" s="74"/>
      <c r="Q693" s="74"/>
      <c r="R693" s="74"/>
      <c r="S693" s="74"/>
      <c r="T693" s="74"/>
      <c r="U693" s="74"/>
      <c r="V693" s="74"/>
      <c r="W693" s="74"/>
    </row>
    <row r="694">
      <c r="A694" s="74"/>
      <c r="B694" s="74"/>
      <c r="C694" s="74"/>
      <c r="D694" s="74"/>
      <c r="E694" s="74"/>
      <c r="F694" s="74"/>
      <c r="G694" s="74"/>
      <c r="H694" s="74"/>
      <c r="I694" s="74"/>
      <c r="J694" s="74"/>
      <c r="K694" s="74"/>
      <c r="L694" s="74"/>
      <c r="M694" s="74"/>
      <c r="N694" s="74"/>
      <c r="O694" s="74"/>
      <c r="P694" s="74"/>
      <c r="Q694" s="74"/>
      <c r="R694" s="74"/>
      <c r="S694" s="74"/>
      <c r="T694" s="74"/>
      <c r="U694" s="74"/>
      <c r="V694" s="74"/>
      <c r="W694" s="74"/>
    </row>
    <row r="695">
      <c r="A695" s="74"/>
      <c r="B695" s="74"/>
      <c r="C695" s="74"/>
      <c r="D695" s="74"/>
      <c r="E695" s="74"/>
      <c r="F695" s="74"/>
      <c r="G695" s="74"/>
      <c r="H695" s="74"/>
      <c r="I695" s="74"/>
      <c r="J695" s="74"/>
      <c r="K695" s="74"/>
      <c r="L695" s="74"/>
      <c r="M695" s="74"/>
      <c r="N695" s="74"/>
      <c r="O695" s="74"/>
      <c r="P695" s="74"/>
      <c r="Q695" s="74"/>
      <c r="R695" s="74"/>
      <c r="S695" s="74"/>
      <c r="T695" s="74"/>
      <c r="U695" s="74"/>
      <c r="V695" s="74"/>
      <c r="W695" s="74"/>
    </row>
    <row r="696">
      <c r="A696" s="74"/>
      <c r="B696" s="74"/>
      <c r="C696" s="74"/>
      <c r="D696" s="74"/>
      <c r="E696" s="74"/>
      <c r="F696" s="74"/>
      <c r="G696" s="74"/>
      <c r="H696" s="74"/>
      <c r="I696" s="74"/>
      <c r="J696" s="74"/>
      <c r="K696" s="74"/>
      <c r="L696" s="74"/>
      <c r="M696" s="74"/>
      <c r="N696" s="74"/>
      <c r="O696" s="74"/>
      <c r="P696" s="74"/>
      <c r="Q696" s="74"/>
      <c r="R696" s="74"/>
      <c r="S696" s="74"/>
      <c r="T696" s="74"/>
      <c r="U696" s="74"/>
      <c r="V696" s="74"/>
      <c r="W696" s="74"/>
    </row>
    <row r="697">
      <c r="A697" s="74"/>
      <c r="B697" s="74"/>
      <c r="C697" s="74"/>
      <c r="D697" s="74"/>
      <c r="E697" s="74"/>
      <c r="F697" s="74"/>
      <c r="G697" s="74"/>
      <c r="H697" s="74"/>
      <c r="I697" s="74"/>
      <c r="J697" s="74"/>
      <c r="K697" s="74"/>
      <c r="L697" s="74"/>
      <c r="M697" s="74"/>
      <c r="N697" s="74"/>
      <c r="O697" s="74"/>
      <c r="P697" s="74"/>
      <c r="Q697" s="74"/>
      <c r="R697" s="74"/>
      <c r="S697" s="74"/>
      <c r="T697" s="74"/>
      <c r="U697" s="74"/>
      <c r="V697" s="74"/>
      <c r="W697" s="74"/>
    </row>
    <row r="698">
      <c r="A698" s="74"/>
      <c r="B698" s="74"/>
      <c r="C698" s="74"/>
      <c r="D698" s="74"/>
      <c r="E698" s="74"/>
      <c r="F698" s="74"/>
      <c r="G698" s="74"/>
      <c r="H698" s="74"/>
      <c r="I698" s="74"/>
      <c r="J698" s="74"/>
      <c r="K698" s="74"/>
      <c r="L698" s="74"/>
      <c r="M698" s="74"/>
      <c r="N698" s="74"/>
      <c r="O698" s="74"/>
      <c r="P698" s="74"/>
      <c r="Q698" s="74"/>
      <c r="R698" s="74"/>
      <c r="S698" s="74"/>
      <c r="T698" s="74"/>
      <c r="U698" s="74"/>
      <c r="V698" s="74"/>
      <c r="W698" s="74"/>
    </row>
    <row r="699">
      <c r="A699" s="74"/>
      <c r="B699" s="74"/>
      <c r="C699" s="74"/>
      <c r="D699" s="74"/>
      <c r="E699" s="74"/>
      <c r="F699" s="74"/>
      <c r="G699" s="74"/>
      <c r="H699" s="74"/>
      <c r="I699" s="74"/>
      <c r="J699" s="74"/>
      <c r="K699" s="74"/>
      <c r="L699" s="74"/>
      <c r="M699" s="74"/>
      <c r="N699" s="74"/>
      <c r="O699" s="74"/>
      <c r="P699" s="74"/>
      <c r="Q699" s="74"/>
      <c r="R699" s="74"/>
      <c r="S699" s="74"/>
      <c r="T699" s="74"/>
      <c r="U699" s="74"/>
      <c r="V699" s="74"/>
      <c r="W699" s="74"/>
    </row>
    <row r="700">
      <c r="A700" s="74"/>
      <c r="B700" s="74"/>
      <c r="C700" s="74"/>
      <c r="D700" s="74"/>
      <c r="E700" s="74"/>
      <c r="F700" s="74"/>
      <c r="G700" s="74"/>
      <c r="H700" s="74"/>
      <c r="I700" s="74"/>
      <c r="J700" s="74"/>
      <c r="K700" s="74"/>
      <c r="L700" s="74"/>
      <c r="M700" s="74"/>
      <c r="N700" s="74"/>
      <c r="O700" s="74"/>
      <c r="P700" s="74"/>
      <c r="Q700" s="74"/>
      <c r="R700" s="74"/>
      <c r="S700" s="74"/>
      <c r="T700" s="74"/>
      <c r="U700" s="74"/>
      <c r="V700" s="74"/>
      <c r="W700" s="74"/>
    </row>
    <row r="701">
      <c r="A701" s="74"/>
      <c r="B701" s="74"/>
      <c r="C701" s="74"/>
      <c r="D701" s="74"/>
      <c r="E701" s="74"/>
      <c r="F701" s="74"/>
      <c r="G701" s="74"/>
      <c r="H701" s="74"/>
      <c r="I701" s="74"/>
      <c r="J701" s="74"/>
      <c r="K701" s="74"/>
      <c r="L701" s="74"/>
      <c r="M701" s="74"/>
      <c r="N701" s="74"/>
      <c r="O701" s="74"/>
      <c r="P701" s="74"/>
      <c r="Q701" s="74"/>
      <c r="R701" s="74"/>
      <c r="S701" s="74"/>
      <c r="T701" s="74"/>
      <c r="U701" s="74"/>
      <c r="V701" s="74"/>
      <c r="W701" s="74"/>
    </row>
    <row r="702">
      <c r="A702" s="74"/>
      <c r="B702" s="74"/>
      <c r="C702" s="74"/>
      <c r="D702" s="74"/>
      <c r="E702" s="74"/>
      <c r="F702" s="74"/>
      <c r="G702" s="74"/>
      <c r="H702" s="74"/>
      <c r="I702" s="74"/>
      <c r="J702" s="74"/>
      <c r="K702" s="74"/>
      <c r="L702" s="74"/>
      <c r="M702" s="74"/>
      <c r="N702" s="74"/>
      <c r="O702" s="74"/>
      <c r="P702" s="74"/>
      <c r="Q702" s="74"/>
      <c r="R702" s="74"/>
      <c r="S702" s="74"/>
      <c r="T702" s="74"/>
      <c r="U702" s="74"/>
      <c r="V702" s="74"/>
      <c r="W702" s="74"/>
    </row>
    <row r="703">
      <c r="A703" s="74"/>
      <c r="B703" s="74"/>
      <c r="C703" s="74"/>
      <c r="D703" s="74"/>
      <c r="E703" s="74"/>
      <c r="F703" s="74"/>
      <c r="G703" s="74"/>
      <c r="H703" s="74"/>
      <c r="I703" s="74"/>
      <c r="J703" s="74"/>
      <c r="K703" s="74"/>
      <c r="L703" s="74"/>
      <c r="M703" s="74"/>
      <c r="N703" s="74"/>
      <c r="O703" s="74"/>
      <c r="P703" s="74"/>
      <c r="Q703" s="74"/>
      <c r="R703" s="74"/>
      <c r="S703" s="74"/>
      <c r="T703" s="74"/>
      <c r="U703" s="74"/>
      <c r="V703" s="74"/>
      <c r="W703" s="74"/>
    </row>
    <row r="704">
      <c r="A704" s="74"/>
      <c r="B704" s="74"/>
      <c r="C704" s="74"/>
      <c r="D704" s="74"/>
      <c r="E704" s="74"/>
      <c r="F704" s="74"/>
      <c r="G704" s="74"/>
      <c r="H704" s="74"/>
      <c r="I704" s="74"/>
      <c r="J704" s="74"/>
      <c r="K704" s="74"/>
      <c r="L704" s="74"/>
      <c r="M704" s="74"/>
      <c r="N704" s="74"/>
      <c r="O704" s="74"/>
      <c r="P704" s="74"/>
      <c r="Q704" s="74"/>
      <c r="R704" s="74"/>
      <c r="S704" s="74"/>
      <c r="T704" s="74"/>
      <c r="U704" s="74"/>
      <c r="V704" s="74"/>
      <c r="W704" s="74"/>
    </row>
    <row r="705">
      <c r="A705" s="74"/>
      <c r="B705" s="74"/>
      <c r="C705" s="74"/>
      <c r="D705" s="74"/>
      <c r="E705" s="74"/>
      <c r="F705" s="74"/>
      <c r="G705" s="74"/>
      <c r="H705" s="74"/>
      <c r="I705" s="74"/>
      <c r="J705" s="74"/>
      <c r="K705" s="74"/>
      <c r="L705" s="74"/>
      <c r="M705" s="74"/>
      <c r="N705" s="74"/>
      <c r="O705" s="74"/>
      <c r="P705" s="74"/>
      <c r="Q705" s="74"/>
      <c r="R705" s="74"/>
      <c r="S705" s="74"/>
      <c r="T705" s="74"/>
      <c r="U705" s="74"/>
      <c r="V705" s="74"/>
      <c r="W705" s="74"/>
    </row>
    <row r="706">
      <c r="A706" s="74"/>
      <c r="B706" s="74"/>
      <c r="C706" s="74"/>
      <c r="D706" s="74"/>
      <c r="E706" s="74"/>
      <c r="F706" s="74"/>
      <c r="G706" s="74"/>
      <c r="H706" s="74"/>
      <c r="I706" s="74"/>
      <c r="J706" s="74"/>
      <c r="K706" s="74"/>
      <c r="L706" s="74"/>
      <c r="M706" s="74"/>
      <c r="N706" s="74"/>
      <c r="O706" s="74"/>
      <c r="P706" s="74"/>
      <c r="Q706" s="74"/>
      <c r="R706" s="74"/>
      <c r="S706" s="74"/>
      <c r="T706" s="74"/>
      <c r="U706" s="74"/>
      <c r="V706" s="74"/>
      <c r="W706" s="74"/>
    </row>
    <row r="707">
      <c r="A707" s="74"/>
      <c r="B707" s="74"/>
      <c r="C707" s="74"/>
      <c r="D707" s="74"/>
      <c r="E707" s="74"/>
      <c r="F707" s="74"/>
      <c r="G707" s="74"/>
      <c r="H707" s="74"/>
      <c r="I707" s="74"/>
      <c r="J707" s="74"/>
      <c r="K707" s="74"/>
      <c r="L707" s="74"/>
      <c r="M707" s="74"/>
      <c r="N707" s="74"/>
      <c r="O707" s="74"/>
      <c r="P707" s="74"/>
      <c r="Q707" s="74"/>
      <c r="R707" s="74"/>
      <c r="S707" s="74"/>
      <c r="T707" s="74"/>
      <c r="U707" s="74"/>
      <c r="V707" s="74"/>
      <c r="W707" s="74"/>
    </row>
    <row r="708">
      <c r="A708" s="74"/>
      <c r="B708" s="74"/>
      <c r="C708" s="74"/>
      <c r="D708" s="74"/>
      <c r="E708" s="74"/>
      <c r="F708" s="74"/>
      <c r="G708" s="74"/>
      <c r="H708" s="74"/>
      <c r="I708" s="74"/>
      <c r="J708" s="74"/>
      <c r="K708" s="74"/>
      <c r="L708" s="74"/>
      <c r="M708" s="74"/>
      <c r="N708" s="74"/>
      <c r="O708" s="74"/>
      <c r="P708" s="74"/>
      <c r="Q708" s="74"/>
      <c r="R708" s="74"/>
      <c r="S708" s="74"/>
      <c r="T708" s="74"/>
      <c r="U708" s="74"/>
      <c r="V708" s="74"/>
      <c r="W708" s="74"/>
    </row>
    <row r="709">
      <c r="A709" s="74"/>
      <c r="B709" s="74"/>
      <c r="C709" s="74"/>
      <c r="D709" s="74"/>
      <c r="E709" s="74"/>
      <c r="F709" s="74"/>
      <c r="G709" s="74"/>
      <c r="H709" s="74"/>
      <c r="I709" s="74"/>
      <c r="J709" s="74"/>
      <c r="K709" s="74"/>
      <c r="L709" s="74"/>
      <c r="M709" s="74"/>
      <c r="N709" s="74"/>
      <c r="O709" s="74"/>
      <c r="P709" s="74"/>
      <c r="Q709" s="74"/>
      <c r="R709" s="74"/>
      <c r="S709" s="74"/>
      <c r="T709" s="74"/>
      <c r="U709" s="74"/>
      <c r="V709" s="74"/>
      <c r="W709" s="74"/>
    </row>
    <row r="710">
      <c r="A710" s="74"/>
      <c r="B710" s="74"/>
      <c r="C710" s="74"/>
      <c r="D710" s="74"/>
      <c r="E710" s="74"/>
      <c r="F710" s="74"/>
      <c r="G710" s="74"/>
      <c r="H710" s="74"/>
      <c r="I710" s="74"/>
      <c r="J710" s="74"/>
      <c r="K710" s="74"/>
      <c r="L710" s="74"/>
      <c r="M710" s="74"/>
      <c r="N710" s="74"/>
      <c r="O710" s="74"/>
      <c r="P710" s="74"/>
      <c r="Q710" s="74"/>
      <c r="R710" s="74"/>
      <c r="S710" s="74"/>
      <c r="T710" s="74"/>
      <c r="U710" s="74"/>
      <c r="V710" s="74"/>
      <c r="W710" s="74"/>
    </row>
    <row r="711">
      <c r="A711" s="74"/>
      <c r="B711" s="74"/>
      <c r="C711" s="74"/>
      <c r="D711" s="74"/>
      <c r="E711" s="74"/>
      <c r="F711" s="74"/>
      <c r="G711" s="74"/>
      <c r="H711" s="74"/>
      <c r="I711" s="74"/>
      <c r="J711" s="74"/>
      <c r="K711" s="74"/>
      <c r="L711" s="74"/>
      <c r="M711" s="74"/>
      <c r="N711" s="74"/>
      <c r="O711" s="74"/>
      <c r="P711" s="74"/>
      <c r="Q711" s="74"/>
      <c r="R711" s="74"/>
      <c r="S711" s="74"/>
      <c r="T711" s="74"/>
      <c r="U711" s="74"/>
      <c r="V711" s="74"/>
      <c r="W711" s="74"/>
    </row>
    <row r="712">
      <c r="A712" s="74"/>
      <c r="B712" s="74"/>
      <c r="C712" s="74"/>
      <c r="D712" s="74"/>
      <c r="E712" s="74"/>
      <c r="F712" s="74"/>
      <c r="G712" s="74"/>
      <c r="H712" s="74"/>
      <c r="I712" s="74"/>
      <c r="J712" s="74"/>
      <c r="K712" s="74"/>
      <c r="L712" s="74"/>
      <c r="M712" s="74"/>
      <c r="N712" s="74"/>
      <c r="O712" s="74"/>
      <c r="P712" s="74"/>
      <c r="Q712" s="74"/>
      <c r="R712" s="74"/>
      <c r="S712" s="74"/>
      <c r="T712" s="74"/>
      <c r="U712" s="74"/>
      <c r="V712" s="74"/>
      <c r="W712" s="74"/>
    </row>
    <row r="713">
      <c r="A713" s="74"/>
      <c r="B713" s="74"/>
      <c r="C713" s="74"/>
      <c r="D713" s="74"/>
      <c r="E713" s="74"/>
      <c r="F713" s="74"/>
      <c r="G713" s="74"/>
      <c r="H713" s="74"/>
      <c r="I713" s="74"/>
      <c r="J713" s="74"/>
      <c r="K713" s="74"/>
      <c r="L713" s="74"/>
      <c r="M713" s="74"/>
      <c r="N713" s="74"/>
      <c r="O713" s="74"/>
      <c r="P713" s="74"/>
      <c r="Q713" s="74"/>
      <c r="R713" s="74"/>
      <c r="S713" s="74"/>
      <c r="T713" s="74"/>
      <c r="U713" s="74"/>
      <c r="V713" s="74"/>
      <c r="W713" s="74"/>
    </row>
    <row r="714">
      <c r="A714" s="74"/>
      <c r="B714" s="74"/>
      <c r="C714" s="74"/>
      <c r="D714" s="74"/>
      <c r="E714" s="74"/>
      <c r="F714" s="74"/>
      <c r="G714" s="74"/>
      <c r="H714" s="74"/>
      <c r="I714" s="74"/>
      <c r="J714" s="74"/>
      <c r="K714" s="74"/>
      <c r="L714" s="74"/>
      <c r="M714" s="74"/>
      <c r="N714" s="74"/>
      <c r="O714" s="74"/>
      <c r="P714" s="74"/>
      <c r="Q714" s="74"/>
      <c r="R714" s="74"/>
      <c r="S714" s="74"/>
      <c r="T714" s="74"/>
      <c r="U714" s="74"/>
      <c r="V714" s="74"/>
      <c r="W714" s="74"/>
    </row>
    <row r="715">
      <c r="A715" s="74"/>
      <c r="B715" s="74"/>
      <c r="C715" s="74"/>
      <c r="D715" s="74"/>
      <c r="E715" s="74"/>
      <c r="F715" s="74"/>
      <c r="G715" s="74"/>
      <c r="H715" s="74"/>
      <c r="I715" s="74"/>
      <c r="J715" s="74"/>
      <c r="K715" s="74"/>
      <c r="L715" s="74"/>
      <c r="M715" s="74"/>
      <c r="N715" s="74"/>
      <c r="O715" s="74"/>
      <c r="P715" s="74"/>
      <c r="Q715" s="74"/>
      <c r="R715" s="74"/>
      <c r="S715" s="74"/>
      <c r="T715" s="74"/>
      <c r="U715" s="74"/>
      <c r="V715" s="74"/>
      <c r="W715" s="74"/>
    </row>
    <row r="716">
      <c r="A716" s="74"/>
      <c r="B716" s="74"/>
      <c r="C716" s="74"/>
      <c r="D716" s="74"/>
      <c r="E716" s="74"/>
      <c r="F716" s="74"/>
      <c r="G716" s="74"/>
      <c r="H716" s="74"/>
      <c r="I716" s="74"/>
      <c r="J716" s="74"/>
      <c r="K716" s="74"/>
      <c r="L716" s="74"/>
      <c r="M716" s="74"/>
      <c r="N716" s="74"/>
      <c r="O716" s="74"/>
      <c r="P716" s="74"/>
      <c r="Q716" s="74"/>
      <c r="R716" s="74"/>
      <c r="S716" s="74"/>
      <c r="T716" s="74"/>
      <c r="U716" s="74"/>
      <c r="V716" s="74"/>
      <c r="W716" s="74"/>
    </row>
    <row r="717">
      <c r="A717" s="74"/>
      <c r="B717" s="74"/>
      <c r="C717" s="74"/>
      <c r="D717" s="74"/>
      <c r="E717" s="74"/>
      <c r="F717" s="74"/>
      <c r="G717" s="74"/>
      <c r="H717" s="74"/>
      <c r="I717" s="74"/>
      <c r="J717" s="74"/>
      <c r="K717" s="74"/>
      <c r="L717" s="74"/>
      <c r="M717" s="74"/>
      <c r="N717" s="74"/>
      <c r="O717" s="74"/>
      <c r="P717" s="74"/>
      <c r="Q717" s="74"/>
      <c r="R717" s="74"/>
      <c r="S717" s="74"/>
      <c r="T717" s="74"/>
      <c r="U717" s="74"/>
      <c r="V717" s="74"/>
      <c r="W717" s="74"/>
    </row>
    <row r="718">
      <c r="A718" s="74"/>
      <c r="B718" s="74"/>
      <c r="C718" s="74"/>
      <c r="D718" s="74"/>
      <c r="E718" s="74"/>
      <c r="F718" s="74"/>
      <c r="G718" s="74"/>
      <c r="H718" s="74"/>
      <c r="I718" s="74"/>
      <c r="J718" s="74"/>
      <c r="K718" s="74"/>
      <c r="L718" s="74"/>
      <c r="M718" s="74"/>
      <c r="N718" s="74"/>
      <c r="O718" s="74"/>
      <c r="P718" s="74"/>
      <c r="Q718" s="74"/>
      <c r="R718" s="74"/>
      <c r="S718" s="74"/>
      <c r="T718" s="74"/>
      <c r="U718" s="74"/>
      <c r="V718" s="74"/>
      <c r="W718" s="74"/>
    </row>
    <row r="719">
      <c r="A719" s="74"/>
      <c r="B719" s="74"/>
      <c r="C719" s="74"/>
      <c r="D719" s="74"/>
      <c r="E719" s="74"/>
      <c r="F719" s="74"/>
      <c r="G719" s="74"/>
      <c r="H719" s="74"/>
      <c r="I719" s="74"/>
      <c r="J719" s="74"/>
      <c r="K719" s="74"/>
      <c r="L719" s="74"/>
      <c r="M719" s="74"/>
      <c r="N719" s="74"/>
      <c r="O719" s="74"/>
      <c r="P719" s="74"/>
      <c r="Q719" s="74"/>
      <c r="R719" s="74"/>
      <c r="S719" s="74"/>
      <c r="T719" s="74"/>
      <c r="U719" s="74"/>
      <c r="V719" s="74"/>
      <c r="W719" s="74"/>
    </row>
    <row r="720">
      <c r="A720" s="74"/>
      <c r="B720" s="74"/>
      <c r="C720" s="74"/>
      <c r="D720" s="74"/>
      <c r="E720" s="74"/>
      <c r="F720" s="74"/>
      <c r="G720" s="74"/>
      <c r="H720" s="74"/>
      <c r="I720" s="74"/>
      <c r="J720" s="74"/>
      <c r="K720" s="74"/>
      <c r="L720" s="74"/>
      <c r="M720" s="74"/>
      <c r="N720" s="74"/>
      <c r="O720" s="74"/>
      <c r="P720" s="74"/>
      <c r="Q720" s="74"/>
      <c r="R720" s="74"/>
      <c r="S720" s="74"/>
      <c r="T720" s="74"/>
      <c r="U720" s="74"/>
      <c r="V720" s="74"/>
      <c r="W720" s="74"/>
    </row>
    <row r="721">
      <c r="A721" s="74"/>
      <c r="B721" s="74"/>
      <c r="C721" s="74"/>
      <c r="D721" s="74"/>
      <c r="E721" s="74"/>
      <c r="F721" s="74"/>
      <c r="G721" s="74"/>
      <c r="H721" s="74"/>
      <c r="I721" s="74"/>
      <c r="J721" s="74"/>
      <c r="K721" s="74"/>
      <c r="L721" s="74"/>
      <c r="M721" s="74"/>
      <c r="N721" s="74"/>
      <c r="O721" s="74"/>
      <c r="P721" s="74"/>
      <c r="Q721" s="74"/>
      <c r="R721" s="74"/>
      <c r="S721" s="74"/>
      <c r="T721" s="74"/>
      <c r="U721" s="74"/>
      <c r="V721" s="74"/>
      <c r="W721" s="74"/>
    </row>
    <row r="722">
      <c r="A722" s="74"/>
      <c r="B722" s="74"/>
      <c r="C722" s="74"/>
      <c r="D722" s="74"/>
      <c r="E722" s="74"/>
      <c r="F722" s="74"/>
      <c r="G722" s="74"/>
      <c r="H722" s="74"/>
      <c r="I722" s="74"/>
      <c r="J722" s="74"/>
      <c r="K722" s="74"/>
      <c r="L722" s="74"/>
      <c r="M722" s="74"/>
      <c r="N722" s="74"/>
      <c r="O722" s="74"/>
      <c r="P722" s="74"/>
      <c r="Q722" s="74"/>
      <c r="R722" s="74"/>
      <c r="S722" s="74"/>
      <c r="T722" s="74"/>
      <c r="U722" s="74"/>
      <c r="V722" s="74"/>
      <c r="W722" s="74"/>
    </row>
    <row r="723">
      <c r="A723" s="74"/>
      <c r="B723" s="74"/>
      <c r="C723" s="74"/>
      <c r="D723" s="74"/>
      <c r="E723" s="74"/>
      <c r="F723" s="74"/>
      <c r="G723" s="74"/>
      <c r="H723" s="74"/>
      <c r="I723" s="74"/>
      <c r="J723" s="74"/>
      <c r="K723" s="74"/>
      <c r="L723" s="74"/>
      <c r="M723" s="74"/>
      <c r="N723" s="74"/>
      <c r="O723" s="74"/>
      <c r="P723" s="74"/>
      <c r="Q723" s="74"/>
      <c r="R723" s="74"/>
      <c r="S723" s="74"/>
      <c r="T723" s="74"/>
      <c r="U723" s="74"/>
      <c r="V723" s="74"/>
      <c r="W723" s="74"/>
    </row>
    <row r="724">
      <c r="A724" s="74"/>
      <c r="B724" s="74"/>
      <c r="C724" s="74"/>
      <c r="D724" s="74"/>
      <c r="E724" s="74"/>
      <c r="F724" s="74"/>
      <c r="G724" s="74"/>
      <c r="H724" s="74"/>
      <c r="I724" s="74"/>
      <c r="J724" s="74"/>
      <c r="K724" s="74"/>
      <c r="L724" s="74"/>
      <c r="M724" s="74"/>
      <c r="N724" s="74"/>
      <c r="O724" s="74"/>
      <c r="P724" s="74"/>
      <c r="Q724" s="74"/>
      <c r="R724" s="74"/>
      <c r="S724" s="74"/>
      <c r="T724" s="74"/>
      <c r="U724" s="74"/>
      <c r="V724" s="74"/>
      <c r="W724" s="74"/>
    </row>
    <row r="725">
      <c r="A725" s="74"/>
      <c r="B725" s="74"/>
      <c r="C725" s="74"/>
      <c r="D725" s="74"/>
      <c r="E725" s="74"/>
      <c r="F725" s="74"/>
      <c r="G725" s="74"/>
      <c r="H725" s="74"/>
      <c r="I725" s="74"/>
      <c r="J725" s="74"/>
      <c r="K725" s="74"/>
      <c r="L725" s="74"/>
      <c r="M725" s="74"/>
      <c r="N725" s="74"/>
      <c r="O725" s="74"/>
      <c r="P725" s="74"/>
      <c r="Q725" s="74"/>
      <c r="R725" s="74"/>
      <c r="S725" s="74"/>
      <c r="T725" s="74"/>
      <c r="U725" s="74"/>
      <c r="V725" s="74"/>
      <c r="W725" s="74"/>
    </row>
    <row r="726">
      <c r="A726" s="74"/>
      <c r="B726" s="74"/>
      <c r="C726" s="74"/>
      <c r="D726" s="74"/>
      <c r="E726" s="74"/>
      <c r="F726" s="74"/>
      <c r="G726" s="74"/>
      <c r="H726" s="74"/>
      <c r="I726" s="74"/>
      <c r="J726" s="74"/>
      <c r="K726" s="74"/>
      <c r="L726" s="74"/>
      <c r="M726" s="74"/>
      <c r="N726" s="74"/>
      <c r="O726" s="74"/>
      <c r="P726" s="74"/>
      <c r="Q726" s="74"/>
      <c r="R726" s="74"/>
      <c r="S726" s="74"/>
      <c r="T726" s="74"/>
      <c r="U726" s="74"/>
      <c r="V726" s="74"/>
      <c r="W726" s="74"/>
    </row>
    <row r="727">
      <c r="A727" s="74"/>
      <c r="B727" s="74"/>
      <c r="C727" s="74"/>
      <c r="D727" s="74"/>
      <c r="E727" s="74"/>
      <c r="F727" s="74"/>
      <c r="G727" s="74"/>
      <c r="H727" s="74"/>
      <c r="I727" s="74"/>
      <c r="J727" s="74"/>
      <c r="K727" s="74"/>
      <c r="L727" s="74"/>
      <c r="M727" s="74"/>
      <c r="N727" s="74"/>
      <c r="O727" s="74"/>
      <c r="P727" s="74"/>
      <c r="Q727" s="74"/>
      <c r="R727" s="74"/>
      <c r="S727" s="74"/>
      <c r="T727" s="74"/>
      <c r="U727" s="74"/>
      <c r="V727" s="74"/>
      <c r="W727" s="74"/>
    </row>
    <row r="728">
      <c r="A728" s="74"/>
      <c r="B728" s="74"/>
      <c r="C728" s="74"/>
      <c r="D728" s="74"/>
      <c r="E728" s="74"/>
      <c r="F728" s="74"/>
      <c r="G728" s="74"/>
      <c r="H728" s="74"/>
      <c r="I728" s="74"/>
      <c r="J728" s="74"/>
      <c r="K728" s="74"/>
      <c r="L728" s="74"/>
      <c r="M728" s="74"/>
      <c r="N728" s="74"/>
      <c r="O728" s="74"/>
      <c r="P728" s="74"/>
      <c r="Q728" s="74"/>
      <c r="R728" s="74"/>
      <c r="S728" s="74"/>
      <c r="T728" s="74"/>
      <c r="U728" s="74"/>
      <c r="V728" s="74"/>
      <c r="W728" s="74"/>
    </row>
    <row r="729">
      <c r="A729" s="74"/>
      <c r="B729" s="74"/>
      <c r="C729" s="74"/>
      <c r="D729" s="74"/>
      <c r="E729" s="74"/>
      <c r="F729" s="74"/>
      <c r="G729" s="74"/>
      <c r="H729" s="74"/>
      <c r="I729" s="74"/>
      <c r="J729" s="74"/>
      <c r="K729" s="74"/>
      <c r="L729" s="74"/>
      <c r="M729" s="74"/>
      <c r="N729" s="74"/>
      <c r="O729" s="74"/>
      <c r="P729" s="74"/>
      <c r="Q729" s="74"/>
      <c r="R729" s="74"/>
      <c r="S729" s="74"/>
      <c r="T729" s="74"/>
      <c r="U729" s="74"/>
      <c r="V729" s="74"/>
      <c r="W729" s="74"/>
    </row>
    <row r="730">
      <c r="A730" s="74"/>
      <c r="B730" s="74"/>
      <c r="C730" s="74"/>
      <c r="D730" s="74"/>
      <c r="E730" s="74"/>
      <c r="F730" s="74"/>
      <c r="G730" s="74"/>
      <c r="H730" s="74"/>
      <c r="I730" s="74"/>
      <c r="J730" s="74"/>
      <c r="K730" s="74"/>
      <c r="L730" s="74"/>
      <c r="M730" s="74"/>
      <c r="N730" s="74"/>
      <c r="O730" s="74"/>
      <c r="P730" s="74"/>
      <c r="Q730" s="74"/>
      <c r="R730" s="74"/>
      <c r="S730" s="74"/>
      <c r="T730" s="74"/>
      <c r="U730" s="74"/>
      <c r="V730" s="74"/>
      <c r="W730" s="74"/>
    </row>
    <row r="731">
      <c r="A731" s="74"/>
      <c r="B731" s="74"/>
      <c r="C731" s="74"/>
      <c r="D731" s="74"/>
      <c r="E731" s="74"/>
      <c r="F731" s="74"/>
      <c r="G731" s="74"/>
      <c r="H731" s="74"/>
      <c r="I731" s="74"/>
      <c r="J731" s="74"/>
      <c r="K731" s="74"/>
      <c r="L731" s="74"/>
      <c r="M731" s="74"/>
      <c r="N731" s="74"/>
      <c r="O731" s="74"/>
      <c r="P731" s="74"/>
      <c r="Q731" s="74"/>
      <c r="R731" s="74"/>
      <c r="S731" s="74"/>
      <c r="T731" s="74"/>
      <c r="U731" s="74"/>
      <c r="V731" s="74"/>
      <c r="W731" s="74"/>
    </row>
    <row r="732">
      <c r="A732" s="74"/>
      <c r="B732" s="74"/>
      <c r="C732" s="74"/>
      <c r="D732" s="74"/>
      <c r="E732" s="74"/>
      <c r="F732" s="74"/>
      <c r="G732" s="74"/>
      <c r="H732" s="74"/>
      <c r="I732" s="74"/>
      <c r="J732" s="74"/>
      <c r="K732" s="74"/>
      <c r="L732" s="74"/>
      <c r="M732" s="74"/>
      <c r="N732" s="74"/>
      <c r="O732" s="74"/>
      <c r="P732" s="74"/>
      <c r="Q732" s="74"/>
      <c r="R732" s="74"/>
      <c r="S732" s="74"/>
      <c r="T732" s="74"/>
      <c r="U732" s="74"/>
      <c r="V732" s="74"/>
      <c r="W732" s="74"/>
    </row>
    <row r="733">
      <c r="A733" s="74"/>
      <c r="B733" s="74"/>
      <c r="C733" s="74"/>
      <c r="D733" s="74"/>
      <c r="E733" s="74"/>
      <c r="F733" s="74"/>
      <c r="G733" s="74"/>
      <c r="H733" s="74"/>
      <c r="I733" s="74"/>
      <c r="J733" s="74"/>
      <c r="K733" s="74"/>
      <c r="L733" s="74"/>
      <c r="M733" s="74"/>
      <c r="N733" s="74"/>
      <c r="O733" s="74"/>
      <c r="P733" s="74"/>
      <c r="Q733" s="74"/>
      <c r="R733" s="74"/>
      <c r="S733" s="74"/>
      <c r="T733" s="74"/>
      <c r="U733" s="74"/>
      <c r="V733" s="74"/>
      <c r="W733" s="74"/>
    </row>
    <row r="734">
      <c r="A734" s="74"/>
      <c r="B734" s="74"/>
      <c r="C734" s="74"/>
      <c r="D734" s="74"/>
      <c r="E734" s="74"/>
      <c r="F734" s="74"/>
      <c r="G734" s="74"/>
      <c r="H734" s="74"/>
      <c r="I734" s="74"/>
      <c r="J734" s="74"/>
      <c r="K734" s="74"/>
      <c r="L734" s="74"/>
      <c r="M734" s="74"/>
      <c r="N734" s="74"/>
      <c r="O734" s="74"/>
      <c r="P734" s="74"/>
      <c r="Q734" s="74"/>
      <c r="R734" s="74"/>
      <c r="S734" s="74"/>
      <c r="T734" s="74"/>
      <c r="U734" s="74"/>
      <c r="V734" s="74"/>
      <c r="W734" s="74"/>
    </row>
    <row r="735">
      <c r="A735" s="74"/>
      <c r="B735" s="74"/>
      <c r="C735" s="74"/>
      <c r="D735" s="74"/>
      <c r="E735" s="74"/>
      <c r="F735" s="74"/>
      <c r="G735" s="74"/>
      <c r="H735" s="74"/>
      <c r="I735" s="74"/>
      <c r="J735" s="74"/>
      <c r="K735" s="74"/>
      <c r="L735" s="74"/>
      <c r="M735" s="74"/>
      <c r="N735" s="74"/>
      <c r="O735" s="74"/>
      <c r="P735" s="74"/>
      <c r="Q735" s="74"/>
      <c r="R735" s="74"/>
      <c r="S735" s="74"/>
      <c r="T735" s="74"/>
      <c r="U735" s="74"/>
      <c r="V735" s="74"/>
      <c r="W735" s="74"/>
    </row>
    <row r="736">
      <c r="A736" s="74"/>
      <c r="B736" s="74"/>
      <c r="C736" s="74"/>
      <c r="D736" s="74"/>
      <c r="E736" s="74"/>
      <c r="F736" s="74"/>
      <c r="G736" s="74"/>
      <c r="H736" s="74"/>
      <c r="I736" s="74"/>
      <c r="J736" s="74"/>
      <c r="K736" s="74"/>
      <c r="L736" s="74"/>
      <c r="M736" s="74"/>
      <c r="N736" s="74"/>
      <c r="O736" s="74"/>
      <c r="P736" s="74"/>
      <c r="Q736" s="74"/>
      <c r="R736" s="74"/>
      <c r="S736" s="74"/>
      <c r="T736" s="74"/>
      <c r="U736" s="74"/>
      <c r="V736" s="74"/>
      <c r="W736" s="74"/>
    </row>
    <row r="737">
      <c r="A737" s="74"/>
      <c r="B737" s="74"/>
      <c r="C737" s="74"/>
      <c r="D737" s="74"/>
      <c r="E737" s="74"/>
      <c r="F737" s="74"/>
      <c r="G737" s="74"/>
      <c r="H737" s="74"/>
      <c r="I737" s="74"/>
      <c r="J737" s="74"/>
      <c r="K737" s="74"/>
      <c r="L737" s="74"/>
      <c r="M737" s="74"/>
      <c r="N737" s="74"/>
      <c r="O737" s="74"/>
      <c r="P737" s="74"/>
      <c r="Q737" s="74"/>
      <c r="R737" s="74"/>
      <c r="S737" s="74"/>
      <c r="T737" s="74"/>
      <c r="U737" s="74"/>
      <c r="V737" s="74"/>
      <c r="W737" s="74"/>
    </row>
    <row r="738">
      <c r="A738" s="74"/>
      <c r="B738" s="74"/>
      <c r="C738" s="74"/>
      <c r="D738" s="74"/>
      <c r="E738" s="74"/>
      <c r="F738" s="74"/>
      <c r="G738" s="74"/>
      <c r="H738" s="74"/>
      <c r="I738" s="74"/>
      <c r="J738" s="74"/>
      <c r="K738" s="74"/>
      <c r="L738" s="74"/>
      <c r="M738" s="74"/>
      <c r="N738" s="74"/>
      <c r="O738" s="74"/>
      <c r="P738" s="74"/>
      <c r="Q738" s="74"/>
      <c r="R738" s="74"/>
      <c r="S738" s="74"/>
      <c r="T738" s="74"/>
      <c r="U738" s="74"/>
      <c r="V738" s="74"/>
      <c r="W738" s="74"/>
    </row>
    <row r="739">
      <c r="A739" s="74"/>
      <c r="B739" s="74"/>
      <c r="C739" s="74"/>
      <c r="D739" s="74"/>
      <c r="E739" s="74"/>
      <c r="F739" s="74"/>
      <c r="G739" s="74"/>
      <c r="H739" s="74"/>
      <c r="I739" s="74"/>
      <c r="J739" s="74"/>
      <c r="K739" s="74"/>
      <c r="L739" s="74"/>
      <c r="M739" s="74"/>
      <c r="N739" s="74"/>
      <c r="O739" s="74"/>
      <c r="P739" s="74"/>
      <c r="Q739" s="74"/>
      <c r="R739" s="74"/>
      <c r="S739" s="74"/>
      <c r="T739" s="74"/>
      <c r="U739" s="74"/>
      <c r="V739" s="74"/>
      <c r="W739" s="74"/>
    </row>
    <row r="740">
      <c r="A740" s="74"/>
      <c r="B740" s="74"/>
      <c r="C740" s="74"/>
      <c r="D740" s="74"/>
      <c r="E740" s="74"/>
      <c r="F740" s="74"/>
      <c r="G740" s="74"/>
      <c r="H740" s="74"/>
      <c r="I740" s="74"/>
      <c r="J740" s="74"/>
      <c r="K740" s="74"/>
      <c r="L740" s="74"/>
      <c r="M740" s="74"/>
      <c r="N740" s="74"/>
      <c r="O740" s="74"/>
      <c r="P740" s="74"/>
      <c r="Q740" s="74"/>
      <c r="R740" s="74"/>
      <c r="S740" s="74"/>
      <c r="T740" s="74"/>
      <c r="U740" s="74"/>
      <c r="V740" s="74"/>
      <c r="W740" s="74"/>
    </row>
    <row r="741">
      <c r="A741" s="74"/>
      <c r="B741" s="74"/>
      <c r="C741" s="74"/>
      <c r="D741" s="74"/>
      <c r="E741" s="74"/>
      <c r="F741" s="74"/>
      <c r="G741" s="74"/>
      <c r="H741" s="74"/>
      <c r="I741" s="74"/>
      <c r="J741" s="74"/>
      <c r="K741" s="74"/>
      <c r="L741" s="74"/>
      <c r="M741" s="74"/>
      <c r="N741" s="74"/>
      <c r="O741" s="74"/>
      <c r="P741" s="74"/>
      <c r="Q741" s="74"/>
      <c r="R741" s="74"/>
      <c r="S741" s="74"/>
      <c r="T741" s="74"/>
      <c r="U741" s="74"/>
      <c r="V741" s="74"/>
      <c r="W741" s="74"/>
    </row>
    <row r="742">
      <c r="A742" s="74"/>
      <c r="B742" s="74"/>
      <c r="C742" s="74"/>
      <c r="D742" s="74"/>
      <c r="E742" s="74"/>
      <c r="F742" s="74"/>
      <c r="G742" s="74"/>
      <c r="H742" s="74"/>
      <c r="I742" s="74"/>
      <c r="J742" s="74"/>
      <c r="K742" s="74"/>
      <c r="L742" s="74"/>
      <c r="M742" s="74"/>
      <c r="N742" s="74"/>
      <c r="O742" s="74"/>
      <c r="P742" s="74"/>
      <c r="Q742" s="74"/>
      <c r="R742" s="74"/>
      <c r="S742" s="74"/>
      <c r="T742" s="74"/>
      <c r="U742" s="74"/>
      <c r="V742" s="74"/>
      <c r="W742" s="74"/>
    </row>
    <row r="743">
      <c r="A743" s="74"/>
      <c r="B743" s="74"/>
      <c r="C743" s="74"/>
      <c r="D743" s="74"/>
      <c r="E743" s="74"/>
      <c r="F743" s="74"/>
      <c r="G743" s="74"/>
      <c r="H743" s="74"/>
      <c r="I743" s="74"/>
      <c r="J743" s="74"/>
      <c r="K743" s="74"/>
      <c r="L743" s="74"/>
      <c r="M743" s="74"/>
      <c r="N743" s="74"/>
      <c r="O743" s="74"/>
      <c r="P743" s="74"/>
      <c r="Q743" s="74"/>
      <c r="R743" s="74"/>
      <c r="S743" s="74"/>
      <c r="T743" s="74"/>
      <c r="U743" s="74"/>
      <c r="V743" s="74"/>
      <c r="W743" s="74"/>
    </row>
    <row r="744">
      <c r="A744" s="74"/>
      <c r="B744" s="74"/>
      <c r="C744" s="74"/>
      <c r="D744" s="74"/>
      <c r="E744" s="74"/>
      <c r="F744" s="74"/>
      <c r="G744" s="74"/>
      <c r="H744" s="74"/>
      <c r="I744" s="74"/>
      <c r="J744" s="74"/>
      <c r="K744" s="74"/>
      <c r="L744" s="74"/>
      <c r="M744" s="74"/>
      <c r="N744" s="74"/>
      <c r="O744" s="74"/>
      <c r="P744" s="74"/>
      <c r="Q744" s="74"/>
      <c r="R744" s="74"/>
      <c r="S744" s="74"/>
      <c r="T744" s="74"/>
      <c r="U744" s="74"/>
      <c r="V744" s="74"/>
      <c r="W744" s="74"/>
    </row>
    <row r="745">
      <c r="A745" s="74"/>
      <c r="B745" s="74"/>
      <c r="C745" s="74"/>
      <c r="D745" s="74"/>
      <c r="E745" s="74"/>
      <c r="F745" s="74"/>
      <c r="G745" s="74"/>
      <c r="H745" s="74"/>
      <c r="I745" s="74"/>
      <c r="J745" s="74"/>
      <c r="K745" s="74"/>
      <c r="L745" s="74"/>
      <c r="M745" s="74"/>
      <c r="N745" s="74"/>
      <c r="O745" s="74"/>
      <c r="P745" s="74"/>
      <c r="Q745" s="74"/>
      <c r="R745" s="74"/>
      <c r="S745" s="74"/>
      <c r="T745" s="74"/>
      <c r="U745" s="74"/>
      <c r="V745" s="74"/>
      <c r="W745" s="74"/>
    </row>
    <row r="746">
      <c r="A746" s="74"/>
      <c r="B746" s="74"/>
      <c r="C746" s="74"/>
      <c r="D746" s="74"/>
      <c r="E746" s="74"/>
      <c r="F746" s="74"/>
      <c r="G746" s="74"/>
      <c r="H746" s="74"/>
      <c r="I746" s="74"/>
      <c r="J746" s="74"/>
      <c r="K746" s="74"/>
      <c r="L746" s="74"/>
      <c r="M746" s="74"/>
      <c r="N746" s="74"/>
      <c r="O746" s="74"/>
      <c r="P746" s="74"/>
      <c r="Q746" s="74"/>
      <c r="R746" s="74"/>
      <c r="S746" s="74"/>
      <c r="T746" s="74"/>
      <c r="U746" s="74"/>
      <c r="V746" s="74"/>
      <c r="W746" s="74"/>
    </row>
    <row r="747">
      <c r="A747" s="74"/>
      <c r="B747" s="74"/>
      <c r="C747" s="74"/>
      <c r="D747" s="74"/>
      <c r="E747" s="74"/>
      <c r="F747" s="74"/>
      <c r="G747" s="74"/>
      <c r="H747" s="74"/>
      <c r="I747" s="74"/>
      <c r="J747" s="74"/>
      <c r="K747" s="74"/>
      <c r="L747" s="74"/>
      <c r="M747" s="74"/>
      <c r="N747" s="74"/>
      <c r="O747" s="74"/>
      <c r="P747" s="74"/>
      <c r="Q747" s="74"/>
      <c r="R747" s="74"/>
      <c r="S747" s="74"/>
      <c r="T747" s="74"/>
      <c r="U747" s="74"/>
      <c r="V747" s="74"/>
      <c r="W747" s="74"/>
    </row>
    <row r="748">
      <c r="A748" s="74"/>
      <c r="B748" s="74"/>
      <c r="C748" s="74"/>
      <c r="D748" s="74"/>
      <c r="E748" s="74"/>
      <c r="F748" s="74"/>
      <c r="G748" s="74"/>
      <c r="H748" s="74"/>
      <c r="I748" s="74"/>
      <c r="J748" s="74"/>
      <c r="K748" s="74"/>
      <c r="L748" s="74"/>
      <c r="M748" s="74"/>
      <c r="N748" s="74"/>
      <c r="O748" s="74"/>
      <c r="P748" s="74"/>
      <c r="Q748" s="74"/>
      <c r="R748" s="74"/>
      <c r="S748" s="74"/>
      <c r="T748" s="74"/>
      <c r="U748" s="74"/>
      <c r="V748" s="74"/>
      <c r="W748" s="74"/>
    </row>
    <row r="749">
      <c r="A749" s="74"/>
      <c r="B749" s="74"/>
      <c r="C749" s="74"/>
      <c r="D749" s="74"/>
      <c r="E749" s="74"/>
      <c r="F749" s="74"/>
      <c r="G749" s="74"/>
      <c r="H749" s="74"/>
      <c r="I749" s="74"/>
      <c r="J749" s="74"/>
      <c r="K749" s="74"/>
      <c r="L749" s="74"/>
      <c r="M749" s="74"/>
      <c r="N749" s="74"/>
      <c r="O749" s="74"/>
      <c r="P749" s="74"/>
      <c r="Q749" s="74"/>
      <c r="R749" s="74"/>
      <c r="S749" s="74"/>
      <c r="T749" s="74"/>
      <c r="U749" s="74"/>
      <c r="V749" s="74"/>
      <c r="W749" s="74"/>
    </row>
    <row r="750">
      <c r="A750" s="74"/>
      <c r="B750" s="74"/>
      <c r="C750" s="74"/>
      <c r="D750" s="74"/>
      <c r="E750" s="74"/>
      <c r="F750" s="74"/>
      <c r="G750" s="74"/>
      <c r="H750" s="74"/>
      <c r="I750" s="74"/>
      <c r="J750" s="74"/>
      <c r="K750" s="74"/>
      <c r="L750" s="74"/>
      <c r="M750" s="74"/>
      <c r="N750" s="74"/>
      <c r="O750" s="74"/>
      <c r="P750" s="74"/>
      <c r="Q750" s="74"/>
      <c r="R750" s="74"/>
      <c r="S750" s="74"/>
      <c r="T750" s="74"/>
      <c r="U750" s="74"/>
      <c r="V750" s="74"/>
      <c r="W750" s="74"/>
    </row>
    <row r="751">
      <c r="A751" s="74"/>
      <c r="B751" s="74"/>
      <c r="C751" s="74"/>
      <c r="D751" s="74"/>
      <c r="E751" s="74"/>
      <c r="F751" s="74"/>
      <c r="G751" s="74"/>
      <c r="H751" s="74"/>
      <c r="I751" s="74"/>
      <c r="J751" s="74"/>
      <c r="K751" s="74"/>
      <c r="L751" s="74"/>
      <c r="M751" s="74"/>
      <c r="N751" s="74"/>
      <c r="O751" s="74"/>
      <c r="P751" s="74"/>
      <c r="Q751" s="74"/>
      <c r="R751" s="74"/>
      <c r="S751" s="74"/>
      <c r="T751" s="74"/>
      <c r="U751" s="74"/>
      <c r="V751" s="74"/>
      <c r="W751" s="74"/>
    </row>
    <row r="752">
      <c r="A752" s="74"/>
      <c r="B752" s="74"/>
      <c r="C752" s="74"/>
      <c r="D752" s="74"/>
      <c r="E752" s="74"/>
      <c r="F752" s="74"/>
      <c r="G752" s="74"/>
      <c r="H752" s="74"/>
      <c r="I752" s="74"/>
      <c r="J752" s="74"/>
      <c r="K752" s="74"/>
      <c r="L752" s="74"/>
      <c r="M752" s="74"/>
      <c r="N752" s="74"/>
      <c r="O752" s="74"/>
      <c r="P752" s="74"/>
      <c r="Q752" s="74"/>
      <c r="R752" s="74"/>
      <c r="S752" s="74"/>
      <c r="T752" s="74"/>
      <c r="U752" s="74"/>
      <c r="V752" s="74"/>
      <c r="W752" s="74"/>
    </row>
    <row r="753">
      <c r="A753" s="74"/>
      <c r="B753" s="74"/>
      <c r="C753" s="74"/>
      <c r="D753" s="74"/>
      <c r="E753" s="74"/>
      <c r="F753" s="74"/>
      <c r="G753" s="74"/>
      <c r="H753" s="74"/>
      <c r="I753" s="74"/>
      <c r="J753" s="74"/>
      <c r="K753" s="74"/>
      <c r="L753" s="74"/>
      <c r="M753" s="74"/>
      <c r="N753" s="74"/>
      <c r="O753" s="74"/>
      <c r="P753" s="74"/>
      <c r="Q753" s="74"/>
      <c r="R753" s="74"/>
      <c r="S753" s="74"/>
      <c r="T753" s="74"/>
      <c r="U753" s="74"/>
      <c r="V753" s="74"/>
      <c r="W753" s="74"/>
    </row>
    <row r="754">
      <c r="A754" s="74"/>
      <c r="B754" s="74"/>
      <c r="C754" s="74"/>
      <c r="D754" s="74"/>
      <c r="E754" s="74"/>
      <c r="F754" s="74"/>
      <c r="G754" s="74"/>
      <c r="H754" s="74"/>
      <c r="I754" s="74"/>
      <c r="J754" s="74"/>
      <c r="K754" s="74"/>
      <c r="L754" s="74"/>
      <c r="M754" s="74"/>
      <c r="N754" s="74"/>
      <c r="O754" s="74"/>
      <c r="P754" s="74"/>
      <c r="Q754" s="74"/>
      <c r="R754" s="74"/>
      <c r="S754" s="74"/>
      <c r="T754" s="74"/>
      <c r="U754" s="74"/>
      <c r="V754" s="74"/>
      <c r="W754" s="74"/>
    </row>
    <row r="755">
      <c r="A755" s="74"/>
      <c r="B755" s="74"/>
      <c r="C755" s="74"/>
      <c r="D755" s="74"/>
      <c r="E755" s="74"/>
      <c r="F755" s="74"/>
      <c r="G755" s="74"/>
      <c r="H755" s="74"/>
      <c r="I755" s="74"/>
      <c r="J755" s="74"/>
      <c r="K755" s="74"/>
      <c r="L755" s="74"/>
      <c r="M755" s="74"/>
      <c r="N755" s="74"/>
      <c r="O755" s="74"/>
      <c r="P755" s="74"/>
      <c r="Q755" s="74"/>
      <c r="R755" s="74"/>
      <c r="S755" s="74"/>
      <c r="T755" s="74"/>
      <c r="U755" s="74"/>
      <c r="V755" s="74"/>
      <c r="W755" s="74"/>
    </row>
    <row r="756">
      <c r="A756" s="74"/>
      <c r="B756" s="74"/>
      <c r="C756" s="74"/>
      <c r="D756" s="74"/>
      <c r="E756" s="74"/>
      <c r="F756" s="74"/>
      <c r="G756" s="74"/>
      <c r="H756" s="74"/>
      <c r="I756" s="74"/>
      <c r="J756" s="74"/>
      <c r="K756" s="74"/>
      <c r="L756" s="74"/>
      <c r="M756" s="74"/>
      <c r="N756" s="74"/>
      <c r="O756" s="74"/>
      <c r="P756" s="74"/>
      <c r="Q756" s="74"/>
      <c r="R756" s="74"/>
      <c r="S756" s="74"/>
      <c r="T756" s="74"/>
      <c r="U756" s="74"/>
      <c r="V756" s="74"/>
      <c r="W756" s="74"/>
    </row>
    <row r="757">
      <c r="A757" s="74"/>
      <c r="B757" s="74"/>
      <c r="C757" s="74"/>
      <c r="D757" s="74"/>
      <c r="E757" s="74"/>
      <c r="F757" s="74"/>
      <c r="G757" s="74"/>
      <c r="H757" s="74"/>
      <c r="I757" s="74"/>
      <c r="J757" s="74"/>
      <c r="K757" s="74"/>
      <c r="L757" s="74"/>
      <c r="M757" s="74"/>
      <c r="N757" s="74"/>
      <c r="O757" s="74"/>
      <c r="P757" s="74"/>
      <c r="Q757" s="74"/>
      <c r="R757" s="74"/>
      <c r="S757" s="74"/>
      <c r="T757" s="74"/>
      <c r="U757" s="74"/>
      <c r="V757" s="74"/>
      <c r="W757" s="74"/>
    </row>
    <row r="758">
      <c r="A758" s="74"/>
      <c r="B758" s="74"/>
      <c r="C758" s="74"/>
      <c r="D758" s="74"/>
      <c r="E758" s="74"/>
      <c r="F758" s="74"/>
      <c r="G758" s="74"/>
      <c r="H758" s="74"/>
      <c r="I758" s="74"/>
      <c r="J758" s="74"/>
      <c r="K758" s="74"/>
      <c r="L758" s="74"/>
      <c r="M758" s="74"/>
      <c r="N758" s="74"/>
      <c r="O758" s="74"/>
      <c r="P758" s="74"/>
      <c r="Q758" s="74"/>
      <c r="R758" s="74"/>
      <c r="S758" s="74"/>
      <c r="T758" s="74"/>
      <c r="U758" s="74"/>
      <c r="V758" s="74"/>
      <c r="W758" s="74"/>
    </row>
    <row r="759">
      <c r="A759" s="74"/>
      <c r="B759" s="74"/>
      <c r="C759" s="74"/>
      <c r="D759" s="74"/>
      <c r="E759" s="74"/>
      <c r="F759" s="74"/>
      <c r="G759" s="74"/>
      <c r="H759" s="74"/>
      <c r="I759" s="74"/>
      <c r="J759" s="74"/>
      <c r="K759" s="74"/>
      <c r="L759" s="74"/>
      <c r="M759" s="74"/>
      <c r="N759" s="74"/>
      <c r="O759" s="74"/>
      <c r="P759" s="74"/>
      <c r="Q759" s="74"/>
      <c r="R759" s="74"/>
      <c r="S759" s="74"/>
      <c r="T759" s="74"/>
      <c r="U759" s="74"/>
      <c r="V759" s="74"/>
      <c r="W759" s="74"/>
    </row>
    <row r="760">
      <c r="A760" s="74"/>
      <c r="B760" s="74"/>
      <c r="C760" s="74"/>
      <c r="D760" s="74"/>
      <c r="E760" s="74"/>
      <c r="F760" s="74"/>
      <c r="G760" s="74"/>
      <c r="H760" s="74"/>
      <c r="I760" s="74"/>
      <c r="J760" s="74"/>
      <c r="K760" s="74"/>
      <c r="L760" s="74"/>
      <c r="M760" s="74"/>
      <c r="N760" s="74"/>
      <c r="O760" s="74"/>
      <c r="P760" s="74"/>
      <c r="Q760" s="74"/>
      <c r="R760" s="74"/>
      <c r="S760" s="74"/>
      <c r="T760" s="74"/>
      <c r="U760" s="74"/>
      <c r="V760" s="74"/>
      <c r="W760" s="74"/>
    </row>
    <row r="761">
      <c r="A761" s="74"/>
      <c r="B761" s="74"/>
      <c r="C761" s="74"/>
      <c r="D761" s="74"/>
      <c r="E761" s="74"/>
      <c r="F761" s="74"/>
      <c r="G761" s="74"/>
      <c r="H761" s="74"/>
      <c r="I761" s="74"/>
      <c r="J761" s="74"/>
      <c r="K761" s="74"/>
      <c r="L761" s="74"/>
      <c r="M761" s="74"/>
      <c r="N761" s="74"/>
      <c r="O761" s="74"/>
      <c r="P761" s="74"/>
      <c r="Q761" s="74"/>
      <c r="R761" s="74"/>
      <c r="S761" s="74"/>
      <c r="T761" s="74"/>
      <c r="U761" s="74"/>
      <c r="V761" s="74"/>
      <c r="W761" s="74"/>
    </row>
    <row r="762">
      <c r="A762" s="74"/>
      <c r="B762" s="74"/>
      <c r="C762" s="74"/>
      <c r="D762" s="74"/>
      <c r="E762" s="74"/>
      <c r="F762" s="74"/>
      <c r="G762" s="74"/>
      <c r="H762" s="74"/>
      <c r="I762" s="74"/>
      <c r="J762" s="74"/>
      <c r="K762" s="74"/>
      <c r="L762" s="74"/>
      <c r="M762" s="74"/>
      <c r="N762" s="74"/>
      <c r="O762" s="74"/>
      <c r="P762" s="74"/>
      <c r="Q762" s="74"/>
      <c r="R762" s="74"/>
      <c r="S762" s="74"/>
      <c r="T762" s="74"/>
      <c r="U762" s="74"/>
      <c r="V762" s="74"/>
      <c r="W762" s="74"/>
    </row>
    <row r="763">
      <c r="A763" s="74"/>
      <c r="B763" s="74"/>
      <c r="C763" s="74"/>
      <c r="D763" s="74"/>
      <c r="E763" s="74"/>
      <c r="F763" s="74"/>
      <c r="G763" s="74"/>
      <c r="H763" s="74"/>
      <c r="I763" s="74"/>
      <c r="J763" s="74"/>
      <c r="K763" s="74"/>
      <c r="L763" s="74"/>
      <c r="M763" s="74"/>
      <c r="N763" s="74"/>
      <c r="O763" s="74"/>
      <c r="P763" s="74"/>
      <c r="Q763" s="74"/>
      <c r="R763" s="74"/>
      <c r="S763" s="74"/>
      <c r="T763" s="74"/>
      <c r="U763" s="74"/>
      <c r="V763" s="74"/>
      <c r="W763" s="74"/>
    </row>
    <row r="764">
      <c r="A764" s="74"/>
      <c r="B764" s="74"/>
      <c r="C764" s="74"/>
      <c r="D764" s="74"/>
      <c r="E764" s="74"/>
      <c r="F764" s="74"/>
      <c r="G764" s="74"/>
      <c r="H764" s="74"/>
      <c r="I764" s="74"/>
      <c r="J764" s="74"/>
      <c r="K764" s="74"/>
      <c r="L764" s="74"/>
      <c r="M764" s="74"/>
      <c r="N764" s="74"/>
      <c r="O764" s="74"/>
      <c r="P764" s="74"/>
      <c r="Q764" s="74"/>
      <c r="R764" s="74"/>
      <c r="S764" s="74"/>
      <c r="T764" s="74"/>
      <c r="U764" s="74"/>
      <c r="V764" s="74"/>
      <c r="W764" s="74"/>
    </row>
    <row r="765">
      <c r="A765" s="74"/>
      <c r="B765" s="74"/>
      <c r="C765" s="74"/>
      <c r="D765" s="74"/>
      <c r="E765" s="74"/>
      <c r="F765" s="74"/>
      <c r="G765" s="74"/>
      <c r="H765" s="74"/>
      <c r="I765" s="74"/>
      <c r="J765" s="74"/>
      <c r="K765" s="74"/>
      <c r="L765" s="74"/>
      <c r="M765" s="74"/>
      <c r="N765" s="74"/>
      <c r="O765" s="74"/>
      <c r="P765" s="74"/>
      <c r="Q765" s="74"/>
      <c r="R765" s="74"/>
      <c r="S765" s="74"/>
      <c r="T765" s="74"/>
      <c r="U765" s="74"/>
      <c r="V765" s="74"/>
      <c r="W765" s="74"/>
    </row>
    <row r="766">
      <c r="A766" s="74"/>
      <c r="B766" s="74"/>
      <c r="C766" s="74"/>
      <c r="D766" s="74"/>
      <c r="E766" s="74"/>
      <c r="F766" s="74"/>
      <c r="G766" s="74"/>
      <c r="H766" s="74"/>
      <c r="I766" s="74"/>
      <c r="J766" s="74"/>
      <c r="K766" s="74"/>
      <c r="L766" s="74"/>
      <c r="M766" s="74"/>
      <c r="N766" s="74"/>
      <c r="O766" s="74"/>
      <c r="P766" s="74"/>
      <c r="Q766" s="74"/>
      <c r="R766" s="74"/>
      <c r="S766" s="74"/>
      <c r="T766" s="74"/>
      <c r="U766" s="74"/>
      <c r="V766" s="74"/>
      <c r="W766" s="74"/>
    </row>
    <row r="767">
      <c r="A767" s="74"/>
      <c r="B767" s="74"/>
      <c r="C767" s="74"/>
      <c r="D767" s="74"/>
      <c r="E767" s="74"/>
      <c r="F767" s="74"/>
      <c r="G767" s="74"/>
      <c r="H767" s="74"/>
      <c r="I767" s="74"/>
      <c r="J767" s="74"/>
      <c r="K767" s="74"/>
      <c r="L767" s="74"/>
      <c r="M767" s="74"/>
      <c r="N767" s="74"/>
      <c r="O767" s="74"/>
      <c r="P767" s="74"/>
      <c r="Q767" s="74"/>
      <c r="R767" s="74"/>
      <c r="S767" s="74"/>
      <c r="T767" s="74"/>
      <c r="U767" s="74"/>
      <c r="V767" s="74"/>
      <c r="W767" s="74"/>
    </row>
    <row r="768">
      <c r="A768" s="74"/>
      <c r="B768" s="74"/>
      <c r="C768" s="74"/>
      <c r="D768" s="74"/>
      <c r="E768" s="74"/>
      <c r="F768" s="74"/>
      <c r="G768" s="74"/>
      <c r="H768" s="74"/>
      <c r="I768" s="74"/>
      <c r="J768" s="74"/>
      <c r="K768" s="74"/>
      <c r="L768" s="74"/>
      <c r="M768" s="74"/>
      <c r="N768" s="74"/>
      <c r="O768" s="74"/>
      <c r="P768" s="74"/>
      <c r="Q768" s="74"/>
      <c r="R768" s="74"/>
      <c r="S768" s="74"/>
      <c r="T768" s="74"/>
      <c r="U768" s="74"/>
      <c r="V768" s="74"/>
      <c r="W768" s="74"/>
    </row>
    <row r="769">
      <c r="A769" s="74"/>
      <c r="B769" s="74"/>
      <c r="C769" s="74"/>
      <c r="D769" s="74"/>
      <c r="E769" s="74"/>
      <c r="F769" s="74"/>
      <c r="G769" s="74"/>
      <c r="H769" s="74"/>
      <c r="I769" s="74"/>
      <c r="J769" s="74"/>
      <c r="K769" s="74"/>
      <c r="L769" s="74"/>
      <c r="M769" s="74"/>
      <c r="N769" s="74"/>
      <c r="O769" s="74"/>
      <c r="P769" s="74"/>
      <c r="Q769" s="74"/>
      <c r="R769" s="74"/>
      <c r="S769" s="74"/>
      <c r="T769" s="74"/>
      <c r="U769" s="74"/>
      <c r="V769" s="74"/>
      <c r="W769" s="74"/>
    </row>
    <row r="770">
      <c r="A770" s="74"/>
      <c r="B770" s="74"/>
      <c r="C770" s="74"/>
      <c r="D770" s="74"/>
      <c r="E770" s="74"/>
      <c r="F770" s="74"/>
      <c r="G770" s="74"/>
      <c r="H770" s="74"/>
      <c r="I770" s="74"/>
      <c r="J770" s="74"/>
      <c r="K770" s="74"/>
      <c r="L770" s="74"/>
      <c r="M770" s="74"/>
      <c r="N770" s="74"/>
      <c r="O770" s="74"/>
      <c r="P770" s="74"/>
      <c r="Q770" s="74"/>
      <c r="R770" s="74"/>
      <c r="S770" s="74"/>
      <c r="T770" s="74"/>
      <c r="U770" s="74"/>
      <c r="V770" s="74"/>
      <c r="W770" s="74"/>
    </row>
    <row r="771">
      <c r="A771" s="74"/>
      <c r="B771" s="74"/>
      <c r="C771" s="74"/>
      <c r="D771" s="74"/>
      <c r="E771" s="74"/>
      <c r="F771" s="74"/>
      <c r="G771" s="74"/>
      <c r="H771" s="74"/>
      <c r="I771" s="74"/>
      <c r="J771" s="74"/>
      <c r="K771" s="74"/>
      <c r="L771" s="74"/>
      <c r="M771" s="74"/>
      <c r="N771" s="74"/>
      <c r="O771" s="74"/>
      <c r="P771" s="74"/>
      <c r="Q771" s="74"/>
      <c r="R771" s="74"/>
      <c r="S771" s="74"/>
      <c r="T771" s="74"/>
      <c r="U771" s="74"/>
      <c r="V771" s="74"/>
      <c r="W771" s="74"/>
    </row>
    <row r="772">
      <c r="A772" s="74"/>
      <c r="B772" s="74"/>
      <c r="C772" s="74"/>
      <c r="D772" s="74"/>
      <c r="E772" s="74"/>
      <c r="F772" s="74"/>
      <c r="G772" s="74"/>
      <c r="H772" s="74"/>
      <c r="I772" s="74"/>
      <c r="J772" s="74"/>
      <c r="K772" s="74"/>
      <c r="L772" s="74"/>
      <c r="M772" s="74"/>
      <c r="N772" s="74"/>
      <c r="O772" s="74"/>
      <c r="P772" s="74"/>
      <c r="Q772" s="74"/>
      <c r="R772" s="74"/>
      <c r="S772" s="74"/>
      <c r="T772" s="74"/>
      <c r="U772" s="74"/>
      <c r="V772" s="74"/>
      <c r="W772" s="74"/>
    </row>
    <row r="773">
      <c r="A773" s="74"/>
      <c r="B773" s="74"/>
      <c r="C773" s="74"/>
      <c r="D773" s="74"/>
      <c r="E773" s="74"/>
      <c r="F773" s="74"/>
      <c r="G773" s="74"/>
      <c r="H773" s="74"/>
      <c r="I773" s="74"/>
      <c r="J773" s="74"/>
      <c r="K773" s="74"/>
      <c r="L773" s="74"/>
      <c r="M773" s="74"/>
      <c r="N773" s="74"/>
      <c r="O773" s="74"/>
      <c r="P773" s="74"/>
      <c r="Q773" s="74"/>
      <c r="R773" s="74"/>
      <c r="S773" s="74"/>
      <c r="T773" s="74"/>
      <c r="U773" s="74"/>
      <c r="V773" s="74"/>
      <c r="W773" s="74"/>
    </row>
    <row r="774">
      <c r="A774" s="74"/>
      <c r="B774" s="74"/>
      <c r="C774" s="74"/>
      <c r="D774" s="74"/>
      <c r="E774" s="74"/>
      <c r="F774" s="74"/>
      <c r="G774" s="74"/>
      <c r="H774" s="74"/>
      <c r="I774" s="74"/>
      <c r="J774" s="74"/>
      <c r="K774" s="74"/>
      <c r="L774" s="74"/>
      <c r="M774" s="74"/>
      <c r="N774" s="74"/>
      <c r="O774" s="74"/>
      <c r="P774" s="74"/>
      <c r="Q774" s="74"/>
      <c r="R774" s="74"/>
      <c r="S774" s="74"/>
      <c r="T774" s="74"/>
      <c r="U774" s="74"/>
      <c r="V774" s="74"/>
      <c r="W774" s="74"/>
    </row>
    <row r="775">
      <c r="A775" s="74"/>
      <c r="B775" s="74"/>
      <c r="C775" s="74"/>
      <c r="D775" s="74"/>
      <c r="E775" s="74"/>
      <c r="F775" s="74"/>
      <c r="G775" s="74"/>
      <c r="H775" s="74"/>
      <c r="I775" s="74"/>
      <c r="J775" s="74"/>
      <c r="K775" s="74"/>
      <c r="L775" s="74"/>
      <c r="M775" s="74"/>
      <c r="N775" s="74"/>
      <c r="O775" s="74"/>
      <c r="P775" s="74"/>
      <c r="Q775" s="74"/>
      <c r="R775" s="74"/>
      <c r="S775" s="74"/>
      <c r="T775" s="74"/>
      <c r="U775" s="74"/>
      <c r="V775" s="74"/>
      <c r="W775" s="74"/>
    </row>
    <row r="776">
      <c r="A776" s="74"/>
      <c r="B776" s="74"/>
      <c r="C776" s="74"/>
      <c r="D776" s="74"/>
      <c r="E776" s="74"/>
      <c r="F776" s="74"/>
      <c r="G776" s="74"/>
      <c r="H776" s="74"/>
      <c r="I776" s="74"/>
      <c r="J776" s="74"/>
      <c r="K776" s="74"/>
      <c r="L776" s="74"/>
      <c r="M776" s="74"/>
      <c r="N776" s="74"/>
      <c r="O776" s="74"/>
      <c r="P776" s="74"/>
      <c r="Q776" s="74"/>
      <c r="R776" s="74"/>
      <c r="S776" s="74"/>
      <c r="T776" s="74"/>
      <c r="U776" s="74"/>
      <c r="V776" s="74"/>
      <c r="W776" s="74"/>
    </row>
    <row r="777">
      <c r="A777" s="74"/>
      <c r="B777" s="74"/>
      <c r="C777" s="74"/>
      <c r="D777" s="74"/>
      <c r="E777" s="74"/>
      <c r="F777" s="74"/>
      <c r="G777" s="74"/>
      <c r="H777" s="74"/>
      <c r="I777" s="74"/>
      <c r="J777" s="74"/>
      <c r="K777" s="74"/>
      <c r="L777" s="74"/>
      <c r="M777" s="74"/>
      <c r="N777" s="74"/>
      <c r="O777" s="74"/>
      <c r="P777" s="74"/>
      <c r="Q777" s="74"/>
      <c r="R777" s="74"/>
      <c r="S777" s="74"/>
      <c r="T777" s="74"/>
      <c r="U777" s="74"/>
      <c r="V777" s="74"/>
      <c r="W777" s="74"/>
    </row>
    <row r="778">
      <c r="A778" s="74"/>
      <c r="B778" s="74"/>
      <c r="C778" s="74"/>
      <c r="D778" s="74"/>
      <c r="E778" s="74"/>
      <c r="F778" s="74"/>
      <c r="G778" s="74"/>
      <c r="H778" s="74"/>
      <c r="I778" s="74"/>
      <c r="J778" s="74"/>
      <c r="K778" s="74"/>
      <c r="L778" s="74"/>
      <c r="M778" s="74"/>
      <c r="N778" s="74"/>
      <c r="O778" s="74"/>
      <c r="P778" s="74"/>
      <c r="Q778" s="74"/>
      <c r="R778" s="74"/>
      <c r="S778" s="74"/>
      <c r="T778" s="74"/>
      <c r="U778" s="74"/>
      <c r="V778" s="74"/>
      <c r="W778" s="74"/>
    </row>
    <row r="779">
      <c r="A779" s="74"/>
      <c r="B779" s="74"/>
      <c r="C779" s="74"/>
      <c r="D779" s="74"/>
      <c r="E779" s="74"/>
      <c r="F779" s="74"/>
      <c r="G779" s="74"/>
      <c r="H779" s="74"/>
      <c r="I779" s="74"/>
      <c r="J779" s="74"/>
      <c r="K779" s="74"/>
      <c r="L779" s="74"/>
      <c r="M779" s="74"/>
      <c r="N779" s="74"/>
      <c r="O779" s="74"/>
      <c r="P779" s="74"/>
      <c r="Q779" s="74"/>
      <c r="R779" s="74"/>
      <c r="S779" s="74"/>
      <c r="T779" s="74"/>
      <c r="U779" s="74"/>
      <c r="V779" s="74"/>
      <c r="W779" s="74"/>
    </row>
    <row r="780">
      <c r="A780" s="74"/>
      <c r="B780" s="74"/>
      <c r="C780" s="74"/>
      <c r="D780" s="74"/>
      <c r="E780" s="74"/>
      <c r="F780" s="74"/>
      <c r="G780" s="74"/>
      <c r="H780" s="74"/>
      <c r="I780" s="74"/>
      <c r="J780" s="74"/>
      <c r="K780" s="74"/>
      <c r="L780" s="74"/>
      <c r="M780" s="74"/>
      <c r="N780" s="74"/>
      <c r="O780" s="74"/>
      <c r="P780" s="74"/>
      <c r="Q780" s="74"/>
      <c r="R780" s="74"/>
      <c r="S780" s="74"/>
      <c r="T780" s="74"/>
      <c r="U780" s="74"/>
      <c r="V780" s="74"/>
      <c r="W780" s="74"/>
    </row>
    <row r="781">
      <c r="A781" s="74"/>
      <c r="B781" s="74"/>
      <c r="C781" s="74"/>
      <c r="D781" s="74"/>
      <c r="E781" s="74"/>
      <c r="F781" s="74"/>
      <c r="G781" s="74"/>
      <c r="H781" s="74"/>
      <c r="I781" s="74"/>
      <c r="J781" s="74"/>
      <c r="K781" s="74"/>
      <c r="L781" s="74"/>
      <c r="M781" s="74"/>
      <c r="N781" s="74"/>
      <c r="O781" s="74"/>
      <c r="P781" s="74"/>
      <c r="Q781" s="74"/>
      <c r="R781" s="74"/>
      <c r="S781" s="74"/>
      <c r="T781" s="74"/>
      <c r="U781" s="74"/>
      <c r="V781" s="74"/>
      <c r="W781" s="74"/>
    </row>
    <row r="782">
      <c r="A782" s="74"/>
      <c r="B782" s="74"/>
      <c r="C782" s="74"/>
      <c r="D782" s="74"/>
      <c r="E782" s="74"/>
      <c r="F782" s="74"/>
      <c r="G782" s="74"/>
      <c r="H782" s="74"/>
      <c r="I782" s="74"/>
      <c r="J782" s="74"/>
      <c r="K782" s="74"/>
      <c r="L782" s="74"/>
      <c r="M782" s="74"/>
      <c r="N782" s="74"/>
      <c r="O782" s="74"/>
      <c r="P782" s="74"/>
      <c r="Q782" s="74"/>
      <c r="R782" s="74"/>
      <c r="S782" s="74"/>
      <c r="T782" s="74"/>
      <c r="U782" s="74"/>
      <c r="V782" s="74"/>
      <c r="W782" s="74"/>
    </row>
    <row r="783">
      <c r="A783" s="74"/>
      <c r="B783" s="74"/>
      <c r="C783" s="74"/>
      <c r="D783" s="74"/>
      <c r="E783" s="74"/>
      <c r="F783" s="74"/>
      <c r="G783" s="74"/>
      <c r="H783" s="74"/>
      <c r="I783" s="74"/>
      <c r="J783" s="74"/>
      <c r="K783" s="74"/>
      <c r="L783" s="74"/>
      <c r="M783" s="74"/>
      <c r="N783" s="74"/>
      <c r="O783" s="74"/>
      <c r="P783" s="74"/>
      <c r="Q783" s="74"/>
      <c r="R783" s="74"/>
      <c r="S783" s="74"/>
      <c r="T783" s="74"/>
      <c r="U783" s="74"/>
      <c r="V783" s="74"/>
      <c r="W783" s="74"/>
    </row>
    <row r="784">
      <c r="A784" s="74"/>
      <c r="B784" s="74"/>
      <c r="C784" s="74"/>
      <c r="D784" s="74"/>
      <c r="E784" s="74"/>
      <c r="F784" s="74"/>
      <c r="G784" s="74"/>
      <c r="H784" s="74"/>
      <c r="I784" s="74"/>
      <c r="J784" s="74"/>
      <c r="K784" s="74"/>
      <c r="L784" s="74"/>
      <c r="M784" s="74"/>
      <c r="N784" s="74"/>
      <c r="O784" s="74"/>
      <c r="P784" s="74"/>
      <c r="Q784" s="74"/>
      <c r="R784" s="74"/>
      <c r="S784" s="74"/>
      <c r="T784" s="74"/>
      <c r="U784" s="74"/>
      <c r="V784" s="74"/>
      <c r="W784" s="74"/>
    </row>
    <row r="785">
      <c r="A785" s="74"/>
      <c r="B785" s="74"/>
      <c r="C785" s="74"/>
      <c r="D785" s="74"/>
      <c r="E785" s="74"/>
      <c r="F785" s="74"/>
      <c r="G785" s="74"/>
      <c r="H785" s="74"/>
      <c r="I785" s="74"/>
      <c r="J785" s="74"/>
      <c r="K785" s="74"/>
      <c r="L785" s="74"/>
      <c r="M785" s="74"/>
      <c r="N785" s="74"/>
      <c r="O785" s="74"/>
      <c r="P785" s="74"/>
      <c r="Q785" s="74"/>
      <c r="R785" s="74"/>
      <c r="S785" s="74"/>
      <c r="T785" s="74"/>
      <c r="U785" s="74"/>
      <c r="V785" s="74"/>
      <c r="W785" s="74"/>
    </row>
    <row r="786">
      <c r="A786" s="74"/>
      <c r="B786" s="74"/>
      <c r="C786" s="74"/>
      <c r="D786" s="74"/>
      <c r="E786" s="74"/>
      <c r="F786" s="74"/>
      <c r="G786" s="74"/>
      <c r="H786" s="74"/>
      <c r="I786" s="74"/>
      <c r="J786" s="74"/>
      <c r="K786" s="74"/>
      <c r="L786" s="74"/>
      <c r="M786" s="74"/>
      <c r="N786" s="74"/>
      <c r="O786" s="74"/>
      <c r="P786" s="74"/>
      <c r="Q786" s="74"/>
      <c r="R786" s="74"/>
      <c r="S786" s="74"/>
      <c r="T786" s="74"/>
      <c r="U786" s="74"/>
      <c r="V786" s="74"/>
      <c r="W786" s="74"/>
    </row>
    <row r="787">
      <c r="A787" s="74"/>
      <c r="B787" s="74"/>
      <c r="C787" s="74"/>
      <c r="D787" s="74"/>
      <c r="E787" s="74"/>
      <c r="F787" s="74"/>
      <c r="G787" s="74"/>
      <c r="H787" s="74"/>
      <c r="I787" s="74"/>
      <c r="J787" s="74"/>
      <c r="K787" s="74"/>
      <c r="L787" s="74"/>
      <c r="M787" s="74"/>
      <c r="N787" s="74"/>
      <c r="O787" s="74"/>
      <c r="P787" s="74"/>
      <c r="Q787" s="74"/>
      <c r="R787" s="74"/>
      <c r="S787" s="74"/>
      <c r="T787" s="74"/>
      <c r="U787" s="74"/>
      <c r="V787" s="74"/>
      <c r="W787" s="74"/>
    </row>
    <row r="788">
      <c r="A788" s="74"/>
      <c r="B788" s="74"/>
      <c r="C788" s="74"/>
      <c r="D788" s="74"/>
      <c r="E788" s="74"/>
      <c r="F788" s="74"/>
      <c r="G788" s="74"/>
      <c r="H788" s="74"/>
      <c r="I788" s="74"/>
      <c r="J788" s="74"/>
      <c r="K788" s="74"/>
      <c r="L788" s="74"/>
      <c r="M788" s="74"/>
      <c r="N788" s="74"/>
      <c r="O788" s="74"/>
      <c r="P788" s="74"/>
      <c r="Q788" s="74"/>
      <c r="R788" s="74"/>
      <c r="S788" s="74"/>
      <c r="T788" s="74"/>
      <c r="U788" s="74"/>
      <c r="V788" s="74"/>
      <c r="W788" s="74"/>
    </row>
    <row r="789">
      <c r="A789" s="74"/>
      <c r="B789" s="74"/>
      <c r="C789" s="74"/>
      <c r="D789" s="74"/>
      <c r="E789" s="74"/>
      <c r="F789" s="74"/>
      <c r="G789" s="74"/>
      <c r="H789" s="74"/>
      <c r="I789" s="74"/>
      <c r="J789" s="74"/>
      <c r="K789" s="74"/>
      <c r="L789" s="74"/>
      <c r="M789" s="74"/>
      <c r="N789" s="74"/>
      <c r="O789" s="74"/>
      <c r="P789" s="74"/>
      <c r="Q789" s="74"/>
      <c r="R789" s="74"/>
      <c r="S789" s="74"/>
      <c r="T789" s="74"/>
      <c r="U789" s="74"/>
      <c r="V789" s="74"/>
      <c r="W789" s="74"/>
    </row>
    <row r="790">
      <c r="A790" s="74"/>
      <c r="B790" s="74"/>
      <c r="C790" s="74"/>
      <c r="D790" s="74"/>
      <c r="E790" s="74"/>
      <c r="F790" s="74"/>
      <c r="G790" s="74"/>
      <c r="H790" s="74"/>
      <c r="I790" s="74"/>
      <c r="J790" s="74"/>
      <c r="K790" s="74"/>
      <c r="L790" s="74"/>
      <c r="M790" s="74"/>
      <c r="N790" s="74"/>
      <c r="O790" s="74"/>
      <c r="P790" s="74"/>
      <c r="Q790" s="74"/>
      <c r="R790" s="74"/>
      <c r="S790" s="74"/>
      <c r="T790" s="74"/>
      <c r="U790" s="74"/>
      <c r="V790" s="74"/>
      <c r="W790" s="74"/>
    </row>
    <row r="791">
      <c r="A791" s="74"/>
      <c r="B791" s="74"/>
      <c r="C791" s="74"/>
      <c r="D791" s="74"/>
      <c r="E791" s="74"/>
      <c r="F791" s="74"/>
      <c r="G791" s="74"/>
      <c r="H791" s="74"/>
      <c r="I791" s="74"/>
      <c r="J791" s="74"/>
      <c r="K791" s="74"/>
      <c r="L791" s="74"/>
      <c r="M791" s="74"/>
      <c r="N791" s="74"/>
      <c r="O791" s="74"/>
      <c r="P791" s="74"/>
      <c r="Q791" s="74"/>
      <c r="R791" s="74"/>
      <c r="S791" s="74"/>
      <c r="T791" s="74"/>
      <c r="U791" s="74"/>
      <c r="V791" s="74"/>
      <c r="W791" s="74"/>
    </row>
    <row r="792">
      <c r="A792" s="74"/>
      <c r="B792" s="74"/>
      <c r="C792" s="74"/>
      <c r="D792" s="74"/>
      <c r="E792" s="74"/>
      <c r="F792" s="74"/>
      <c r="G792" s="74"/>
      <c r="H792" s="74"/>
      <c r="I792" s="74"/>
      <c r="J792" s="74"/>
      <c r="K792" s="74"/>
      <c r="L792" s="74"/>
      <c r="M792" s="74"/>
      <c r="N792" s="74"/>
      <c r="O792" s="74"/>
      <c r="P792" s="74"/>
      <c r="Q792" s="74"/>
      <c r="R792" s="74"/>
      <c r="S792" s="74"/>
      <c r="T792" s="74"/>
      <c r="U792" s="74"/>
      <c r="V792" s="74"/>
      <c r="W792" s="74"/>
    </row>
    <row r="793">
      <c r="A793" s="74"/>
      <c r="B793" s="74"/>
      <c r="C793" s="74"/>
      <c r="D793" s="74"/>
      <c r="E793" s="74"/>
      <c r="F793" s="74"/>
      <c r="G793" s="74"/>
      <c r="H793" s="74"/>
      <c r="I793" s="74"/>
      <c r="J793" s="74"/>
      <c r="K793" s="74"/>
      <c r="L793" s="74"/>
      <c r="M793" s="74"/>
      <c r="N793" s="74"/>
      <c r="O793" s="74"/>
      <c r="P793" s="74"/>
      <c r="Q793" s="74"/>
      <c r="R793" s="74"/>
      <c r="S793" s="74"/>
      <c r="T793" s="74"/>
      <c r="U793" s="74"/>
      <c r="V793" s="74"/>
      <c r="W793" s="74"/>
    </row>
    <row r="794">
      <c r="A794" s="74"/>
      <c r="B794" s="74"/>
      <c r="C794" s="74"/>
      <c r="D794" s="74"/>
      <c r="E794" s="74"/>
      <c r="F794" s="74"/>
      <c r="G794" s="74"/>
      <c r="H794" s="74"/>
      <c r="I794" s="74"/>
      <c r="J794" s="74"/>
      <c r="K794" s="74"/>
      <c r="L794" s="74"/>
      <c r="M794" s="74"/>
      <c r="N794" s="74"/>
      <c r="O794" s="74"/>
      <c r="P794" s="74"/>
      <c r="Q794" s="74"/>
      <c r="R794" s="74"/>
      <c r="S794" s="74"/>
      <c r="T794" s="74"/>
      <c r="U794" s="74"/>
      <c r="V794" s="74"/>
      <c r="W794" s="74"/>
    </row>
    <row r="795">
      <c r="A795" s="74"/>
      <c r="B795" s="74"/>
      <c r="C795" s="74"/>
      <c r="D795" s="74"/>
      <c r="E795" s="74"/>
      <c r="F795" s="74"/>
      <c r="G795" s="74"/>
      <c r="H795" s="74"/>
      <c r="I795" s="74"/>
      <c r="J795" s="74"/>
      <c r="K795" s="74"/>
      <c r="L795" s="74"/>
      <c r="M795" s="74"/>
      <c r="N795" s="74"/>
      <c r="O795" s="74"/>
      <c r="P795" s="74"/>
      <c r="Q795" s="74"/>
      <c r="R795" s="74"/>
      <c r="S795" s="74"/>
      <c r="T795" s="74"/>
      <c r="U795" s="74"/>
      <c r="V795" s="74"/>
      <c r="W795" s="74"/>
    </row>
    <row r="796">
      <c r="A796" s="74"/>
      <c r="B796" s="74"/>
      <c r="C796" s="74"/>
      <c r="D796" s="74"/>
      <c r="E796" s="74"/>
      <c r="F796" s="74"/>
      <c r="G796" s="74"/>
      <c r="H796" s="74"/>
      <c r="I796" s="74"/>
      <c r="J796" s="74"/>
      <c r="K796" s="74"/>
      <c r="L796" s="74"/>
      <c r="M796" s="74"/>
      <c r="N796" s="74"/>
      <c r="O796" s="74"/>
      <c r="P796" s="74"/>
      <c r="Q796" s="74"/>
      <c r="R796" s="74"/>
      <c r="S796" s="74"/>
      <c r="T796" s="74"/>
      <c r="U796" s="74"/>
      <c r="V796" s="74"/>
      <c r="W796" s="74"/>
    </row>
    <row r="797">
      <c r="A797" s="74"/>
      <c r="B797" s="74"/>
      <c r="C797" s="74"/>
      <c r="D797" s="74"/>
      <c r="E797" s="74"/>
      <c r="F797" s="74"/>
      <c r="G797" s="74"/>
      <c r="H797" s="74"/>
      <c r="I797" s="74"/>
      <c r="J797" s="74"/>
      <c r="K797" s="74"/>
      <c r="L797" s="74"/>
      <c r="M797" s="74"/>
      <c r="N797" s="74"/>
      <c r="O797" s="74"/>
      <c r="P797" s="74"/>
      <c r="Q797" s="74"/>
      <c r="R797" s="74"/>
      <c r="S797" s="74"/>
      <c r="T797" s="74"/>
      <c r="U797" s="74"/>
      <c r="V797" s="74"/>
      <c r="W797" s="74"/>
    </row>
    <row r="798">
      <c r="A798" s="74"/>
      <c r="B798" s="74"/>
      <c r="C798" s="74"/>
      <c r="D798" s="74"/>
      <c r="E798" s="74"/>
      <c r="F798" s="74"/>
      <c r="G798" s="74"/>
      <c r="H798" s="74"/>
      <c r="I798" s="74"/>
      <c r="J798" s="74"/>
      <c r="K798" s="74"/>
      <c r="L798" s="74"/>
      <c r="M798" s="74"/>
      <c r="N798" s="74"/>
      <c r="O798" s="74"/>
      <c r="P798" s="74"/>
      <c r="Q798" s="74"/>
      <c r="R798" s="74"/>
      <c r="S798" s="74"/>
      <c r="T798" s="74"/>
      <c r="U798" s="74"/>
      <c r="V798" s="74"/>
      <c r="W798" s="74"/>
    </row>
    <row r="799">
      <c r="A799" s="74"/>
      <c r="B799" s="74"/>
      <c r="C799" s="74"/>
      <c r="D799" s="74"/>
      <c r="E799" s="74"/>
      <c r="F799" s="74"/>
      <c r="G799" s="74"/>
      <c r="H799" s="74"/>
      <c r="I799" s="74"/>
      <c r="J799" s="74"/>
      <c r="K799" s="74"/>
      <c r="L799" s="74"/>
      <c r="M799" s="74"/>
      <c r="N799" s="74"/>
      <c r="O799" s="74"/>
      <c r="P799" s="74"/>
      <c r="Q799" s="74"/>
      <c r="R799" s="74"/>
      <c r="S799" s="74"/>
      <c r="T799" s="74"/>
      <c r="U799" s="74"/>
      <c r="V799" s="74"/>
      <c r="W799" s="74"/>
    </row>
    <row r="800">
      <c r="A800" s="74"/>
      <c r="B800" s="74"/>
      <c r="C800" s="74"/>
      <c r="D800" s="74"/>
      <c r="E800" s="74"/>
      <c r="F800" s="74"/>
      <c r="G800" s="74"/>
      <c r="H800" s="74"/>
      <c r="I800" s="74"/>
      <c r="J800" s="74"/>
      <c r="K800" s="74"/>
      <c r="L800" s="74"/>
      <c r="M800" s="74"/>
      <c r="N800" s="74"/>
      <c r="O800" s="74"/>
      <c r="P800" s="74"/>
      <c r="Q800" s="74"/>
      <c r="R800" s="74"/>
      <c r="S800" s="74"/>
      <c r="T800" s="74"/>
      <c r="U800" s="74"/>
      <c r="V800" s="74"/>
      <c r="W800" s="74"/>
    </row>
    <row r="801">
      <c r="A801" s="74"/>
      <c r="B801" s="74"/>
      <c r="C801" s="74"/>
      <c r="D801" s="74"/>
      <c r="E801" s="74"/>
      <c r="F801" s="74"/>
      <c r="G801" s="74"/>
      <c r="H801" s="74"/>
      <c r="I801" s="74"/>
      <c r="J801" s="74"/>
      <c r="K801" s="74"/>
      <c r="L801" s="74"/>
      <c r="M801" s="74"/>
      <c r="N801" s="74"/>
      <c r="O801" s="74"/>
      <c r="P801" s="74"/>
      <c r="Q801" s="74"/>
      <c r="R801" s="74"/>
      <c r="S801" s="74"/>
      <c r="T801" s="74"/>
      <c r="U801" s="74"/>
      <c r="V801" s="74"/>
      <c r="W801" s="74"/>
    </row>
    <row r="802">
      <c r="A802" s="74"/>
      <c r="B802" s="74"/>
      <c r="C802" s="74"/>
      <c r="D802" s="74"/>
      <c r="E802" s="74"/>
      <c r="F802" s="74"/>
      <c r="G802" s="74"/>
      <c r="H802" s="74"/>
      <c r="I802" s="74"/>
      <c r="J802" s="74"/>
      <c r="K802" s="74"/>
      <c r="L802" s="74"/>
      <c r="M802" s="74"/>
      <c r="N802" s="74"/>
      <c r="O802" s="74"/>
      <c r="P802" s="74"/>
      <c r="Q802" s="74"/>
      <c r="R802" s="74"/>
      <c r="S802" s="74"/>
      <c r="T802" s="74"/>
      <c r="U802" s="74"/>
      <c r="V802" s="74"/>
      <c r="W802" s="74"/>
    </row>
    <row r="803">
      <c r="A803" s="74"/>
      <c r="B803" s="74"/>
      <c r="C803" s="74"/>
      <c r="D803" s="74"/>
      <c r="E803" s="74"/>
      <c r="F803" s="74"/>
      <c r="G803" s="74"/>
      <c r="H803" s="74"/>
      <c r="I803" s="74"/>
      <c r="J803" s="74"/>
      <c r="K803" s="74"/>
      <c r="L803" s="74"/>
      <c r="M803" s="74"/>
      <c r="N803" s="74"/>
      <c r="O803" s="74"/>
      <c r="P803" s="74"/>
      <c r="Q803" s="74"/>
      <c r="R803" s="74"/>
      <c r="S803" s="74"/>
      <c r="T803" s="74"/>
      <c r="U803" s="74"/>
      <c r="V803" s="74"/>
      <c r="W803" s="74"/>
    </row>
    <row r="804">
      <c r="A804" s="74"/>
      <c r="B804" s="74"/>
      <c r="C804" s="74"/>
      <c r="D804" s="74"/>
      <c r="E804" s="74"/>
      <c r="F804" s="74"/>
      <c r="G804" s="74"/>
      <c r="H804" s="74"/>
      <c r="I804" s="74"/>
      <c r="J804" s="74"/>
      <c r="K804" s="74"/>
      <c r="L804" s="74"/>
      <c r="M804" s="74"/>
      <c r="N804" s="74"/>
      <c r="O804" s="74"/>
      <c r="P804" s="74"/>
      <c r="Q804" s="74"/>
      <c r="R804" s="74"/>
      <c r="S804" s="74"/>
      <c r="T804" s="74"/>
      <c r="U804" s="74"/>
      <c r="V804" s="74"/>
      <c r="W804" s="74"/>
    </row>
    <row r="805">
      <c r="A805" s="74"/>
      <c r="B805" s="74"/>
      <c r="C805" s="74"/>
      <c r="D805" s="74"/>
      <c r="E805" s="74"/>
      <c r="F805" s="74"/>
      <c r="G805" s="74"/>
      <c r="H805" s="74"/>
      <c r="I805" s="74"/>
      <c r="J805" s="74"/>
      <c r="K805" s="74"/>
      <c r="L805" s="74"/>
      <c r="M805" s="74"/>
      <c r="N805" s="74"/>
      <c r="O805" s="74"/>
      <c r="P805" s="74"/>
      <c r="Q805" s="74"/>
      <c r="R805" s="74"/>
      <c r="S805" s="74"/>
      <c r="T805" s="74"/>
      <c r="U805" s="74"/>
      <c r="V805" s="74"/>
      <c r="W805" s="74"/>
    </row>
    <row r="806">
      <c r="A806" s="74"/>
      <c r="B806" s="74"/>
      <c r="C806" s="74"/>
      <c r="D806" s="74"/>
      <c r="E806" s="74"/>
      <c r="F806" s="74"/>
      <c r="G806" s="74"/>
      <c r="H806" s="74"/>
      <c r="I806" s="74"/>
      <c r="J806" s="74"/>
      <c r="K806" s="74"/>
      <c r="L806" s="74"/>
      <c r="M806" s="74"/>
      <c r="N806" s="74"/>
      <c r="O806" s="74"/>
      <c r="P806" s="74"/>
      <c r="Q806" s="74"/>
      <c r="R806" s="74"/>
      <c r="S806" s="74"/>
      <c r="T806" s="74"/>
      <c r="U806" s="74"/>
      <c r="V806" s="74"/>
      <c r="W806" s="74"/>
    </row>
    <row r="807">
      <c r="A807" s="74"/>
      <c r="B807" s="74"/>
      <c r="C807" s="74"/>
      <c r="D807" s="74"/>
      <c r="E807" s="74"/>
      <c r="F807" s="74"/>
      <c r="G807" s="74"/>
      <c r="H807" s="74"/>
      <c r="I807" s="74"/>
      <c r="J807" s="74"/>
      <c r="K807" s="74"/>
      <c r="L807" s="74"/>
      <c r="M807" s="74"/>
      <c r="N807" s="74"/>
      <c r="O807" s="74"/>
      <c r="P807" s="74"/>
      <c r="Q807" s="74"/>
      <c r="R807" s="74"/>
      <c r="S807" s="74"/>
      <c r="T807" s="74"/>
      <c r="U807" s="74"/>
      <c r="V807" s="74"/>
      <c r="W807" s="74"/>
    </row>
    <row r="808">
      <c r="A808" s="74"/>
      <c r="B808" s="74"/>
      <c r="C808" s="74"/>
      <c r="D808" s="74"/>
      <c r="E808" s="74"/>
      <c r="F808" s="74"/>
      <c r="G808" s="74"/>
      <c r="H808" s="74"/>
      <c r="I808" s="74"/>
      <c r="J808" s="74"/>
      <c r="K808" s="74"/>
      <c r="L808" s="74"/>
      <c r="M808" s="74"/>
      <c r="N808" s="74"/>
      <c r="O808" s="74"/>
      <c r="P808" s="74"/>
      <c r="Q808" s="74"/>
      <c r="R808" s="74"/>
      <c r="S808" s="74"/>
      <c r="T808" s="74"/>
      <c r="U808" s="74"/>
      <c r="V808" s="74"/>
      <c r="W808" s="74"/>
    </row>
    <row r="809">
      <c r="A809" s="74"/>
      <c r="B809" s="74"/>
      <c r="C809" s="74"/>
      <c r="D809" s="74"/>
      <c r="E809" s="74"/>
      <c r="F809" s="74"/>
      <c r="G809" s="74"/>
      <c r="H809" s="74"/>
      <c r="I809" s="74"/>
      <c r="J809" s="74"/>
      <c r="K809" s="74"/>
      <c r="L809" s="74"/>
      <c r="M809" s="74"/>
      <c r="N809" s="74"/>
      <c r="O809" s="74"/>
      <c r="P809" s="74"/>
      <c r="Q809" s="74"/>
      <c r="R809" s="74"/>
      <c r="S809" s="74"/>
      <c r="T809" s="74"/>
      <c r="U809" s="74"/>
      <c r="V809" s="74"/>
      <c r="W809" s="74"/>
    </row>
    <row r="810">
      <c r="A810" s="74"/>
      <c r="B810" s="74"/>
      <c r="C810" s="74"/>
      <c r="D810" s="74"/>
      <c r="E810" s="74"/>
      <c r="F810" s="74"/>
      <c r="G810" s="74"/>
      <c r="H810" s="74"/>
      <c r="I810" s="74"/>
      <c r="J810" s="74"/>
      <c r="K810" s="74"/>
      <c r="L810" s="74"/>
      <c r="M810" s="74"/>
      <c r="N810" s="74"/>
      <c r="O810" s="74"/>
      <c r="P810" s="74"/>
      <c r="Q810" s="74"/>
      <c r="R810" s="74"/>
      <c r="S810" s="74"/>
      <c r="T810" s="74"/>
      <c r="U810" s="74"/>
      <c r="V810" s="74"/>
      <c r="W810" s="74"/>
    </row>
    <row r="811">
      <c r="A811" s="74"/>
      <c r="B811" s="74"/>
      <c r="C811" s="74"/>
      <c r="D811" s="74"/>
      <c r="E811" s="74"/>
      <c r="F811" s="74"/>
      <c r="G811" s="74"/>
      <c r="H811" s="74"/>
      <c r="I811" s="74"/>
      <c r="J811" s="74"/>
      <c r="K811" s="74"/>
      <c r="L811" s="74"/>
      <c r="M811" s="74"/>
      <c r="N811" s="74"/>
      <c r="O811" s="74"/>
      <c r="P811" s="74"/>
      <c r="Q811" s="74"/>
      <c r="R811" s="74"/>
      <c r="S811" s="74"/>
      <c r="T811" s="74"/>
      <c r="U811" s="74"/>
      <c r="V811" s="74"/>
      <c r="W811" s="74"/>
    </row>
    <row r="812">
      <c r="A812" s="74"/>
      <c r="B812" s="74"/>
      <c r="C812" s="74"/>
      <c r="D812" s="74"/>
      <c r="E812" s="74"/>
      <c r="F812" s="74"/>
      <c r="G812" s="74"/>
      <c r="H812" s="74"/>
      <c r="I812" s="74"/>
      <c r="J812" s="74"/>
      <c r="K812" s="74"/>
      <c r="L812" s="74"/>
      <c r="M812" s="74"/>
      <c r="N812" s="74"/>
      <c r="O812" s="74"/>
      <c r="P812" s="74"/>
      <c r="Q812" s="74"/>
      <c r="R812" s="74"/>
      <c r="S812" s="74"/>
      <c r="T812" s="74"/>
      <c r="U812" s="74"/>
      <c r="V812" s="74"/>
      <c r="W812" s="74"/>
    </row>
    <row r="813">
      <c r="A813" s="74"/>
      <c r="B813" s="74"/>
      <c r="C813" s="74"/>
      <c r="D813" s="74"/>
      <c r="E813" s="74"/>
      <c r="F813" s="74"/>
      <c r="G813" s="74"/>
      <c r="H813" s="74"/>
      <c r="I813" s="74"/>
      <c r="J813" s="74"/>
      <c r="K813" s="74"/>
      <c r="L813" s="74"/>
      <c r="M813" s="74"/>
      <c r="N813" s="74"/>
      <c r="O813" s="74"/>
      <c r="P813" s="74"/>
      <c r="Q813" s="74"/>
      <c r="R813" s="74"/>
      <c r="S813" s="74"/>
      <c r="T813" s="74"/>
      <c r="U813" s="74"/>
      <c r="V813" s="74"/>
      <c r="W813" s="74"/>
    </row>
    <row r="814">
      <c r="A814" s="74"/>
      <c r="B814" s="74"/>
      <c r="C814" s="74"/>
      <c r="D814" s="74"/>
      <c r="E814" s="74"/>
      <c r="F814" s="74"/>
      <c r="G814" s="74"/>
      <c r="H814" s="74"/>
      <c r="I814" s="74"/>
      <c r="J814" s="74"/>
      <c r="K814" s="74"/>
      <c r="L814" s="74"/>
      <c r="M814" s="74"/>
      <c r="N814" s="74"/>
      <c r="O814" s="74"/>
      <c r="P814" s="74"/>
      <c r="Q814" s="74"/>
      <c r="R814" s="74"/>
      <c r="S814" s="74"/>
      <c r="T814" s="74"/>
      <c r="U814" s="74"/>
      <c r="V814" s="74"/>
      <c r="W814" s="74"/>
    </row>
    <row r="815">
      <c r="A815" s="74"/>
      <c r="B815" s="74"/>
      <c r="C815" s="74"/>
      <c r="D815" s="74"/>
      <c r="E815" s="74"/>
      <c r="F815" s="74"/>
      <c r="G815" s="74"/>
      <c r="H815" s="74"/>
      <c r="I815" s="74"/>
      <c r="J815" s="74"/>
      <c r="K815" s="74"/>
      <c r="L815" s="74"/>
      <c r="M815" s="74"/>
      <c r="N815" s="74"/>
      <c r="O815" s="74"/>
      <c r="P815" s="74"/>
      <c r="Q815" s="74"/>
      <c r="R815" s="74"/>
      <c r="S815" s="74"/>
      <c r="T815" s="74"/>
      <c r="U815" s="74"/>
      <c r="V815" s="74"/>
      <c r="W815" s="74"/>
    </row>
    <row r="816">
      <c r="A816" s="74"/>
      <c r="B816" s="74"/>
      <c r="C816" s="74"/>
      <c r="D816" s="74"/>
      <c r="E816" s="74"/>
      <c r="F816" s="74"/>
      <c r="G816" s="74"/>
      <c r="H816" s="74"/>
      <c r="I816" s="74"/>
      <c r="J816" s="74"/>
      <c r="K816" s="74"/>
      <c r="L816" s="74"/>
      <c r="M816" s="74"/>
      <c r="N816" s="74"/>
      <c r="O816" s="74"/>
      <c r="P816" s="74"/>
      <c r="Q816" s="74"/>
      <c r="R816" s="74"/>
      <c r="S816" s="74"/>
      <c r="T816" s="74"/>
      <c r="U816" s="74"/>
      <c r="V816" s="74"/>
      <c r="W816" s="74"/>
    </row>
    <row r="817">
      <c r="A817" s="74"/>
      <c r="B817" s="74"/>
      <c r="C817" s="74"/>
      <c r="D817" s="74"/>
      <c r="E817" s="74"/>
      <c r="F817" s="74"/>
      <c r="G817" s="74"/>
      <c r="H817" s="74"/>
      <c r="I817" s="74"/>
      <c r="J817" s="74"/>
      <c r="K817" s="74"/>
      <c r="L817" s="74"/>
      <c r="M817" s="74"/>
      <c r="N817" s="74"/>
      <c r="O817" s="74"/>
      <c r="P817" s="74"/>
      <c r="Q817" s="74"/>
      <c r="R817" s="74"/>
      <c r="S817" s="74"/>
      <c r="T817" s="74"/>
      <c r="U817" s="74"/>
      <c r="V817" s="74"/>
      <c r="W817" s="74"/>
    </row>
    <row r="818">
      <c r="A818" s="74"/>
      <c r="B818" s="74"/>
      <c r="C818" s="74"/>
      <c r="D818" s="74"/>
      <c r="E818" s="74"/>
      <c r="F818" s="74"/>
      <c r="G818" s="74"/>
      <c r="H818" s="74"/>
      <c r="I818" s="74"/>
      <c r="J818" s="74"/>
      <c r="K818" s="74"/>
      <c r="L818" s="74"/>
      <c r="M818" s="74"/>
      <c r="N818" s="74"/>
      <c r="O818" s="74"/>
      <c r="P818" s="74"/>
      <c r="Q818" s="74"/>
      <c r="R818" s="74"/>
      <c r="S818" s="74"/>
      <c r="T818" s="74"/>
      <c r="U818" s="74"/>
      <c r="V818" s="74"/>
      <c r="W818" s="74"/>
    </row>
    <row r="819">
      <c r="A819" s="74"/>
      <c r="B819" s="74"/>
      <c r="C819" s="74"/>
      <c r="D819" s="74"/>
      <c r="E819" s="74"/>
      <c r="F819" s="74"/>
      <c r="G819" s="74"/>
      <c r="H819" s="74"/>
      <c r="I819" s="74"/>
      <c r="J819" s="74"/>
      <c r="K819" s="74"/>
      <c r="L819" s="74"/>
      <c r="M819" s="74"/>
      <c r="N819" s="74"/>
      <c r="O819" s="74"/>
      <c r="P819" s="74"/>
      <c r="Q819" s="74"/>
      <c r="R819" s="74"/>
      <c r="S819" s="74"/>
      <c r="T819" s="74"/>
      <c r="U819" s="74"/>
      <c r="V819" s="74"/>
      <c r="W819" s="74"/>
    </row>
    <row r="820">
      <c r="A820" s="74"/>
      <c r="B820" s="74"/>
      <c r="C820" s="74"/>
      <c r="D820" s="74"/>
      <c r="E820" s="74"/>
      <c r="F820" s="74"/>
      <c r="G820" s="74"/>
      <c r="H820" s="74"/>
      <c r="I820" s="74"/>
      <c r="J820" s="74"/>
      <c r="K820" s="74"/>
      <c r="L820" s="74"/>
      <c r="M820" s="74"/>
      <c r="N820" s="74"/>
      <c r="O820" s="74"/>
      <c r="P820" s="74"/>
      <c r="Q820" s="74"/>
      <c r="R820" s="74"/>
      <c r="S820" s="74"/>
      <c r="T820" s="74"/>
      <c r="U820" s="74"/>
      <c r="V820" s="74"/>
      <c r="W820" s="74"/>
    </row>
    <row r="821">
      <c r="A821" s="74"/>
      <c r="B821" s="74"/>
      <c r="C821" s="74"/>
      <c r="D821" s="74"/>
      <c r="E821" s="74"/>
      <c r="F821" s="74"/>
      <c r="G821" s="74"/>
      <c r="H821" s="74"/>
      <c r="I821" s="74"/>
      <c r="J821" s="74"/>
      <c r="K821" s="74"/>
      <c r="L821" s="74"/>
      <c r="M821" s="74"/>
      <c r="N821" s="74"/>
      <c r="O821" s="74"/>
      <c r="P821" s="74"/>
      <c r="Q821" s="74"/>
      <c r="R821" s="74"/>
      <c r="S821" s="74"/>
      <c r="T821" s="74"/>
      <c r="U821" s="74"/>
      <c r="V821" s="74"/>
      <c r="W821" s="74"/>
    </row>
    <row r="822">
      <c r="A822" s="74"/>
      <c r="B822" s="74"/>
      <c r="C822" s="74"/>
      <c r="D822" s="74"/>
      <c r="E822" s="74"/>
      <c r="F822" s="74"/>
      <c r="G822" s="74"/>
      <c r="H822" s="74"/>
      <c r="I822" s="74"/>
      <c r="J822" s="74"/>
      <c r="K822" s="74"/>
      <c r="L822" s="74"/>
      <c r="M822" s="74"/>
      <c r="N822" s="74"/>
      <c r="O822" s="74"/>
      <c r="P822" s="74"/>
      <c r="Q822" s="74"/>
      <c r="R822" s="74"/>
      <c r="S822" s="74"/>
      <c r="T822" s="74"/>
      <c r="U822" s="74"/>
      <c r="V822" s="74"/>
      <c r="W822" s="74"/>
    </row>
    <row r="823">
      <c r="A823" s="74"/>
      <c r="B823" s="74"/>
      <c r="C823" s="74"/>
      <c r="D823" s="74"/>
      <c r="E823" s="74"/>
      <c r="F823" s="74"/>
      <c r="G823" s="74"/>
      <c r="H823" s="74"/>
      <c r="I823" s="74"/>
      <c r="J823" s="74"/>
      <c r="K823" s="74"/>
      <c r="L823" s="74"/>
      <c r="M823" s="74"/>
      <c r="N823" s="74"/>
      <c r="O823" s="74"/>
      <c r="P823" s="74"/>
      <c r="Q823" s="74"/>
      <c r="R823" s="74"/>
      <c r="S823" s="74"/>
      <c r="T823" s="74"/>
      <c r="U823" s="74"/>
      <c r="V823" s="74"/>
      <c r="W823" s="74"/>
    </row>
    <row r="824">
      <c r="A824" s="74"/>
      <c r="B824" s="74"/>
      <c r="C824" s="74"/>
      <c r="D824" s="74"/>
      <c r="E824" s="74"/>
      <c r="F824" s="74"/>
      <c r="G824" s="74"/>
      <c r="H824" s="74"/>
      <c r="I824" s="74"/>
      <c r="J824" s="74"/>
      <c r="K824" s="74"/>
      <c r="L824" s="74"/>
      <c r="M824" s="74"/>
      <c r="N824" s="74"/>
      <c r="O824" s="74"/>
      <c r="P824" s="74"/>
      <c r="Q824" s="74"/>
      <c r="R824" s="74"/>
      <c r="S824" s="74"/>
      <c r="T824" s="74"/>
      <c r="U824" s="74"/>
      <c r="V824" s="74"/>
      <c r="W824" s="74"/>
    </row>
    <row r="825">
      <c r="A825" s="74"/>
      <c r="B825" s="74"/>
      <c r="C825" s="74"/>
      <c r="D825" s="74"/>
      <c r="E825" s="74"/>
      <c r="F825" s="74"/>
      <c r="G825" s="74"/>
      <c r="H825" s="74"/>
      <c r="I825" s="74"/>
      <c r="J825" s="74"/>
      <c r="K825" s="74"/>
      <c r="L825" s="74"/>
      <c r="M825" s="74"/>
      <c r="N825" s="74"/>
      <c r="O825" s="74"/>
      <c r="P825" s="74"/>
      <c r="Q825" s="74"/>
      <c r="R825" s="74"/>
      <c r="S825" s="74"/>
      <c r="T825" s="74"/>
      <c r="U825" s="74"/>
      <c r="V825" s="74"/>
      <c r="W825" s="74"/>
    </row>
    <row r="826">
      <c r="A826" s="74"/>
      <c r="B826" s="74"/>
      <c r="C826" s="74"/>
      <c r="D826" s="74"/>
      <c r="E826" s="74"/>
      <c r="F826" s="74"/>
      <c r="G826" s="74"/>
      <c r="H826" s="74"/>
      <c r="I826" s="74"/>
      <c r="J826" s="74"/>
      <c r="K826" s="74"/>
      <c r="L826" s="74"/>
      <c r="M826" s="74"/>
      <c r="N826" s="74"/>
      <c r="O826" s="74"/>
      <c r="P826" s="74"/>
      <c r="Q826" s="74"/>
      <c r="R826" s="74"/>
      <c r="S826" s="74"/>
      <c r="T826" s="74"/>
      <c r="U826" s="74"/>
      <c r="V826" s="74"/>
      <c r="W826" s="74"/>
    </row>
    <row r="827">
      <c r="A827" s="74"/>
      <c r="B827" s="74"/>
      <c r="C827" s="74"/>
      <c r="D827" s="74"/>
      <c r="E827" s="74"/>
      <c r="F827" s="74"/>
      <c r="G827" s="74"/>
      <c r="H827" s="74"/>
      <c r="I827" s="74"/>
      <c r="J827" s="74"/>
      <c r="K827" s="74"/>
      <c r="L827" s="74"/>
      <c r="M827" s="74"/>
      <c r="N827" s="74"/>
      <c r="O827" s="74"/>
      <c r="P827" s="74"/>
      <c r="Q827" s="74"/>
      <c r="R827" s="74"/>
      <c r="S827" s="74"/>
      <c r="T827" s="74"/>
      <c r="U827" s="74"/>
      <c r="V827" s="74"/>
      <c r="W827" s="74"/>
    </row>
    <row r="828">
      <c r="A828" s="74"/>
      <c r="B828" s="74"/>
      <c r="C828" s="74"/>
      <c r="D828" s="74"/>
      <c r="E828" s="74"/>
      <c r="F828" s="74"/>
      <c r="G828" s="74"/>
      <c r="H828" s="74"/>
      <c r="I828" s="74"/>
      <c r="J828" s="74"/>
      <c r="K828" s="74"/>
      <c r="L828" s="74"/>
      <c r="M828" s="74"/>
      <c r="N828" s="74"/>
      <c r="O828" s="74"/>
      <c r="P828" s="74"/>
      <c r="Q828" s="74"/>
      <c r="R828" s="74"/>
      <c r="S828" s="74"/>
      <c r="T828" s="74"/>
      <c r="U828" s="74"/>
      <c r="V828" s="74"/>
      <c r="W828" s="74"/>
    </row>
    <row r="829">
      <c r="A829" s="74"/>
      <c r="B829" s="74"/>
      <c r="C829" s="74"/>
      <c r="D829" s="74"/>
      <c r="E829" s="74"/>
      <c r="F829" s="74"/>
      <c r="G829" s="74"/>
      <c r="H829" s="74"/>
      <c r="I829" s="74"/>
      <c r="J829" s="74"/>
      <c r="K829" s="74"/>
      <c r="L829" s="74"/>
      <c r="M829" s="74"/>
      <c r="N829" s="74"/>
      <c r="O829" s="74"/>
      <c r="P829" s="74"/>
      <c r="Q829" s="74"/>
      <c r="R829" s="74"/>
      <c r="S829" s="74"/>
      <c r="T829" s="74"/>
      <c r="U829" s="74"/>
      <c r="V829" s="74"/>
      <c r="W829" s="74"/>
    </row>
    <row r="830">
      <c r="A830" s="74"/>
      <c r="B830" s="74"/>
      <c r="C830" s="74"/>
      <c r="D830" s="74"/>
      <c r="E830" s="74"/>
      <c r="F830" s="74"/>
      <c r="G830" s="74"/>
      <c r="H830" s="74"/>
      <c r="I830" s="74"/>
      <c r="J830" s="74"/>
      <c r="K830" s="74"/>
      <c r="L830" s="74"/>
      <c r="M830" s="74"/>
      <c r="N830" s="74"/>
      <c r="O830" s="74"/>
      <c r="P830" s="74"/>
      <c r="Q830" s="74"/>
      <c r="R830" s="74"/>
      <c r="S830" s="74"/>
      <c r="T830" s="74"/>
      <c r="U830" s="74"/>
      <c r="V830" s="74"/>
      <c r="W830" s="74"/>
    </row>
    <row r="831">
      <c r="A831" s="74"/>
      <c r="B831" s="74"/>
      <c r="C831" s="74"/>
      <c r="D831" s="74"/>
      <c r="E831" s="74"/>
      <c r="F831" s="74"/>
      <c r="G831" s="74"/>
      <c r="H831" s="74"/>
      <c r="I831" s="74"/>
      <c r="J831" s="74"/>
      <c r="K831" s="74"/>
      <c r="L831" s="74"/>
      <c r="M831" s="74"/>
      <c r="N831" s="74"/>
      <c r="O831" s="74"/>
      <c r="P831" s="74"/>
      <c r="Q831" s="74"/>
      <c r="R831" s="74"/>
      <c r="S831" s="74"/>
      <c r="T831" s="74"/>
      <c r="U831" s="74"/>
      <c r="V831" s="74"/>
      <c r="W831" s="74"/>
    </row>
    <row r="832">
      <c r="A832" s="74"/>
      <c r="B832" s="74"/>
      <c r="C832" s="74"/>
      <c r="D832" s="74"/>
      <c r="E832" s="74"/>
      <c r="F832" s="74"/>
      <c r="G832" s="74"/>
      <c r="H832" s="74"/>
      <c r="I832" s="74"/>
      <c r="J832" s="74"/>
      <c r="K832" s="74"/>
      <c r="L832" s="74"/>
      <c r="M832" s="74"/>
      <c r="N832" s="74"/>
      <c r="O832" s="74"/>
      <c r="P832" s="74"/>
      <c r="Q832" s="74"/>
      <c r="R832" s="74"/>
      <c r="S832" s="74"/>
      <c r="T832" s="74"/>
      <c r="U832" s="74"/>
      <c r="V832" s="74"/>
      <c r="W832" s="74"/>
    </row>
    <row r="833">
      <c r="A833" s="74"/>
      <c r="B833" s="74"/>
      <c r="C833" s="74"/>
      <c r="D833" s="74"/>
      <c r="E833" s="74"/>
      <c r="F833" s="74"/>
      <c r="G833" s="74"/>
      <c r="H833" s="74"/>
      <c r="I833" s="74"/>
      <c r="J833" s="74"/>
      <c r="K833" s="74"/>
      <c r="L833" s="74"/>
      <c r="M833" s="74"/>
      <c r="N833" s="74"/>
      <c r="O833" s="74"/>
      <c r="P833" s="74"/>
      <c r="Q833" s="74"/>
      <c r="R833" s="74"/>
      <c r="S833" s="74"/>
      <c r="T833" s="74"/>
      <c r="U833" s="74"/>
      <c r="V833" s="74"/>
      <c r="W833" s="74"/>
    </row>
    <row r="834">
      <c r="A834" s="74"/>
      <c r="B834" s="74"/>
      <c r="C834" s="74"/>
      <c r="D834" s="74"/>
      <c r="E834" s="74"/>
      <c r="F834" s="74"/>
      <c r="G834" s="74"/>
      <c r="H834" s="74"/>
      <c r="I834" s="74"/>
      <c r="J834" s="74"/>
      <c r="K834" s="74"/>
      <c r="L834" s="74"/>
      <c r="M834" s="74"/>
      <c r="N834" s="74"/>
      <c r="O834" s="74"/>
      <c r="P834" s="74"/>
      <c r="Q834" s="74"/>
      <c r="R834" s="74"/>
      <c r="S834" s="74"/>
      <c r="T834" s="74"/>
      <c r="U834" s="74"/>
      <c r="V834" s="74"/>
      <c r="W834" s="74"/>
    </row>
    <row r="835">
      <c r="A835" s="74"/>
      <c r="B835" s="74"/>
      <c r="C835" s="74"/>
      <c r="D835" s="74"/>
      <c r="E835" s="74"/>
      <c r="F835" s="74"/>
      <c r="G835" s="74"/>
      <c r="H835" s="74"/>
      <c r="I835" s="74"/>
      <c r="J835" s="74"/>
      <c r="K835" s="74"/>
      <c r="L835" s="74"/>
      <c r="M835" s="74"/>
      <c r="N835" s="74"/>
      <c r="O835" s="74"/>
      <c r="P835" s="74"/>
      <c r="Q835" s="74"/>
      <c r="R835" s="74"/>
      <c r="S835" s="74"/>
      <c r="T835" s="74"/>
      <c r="U835" s="74"/>
      <c r="V835" s="74"/>
      <c r="W835" s="74"/>
    </row>
    <row r="836">
      <c r="A836" s="74"/>
      <c r="B836" s="74"/>
      <c r="C836" s="74"/>
      <c r="D836" s="74"/>
      <c r="E836" s="74"/>
      <c r="F836" s="74"/>
      <c r="G836" s="74"/>
      <c r="H836" s="74"/>
      <c r="I836" s="74"/>
      <c r="J836" s="74"/>
      <c r="K836" s="74"/>
      <c r="L836" s="74"/>
      <c r="M836" s="74"/>
      <c r="N836" s="74"/>
      <c r="O836" s="74"/>
      <c r="P836" s="74"/>
      <c r="Q836" s="74"/>
      <c r="R836" s="74"/>
      <c r="S836" s="74"/>
      <c r="T836" s="74"/>
      <c r="U836" s="74"/>
      <c r="V836" s="74"/>
      <c r="W836" s="74"/>
    </row>
    <row r="837">
      <c r="A837" s="74"/>
      <c r="B837" s="74"/>
      <c r="C837" s="74"/>
      <c r="D837" s="74"/>
      <c r="E837" s="74"/>
      <c r="F837" s="74"/>
      <c r="G837" s="74"/>
      <c r="H837" s="74"/>
      <c r="I837" s="74"/>
      <c r="J837" s="74"/>
      <c r="K837" s="74"/>
      <c r="L837" s="74"/>
      <c r="M837" s="74"/>
      <c r="N837" s="74"/>
      <c r="O837" s="74"/>
      <c r="P837" s="74"/>
      <c r="Q837" s="74"/>
      <c r="R837" s="74"/>
      <c r="S837" s="74"/>
      <c r="T837" s="74"/>
      <c r="U837" s="74"/>
      <c r="V837" s="74"/>
      <c r="W837" s="74"/>
    </row>
    <row r="838">
      <c r="A838" s="74"/>
      <c r="B838" s="74"/>
      <c r="C838" s="74"/>
      <c r="D838" s="74"/>
      <c r="E838" s="74"/>
      <c r="F838" s="74"/>
      <c r="G838" s="74"/>
      <c r="H838" s="74"/>
      <c r="I838" s="74"/>
      <c r="J838" s="74"/>
      <c r="K838" s="74"/>
      <c r="L838" s="74"/>
      <c r="M838" s="74"/>
      <c r="N838" s="74"/>
      <c r="O838" s="74"/>
      <c r="P838" s="74"/>
      <c r="Q838" s="74"/>
      <c r="R838" s="74"/>
      <c r="S838" s="74"/>
      <c r="T838" s="74"/>
      <c r="U838" s="74"/>
      <c r="V838" s="74"/>
      <c r="W838" s="74"/>
    </row>
    <row r="839">
      <c r="A839" s="74"/>
      <c r="B839" s="74"/>
      <c r="C839" s="74"/>
      <c r="D839" s="74"/>
      <c r="E839" s="74"/>
      <c r="F839" s="74"/>
      <c r="G839" s="74"/>
      <c r="H839" s="74"/>
      <c r="I839" s="74"/>
      <c r="J839" s="74"/>
      <c r="K839" s="74"/>
      <c r="L839" s="74"/>
      <c r="M839" s="74"/>
      <c r="N839" s="74"/>
      <c r="O839" s="74"/>
      <c r="P839" s="74"/>
      <c r="Q839" s="74"/>
      <c r="R839" s="74"/>
      <c r="S839" s="74"/>
      <c r="T839" s="74"/>
      <c r="U839" s="74"/>
      <c r="V839" s="74"/>
      <c r="W839" s="74"/>
    </row>
    <row r="840">
      <c r="A840" s="74"/>
      <c r="B840" s="74"/>
      <c r="C840" s="74"/>
      <c r="D840" s="74"/>
      <c r="E840" s="74"/>
      <c r="F840" s="74"/>
      <c r="G840" s="74"/>
      <c r="H840" s="74"/>
      <c r="I840" s="74"/>
      <c r="J840" s="74"/>
      <c r="K840" s="74"/>
      <c r="L840" s="74"/>
      <c r="M840" s="74"/>
      <c r="N840" s="74"/>
      <c r="O840" s="74"/>
      <c r="P840" s="74"/>
      <c r="Q840" s="74"/>
      <c r="R840" s="74"/>
      <c r="S840" s="74"/>
      <c r="T840" s="74"/>
      <c r="U840" s="74"/>
      <c r="V840" s="74"/>
      <c r="W840" s="74"/>
    </row>
    <row r="841">
      <c r="A841" s="74"/>
      <c r="B841" s="74"/>
      <c r="C841" s="74"/>
      <c r="D841" s="74"/>
      <c r="E841" s="74"/>
      <c r="F841" s="74"/>
      <c r="G841" s="74"/>
      <c r="H841" s="74"/>
      <c r="I841" s="74"/>
      <c r="J841" s="74"/>
      <c r="K841" s="74"/>
      <c r="L841" s="74"/>
      <c r="M841" s="74"/>
      <c r="N841" s="74"/>
      <c r="O841" s="74"/>
      <c r="P841" s="74"/>
      <c r="Q841" s="74"/>
      <c r="R841" s="74"/>
      <c r="S841" s="74"/>
      <c r="T841" s="74"/>
      <c r="U841" s="74"/>
      <c r="V841" s="74"/>
      <c r="W841" s="74"/>
    </row>
    <row r="842">
      <c r="A842" s="74"/>
      <c r="B842" s="74"/>
      <c r="C842" s="74"/>
      <c r="D842" s="74"/>
      <c r="E842" s="74"/>
      <c r="F842" s="74"/>
      <c r="G842" s="74"/>
      <c r="H842" s="74"/>
      <c r="I842" s="74"/>
      <c r="J842" s="74"/>
      <c r="K842" s="74"/>
      <c r="L842" s="74"/>
      <c r="M842" s="74"/>
      <c r="N842" s="74"/>
      <c r="O842" s="74"/>
      <c r="P842" s="74"/>
      <c r="Q842" s="74"/>
      <c r="R842" s="74"/>
      <c r="S842" s="74"/>
      <c r="T842" s="74"/>
      <c r="U842" s="74"/>
      <c r="V842" s="74"/>
      <c r="W842" s="74"/>
    </row>
    <row r="843">
      <c r="A843" s="74"/>
      <c r="B843" s="74"/>
      <c r="C843" s="74"/>
      <c r="D843" s="74"/>
      <c r="E843" s="74"/>
      <c r="F843" s="74"/>
      <c r="G843" s="74"/>
      <c r="H843" s="74"/>
      <c r="I843" s="74"/>
      <c r="J843" s="74"/>
      <c r="K843" s="74"/>
      <c r="L843" s="74"/>
      <c r="M843" s="74"/>
      <c r="N843" s="74"/>
      <c r="O843" s="74"/>
      <c r="P843" s="74"/>
      <c r="Q843" s="74"/>
      <c r="R843" s="74"/>
      <c r="S843" s="74"/>
      <c r="T843" s="74"/>
      <c r="U843" s="74"/>
      <c r="V843" s="74"/>
      <c r="W843" s="74"/>
    </row>
    <row r="844">
      <c r="A844" s="74"/>
      <c r="B844" s="74"/>
      <c r="C844" s="74"/>
      <c r="D844" s="74"/>
      <c r="E844" s="74"/>
      <c r="F844" s="74"/>
      <c r="G844" s="74"/>
      <c r="H844" s="74"/>
      <c r="I844" s="74"/>
      <c r="J844" s="74"/>
      <c r="K844" s="74"/>
      <c r="L844" s="74"/>
      <c r="M844" s="74"/>
      <c r="N844" s="74"/>
      <c r="O844" s="74"/>
      <c r="P844" s="74"/>
      <c r="Q844" s="74"/>
      <c r="R844" s="74"/>
      <c r="S844" s="74"/>
      <c r="T844" s="74"/>
      <c r="U844" s="74"/>
      <c r="V844" s="74"/>
      <c r="W844" s="74"/>
    </row>
    <row r="845">
      <c r="A845" s="74"/>
      <c r="B845" s="74"/>
      <c r="C845" s="74"/>
      <c r="D845" s="74"/>
      <c r="E845" s="74"/>
      <c r="F845" s="74"/>
      <c r="G845" s="74"/>
      <c r="H845" s="74"/>
      <c r="I845" s="74"/>
      <c r="J845" s="74"/>
      <c r="K845" s="74"/>
      <c r="L845" s="74"/>
      <c r="M845" s="74"/>
      <c r="N845" s="74"/>
      <c r="O845" s="74"/>
      <c r="P845" s="74"/>
      <c r="Q845" s="74"/>
      <c r="R845" s="74"/>
      <c r="S845" s="74"/>
      <c r="T845" s="74"/>
      <c r="U845" s="74"/>
      <c r="V845" s="74"/>
      <c r="W845" s="74"/>
    </row>
    <row r="846">
      <c r="A846" s="74"/>
      <c r="B846" s="74"/>
      <c r="C846" s="74"/>
      <c r="D846" s="74"/>
      <c r="E846" s="74"/>
      <c r="F846" s="74"/>
      <c r="G846" s="74"/>
      <c r="H846" s="74"/>
      <c r="I846" s="74"/>
      <c r="J846" s="74"/>
      <c r="K846" s="74"/>
      <c r="L846" s="74"/>
      <c r="M846" s="74"/>
      <c r="N846" s="74"/>
      <c r="O846" s="74"/>
      <c r="P846" s="74"/>
      <c r="Q846" s="74"/>
      <c r="R846" s="74"/>
      <c r="S846" s="74"/>
      <c r="T846" s="74"/>
      <c r="U846" s="74"/>
      <c r="V846" s="74"/>
      <c r="W846" s="74"/>
    </row>
    <row r="847">
      <c r="A847" s="74"/>
      <c r="B847" s="74"/>
      <c r="C847" s="74"/>
      <c r="D847" s="74"/>
      <c r="E847" s="74"/>
      <c r="F847" s="74"/>
      <c r="G847" s="74"/>
      <c r="H847" s="74"/>
      <c r="I847" s="74"/>
      <c r="J847" s="74"/>
      <c r="K847" s="74"/>
      <c r="L847" s="74"/>
      <c r="M847" s="74"/>
      <c r="N847" s="74"/>
      <c r="O847" s="74"/>
      <c r="P847" s="74"/>
      <c r="Q847" s="74"/>
      <c r="R847" s="74"/>
      <c r="S847" s="74"/>
      <c r="T847" s="74"/>
      <c r="U847" s="74"/>
      <c r="V847" s="74"/>
      <c r="W847" s="74"/>
    </row>
    <row r="848">
      <c r="A848" s="74"/>
      <c r="B848" s="74"/>
      <c r="C848" s="74"/>
      <c r="D848" s="74"/>
      <c r="E848" s="74"/>
      <c r="F848" s="74"/>
      <c r="G848" s="74"/>
      <c r="H848" s="74"/>
      <c r="I848" s="74"/>
      <c r="J848" s="74"/>
      <c r="K848" s="74"/>
      <c r="L848" s="74"/>
      <c r="M848" s="74"/>
      <c r="N848" s="74"/>
      <c r="O848" s="74"/>
      <c r="P848" s="74"/>
      <c r="Q848" s="74"/>
      <c r="R848" s="74"/>
      <c r="S848" s="74"/>
      <c r="T848" s="74"/>
      <c r="U848" s="74"/>
      <c r="V848" s="74"/>
      <c r="W848" s="74"/>
    </row>
    <row r="849">
      <c r="A849" s="74"/>
      <c r="B849" s="74"/>
      <c r="C849" s="74"/>
      <c r="D849" s="74"/>
      <c r="E849" s="74"/>
      <c r="F849" s="74"/>
      <c r="G849" s="74"/>
      <c r="H849" s="74"/>
      <c r="I849" s="74"/>
      <c r="J849" s="74"/>
      <c r="K849" s="74"/>
      <c r="L849" s="74"/>
      <c r="M849" s="74"/>
      <c r="N849" s="74"/>
      <c r="O849" s="74"/>
      <c r="P849" s="74"/>
      <c r="Q849" s="74"/>
      <c r="R849" s="74"/>
      <c r="S849" s="74"/>
      <c r="T849" s="74"/>
      <c r="U849" s="74"/>
      <c r="V849" s="74"/>
      <c r="W849" s="74"/>
    </row>
    <row r="850">
      <c r="A850" s="74"/>
      <c r="B850" s="74"/>
      <c r="C850" s="74"/>
      <c r="D850" s="74"/>
      <c r="E850" s="74"/>
      <c r="F850" s="74"/>
      <c r="G850" s="74"/>
      <c r="H850" s="74"/>
      <c r="I850" s="74"/>
      <c r="J850" s="74"/>
      <c r="K850" s="74"/>
      <c r="L850" s="74"/>
      <c r="M850" s="74"/>
      <c r="N850" s="74"/>
      <c r="O850" s="74"/>
      <c r="P850" s="74"/>
      <c r="Q850" s="74"/>
      <c r="R850" s="74"/>
      <c r="S850" s="74"/>
      <c r="T850" s="74"/>
      <c r="U850" s="74"/>
      <c r="V850" s="74"/>
      <c r="W850" s="74"/>
    </row>
    <row r="851">
      <c r="A851" s="74"/>
      <c r="B851" s="74"/>
      <c r="C851" s="74"/>
      <c r="D851" s="74"/>
      <c r="E851" s="74"/>
      <c r="F851" s="74"/>
      <c r="G851" s="74"/>
      <c r="H851" s="74"/>
      <c r="I851" s="74"/>
      <c r="J851" s="74"/>
      <c r="K851" s="74"/>
      <c r="L851" s="74"/>
      <c r="M851" s="74"/>
      <c r="N851" s="74"/>
      <c r="O851" s="74"/>
      <c r="P851" s="74"/>
      <c r="Q851" s="74"/>
      <c r="R851" s="74"/>
      <c r="S851" s="74"/>
      <c r="T851" s="74"/>
      <c r="U851" s="74"/>
      <c r="V851" s="74"/>
      <c r="W851" s="74"/>
    </row>
    <row r="852">
      <c r="A852" s="74"/>
      <c r="B852" s="74"/>
      <c r="C852" s="74"/>
      <c r="D852" s="74"/>
      <c r="E852" s="74"/>
      <c r="F852" s="74"/>
      <c r="G852" s="74"/>
      <c r="H852" s="74"/>
      <c r="I852" s="74"/>
      <c r="J852" s="74"/>
      <c r="K852" s="74"/>
      <c r="L852" s="74"/>
      <c r="M852" s="74"/>
      <c r="N852" s="74"/>
      <c r="O852" s="74"/>
      <c r="P852" s="74"/>
      <c r="Q852" s="74"/>
      <c r="R852" s="74"/>
      <c r="S852" s="74"/>
      <c r="T852" s="74"/>
      <c r="U852" s="74"/>
      <c r="V852" s="74"/>
      <c r="W852" s="74"/>
    </row>
    <row r="853">
      <c r="A853" s="74"/>
      <c r="B853" s="74"/>
      <c r="C853" s="74"/>
      <c r="D853" s="74"/>
      <c r="E853" s="74"/>
      <c r="F853" s="74"/>
      <c r="G853" s="74"/>
      <c r="H853" s="74"/>
      <c r="I853" s="74"/>
      <c r="J853" s="74"/>
      <c r="K853" s="74"/>
      <c r="L853" s="74"/>
      <c r="M853" s="74"/>
      <c r="N853" s="74"/>
      <c r="O853" s="74"/>
      <c r="P853" s="74"/>
      <c r="Q853" s="74"/>
      <c r="R853" s="74"/>
      <c r="S853" s="74"/>
      <c r="T853" s="74"/>
      <c r="U853" s="74"/>
      <c r="V853" s="74"/>
      <c r="W853" s="74"/>
    </row>
    <row r="854">
      <c r="A854" s="74"/>
      <c r="B854" s="74"/>
      <c r="C854" s="74"/>
      <c r="D854" s="74"/>
      <c r="E854" s="74"/>
      <c r="F854" s="74"/>
      <c r="G854" s="74"/>
      <c r="H854" s="74"/>
      <c r="I854" s="74"/>
      <c r="J854" s="74"/>
      <c r="K854" s="74"/>
      <c r="L854" s="74"/>
      <c r="M854" s="74"/>
      <c r="N854" s="74"/>
      <c r="O854" s="74"/>
      <c r="P854" s="74"/>
      <c r="Q854" s="74"/>
      <c r="R854" s="74"/>
      <c r="S854" s="74"/>
      <c r="T854" s="74"/>
      <c r="U854" s="74"/>
      <c r="V854" s="74"/>
      <c r="W854" s="74"/>
    </row>
    <row r="855">
      <c r="A855" s="74"/>
      <c r="B855" s="74"/>
      <c r="C855" s="74"/>
      <c r="D855" s="74"/>
      <c r="E855" s="74"/>
      <c r="F855" s="74"/>
      <c r="G855" s="74"/>
      <c r="H855" s="74"/>
      <c r="I855" s="74"/>
      <c r="J855" s="74"/>
      <c r="K855" s="74"/>
      <c r="L855" s="74"/>
      <c r="M855" s="74"/>
      <c r="N855" s="74"/>
      <c r="O855" s="74"/>
      <c r="P855" s="74"/>
      <c r="Q855" s="74"/>
      <c r="R855" s="74"/>
      <c r="S855" s="74"/>
      <c r="T855" s="74"/>
      <c r="U855" s="74"/>
      <c r="V855" s="74"/>
      <c r="W855" s="74"/>
    </row>
    <row r="856">
      <c r="A856" s="74"/>
      <c r="B856" s="74"/>
      <c r="C856" s="74"/>
      <c r="D856" s="74"/>
      <c r="E856" s="74"/>
      <c r="F856" s="74"/>
      <c r="G856" s="74"/>
      <c r="H856" s="74"/>
      <c r="I856" s="74"/>
      <c r="J856" s="74"/>
      <c r="K856" s="74"/>
      <c r="L856" s="74"/>
      <c r="M856" s="74"/>
      <c r="N856" s="74"/>
      <c r="O856" s="74"/>
      <c r="P856" s="74"/>
      <c r="Q856" s="74"/>
      <c r="R856" s="74"/>
      <c r="S856" s="74"/>
      <c r="T856" s="74"/>
      <c r="U856" s="74"/>
      <c r="V856" s="74"/>
      <c r="W856" s="74"/>
    </row>
    <row r="857">
      <c r="A857" s="74"/>
      <c r="B857" s="74"/>
      <c r="C857" s="74"/>
      <c r="D857" s="74"/>
      <c r="E857" s="74"/>
      <c r="F857" s="74"/>
      <c r="G857" s="74"/>
      <c r="H857" s="74"/>
      <c r="I857" s="74"/>
      <c r="J857" s="74"/>
      <c r="K857" s="74"/>
      <c r="L857" s="74"/>
      <c r="M857" s="74"/>
      <c r="N857" s="74"/>
      <c r="O857" s="74"/>
      <c r="P857" s="74"/>
      <c r="Q857" s="74"/>
      <c r="R857" s="74"/>
      <c r="S857" s="74"/>
      <c r="T857" s="74"/>
      <c r="U857" s="74"/>
      <c r="V857" s="74"/>
      <c r="W857" s="74"/>
    </row>
    <row r="858">
      <c r="A858" s="74"/>
      <c r="B858" s="74"/>
      <c r="C858" s="74"/>
      <c r="D858" s="74"/>
      <c r="E858" s="74"/>
      <c r="F858" s="74"/>
      <c r="G858" s="74"/>
      <c r="H858" s="74"/>
      <c r="I858" s="74"/>
      <c r="J858" s="74"/>
      <c r="K858" s="74"/>
      <c r="L858" s="74"/>
      <c r="M858" s="74"/>
      <c r="N858" s="74"/>
      <c r="O858" s="74"/>
      <c r="P858" s="74"/>
      <c r="Q858" s="74"/>
      <c r="R858" s="74"/>
      <c r="S858" s="74"/>
      <c r="T858" s="74"/>
      <c r="U858" s="74"/>
      <c r="V858" s="74"/>
      <c r="W858" s="74"/>
    </row>
    <row r="859">
      <c r="A859" s="74"/>
      <c r="B859" s="74"/>
      <c r="C859" s="74"/>
      <c r="D859" s="74"/>
      <c r="E859" s="74"/>
      <c r="F859" s="74"/>
      <c r="G859" s="74"/>
      <c r="H859" s="74"/>
      <c r="I859" s="74"/>
      <c r="J859" s="74"/>
      <c r="K859" s="74"/>
      <c r="L859" s="74"/>
      <c r="M859" s="74"/>
      <c r="N859" s="74"/>
      <c r="O859" s="74"/>
      <c r="P859" s="74"/>
      <c r="Q859" s="74"/>
      <c r="R859" s="74"/>
      <c r="S859" s="74"/>
      <c r="T859" s="74"/>
      <c r="U859" s="74"/>
      <c r="V859" s="74"/>
      <c r="W859" s="74"/>
    </row>
    <row r="860">
      <c r="A860" s="74"/>
      <c r="B860" s="74"/>
      <c r="C860" s="74"/>
      <c r="D860" s="74"/>
      <c r="E860" s="74"/>
      <c r="F860" s="74"/>
      <c r="G860" s="74"/>
      <c r="H860" s="74"/>
      <c r="I860" s="74"/>
      <c r="J860" s="74"/>
      <c r="K860" s="74"/>
      <c r="L860" s="74"/>
      <c r="M860" s="74"/>
      <c r="N860" s="74"/>
      <c r="O860" s="74"/>
      <c r="P860" s="74"/>
      <c r="Q860" s="74"/>
      <c r="R860" s="74"/>
      <c r="S860" s="74"/>
      <c r="T860" s="74"/>
      <c r="U860" s="74"/>
      <c r="V860" s="74"/>
      <c r="W860" s="74"/>
    </row>
    <row r="861">
      <c r="A861" s="74"/>
      <c r="B861" s="74"/>
      <c r="C861" s="74"/>
      <c r="D861" s="74"/>
      <c r="E861" s="74"/>
      <c r="F861" s="74"/>
      <c r="G861" s="74"/>
      <c r="H861" s="74"/>
      <c r="I861" s="74"/>
      <c r="J861" s="74"/>
      <c r="K861" s="74"/>
      <c r="L861" s="74"/>
      <c r="M861" s="74"/>
      <c r="N861" s="74"/>
      <c r="O861" s="74"/>
      <c r="P861" s="74"/>
      <c r="Q861" s="74"/>
      <c r="R861" s="74"/>
      <c r="S861" s="74"/>
      <c r="T861" s="74"/>
      <c r="U861" s="74"/>
      <c r="V861" s="74"/>
      <c r="W861" s="74"/>
    </row>
    <row r="862">
      <c r="A862" s="74"/>
      <c r="B862" s="74"/>
      <c r="C862" s="74"/>
      <c r="D862" s="74"/>
      <c r="E862" s="74"/>
      <c r="F862" s="74"/>
      <c r="G862" s="74"/>
      <c r="H862" s="74"/>
      <c r="I862" s="74"/>
      <c r="J862" s="74"/>
      <c r="K862" s="74"/>
      <c r="L862" s="74"/>
      <c r="M862" s="74"/>
      <c r="N862" s="74"/>
      <c r="O862" s="74"/>
      <c r="P862" s="74"/>
      <c r="Q862" s="74"/>
      <c r="R862" s="74"/>
      <c r="S862" s="74"/>
      <c r="T862" s="74"/>
      <c r="U862" s="74"/>
      <c r="V862" s="74"/>
      <c r="W862" s="74"/>
    </row>
    <row r="863">
      <c r="A863" s="74"/>
      <c r="B863" s="74"/>
      <c r="C863" s="74"/>
      <c r="D863" s="74"/>
      <c r="E863" s="74"/>
      <c r="F863" s="74"/>
      <c r="G863" s="74"/>
      <c r="H863" s="74"/>
      <c r="I863" s="74"/>
      <c r="J863" s="74"/>
      <c r="K863" s="74"/>
      <c r="L863" s="74"/>
      <c r="M863" s="74"/>
      <c r="N863" s="74"/>
      <c r="O863" s="74"/>
      <c r="P863" s="74"/>
      <c r="Q863" s="74"/>
      <c r="R863" s="74"/>
      <c r="S863" s="74"/>
      <c r="T863" s="74"/>
      <c r="U863" s="74"/>
      <c r="V863" s="74"/>
      <c r="W863" s="74"/>
    </row>
    <row r="864">
      <c r="A864" s="74"/>
      <c r="B864" s="74"/>
      <c r="C864" s="74"/>
      <c r="D864" s="74"/>
      <c r="E864" s="74"/>
      <c r="F864" s="74"/>
      <c r="G864" s="74"/>
      <c r="H864" s="74"/>
      <c r="I864" s="74"/>
      <c r="J864" s="74"/>
      <c r="K864" s="74"/>
      <c r="L864" s="74"/>
      <c r="M864" s="74"/>
      <c r="N864" s="74"/>
      <c r="O864" s="74"/>
      <c r="P864" s="74"/>
      <c r="Q864" s="74"/>
      <c r="R864" s="74"/>
      <c r="S864" s="74"/>
      <c r="T864" s="74"/>
      <c r="U864" s="74"/>
      <c r="V864" s="74"/>
      <c r="W864" s="74"/>
    </row>
    <row r="865">
      <c r="A865" s="74"/>
      <c r="B865" s="74"/>
      <c r="C865" s="74"/>
      <c r="D865" s="74"/>
      <c r="E865" s="74"/>
      <c r="F865" s="74"/>
      <c r="G865" s="74"/>
      <c r="H865" s="74"/>
      <c r="I865" s="74"/>
      <c r="J865" s="74"/>
      <c r="K865" s="74"/>
      <c r="L865" s="74"/>
      <c r="M865" s="74"/>
      <c r="N865" s="74"/>
      <c r="O865" s="74"/>
      <c r="P865" s="74"/>
      <c r="Q865" s="74"/>
      <c r="R865" s="74"/>
      <c r="S865" s="74"/>
      <c r="T865" s="74"/>
      <c r="U865" s="74"/>
      <c r="V865" s="74"/>
      <c r="W865" s="74"/>
    </row>
    <row r="866">
      <c r="A866" s="74"/>
      <c r="B866" s="74"/>
      <c r="C866" s="74"/>
      <c r="D866" s="74"/>
      <c r="E866" s="74"/>
      <c r="F866" s="74"/>
      <c r="G866" s="74"/>
      <c r="H866" s="74"/>
      <c r="I866" s="74"/>
      <c r="J866" s="74"/>
      <c r="K866" s="74"/>
      <c r="L866" s="74"/>
      <c r="M866" s="74"/>
      <c r="N866" s="74"/>
      <c r="O866" s="74"/>
      <c r="P866" s="74"/>
      <c r="Q866" s="74"/>
      <c r="R866" s="74"/>
      <c r="S866" s="74"/>
      <c r="T866" s="74"/>
      <c r="U866" s="74"/>
      <c r="V866" s="74"/>
      <c r="W866" s="74"/>
    </row>
    <row r="867">
      <c r="A867" s="74"/>
      <c r="B867" s="74"/>
      <c r="C867" s="74"/>
      <c r="D867" s="74"/>
      <c r="E867" s="74"/>
      <c r="F867" s="74"/>
      <c r="G867" s="74"/>
      <c r="H867" s="74"/>
      <c r="I867" s="74"/>
      <c r="J867" s="74"/>
      <c r="K867" s="74"/>
      <c r="L867" s="74"/>
      <c r="M867" s="74"/>
      <c r="N867" s="74"/>
      <c r="O867" s="74"/>
      <c r="P867" s="74"/>
      <c r="Q867" s="74"/>
      <c r="R867" s="74"/>
      <c r="S867" s="74"/>
      <c r="T867" s="74"/>
      <c r="U867" s="74"/>
      <c r="V867" s="74"/>
      <c r="W867" s="74"/>
    </row>
    <row r="868">
      <c r="A868" s="74"/>
      <c r="B868" s="74"/>
      <c r="C868" s="74"/>
      <c r="D868" s="74"/>
      <c r="E868" s="74"/>
      <c r="F868" s="74"/>
      <c r="G868" s="74"/>
      <c r="H868" s="74"/>
      <c r="I868" s="74"/>
      <c r="J868" s="74"/>
      <c r="K868" s="74"/>
      <c r="L868" s="74"/>
      <c r="M868" s="74"/>
      <c r="N868" s="74"/>
      <c r="O868" s="74"/>
      <c r="P868" s="74"/>
      <c r="Q868" s="74"/>
      <c r="R868" s="74"/>
      <c r="S868" s="74"/>
      <c r="T868" s="74"/>
      <c r="U868" s="74"/>
      <c r="V868" s="74"/>
      <c r="W868" s="74"/>
    </row>
    <row r="869">
      <c r="A869" s="74"/>
      <c r="B869" s="74"/>
      <c r="C869" s="74"/>
      <c r="D869" s="74"/>
      <c r="E869" s="74"/>
      <c r="F869" s="74"/>
      <c r="G869" s="74"/>
      <c r="H869" s="74"/>
      <c r="I869" s="74"/>
      <c r="J869" s="74"/>
      <c r="K869" s="74"/>
      <c r="L869" s="74"/>
      <c r="M869" s="74"/>
      <c r="N869" s="74"/>
      <c r="O869" s="74"/>
      <c r="P869" s="74"/>
      <c r="Q869" s="74"/>
      <c r="R869" s="74"/>
      <c r="S869" s="74"/>
      <c r="T869" s="74"/>
      <c r="U869" s="74"/>
      <c r="V869" s="74"/>
      <c r="W869" s="74"/>
    </row>
    <row r="870">
      <c r="A870" s="74"/>
      <c r="B870" s="74"/>
      <c r="C870" s="74"/>
      <c r="D870" s="74"/>
      <c r="E870" s="74"/>
      <c r="F870" s="74"/>
      <c r="G870" s="74"/>
      <c r="H870" s="74"/>
      <c r="I870" s="74"/>
      <c r="J870" s="74"/>
      <c r="K870" s="74"/>
      <c r="L870" s="74"/>
      <c r="M870" s="74"/>
      <c r="N870" s="74"/>
      <c r="O870" s="74"/>
      <c r="P870" s="74"/>
      <c r="Q870" s="74"/>
      <c r="R870" s="74"/>
      <c r="S870" s="74"/>
      <c r="T870" s="74"/>
      <c r="U870" s="74"/>
      <c r="V870" s="74"/>
      <c r="W870" s="74"/>
    </row>
    <row r="871">
      <c r="A871" s="74"/>
      <c r="B871" s="74"/>
      <c r="C871" s="74"/>
      <c r="D871" s="74"/>
      <c r="E871" s="74"/>
      <c r="F871" s="74"/>
      <c r="G871" s="74"/>
      <c r="H871" s="74"/>
      <c r="I871" s="74"/>
      <c r="J871" s="74"/>
      <c r="K871" s="74"/>
      <c r="L871" s="74"/>
      <c r="M871" s="74"/>
      <c r="N871" s="74"/>
      <c r="O871" s="74"/>
      <c r="P871" s="74"/>
      <c r="Q871" s="74"/>
      <c r="R871" s="74"/>
      <c r="S871" s="74"/>
      <c r="T871" s="74"/>
      <c r="U871" s="74"/>
      <c r="V871" s="74"/>
      <c r="W871" s="74"/>
    </row>
    <row r="872">
      <c r="A872" s="74"/>
      <c r="B872" s="74"/>
      <c r="C872" s="74"/>
      <c r="D872" s="74"/>
      <c r="E872" s="74"/>
      <c r="F872" s="74"/>
      <c r="G872" s="74"/>
      <c r="H872" s="74"/>
      <c r="I872" s="74"/>
      <c r="J872" s="74"/>
      <c r="K872" s="74"/>
      <c r="L872" s="74"/>
      <c r="M872" s="74"/>
      <c r="N872" s="74"/>
      <c r="O872" s="74"/>
      <c r="P872" s="74"/>
      <c r="Q872" s="74"/>
      <c r="R872" s="74"/>
      <c r="S872" s="74"/>
      <c r="T872" s="74"/>
      <c r="U872" s="74"/>
      <c r="V872" s="74"/>
      <c r="W872" s="74"/>
    </row>
    <row r="873">
      <c r="A873" s="74"/>
      <c r="B873" s="74"/>
      <c r="C873" s="74"/>
      <c r="D873" s="74"/>
      <c r="E873" s="74"/>
      <c r="F873" s="74"/>
      <c r="G873" s="74"/>
      <c r="H873" s="74"/>
      <c r="I873" s="74"/>
      <c r="J873" s="74"/>
      <c r="K873" s="74"/>
      <c r="L873" s="74"/>
      <c r="M873" s="74"/>
      <c r="N873" s="74"/>
      <c r="O873" s="74"/>
      <c r="P873" s="74"/>
      <c r="Q873" s="74"/>
      <c r="R873" s="74"/>
      <c r="S873" s="74"/>
      <c r="T873" s="74"/>
      <c r="U873" s="74"/>
      <c r="V873" s="74"/>
      <c r="W873" s="74"/>
    </row>
    <row r="874">
      <c r="A874" s="74"/>
      <c r="B874" s="74"/>
      <c r="C874" s="74"/>
      <c r="D874" s="74"/>
      <c r="E874" s="74"/>
      <c r="F874" s="74"/>
      <c r="G874" s="74"/>
      <c r="H874" s="74"/>
      <c r="I874" s="74"/>
      <c r="J874" s="74"/>
      <c r="K874" s="74"/>
      <c r="L874" s="74"/>
      <c r="M874" s="74"/>
      <c r="N874" s="74"/>
      <c r="O874" s="74"/>
      <c r="P874" s="74"/>
      <c r="Q874" s="74"/>
      <c r="R874" s="74"/>
      <c r="S874" s="74"/>
      <c r="T874" s="74"/>
      <c r="U874" s="74"/>
      <c r="V874" s="74"/>
      <c r="W874" s="74"/>
    </row>
    <row r="875">
      <c r="A875" s="74"/>
      <c r="B875" s="74"/>
      <c r="C875" s="74"/>
      <c r="D875" s="74"/>
      <c r="E875" s="74"/>
      <c r="F875" s="74"/>
      <c r="G875" s="74"/>
      <c r="H875" s="74"/>
      <c r="I875" s="74"/>
      <c r="J875" s="74"/>
      <c r="K875" s="74"/>
      <c r="L875" s="74"/>
      <c r="M875" s="74"/>
      <c r="N875" s="74"/>
      <c r="O875" s="74"/>
      <c r="P875" s="74"/>
      <c r="Q875" s="74"/>
      <c r="R875" s="74"/>
      <c r="S875" s="74"/>
      <c r="T875" s="74"/>
      <c r="U875" s="74"/>
      <c r="V875" s="74"/>
      <c r="W875" s="74"/>
    </row>
    <row r="876">
      <c r="A876" s="74"/>
      <c r="B876" s="74"/>
      <c r="C876" s="74"/>
      <c r="D876" s="74"/>
      <c r="E876" s="74"/>
      <c r="F876" s="74"/>
      <c r="G876" s="74"/>
      <c r="H876" s="74"/>
      <c r="I876" s="74"/>
      <c r="J876" s="74"/>
      <c r="K876" s="74"/>
      <c r="L876" s="74"/>
      <c r="M876" s="74"/>
      <c r="N876" s="74"/>
      <c r="O876" s="74"/>
      <c r="P876" s="74"/>
      <c r="Q876" s="74"/>
      <c r="R876" s="74"/>
      <c r="S876" s="74"/>
      <c r="T876" s="74"/>
      <c r="U876" s="74"/>
      <c r="V876" s="74"/>
      <c r="W876" s="74"/>
    </row>
    <row r="877">
      <c r="A877" s="74"/>
      <c r="B877" s="74"/>
      <c r="C877" s="74"/>
      <c r="D877" s="74"/>
      <c r="E877" s="74"/>
      <c r="F877" s="74"/>
      <c r="G877" s="74"/>
      <c r="H877" s="74"/>
      <c r="I877" s="74"/>
      <c r="J877" s="74"/>
      <c r="K877" s="74"/>
      <c r="L877" s="74"/>
      <c r="M877" s="74"/>
      <c r="N877" s="74"/>
      <c r="O877" s="74"/>
      <c r="P877" s="74"/>
      <c r="Q877" s="74"/>
      <c r="R877" s="74"/>
      <c r="S877" s="74"/>
      <c r="T877" s="74"/>
      <c r="U877" s="74"/>
      <c r="V877" s="74"/>
      <c r="W877" s="74"/>
    </row>
    <row r="878">
      <c r="A878" s="74"/>
      <c r="B878" s="74"/>
      <c r="C878" s="74"/>
      <c r="D878" s="74"/>
      <c r="E878" s="74"/>
      <c r="F878" s="74"/>
      <c r="G878" s="74"/>
      <c r="H878" s="74"/>
      <c r="I878" s="74"/>
      <c r="J878" s="74"/>
      <c r="K878" s="74"/>
      <c r="L878" s="74"/>
      <c r="M878" s="74"/>
      <c r="N878" s="74"/>
      <c r="O878" s="74"/>
      <c r="P878" s="74"/>
      <c r="Q878" s="74"/>
      <c r="R878" s="74"/>
      <c r="S878" s="74"/>
      <c r="T878" s="74"/>
      <c r="U878" s="74"/>
      <c r="V878" s="74"/>
      <c r="W878" s="74"/>
    </row>
    <row r="879">
      <c r="A879" s="74"/>
      <c r="B879" s="74"/>
      <c r="C879" s="74"/>
      <c r="D879" s="74"/>
      <c r="E879" s="74"/>
      <c r="F879" s="74"/>
      <c r="G879" s="74"/>
      <c r="H879" s="74"/>
      <c r="I879" s="74"/>
      <c r="J879" s="74"/>
      <c r="K879" s="74"/>
      <c r="L879" s="74"/>
      <c r="M879" s="74"/>
      <c r="N879" s="74"/>
      <c r="O879" s="74"/>
      <c r="P879" s="74"/>
      <c r="Q879" s="74"/>
      <c r="R879" s="74"/>
      <c r="S879" s="74"/>
      <c r="T879" s="74"/>
      <c r="U879" s="74"/>
      <c r="V879" s="74"/>
      <c r="W879" s="74"/>
    </row>
    <row r="880">
      <c r="A880" s="74"/>
      <c r="B880" s="74"/>
      <c r="C880" s="74"/>
      <c r="D880" s="74"/>
      <c r="E880" s="74"/>
      <c r="F880" s="74"/>
      <c r="G880" s="74"/>
      <c r="H880" s="74"/>
      <c r="I880" s="74"/>
      <c r="J880" s="74"/>
      <c r="K880" s="74"/>
      <c r="L880" s="74"/>
      <c r="M880" s="74"/>
      <c r="N880" s="74"/>
      <c r="O880" s="74"/>
      <c r="P880" s="74"/>
      <c r="Q880" s="74"/>
      <c r="R880" s="74"/>
      <c r="S880" s="74"/>
      <c r="T880" s="74"/>
      <c r="U880" s="74"/>
      <c r="V880" s="74"/>
      <c r="W880" s="74"/>
    </row>
    <row r="881">
      <c r="A881" s="74"/>
      <c r="B881" s="74"/>
      <c r="C881" s="74"/>
      <c r="D881" s="74"/>
      <c r="E881" s="74"/>
      <c r="F881" s="74"/>
      <c r="G881" s="74"/>
      <c r="H881" s="74"/>
      <c r="I881" s="74"/>
      <c r="J881" s="74"/>
      <c r="K881" s="74"/>
      <c r="L881" s="74"/>
      <c r="M881" s="74"/>
      <c r="N881" s="74"/>
      <c r="O881" s="74"/>
      <c r="P881" s="74"/>
      <c r="Q881" s="74"/>
      <c r="R881" s="74"/>
      <c r="S881" s="74"/>
      <c r="T881" s="74"/>
      <c r="U881" s="74"/>
      <c r="V881" s="74"/>
      <c r="W881" s="74"/>
    </row>
    <row r="882">
      <c r="A882" s="74"/>
      <c r="B882" s="74"/>
      <c r="C882" s="74"/>
      <c r="D882" s="74"/>
      <c r="E882" s="74"/>
      <c r="F882" s="74"/>
      <c r="G882" s="74"/>
      <c r="H882" s="74"/>
      <c r="I882" s="74"/>
      <c r="J882" s="74"/>
      <c r="K882" s="74"/>
      <c r="L882" s="74"/>
      <c r="M882" s="74"/>
      <c r="N882" s="74"/>
      <c r="O882" s="74"/>
      <c r="P882" s="74"/>
      <c r="Q882" s="74"/>
      <c r="R882" s="74"/>
      <c r="S882" s="74"/>
      <c r="T882" s="74"/>
      <c r="U882" s="74"/>
      <c r="V882" s="74"/>
      <c r="W882" s="74"/>
    </row>
    <row r="883">
      <c r="A883" s="74"/>
      <c r="B883" s="74"/>
      <c r="C883" s="74"/>
      <c r="D883" s="74"/>
      <c r="E883" s="74"/>
      <c r="F883" s="74"/>
      <c r="G883" s="74"/>
      <c r="H883" s="74"/>
      <c r="I883" s="74"/>
      <c r="J883" s="74"/>
      <c r="K883" s="74"/>
      <c r="L883" s="74"/>
      <c r="M883" s="74"/>
      <c r="N883" s="74"/>
      <c r="O883" s="74"/>
      <c r="P883" s="74"/>
      <c r="Q883" s="74"/>
      <c r="R883" s="74"/>
      <c r="S883" s="74"/>
      <c r="T883" s="74"/>
      <c r="U883" s="74"/>
      <c r="V883" s="74"/>
      <c r="W883" s="74"/>
    </row>
    <row r="884">
      <c r="A884" s="74"/>
      <c r="B884" s="74"/>
      <c r="C884" s="74"/>
      <c r="D884" s="74"/>
      <c r="E884" s="74"/>
      <c r="F884" s="74"/>
      <c r="G884" s="74"/>
      <c r="H884" s="74"/>
      <c r="I884" s="74"/>
      <c r="J884" s="74"/>
      <c r="K884" s="74"/>
      <c r="L884" s="74"/>
      <c r="M884" s="74"/>
      <c r="N884" s="74"/>
      <c r="O884" s="74"/>
      <c r="P884" s="74"/>
      <c r="Q884" s="74"/>
      <c r="R884" s="74"/>
      <c r="S884" s="74"/>
      <c r="T884" s="74"/>
      <c r="U884" s="74"/>
      <c r="V884" s="74"/>
      <c r="W884" s="74"/>
    </row>
    <row r="885">
      <c r="A885" s="74"/>
      <c r="B885" s="74"/>
      <c r="C885" s="74"/>
      <c r="D885" s="74"/>
      <c r="E885" s="74"/>
      <c r="F885" s="74"/>
      <c r="G885" s="74"/>
      <c r="H885" s="74"/>
      <c r="I885" s="74"/>
      <c r="J885" s="74"/>
      <c r="K885" s="74"/>
      <c r="L885" s="74"/>
      <c r="M885" s="74"/>
      <c r="N885" s="74"/>
      <c r="O885" s="74"/>
      <c r="P885" s="74"/>
      <c r="Q885" s="74"/>
      <c r="R885" s="74"/>
      <c r="S885" s="74"/>
      <c r="T885" s="74"/>
      <c r="U885" s="74"/>
      <c r="V885" s="74"/>
      <c r="W885" s="74"/>
    </row>
    <row r="886">
      <c r="A886" s="74"/>
      <c r="B886" s="74"/>
      <c r="C886" s="74"/>
      <c r="D886" s="74"/>
      <c r="E886" s="74"/>
      <c r="F886" s="74"/>
      <c r="G886" s="74"/>
      <c r="H886" s="74"/>
      <c r="I886" s="74"/>
      <c r="J886" s="74"/>
      <c r="K886" s="74"/>
      <c r="L886" s="74"/>
      <c r="M886" s="74"/>
      <c r="N886" s="74"/>
      <c r="O886" s="74"/>
      <c r="P886" s="74"/>
      <c r="Q886" s="74"/>
      <c r="R886" s="74"/>
      <c r="S886" s="74"/>
      <c r="T886" s="74"/>
      <c r="U886" s="74"/>
      <c r="V886" s="74"/>
      <c r="W886" s="74"/>
    </row>
    <row r="887">
      <c r="A887" s="74"/>
      <c r="B887" s="74"/>
      <c r="C887" s="74"/>
      <c r="D887" s="74"/>
      <c r="E887" s="74"/>
      <c r="F887" s="74"/>
      <c r="G887" s="74"/>
      <c r="H887" s="74"/>
      <c r="I887" s="74"/>
      <c r="J887" s="74"/>
      <c r="K887" s="74"/>
      <c r="L887" s="74"/>
      <c r="M887" s="74"/>
      <c r="N887" s="74"/>
      <c r="O887" s="74"/>
      <c r="P887" s="74"/>
      <c r="Q887" s="74"/>
      <c r="R887" s="74"/>
      <c r="S887" s="74"/>
      <c r="T887" s="74"/>
      <c r="U887" s="74"/>
      <c r="V887" s="74"/>
      <c r="W887" s="74"/>
    </row>
    <row r="888">
      <c r="A888" s="74"/>
      <c r="B888" s="74"/>
      <c r="C888" s="74"/>
      <c r="D888" s="74"/>
      <c r="E888" s="74"/>
      <c r="F888" s="74"/>
      <c r="G888" s="74"/>
      <c r="H888" s="74"/>
      <c r="I888" s="74"/>
      <c r="J888" s="74"/>
      <c r="K888" s="74"/>
      <c r="L888" s="74"/>
      <c r="M888" s="74"/>
      <c r="N888" s="74"/>
      <c r="O888" s="74"/>
      <c r="P888" s="74"/>
      <c r="Q888" s="74"/>
      <c r="R888" s="74"/>
      <c r="S888" s="74"/>
      <c r="T888" s="74"/>
      <c r="U888" s="74"/>
      <c r="V888" s="74"/>
      <c r="W888" s="74"/>
    </row>
    <row r="889">
      <c r="A889" s="74"/>
      <c r="B889" s="74"/>
      <c r="C889" s="74"/>
      <c r="D889" s="74"/>
      <c r="E889" s="74"/>
      <c r="F889" s="74"/>
      <c r="G889" s="74"/>
      <c r="H889" s="74"/>
      <c r="I889" s="74"/>
      <c r="J889" s="74"/>
      <c r="K889" s="74"/>
      <c r="L889" s="74"/>
      <c r="M889" s="74"/>
      <c r="N889" s="74"/>
      <c r="O889" s="74"/>
      <c r="P889" s="74"/>
      <c r="Q889" s="74"/>
      <c r="R889" s="74"/>
      <c r="S889" s="74"/>
      <c r="T889" s="74"/>
      <c r="U889" s="74"/>
      <c r="V889" s="74"/>
      <c r="W889" s="74"/>
    </row>
    <row r="890">
      <c r="A890" s="74"/>
      <c r="B890" s="74"/>
      <c r="C890" s="74"/>
      <c r="D890" s="74"/>
      <c r="E890" s="74"/>
      <c r="F890" s="74"/>
      <c r="G890" s="74"/>
      <c r="H890" s="74"/>
      <c r="I890" s="74"/>
      <c r="J890" s="74"/>
      <c r="K890" s="74"/>
      <c r="L890" s="74"/>
      <c r="M890" s="74"/>
      <c r="N890" s="74"/>
      <c r="O890" s="74"/>
      <c r="P890" s="74"/>
      <c r="Q890" s="74"/>
      <c r="R890" s="74"/>
      <c r="S890" s="74"/>
      <c r="T890" s="74"/>
      <c r="U890" s="74"/>
      <c r="V890" s="74"/>
      <c r="W890" s="74"/>
    </row>
    <row r="891">
      <c r="A891" s="74"/>
      <c r="B891" s="74"/>
      <c r="C891" s="74"/>
      <c r="D891" s="74"/>
      <c r="E891" s="74"/>
      <c r="F891" s="74"/>
      <c r="G891" s="74"/>
      <c r="H891" s="74"/>
      <c r="I891" s="74"/>
      <c r="J891" s="74"/>
      <c r="K891" s="74"/>
      <c r="L891" s="74"/>
      <c r="M891" s="74"/>
      <c r="N891" s="74"/>
      <c r="O891" s="74"/>
      <c r="P891" s="74"/>
      <c r="Q891" s="74"/>
      <c r="R891" s="74"/>
      <c r="S891" s="74"/>
      <c r="T891" s="74"/>
      <c r="U891" s="74"/>
      <c r="V891" s="74"/>
      <c r="W891" s="74"/>
    </row>
    <row r="892">
      <c r="A892" s="74"/>
      <c r="B892" s="74"/>
      <c r="C892" s="74"/>
      <c r="D892" s="74"/>
      <c r="E892" s="74"/>
      <c r="F892" s="74"/>
      <c r="G892" s="74"/>
      <c r="H892" s="74"/>
      <c r="I892" s="74"/>
      <c r="J892" s="74"/>
      <c r="K892" s="74"/>
      <c r="L892" s="74"/>
      <c r="M892" s="74"/>
      <c r="N892" s="74"/>
      <c r="O892" s="74"/>
      <c r="P892" s="74"/>
      <c r="Q892" s="74"/>
      <c r="R892" s="74"/>
      <c r="S892" s="74"/>
      <c r="T892" s="74"/>
      <c r="U892" s="74"/>
      <c r="V892" s="74"/>
      <c r="W892" s="74"/>
    </row>
    <row r="893">
      <c r="A893" s="74"/>
      <c r="B893" s="74"/>
      <c r="C893" s="74"/>
      <c r="D893" s="74"/>
      <c r="E893" s="74"/>
      <c r="F893" s="74"/>
      <c r="G893" s="74"/>
      <c r="H893" s="74"/>
      <c r="I893" s="74"/>
      <c r="J893" s="74"/>
      <c r="K893" s="74"/>
      <c r="L893" s="74"/>
      <c r="M893" s="74"/>
      <c r="N893" s="74"/>
      <c r="O893" s="74"/>
      <c r="P893" s="74"/>
      <c r="Q893" s="74"/>
      <c r="R893" s="74"/>
      <c r="S893" s="74"/>
      <c r="T893" s="74"/>
      <c r="U893" s="74"/>
      <c r="V893" s="74"/>
      <c r="W893" s="74"/>
    </row>
    <row r="894">
      <c r="A894" s="74"/>
      <c r="B894" s="74"/>
      <c r="C894" s="74"/>
      <c r="D894" s="74"/>
      <c r="E894" s="74"/>
      <c r="F894" s="74"/>
      <c r="G894" s="74"/>
      <c r="H894" s="74"/>
      <c r="I894" s="74"/>
      <c r="J894" s="74"/>
      <c r="K894" s="74"/>
      <c r="L894" s="74"/>
      <c r="M894" s="74"/>
      <c r="N894" s="74"/>
      <c r="O894" s="74"/>
      <c r="P894" s="74"/>
      <c r="Q894" s="74"/>
      <c r="R894" s="74"/>
      <c r="S894" s="74"/>
      <c r="T894" s="74"/>
      <c r="U894" s="74"/>
      <c r="V894" s="74"/>
      <c r="W894" s="74"/>
    </row>
    <row r="895">
      <c r="A895" s="74"/>
      <c r="B895" s="74"/>
      <c r="C895" s="74"/>
      <c r="D895" s="74"/>
      <c r="E895" s="74"/>
      <c r="F895" s="74"/>
      <c r="G895" s="74"/>
      <c r="H895" s="74"/>
      <c r="I895" s="74"/>
      <c r="J895" s="74"/>
      <c r="K895" s="74"/>
      <c r="L895" s="74"/>
      <c r="M895" s="74"/>
      <c r="N895" s="74"/>
      <c r="O895" s="74"/>
      <c r="P895" s="74"/>
      <c r="Q895" s="74"/>
      <c r="R895" s="74"/>
      <c r="S895" s="74"/>
      <c r="T895" s="74"/>
      <c r="U895" s="74"/>
      <c r="V895" s="74"/>
      <c r="W895" s="74"/>
    </row>
    <row r="896">
      <c r="A896" s="74"/>
      <c r="B896" s="74"/>
      <c r="C896" s="74"/>
      <c r="D896" s="74"/>
      <c r="E896" s="74"/>
      <c r="F896" s="74"/>
      <c r="G896" s="74"/>
      <c r="H896" s="74"/>
      <c r="I896" s="74"/>
      <c r="J896" s="74"/>
      <c r="K896" s="74"/>
      <c r="L896" s="74"/>
      <c r="M896" s="74"/>
      <c r="N896" s="74"/>
      <c r="O896" s="74"/>
      <c r="P896" s="74"/>
      <c r="Q896" s="74"/>
      <c r="R896" s="74"/>
      <c r="S896" s="74"/>
      <c r="T896" s="74"/>
      <c r="U896" s="74"/>
      <c r="V896" s="74"/>
      <c r="W896" s="74"/>
    </row>
    <row r="897">
      <c r="A897" s="74"/>
      <c r="B897" s="74"/>
      <c r="C897" s="74"/>
      <c r="D897" s="74"/>
      <c r="E897" s="74"/>
      <c r="F897" s="74"/>
      <c r="G897" s="74"/>
      <c r="H897" s="74"/>
      <c r="I897" s="74"/>
      <c r="J897" s="74"/>
      <c r="K897" s="74"/>
      <c r="L897" s="74"/>
      <c r="M897" s="74"/>
      <c r="N897" s="74"/>
      <c r="O897" s="74"/>
      <c r="P897" s="74"/>
      <c r="Q897" s="74"/>
      <c r="R897" s="74"/>
      <c r="S897" s="74"/>
      <c r="T897" s="74"/>
      <c r="U897" s="74"/>
      <c r="V897" s="74"/>
      <c r="W897" s="74"/>
    </row>
    <row r="898">
      <c r="A898" s="74"/>
      <c r="B898" s="74"/>
      <c r="C898" s="74"/>
      <c r="D898" s="74"/>
      <c r="E898" s="74"/>
      <c r="F898" s="74"/>
      <c r="G898" s="74"/>
      <c r="H898" s="74"/>
      <c r="I898" s="74"/>
      <c r="J898" s="74"/>
      <c r="K898" s="74"/>
      <c r="L898" s="74"/>
      <c r="M898" s="74"/>
      <c r="N898" s="74"/>
      <c r="O898" s="74"/>
      <c r="P898" s="74"/>
      <c r="Q898" s="74"/>
      <c r="R898" s="74"/>
      <c r="S898" s="74"/>
      <c r="T898" s="74"/>
      <c r="U898" s="74"/>
      <c r="V898" s="74"/>
      <c r="W898" s="74"/>
    </row>
    <row r="899">
      <c r="A899" s="74"/>
      <c r="B899" s="74"/>
      <c r="C899" s="74"/>
      <c r="D899" s="74"/>
      <c r="E899" s="74"/>
      <c r="F899" s="74"/>
      <c r="G899" s="74"/>
      <c r="H899" s="74"/>
      <c r="I899" s="74"/>
      <c r="J899" s="74"/>
      <c r="K899" s="74"/>
      <c r="L899" s="74"/>
      <c r="M899" s="74"/>
      <c r="N899" s="74"/>
      <c r="O899" s="74"/>
      <c r="P899" s="74"/>
      <c r="Q899" s="74"/>
      <c r="R899" s="74"/>
      <c r="S899" s="74"/>
      <c r="T899" s="74"/>
      <c r="U899" s="74"/>
      <c r="V899" s="74"/>
      <c r="W899" s="74"/>
    </row>
    <row r="900">
      <c r="A900" s="74"/>
      <c r="B900" s="74"/>
      <c r="C900" s="74"/>
      <c r="D900" s="74"/>
      <c r="E900" s="74"/>
      <c r="F900" s="74"/>
      <c r="G900" s="74"/>
      <c r="H900" s="74"/>
      <c r="I900" s="74"/>
      <c r="J900" s="74"/>
      <c r="K900" s="74"/>
      <c r="L900" s="74"/>
      <c r="M900" s="74"/>
      <c r="N900" s="74"/>
      <c r="O900" s="74"/>
      <c r="P900" s="74"/>
      <c r="Q900" s="74"/>
      <c r="R900" s="74"/>
      <c r="S900" s="74"/>
      <c r="T900" s="74"/>
      <c r="U900" s="74"/>
      <c r="V900" s="74"/>
      <c r="W900" s="74"/>
    </row>
    <row r="901">
      <c r="A901" s="74"/>
      <c r="B901" s="74"/>
      <c r="C901" s="74"/>
      <c r="D901" s="74"/>
      <c r="E901" s="74"/>
      <c r="F901" s="74"/>
      <c r="G901" s="74"/>
      <c r="H901" s="74"/>
      <c r="I901" s="74"/>
      <c r="J901" s="74"/>
      <c r="K901" s="74"/>
      <c r="L901" s="74"/>
      <c r="M901" s="74"/>
      <c r="N901" s="74"/>
      <c r="O901" s="74"/>
      <c r="P901" s="74"/>
      <c r="Q901" s="74"/>
      <c r="R901" s="74"/>
      <c r="S901" s="74"/>
      <c r="T901" s="74"/>
      <c r="U901" s="74"/>
      <c r="V901" s="74"/>
      <c r="W901" s="74"/>
    </row>
    <row r="902">
      <c r="A902" s="74"/>
      <c r="B902" s="74"/>
      <c r="C902" s="74"/>
      <c r="D902" s="74"/>
      <c r="E902" s="74"/>
      <c r="F902" s="74"/>
      <c r="G902" s="74"/>
      <c r="H902" s="74"/>
      <c r="I902" s="74"/>
      <c r="J902" s="74"/>
      <c r="K902" s="74"/>
      <c r="L902" s="74"/>
      <c r="M902" s="74"/>
      <c r="N902" s="74"/>
      <c r="O902" s="74"/>
      <c r="P902" s="74"/>
      <c r="Q902" s="74"/>
      <c r="R902" s="74"/>
      <c r="S902" s="74"/>
      <c r="T902" s="74"/>
      <c r="U902" s="74"/>
      <c r="V902" s="74"/>
      <c r="W902" s="74"/>
    </row>
    <row r="903">
      <c r="A903" s="74"/>
      <c r="B903" s="74"/>
      <c r="C903" s="74"/>
      <c r="D903" s="74"/>
      <c r="E903" s="74"/>
      <c r="F903" s="74"/>
      <c r="G903" s="74"/>
      <c r="H903" s="74"/>
      <c r="I903" s="74"/>
      <c r="J903" s="74"/>
      <c r="K903" s="74"/>
      <c r="L903" s="74"/>
      <c r="M903" s="74"/>
      <c r="N903" s="74"/>
      <c r="O903" s="74"/>
      <c r="P903" s="74"/>
      <c r="Q903" s="74"/>
      <c r="R903" s="74"/>
      <c r="S903" s="74"/>
      <c r="T903" s="74"/>
      <c r="U903" s="74"/>
      <c r="V903" s="74"/>
      <c r="W903" s="74"/>
    </row>
    <row r="904">
      <c r="A904" s="74"/>
      <c r="B904" s="74"/>
      <c r="C904" s="74"/>
      <c r="D904" s="74"/>
      <c r="E904" s="74"/>
      <c r="F904" s="74"/>
      <c r="G904" s="74"/>
      <c r="H904" s="74"/>
      <c r="I904" s="74"/>
      <c r="J904" s="74"/>
      <c r="K904" s="74"/>
      <c r="L904" s="74"/>
      <c r="M904" s="74"/>
      <c r="N904" s="74"/>
      <c r="O904" s="74"/>
      <c r="P904" s="74"/>
      <c r="Q904" s="74"/>
      <c r="R904" s="74"/>
      <c r="S904" s="74"/>
      <c r="T904" s="74"/>
      <c r="U904" s="74"/>
      <c r="V904" s="74"/>
      <c r="W904" s="74"/>
    </row>
    <row r="905">
      <c r="A905" s="74"/>
      <c r="B905" s="74"/>
      <c r="C905" s="74"/>
      <c r="D905" s="74"/>
      <c r="E905" s="74"/>
      <c r="F905" s="74"/>
      <c r="G905" s="74"/>
      <c r="H905" s="74"/>
      <c r="I905" s="74"/>
      <c r="J905" s="74"/>
      <c r="K905" s="74"/>
      <c r="L905" s="74"/>
      <c r="M905" s="74"/>
      <c r="N905" s="74"/>
      <c r="O905" s="74"/>
      <c r="P905" s="74"/>
      <c r="Q905" s="74"/>
      <c r="R905" s="74"/>
      <c r="S905" s="74"/>
      <c r="T905" s="74"/>
      <c r="U905" s="74"/>
      <c r="V905" s="74"/>
      <c r="W905" s="74"/>
    </row>
    <row r="906">
      <c r="A906" s="74"/>
      <c r="B906" s="74"/>
      <c r="C906" s="74"/>
      <c r="D906" s="74"/>
      <c r="E906" s="74"/>
      <c r="F906" s="74"/>
      <c r="G906" s="74"/>
      <c r="H906" s="74"/>
      <c r="I906" s="74"/>
      <c r="J906" s="74"/>
      <c r="K906" s="74"/>
      <c r="L906" s="74"/>
      <c r="M906" s="74"/>
      <c r="N906" s="74"/>
      <c r="O906" s="74"/>
      <c r="P906" s="74"/>
      <c r="Q906" s="74"/>
      <c r="R906" s="74"/>
      <c r="S906" s="74"/>
      <c r="T906" s="74"/>
      <c r="U906" s="74"/>
      <c r="V906" s="74"/>
      <c r="W906" s="74"/>
    </row>
    <row r="907">
      <c r="A907" s="74"/>
      <c r="B907" s="74"/>
      <c r="C907" s="74"/>
      <c r="D907" s="74"/>
      <c r="E907" s="74"/>
      <c r="F907" s="74"/>
      <c r="G907" s="74"/>
      <c r="H907" s="74"/>
      <c r="I907" s="74"/>
      <c r="J907" s="74"/>
      <c r="K907" s="74"/>
      <c r="L907" s="74"/>
      <c r="M907" s="74"/>
      <c r="N907" s="74"/>
      <c r="O907" s="74"/>
      <c r="P907" s="74"/>
      <c r="Q907" s="74"/>
      <c r="R907" s="74"/>
      <c r="S907" s="74"/>
      <c r="T907" s="74"/>
      <c r="U907" s="74"/>
      <c r="V907" s="74"/>
      <c r="W907" s="74"/>
    </row>
    <row r="908">
      <c r="A908" s="74"/>
      <c r="B908" s="74"/>
      <c r="C908" s="74"/>
      <c r="D908" s="74"/>
      <c r="E908" s="74"/>
      <c r="F908" s="74"/>
      <c r="G908" s="74"/>
      <c r="H908" s="74"/>
      <c r="I908" s="74"/>
      <c r="J908" s="74"/>
      <c r="K908" s="74"/>
      <c r="L908" s="74"/>
      <c r="M908" s="74"/>
      <c r="N908" s="74"/>
      <c r="O908" s="74"/>
      <c r="P908" s="74"/>
      <c r="Q908" s="74"/>
      <c r="R908" s="74"/>
      <c r="S908" s="74"/>
      <c r="T908" s="74"/>
      <c r="U908" s="74"/>
      <c r="V908" s="74"/>
      <c r="W908" s="74"/>
    </row>
    <row r="909">
      <c r="A909" s="74"/>
      <c r="B909" s="74"/>
      <c r="C909" s="74"/>
      <c r="D909" s="74"/>
      <c r="E909" s="74"/>
      <c r="F909" s="74"/>
      <c r="G909" s="74"/>
      <c r="H909" s="74"/>
      <c r="I909" s="74"/>
      <c r="J909" s="74"/>
      <c r="K909" s="74"/>
      <c r="L909" s="74"/>
      <c r="M909" s="74"/>
      <c r="N909" s="74"/>
      <c r="O909" s="74"/>
      <c r="P909" s="74"/>
      <c r="Q909" s="74"/>
      <c r="R909" s="74"/>
      <c r="S909" s="74"/>
      <c r="T909" s="74"/>
      <c r="U909" s="74"/>
      <c r="V909" s="74"/>
      <c r="W909" s="74"/>
    </row>
    <row r="910">
      <c r="A910" s="74"/>
      <c r="B910" s="74"/>
      <c r="C910" s="74"/>
      <c r="D910" s="74"/>
      <c r="E910" s="74"/>
      <c r="F910" s="74"/>
      <c r="G910" s="74"/>
      <c r="H910" s="74"/>
      <c r="I910" s="74"/>
      <c r="J910" s="74"/>
      <c r="K910" s="74"/>
      <c r="L910" s="74"/>
      <c r="M910" s="74"/>
      <c r="N910" s="74"/>
      <c r="O910" s="74"/>
      <c r="P910" s="74"/>
      <c r="Q910" s="74"/>
      <c r="R910" s="74"/>
      <c r="S910" s="74"/>
      <c r="T910" s="74"/>
      <c r="U910" s="74"/>
      <c r="V910" s="74"/>
      <c r="W910" s="74"/>
    </row>
    <row r="911">
      <c r="A911" s="74"/>
      <c r="B911" s="74"/>
      <c r="C911" s="74"/>
      <c r="D911" s="74"/>
      <c r="E911" s="74"/>
      <c r="F911" s="74"/>
      <c r="G911" s="74"/>
      <c r="H911" s="74"/>
      <c r="I911" s="74"/>
      <c r="J911" s="74"/>
      <c r="K911" s="74"/>
      <c r="L911" s="74"/>
      <c r="M911" s="74"/>
      <c r="N911" s="74"/>
      <c r="O911" s="74"/>
      <c r="P911" s="74"/>
      <c r="Q911" s="74"/>
      <c r="R911" s="74"/>
      <c r="S911" s="74"/>
      <c r="T911" s="74"/>
      <c r="U911" s="74"/>
      <c r="V911" s="74"/>
      <c r="W911" s="74"/>
    </row>
    <row r="912">
      <c r="A912" s="74"/>
      <c r="B912" s="74"/>
      <c r="C912" s="74"/>
      <c r="D912" s="74"/>
      <c r="E912" s="74"/>
      <c r="F912" s="74"/>
      <c r="G912" s="74"/>
      <c r="H912" s="74"/>
      <c r="I912" s="74"/>
      <c r="J912" s="74"/>
      <c r="K912" s="74"/>
      <c r="L912" s="74"/>
      <c r="M912" s="74"/>
      <c r="N912" s="74"/>
      <c r="O912" s="74"/>
      <c r="P912" s="74"/>
      <c r="Q912" s="74"/>
      <c r="R912" s="74"/>
      <c r="S912" s="74"/>
      <c r="T912" s="74"/>
      <c r="U912" s="74"/>
      <c r="V912" s="74"/>
      <c r="W912" s="74"/>
    </row>
    <row r="913">
      <c r="A913" s="74"/>
      <c r="B913" s="74"/>
      <c r="C913" s="74"/>
      <c r="D913" s="74"/>
      <c r="E913" s="74"/>
      <c r="F913" s="74"/>
      <c r="G913" s="74"/>
      <c r="H913" s="74"/>
      <c r="I913" s="74"/>
      <c r="J913" s="74"/>
      <c r="K913" s="74"/>
      <c r="L913" s="74"/>
      <c r="M913" s="74"/>
      <c r="N913" s="74"/>
      <c r="O913" s="74"/>
      <c r="P913" s="74"/>
      <c r="Q913" s="74"/>
      <c r="R913" s="74"/>
      <c r="S913" s="74"/>
      <c r="T913" s="74"/>
      <c r="U913" s="74"/>
      <c r="V913" s="74"/>
      <c r="W913" s="74"/>
    </row>
    <row r="914">
      <c r="A914" s="74"/>
      <c r="B914" s="74"/>
      <c r="C914" s="74"/>
      <c r="D914" s="74"/>
      <c r="E914" s="74"/>
      <c r="F914" s="74"/>
      <c r="G914" s="74"/>
      <c r="H914" s="74"/>
      <c r="I914" s="74"/>
      <c r="J914" s="74"/>
      <c r="K914" s="74"/>
      <c r="L914" s="74"/>
      <c r="M914" s="74"/>
      <c r="N914" s="74"/>
      <c r="O914" s="74"/>
      <c r="P914" s="74"/>
      <c r="Q914" s="74"/>
      <c r="R914" s="74"/>
      <c r="S914" s="74"/>
      <c r="T914" s="74"/>
      <c r="U914" s="74"/>
      <c r="V914" s="74"/>
      <c r="W914" s="74"/>
    </row>
    <row r="915">
      <c r="A915" s="74"/>
      <c r="B915" s="74"/>
      <c r="C915" s="74"/>
      <c r="D915" s="74"/>
      <c r="E915" s="74"/>
      <c r="F915" s="74"/>
      <c r="G915" s="74"/>
      <c r="H915" s="74"/>
      <c r="I915" s="74"/>
      <c r="J915" s="74"/>
      <c r="K915" s="74"/>
      <c r="L915" s="74"/>
      <c r="M915" s="74"/>
      <c r="N915" s="74"/>
      <c r="O915" s="74"/>
      <c r="P915" s="74"/>
      <c r="Q915" s="74"/>
      <c r="R915" s="74"/>
      <c r="S915" s="74"/>
      <c r="T915" s="74"/>
      <c r="U915" s="74"/>
      <c r="V915" s="74"/>
      <c r="W915" s="74"/>
    </row>
    <row r="916">
      <c r="A916" s="74"/>
      <c r="B916" s="74"/>
      <c r="C916" s="74"/>
      <c r="D916" s="74"/>
      <c r="E916" s="74"/>
      <c r="F916" s="74"/>
      <c r="G916" s="74"/>
      <c r="H916" s="74"/>
      <c r="I916" s="74"/>
      <c r="J916" s="74"/>
      <c r="K916" s="74"/>
      <c r="L916" s="74"/>
      <c r="M916" s="74"/>
      <c r="N916" s="74"/>
      <c r="O916" s="74"/>
      <c r="P916" s="74"/>
      <c r="Q916" s="74"/>
      <c r="R916" s="74"/>
      <c r="S916" s="74"/>
      <c r="T916" s="74"/>
      <c r="U916" s="74"/>
      <c r="V916" s="74"/>
      <c r="W916" s="74"/>
    </row>
    <row r="917">
      <c r="A917" s="74"/>
      <c r="B917" s="74"/>
      <c r="C917" s="74"/>
      <c r="D917" s="74"/>
      <c r="E917" s="74"/>
      <c r="F917" s="74"/>
      <c r="G917" s="74"/>
      <c r="H917" s="74"/>
      <c r="I917" s="74"/>
      <c r="J917" s="74"/>
      <c r="K917" s="74"/>
      <c r="L917" s="74"/>
      <c r="M917" s="74"/>
      <c r="N917" s="74"/>
      <c r="O917" s="74"/>
      <c r="P917" s="74"/>
      <c r="Q917" s="74"/>
      <c r="R917" s="74"/>
      <c r="S917" s="74"/>
      <c r="T917" s="74"/>
      <c r="U917" s="74"/>
      <c r="V917" s="74"/>
      <c r="W917" s="74"/>
    </row>
    <row r="918">
      <c r="A918" s="74"/>
      <c r="B918" s="74"/>
      <c r="C918" s="74"/>
      <c r="D918" s="74"/>
      <c r="E918" s="74"/>
      <c r="F918" s="74"/>
      <c r="G918" s="74"/>
      <c r="H918" s="74"/>
      <c r="I918" s="74"/>
      <c r="J918" s="74"/>
      <c r="K918" s="74"/>
      <c r="L918" s="74"/>
      <c r="M918" s="74"/>
      <c r="N918" s="74"/>
      <c r="O918" s="74"/>
      <c r="P918" s="74"/>
      <c r="Q918" s="74"/>
      <c r="R918" s="74"/>
      <c r="S918" s="74"/>
      <c r="T918" s="74"/>
      <c r="U918" s="74"/>
      <c r="V918" s="74"/>
      <c r="W918" s="74"/>
    </row>
    <row r="919">
      <c r="A919" s="74"/>
      <c r="B919" s="74"/>
      <c r="C919" s="74"/>
      <c r="D919" s="74"/>
      <c r="E919" s="74"/>
      <c r="F919" s="74"/>
      <c r="G919" s="74"/>
      <c r="H919" s="74"/>
      <c r="I919" s="74"/>
      <c r="J919" s="74"/>
      <c r="K919" s="74"/>
      <c r="L919" s="74"/>
      <c r="M919" s="74"/>
      <c r="N919" s="74"/>
      <c r="O919" s="74"/>
      <c r="P919" s="74"/>
      <c r="Q919" s="74"/>
      <c r="R919" s="74"/>
      <c r="S919" s="74"/>
      <c r="T919" s="74"/>
      <c r="U919" s="74"/>
      <c r="V919" s="74"/>
      <c r="W919" s="74"/>
    </row>
    <row r="920">
      <c r="A920" s="74"/>
      <c r="B920" s="74"/>
      <c r="C920" s="74"/>
      <c r="D920" s="74"/>
      <c r="E920" s="74"/>
      <c r="F920" s="74"/>
      <c r="G920" s="74"/>
      <c r="H920" s="74"/>
      <c r="I920" s="74"/>
      <c r="J920" s="74"/>
      <c r="K920" s="74"/>
      <c r="L920" s="74"/>
      <c r="M920" s="74"/>
      <c r="N920" s="74"/>
      <c r="O920" s="74"/>
      <c r="P920" s="74"/>
      <c r="Q920" s="74"/>
      <c r="R920" s="74"/>
      <c r="S920" s="74"/>
      <c r="T920" s="74"/>
      <c r="U920" s="74"/>
      <c r="V920" s="74"/>
      <c r="W920" s="74"/>
    </row>
    <row r="921">
      <c r="A921" s="74"/>
      <c r="B921" s="74"/>
      <c r="C921" s="74"/>
      <c r="D921" s="74"/>
      <c r="E921" s="74"/>
      <c r="F921" s="74"/>
      <c r="G921" s="74"/>
      <c r="H921" s="74"/>
      <c r="I921" s="74"/>
      <c r="J921" s="74"/>
      <c r="K921" s="74"/>
      <c r="L921" s="74"/>
      <c r="M921" s="74"/>
      <c r="N921" s="74"/>
      <c r="O921" s="74"/>
      <c r="P921" s="74"/>
      <c r="Q921" s="74"/>
      <c r="R921" s="74"/>
      <c r="S921" s="74"/>
      <c r="T921" s="74"/>
      <c r="U921" s="74"/>
      <c r="V921" s="74"/>
      <c r="W921" s="74"/>
    </row>
    <row r="922">
      <c r="A922" s="74"/>
      <c r="B922" s="74"/>
      <c r="C922" s="74"/>
      <c r="D922" s="74"/>
      <c r="E922" s="74"/>
      <c r="F922" s="74"/>
      <c r="G922" s="74"/>
      <c r="H922" s="74"/>
      <c r="I922" s="74"/>
      <c r="J922" s="74"/>
      <c r="K922" s="74"/>
      <c r="L922" s="74"/>
      <c r="M922" s="74"/>
      <c r="N922" s="74"/>
      <c r="O922" s="74"/>
      <c r="P922" s="74"/>
      <c r="Q922" s="74"/>
      <c r="R922" s="74"/>
      <c r="S922" s="74"/>
      <c r="T922" s="74"/>
      <c r="U922" s="74"/>
      <c r="V922" s="74"/>
      <c r="W922" s="74"/>
    </row>
    <row r="923">
      <c r="A923" s="74"/>
      <c r="B923" s="74"/>
      <c r="C923" s="74"/>
      <c r="D923" s="74"/>
      <c r="E923" s="74"/>
      <c r="F923" s="74"/>
      <c r="G923" s="74"/>
      <c r="H923" s="74"/>
      <c r="I923" s="74"/>
      <c r="J923" s="74"/>
      <c r="K923" s="74"/>
      <c r="L923" s="74"/>
      <c r="M923" s="74"/>
      <c r="N923" s="74"/>
      <c r="O923" s="74"/>
      <c r="P923" s="74"/>
      <c r="Q923" s="74"/>
      <c r="R923" s="74"/>
      <c r="S923" s="74"/>
      <c r="T923" s="74"/>
      <c r="U923" s="74"/>
      <c r="V923" s="74"/>
      <c r="W923" s="74"/>
    </row>
    <row r="924">
      <c r="A924" s="74"/>
      <c r="B924" s="74"/>
      <c r="C924" s="74"/>
      <c r="D924" s="74"/>
      <c r="E924" s="74"/>
      <c r="F924" s="74"/>
      <c r="G924" s="74"/>
      <c r="H924" s="74"/>
      <c r="I924" s="74"/>
      <c r="J924" s="74"/>
      <c r="K924" s="74"/>
      <c r="L924" s="74"/>
      <c r="M924" s="74"/>
      <c r="N924" s="74"/>
      <c r="O924" s="74"/>
      <c r="P924" s="74"/>
      <c r="Q924" s="74"/>
      <c r="R924" s="74"/>
      <c r="S924" s="74"/>
      <c r="T924" s="74"/>
      <c r="U924" s="74"/>
      <c r="V924" s="74"/>
      <c r="W924" s="74"/>
    </row>
    <row r="925">
      <c r="A925" s="74"/>
      <c r="B925" s="74"/>
      <c r="C925" s="74"/>
      <c r="D925" s="74"/>
      <c r="E925" s="74"/>
      <c r="F925" s="74"/>
      <c r="G925" s="74"/>
      <c r="H925" s="74"/>
      <c r="I925" s="74"/>
      <c r="J925" s="74"/>
      <c r="K925" s="74"/>
      <c r="L925" s="74"/>
      <c r="M925" s="74"/>
      <c r="N925" s="74"/>
      <c r="O925" s="74"/>
      <c r="P925" s="74"/>
      <c r="Q925" s="74"/>
      <c r="R925" s="74"/>
      <c r="S925" s="74"/>
      <c r="T925" s="74"/>
      <c r="U925" s="74"/>
      <c r="V925" s="74"/>
      <c r="W925" s="74"/>
    </row>
    <row r="926">
      <c r="A926" s="74"/>
      <c r="B926" s="74"/>
      <c r="C926" s="74"/>
      <c r="D926" s="74"/>
      <c r="E926" s="74"/>
      <c r="F926" s="74"/>
      <c r="G926" s="74"/>
      <c r="H926" s="74"/>
      <c r="I926" s="74"/>
      <c r="J926" s="74"/>
      <c r="K926" s="74"/>
      <c r="L926" s="74"/>
      <c r="M926" s="74"/>
      <c r="N926" s="74"/>
      <c r="O926" s="74"/>
      <c r="P926" s="74"/>
      <c r="Q926" s="74"/>
      <c r="R926" s="74"/>
      <c r="S926" s="74"/>
      <c r="T926" s="74"/>
      <c r="U926" s="74"/>
      <c r="V926" s="74"/>
      <c r="W926" s="74"/>
    </row>
    <row r="927">
      <c r="A927" s="74"/>
      <c r="B927" s="74"/>
      <c r="C927" s="74"/>
      <c r="D927" s="74"/>
      <c r="E927" s="74"/>
      <c r="F927" s="74"/>
      <c r="G927" s="74"/>
      <c r="H927" s="74"/>
      <c r="I927" s="74"/>
      <c r="J927" s="74"/>
      <c r="K927" s="74"/>
      <c r="L927" s="74"/>
      <c r="M927" s="74"/>
      <c r="N927" s="74"/>
      <c r="O927" s="74"/>
      <c r="P927" s="74"/>
      <c r="Q927" s="74"/>
      <c r="R927" s="74"/>
      <c r="S927" s="74"/>
      <c r="T927" s="74"/>
      <c r="U927" s="74"/>
      <c r="V927" s="74"/>
      <c r="W927" s="74"/>
    </row>
    <row r="928">
      <c r="A928" s="74"/>
      <c r="B928" s="74"/>
      <c r="C928" s="74"/>
      <c r="D928" s="74"/>
      <c r="E928" s="74"/>
      <c r="F928" s="74"/>
      <c r="G928" s="74"/>
      <c r="H928" s="74"/>
      <c r="I928" s="74"/>
      <c r="J928" s="74"/>
      <c r="K928" s="74"/>
      <c r="L928" s="74"/>
      <c r="M928" s="74"/>
      <c r="N928" s="74"/>
      <c r="O928" s="74"/>
      <c r="P928" s="74"/>
      <c r="Q928" s="74"/>
      <c r="R928" s="74"/>
      <c r="S928" s="74"/>
      <c r="T928" s="74"/>
      <c r="U928" s="74"/>
      <c r="V928" s="74"/>
      <c r="W928" s="74"/>
    </row>
    <row r="929">
      <c r="A929" s="74"/>
      <c r="B929" s="74"/>
      <c r="C929" s="74"/>
      <c r="D929" s="74"/>
      <c r="E929" s="74"/>
      <c r="F929" s="74"/>
      <c r="G929" s="74"/>
      <c r="H929" s="74"/>
      <c r="I929" s="74"/>
      <c r="J929" s="74"/>
      <c r="K929" s="74"/>
      <c r="L929" s="74"/>
      <c r="M929" s="74"/>
      <c r="N929" s="74"/>
      <c r="O929" s="74"/>
      <c r="P929" s="74"/>
      <c r="Q929" s="74"/>
      <c r="R929" s="74"/>
      <c r="S929" s="74"/>
      <c r="T929" s="74"/>
      <c r="U929" s="74"/>
      <c r="V929" s="74"/>
      <c r="W929" s="74"/>
    </row>
    <row r="930">
      <c r="A930" s="74"/>
      <c r="B930" s="74"/>
      <c r="C930" s="74"/>
      <c r="D930" s="74"/>
      <c r="E930" s="74"/>
      <c r="F930" s="74"/>
      <c r="G930" s="74"/>
      <c r="H930" s="74"/>
      <c r="I930" s="74"/>
      <c r="J930" s="74"/>
      <c r="K930" s="74"/>
      <c r="L930" s="74"/>
      <c r="M930" s="74"/>
      <c r="N930" s="74"/>
      <c r="O930" s="74"/>
      <c r="P930" s="74"/>
      <c r="Q930" s="74"/>
      <c r="R930" s="74"/>
      <c r="S930" s="74"/>
      <c r="T930" s="74"/>
      <c r="U930" s="74"/>
      <c r="V930" s="74"/>
      <c r="W930" s="74"/>
    </row>
    <row r="931">
      <c r="A931" s="74"/>
      <c r="B931" s="74"/>
      <c r="C931" s="74"/>
      <c r="D931" s="74"/>
      <c r="E931" s="74"/>
      <c r="F931" s="74"/>
      <c r="G931" s="74"/>
      <c r="H931" s="74"/>
      <c r="I931" s="74"/>
      <c r="J931" s="74"/>
      <c r="K931" s="74"/>
      <c r="L931" s="74"/>
      <c r="M931" s="74"/>
      <c r="N931" s="74"/>
      <c r="O931" s="74"/>
      <c r="P931" s="74"/>
      <c r="Q931" s="74"/>
      <c r="R931" s="74"/>
      <c r="S931" s="74"/>
      <c r="T931" s="74"/>
      <c r="U931" s="74"/>
      <c r="V931" s="74"/>
      <c r="W931" s="74"/>
    </row>
    <row r="932">
      <c r="A932" s="74"/>
      <c r="B932" s="74"/>
      <c r="C932" s="74"/>
      <c r="D932" s="74"/>
      <c r="E932" s="74"/>
      <c r="F932" s="74"/>
      <c r="G932" s="74"/>
      <c r="H932" s="74"/>
      <c r="I932" s="74"/>
      <c r="J932" s="74"/>
      <c r="K932" s="74"/>
      <c r="L932" s="74"/>
      <c r="M932" s="74"/>
      <c r="N932" s="74"/>
      <c r="O932" s="74"/>
      <c r="P932" s="74"/>
      <c r="Q932" s="74"/>
      <c r="R932" s="74"/>
      <c r="S932" s="74"/>
      <c r="T932" s="74"/>
      <c r="U932" s="74"/>
      <c r="V932" s="74"/>
      <c r="W932" s="74"/>
    </row>
    <row r="933">
      <c r="A933" s="74"/>
      <c r="B933" s="74"/>
      <c r="C933" s="74"/>
      <c r="D933" s="74"/>
      <c r="E933" s="74"/>
      <c r="F933" s="74"/>
      <c r="G933" s="74"/>
      <c r="H933" s="74"/>
      <c r="I933" s="74"/>
      <c r="J933" s="74"/>
      <c r="K933" s="74"/>
      <c r="L933" s="74"/>
      <c r="M933" s="74"/>
      <c r="N933" s="74"/>
      <c r="O933" s="74"/>
      <c r="P933" s="74"/>
      <c r="Q933" s="74"/>
      <c r="R933" s="74"/>
      <c r="S933" s="74"/>
      <c r="T933" s="74"/>
      <c r="U933" s="74"/>
      <c r="V933" s="74"/>
      <c r="W933" s="74"/>
    </row>
    <row r="934">
      <c r="A934" s="74"/>
      <c r="B934" s="74"/>
      <c r="C934" s="74"/>
      <c r="D934" s="74"/>
      <c r="E934" s="74"/>
      <c r="F934" s="74"/>
      <c r="G934" s="74"/>
      <c r="H934" s="74"/>
      <c r="I934" s="74"/>
      <c r="J934" s="74"/>
      <c r="K934" s="74"/>
      <c r="L934" s="74"/>
      <c r="M934" s="74"/>
      <c r="N934" s="74"/>
      <c r="O934" s="74"/>
      <c r="P934" s="74"/>
      <c r="Q934" s="74"/>
      <c r="R934" s="74"/>
      <c r="S934" s="74"/>
      <c r="T934" s="74"/>
      <c r="U934" s="74"/>
      <c r="V934" s="74"/>
      <c r="W934" s="74"/>
    </row>
    <row r="935">
      <c r="A935" s="74"/>
      <c r="B935" s="74"/>
      <c r="C935" s="74"/>
      <c r="D935" s="74"/>
      <c r="E935" s="74"/>
      <c r="F935" s="74"/>
      <c r="G935" s="74"/>
      <c r="H935" s="74"/>
      <c r="I935" s="74"/>
      <c r="J935" s="74"/>
      <c r="K935" s="74"/>
      <c r="L935" s="74"/>
      <c r="M935" s="74"/>
      <c r="N935" s="74"/>
      <c r="O935" s="74"/>
      <c r="P935" s="74"/>
      <c r="Q935" s="74"/>
      <c r="R935" s="74"/>
      <c r="S935" s="74"/>
      <c r="T935" s="74"/>
      <c r="U935" s="74"/>
      <c r="V935" s="74"/>
      <c r="W935" s="74"/>
    </row>
    <row r="936">
      <c r="A936" s="74"/>
      <c r="B936" s="74"/>
      <c r="C936" s="74"/>
      <c r="D936" s="74"/>
      <c r="E936" s="74"/>
      <c r="F936" s="74"/>
      <c r="G936" s="74"/>
      <c r="H936" s="74"/>
      <c r="I936" s="74"/>
      <c r="J936" s="74"/>
      <c r="K936" s="74"/>
      <c r="L936" s="74"/>
      <c r="M936" s="74"/>
      <c r="N936" s="74"/>
      <c r="O936" s="74"/>
      <c r="P936" s="74"/>
      <c r="Q936" s="74"/>
      <c r="R936" s="74"/>
      <c r="S936" s="74"/>
      <c r="T936" s="74"/>
      <c r="U936" s="74"/>
      <c r="V936" s="74"/>
      <c r="W936" s="74"/>
    </row>
    <row r="937">
      <c r="A937" s="74"/>
      <c r="B937" s="74"/>
      <c r="C937" s="74"/>
      <c r="D937" s="74"/>
      <c r="E937" s="74"/>
      <c r="F937" s="74"/>
      <c r="G937" s="74"/>
      <c r="H937" s="74"/>
      <c r="I937" s="74"/>
      <c r="J937" s="74"/>
      <c r="K937" s="74"/>
      <c r="L937" s="74"/>
      <c r="M937" s="74"/>
      <c r="N937" s="74"/>
      <c r="O937" s="74"/>
      <c r="P937" s="74"/>
      <c r="Q937" s="74"/>
      <c r="R937" s="74"/>
      <c r="S937" s="74"/>
      <c r="T937" s="74"/>
      <c r="U937" s="74"/>
      <c r="V937" s="74"/>
      <c r="W937" s="74"/>
    </row>
    <row r="938">
      <c r="A938" s="74"/>
      <c r="B938" s="74"/>
      <c r="C938" s="74"/>
      <c r="D938" s="74"/>
      <c r="E938" s="74"/>
      <c r="F938" s="74"/>
      <c r="G938" s="74"/>
      <c r="H938" s="74"/>
      <c r="I938" s="74"/>
      <c r="J938" s="74"/>
      <c r="K938" s="74"/>
      <c r="L938" s="74"/>
      <c r="M938" s="74"/>
      <c r="N938" s="74"/>
      <c r="O938" s="74"/>
      <c r="P938" s="74"/>
      <c r="Q938" s="74"/>
      <c r="R938" s="74"/>
      <c r="S938" s="74"/>
      <c r="T938" s="74"/>
      <c r="U938" s="74"/>
      <c r="V938" s="74"/>
      <c r="W938" s="74"/>
    </row>
    <row r="939">
      <c r="A939" s="74"/>
      <c r="B939" s="74"/>
      <c r="C939" s="74"/>
      <c r="D939" s="74"/>
      <c r="E939" s="74"/>
      <c r="F939" s="74"/>
      <c r="G939" s="74"/>
      <c r="H939" s="74"/>
      <c r="I939" s="74"/>
      <c r="J939" s="74"/>
      <c r="K939" s="74"/>
      <c r="L939" s="74"/>
      <c r="M939" s="74"/>
      <c r="N939" s="74"/>
      <c r="O939" s="74"/>
      <c r="P939" s="74"/>
      <c r="Q939" s="74"/>
      <c r="R939" s="74"/>
      <c r="S939" s="74"/>
      <c r="T939" s="74"/>
      <c r="U939" s="74"/>
      <c r="V939" s="74"/>
      <c r="W939" s="74"/>
    </row>
    <row r="940">
      <c r="A940" s="74"/>
      <c r="B940" s="74"/>
      <c r="C940" s="74"/>
      <c r="D940" s="74"/>
      <c r="E940" s="74"/>
      <c r="F940" s="74"/>
      <c r="G940" s="74"/>
      <c r="H940" s="74"/>
      <c r="I940" s="74"/>
      <c r="J940" s="74"/>
      <c r="K940" s="74"/>
      <c r="L940" s="74"/>
      <c r="M940" s="74"/>
      <c r="N940" s="74"/>
      <c r="O940" s="74"/>
      <c r="P940" s="74"/>
      <c r="Q940" s="74"/>
      <c r="R940" s="74"/>
      <c r="S940" s="74"/>
      <c r="T940" s="74"/>
      <c r="U940" s="74"/>
      <c r="V940" s="74"/>
      <c r="W940" s="74"/>
    </row>
    <row r="941">
      <c r="A941" s="74"/>
      <c r="B941" s="74"/>
      <c r="C941" s="74"/>
      <c r="D941" s="74"/>
      <c r="E941" s="74"/>
      <c r="F941" s="74"/>
      <c r="G941" s="74"/>
      <c r="H941" s="74"/>
      <c r="I941" s="74"/>
      <c r="J941" s="74"/>
      <c r="K941" s="74"/>
      <c r="L941" s="74"/>
      <c r="M941" s="74"/>
      <c r="N941" s="74"/>
      <c r="O941" s="74"/>
      <c r="P941" s="74"/>
      <c r="Q941" s="74"/>
      <c r="R941" s="74"/>
      <c r="S941" s="74"/>
      <c r="T941" s="74"/>
      <c r="U941" s="74"/>
      <c r="V941" s="74"/>
      <c r="W941" s="74"/>
    </row>
    <row r="942">
      <c r="A942" s="74"/>
      <c r="B942" s="74"/>
      <c r="C942" s="74"/>
      <c r="D942" s="74"/>
      <c r="E942" s="74"/>
      <c r="F942" s="74"/>
      <c r="G942" s="74"/>
      <c r="H942" s="74"/>
      <c r="I942" s="74"/>
      <c r="J942" s="74"/>
      <c r="K942" s="74"/>
      <c r="L942" s="74"/>
      <c r="M942" s="74"/>
      <c r="N942" s="74"/>
      <c r="O942" s="74"/>
      <c r="P942" s="74"/>
      <c r="Q942" s="74"/>
      <c r="R942" s="74"/>
      <c r="S942" s="74"/>
      <c r="T942" s="74"/>
      <c r="U942" s="74"/>
      <c r="V942" s="74"/>
      <c r="W942" s="74"/>
    </row>
    <row r="943">
      <c r="A943" s="74"/>
      <c r="B943" s="74"/>
      <c r="C943" s="74"/>
      <c r="D943" s="74"/>
      <c r="E943" s="74"/>
      <c r="F943" s="74"/>
      <c r="G943" s="74"/>
      <c r="H943" s="74"/>
      <c r="I943" s="74"/>
      <c r="J943" s="74"/>
      <c r="K943" s="74"/>
      <c r="L943" s="74"/>
      <c r="M943" s="74"/>
      <c r="N943" s="74"/>
      <c r="O943" s="74"/>
      <c r="P943" s="74"/>
      <c r="Q943" s="74"/>
      <c r="R943" s="74"/>
      <c r="S943" s="74"/>
      <c r="T943" s="74"/>
      <c r="U943" s="74"/>
      <c r="V943" s="74"/>
      <c r="W943" s="74"/>
    </row>
    <row r="944">
      <c r="A944" s="74"/>
      <c r="B944" s="74"/>
      <c r="C944" s="74"/>
      <c r="D944" s="74"/>
      <c r="E944" s="74"/>
      <c r="F944" s="74"/>
      <c r="G944" s="74"/>
      <c r="H944" s="74"/>
      <c r="I944" s="74"/>
      <c r="J944" s="74"/>
      <c r="K944" s="74"/>
      <c r="L944" s="74"/>
      <c r="M944" s="74"/>
      <c r="N944" s="74"/>
      <c r="O944" s="74"/>
      <c r="P944" s="74"/>
      <c r="Q944" s="74"/>
      <c r="R944" s="74"/>
      <c r="S944" s="74"/>
      <c r="T944" s="74"/>
      <c r="U944" s="74"/>
      <c r="V944" s="74"/>
      <c r="W944" s="74"/>
    </row>
    <row r="945">
      <c r="A945" s="74"/>
      <c r="B945" s="74"/>
      <c r="C945" s="74"/>
      <c r="D945" s="74"/>
      <c r="E945" s="74"/>
      <c r="F945" s="74"/>
      <c r="G945" s="74"/>
      <c r="H945" s="74"/>
      <c r="I945" s="74"/>
      <c r="J945" s="74"/>
      <c r="K945" s="74"/>
      <c r="L945" s="74"/>
      <c r="M945" s="74"/>
      <c r="N945" s="74"/>
      <c r="O945" s="74"/>
      <c r="P945" s="74"/>
      <c r="Q945" s="74"/>
      <c r="R945" s="74"/>
      <c r="S945" s="74"/>
      <c r="T945" s="74"/>
      <c r="U945" s="74"/>
      <c r="V945" s="74"/>
      <c r="W945" s="74"/>
    </row>
    <row r="946">
      <c r="A946" s="74"/>
      <c r="B946" s="74"/>
      <c r="C946" s="74"/>
      <c r="D946" s="74"/>
      <c r="E946" s="74"/>
      <c r="F946" s="74"/>
      <c r="G946" s="74"/>
      <c r="H946" s="74"/>
      <c r="I946" s="74"/>
      <c r="J946" s="74"/>
      <c r="K946" s="74"/>
      <c r="L946" s="74"/>
      <c r="M946" s="74"/>
      <c r="N946" s="74"/>
      <c r="O946" s="74"/>
      <c r="P946" s="74"/>
      <c r="Q946" s="74"/>
      <c r="R946" s="74"/>
      <c r="S946" s="74"/>
      <c r="T946" s="74"/>
      <c r="U946" s="74"/>
      <c r="V946" s="74"/>
      <c r="W946" s="74"/>
    </row>
    <row r="947">
      <c r="A947" s="74"/>
      <c r="B947" s="74"/>
      <c r="C947" s="74"/>
      <c r="D947" s="74"/>
      <c r="E947" s="74"/>
      <c r="F947" s="74"/>
      <c r="G947" s="74"/>
      <c r="H947" s="74"/>
      <c r="I947" s="74"/>
      <c r="J947" s="74"/>
      <c r="K947" s="74"/>
      <c r="L947" s="74"/>
      <c r="M947" s="74"/>
      <c r="N947" s="74"/>
      <c r="O947" s="74"/>
      <c r="P947" s="74"/>
      <c r="Q947" s="74"/>
      <c r="R947" s="74"/>
      <c r="S947" s="74"/>
      <c r="T947" s="74"/>
      <c r="U947" s="74"/>
      <c r="V947" s="74"/>
      <c r="W947" s="74"/>
    </row>
    <row r="948">
      <c r="A948" s="74"/>
      <c r="B948" s="74"/>
      <c r="C948" s="74"/>
      <c r="D948" s="74"/>
      <c r="E948" s="74"/>
      <c r="F948" s="74"/>
      <c r="G948" s="74"/>
      <c r="H948" s="74"/>
      <c r="I948" s="74"/>
      <c r="J948" s="74"/>
      <c r="K948" s="74"/>
      <c r="L948" s="74"/>
      <c r="M948" s="74"/>
      <c r="N948" s="74"/>
      <c r="O948" s="74"/>
      <c r="P948" s="74"/>
      <c r="Q948" s="74"/>
      <c r="R948" s="74"/>
      <c r="S948" s="74"/>
      <c r="T948" s="74"/>
      <c r="U948" s="74"/>
      <c r="V948" s="74"/>
      <c r="W948" s="74"/>
    </row>
    <row r="949">
      <c r="A949" s="74"/>
      <c r="B949" s="74"/>
      <c r="C949" s="74"/>
      <c r="D949" s="74"/>
      <c r="E949" s="74"/>
      <c r="F949" s="74"/>
      <c r="G949" s="74"/>
      <c r="H949" s="74"/>
      <c r="I949" s="74"/>
      <c r="J949" s="74"/>
      <c r="K949" s="74"/>
      <c r="L949" s="74"/>
      <c r="M949" s="74"/>
      <c r="N949" s="74"/>
      <c r="O949" s="74"/>
      <c r="P949" s="74"/>
      <c r="Q949" s="74"/>
      <c r="R949" s="74"/>
      <c r="S949" s="74"/>
      <c r="T949" s="74"/>
      <c r="U949" s="74"/>
      <c r="V949" s="74"/>
      <c r="W949" s="74"/>
    </row>
    <row r="950">
      <c r="A950" s="74"/>
      <c r="B950" s="74"/>
      <c r="C950" s="74"/>
      <c r="D950" s="74"/>
      <c r="E950" s="74"/>
      <c r="F950" s="74"/>
      <c r="G950" s="74"/>
      <c r="H950" s="74"/>
      <c r="I950" s="74"/>
      <c r="J950" s="74"/>
      <c r="K950" s="74"/>
      <c r="L950" s="74"/>
      <c r="M950" s="74"/>
      <c r="N950" s="74"/>
      <c r="O950" s="74"/>
      <c r="P950" s="74"/>
      <c r="Q950" s="74"/>
      <c r="R950" s="74"/>
      <c r="S950" s="74"/>
      <c r="T950" s="74"/>
      <c r="U950" s="74"/>
      <c r="V950" s="74"/>
      <c r="W950" s="74"/>
    </row>
    <row r="951">
      <c r="A951" s="74"/>
      <c r="B951" s="74"/>
      <c r="C951" s="74"/>
      <c r="D951" s="74"/>
      <c r="E951" s="74"/>
      <c r="F951" s="74"/>
      <c r="G951" s="74"/>
      <c r="H951" s="74"/>
      <c r="I951" s="74"/>
      <c r="J951" s="74"/>
      <c r="K951" s="74"/>
      <c r="L951" s="74"/>
      <c r="M951" s="74"/>
      <c r="N951" s="74"/>
      <c r="O951" s="74"/>
      <c r="P951" s="74"/>
      <c r="Q951" s="74"/>
      <c r="R951" s="74"/>
      <c r="S951" s="74"/>
      <c r="T951" s="74"/>
      <c r="U951" s="74"/>
      <c r="V951" s="74"/>
      <c r="W951" s="74"/>
    </row>
    <row r="952">
      <c r="A952" s="74"/>
      <c r="B952" s="74"/>
      <c r="C952" s="74"/>
      <c r="D952" s="74"/>
      <c r="E952" s="74"/>
      <c r="F952" s="74"/>
      <c r="G952" s="74"/>
      <c r="H952" s="74"/>
      <c r="I952" s="74"/>
      <c r="J952" s="74"/>
      <c r="K952" s="74"/>
      <c r="L952" s="74"/>
      <c r="M952" s="74"/>
      <c r="N952" s="74"/>
      <c r="O952" s="74"/>
      <c r="P952" s="74"/>
      <c r="Q952" s="74"/>
      <c r="R952" s="74"/>
      <c r="S952" s="74"/>
      <c r="T952" s="74"/>
      <c r="U952" s="74"/>
      <c r="V952" s="74"/>
      <c r="W952" s="74"/>
    </row>
    <row r="953">
      <c r="A953" s="74"/>
      <c r="B953" s="74"/>
      <c r="C953" s="74"/>
      <c r="D953" s="74"/>
      <c r="E953" s="74"/>
      <c r="F953" s="74"/>
      <c r="G953" s="74"/>
      <c r="H953" s="74"/>
      <c r="I953" s="74"/>
      <c r="J953" s="74"/>
      <c r="K953" s="74"/>
      <c r="L953" s="74"/>
      <c r="M953" s="74"/>
      <c r="N953" s="74"/>
      <c r="O953" s="74"/>
      <c r="P953" s="74"/>
      <c r="Q953" s="74"/>
      <c r="R953" s="74"/>
      <c r="S953" s="74"/>
      <c r="T953" s="74"/>
      <c r="U953" s="74"/>
      <c r="V953" s="74"/>
      <c r="W953" s="74"/>
    </row>
    <row r="954">
      <c r="A954" s="74"/>
      <c r="B954" s="74"/>
      <c r="C954" s="74"/>
      <c r="D954" s="74"/>
      <c r="E954" s="74"/>
      <c r="F954" s="74"/>
      <c r="G954" s="74"/>
      <c r="H954" s="74"/>
      <c r="I954" s="74"/>
      <c r="J954" s="74"/>
      <c r="K954" s="74"/>
      <c r="L954" s="74"/>
      <c r="M954" s="74"/>
      <c r="N954" s="74"/>
      <c r="O954" s="74"/>
      <c r="P954" s="74"/>
      <c r="Q954" s="74"/>
      <c r="R954" s="74"/>
      <c r="S954" s="74"/>
      <c r="T954" s="74"/>
      <c r="U954" s="74"/>
      <c r="V954" s="74"/>
      <c r="W954" s="74"/>
    </row>
    <row r="955">
      <c r="A955" s="74"/>
      <c r="B955" s="74"/>
      <c r="C955" s="74"/>
      <c r="D955" s="74"/>
      <c r="E955" s="74"/>
      <c r="F955" s="74"/>
      <c r="G955" s="74"/>
      <c r="H955" s="74"/>
      <c r="I955" s="74"/>
      <c r="J955" s="74"/>
      <c r="K955" s="74"/>
      <c r="L955" s="74"/>
      <c r="M955" s="74"/>
      <c r="N955" s="74"/>
      <c r="O955" s="74"/>
      <c r="P955" s="74"/>
      <c r="Q955" s="74"/>
      <c r="R955" s="74"/>
      <c r="S955" s="74"/>
      <c r="T955" s="74"/>
      <c r="U955" s="74"/>
      <c r="V955" s="74"/>
      <c r="W955" s="74"/>
    </row>
    <row r="956">
      <c r="A956" s="74"/>
      <c r="B956" s="74"/>
      <c r="C956" s="74"/>
      <c r="D956" s="74"/>
      <c r="E956" s="74"/>
      <c r="F956" s="74"/>
      <c r="G956" s="74"/>
      <c r="H956" s="74"/>
      <c r="I956" s="74"/>
      <c r="J956" s="74"/>
      <c r="K956" s="74"/>
      <c r="L956" s="74"/>
      <c r="M956" s="74"/>
      <c r="N956" s="74"/>
      <c r="O956" s="74"/>
      <c r="P956" s="74"/>
      <c r="Q956" s="74"/>
      <c r="R956" s="74"/>
      <c r="S956" s="74"/>
      <c r="T956" s="74"/>
      <c r="U956" s="74"/>
      <c r="V956" s="74"/>
      <c r="W956" s="74"/>
    </row>
    <row r="957">
      <c r="A957" s="74"/>
      <c r="B957" s="74"/>
      <c r="C957" s="74"/>
      <c r="D957" s="74"/>
      <c r="E957" s="74"/>
      <c r="F957" s="74"/>
      <c r="G957" s="74"/>
      <c r="H957" s="74"/>
      <c r="I957" s="74"/>
      <c r="J957" s="74"/>
      <c r="K957" s="74"/>
      <c r="L957" s="74"/>
      <c r="M957" s="74"/>
      <c r="N957" s="74"/>
      <c r="O957" s="74"/>
      <c r="P957" s="74"/>
      <c r="Q957" s="74"/>
      <c r="R957" s="74"/>
      <c r="S957" s="74"/>
      <c r="T957" s="74"/>
      <c r="U957" s="74"/>
      <c r="V957" s="74"/>
      <c r="W957" s="74"/>
    </row>
    <row r="958">
      <c r="A958" s="74"/>
      <c r="B958" s="74"/>
      <c r="C958" s="74"/>
      <c r="D958" s="74"/>
      <c r="E958" s="74"/>
      <c r="F958" s="74"/>
      <c r="G958" s="74"/>
      <c r="H958" s="74"/>
      <c r="I958" s="74"/>
      <c r="J958" s="74"/>
      <c r="K958" s="74"/>
      <c r="L958" s="74"/>
      <c r="M958" s="74"/>
      <c r="N958" s="74"/>
      <c r="O958" s="74"/>
      <c r="P958" s="74"/>
      <c r="Q958" s="74"/>
      <c r="R958" s="74"/>
      <c r="S958" s="74"/>
      <c r="T958" s="74"/>
      <c r="U958" s="74"/>
      <c r="V958" s="74"/>
      <c r="W958" s="74"/>
    </row>
    <row r="959">
      <c r="A959" s="74"/>
      <c r="B959" s="74"/>
      <c r="C959" s="74"/>
      <c r="D959" s="74"/>
      <c r="E959" s="74"/>
      <c r="F959" s="74"/>
      <c r="G959" s="74"/>
      <c r="H959" s="74"/>
      <c r="I959" s="74"/>
      <c r="J959" s="74"/>
      <c r="K959" s="74"/>
      <c r="L959" s="74"/>
      <c r="M959" s="74"/>
      <c r="N959" s="74"/>
      <c r="O959" s="74"/>
      <c r="P959" s="74"/>
      <c r="Q959" s="74"/>
      <c r="R959" s="74"/>
      <c r="S959" s="74"/>
      <c r="T959" s="74"/>
      <c r="U959" s="74"/>
      <c r="V959" s="74"/>
      <c r="W959" s="74"/>
    </row>
    <row r="960">
      <c r="A960" s="74"/>
      <c r="B960" s="74"/>
      <c r="C960" s="74"/>
      <c r="D960" s="74"/>
      <c r="E960" s="74"/>
      <c r="F960" s="74"/>
      <c r="G960" s="74"/>
      <c r="H960" s="74"/>
      <c r="I960" s="74"/>
      <c r="J960" s="74"/>
      <c r="K960" s="74"/>
      <c r="L960" s="74"/>
      <c r="M960" s="74"/>
      <c r="N960" s="74"/>
      <c r="O960" s="74"/>
      <c r="P960" s="74"/>
      <c r="Q960" s="74"/>
      <c r="R960" s="74"/>
      <c r="S960" s="74"/>
      <c r="T960" s="74"/>
      <c r="U960" s="74"/>
      <c r="V960" s="74"/>
      <c r="W960" s="74"/>
    </row>
    <row r="961">
      <c r="A961" s="74"/>
      <c r="B961" s="74"/>
      <c r="C961" s="74"/>
      <c r="D961" s="74"/>
      <c r="E961" s="74"/>
      <c r="F961" s="74"/>
      <c r="G961" s="74"/>
      <c r="H961" s="74"/>
      <c r="I961" s="74"/>
      <c r="J961" s="74"/>
      <c r="K961" s="74"/>
      <c r="L961" s="74"/>
      <c r="M961" s="74"/>
      <c r="N961" s="74"/>
      <c r="O961" s="74"/>
      <c r="P961" s="74"/>
      <c r="Q961" s="74"/>
      <c r="R961" s="74"/>
      <c r="S961" s="74"/>
      <c r="T961" s="74"/>
      <c r="U961" s="74"/>
      <c r="V961" s="74"/>
      <c r="W961" s="74"/>
    </row>
    <row r="962">
      <c r="A962" s="74"/>
      <c r="B962" s="74"/>
      <c r="C962" s="74"/>
      <c r="D962" s="74"/>
      <c r="E962" s="74"/>
      <c r="F962" s="74"/>
      <c r="G962" s="74"/>
      <c r="H962" s="74"/>
      <c r="I962" s="74"/>
      <c r="J962" s="74"/>
      <c r="K962" s="74"/>
      <c r="L962" s="74"/>
      <c r="M962" s="74"/>
      <c r="N962" s="74"/>
      <c r="O962" s="74"/>
      <c r="P962" s="74"/>
      <c r="Q962" s="74"/>
      <c r="R962" s="74"/>
      <c r="S962" s="74"/>
      <c r="T962" s="74"/>
      <c r="U962" s="74"/>
      <c r="V962" s="74"/>
      <c r="W962" s="74"/>
    </row>
    <row r="963">
      <c r="A963" s="74"/>
      <c r="B963" s="74"/>
      <c r="C963" s="74"/>
      <c r="D963" s="74"/>
      <c r="E963" s="74"/>
      <c r="F963" s="74"/>
      <c r="G963" s="74"/>
      <c r="H963" s="74"/>
      <c r="I963" s="74"/>
      <c r="J963" s="74"/>
      <c r="K963" s="74"/>
      <c r="L963" s="74"/>
      <c r="M963" s="74"/>
      <c r="N963" s="74"/>
      <c r="O963" s="74"/>
      <c r="P963" s="74"/>
      <c r="Q963" s="74"/>
      <c r="R963" s="74"/>
      <c r="S963" s="74"/>
      <c r="T963" s="74"/>
      <c r="U963" s="74"/>
      <c r="V963" s="74"/>
      <c r="W963" s="74"/>
    </row>
    <row r="964">
      <c r="A964" s="74"/>
      <c r="B964" s="74"/>
      <c r="C964" s="74"/>
      <c r="D964" s="74"/>
      <c r="E964" s="74"/>
      <c r="F964" s="74"/>
      <c r="G964" s="74"/>
      <c r="H964" s="74"/>
      <c r="I964" s="74"/>
      <c r="J964" s="74"/>
      <c r="K964" s="74"/>
      <c r="L964" s="74"/>
      <c r="M964" s="74"/>
      <c r="N964" s="74"/>
      <c r="O964" s="74"/>
      <c r="P964" s="74"/>
      <c r="Q964" s="74"/>
      <c r="R964" s="74"/>
      <c r="S964" s="74"/>
      <c r="T964" s="74"/>
      <c r="U964" s="74"/>
      <c r="V964" s="74"/>
      <c r="W964" s="74"/>
    </row>
    <row r="965">
      <c r="A965" s="74"/>
      <c r="B965" s="74"/>
      <c r="C965" s="74"/>
      <c r="D965" s="74"/>
      <c r="E965" s="74"/>
      <c r="F965" s="74"/>
      <c r="G965" s="74"/>
      <c r="H965" s="74"/>
      <c r="I965" s="74"/>
      <c r="J965" s="74"/>
      <c r="K965" s="74"/>
      <c r="L965" s="74"/>
      <c r="M965" s="74"/>
      <c r="N965" s="74"/>
      <c r="O965" s="74"/>
      <c r="P965" s="74"/>
      <c r="Q965" s="74"/>
      <c r="R965" s="74"/>
      <c r="S965" s="74"/>
      <c r="T965" s="74"/>
      <c r="U965" s="74"/>
      <c r="V965" s="74"/>
      <c r="W965" s="74"/>
    </row>
    <row r="966">
      <c r="A966" s="74"/>
      <c r="B966" s="74"/>
      <c r="C966" s="74"/>
      <c r="D966" s="74"/>
      <c r="E966" s="74"/>
      <c r="F966" s="74"/>
      <c r="G966" s="74"/>
      <c r="H966" s="74"/>
      <c r="I966" s="74"/>
      <c r="J966" s="74"/>
      <c r="K966" s="74"/>
      <c r="L966" s="74"/>
      <c r="M966" s="74"/>
      <c r="N966" s="74"/>
      <c r="O966" s="74"/>
      <c r="P966" s="74"/>
      <c r="Q966" s="74"/>
      <c r="R966" s="74"/>
      <c r="S966" s="74"/>
      <c r="T966" s="74"/>
      <c r="U966" s="74"/>
      <c r="V966" s="74"/>
      <c r="W966" s="74"/>
    </row>
    <row r="967">
      <c r="A967" s="74"/>
      <c r="B967" s="74"/>
      <c r="C967" s="74"/>
      <c r="D967" s="74"/>
      <c r="E967" s="74"/>
      <c r="F967" s="74"/>
      <c r="G967" s="74"/>
      <c r="H967" s="74"/>
      <c r="I967" s="74"/>
      <c r="J967" s="74"/>
      <c r="K967" s="74"/>
      <c r="L967" s="74"/>
      <c r="M967" s="74"/>
      <c r="N967" s="74"/>
      <c r="O967" s="74"/>
      <c r="P967" s="74"/>
      <c r="Q967" s="74"/>
      <c r="R967" s="74"/>
      <c r="S967" s="74"/>
      <c r="T967" s="74"/>
      <c r="U967" s="74"/>
      <c r="V967" s="74"/>
      <c r="W967" s="74"/>
    </row>
    <row r="968">
      <c r="A968" s="74"/>
      <c r="B968" s="74"/>
      <c r="C968" s="74"/>
      <c r="D968" s="74"/>
      <c r="E968" s="74"/>
      <c r="F968" s="74"/>
      <c r="G968" s="74"/>
      <c r="H968" s="74"/>
      <c r="I968" s="74"/>
      <c r="J968" s="74"/>
      <c r="K968" s="74"/>
      <c r="L968" s="74"/>
      <c r="M968" s="74"/>
      <c r="N968" s="74"/>
      <c r="O968" s="74"/>
      <c r="P968" s="74"/>
      <c r="Q968" s="74"/>
      <c r="R968" s="74"/>
      <c r="S968" s="74"/>
      <c r="T968" s="74"/>
      <c r="U968" s="74"/>
      <c r="V968" s="74"/>
      <c r="W968" s="74"/>
    </row>
    <row r="969">
      <c r="A969" s="74"/>
      <c r="B969" s="74"/>
      <c r="C969" s="74"/>
      <c r="D969" s="74"/>
      <c r="E969" s="74"/>
      <c r="F969" s="74"/>
      <c r="G969" s="74"/>
      <c r="H969" s="74"/>
      <c r="I969" s="74"/>
      <c r="J969" s="74"/>
      <c r="K969" s="74"/>
      <c r="L969" s="74"/>
      <c r="M969" s="74"/>
      <c r="N969" s="74"/>
      <c r="O969" s="74"/>
      <c r="P969" s="74"/>
      <c r="Q969" s="74"/>
      <c r="R969" s="74"/>
      <c r="S969" s="74"/>
      <c r="T969" s="74"/>
      <c r="U969" s="74"/>
      <c r="V969" s="74"/>
      <c r="W969" s="74"/>
    </row>
    <row r="970">
      <c r="A970" s="74"/>
      <c r="B970" s="74"/>
      <c r="C970" s="74"/>
      <c r="D970" s="74"/>
      <c r="E970" s="74"/>
      <c r="F970" s="74"/>
      <c r="G970" s="74"/>
      <c r="H970" s="74"/>
      <c r="I970" s="74"/>
      <c r="J970" s="74"/>
      <c r="K970" s="74"/>
      <c r="L970" s="74"/>
      <c r="M970" s="74"/>
      <c r="N970" s="74"/>
      <c r="O970" s="74"/>
      <c r="P970" s="74"/>
      <c r="Q970" s="74"/>
      <c r="R970" s="74"/>
      <c r="S970" s="74"/>
      <c r="T970" s="74"/>
      <c r="U970" s="74"/>
      <c r="V970" s="74"/>
      <c r="W970" s="74"/>
    </row>
    <row r="971">
      <c r="A971" s="74"/>
      <c r="B971" s="74"/>
      <c r="C971" s="74"/>
      <c r="D971" s="74"/>
      <c r="E971" s="74"/>
      <c r="F971" s="74"/>
      <c r="G971" s="74"/>
      <c r="H971" s="74"/>
      <c r="I971" s="74"/>
      <c r="J971" s="74"/>
      <c r="K971" s="74"/>
      <c r="L971" s="74"/>
      <c r="M971" s="74"/>
      <c r="N971" s="74"/>
      <c r="O971" s="74"/>
      <c r="P971" s="74"/>
      <c r="Q971" s="74"/>
      <c r="R971" s="74"/>
      <c r="S971" s="74"/>
      <c r="T971" s="74"/>
      <c r="U971" s="74"/>
      <c r="V971" s="74"/>
      <c r="W971" s="74"/>
    </row>
    <row r="972">
      <c r="A972" s="74"/>
      <c r="B972" s="74"/>
      <c r="C972" s="74"/>
      <c r="D972" s="74"/>
      <c r="E972" s="74"/>
      <c r="F972" s="74"/>
      <c r="G972" s="74"/>
      <c r="H972" s="74"/>
      <c r="I972" s="74"/>
      <c r="J972" s="74"/>
      <c r="K972" s="74"/>
      <c r="L972" s="74"/>
      <c r="M972" s="74"/>
      <c r="N972" s="74"/>
      <c r="O972" s="74"/>
      <c r="P972" s="74"/>
      <c r="Q972" s="74"/>
      <c r="R972" s="74"/>
      <c r="S972" s="74"/>
      <c r="T972" s="74"/>
      <c r="U972" s="74"/>
      <c r="V972" s="74"/>
      <c r="W972" s="74"/>
    </row>
    <row r="973">
      <c r="A973" s="74"/>
      <c r="B973" s="74"/>
      <c r="C973" s="74"/>
      <c r="D973" s="74"/>
      <c r="E973" s="74"/>
      <c r="F973" s="74"/>
      <c r="G973" s="74"/>
      <c r="H973" s="74"/>
      <c r="I973" s="74"/>
      <c r="J973" s="74"/>
      <c r="K973" s="74"/>
      <c r="L973" s="74"/>
      <c r="M973" s="74"/>
      <c r="N973" s="74"/>
      <c r="O973" s="74"/>
      <c r="P973" s="74"/>
      <c r="Q973" s="74"/>
      <c r="R973" s="74"/>
      <c r="S973" s="74"/>
      <c r="T973" s="74"/>
      <c r="U973" s="74"/>
      <c r="V973" s="74"/>
      <c r="W973" s="74"/>
    </row>
    <row r="974">
      <c r="A974" s="74"/>
      <c r="B974" s="74"/>
      <c r="C974" s="74"/>
      <c r="D974" s="74"/>
      <c r="E974" s="74"/>
      <c r="F974" s="74"/>
      <c r="G974" s="74"/>
      <c r="H974" s="74"/>
      <c r="I974" s="74"/>
      <c r="J974" s="74"/>
      <c r="K974" s="74"/>
      <c r="L974" s="74"/>
      <c r="M974" s="74"/>
      <c r="N974" s="74"/>
      <c r="O974" s="74"/>
      <c r="P974" s="74"/>
      <c r="Q974" s="74"/>
      <c r="R974" s="74"/>
      <c r="S974" s="74"/>
      <c r="T974" s="74"/>
      <c r="U974" s="74"/>
      <c r="V974" s="74"/>
      <c r="W974" s="74"/>
    </row>
    <row r="975">
      <c r="A975" s="74"/>
      <c r="B975" s="74"/>
      <c r="C975" s="74"/>
      <c r="D975" s="74"/>
      <c r="E975" s="74"/>
      <c r="F975" s="74"/>
      <c r="G975" s="74"/>
      <c r="H975" s="74"/>
      <c r="I975" s="74"/>
      <c r="J975" s="74"/>
      <c r="K975" s="74"/>
      <c r="L975" s="74"/>
      <c r="M975" s="74"/>
      <c r="N975" s="74"/>
      <c r="O975" s="74"/>
      <c r="P975" s="74"/>
      <c r="Q975" s="74"/>
      <c r="R975" s="74"/>
      <c r="S975" s="74"/>
      <c r="T975" s="74"/>
      <c r="U975" s="74"/>
      <c r="V975" s="74"/>
      <c r="W975" s="74"/>
    </row>
    <row r="976">
      <c r="A976" s="74"/>
      <c r="B976" s="74"/>
      <c r="C976" s="74"/>
      <c r="D976" s="74"/>
      <c r="E976" s="74"/>
      <c r="F976" s="74"/>
      <c r="G976" s="74"/>
      <c r="H976" s="74"/>
      <c r="I976" s="74"/>
      <c r="J976" s="74"/>
      <c r="K976" s="74"/>
      <c r="L976" s="74"/>
      <c r="M976" s="74"/>
      <c r="N976" s="74"/>
      <c r="O976" s="74"/>
      <c r="P976" s="74"/>
      <c r="Q976" s="74"/>
      <c r="R976" s="74"/>
      <c r="S976" s="74"/>
      <c r="T976" s="74"/>
      <c r="U976" s="74"/>
      <c r="V976" s="74"/>
      <c r="W976" s="74"/>
    </row>
    <row r="977">
      <c r="A977" s="74"/>
      <c r="B977" s="74"/>
      <c r="C977" s="74"/>
      <c r="D977" s="74"/>
      <c r="E977" s="74"/>
      <c r="F977" s="74"/>
      <c r="G977" s="74"/>
      <c r="H977" s="74"/>
      <c r="I977" s="74"/>
      <c r="J977" s="74"/>
      <c r="K977" s="74"/>
      <c r="L977" s="74"/>
      <c r="M977" s="74"/>
      <c r="N977" s="74"/>
      <c r="O977" s="74"/>
      <c r="P977" s="74"/>
      <c r="Q977" s="74"/>
      <c r="R977" s="74"/>
      <c r="S977" s="74"/>
      <c r="T977" s="74"/>
      <c r="U977" s="74"/>
      <c r="V977" s="74"/>
      <c r="W977" s="74"/>
    </row>
    <row r="978">
      <c r="A978" s="74"/>
      <c r="B978" s="74"/>
      <c r="C978" s="74"/>
      <c r="D978" s="74"/>
      <c r="E978" s="74"/>
      <c r="F978" s="74"/>
      <c r="G978" s="74"/>
      <c r="H978" s="74"/>
      <c r="I978" s="74"/>
      <c r="J978" s="74"/>
      <c r="K978" s="74"/>
      <c r="L978" s="74"/>
      <c r="M978" s="74"/>
      <c r="N978" s="74"/>
      <c r="O978" s="74"/>
      <c r="P978" s="74"/>
      <c r="Q978" s="74"/>
      <c r="R978" s="74"/>
      <c r="S978" s="74"/>
      <c r="T978" s="74"/>
      <c r="U978" s="74"/>
      <c r="V978" s="74"/>
      <c r="W978" s="74"/>
    </row>
    <row r="979">
      <c r="A979" s="74"/>
      <c r="B979" s="74"/>
      <c r="C979" s="74"/>
      <c r="D979" s="74"/>
      <c r="E979" s="74"/>
      <c r="F979" s="74"/>
      <c r="G979" s="74"/>
      <c r="H979" s="74"/>
      <c r="I979" s="74"/>
      <c r="J979" s="74"/>
      <c r="K979" s="74"/>
      <c r="L979" s="74"/>
      <c r="M979" s="74"/>
      <c r="N979" s="74"/>
      <c r="O979" s="74"/>
      <c r="P979" s="74"/>
      <c r="Q979" s="74"/>
      <c r="R979" s="74"/>
      <c r="S979" s="74"/>
      <c r="T979" s="74"/>
      <c r="U979" s="74"/>
      <c r="V979" s="74"/>
      <c r="W979" s="74"/>
    </row>
    <row r="980">
      <c r="A980" s="74"/>
      <c r="B980" s="74"/>
      <c r="C980" s="74"/>
      <c r="D980" s="74"/>
      <c r="E980" s="74"/>
      <c r="F980" s="74"/>
      <c r="G980" s="74"/>
      <c r="H980" s="74"/>
      <c r="I980" s="74"/>
      <c r="J980" s="74"/>
      <c r="K980" s="74"/>
      <c r="L980" s="74"/>
      <c r="M980" s="74"/>
      <c r="N980" s="74"/>
      <c r="O980" s="74"/>
      <c r="P980" s="74"/>
      <c r="Q980" s="74"/>
      <c r="R980" s="74"/>
      <c r="S980" s="74"/>
      <c r="T980" s="74"/>
      <c r="U980" s="74"/>
      <c r="V980" s="74"/>
      <c r="W980" s="74"/>
    </row>
    <row r="981">
      <c r="A981" s="74"/>
      <c r="B981" s="74"/>
      <c r="C981" s="74"/>
      <c r="D981" s="74"/>
      <c r="E981" s="74"/>
      <c r="F981" s="74"/>
      <c r="G981" s="74"/>
      <c r="H981" s="74"/>
      <c r="I981" s="74"/>
      <c r="J981" s="74"/>
      <c r="K981" s="74"/>
      <c r="L981" s="74"/>
      <c r="M981" s="74"/>
      <c r="N981" s="74"/>
      <c r="O981" s="74"/>
      <c r="P981" s="74"/>
      <c r="Q981" s="74"/>
      <c r="R981" s="74"/>
      <c r="S981" s="74"/>
      <c r="T981" s="74"/>
      <c r="U981" s="74"/>
      <c r="V981" s="74"/>
      <c r="W981" s="74"/>
    </row>
    <row r="982">
      <c r="A982" s="74"/>
      <c r="B982" s="74"/>
      <c r="C982" s="74"/>
      <c r="D982" s="74"/>
      <c r="E982" s="74"/>
      <c r="F982" s="74"/>
      <c r="G982" s="74"/>
      <c r="H982" s="74"/>
      <c r="I982" s="74"/>
      <c r="J982" s="74"/>
      <c r="K982" s="74"/>
      <c r="L982" s="74"/>
      <c r="M982" s="74"/>
      <c r="N982" s="74"/>
      <c r="O982" s="74"/>
      <c r="P982" s="74"/>
      <c r="Q982" s="74"/>
      <c r="R982" s="74"/>
      <c r="S982" s="74"/>
      <c r="T982" s="74"/>
      <c r="U982" s="74"/>
      <c r="V982" s="74"/>
      <c r="W982" s="74"/>
    </row>
    <row r="983">
      <c r="A983" s="74"/>
      <c r="B983" s="74"/>
      <c r="C983" s="74"/>
      <c r="D983" s="74"/>
      <c r="E983" s="74"/>
      <c r="F983" s="74"/>
      <c r="G983" s="74"/>
      <c r="H983" s="74"/>
      <c r="I983" s="74"/>
      <c r="J983" s="74"/>
      <c r="K983" s="74"/>
      <c r="L983" s="74"/>
      <c r="M983" s="74"/>
      <c r="N983" s="74"/>
      <c r="O983" s="74"/>
      <c r="P983" s="74"/>
      <c r="Q983" s="74"/>
      <c r="R983" s="74"/>
      <c r="S983" s="74"/>
      <c r="T983" s="74"/>
      <c r="U983" s="74"/>
      <c r="V983" s="74"/>
      <c r="W983" s="74"/>
    </row>
    <row r="984">
      <c r="A984" s="74"/>
      <c r="B984" s="74"/>
      <c r="C984" s="74"/>
      <c r="D984" s="74"/>
      <c r="E984" s="74"/>
      <c r="F984" s="74"/>
      <c r="G984" s="74"/>
      <c r="H984" s="74"/>
      <c r="I984" s="74"/>
      <c r="J984" s="74"/>
      <c r="K984" s="74"/>
      <c r="L984" s="74"/>
      <c r="M984" s="74"/>
      <c r="N984" s="74"/>
      <c r="O984" s="74"/>
      <c r="P984" s="74"/>
      <c r="Q984" s="74"/>
      <c r="R984" s="74"/>
      <c r="S984" s="74"/>
      <c r="T984" s="74"/>
      <c r="U984" s="74"/>
      <c r="V984" s="74"/>
      <c r="W984" s="74"/>
    </row>
    <row r="985">
      <c r="A985" s="74"/>
      <c r="B985" s="74"/>
      <c r="C985" s="74"/>
      <c r="D985" s="74"/>
      <c r="E985" s="74"/>
      <c r="F985" s="74"/>
      <c r="G985" s="74"/>
      <c r="H985" s="74"/>
      <c r="I985" s="74"/>
      <c r="J985" s="74"/>
      <c r="K985" s="74"/>
      <c r="L985" s="74"/>
      <c r="M985" s="74"/>
      <c r="N985" s="74"/>
      <c r="O985" s="74"/>
      <c r="P985" s="74"/>
      <c r="Q985" s="74"/>
      <c r="R985" s="74"/>
      <c r="S985" s="74"/>
      <c r="T985" s="74"/>
      <c r="U985" s="74"/>
      <c r="V985" s="74"/>
      <c r="W985" s="74"/>
    </row>
    <row r="986">
      <c r="A986" s="74"/>
      <c r="B986" s="74"/>
      <c r="C986" s="74"/>
      <c r="D986" s="74"/>
      <c r="E986" s="74"/>
      <c r="F986" s="74"/>
      <c r="G986" s="74"/>
      <c r="H986" s="74"/>
      <c r="I986" s="74"/>
      <c r="J986" s="74"/>
      <c r="K986" s="74"/>
      <c r="L986" s="74"/>
      <c r="M986" s="74"/>
      <c r="N986" s="74"/>
      <c r="O986" s="74"/>
      <c r="P986" s="74"/>
      <c r="Q986" s="74"/>
      <c r="R986" s="74"/>
      <c r="S986" s="74"/>
      <c r="T986" s="74"/>
      <c r="U986" s="74"/>
      <c r="V986" s="74"/>
      <c r="W986" s="74"/>
    </row>
    <row r="987">
      <c r="A987" s="74"/>
      <c r="B987" s="74"/>
      <c r="C987" s="74"/>
      <c r="D987" s="74"/>
      <c r="E987" s="74"/>
      <c r="F987" s="74"/>
      <c r="G987" s="74"/>
      <c r="H987" s="74"/>
      <c r="I987" s="74"/>
      <c r="J987" s="74"/>
      <c r="K987" s="74"/>
      <c r="L987" s="74"/>
      <c r="M987" s="74"/>
      <c r="N987" s="74"/>
      <c r="O987" s="74"/>
      <c r="P987" s="74"/>
      <c r="Q987" s="74"/>
      <c r="R987" s="74"/>
      <c r="S987" s="74"/>
      <c r="T987" s="74"/>
      <c r="U987" s="74"/>
      <c r="V987" s="74"/>
      <c r="W987" s="74"/>
    </row>
    <row r="988">
      <c r="A988" s="74"/>
      <c r="B988" s="74"/>
      <c r="C988" s="74"/>
      <c r="D988" s="74"/>
      <c r="E988" s="74"/>
      <c r="F988" s="74"/>
      <c r="G988" s="74"/>
      <c r="H988" s="74"/>
      <c r="I988" s="74"/>
      <c r="J988" s="74"/>
      <c r="K988" s="74"/>
      <c r="L988" s="74"/>
      <c r="M988" s="74"/>
      <c r="N988" s="74"/>
      <c r="O988" s="74"/>
      <c r="P988" s="74"/>
      <c r="Q988" s="74"/>
      <c r="R988" s="74"/>
      <c r="S988" s="74"/>
      <c r="T988" s="74"/>
      <c r="U988" s="74"/>
      <c r="V988" s="74"/>
      <c r="W988" s="74"/>
    </row>
    <row r="989">
      <c r="A989" s="74"/>
      <c r="B989" s="74"/>
      <c r="C989" s="74"/>
      <c r="D989" s="74"/>
      <c r="E989" s="74"/>
      <c r="F989" s="74"/>
      <c r="G989" s="74"/>
      <c r="H989" s="74"/>
      <c r="I989" s="74"/>
      <c r="J989" s="74"/>
      <c r="K989" s="74"/>
      <c r="L989" s="74"/>
      <c r="M989" s="74"/>
      <c r="N989" s="74"/>
      <c r="O989" s="74"/>
      <c r="P989" s="74"/>
      <c r="Q989" s="74"/>
      <c r="R989" s="74"/>
      <c r="S989" s="74"/>
      <c r="T989" s="74"/>
      <c r="U989" s="74"/>
      <c r="V989" s="74"/>
      <c r="W989" s="74"/>
    </row>
    <row r="990">
      <c r="A990" s="74"/>
      <c r="B990" s="74"/>
      <c r="C990" s="74"/>
      <c r="D990" s="74"/>
      <c r="E990" s="74"/>
      <c r="F990" s="74"/>
      <c r="G990" s="74"/>
      <c r="H990" s="74"/>
      <c r="I990" s="74"/>
      <c r="J990" s="74"/>
      <c r="K990" s="74"/>
      <c r="L990" s="74"/>
      <c r="M990" s="74"/>
      <c r="N990" s="74"/>
      <c r="O990" s="74"/>
      <c r="P990" s="74"/>
      <c r="Q990" s="74"/>
      <c r="R990" s="74"/>
      <c r="S990" s="74"/>
      <c r="T990" s="74"/>
      <c r="U990" s="74"/>
      <c r="V990" s="74"/>
      <c r="W990" s="74"/>
    </row>
    <row r="991">
      <c r="A991" s="74"/>
      <c r="B991" s="74"/>
      <c r="C991" s="74"/>
      <c r="D991" s="74"/>
      <c r="E991" s="74"/>
      <c r="F991" s="74"/>
      <c r="G991" s="74"/>
      <c r="H991" s="74"/>
      <c r="I991" s="74"/>
      <c r="J991" s="74"/>
      <c r="K991" s="74"/>
      <c r="L991" s="74"/>
      <c r="M991" s="74"/>
      <c r="N991" s="74"/>
      <c r="O991" s="74"/>
      <c r="P991" s="74"/>
      <c r="Q991" s="74"/>
      <c r="R991" s="74"/>
      <c r="S991" s="74"/>
      <c r="T991" s="74"/>
      <c r="U991" s="74"/>
      <c r="V991" s="74"/>
      <c r="W991" s="74"/>
    </row>
    <row r="992">
      <c r="A992" s="74"/>
      <c r="B992" s="74"/>
      <c r="C992" s="74"/>
      <c r="D992" s="74"/>
      <c r="E992" s="74"/>
      <c r="F992" s="74"/>
      <c r="G992" s="74"/>
      <c r="H992" s="74"/>
      <c r="I992" s="74"/>
      <c r="J992" s="74"/>
      <c r="K992" s="74"/>
      <c r="L992" s="74"/>
      <c r="M992" s="74"/>
      <c r="N992" s="74"/>
      <c r="O992" s="74"/>
      <c r="P992" s="74"/>
      <c r="Q992" s="74"/>
      <c r="R992" s="74"/>
      <c r="S992" s="74"/>
      <c r="T992" s="74"/>
      <c r="U992" s="74"/>
      <c r="V992" s="74"/>
      <c r="W992" s="74"/>
    </row>
    <row r="993">
      <c r="A993" s="74"/>
      <c r="B993" s="74"/>
      <c r="C993" s="74"/>
      <c r="D993" s="74"/>
      <c r="E993" s="74"/>
      <c r="F993" s="74"/>
      <c r="G993" s="74"/>
      <c r="H993" s="74"/>
      <c r="I993" s="74"/>
      <c r="J993" s="74"/>
      <c r="K993" s="74"/>
      <c r="L993" s="74"/>
      <c r="M993" s="74"/>
      <c r="N993" s="74"/>
      <c r="O993" s="74"/>
      <c r="P993" s="74"/>
      <c r="Q993" s="74"/>
      <c r="R993" s="74"/>
      <c r="S993" s="74"/>
      <c r="T993" s="74"/>
      <c r="U993" s="74"/>
      <c r="V993" s="74"/>
      <c r="W993" s="74"/>
    </row>
    <row r="994">
      <c r="A994" s="74"/>
      <c r="B994" s="74"/>
      <c r="C994" s="74"/>
      <c r="D994" s="74"/>
      <c r="E994" s="74"/>
      <c r="F994" s="74"/>
      <c r="G994" s="74"/>
      <c r="H994" s="74"/>
      <c r="I994" s="74"/>
      <c r="J994" s="74"/>
      <c r="K994" s="74"/>
      <c r="L994" s="74"/>
      <c r="M994" s="74"/>
      <c r="N994" s="74"/>
      <c r="O994" s="74"/>
      <c r="P994" s="74"/>
      <c r="Q994" s="74"/>
      <c r="R994" s="74"/>
      <c r="S994" s="74"/>
      <c r="T994" s="74"/>
      <c r="U994" s="74"/>
      <c r="V994" s="74"/>
      <c r="W994" s="74"/>
    </row>
    <row r="995">
      <c r="A995" s="74"/>
      <c r="B995" s="74"/>
      <c r="C995" s="74"/>
      <c r="D995" s="74"/>
      <c r="E995" s="74"/>
      <c r="F995" s="74"/>
      <c r="G995" s="74"/>
      <c r="H995" s="74"/>
      <c r="I995" s="74"/>
      <c r="J995" s="74"/>
      <c r="K995" s="74"/>
      <c r="L995" s="74"/>
      <c r="M995" s="74"/>
      <c r="N995" s="74"/>
      <c r="O995" s="74"/>
      <c r="P995" s="74"/>
      <c r="Q995" s="74"/>
      <c r="R995" s="74"/>
      <c r="S995" s="74"/>
      <c r="T995" s="74"/>
      <c r="U995" s="74"/>
      <c r="V995" s="74"/>
      <c r="W995" s="74"/>
    </row>
    <row r="996">
      <c r="A996" s="74"/>
      <c r="B996" s="74"/>
      <c r="C996" s="74"/>
      <c r="D996" s="74"/>
      <c r="E996" s="74"/>
      <c r="F996" s="74"/>
      <c r="G996" s="74"/>
      <c r="H996" s="74"/>
      <c r="I996" s="74"/>
      <c r="J996" s="74"/>
      <c r="K996" s="74"/>
      <c r="L996" s="74"/>
      <c r="M996" s="74"/>
      <c r="N996" s="74"/>
      <c r="O996" s="74"/>
      <c r="P996" s="74"/>
      <c r="Q996" s="74"/>
      <c r="R996" s="74"/>
      <c r="S996" s="74"/>
      <c r="T996" s="74"/>
      <c r="U996" s="74"/>
      <c r="V996" s="74"/>
      <c r="W996" s="74"/>
    </row>
    <row r="997">
      <c r="A997" s="74"/>
      <c r="B997" s="74"/>
      <c r="C997" s="74"/>
      <c r="D997" s="74"/>
      <c r="E997" s="74"/>
      <c r="F997" s="74"/>
      <c r="G997" s="74"/>
      <c r="H997" s="74"/>
      <c r="I997" s="74"/>
      <c r="J997" s="74"/>
      <c r="K997" s="74"/>
      <c r="L997" s="74"/>
      <c r="M997" s="74"/>
      <c r="N997" s="74"/>
      <c r="O997" s="74"/>
      <c r="P997" s="74"/>
      <c r="Q997" s="74"/>
      <c r="R997" s="74"/>
      <c r="S997" s="74"/>
      <c r="T997" s="74"/>
      <c r="U997" s="74"/>
      <c r="V997" s="74"/>
      <c r="W997" s="74"/>
    </row>
    <row r="998">
      <c r="A998" s="74"/>
      <c r="B998" s="74"/>
      <c r="C998" s="74"/>
      <c r="D998" s="74"/>
      <c r="E998" s="74"/>
      <c r="F998" s="74"/>
      <c r="G998" s="74"/>
      <c r="H998" s="74"/>
      <c r="I998" s="74"/>
      <c r="J998" s="74"/>
      <c r="K998" s="74"/>
      <c r="L998" s="74"/>
      <c r="M998" s="74"/>
      <c r="N998" s="74"/>
      <c r="O998" s="74"/>
      <c r="P998" s="74"/>
      <c r="Q998" s="74"/>
      <c r="R998" s="74"/>
      <c r="S998" s="74"/>
      <c r="T998" s="74"/>
      <c r="U998" s="74"/>
      <c r="V998" s="74"/>
      <c r="W998" s="74"/>
    </row>
    <row r="999">
      <c r="A999" s="74"/>
      <c r="B999" s="74"/>
      <c r="C999" s="74"/>
      <c r="D999" s="74"/>
      <c r="E999" s="74"/>
      <c r="F999" s="74"/>
      <c r="G999" s="74"/>
      <c r="H999" s="74"/>
      <c r="I999" s="74"/>
      <c r="J999" s="74"/>
      <c r="K999" s="74"/>
      <c r="L999" s="74"/>
      <c r="M999" s="74"/>
      <c r="N999" s="74"/>
      <c r="O999" s="74"/>
      <c r="P999" s="74"/>
      <c r="Q999" s="74"/>
      <c r="R999" s="74"/>
      <c r="S999" s="74"/>
      <c r="T999" s="74"/>
      <c r="U999" s="74"/>
      <c r="V999" s="74"/>
      <c r="W999" s="74"/>
    </row>
    <row r="1000">
      <c r="A1000" s="74"/>
      <c r="B1000" s="74"/>
      <c r="C1000" s="74"/>
      <c r="D1000" s="74"/>
      <c r="E1000" s="74"/>
      <c r="F1000" s="74"/>
      <c r="G1000" s="74"/>
      <c r="H1000" s="74"/>
      <c r="I1000" s="74"/>
      <c r="J1000" s="74"/>
      <c r="K1000" s="74"/>
      <c r="L1000" s="74"/>
      <c r="M1000" s="74"/>
      <c r="N1000" s="74"/>
      <c r="O1000" s="74"/>
      <c r="P1000" s="74"/>
      <c r="Q1000" s="74"/>
      <c r="R1000" s="74"/>
      <c r="S1000" s="74"/>
      <c r="T1000" s="74"/>
      <c r="U1000" s="74"/>
      <c r="V1000" s="74"/>
      <c r="W1000" s="74"/>
    </row>
    <row r="1001">
      <c r="A1001" s="74"/>
      <c r="B1001" s="74"/>
      <c r="C1001" s="74"/>
      <c r="D1001" s="74"/>
      <c r="E1001" s="74"/>
      <c r="F1001" s="74"/>
      <c r="G1001" s="74"/>
      <c r="H1001" s="74"/>
      <c r="I1001" s="74"/>
      <c r="J1001" s="74"/>
      <c r="K1001" s="74"/>
      <c r="L1001" s="74"/>
      <c r="M1001" s="74"/>
      <c r="N1001" s="74"/>
      <c r="O1001" s="74"/>
      <c r="P1001" s="74"/>
      <c r="Q1001" s="74"/>
      <c r="R1001" s="74"/>
      <c r="S1001" s="74"/>
      <c r="T1001" s="74"/>
      <c r="U1001" s="74"/>
      <c r="V1001" s="74"/>
      <c r="W1001" s="74"/>
    </row>
    <row r="1002">
      <c r="A1002" s="74"/>
      <c r="B1002" s="74"/>
      <c r="C1002" s="74"/>
      <c r="D1002" s="74"/>
      <c r="E1002" s="74"/>
      <c r="F1002" s="74"/>
      <c r="G1002" s="74"/>
      <c r="H1002" s="74"/>
      <c r="I1002" s="74"/>
      <c r="J1002" s="74"/>
      <c r="K1002" s="74"/>
      <c r="L1002" s="74"/>
      <c r="M1002" s="74"/>
      <c r="N1002" s="74"/>
      <c r="O1002" s="74"/>
      <c r="P1002" s="74"/>
      <c r="Q1002" s="74"/>
      <c r="R1002" s="74"/>
      <c r="S1002" s="74"/>
      <c r="T1002" s="74"/>
      <c r="U1002" s="74"/>
      <c r="V1002" s="74"/>
      <c r="W1002" s="74"/>
    </row>
    <row r="1003">
      <c r="A1003" s="74"/>
      <c r="B1003" s="74"/>
      <c r="C1003" s="74"/>
      <c r="D1003" s="74"/>
      <c r="E1003" s="74"/>
      <c r="F1003" s="74"/>
      <c r="G1003" s="74"/>
      <c r="H1003" s="74"/>
      <c r="I1003" s="74"/>
      <c r="J1003" s="74"/>
      <c r="K1003" s="74"/>
      <c r="L1003" s="74"/>
      <c r="M1003" s="74"/>
      <c r="N1003" s="74"/>
      <c r="O1003" s="74"/>
      <c r="P1003" s="74"/>
      <c r="Q1003" s="74"/>
      <c r="R1003" s="74"/>
      <c r="S1003" s="74"/>
      <c r="T1003" s="74"/>
      <c r="U1003" s="74"/>
      <c r="V1003" s="74"/>
      <c r="W1003" s="74"/>
    </row>
    <row r="1004">
      <c r="A1004" s="74"/>
      <c r="B1004" s="74"/>
      <c r="C1004" s="74"/>
      <c r="D1004" s="74"/>
      <c r="E1004" s="74"/>
      <c r="F1004" s="74"/>
      <c r="G1004" s="74"/>
      <c r="H1004" s="74"/>
      <c r="I1004" s="74"/>
      <c r="J1004" s="74"/>
      <c r="K1004" s="74"/>
      <c r="L1004" s="74"/>
      <c r="M1004" s="74"/>
      <c r="N1004" s="74"/>
      <c r="O1004" s="74"/>
      <c r="P1004" s="74"/>
      <c r="Q1004" s="74"/>
      <c r="R1004" s="74"/>
      <c r="S1004" s="74"/>
      <c r="T1004" s="74"/>
      <c r="U1004" s="74"/>
      <c r="V1004" s="74"/>
      <c r="W1004" s="74"/>
    </row>
    <row r="1005">
      <c r="A1005" s="74"/>
      <c r="B1005" s="74"/>
      <c r="C1005" s="74"/>
      <c r="D1005" s="74"/>
      <c r="E1005" s="74"/>
      <c r="F1005" s="74"/>
      <c r="G1005" s="74"/>
      <c r="H1005" s="74"/>
      <c r="I1005" s="74"/>
      <c r="J1005" s="74"/>
      <c r="K1005" s="74"/>
      <c r="L1005" s="74"/>
      <c r="M1005" s="74"/>
      <c r="N1005" s="74"/>
      <c r="O1005" s="74"/>
      <c r="P1005" s="74"/>
      <c r="Q1005" s="74"/>
      <c r="R1005" s="74"/>
      <c r="S1005" s="74"/>
      <c r="T1005" s="74"/>
      <c r="U1005" s="74"/>
      <c r="V1005" s="74"/>
      <c r="W1005" s="74"/>
    </row>
    <row r="1006">
      <c r="A1006" s="74"/>
      <c r="B1006" s="74"/>
      <c r="C1006" s="74"/>
      <c r="D1006" s="74"/>
      <c r="E1006" s="74"/>
      <c r="F1006" s="74"/>
      <c r="G1006" s="74"/>
      <c r="H1006" s="74"/>
      <c r="I1006" s="74"/>
      <c r="J1006" s="74"/>
      <c r="K1006" s="74"/>
      <c r="L1006" s="74"/>
      <c r="M1006" s="74"/>
      <c r="N1006" s="74"/>
      <c r="O1006" s="74"/>
      <c r="P1006" s="74"/>
      <c r="Q1006" s="74"/>
      <c r="R1006" s="74"/>
      <c r="S1006" s="74"/>
      <c r="T1006" s="74"/>
      <c r="U1006" s="74"/>
      <c r="V1006" s="74"/>
      <c r="W1006" s="74"/>
    </row>
    <row r="1007">
      <c r="A1007" s="74"/>
      <c r="B1007" s="74"/>
      <c r="C1007" s="74"/>
      <c r="D1007" s="74"/>
      <c r="E1007" s="74"/>
      <c r="F1007" s="74"/>
      <c r="G1007" s="74"/>
      <c r="H1007" s="74"/>
      <c r="I1007" s="74"/>
      <c r="J1007" s="74"/>
      <c r="K1007" s="74"/>
      <c r="L1007" s="74"/>
      <c r="M1007" s="74"/>
      <c r="N1007" s="74"/>
      <c r="O1007" s="74"/>
      <c r="P1007" s="74"/>
      <c r="Q1007" s="74"/>
      <c r="R1007" s="74"/>
      <c r="S1007" s="74"/>
      <c r="T1007" s="74"/>
      <c r="U1007" s="74"/>
      <c r="V1007" s="74"/>
      <c r="W1007" s="74"/>
    </row>
    <row r="1008">
      <c r="A1008" s="74"/>
      <c r="B1008" s="74"/>
      <c r="C1008" s="74"/>
      <c r="D1008" s="74"/>
      <c r="E1008" s="74"/>
      <c r="F1008" s="74"/>
      <c r="G1008" s="74"/>
      <c r="H1008" s="74"/>
      <c r="I1008" s="74"/>
      <c r="J1008" s="74"/>
      <c r="K1008" s="74"/>
      <c r="L1008" s="74"/>
      <c r="M1008" s="74"/>
      <c r="N1008" s="74"/>
      <c r="O1008" s="74"/>
      <c r="P1008" s="74"/>
      <c r="Q1008" s="74"/>
      <c r="R1008" s="74"/>
      <c r="S1008" s="74"/>
      <c r="T1008" s="74"/>
      <c r="U1008" s="74"/>
      <c r="V1008" s="74"/>
      <c r="W1008" s="74"/>
    </row>
    <row r="1009">
      <c r="A1009" s="74"/>
      <c r="B1009" s="74"/>
      <c r="C1009" s="74"/>
      <c r="D1009" s="74"/>
      <c r="E1009" s="74"/>
      <c r="F1009" s="74"/>
      <c r="G1009" s="74"/>
      <c r="H1009" s="74"/>
      <c r="I1009" s="74"/>
      <c r="J1009" s="74"/>
      <c r="K1009" s="74"/>
      <c r="L1009" s="74"/>
      <c r="M1009" s="74"/>
      <c r="N1009" s="74"/>
      <c r="O1009" s="74"/>
      <c r="P1009" s="74"/>
      <c r="Q1009" s="74"/>
      <c r="R1009" s="74"/>
      <c r="S1009" s="74"/>
      <c r="T1009" s="74"/>
      <c r="U1009" s="74"/>
      <c r="V1009" s="74"/>
      <c r="W1009" s="74"/>
    </row>
    <row r="1010">
      <c r="A1010" s="74"/>
      <c r="B1010" s="74"/>
      <c r="C1010" s="74"/>
      <c r="D1010" s="74"/>
      <c r="E1010" s="74"/>
      <c r="F1010" s="74"/>
      <c r="G1010" s="74"/>
      <c r="H1010" s="74"/>
      <c r="I1010" s="74"/>
      <c r="J1010" s="74"/>
      <c r="K1010" s="74"/>
      <c r="L1010" s="74"/>
      <c r="M1010" s="74"/>
      <c r="N1010" s="74"/>
      <c r="O1010" s="74"/>
      <c r="P1010" s="74"/>
      <c r="Q1010" s="74"/>
      <c r="R1010" s="74"/>
      <c r="S1010" s="74"/>
      <c r="T1010" s="74"/>
      <c r="U1010" s="74"/>
      <c r="V1010" s="74"/>
      <c r="W1010" s="74"/>
    </row>
    <row r="1011">
      <c r="A1011" s="74"/>
      <c r="B1011" s="74"/>
      <c r="C1011" s="74"/>
      <c r="D1011" s="74"/>
      <c r="E1011" s="74"/>
      <c r="F1011" s="74"/>
      <c r="G1011" s="74"/>
      <c r="H1011" s="74"/>
      <c r="I1011" s="74"/>
      <c r="J1011" s="74"/>
      <c r="K1011" s="74"/>
      <c r="L1011" s="74"/>
      <c r="M1011" s="74"/>
      <c r="N1011" s="74"/>
      <c r="O1011" s="74"/>
      <c r="P1011" s="74"/>
      <c r="Q1011" s="74"/>
      <c r="R1011" s="74"/>
      <c r="S1011" s="74"/>
      <c r="T1011" s="74"/>
      <c r="U1011" s="74"/>
      <c r="V1011" s="74"/>
      <c r="W1011" s="74"/>
    </row>
    <row r="1012">
      <c r="A1012" s="74"/>
      <c r="B1012" s="74"/>
      <c r="C1012" s="74"/>
      <c r="D1012" s="74"/>
      <c r="E1012" s="74"/>
      <c r="F1012" s="74"/>
      <c r="G1012" s="74"/>
      <c r="H1012" s="74"/>
      <c r="I1012" s="74"/>
      <c r="J1012" s="74"/>
      <c r="K1012" s="74"/>
      <c r="L1012" s="74"/>
      <c r="M1012" s="74"/>
      <c r="N1012" s="74"/>
      <c r="O1012" s="74"/>
      <c r="P1012" s="74"/>
      <c r="Q1012" s="74"/>
      <c r="R1012" s="74"/>
      <c r="S1012" s="74"/>
      <c r="T1012" s="74"/>
      <c r="U1012" s="74"/>
      <c r="V1012" s="74"/>
      <c r="W1012" s="74"/>
    </row>
    <row r="1013">
      <c r="A1013" s="74"/>
      <c r="B1013" s="74"/>
      <c r="C1013" s="74"/>
      <c r="D1013" s="74"/>
      <c r="E1013" s="74"/>
      <c r="F1013" s="74"/>
      <c r="G1013" s="74"/>
      <c r="H1013" s="74"/>
      <c r="I1013" s="74"/>
      <c r="J1013" s="74"/>
      <c r="K1013" s="74"/>
      <c r="L1013" s="74"/>
      <c r="M1013" s="74"/>
      <c r="N1013" s="74"/>
      <c r="O1013" s="74"/>
      <c r="P1013" s="74"/>
      <c r="Q1013" s="74"/>
      <c r="R1013" s="74"/>
      <c r="S1013" s="74"/>
      <c r="T1013" s="74"/>
      <c r="U1013" s="74"/>
      <c r="V1013" s="74"/>
      <c r="W1013" s="74"/>
    </row>
    <row r="1014">
      <c r="A1014" s="74"/>
      <c r="B1014" s="74"/>
      <c r="C1014" s="74"/>
      <c r="D1014" s="74"/>
      <c r="E1014" s="74"/>
      <c r="F1014" s="74"/>
      <c r="G1014" s="74"/>
      <c r="H1014" s="74"/>
      <c r="I1014" s="74"/>
      <c r="J1014" s="74"/>
      <c r="K1014" s="74"/>
      <c r="L1014" s="74"/>
      <c r="M1014" s="74"/>
      <c r="N1014" s="74"/>
      <c r="O1014" s="74"/>
      <c r="P1014" s="74"/>
      <c r="Q1014" s="74"/>
      <c r="R1014" s="74"/>
      <c r="S1014" s="74"/>
      <c r="T1014" s="74"/>
      <c r="U1014" s="74"/>
      <c r="V1014" s="74"/>
      <c r="W1014" s="74"/>
    </row>
    <row r="1015">
      <c r="A1015" s="74"/>
      <c r="B1015" s="74"/>
      <c r="C1015" s="74"/>
      <c r="D1015" s="74"/>
      <c r="E1015" s="74"/>
      <c r="F1015" s="74"/>
      <c r="G1015" s="74"/>
      <c r="H1015" s="74"/>
      <c r="I1015" s="74"/>
      <c r="J1015" s="74"/>
      <c r="K1015" s="74"/>
      <c r="L1015" s="74"/>
      <c r="M1015" s="74"/>
      <c r="N1015" s="74"/>
      <c r="O1015" s="74"/>
      <c r="P1015" s="74"/>
      <c r="Q1015" s="74"/>
      <c r="R1015" s="74"/>
      <c r="S1015" s="74"/>
      <c r="T1015" s="74"/>
      <c r="U1015" s="74"/>
      <c r="V1015" s="74"/>
      <c r="W1015" s="74"/>
    </row>
    <row r="1016">
      <c r="A1016" s="74"/>
      <c r="B1016" s="74"/>
      <c r="C1016" s="74"/>
      <c r="D1016" s="74"/>
      <c r="E1016" s="74"/>
      <c r="F1016" s="74"/>
      <c r="G1016" s="74"/>
      <c r="H1016" s="74"/>
      <c r="I1016" s="74"/>
      <c r="J1016" s="74"/>
      <c r="K1016" s="74"/>
      <c r="L1016" s="74"/>
      <c r="M1016" s="74"/>
      <c r="N1016" s="74"/>
      <c r="O1016" s="74"/>
      <c r="P1016" s="74"/>
      <c r="Q1016" s="74"/>
      <c r="R1016" s="74"/>
      <c r="S1016" s="74"/>
      <c r="T1016" s="74"/>
      <c r="U1016" s="74"/>
      <c r="V1016" s="74"/>
      <c r="W1016" s="74"/>
    </row>
    <row r="1017">
      <c r="A1017" s="74"/>
      <c r="B1017" s="74"/>
      <c r="C1017" s="74"/>
      <c r="D1017" s="74"/>
      <c r="E1017" s="74"/>
      <c r="F1017" s="74"/>
      <c r="G1017" s="74"/>
      <c r="H1017" s="74"/>
      <c r="I1017" s="74"/>
      <c r="J1017" s="74"/>
      <c r="K1017" s="74"/>
      <c r="L1017" s="74"/>
      <c r="M1017" s="74"/>
      <c r="N1017" s="74"/>
      <c r="O1017" s="74"/>
      <c r="P1017" s="74"/>
      <c r="Q1017" s="74"/>
      <c r="R1017" s="74"/>
      <c r="S1017" s="74"/>
      <c r="T1017" s="74"/>
      <c r="U1017" s="74"/>
      <c r="V1017" s="74"/>
      <c r="W1017" s="74"/>
    </row>
    <row r="1018">
      <c r="A1018" s="74"/>
      <c r="B1018" s="74"/>
      <c r="C1018" s="74"/>
      <c r="D1018" s="74"/>
      <c r="E1018" s="74"/>
      <c r="F1018" s="74"/>
      <c r="G1018" s="74"/>
      <c r="H1018" s="74"/>
      <c r="I1018" s="74"/>
      <c r="J1018" s="74"/>
      <c r="K1018" s="74"/>
      <c r="L1018" s="74"/>
      <c r="M1018" s="74"/>
      <c r="N1018" s="74"/>
      <c r="O1018" s="74"/>
      <c r="P1018" s="74"/>
      <c r="Q1018" s="74"/>
      <c r="R1018" s="74"/>
      <c r="S1018" s="74"/>
      <c r="T1018" s="74"/>
      <c r="U1018" s="74"/>
      <c r="V1018" s="74"/>
      <c r="W1018" s="74"/>
    </row>
    <row r="1019">
      <c r="A1019" s="74"/>
      <c r="B1019" s="74"/>
      <c r="C1019" s="74"/>
      <c r="D1019" s="74"/>
      <c r="E1019" s="74"/>
      <c r="F1019" s="74"/>
      <c r="G1019" s="74"/>
      <c r="H1019" s="74"/>
      <c r="I1019" s="74"/>
      <c r="J1019" s="74"/>
      <c r="K1019" s="74"/>
      <c r="L1019" s="74"/>
      <c r="M1019" s="74"/>
      <c r="N1019" s="74"/>
      <c r="O1019" s="74"/>
      <c r="P1019" s="74"/>
      <c r="Q1019" s="74"/>
      <c r="R1019" s="74"/>
      <c r="S1019" s="74"/>
      <c r="T1019" s="74"/>
      <c r="U1019" s="74"/>
      <c r="V1019" s="74"/>
      <c r="W1019" s="74"/>
    </row>
    <row r="1020">
      <c r="A1020" s="74"/>
      <c r="B1020" s="74"/>
      <c r="C1020" s="74"/>
      <c r="D1020" s="74"/>
      <c r="E1020" s="74"/>
      <c r="F1020" s="74"/>
      <c r="G1020" s="74"/>
      <c r="H1020" s="74"/>
      <c r="I1020" s="74"/>
      <c r="J1020" s="74"/>
      <c r="K1020" s="74"/>
      <c r="L1020" s="74"/>
      <c r="M1020" s="74"/>
      <c r="N1020" s="74"/>
      <c r="O1020" s="74"/>
      <c r="P1020" s="74"/>
      <c r="Q1020" s="74"/>
      <c r="R1020" s="74"/>
      <c r="S1020" s="74"/>
      <c r="T1020" s="74"/>
      <c r="U1020" s="74"/>
      <c r="V1020" s="74"/>
      <c r="W1020" s="74"/>
    </row>
    <row r="1021">
      <c r="A1021" s="74"/>
      <c r="B1021" s="74"/>
      <c r="C1021" s="74"/>
      <c r="D1021" s="74"/>
      <c r="E1021" s="74"/>
      <c r="F1021" s="74"/>
      <c r="G1021" s="74"/>
      <c r="H1021" s="74"/>
      <c r="I1021" s="74"/>
      <c r="J1021" s="74"/>
      <c r="K1021" s="74"/>
      <c r="L1021" s="74"/>
      <c r="M1021" s="74"/>
      <c r="N1021" s="74"/>
      <c r="O1021" s="74"/>
      <c r="P1021" s="74"/>
      <c r="Q1021" s="74"/>
      <c r="R1021" s="74"/>
      <c r="S1021" s="74"/>
      <c r="T1021" s="74"/>
      <c r="U1021" s="74"/>
      <c r="V1021" s="74"/>
      <c r="W1021" s="74"/>
    </row>
    <row r="1022">
      <c r="A1022" s="74"/>
      <c r="B1022" s="74"/>
      <c r="C1022" s="74"/>
      <c r="D1022" s="74"/>
      <c r="E1022" s="74"/>
      <c r="F1022" s="74"/>
      <c r="G1022" s="74"/>
      <c r="H1022" s="74"/>
      <c r="I1022" s="74"/>
      <c r="J1022" s="74"/>
      <c r="K1022" s="74"/>
      <c r="L1022" s="74"/>
      <c r="M1022" s="74"/>
      <c r="N1022" s="74"/>
      <c r="O1022" s="74"/>
      <c r="P1022" s="74"/>
      <c r="Q1022" s="74"/>
      <c r="R1022" s="74"/>
      <c r="S1022" s="74"/>
      <c r="T1022" s="74"/>
      <c r="U1022" s="74"/>
      <c r="V1022" s="74"/>
      <c r="W1022" s="74"/>
    </row>
    <row r="1023">
      <c r="A1023" s="74"/>
      <c r="B1023" s="74"/>
      <c r="C1023" s="74"/>
      <c r="D1023" s="74"/>
      <c r="E1023" s="74"/>
      <c r="F1023" s="74"/>
      <c r="G1023" s="74"/>
      <c r="H1023" s="74"/>
      <c r="I1023" s="74"/>
      <c r="J1023" s="74"/>
      <c r="K1023" s="74"/>
      <c r="L1023" s="74"/>
      <c r="M1023" s="74"/>
      <c r="N1023" s="74"/>
      <c r="O1023" s="74"/>
      <c r="P1023" s="74"/>
      <c r="Q1023" s="74"/>
      <c r="R1023" s="74"/>
      <c r="S1023" s="74"/>
      <c r="T1023" s="74"/>
      <c r="U1023" s="74"/>
      <c r="V1023" s="74"/>
      <c r="W1023" s="74"/>
    </row>
    <row r="1024">
      <c r="A1024" s="74"/>
      <c r="B1024" s="74"/>
      <c r="C1024" s="74"/>
      <c r="D1024" s="74"/>
      <c r="E1024" s="74"/>
      <c r="F1024" s="74"/>
      <c r="G1024" s="74"/>
      <c r="H1024" s="74"/>
      <c r="I1024" s="74"/>
      <c r="J1024" s="74"/>
      <c r="K1024" s="74"/>
      <c r="L1024" s="74"/>
      <c r="M1024" s="74"/>
      <c r="N1024" s="74"/>
      <c r="O1024" s="74"/>
      <c r="P1024" s="74"/>
      <c r="Q1024" s="74"/>
      <c r="R1024" s="74"/>
      <c r="S1024" s="74"/>
      <c r="T1024" s="74"/>
      <c r="U1024" s="74"/>
      <c r="V1024" s="74"/>
      <c r="W1024" s="74"/>
    </row>
    <row r="1025">
      <c r="A1025" s="74"/>
      <c r="B1025" s="74"/>
      <c r="C1025" s="74"/>
      <c r="D1025" s="74"/>
      <c r="E1025" s="74"/>
      <c r="F1025" s="74"/>
      <c r="G1025" s="74"/>
      <c r="H1025" s="74"/>
      <c r="I1025" s="74"/>
      <c r="J1025" s="74"/>
      <c r="K1025" s="74"/>
      <c r="L1025" s="74"/>
      <c r="M1025" s="74"/>
      <c r="N1025" s="74"/>
      <c r="O1025" s="74"/>
      <c r="P1025" s="74"/>
      <c r="Q1025" s="74"/>
      <c r="R1025" s="74"/>
      <c r="S1025" s="74"/>
      <c r="T1025" s="74"/>
      <c r="U1025" s="74"/>
      <c r="V1025" s="74"/>
      <c r="W1025" s="74"/>
    </row>
    <row r="1026">
      <c r="A1026" s="74"/>
      <c r="B1026" s="74"/>
      <c r="C1026" s="74"/>
      <c r="D1026" s="74"/>
      <c r="E1026" s="74"/>
      <c r="F1026" s="74"/>
      <c r="G1026" s="74"/>
      <c r="H1026" s="74"/>
      <c r="I1026" s="74"/>
      <c r="J1026" s="74"/>
      <c r="K1026" s="74"/>
      <c r="L1026" s="74"/>
      <c r="M1026" s="74"/>
      <c r="N1026" s="74"/>
      <c r="O1026" s="74"/>
      <c r="P1026" s="74"/>
      <c r="Q1026" s="74"/>
      <c r="R1026" s="74"/>
      <c r="S1026" s="74"/>
      <c r="T1026" s="74"/>
      <c r="U1026" s="74"/>
      <c r="V1026" s="74"/>
      <c r="W1026" s="74"/>
    </row>
    <row r="1027">
      <c r="A1027" s="74"/>
      <c r="B1027" s="74"/>
      <c r="C1027" s="74"/>
      <c r="D1027" s="74"/>
      <c r="E1027" s="74"/>
      <c r="F1027" s="74"/>
      <c r="G1027" s="74"/>
      <c r="H1027" s="74"/>
      <c r="I1027" s="74"/>
      <c r="J1027" s="74"/>
      <c r="K1027" s="74"/>
      <c r="L1027" s="74"/>
      <c r="M1027" s="74"/>
      <c r="N1027" s="74"/>
      <c r="O1027" s="74"/>
      <c r="P1027" s="74"/>
      <c r="Q1027" s="74"/>
      <c r="R1027" s="74"/>
      <c r="S1027" s="74"/>
      <c r="T1027" s="74"/>
      <c r="U1027" s="74"/>
      <c r="V1027" s="74"/>
      <c r="W1027" s="74"/>
    </row>
    <row r="1028">
      <c r="A1028" s="74"/>
      <c r="B1028" s="74"/>
      <c r="C1028" s="74"/>
      <c r="D1028" s="74"/>
      <c r="E1028" s="74"/>
      <c r="F1028" s="74"/>
      <c r="G1028" s="74"/>
      <c r="H1028" s="74"/>
      <c r="I1028" s="74"/>
      <c r="J1028" s="74"/>
      <c r="K1028" s="74"/>
      <c r="L1028" s="74"/>
      <c r="M1028" s="74"/>
      <c r="N1028" s="74"/>
      <c r="O1028" s="74"/>
      <c r="P1028" s="74"/>
      <c r="Q1028" s="74"/>
      <c r="R1028" s="74"/>
      <c r="S1028" s="74"/>
      <c r="T1028" s="74"/>
      <c r="U1028" s="74"/>
      <c r="V1028" s="74"/>
      <c r="W1028" s="74"/>
    </row>
    <row r="1029">
      <c r="A1029" s="74"/>
      <c r="B1029" s="74"/>
      <c r="C1029" s="74"/>
      <c r="D1029" s="74"/>
      <c r="E1029" s="74"/>
      <c r="F1029" s="74"/>
      <c r="G1029" s="74"/>
      <c r="H1029" s="74"/>
      <c r="I1029" s="74"/>
      <c r="J1029" s="74"/>
      <c r="K1029" s="74"/>
      <c r="L1029" s="74"/>
      <c r="M1029" s="74"/>
      <c r="N1029" s="74"/>
      <c r="O1029" s="74"/>
      <c r="P1029" s="74"/>
      <c r="Q1029" s="74"/>
      <c r="R1029" s="74"/>
      <c r="S1029" s="74"/>
      <c r="T1029" s="74"/>
      <c r="U1029" s="74"/>
      <c r="V1029" s="74"/>
      <c r="W1029" s="74"/>
    </row>
    <row r="1030">
      <c r="A1030" s="74"/>
      <c r="B1030" s="74"/>
      <c r="C1030" s="74"/>
      <c r="D1030" s="74"/>
      <c r="E1030" s="74"/>
      <c r="F1030" s="74"/>
      <c r="G1030" s="74"/>
      <c r="H1030" s="74"/>
      <c r="I1030" s="74"/>
      <c r="J1030" s="74"/>
      <c r="K1030" s="74"/>
      <c r="L1030" s="74"/>
      <c r="M1030" s="74"/>
      <c r="N1030" s="74"/>
      <c r="O1030" s="74"/>
      <c r="P1030" s="74"/>
      <c r="Q1030" s="74"/>
      <c r="R1030" s="74"/>
      <c r="S1030" s="74"/>
      <c r="T1030" s="74"/>
      <c r="U1030" s="74"/>
      <c r="V1030" s="74"/>
      <c r="W1030" s="74"/>
    </row>
    <row r="1031">
      <c r="A1031" s="74"/>
      <c r="B1031" s="74"/>
      <c r="C1031" s="74"/>
      <c r="D1031" s="74"/>
      <c r="E1031" s="74"/>
      <c r="F1031" s="74"/>
      <c r="G1031" s="74"/>
      <c r="H1031" s="74"/>
      <c r="I1031" s="74"/>
      <c r="J1031" s="74"/>
      <c r="K1031" s="74"/>
      <c r="L1031" s="74"/>
      <c r="M1031" s="74"/>
      <c r="N1031" s="74"/>
      <c r="O1031" s="74"/>
      <c r="P1031" s="74"/>
      <c r="Q1031" s="74"/>
      <c r="R1031" s="74"/>
      <c r="S1031" s="74"/>
      <c r="T1031" s="74"/>
      <c r="U1031" s="74"/>
      <c r="V1031" s="74"/>
      <c r="W1031" s="74"/>
    </row>
    <row r="1032">
      <c r="A1032" s="74"/>
      <c r="B1032" s="74"/>
      <c r="C1032" s="74"/>
      <c r="D1032" s="74"/>
      <c r="E1032" s="74"/>
      <c r="F1032" s="74"/>
      <c r="G1032" s="74"/>
      <c r="H1032" s="74"/>
      <c r="I1032" s="74"/>
      <c r="J1032" s="74"/>
      <c r="K1032" s="74"/>
      <c r="L1032" s="74"/>
      <c r="M1032" s="74"/>
      <c r="N1032" s="74"/>
      <c r="O1032" s="74"/>
      <c r="P1032" s="74"/>
      <c r="Q1032" s="74"/>
      <c r="R1032" s="74"/>
      <c r="S1032" s="74"/>
      <c r="T1032" s="74"/>
      <c r="U1032" s="74"/>
      <c r="V1032" s="74"/>
      <c r="W1032" s="74"/>
    </row>
    <row r="1033">
      <c r="A1033" s="74"/>
      <c r="B1033" s="74"/>
      <c r="C1033" s="74"/>
      <c r="D1033" s="74"/>
      <c r="E1033" s="74"/>
      <c r="F1033" s="74"/>
      <c r="G1033" s="74"/>
      <c r="H1033" s="74"/>
      <c r="I1033" s="74"/>
      <c r="J1033" s="74"/>
      <c r="K1033" s="74"/>
      <c r="L1033" s="74"/>
      <c r="M1033" s="74"/>
      <c r="N1033" s="74"/>
      <c r="O1033" s="74"/>
      <c r="P1033" s="74"/>
      <c r="Q1033" s="74"/>
      <c r="R1033" s="74"/>
      <c r="S1033" s="74"/>
      <c r="T1033" s="74"/>
      <c r="U1033" s="74"/>
      <c r="V1033" s="74"/>
      <c r="W1033" s="74"/>
    </row>
    <row r="1034">
      <c r="A1034" s="74"/>
      <c r="B1034" s="74"/>
      <c r="C1034" s="74"/>
      <c r="D1034" s="74"/>
      <c r="E1034" s="74"/>
      <c r="F1034" s="74"/>
      <c r="G1034" s="74"/>
      <c r="H1034" s="74"/>
      <c r="I1034" s="74"/>
      <c r="J1034" s="74"/>
      <c r="K1034" s="74"/>
      <c r="L1034" s="74"/>
      <c r="M1034" s="74"/>
      <c r="N1034" s="74"/>
      <c r="O1034" s="74"/>
      <c r="P1034" s="74"/>
      <c r="Q1034" s="74"/>
      <c r="R1034" s="74"/>
      <c r="S1034" s="74"/>
      <c r="T1034" s="74"/>
      <c r="U1034" s="74"/>
      <c r="V1034" s="74"/>
      <c r="W1034" s="74"/>
    </row>
    <row r="1035">
      <c r="A1035" s="74"/>
      <c r="B1035" s="74"/>
      <c r="C1035" s="74"/>
      <c r="D1035" s="74"/>
      <c r="E1035" s="74"/>
      <c r="F1035" s="74"/>
      <c r="G1035" s="74"/>
      <c r="H1035" s="74"/>
      <c r="I1035" s="74"/>
      <c r="J1035" s="74"/>
      <c r="K1035" s="74"/>
      <c r="L1035" s="74"/>
      <c r="M1035" s="74"/>
      <c r="N1035" s="74"/>
      <c r="O1035" s="74"/>
      <c r="P1035" s="74"/>
      <c r="Q1035" s="74"/>
      <c r="R1035" s="74"/>
      <c r="S1035" s="74"/>
      <c r="T1035" s="74"/>
      <c r="U1035" s="74"/>
      <c r="V1035" s="74"/>
      <c r="W1035" s="74"/>
    </row>
    <row r="1036">
      <c r="A1036" s="74"/>
      <c r="B1036" s="74"/>
      <c r="C1036" s="74"/>
      <c r="D1036" s="74"/>
      <c r="E1036" s="74"/>
      <c r="F1036" s="74"/>
      <c r="G1036" s="74"/>
      <c r="H1036" s="74"/>
      <c r="I1036" s="74"/>
      <c r="J1036" s="74"/>
      <c r="K1036" s="74"/>
      <c r="L1036" s="74"/>
      <c r="M1036" s="74"/>
      <c r="N1036" s="74"/>
      <c r="O1036" s="74"/>
      <c r="P1036" s="74"/>
      <c r="Q1036" s="74"/>
      <c r="R1036" s="74"/>
      <c r="S1036" s="74"/>
      <c r="T1036" s="74"/>
      <c r="U1036" s="74"/>
      <c r="V1036" s="74"/>
      <c r="W1036" s="74"/>
    </row>
    <row r="1037">
      <c r="A1037" s="74"/>
      <c r="B1037" s="74"/>
      <c r="C1037" s="74"/>
      <c r="D1037" s="74"/>
      <c r="E1037" s="74"/>
      <c r="F1037" s="74"/>
      <c r="G1037" s="74"/>
      <c r="H1037" s="74"/>
      <c r="I1037" s="74"/>
      <c r="J1037" s="74"/>
      <c r="K1037" s="74"/>
      <c r="L1037" s="74"/>
      <c r="M1037" s="74"/>
      <c r="N1037" s="74"/>
      <c r="O1037" s="74"/>
      <c r="P1037" s="74"/>
      <c r="Q1037" s="74"/>
      <c r="R1037" s="74"/>
      <c r="S1037" s="74"/>
      <c r="T1037" s="74"/>
      <c r="U1037" s="74"/>
      <c r="V1037" s="74"/>
      <c r="W1037" s="74"/>
    </row>
    <row r="1038">
      <c r="A1038" s="74"/>
      <c r="B1038" s="74"/>
      <c r="C1038" s="74"/>
      <c r="D1038" s="74"/>
      <c r="E1038" s="74"/>
      <c r="F1038" s="74"/>
      <c r="G1038" s="74"/>
      <c r="H1038" s="74"/>
      <c r="I1038" s="74"/>
      <c r="J1038" s="74"/>
      <c r="K1038" s="74"/>
      <c r="L1038" s="74"/>
      <c r="M1038" s="74"/>
      <c r="N1038" s="74"/>
      <c r="O1038" s="74"/>
      <c r="P1038" s="74"/>
      <c r="Q1038" s="74"/>
      <c r="R1038" s="74"/>
      <c r="S1038" s="74"/>
      <c r="T1038" s="74"/>
      <c r="U1038" s="74"/>
      <c r="V1038" s="74"/>
      <c r="W1038" s="74"/>
    </row>
    <row r="1039">
      <c r="A1039" s="74"/>
      <c r="B1039" s="74"/>
      <c r="C1039" s="74"/>
      <c r="D1039" s="74"/>
      <c r="E1039" s="74"/>
      <c r="F1039" s="74"/>
      <c r="G1039" s="74"/>
      <c r="H1039" s="74"/>
      <c r="I1039" s="74"/>
      <c r="J1039" s="74"/>
      <c r="K1039" s="74"/>
      <c r="L1039" s="74"/>
      <c r="M1039" s="74"/>
      <c r="N1039" s="74"/>
      <c r="O1039" s="74"/>
      <c r="P1039" s="74"/>
      <c r="Q1039" s="74"/>
      <c r="R1039" s="74"/>
      <c r="S1039" s="74"/>
      <c r="T1039" s="74"/>
      <c r="U1039" s="74"/>
      <c r="V1039" s="74"/>
      <c r="W1039" s="74"/>
    </row>
    <row r="1040">
      <c r="A1040" s="74"/>
      <c r="B1040" s="74"/>
      <c r="C1040" s="74"/>
      <c r="D1040" s="74"/>
      <c r="E1040" s="74"/>
      <c r="F1040" s="74"/>
      <c r="G1040" s="74"/>
      <c r="H1040" s="74"/>
      <c r="I1040" s="74"/>
      <c r="J1040" s="74"/>
      <c r="K1040" s="74"/>
      <c r="L1040" s="74"/>
      <c r="M1040" s="74"/>
      <c r="N1040" s="74"/>
      <c r="O1040" s="74"/>
      <c r="P1040" s="74"/>
      <c r="Q1040" s="74"/>
      <c r="R1040" s="74"/>
      <c r="S1040" s="74"/>
      <c r="T1040" s="74"/>
      <c r="U1040" s="74"/>
      <c r="V1040" s="74"/>
      <c r="W1040" s="74"/>
    </row>
    <row r="1041">
      <c r="A1041" s="74"/>
      <c r="B1041" s="74"/>
      <c r="C1041" s="74"/>
      <c r="D1041" s="74"/>
      <c r="E1041" s="74"/>
      <c r="F1041" s="74"/>
      <c r="G1041" s="74"/>
      <c r="H1041" s="74"/>
      <c r="I1041" s="74"/>
      <c r="J1041" s="74"/>
      <c r="K1041" s="74"/>
      <c r="L1041" s="74"/>
      <c r="M1041" s="74"/>
      <c r="N1041" s="74"/>
      <c r="O1041" s="74"/>
      <c r="P1041" s="74"/>
      <c r="Q1041" s="74"/>
      <c r="R1041" s="74"/>
      <c r="S1041" s="74"/>
      <c r="T1041" s="74"/>
      <c r="U1041" s="74"/>
      <c r="V1041" s="74"/>
      <c r="W1041" s="74"/>
    </row>
    <row r="1042">
      <c r="A1042" s="74"/>
      <c r="B1042" s="74"/>
      <c r="C1042" s="74"/>
      <c r="D1042" s="74"/>
      <c r="E1042" s="74"/>
      <c r="F1042" s="74"/>
      <c r="G1042" s="74"/>
      <c r="H1042" s="74"/>
      <c r="I1042" s="74"/>
      <c r="J1042" s="74"/>
      <c r="K1042" s="74"/>
      <c r="L1042" s="74"/>
      <c r="M1042" s="74"/>
      <c r="N1042" s="74"/>
      <c r="O1042" s="74"/>
      <c r="P1042" s="74"/>
      <c r="Q1042" s="74"/>
      <c r="R1042" s="74"/>
      <c r="S1042" s="74"/>
      <c r="T1042" s="74"/>
      <c r="U1042" s="74"/>
      <c r="V1042" s="74"/>
      <c r="W1042" s="74"/>
    </row>
    <row r="1043">
      <c r="A1043" s="74"/>
      <c r="B1043" s="74"/>
      <c r="C1043" s="74"/>
      <c r="D1043" s="74"/>
      <c r="E1043" s="74"/>
      <c r="F1043" s="74"/>
      <c r="G1043" s="74"/>
      <c r="H1043" s="74"/>
      <c r="I1043" s="74"/>
      <c r="J1043" s="74"/>
      <c r="K1043" s="74"/>
      <c r="L1043" s="74"/>
      <c r="M1043" s="74"/>
      <c r="N1043" s="74"/>
      <c r="O1043" s="74"/>
      <c r="P1043" s="74"/>
      <c r="Q1043" s="74"/>
      <c r="R1043" s="74"/>
      <c r="S1043" s="74"/>
      <c r="T1043" s="74"/>
      <c r="U1043" s="74"/>
      <c r="V1043" s="74"/>
      <c r="W1043" s="74"/>
    </row>
    <row r="1044">
      <c r="A1044" s="74"/>
      <c r="B1044" s="74"/>
      <c r="C1044" s="74"/>
      <c r="D1044" s="74"/>
      <c r="E1044" s="74"/>
      <c r="F1044" s="74"/>
      <c r="G1044" s="74"/>
      <c r="H1044" s="74"/>
      <c r="I1044" s="74"/>
      <c r="J1044" s="74"/>
      <c r="K1044" s="74"/>
      <c r="L1044" s="74"/>
      <c r="M1044" s="74"/>
      <c r="N1044" s="74"/>
      <c r="O1044" s="74"/>
      <c r="P1044" s="74"/>
      <c r="Q1044" s="74"/>
      <c r="R1044" s="74"/>
      <c r="S1044" s="74"/>
      <c r="T1044" s="74"/>
      <c r="U1044" s="74"/>
      <c r="V1044" s="74"/>
      <c r="W1044" s="74"/>
    </row>
    <row r="1045">
      <c r="A1045" s="74"/>
      <c r="B1045" s="74"/>
      <c r="C1045" s="74"/>
      <c r="D1045" s="74"/>
      <c r="E1045" s="74"/>
      <c r="F1045" s="74"/>
      <c r="G1045" s="74"/>
      <c r="H1045" s="74"/>
      <c r="I1045" s="74"/>
      <c r="J1045" s="74"/>
      <c r="K1045" s="74"/>
      <c r="L1045" s="74"/>
      <c r="M1045" s="74"/>
      <c r="N1045" s="74"/>
      <c r="O1045" s="74"/>
      <c r="P1045" s="74"/>
      <c r="Q1045" s="74"/>
      <c r="R1045" s="74"/>
      <c r="S1045" s="74"/>
      <c r="T1045" s="74"/>
      <c r="U1045" s="74"/>
      <c r="V1045" s="74"/>
      <c r="W1045" s="74"/>
    </row>
    <row r="1046">
      <c r="A1046" s="74"/>
      <c r="B1046" s="74"/>
      <c r="C1046" s="74"/>
      <c r="D1046" s="74"/>
      <c r="E1046" s="74"/>
      <c r="F1046" s="74"/>
      <c r="G1046" s="74"/>
      <c r="H1046" s="74"/>
      <c r="I1046" s="74"/>
      <c r="J1046" s="74"/>
      <c r="K1046" s="74"/>
      <c r="L1046" s="74"/>
      <c r="M1046" s="74"/>
      <c r="N1046" s="74"/>
      <c r="O1046" s="74"/>
      <c r="P1046" s="74"/>
      <c r="Q1046" s="74"/>
      <c r="R1046" s="74"/>
      <c r="S1046" s="74"/>
      <c r="T1046" s="74"/>
      <c r="U1046" s="74"/>
      <c r="V1046" s="74"/>
      <c r="W1046" s="74"/>
    </row>
    <row r="1047">
      <c r="A1047" s="74"/>
      <c r="B1047" s="74"/>
      <c r="C1047" s="74"/>
      <c r="D1047" s="74"/>
      <c r="E1047" s="74"/>
      <c r="F1047" s="74"/>
      <c r="G1047" s="74"/>
      <c r="H1047" s="74"/>
      <c r="I1047" s="74"/>
      <c r="J1047" s="74"/>
      <c r="K1047" s="74"/>
      <c r="L1047" s="74"/>
      <c r="M1047" s="74"/>
      <c r="N1047" s="74"/>
      <c r="O1047" s="74"/>
      <c r="P1047" s="74"/>
      <c r="Q1047" s="74"/>
      <c r="R1047" s="74"/>
      <c r="S1047" s="74"/>
      <c r="T1047" s="74"/>
      <c r="U1047" s="74"/>
      <c r="V1047" s="74"/>
      <c r="W1047" s="74"/>
    </row>
    <row r="1048">
      <c r="A1048" s="74"/>
      <c r="B1048" s="74"/>
      <c r="C1048" s="74"/>
      <c r="D1048" s="74"/>
      <c r="E1048" s="74"/>
      <c r="F1048" s="74"/>
      <c r="G1048" s="74"/>
      <c r="H1048" s="74"/>
      <c r="I1048" s="74"/>
      <c r="J1048" s="74"/>
      <c r="K1048" s="74"/>
      <c r="L1048" s="74"/>
      <c r="M1048" s="74"/>
      <c r="N1048" s="74"/>
      <c r="O1048" s="74"/>
      <c r="P1048" s="74"/>
      <c r="Q1048" s="74"/>
      <c r="R1048" s="74"/>
      <c r="S1048" s="74"/>
      <c r="T1048" s="74"/>
      <c r="U1048" s="74"/>
      <c r="V1048" s="74"/>
      <c r="W1048" s="74"/>
    </row>
    <row r="1049">
      <c r="A1049" s="74"/>
      <c r="B1049" s="74"/>
      <c r="C1049" s="74"/>
      <c r="D1049" s="74"/>
      <c r="E1049" s="74"/>
      <c r="F1049" s="74"/>
      <c r="G1049" s="74"/>
      <c r="H1049" s="74"/>
      <c r="I1049" s="74"/>
      <c r="J1049" s="74"/>
      <c r="K1049" s="74"/>
      <c r="L1049" s="74"/>
      <c r="M1049" s="74"/>
      <c r="N1049" s="74"/>
      <c r="O1049" s="74"/>
      <c r="P1049" s="74"/>
      <c r="Q1049" s="74"/>
      <c r="R1049" s="74"/>
      <c r="S1049" s="74"/>
      <c r="T1049" s="74"/>
      <c r="U1049" s="74"/>
      <c r="V1049" s="74"/>
      <c r="W1049" s="74"/>
    </row>
    <row r="1050">
      <c r="A1050" s="74"/>
      <c r="B1050" s="74"/>
      <c r="C1050" s="74"/>
      <c r="D1050" s="74"/>
      <c r="E1050" s="74"/>
      <c r="F1050" s="74"/>
      <c r="G1050" s="74"/>
      <c r="H1050" s="74"/>
      <c r="I1050" s="74"/>
      <c r="J1050" s="74"/>
      <c r="K1050" s="74"/>
      <c r="L1050" s="74"/>
      <c r="M1050" s="74"/>
      <c r="N1050" s="74"/>
      <c r="O1050" s="74"/>
      <c r="P1050" s="74"/>
      <c r="Q1050" s="74"/>
      <c r="R1050" s="74"/>
      <c r="S1050" s="74"/>
      <c r="T1050" s="74"/>
      <c r="U1050" s="74"/>
      <c r="V1050" s="74"/>
      <c r="W1050" s="74"/>
    </row>
    <row r="1051">
      <c r="A1051" s="74"/>
      <c r="B1051" s="74"/>
      <c r="C1051" s="74"/>
      <c r="D1051" s="74"/>
      <c r="E1051" s="74"/>
      <c r="F1051" s="74"/>
      <c r="G1051" s="74"/>
      <c r="H1051" s="74"/>
      <c r="I1051" s="74"/>
      <c r="J1051" s="74"/>
      <c r="K1051" s="74"/>
      <c r="L1051" s="74"/>
      <c r="M1051" s="74"/>
      <c r="N1051" s="74"/>
      <c r="O1051" s="74"/>
      <c r="P1051" s="74"/>
      <c r="Q1051" s="74"/>
      <c r="R1051" s="74"/>
      <c r="S1051" s="74"/>
      <c r="T1051" s="74"/>
      <c r="U1051" s="74"/>
      <c r="V1051" s="74"/>
      <c r="W1051" s="74"/>
    </row>
    <row r="1052">
      <c r="A1052" s="74"/>
      <c r="B1052" s="74"/>
      <c r="C1052" s="74"/>
      <c r="D1052" s="74"/>
      <c r="E1052" s="74"/>
      <c r="F1052" s="74"/>
      <c r="G1052" s="74"/>
      <c r="H1052" s="74"/>
      <c r="I1052" s="74"/>
      <c r="J1052" s="74"/>
      <c r="K1052" s="74"/>
      <c r="L1052" s="74"/>
      <c r="M1052" s="74"/>
      <c r="N1052" s="74"/>
      <c r="O1052" s="74"/>
      <c r="P1052" s="74"/>
      <c r="Q1052" s="74"/>
      <c r="R1052" s="74"/>
      <c r="S1052" s="74"/>
      <c r="T1052" s="74"/>
      <c r="U1052" s="74"/>
      <c r="V1052" s="74"/>
      <c r="W1052" s="74"/>
    </row>
    <row r="1053">
      <c r="A1053" s="74"/>
      <c r="B1053" s="74"/>
      <c r="C1053" s="74"/>
      <c r="D1053" s="74"/>
      <c r="E1053" s="74"/>
      <c r="F1053" s="74"/>
      <c r="G1053" s="74"/>
      <c r="H1053" s="74"/>
      <c r="I1053" s="74"/>
      <c r="J1053" s="74"/>
      <c r="K1053" s="74"/>
      <c r="L1053" s="74"/>
      <c r="M1053" s="74"/>
      <c r="N1053" s="74"/>
      <c r="O1053" s="74"/>
      <c r="P1053" s="74"/>
      <c r="Q1053" s="74"/>
      <c r="R1053" s="74"/>
      <c r="S1053" s="74"/>
      <c r="T1053" s="74"/>
      <c r="U1053" s="74"/>
      <c r="V1053" s="74"/>
      <c r="W1053" s="74"/>
    </row>
    <row r="1054">
      <c r="A1054" s="74"/>
      <c r="B1054" s="74"/>
      <c r="C1054" s="74"/>
      <c r="D1054" s="74"/>
      <c r="E1054" s="74"/>
      <c r="F1054" s="74"/>
      <c r="G1054" s="74"/>
      <c r="H1054" s="74"/>
      <c r="I1054" s="74"/>
      <c r="J1054" s="74"/>
      <c r="K1054" s="74"/>
      <c r="L1054" s="74"/>
      <c r="M1054" s="74"/>
      <c r="N1054" s="74"/>
      <c r="O1054" s="74"/>
      <c r="P1054" s="74"/>
      <c r="Q1054" s="74"/>
      <c r="R1054" s="74"/>
      <c r="S1054" s="74"/>
      <c r="T1054" s="74"/>
      <c r="U1054" s="74"/>
      <c r="V1054" s="74"/>
      <c r="W1054" s="74"/>
    </row>
    <row r="1055">
      <c r="A1055" s="74"/>
      <c r="B1055" s="74"/>
      <c r="C1055" s="74"/>
      <c r="D1055" s="74"/>
      <c r="E1055" s="74"/>
      <c r="F1055" s="74"/>
      <c r="G1055" s="74"/>
      <c r="H1055" s="74"/>
      <c r="I1055" s="74"/>
      <c r="J1055" s="74"/>
      <c r="K1055" s="74"/>
      <c r="L1055" s="74"/>
      <c r="M1055" s="74"/>
      <c r="N1055" s="74"/>
      <c r="O1055" s="74"/>
      <c r="P1055" s="74"/>
      <c r="Q1055" s="74"/>
      <c r="R1055" s="74"/>
      <c r="S1055" s="74"/>
      <c r="T1055" s="74"/>
      <c r="U1055" s="74"/>
      <c r="V1055" s="74"/>
      <c r="W1055" s="74"/>
    </row>
    <row r="1056">
      <c r="A1056" s="74"/>
      <c r="B1056" s="74"/>
      <c r="C1056" s="74"/>
      <c r="D1056" s="74"/>
      <c r="E1056" s="74"/>
      <c r="F1056" s="74"/>
      <c r="G1056" s="74"/>
      <c r="H1056" s="74"/>
      <c r="I1056" s="74"/>
      <c r="J1056" s="74"/>
      <c r="K1056" s="74"/>
      <c r="L1056" s="74"/>
      <c r="M1056" s="74"/>
      <c r="N1056" s="74"/>
      <c r="O1056" s="74"/>
      <c r="P1056" s="74"/>
      <c r="Q1056" s="74"/>
      <c r="R1056" s="74"/>
      <c r="S1056" s="74"/>
      <c r="T1056" s="74"/>
      <c r="U1056" s="74"/>
      <c r="V1056" s="74"/>
      <c r="W1056" s="74"/>
    </row>
    <row r="1057">
      <c r="A1057" s="74"/>
      <c r="B1057" s="74"/>
      <c r="C1057" s="74"/>
      <c r="D1057" s="74"/>
      <c r="E1057" s="74"/>
      <c r="F1057" s="74"/>
      <c r="G1057" s="74"/>
      <c r="H1057" s="74"/>
      <c r="I1057" s="74"/>
      <c r="J1057" s="74"/>
      <c r="K1057" s="74"/>
      <c r="L1057" s="74"/>
      <c r="M1057" s="74"/>
      <c r="N1057" s="74"/>
      <c r="O1057" s="74"/>
      <c r="P1057" s="74"/>
      <c r="Q1057" s="74"/>
      <c r="R1057" s="74"/>
      <c r="S1057" s="74"/>
      <c r="T1057" s="74"/>
      <c r="U1057" s="74"/>
      <c r="V1057" s="74"/>
      <c r="W1057" s="74"/>
    </row>
    <row r="1058">
      <c r="A1058" s="74"/>
      <c r="B1058" s="74"/>
      <c r="C1058" s="74"/>
      <c r="D1058" s="74"/>
      <c r="E1058" s="74"/>
      <c r="F1058" s="74"/>
      <c r="G1058" s="74"/>
      <c r="H1058" s="74"/>
      <c r="I1058" s="74"/>
      <c r="J1058" s="74"/>
      <c r="K1058" s="74"/>
      <c r="L1058" s="74"/>
      <c r="M1058" s="74"/>
      <c r="N1058" s="74"/>
      <c r="O1058" s="74"/>
      <c r="P1058" s="74"/>
      <c r="Q1058" s="74"/>
      <c r="R1058" s="74"/>
      <c r="S1058" s="74"/>
      <c r="T1058" s="74"/>
      <c r="U1058" s="74"/>
      <c r="V1058" s="74"/>
      <c r="W1058" s="74"/>
    </row>
    <row r="1059">
      <c r="A1059" s="74"/>
      <c r="B1059" s="74"/>
      <c r="C1059" s="74"/>
      <c r="D1059" s="74"/>
      <c r="E1059" s="74"/>
      <c r="F1059" s="74"/>
      <c r="G1059" s="74"/>
      <c r="H1059" s="74"/>
      <c r="I1059" s="74"/>
      <c r="J1059" s="74"/>
      <c r="K1059" s="74"/>
      <c r="L1059" s="74"/>
      <c r="M1059" s="74"/>
      <c r="N1059" s="74"/>
      <c r="O1059" s="74"/>
      <c r="P1059" s="74"/>
      <c r="Q1059" s="74"/>
      <c r="R1059" s="74"/>
      <c r="S1059" s="74"/>
      <c r="T1059" s="74"/>
      <c r="U1059" s="74"/>
      <c r="V1059" s="74"/>
      <c r="W1059" s="74"/>
    </row>
    <row r="1060">
      <c r="A1060" s="74"/>
      <c r="B1060" s="74"/>
      <c r="C1060" s="74"/>
      <c r="D1060" s="74"/>
      <c r="E1060" s="74"/>
      <c r="F1060" s="74"/>
      <c r="G1060" s="74"/>
      <c r="H1060" s="74"/>
      <c r="I1060" s="74"/>
      <c r="J1060" s="74"/>
      <c r="K1060" s="74"/>
      <c r="L1060" s="74"/>
      <c r="M1060" s="74"/>
      <c r="N1060" s="74"/>
      <c r="O1060" s="74"/>
      <c r="P1060" s="74"/>
      <c r="Q1060" s="74"/>
      <c r="R1060" s="74"/>
      <c r="S1060" s="74"/>
      <c r="T1060" s="74"/>
      <c r="U1060" s="74"/>
      <c r="V1060" s="74"/>
      <c r="W1060" s="74"/>
    </row>
    <row r="1061">
      <c r="A1061" s="74"/>
      <c r="B1061" s="74"/>
      <c r="C1061" s="74"/>
      <c r="D1061" s="74"/>
      <c r="E1061" s="74"/>
      <c r="F1061" s="74"/>
      <c r="G1061" s="74"/>
      <c r="H1061" s="74"/>
      <c r="I1061" s="74"/>
      <c r="J1061" s="74"/>
      <c r="K1061" s="74"/>
      <c r="L1061" s="74"/>
      <c r="M1061" s="74"/>
      <c r="N1061" s="74"/>
      <c r="O1061" s="74"/>
      <c r="P1061" s="74"/>
      <c r="Q1061" s="74"/>
      <c r="R1061" s="74"/>
      <c r="S1061" s="74"/>
      <c r="T1061" s="74"/>
      <c r="U1061" s="74"/>
      <c r="V1061" s="74"/>
      <c r="W1061" s="74"/>
    </row>
    <row r="1062">
      <c r="A1062" s="74"/>
      <c r="B1062" s="74"/>
      <c r="C1062" s="74"/>
      <c r="D1062" s="74"/>
      <c r="E1062" s="74"/>
      <c r="F1062" s="74"/>
      <c r="G1062" s="74"/>
      <c r="H1062" s="74"/>
      <c r="I1062" s="74"/>
      <c r="J1062" s="74"/>
      <c r="K1062" s="74"/>
      <c r="L1062" s="74"/>
      <c r="M1062" s="74"/>
      <c r="N1062" s="74"/>
      <c r="O1062" s="74"/>
      <c r="P1062" s="74"/>
      <c r="Q1062" s="74"/>
      <c r="R1062" s="74"/>
      <c r="S1062" s="74"/>
      <c r="T1062" s="74"/>
      <c r="U1062" s="74"/>
      <c r="V1062" s="74"/>
      <c r="W1062" s="74"/>
    </row>
    <row r="1063">
      <c r="A1063" s="74"/>
      <c r="B1063" s="74"/>
      <c r="C1063" s="74"/>
      <c r="D1063" s="74"/>
      <c r="E1063" s="74"/>
      <c r="F1063" s="74"/>
      <c r="G1063" s="74"/>
      <c r="H1063" s="74"/>
      <c r="I1063" s="74"/>
      <c r="J1063" s="74"/>
      <c r="K1063" s="74"/>
      <c r="L1063" s="74"/>
      <c r="M1063" s="74"/>
      <c r="N1063" s="74"/>
      <c r="O1063" s="74"/>
      <c r="P1063" s="74"/>
      <c r="Q1063" s="74"/>
      <c r="R1063" s="74"/>
      <c r="S1063" s="74"/>
      <c r="T1063" s="74"/>
      <c r="U1063" s="74"/>
      <c r="V1063" s="74"/>
      <c r="W1063" s="74"/>
    </row>
    <row r="1064">
      <c r="A1064" s="74"/>
      <c r="B1064" s="74"/>
      <c r="C1064" s="74"/>
      <c r="D1064" s="74"/>
      <c r="E1064" s="74"/>
      <c r="F1064" s="74"/>
      <c r="G1064" s="74"/>
      <c r="H1064" s="74"/>
      <c r="I1064" s="74"/>
      <c r="J1064" s="74"/>
      <c r="K1064" s="74"/>
      <c r="L1064" s="74"/>
      <c r="M1064" s="74"/>
      <c r="N1064" s="74"/>
      <c r="O1064" s="74"/>
      <c r="P1064" s="74"/>
      <c r="Q1064" s="74"/>
      <c r="R1064" s="74"/>
      <c r="S1064" s="74"/>
      <c r="T1064" s="74"/>
      <c r="U1064" s="74"/>
      <c r="V1064" s="74"/>
      <c r="W1064" s="74"/>
    </row>
    <row r="1065">
      <c r="A1065" s="74"/>
      <c r="B1065" s="74"/>
      <c r="C1065" s="74"/>
      <c r="D1065" s="74"/>
      <c r="E1065" s="74"/>
      <c r="F1065" s="74"/>
      <c r="G1065" s="74"/>
      <c r="H1065" s="74"/>
      <c r="I1065" s="74"/>
      <c r="J1065" s="74"/>
      <c r="K1065" s="74"/>
      <c r="L1065" s="74"/>
      <c r="M1065" s="74"/>
      <c r="N1065" s="74"/>
      <c r="O1065" s="74"/>
      <c r="P1065" s="74"/>
      <c r="Q1065" s="74"/>
      <c r="R1065" s="74"/>
      <c r="S1065" s="74"/>
      <c r="T1065" s="74"/>
      <c r="U1065" s="74"/>
      <c r="V1065" s="74"/>
      <c r="W1065" s="74"/>
    </row>
    <row r="1066">
      <c r="A1066" s="74"/>
      <c r="B1066" s="74"/>
      <c r="C1066" s="74"/>
      <c r="D1066" s="74"/>
      <c r="E1066" s="74"/>
      <c r="F1066" s="74"/>
      <c r="G1066" s="74"/>
      <c r="H1066" s="74"/>
      <c r="I1066" s="74"/>
      <c r="J1066" s="74"/>
      <c r="K1066" s="74"/>
      <c r="L1066" s="74"/>
      <c r="M1066" s="74"/>
      <c r="N1066" s="74"/>
      <c r="O1066" s="74"/>
      <c r="P1066" s="74"/>
      <c r="Q1066" s="74"/>
      <c r="R1066" s="74"/>
      <c r="S1066" s="74"/>
      <c r="T1066" s="74"/>
      <c r="U1066" s="74"/>
      <c r="V1066" s="74"/>
      <c r="W1066" s="74"/>
    </row>
    <row r="1067">
      <c r="A1067" s="74"/>
      <c r="B1067" s="74"/>
      <c r="C1067" s="74"/>
      <c r="D1067" s="74"/>
      <c r="E1067" s="74"/>
      <c r="F1067" s="74"/>
      <c r="G1067" s="74"/>
      <c r="H1067" s="74"/>
      <c r="I1067" s="74"/>
      <c r="J1067" s="74"/>
      <c r="K1067" s="74"/>
      <c r="L1067" s="74"/>
      <c r="M1067" s="74"/>
      <c r="N1067" s="74"/>
      <c r="O1067" s="74"/>
      <c r="P1067" s="74"/>
      <c r="Q1067" s="74"/>
      <c r="R1067" s="74"/>
      <c r="S1067" s="74"/>
      <c r="T1067" s="74"/>
      <c r="U1067" s="74"/>
      <c r="V1067" s="74"/>
      <c r="W1067" s="74"/>
    </row>
    <row r="1068">
      <c r="A1068" s="74"/>
      <c r="B1068" s="74"/>
      <c r="C1068" s="74"/>
      <c r="D1068" s="74"/>
      <c r="E1068" s="74"/>
      <c r="F1068" s="74"/>
      <c r="G1068" s="74"/>
      <c r="H1068" s="74"/>
      <c r="I1068" s="74"/>
      <c r="J1068" s="74"/>
      <c r="K1068" s="74"/>
      <c r="L1068" s="74"/>
      <c r="M1068" s="74"/>
      <c r="N1068" s="74"/>
      <c r="O1068" s="74"/>
      <c r="P1068" s="74"/>
      <c r="Q1068" s="74"/>
      <c r="R1068" s="74"/>
      <c r="S1068" s="74"/>
      <c r="T1068" s="74"/>
      <c r="U1068" s="74"/>
      <c r="V1068" s="74"/>
      <c r="W1068" s="74"/>
    </row>
    <row r="1069">
      <c r="A1069" s="74"/>
      <c r="B1069" s="74"/>
      <c r="C1069" s="74"/>
      <c r="D1069" s="74"/>
      <c r="E1069" s="74"/>
      <c r="F1069" s="74"/>
      <c r="G1069" s="74"/>
      <c r="H1069" s="74"/>
      <c r="I1069" s="74"/>
      <c r="J1069" s="74"/>
      <c r="K1069" s="74"/>
      <c r="L1069" s="74"/>
      <c r="M1069" s="74"/>
      <c r="N1069" s="74"/>
      <c r="O1069" s="74"/>
      <c r="P1069" s="74"/>
      <c r="Q1069" s="74"/>
      <c r="R1069" s="74"/>
      <c r="S1069" s="74"/>
      <c r="T1069" s="74"/>
      <c r="U1069" s="74"/>
      <c r="V1069" s="74"/>
      <c r="W1069" s="74"/>
    </row>
    <row r="1070">
      <c r="A1070" s="74"/>
      <c r="B1070" s="74"/>
      <c r="C1070" s="74"/>
      <c r="D1070" s="74"/>
      <c r="E1070" s="74"/>
      <c r="F1070" s="74"/>
      <c r="G1070" s="74"/>
      <c r="H1070" s="74"/>
      <c r="I1070" s="74"/>
      <c r="J1070" s="74"/>
      <c r="K1070" s="74"/>
      <c r="L1070" s="74"/>
      <c r="M1070" s="74"/>
      <c r="N1070" s="74"/>
      <c r="O1070" s="74"/>
      <c r="P1070" s="74"/>
      <c r="Q1070" s="74"/>
      <c r="R1070" s="74"/>
      <c r="S1070" s="74"/>
      <c r="T1070" s="74"/>
      <c r="U1070" s="74"/>
      <c r="V1070" s="74"/>
      <c r="W1070" s="74"/>
    </row>
    <row r="1071">
      <c r="A1071" s="74"/>
      <c r="B1071" s="74"/>
      <c r="C1071" s="74"/>
      <c r="D1071" s="74"/>
      <c r="E1071" s="74"/>
      <c r="F1071" s="74"/>
      <c r="G1071" s="74"/>
      <c r="H1071" s="74"/>
      <c r="I1071" s="74"/>
      <c r="J1071" s="74"/>
      <c r="K1071" s="74"/>
      <c r="L1071" s="74"/>
      <c r="M1071" s="74"/>
      <c r="N1071" s="74"/>
      <c r="O1071" s="74"/>
      <c r="P1071" s="74"/>
      <c r="Q1071" s="74"/>
      <c r="R1071" s="74"/>
      <c r="S1071" s="74"/>
      <c r="T1071" s="74"/>
      <c r="U1071" s="74"/>
      <c r="V1071" s="74"/>
      <c r="W1071" s="74"/>
    </row>
    <row r="1072">
      <c r="A1072" s="74"/>
      <c r="B1072" s="74"/>
      <c r="C1072" s="74"/>
      <c r="D1072" s="74"/>
      <c r="E1072" s="74"/>
      <c r="F1072" s="74"/>
      <c r="G1072" s="74"/>
      <c r="H1072" s="74"/>
      <c r="I1072" s="74"/>
      <c r="J1072" s="74"/>
      <c r="K1072" s="74"/>
      <c r="L1072" s="74"/>
      <c r="M1072" s="74"/>
      <c r="N1072" s="74"/>
      <c r="O1072" s="74"/>
      <c r="P1072" s="74"/>
      <c r="Q1072" s="74"/>
      <c r="R1072" s="74"/>
      <c r="S1072" s="74"/>
      <c r="T1072" s="74"/>
      <c r="U1072" s="74"/>
      <c r="V1072" s="74"/>
      <c r="W1072" s="74"/>
    </row>
    <row r="1073">
      <c r="A1073" s="74"/>
      <c r="B1073" s="74"/>
      <c r="C1073" s="74"/>
      <c r="D1073" s="74"/>
      <c r="E1073" s="74"/>
      <c r="F1073" s="74"/>
      <c r="G1073" s="74"/>
      <c r="H1073" s="74"/>
      <c r="I1073" s="74"/>
      <c r="J1073" s="74"/>
      <c r="K1073" s="74"/>
      <c r="L1073" s="74"/>
      <c r="M1073" s="74"/>
      <c r="N1073" s="74"/>
      <c r="O1073" s="74"/>
      <c r="P1073" s="74"/>
      <c r="Q1073" s="74"/>
      <c r="R1073" s="74"/>
      <c r="S1073" s="74"/>
      <c r="T1073" s="74"/>
      <c r="U1073" s="74"/>
      <c r="V1073" s="74"/>
      <c r="W1073" s="74"/>
    </row>
    <row r="1074">
      <c r="A1074" s="74"/>
      <c r="B1074" s="74"/>
      <c r="C1074" s="74"/>
      <c r="D1074" s="74"/>
      <c r="E1074" s="74"/>
      <c r="F1074" s="74"/>
      <c r="G1074" s="74"/>
      <c r="H1074" s="74"/>
      <c r="I1074" s="74"/>
      <c r="J1074" s="74"/>
      <c r="K1074" s="74"/>
      <c r="L1074" s="74"/>
      <c r="M1074" s="74"/>
      <c r="N1074" s="74"/>
      <c r="O1074" s="74"/>
      <c r="P1074" s="74"/>
      <c r="Q1074" s="74"/>
      <c r="R1074" s="74"/>
      <c r="S1074" s="74"/>
      <c r="T1074" s="74"/>
      <c r="U1074" s="74"/>
      <c r="V1074" s="74"/>
      <c r="W1074" s="74"/>
    </row>
    <row r="1075">
      <c r="A1075" s="74"/>
      <c r="B1075" s="74"/>
      <c r="C1075" s="74"/>
      <c r="D1075" s="74"/>
      <c r="E1075" s="74"/>
      <c r="F1075" s="74"/>
      <c r="G1075" s="74"/>
      <c r="H1075" s="74"/>
      <c r="I1075" s="74"/>
      <c r="J1075" s="74"/>
      <c r="K1075" s="74"/>
      <c r="L1075" s="74"/>
      <c r="M1075" s="74"/>
      <c r="N1075" s="74"/>
      <c r="O1075" s="74"/>
      <c r="P1075" s="74"/>
      <c r="Q1075" s="74"/>
      <c r="R1075" s="74"/>
      <c r="S1075" s="74"/>
      <c r="T1075" s="74"/>
      <c r="U1075" s="74"/>
      <c r="V1075" s="74"/>
      <c r="W1075" s="74"/>
    </row>
    <row r="1076">
      <c r="A1076" s="74"/>
      <c r="B1076" s="74"/>
      <c r="C1076" s="74"/>
      <c r="D1076" s="74"/>
      <c r="E1076" s="74"/>
      <c r="F1076" s="74"/>
      <c r="G1076" s="74"/>
      <c r="H1076" s="74"/>
      <c r="I1076" s="74"/>
      <c r="J1076" s="74"/>
      <c r="K1076" s="74"/>
      <c r="L1076" s="74"/>
      <c r="M1076" s="74"/>
      <c r="N1076" s="74"/>
      <c r="O1076" s="74"/>
      <c r="P1076" s="74"/>
      <c r="Q1076" s="74"/>
      <c r="R1076" s="74"/>
      <c r="S1076" s="74"/>
      <c r="T1076" s="74"/>
      <c r="U1076" s="74"/>
      <c r="V1076" s="74"/>
      <c r="W1076" s="74"/>
    </row>
    <row r="1077">
      <c r="A1077" s="74"/>
      <c r="B1077" s="74"/>
      <c r="C1077" s="74"/>
      <c r="D1077" s="74"/>
      <c r="E1077" s="74"/>
      <c r="F1077" s="74"/>
      <c r="G1077" s="74"/>
      <c r="H1077" s="74"/>
      <c r="I1077" s="74"/>
      <c r="J1077" s="74"/>
      <c r="K1077" s="74"/>
      <c r="L1077" s="74"/>
      <c r="M1077" s="74"/>
      <c r="N1077" s="74"/>
      <c r="O1077" s="74"/>
      <c r="P1077" s="74"/>
      <c r="Q1077" s="74"/>
      <c r="R1077" s="74"/>
      <c r="S1077" s="74"/>
      <c r="T1077" s="74"/>
      <c r="U1077" s="74"/>
      <c r="V1077" s="74"/>
      <c r="W1077" s="74"/>
    </row>
    <row r="1078">
      <c r="A1078" s="74"/>
      <c r="B1078" s="74"/>
      <c r="C1078" s="74"/>
      <c r="D1078" s="74"/>
      <c r="E1078" s="74"/>
      <c r="F1078" s="74"/>
      <c r="G1078" s="74"/>
      <c r="H1078" s="74"/>
      <c r="I1078" s="74"/>
      <c r="J1078" s="74"/>
      <c r="K1078" s="74"/>
      <c r="L1078" s="74"/>
      <c r="M1078" s="74"/>
      <c r="N1078" s="74"/>
      <c r="O1078" s="74"/>
      <c r="P1078" s="74"/>
      <c r="Q1078" s="74"/>
      <c r="R1078" s="74"/>
      <c r="S1078" s="74"/>
      <c r="T1078" s="74"/>
      <c r="U1078" s="74"/>
      <c r="V1078" s="74"/>
      <c r="W1078" s="74"/>
    </row>
    <row r="1079">
      <c r="A1079" s="74"/>
      <c r="B1079" s="74"/>
      <c r="C1079" s="74"/>
      <c r="D1079" s="74"/>
      <c r="E1079" s="74"/>
      <c r="F1079" s="74"/>
      <c r="G1079" s="74"/>
      <c r="H1079" s="74"/>
      <c r="I1079" s="74"/>
      <c r="J1079" s="74"/>
      <c r="K1079" s="74"/>
      <c r="L1079" s="74"/>
      <c r="M1079" s="74"/>
      <c r="N1079" s="74"/>
      <c r="O1079" s="74"/>
      <c r="P1079" s="74"/>
      <c r="Q1079" s="74"/>
      <c r="R1079" s="74"/>
      <c r="S1079" s="74"/>
      <c r="T1079" s="74"/>
      <c r="U1079" s="74"/>
      <c r="V1079" s="74"/>
      <c r="W1079" s="74"/>
    </row>
    <row r="1080">
      <c r="A1080" s="74"/>
      <c r="B1080" s="74"/>
      <c r="C1080" s="74"/>
      <c r="D1080" s="74"/>
      <c r="E1080" s="74"/>
      <c r="F1080" s="74"/>
      <c r="G1080" s="74"/>
      <c r="H1080" s="74"/>
      <c r="I1080" s="74"/>
      <c r="J1080" s="74"/>
      <c r="K1080" s="74"/>
      <c r="L1080" s="74"/>
      <c r="M1080" s="74"/>
      <c r="N1080" s="74"/>
      <c r="O1080" s="74"/>
      <c r="P1080" s="74"/>
      <c r="Q1080" s="74"/>
      <c r="R1080" s="74"/>
      <c r="S1080" s="74"/>
      <c r="T1080" s="74"/>
      <c r="U1080" s="74"/>
      <c r="V1080" s="74"/>
      <c r="W1080" s="74"/>
    </row>
    <row r="1081">
      <c r="A1081" s="74"/>
      <c r="B1081" s="74"/>
      <c r="C1081" s="74"/>
      <c r="D1081" s="74"/>
      <c r="E1081" s="74"/>
      <c r="F1081" s="74"/>
      <c r="G1081" s="74"/>
      <c r="H1081" s="74"/>
      <c r="I1081" s="74"/>
      <c r="J1081" s="74"/>
      <c r="K1081" s="74"/>
      <c r="L1081" s="74"/>
      <c r="M1081" s="74"/>
      <c r="N1081" s="74"/>
      <c r="O1081" s="74"/>
      <c r="P1081" s="74"/>
      <c r="Q1081" s="74"/>
      <c r="R1081" s="74"/>
      <c r="S1081" s="74"/>
      <c r="T1081" s="74"/>
      <c r="U1081" s="74"/>
      <c r="V1081" s="74"/>
      <c r="W1081" s="74"/>
    </row>
    <row r="1082">
      <c r="A1082" s="74"/>
      <c r="B1082" s="74"/>
      <c r="C1082" s="74"/>
      <c r="D1082" s="74"/>
      <c r="E1082" s="74"/>
      <c r="F1082" s="74"/>
      <c r="G1082" s="74"/>
      <c r="H1082" s="74"/>
      <c r="I1082" s="74"/>
      <c r="J1082" s="74"/>
      <c r="K1082" s="74"/>
      <c r="L1082" s="74"/>
      <c r="M1082" s="74"/>
      <c r="N1082" s="74"/>
      <c r="O1082" s="74"/>
      <c r="P1082" s="74"/>
      <c r="Q1082" s="74"/>
      <c r="R1082" s="74"/>
      <c r="S1082" s="74"/>
      <c r="T1082" s="74"/>
      <c r="U1082" s="74"/>
      <c r="V1082" s="74"/>
      <c r="W1082" s="74"/>
    </row>
    <row r="1083">
      <c r="A1083" s="74"/>
      <c r="B1083" s="74"/>
      <c r="C1083" s="74"/>
      <c r="D1083" s="74"/>
      <c r="E1083" s="74"/>
      <c r="F1083" s="74"/>
      <c r="G1083" s="74"/>
      <c r="H1083" s="74"/>
      <c r="I1083" s="74"/>
      <c r="J1083" s="74"/>
      <c r="K1083" s="74"/>
      <c r="L1083" s="74"/>
      <c r="M1083" s="74"/>
      <c r="N1083" s="74"/>
      <c r="O1083" s="74"/>
      <c r="P1083" s="74"/>
      <c r="Q1083" s="74"/>
      <c r="R1083" s="74"/>
      <c r="S1083" s="74"/>
      <c r="T1083" s="74"/>
      <c r="U1083" s="74"/>
      <c r="V1083" s="74"/>
      <c r="W1083" s="74"/>
    </row>
    <row r="1084">
      <c r="A1084" s="74"/>
      <c r="B1084" s="74"/>
      <c r="C1084" s="74"/>
      <c r="D1084" s="74"/>
      <c r="E1084" s="74"/>
      <c r="F1084" s="74"/>
      <c r="G1084" s="74"/>
      <c r="H1084" s="74"/>
      <c r="I1084" s="74"/>
      <c r="J1084" s="74"/>
      <c r="K1084" s="74"/>
      <c r="L1084" s="74"/>
      <c r="M1084" s="74"/>
      <c r="N1084" s="74"/>
      <c r="O1084" s="74"/>
      <c r="P1084" s="74"/>
      <c r="Q1084" s="74"/>
      <c r="R1084" s="74"/>
      <c r="S1084" s="74"/>
      <c r="T1084" s="74"/>
      <c r="U1084" s="74"/>
      <c r="V1084" s="74"/>
      <c r="W1084" s="74"/>
    </row>
    <row r="1085">
      <c r="A1085" s="74"/>
      <c r="B1085" s="74"/>
      <c r="C1085" s="74"/>
      <c r="D1085" s="74"/>
      <c r="E1085" s="74"/>
      <c r="F1085" s="74"/>
      <c r="G1085" s="74"/>
      <c r="H1085" s="74"/>
      <c r="I1085" s="74"/>
      <c r="J1085" s="74"/>
      <c r="K1085" s="74"/>
      <c r="L1085" s="74"/>
      <c r="M1085" s="74"/>
      <c r="N1085" s="74"/>
      <c r="O1085" s="74"/>
      <c r="P1085" s="74"/>
      <c r="Q1085" s="74"/>
      <c r="R1085" s="74"/>
      <c r="S1085" s="74"/>
      <c r="T1085" s="74"/>
      <c r="U1085" s="74"/>
      <c r="V1085" s="74"/>
      <c r="W1085" s="74"/>
    </row>
    <row r="1086">
      <c r="A1086" s="74"/>
      <c r="B1086" s="74"/>
      <c r="C1086" s="74"/>
      <c r="D1086" s="74"/>
      <c r="E1086" s="74"/>
      <c r="F1086" s="74"/>
      <c r="G1086" s="74"/>
      <c r="H1086" s="74"/>
      <c r="I1086" s="74"/>
      <c r="J1086" s="74"/>
      <c r="K1086" s="74"/>
      <c r="L1086" s="74"/>
      <c r="M1086" s="74"/>
      <c r="N1086" s="74"/>
      <c r="O1086" s="74"/>
      <c r="P1086" s="74"/>
      <c r="Q1086" s="74"/>
      <c r="R1086" s="74"/>
      <c r="S1086" s="74"/>
      <c r="T1086" s="74"/>
      <c r="U1086" s="74"/>
      <c r="V1086" s="74"/>
      <c r="W1086" s="74"/>
    </row>
    <row r="1087">
      <c r="A1087" s="74"/>
      <c r="B1087" s="74"/>
      <c r="C1087" s="74"/>
      <c r="D1087" s="74"/>
      <c r="E1087" s="74"/>
      <c r="F1087" s="74"/>
      <c r="G1087" s="74"/>
      <c r="H1087" s="74"/>
      <c r="I1087" s="74"/>
      <c r="J1087" s="74"/>
      <c r="K1087" s="74"/>
      <c r="L1087" s="74"/>
      <c r="M1087" s="74"/>
      <c r="N1087" s="74"/>
      <c r="O1087" s="74"/>
      <c r="P1087" s="74"/>
      <c r="Q1087" s="74"/>
      <c r="R1087" s="74"/>
      <c r="S1087" s="74"/>
      <c r="T1087" s="74"/>
      <c r="U1087" s="74"/>
      <c r="V1087" s="74"/>
      <c r="W1087" s="74"/>
    </row>
    <row r="1088">
      <c r="A1088" s="74"/>
      <c r="B1088" s="74"/>
      <c r="C1088" s="74"/>
      <c r="D1088" s="74"/>
      <c r="E1088" s="74"/>
      <c r="F1088" s="74"/>
      <c r="G1088" s="74"/>
      <c r="H1088" s="74"/>
      <c r="I1088" s="74"/>
      <c r="J1088" s="74"/>
      <c r="K1088" s="74"/>
      <c r="L1088" s="74"/>
      <c r="M1088" s="74"/>
      <c r="N1088" s="74"/>
      <c r="O1088" s="74"/>
      <c r="P1088" s="74"/>
      <c r="Q1088" s="74"/>
      <c r="R1088" s="74"/>
      <c r="S1088" s="74"/>
      <c r="T1088" s="74"/>
      <c r="U1088" s="74"/>
      <c r="V1088" s="74"/>
      <c r="W1088" s="74"/>
    </row>
    <row r="1089">
      <c r="A1089" s="74"/>
      <c r="B1089" s="74"/>
      <c r="C1089" s="74"/>
      <c r="D1089" s="74"/>
      <c r="E1089" s="74"/>
      <c r="F1089" s="74"/>
      <c r="G1089" s="74"/>
      <c r="H1089" s="74"/>
      <c r="I1089" s="74"/>
      <c r="J1089" s="74"/>
      <c r="K1089" s="74"/>
      <c r="L1089" s="74"/>
      <c r="M1089" s="74"/>
      <c r="N1089" s="74"/>
      <c r="O1089" s="74"/>
      <c r="P1089" s="74"/>
      <c r="Q1089" s="74"/>
      <c r="R1089" s="74"/>
      <c r="S1089" s="74"/>
      <c r="T1089" s="74"/>
      <c r="U1089" s="74"/>
      <c r="V1089" s="74"/>
      <c r="W1089" s="74"/>
    </row>
    <row r="1090">
      <c r="A1090" s="74"/>
      <c r="B1090" s="74"/>
      <c r="C1090" s="74"/>
      <c r="D1090" s="74"/>
      <c r="E1090" s="74"/>
      <c r="F1090" s="74"/>
      <c r="G1090" s="74"/>
      <c r="H1090" s="74"/>
      <c r="I1090" s="74"/>
      <c r="J1090" s="74"/>
      <c r="K1090" s="74"/>
      <c r="L1090" s="74"/>
      <c r="M1090" s="74"/>
      <c r="N1090" s="74"/>
      <c r="O1090" s="74"/>
      <c r="P1090" s="74"/>
      <c r="Q1090" s="74"/>
      <c r="R1090" s="74"/>
      <c r="S1090" s="74"/>
      <c r="T1090" s="74"/>
      <c r="U1090" s="74"/>
      <c r="V1090" s="74"/>
      <c r="W1090" s="74"/>
    </row>
    <row r="1091">
      <c r="A1091" s="74"/>
      <c r="B1091" s="74"/>
      <c r="C1091" s="74"/>
      <c r="D1091" s="74"/>
      <c r="E1091" s="74"/>
      <c r="F1091" s="74"/>
      <c r="G1091" s="74"/>
      <c r="H1091" s="74"/>
      <c r="I1091" s="74"/>
      <c r="J1091" s="74"/>
      <c r="K1091" s="74"/>
      <c r="L1091" s="74"/>
      <c r="M1091" s="74"/>
      <c r="N1091" s="74"/>
      <c r="O1091" s="74"/>
      <c r="P1091" s="74"/>
      <c r="Q1091" s="74"/>
      <c r="R1091" s="74"/>
      <c r="S1091" s="74"/>
      <c r="T1091" s="74"/>
      <c r="U1091" s="74"/>
      <c r="V1091" s="74"/>
      <c r="W1091" s="74"/>
    </row>
    <row r="1092">
      <c r="A1092" s="74"/>
      <c r="B1092" s="74"/>
      <c r="C1092" s="74"/>
      <c r="D1092" s="74"/>
      <c r="E1092" s="74"/>
      <c r="F1092" s="74"/>
      <c r="G1092" s="74"/>
      <c r="H1092" s="74"/>
      <c r="I1092" s="74"/>
      <c r="J1092" s="74"/>
      <c r="K1092" s="74"/>
      <c r="L1092" s="74"/>
      <c r="M1092" s="74"/>
      <c r="N1092" s="74"/>
      <c r="O1092" s="74"/>
      <c r="P1092" s="74"/>
      <c r="Q1092" s="74"/>
      <c r="R1092" s="74"/>
      <c r="S1092" s="74"/>
      <c r="T1092" s="74"/>
      <c r="U1092" s="74"/>
      <c r="V1092" s="74"/>
      <c r="W1092" s="74"/>
    </row>
    <row r="1093">
      <c r="A1093" s="74"/>
      <c r="B1093" s="74"/>
      <c r="C1093" s="74"/>
      <c r="D1093" s="74"/>
      <c r="E1093" s="74"/>
      <c r="F1093" s="74"/>
      <c r="G1093" s="74"/>
      <c r="H1093" s="74"/>
      <c r="I1093" s="74"/>
      <c r="J1093" s="74"/>
      <c r="K1093" s="74"/>
      <c r="L1093" s="74"/>
      <c r="M1093" s="74"/>
      <c r="N1093" s="74"/>
      <c r="O1093" s="74"/>
      <c r="P1093" s="74"/>
      <c r="Q1093" s="74"/>
      <c r="R1093" s="74"/>
      <c r="S1093" s="74"/>
      <c r="T1093" s="74"/>
      <c r="U1093" s="74"/>
      <c r="V1093" s="74"/>
      <c r="W1093" s="74"/>
    </row>
    <row r="1094">
      <c r="A1094" s="74"/>
      <c r="B1094" s="74"/>
      <c r="C1094" s="74"/>
      <c r="D1094" s="74"/>
      <c r="E1094" s="74"/>
      <c r="F1094" s="74"/>
      <c r="G1094" s="74"/>
      <c r="H1094" s="74"/>
      <c r="I1094" s="74"/>
      <c r="J1094" s="74"/>
      <c r="K1094" s="74"/>
      <c r="L1094" s="74"/>
      <c r="M1094" s="74"/>
      <c r="N1094" s="74"/>
      <c r="O1094" s="74"/>
      <c r="P1094" s="74"/>
      <c r="Q1094" s="74"/>
      <c r="R1094" s="74"/>
      <c r="S1094" s="74"/>
      <c r="T1094" s="74"/>
      <c r="U1094" s="74"/>
      <c r="V1094" s="74"/>
      <c r="W1094" s="74"/>
    </row>
    <row r="1095">
      <c r="A1095" s="74"/>
      <c r="B1095" s="74"/>
      <c r="C1095" s="74"/>
      <c r="D1095" s="74"/>
      <c r="E1095" s="74"/>
      <c r="F1095" s="74"/>
      <c r="G1095" s="74"/>
      <c r="H1095" s="74"/>
      <c r="I1095" s="74"/>
      <c r="J1095" s="74"/>
      <c r="K1095" s="74"/>
      <c r="L1095" s="74"/>
      <c r="M1095" s="74"/>
      <c r="N1095" s="74"/>
      <c r="O1095" s="74"/>
      <c r="P1095" s="74"/>
      <c r="Q1095" s="74"/>
      <c r="R1095" s="74"/>
      <c r="S1095" s="74"/>
      <c r="T1095" s="74"/>
      <c r="U1095" s="74"/>
      <c r="V1095" s="74"/>
      <c r="W1095" s="74"/>
    </row>
    <row r="1096">
      <c r="A1096" s="74"/>
      <c r="B1096" s="74"/>
      <c r="C1096" s="74"/>
      <c r="D1096" s="74"/>
      <c r="E1096" s="74"/>
      <c r="F1096" s="74"/>
      <c r="G1096" s="74"/>
      <c r="H1096" s="74"/>
      <c r="I1096" s="74"/>
      <c r="J1096" s="74"/>
      <c r="K1096" s="74"/>
      <c r="L1096" s="74"/>
      <c r="M1096" s="74"/>
      <c r="N1096" s="74"/>
      <c r="O1096" s="74"/>
      <c r="P1096" s="74"/>
      <c r="Q1096" s="74"/>
      <c r="R1096" s="74"/>
      <c r="S1096" s="74"/>
      <c r="T1096" s="74"/>
      <c r="U1096" s="74"/>
      <c r="V1096" s="74"/>
      <c r="W1096" s="74"/>
    </row>
    <row r="1097">
      <c r="A1097" s="74"/>
      <c r="B1097" s="74"/>
      <c r="C1097" s="74"/>
      <c r="D1097" s="74"/>
      <c r="E1097" s="74"/>
      <c r="F1097" s="74"/>
      <c r="G1097" s="74"/>
      <c r="H1097" s="74"/>
      <c r="I1097" s="74"/>
      <c r="J1097" s="74"/>
      <c r="K1097" s="74"/>
      <c r="L1097" s="74"/>
      <c r="M1097" s="74"/>
      <c r="N1097" s="74"/>
      <c r="O1097" s="74"/>
      <c r="P1097" s="74"/>
      <c r="Q1097" s="74"/>
      <c r="R1097" s="74"/>
      <c r="S1097" s="74"/>
      <c r="T1097" s="74"/>
      <c r="U1097" s="74"/>
      <c r="V1097" s="74"/>
      <c r="W1097" s="74"/>
    </row>
    <row r="1098">
      <c r="A1098" s="74"/>
      <c r="B1098" s="74"/>
      <c r="C1098" s="74"/>
      <c r="D1098" s="74"/>
      <c r="E1098" s="74"/>
      <c r="F1098" s="74"/>
      <c r="G1098" s="74"/>
      <c r="H1098" s="74"/>
      <c r="I1098" s="74"/>
      <c r="J1098" s="74"/>
      <c r="K1098" s="74"/>
      <c r="L1098" s="74"/>
      <c r="M1098" s="74"/>
      <c r="N1098" s="74"/>
      <c r="O1098" s="74"/>
      <c r="P1098" s="74"/>
      <c r="Q1098" s="74"/>
      <c r="R1098" s="74"/>
      <c r="S1098" s="74"/>
      <c r="T1098" s="74"/>
      <c r="U1098" s="74"/>
      <c r="V1098" s="74"/>
      <c r="W1098" s="74"/>
    </row>
    <row r="1099">
      <c r="A1099" s="74"/>
      <c r="B1099" s="74"/>
      <c r="C1099" s="74"/>
      <c r="D1099" s="74"/>
      <c r="E1099" s="74"/>
      <c r="F1099" s="74"/>
      <c r="G1099" s="74"/>
      <c r="H1099" s="74"/>
      <c r="I1099" s="74"/>
      <c r="J1099" s="74"/>
      <c r="K1099" s="74"/>
      <c r="L1099" s="74"/>
      <c r="M1099" s="74"/>
      <c r="N1099" s="74"/>
      <c r="O1099" s="74"/>
      <c r="P1099" s="74"/>
      <c r="Q1099" s="74"/>
      <c r="R1099" s="74"/>
      <c r="S1099" s="74"/>
      <c r="T1099" s="74"/>
      <c r="U1099" s="74"/>
      <c r="V1099" s="74"/>
      <c r="W1099" s="74"/>
    </row>
    <row r="1100">
      <c r="A1100" s="74"/>
      <c r="B1100" s="74"/>
      <c r="C1100" s="74"/>
      <c r="D1100" s="74"/>
      <c r="E1100" s="74"/>
      <c r="F1100" s="74"/>
      <c r="G1100" s="74"/>
      <c r="H1100" s="74"/>
      <c r="I1100" s="74"/>
      <c r="J1100" s="74"/>
      <c r="K1100" s="74"/>
      <c r="L1100" s="74"/>
      <c r="M1100" s="74"/>
      <c r="N1100" s="74"/>
      <c r="O1100" s="74"/>
      <c r="P1100" s="74"/>
      <c r="Q1100" s="74"/>
      <c r="R1100" s="74"/>
      <c r="S1100" s="74"/>
      <c r="T1100" s="74"/>
      <c r="U1100" s="74"/>
      <c r="V1100" s="74"/>
      <c r="W1100" s="74"/>
    </row>
    <row r="1101">
      <c r="A1101" s="74"/>
      <c r="B1101" s="74"/>
      <c r="C1101" s="74"/>
      <c r="D1101" s="74"/>
      <c r="E1101" s="74"/>
      <c r="F1101" s="74"/>
      <c r="G1101" s="74"/>
      <c r="H1101" s="74"/>
      <c r="I1101" s="74"/>
      <c r="J1101" s="74"/>
      <c r="K1101" s="74"/>
      <c r="L1101" s="74"/>
      <c r="M1101" s="74"/>
      <c r="N1101" s="74"/>
      <c r="O1101" s="74"/>
      <c r="P1101" s="74"/>
      <c r="Q1101" s="74"/>
      <c r="R1101" s="74"/>
      <c r="S1101" s="74"/>
      <c r="T1101" s="74"/>
      <c r="U1101" s="74"/>
      <c r="V1101" s="74"/>
      <c r="W1101" s="74"/>
    </row>
    <row r="1102">
      <c r="A1102" s="74"/>
      <c r="B1102" s="74"/>
      <c r="C1102" s="74"/>
      <c r="D1102" s="74"/>
      <c r="E1102" s="74"/>
      <c r="F1102" s="74"/>
      <c r="G1102" s="74"/>
      <c r="H1102" s="74"/>
      <c r="I1102" s="74"/>
      <c r="J1102" s="74"/>
      <c r="K1102" s="74"/>
      <c r="L1102" s="74"/>
      <c r="M1102" s="74"/>
      <c r="N1102" s="74"/>
      <c r="O1102" s="74"/>
      <c r="P1102" s="74"/>
      <c r="Q1102" s="74"/>
      <c r="R1102" s="74"/>
      <c r="S1102" s="74"/>
      <c r="T1102" s="74"/>
      <c r="U1102" s="74"/>
      <c r="V1102" s="74"/>
      <c r="W1102" s="74"/>
    </row>
    <row r="1103">
      <c r="A1103" s="74"/>
      <c r="B1103" s="74"/>
      <c r="C1103" s="74"/>
      <c r="D1103" s="74"/>
      <c r="E1103" s="74"/>
      <c r="F1103" s="74"/>
      <c r="G1103" s="74"/>
      <c r="H1103" s="74"/>
      <c r="I1103" s="74"/>
      <c r="J1103" s="74"/>
      <c r="K1103" s="74"/>
      <c r="L1103" s="74"/>
      <c r="M1103" s="74"/>
      <c r="N1103" s="74"/>
      <c r="O1103" s="74"/>
      <c r="P1103" s="74"/>
      <c r="Q1103" s="74"/>
      <c r="R1103" s="74"/>
      <c r="S1103" s="74"/>
      <c r="T1103" s="74"/>
      <c r="U1103" s="74"/>
      <c r="V1103" s="74"/>
      <c r="W1103" s="74"/>
    </row>
    <row r="1104">
      <c r="A1104" s="74"/>
      <c r="B1104" s="74"/>
      <c r="C1104" s="74"/>
      <c r="D1104" s="74"/>
      <c r="E1104" s="74"/>
      <c r="F1104" s="74"/>
      <c r="G1104" s="74"/>
      <c r="H1104" s="74"/>
      <c r="I1104" s="74"/>
      <c r="J1104" s="74"/>
      <c r="K1104" s="74"/>
      <c r="L1104" s="74"/>
      <c r="M1104" s="74"/>
      <c r="N1104" s="74"/>
      <c r="O1104" s="74"/>
      <c r="P1104" s="74"/>
      <c r="Q1104" s="74"/>
      <c r="R1104" s="74"/>
      <c r="S1104" s="74"/>
      <c r="T1104" s="74"/>
      <c r="U1104" s="74"/>
      <c r="V1104" s="74"/>
      <c r="W1104" s="74"/>
    </row>
    <row r="1105">
      <c r="A1105" s="74"/>
      <c r="B1105" s="74"/>
      <c r="C1105" s="74"/>
      <c r="D1105" s="74"/>
      <c r="E1105" s="74"/>
      <c r="F1105" s="74"/>
      <c r="G1105" s="74"/>
      <c r="H1105" s="74"/>
      <c r="I1105" s="74"/>
      <c r="J1105" s="74"/>
      <c r="K1105" s="74"/>
      <c r="L1105" s="74"/>
      <c r="M1105" s="74"/>
      <c r="N1105" s="74"/>
      <c r="O1105" s="74"/>
      <c r="P1105" s="74"/>
      <c r="Q1105" s="74"/>
      <c r="R1105" s="74"/>
      <c r="S1105" s="74"/>
      <c r="T1105" s="74"/>
      <c r="U1105" s="74"/>
      <c r="V1105" s="74"/>
      <c r="W1105" s="74"/>
    </row>
    <row r="1106">
      <c r="A1106" s="74"/>
      <c r="B1106" s="74"/>
      <c r="C1106" s="74"/>
      <c r="D1106" s="74"/>
      <c r="E1106" s="74"/>
      <c r="F1106" s="74"/>
      <c r="G1106" s="74"/>
      <c r="H1106" s="74"/>
      <c r="I1106" s="74"/>
      <c r="J1106" s="74"/>
      <c r="K1106" s="74"/>
      <c r="L1106" s="74"/>
      <c r="M1106" s="74"/>
      <c r="N1106" s="74"/>
      <c r="O1106" s="74"/>
      <c r="P1106" s="74"/>
      <c r="Q1106" s="74"/>
      <c r="R1106" s="74"/>
      <c r="S1106" s="74"/>
      <c r="T1106" s="74"/>
      <c r="U1106" s="74"/>
      <c r="V1106" s="74"/>
      <c r="W1106" s="74"/>
    </row>
    <row r="1107">
      <c r="A1107" s="74"/>
      <c r="B1107" s="74"/>
      <c r="C1107" s="74"/>
      <c r="D1107" s="74"/>
      <c r="E1107" s="74"/>
      <c r="F1107" s="74"/>
      <c r="G1107" s="74"/>
      <c r="H1107" s="74"/>
      <c r="I1107" s="74"/>
      <c r="J1107" s="74"/>
      <c r="K1107" s="74"/>
      <c r="L1107" s="74"/>
      <c r="M1107" s="74"/>
      <c r="N1107" s="74"/>
      <c r="O1107" s="74"/>
      <c r="P1107" s="74"/>
      <c r="Q1107" s="74"/>
      <c r="R1107" s="74"/>
      <c r="S1107" s="74"/>
      <c r="T1107" s="74"/>
      <c r="U1107" s="74"/>
      <c r="V1107" s="74"/>
      <c r="W1107" s="74"/>
    </row>
    <row r="1108">
      <c r="A1108" s="74"/>
      <c r="B1108" s="74"/>
      <c r="C1108" s="74"/>
      <c r="D1108" s="74"/>
      <c r="E1108" s="74"/>
      <c r="F1108" s="74"/>
      <c r="G1108" s="74"/>
      <c r="H1108" s="74"/>
      <c r="I1108" s="74"/>
      <c r="J1108" s="74"/>
      <c r="K1108" s="74"/>
      <c r="L1108" s="74"/>
      <c r="M1108" s="74"/>
      <c r="N1108" s="74"/>
      <c r="O1108" s="74"/>
      <c r="P1108" s="74"/>
      <c r="Q1108" s="74"/>
      <c r="R1108" s="74"/>
      <c r="S1108" s="74"/>
      <c r="T1108" s="74"/>
      <c r="U1108" s="74"/>
      <c r="V1108" s="74"/>
      <c r="W1108" s="74"/>
    </row>
    <row r="1109">
      <c r="A1109" s="74"/>
      <c r="B1109" s="74"/>
      <c r="C1109" s="74"/>
      <c r="D1109" s="74"/>
      <c r="E1109" s="74"/>
      <c r="F1109" s="74"/>
      <c r="G1109" s="74"/>
      <c r="H1109" s="74"/>
      <c r="I1109" s="74"/>
      <c r="J1109" s="74"/>
      <c r="K1109" s="74"/>
      <c r="L1109" s="74"/>
      <c r="M1109" s="74"/>
      <c r="N1109" s="74"/>
      <c r="O1109" s="74"/>
      <c r="P1109" s="74"/>
      <c r="Q1109" s="74"/>
      <c r="R1109" s="74"/>
      <c r="S1109" s="74"/>
      <c r="T1109" s="74"/>
      <c r="U1109" s="74"/>
      <c r="V1109" s="74"/>
      <c r="W1109" s="74"/>
    </row>
    <row r="1110">
      <c r="A1110" s="74"/>
      <c r="B1110" s="74"/>
      <c r="C1110" s="74"/>
      <c r="D1110" s="74"/>
      <c r="E1110" s="74"/>
      <c r="F1110" s="74"/>
      <c r="G1110" s="74"/>
      <c r="H1110" s="74"/>
      <c r="I1110" s="74"/>
      <c r="J1110" s="74"/>
      <c r="K1110" s="74"/>
      <c r="L1110" s="74"/>
      <c r="M1110" s="74"/>
      <c r="N1110" s="74"/>
      <c r="O1110" s="74"/>
      <c r="P1110" s="74"/>
      <c r="Q1110" s="74"/>
      <c r="R1110" s="74"/>
      <c r="S1110" s="74"/>
      <c r="T1110" s="74"/>
      <c r="U1110" s="74"/>
      <c r="V1110" s="74"/>
      <c r="W1110" s="74"/>
    </row>
    <row r="1111">
      <c r="A1111" s="74"/>
      <c r="B1111" s="74"/>
      <c r="C1111" s="74"/>
      <c r="D1111" s="74"/>
      <c r="E1111" s="74"/>
      <c r="F1111" s="74"/>
      <c r="G1111" s="74"/>
      <c r="H1111" s="74"/>
      <c r="I1111" s="74"/>
      <c r="J1111" s="74"/>
      <c r="K1111" s="74"/>
      <c r="L1111" s="74"/>
      <c r="M1111" s="74"/>
      <c r="N1111" s="74"/>
      <c r="O1111" s="74"/>
      <c r="P1111" s="74"/>
      <c r="Q1111" s="74"/>
      <c r="R1111" s="74"/>
      <c r="S1111" s="74"/>
      <c r="T1111" s="74"/>
      <c r="U1111" s="74"/>
      <c r="V1111" s="74"/>
      <c r="W1111" s="74"/>
    </row>
    <row r="1112">
      <c r="A1112" s="74"/>
      <c r="B1112" s="74"/>
      <c r="C1112" s="74"/>
      <c r="D1112" s="74"/>
      <c r="E1112" s="74"/>
      <c r="F1112" s="74"/>
      <c r="G1112" s="74"/>
      <c r="H1112" s="74"/>
      <c r="I1112" s="74"/>
      <c r="J1112" s="74"/>
      <c r="K1112" s="74"/>
      <c r="L1112" s="74"/>
      <c r="M1112" s="74"/>
      <c r="N1112" s="74"/>
      <c r="O1112" s="74"/>
      <c r="P1112" s="74"/>
      <c r="Q1112" s="74"/>
      <c r="R1112" s="74"/>
      <c r="S1112" s="74"/>
      <c r="T1112" s="74"/>
      <c r="U1112" s="74"/>
      <c r="V1112" s="74"/>
      <c r="W1112" s="74"/>
    </row>
    <row r="1113">
      <c r="A1113" s="74"/>
      <c r="B1113" s="74"/>
      <c r="C1113" s="74"/>
      <c r="D1113" s="74"/>
      <c r="E1113" s="74"/>
      <c r="F1113" s="74"/>
      <c r="G1113" s="74"/>
      <c r="H1113" s="74"/>
      <c r="I1113" s="74"/>
      <c r="J1113" s="74"/>
      <c r="K1113" s="74"/>
      <c r="L1113" s="74"/>
      <c r="M1113" s="74"/>
      <c r="N1113" s="74"/>
      <c r="O1113" s="74"/>
      <c r="P1113" s="74"/>
      <c r="Q1113" s="74"/>
      <c r="R1113" s="74"/>
      <c r="S1113" s="74"/>
      <c r="T1113" s="74"/>
      <c r="U1113" s="74"/>
      <c r="V1113" s="74"/>
      <c r="W1113" s="74"/>
    </row>
    <row r="1114">
      <c r="A1114" s="74"/>
      <c r="B1114" s="74"/>
      <c r="C1114" s="74"/>
      <c r="D1114" s="74"/>
      <c r="E1114" s="74"/>
      <c r="F1114" s="74"/>
      <c r="G1114" s="74"/>
      <c r="H1114" s="74"/>
      <c r="I1114" s="74"/>
      <c r="J1114" s="74"/>
      <c r="K1114" s="74"/>
      <c r="L1114" s="74"/>
      <c r="M1114" s="74"/>
      <c r="N1114" s="74"/>
      <c r="O1114" s="74"/>
      <c r="P1114" s="74"/>
      <c r="Q1114" s="74"/>
      <c r="R1114" s="74"/>
      <c r="S1114" s="74"/>
      <c r="T1114" s="74"/>
      <c r="U1114" s="74"/>
      <c r="V1114" s="74"/>
      <c r="W1114" s="74"/>
    </row>
    <row r="1115">
      <c r="A1115" s="74"/>
      <c r="B1115" s="74"/>
      <c r="C1115" s="74"/>
      <c r="D1115" s="74"/>
      <c r="E1115" s="74"/>
      <c r="F1115" s="74"/>
      <c r="G1115" s="74"/>
      <c r="H1115" s="74"/>
      <c r="I1115" s="74"/>
      <c r="J1115" s="74"/>
      <c r="K1115" s="74"/>
      <c r="L1115" s="74"/>
      <c r="M1115" s="74"/>
      <c r="N1115" s="74"/>
      <c r="O1115" s="74"/>
      <c r="P1115" s="74"/>
      <c r="Q1115" s="74"/>
      <c r="R1115" s="74"/>
      <c r="S1115" s="74"/>
      <c r="T1115" s="74"/>
      <c r="U1115" s="74"/>
      <c r="V1115" s="74"/>
      <c r="W1115" s="74"/>
    </row>
    <row r="1116">
      <c r="A1116" s="74"/>
      <c r="B1116" s="74"/>
      <c r="C1116" s="74"/>
      <c r="D1116" s="74"/>
      <c r="E1116" s="74"/>
      <c r="F1116" s="74"/>
      <c r="G1116" s="74"/>
      <c r="H1116" s="74"/>
      <c r="I1116" s="74"/>
      <c r="J1116" s="74"/>
      <c r="K1116" s="74"/>
      <c r="L1116" s="74"/>
      <c r="M1116" s="74"/>
      <c r="N1116" s="74"/>
      <c r="O1116" s="74"/>
      <c r="P1116" s="74"/>
      <c r="Q1116" s="74"/>
      <c r="R1116" s="74"/>
      <c r="S1116" s="74"/>
      <c r="T1116" s="74"/>
      <c r="U1116" s="74"/>
      <c r="V1116" s="74"/>
      <c r="W1116" s="74"/>
    </row>
    <row r="1117">
      <c r="A1117" s="74"/>
      <c r="B1117" s="74"/>
      <c r="C1117" s="74"/>
      <c r="D1117" s="74"/>
      <c r="E1117" s="74"/>
      <c r="F1117" s="74"/>
      <c r="G1117" s="74"/>
      <c r="H1117" s="74"/>
      <c r="I1117" s="74"/>
      <c r="J1117" s="74"/>
      <c r="K1117" s="74"/>
      <c r="L1117" s="74"/>
      <c r="M1117" s="74"/>
      <c r="N1117" s="74"/>
      <c r="O1117" s="74"/>
      <c r="P1117" s="74"/>
      <c r="Q1117" s="74"/>
      <c r="R1117" s="74"/>
      <c r="S1117" s="74"/>
      <c r="T1117" s="74"/>
      <c r="U1117" s="74"/>
      <c r="V1117" s="74"/>
      <c r="W1117" s="74"/>
    </row>
    <row r="1118">
      <c r="A1118" s="74"/>
      <c r="B1118" s="74"/>
      <c r="C1118" s="74"/>
      <c r="D1118" s="74"/>
      <c r="E1118" s="74"/>
      <c r="F1118" s="74"/>
      <c r="G1118" s="74"/>
      <c r="H1118" s="74"/>
      <c r="I1118" s="74"/>
      <c r="J1118" s="74"/>
      <c r="K1118" s="74"/>
      <c r="L1118" s="74"/>
      <c r="M1118" s="74"/>
      <c r="N1118" s="74"/>
      <c r="O1118" s="74"/>
      <c r="P1118" s="74"/>
      <c r="Q1118" s="74"/>
      <c r="R1118" s="74"/>
      <c r="S1118" s="74"/>
      <c r="T1118" s="74"/>
      <c r="U1118" s="74"/>
      <c r="V1118" s="74"/>
      <c r="W1118" s="74"/>
    </row>
    <row r="1119">
      <c r="A1119" s="74"/>
      <c r="B1119" s="74"/>
      <c r="C1119" s="74"/>
      <c r="D1119" s="74"/>
      <c r="E1119" s="74"/>
      <c r="F1119" s="74"/>
      <c r="G1119" s="74"/>
      <c r="H1119" s="74"/>
      <c r="I1119" s="74"/>
      <c r="J1119" s="74"/>
      <c r="K1119" s="74"/>
      <c r="L1119" s="74"/>
      <c r="M1119" s="74"/>
      <c r="N1119" s="74"/>
      <c r="O1119" s="74"/>
      <c r="P1119" s="74"/>
      <c r="Q1119" s="74"/>
      <c r="R1119" s="74"/>
      <c r="S1119" s="74"/>
      <c r="T1119" s="74"/>
      <c r="U1119" s="74"/>
      <c r="V1119" s="74"/>
      <c r="W1119" s="74"/>
    </row>
    <row r="1120">
      <c r="A1120" s="74"/>
      <c r="B1120" s="74"/>
      <c r="C1120" s="74"/>
      <c r="D1120" s="74"/>
      <c r="E1120" s="74"/>
      <c r="F1120" s="74"/>
      <c r="G1120" s="74"/>
      <c r="H1120" s="74"/>
      <c r="I1120" s="74"/>
      <c r="J1120" s="74"/>
      <c r="K1120" s="74"/>
      <c r="L1120" s="74"/>
      <c r="M1120" s="74"/>
      <c r="N1120" s="74"/>
      <c r="O1120" s="74"/>
      <c r="P1120" s="74"/>
      <c r="Q1120" s="74"/>
      <c r="R1120" s="74"/>
      <c r="S1120" s="74"/>
      <c r="T1120" s="74"/>
      <c r="U1120" s="74"/>
      <c r="V1120" s="74"/>
      <c r="W1120" s="74"/>
    </row>
    <row r="1121">
      <c r="A1121" s="74"/>
      <c r="B1121" s="74"/>
      <c r="C1121" s="74"/>
      <c r="D1121" s="74"/>
      <c r="E1121" s="74"/>
      <c r="F1121" s="74"/>
      <c r="G1121" s="74"/>
      <c r="H1121" s="74"/>
      <c r="I1121" s="74"/>
      <c r="J1121" s="74"/>
      <c r="K1121" s="74"/>
      <c r="L1121" s="74"/>
      <c r="M1121" s="74"/>
      <c r="N1121" s="74"/>
      <c r="O1121" s="74"/>
      <c r="P1121" s="74"/>
      <c r="Q1121" s="74"/>
      <c r="R1121" s="74"/>
      <c r="S1121" s="74"/>
      <c r="T1121" s="74"/>
      <c r="U1121" s="74"/>
      <c r="V1121" s="74"/>
      <c r="W1121" s="74"/>
    </row>
    <row r="1122">
      <c r="A1122" s="74"/>
      <c r="B1122" s="74"/>
      <c r="C1122" s="74"/>
      <c r="D1122" s="74"/>
      <c r="E1122" s="74"/>
      <c r="F1122" s="74"/>
      <c r="G1122" s="74"/>
      <c r="H1122" s="74"/>
      <c r="I1122" s="74"/>
      <c r="J1122" s="74"/>
      <c r="K1122" s="74"/>
      <c r="L1122" s="74"/>
      <c r="M1122" s="74"/>
      <c r="N1122" s="74"/>
      <c r="O1122" s="74"/>
      <c r="P1122" s="74"/>
      <c r="Q1122" s="74"/>
      <c r="R1122" s="74"/>
      <c r="S1122" s="74"/>
      <c r="T1122" s="74"/>
      <c r="U1122" s="74"/>
      <c r="V1122" s="74"/>
      <c r="W1122" s="74"/>
    </row>
    <row r="1123">
      <c r="A1123" s="74"/>
      <c r="B1123" s="74"/>
      <c r="C1123" s="74"/>
      <c r="D1123" s="74"/>
      <c r="E1123" s="74"/>
      <c r="F1123" s="74"/>
      <c r="G1123" s="74"/>
      <c r="H1123" s="74"/>
      <c r="I1123" s="74"/>
      <c r="J1123" s="74"/>
      <c r="K1123" s="74"/>
      <c r="L1123" s="74"/>
      <c r="M1123" s="74"/>
      <c r="N1123" s="74"/>
      <c r="O1123" s="74"/>
      <c r="P1123" s="74"/>
      <c r="Q1123" s="74"/>
      <c r="R1123" s="74"/>
      <c r="S1123" s="74"/>
      <c r="T1123" s="74"/>
      <c r="U1123" s="74"/>
      <c r="V1123" s="74"/>
      <c r="W1123" s="74"/>
    </row>
    <row r="1124">
      <c r="A1124" s="74"/>
      <c r="B1124" s="74"/>
      <c r="C1124" s="74"/>
      <c r="D1124" s="74"/>
      <c r="E1124" s="74"/>
      <c r="F1124" s="74"/>
      <c r="G1124" s="74"/>
      <c r="H1124" s="74"/>
      <c r="I1124" s="74"/>
      <c r="J1124" s="74"/>
      <c r="K1124" s="74"/>
      <c r="L1124" s="74"/>
      <c r="M1124" s="74"/>
      <c r="N1124" s="74"/>
      <c r="O1124" s="74"/>
      <c r="P1124" s="74"/>
      <c r="Q1124" s="74"/>
      <c r="R1124" s="74"/>
      <c r="S1124" s="74"/>
      <c r="T1124" s="74"/>
      <c r="U1124" s="74"/>
      <c r="V1124" s="74"/>
      <c r="W1124" s="74"/>
    </row>
    <row r="1125">
      <c r="A1125" s="74"/>
      <c r="B1125" s="74"/>
      <c r="C1125" s="74"/>
      <c r="D1125" s="74"/>
      <c r="E1125" s="74"/>
      <c r="F1125" s="74"/>
      <c r="G1125" s="74"/>
      <c r="H1125" s="74"/>
      <c r="I1125" s="74"/>
      <c r="J1125" s="74"/>
      <c r="K1125" s="74"/>
      <c r="L1125" s="74"/>
      <c r="M1125" s="74"/>
      <c r="N1125" s="74"/>
      <c r="O1125" s="74"/>
      <c r="P1125" s="74"/>
      <c r="Q1125" s="74"/>
      <c r="R1125" s="74"/>
      <c r="S1125" s="74"/>
      <c r="T1125" s="74"/>
      <c r="U1125" s="74"/>
      <c r="V1125" s="74"/>
      <c r="W1125" s="74"/>
    </row>
    <row r="1126">
      <c r="A1126" s="74"/>
      <c r="B1126" s="74"/>
      <c r="C1126" s="74"/>
      <c r="D1126" s="74"/>
      <c r="E1126" s="74"/>
      <c r="F1126" s="74"/>
      <c r="G1126" s="74"/>
      <c r="H1126" s="74"/>
      <c r="I1126" s="74"/>
      <c r="J1126" s="74"/>
      <c r="K1126" s="74"/>
      <c r="L1126" s="74"/>
      <c r="M1126" s="74"/>
      <c r="N1126" s="74"/>
      <c r="O1126" s="74"/>
      <c r="P1126" s="74"/>
      <c r="Q1126" s="74"/>
      <c r="R1126" s="74"/>
      <c r="S1126" s="74"/>
      <c r="T1126" s="74"/>
      <c r="U1126" s="74"/>
      <c r="V1126" s="74"/>
      <c r="W1126" s="74"/>
    </row>
    <row r="1127">
      <c r="A1127" s="74"/>
      <c r="B1127" s="74"/>
      <c r="C1127" s="74"/>
      <c r="D1127" s="74"/>
      <c r="E1127" s="74"/>
      <c r="F1127" s="74"/>
      <c r="G1127" s="74"/>
      <c r="H1127" s="74"/>
      <c r="I1127" s="74"/>
      <c r="J1127" s="74"/>
      <c r="K1127" s="74"/>
      <c r="L1127" s="74"/>
      <c r="M1127" s="74"/>
      <c r="N1127" s="74"/>
      <c r="O1127" s="74"/>
      <c r="P1127" s="74"/>
      <c r="Q1127" s="74"/>
      <c r="R1127" s="74"/>
      <c r="S1127" s="74"/>
      <c r="T1127" s="74"/>
      <c r="U1127" s="74"/>
      <c r="V1127" s="74"/>
      <c r="W1127" s="74"/>
    </row>
    <row r="1128">
      <c r="A1128" s="74"/>
      <c r="B1128" s="74"/>
      <c r="C1128" s="74"/>
      <c r="D1128" s="74"/>
      <c r="E1128" s="74"/>
      <c r="F1128" s="74"/>
      <c r="G1128" s="74"/>
      <c r="H1128" s="74"/>
      <c r="I1128" s="74"/>
      <c r="J1128" s="74"/>
      <c r="K1128" s="74"/>
      <c r="L1128" s="74"/>
      <c r="M1128" s="74"/>
      <c r="N1128" s="74"/>
      <c r="O1128" s="74"/>
      <c r="P1128" s="74"/>
      <c r="Q1128" s="74"/>
      <c r="R1128" s="74"/>
      <c r="S1128" s="74"/>
      <c r="T1128" s="74"/>
      <c r="U1128" s="74"/>
      <c r="V1128" s="74"/>
      <c r="W1128" s="74"/>
    </row>
    <row r="1129">
      <c r="A1129" s="74"/>
      <c r="B1129" s="74"/>
      <c r="C1129" s="74"/>
      <c r="D1129" s="74"/>
      <c r="E1129" s="74"/>
      <c r="F1129" s="74"/>
      <c r="G1129" s="74"/>
      <c r="H1129" s="74"/>
      <c r="I1129" s="74"/>
      <c r="J1129" s="74"/>
      <c r="K1129" s="74"/>
      <c r="L1129" s="74"/>
      <c r="M1129" s="74"/>
      <c r="N1129" s="74"/>
      <c r="O1129" s="74"/>
      <c r="P1129" s="74"/>
      <c r="Q1129" s="74"/>
      <c r="R1129" s="74"/>
      <c r="S1129" s="74"/>
      <c r="T1129" s="74"/>
      <c r="U1129" s="74"/>
      <c r="V1129" s="74"/>
      <c r="W1129" s="74"/>
    </row>
    <row r="1130">
      <c r="A1130" s="74"/>
      <c r="B1130" s="74"/>
      <c r="C1130" s="74"/>
      <c r="D1130" s="74"/>
      <c r="E1130" s="74"/>
      <c r="F1130" s="74"/>
      <c r="G1130" s="74"/>
      <c r="H1130" s="74"/>
      <c r="I1130" s="74"/>
      <c r="J1130" s="74"/>
      <c r="K1130" s="74"/>
      <c r="L1130" s="74"/>
      <c r="M1130" s="74"/>
      <c r="N1130" s="74"/>
      <c r="O1130" s="74"/>
      <c r="P1130" s="74"/>
      <c r="Q1130" s="74"/>
      <c r="R1130" s="74"/>
      <c r="S1130" s="74"/>
      <c r="T1130" s="74"/>
      <c r="U1130" s="74"/>
      <c r="V1130" s="74"/>
      <c r="W1130" s="74"/>
    </row>
    <row r="1131">
      <c r="A1131" s="74"/>
      <c r="B1131" s="74"/>
      <c r="C1131" s="74"/>
      <c r="D1131" s="74"/>
      <c r="E1131" s="74"/>
      <c r="F1131" s="74"/>
      <c r="G1131" s="74"/>
      <c r="H1131" s="74"/>
      <c r="I1131" s="74"/>
      <c r="J1131" s="74"/>
      <c r="K1131" s="74"/>
      <c r="L1131" s="74"/>
      <c r="M1131" s="74"/>
      <c r="N1131" s="74"/>
      <c r="O1131" s="74"/>
      <c r="P1131" s="74"/>
      <c r="Q1131" s="74"/>
      <c r="R1131" s="74"/>
      <c r="S1131" s="74"/>
      <c r="T1131" s="74"/>
      <c r="U1131" s="74"/>
      <c r="V1131" s="74"/>
      <c r="W1131" s="74"/>
    </row>
    <row r="1132">
      <c r="A1132" s="74"/>
      <c r="B1132" s="74"/>
      <c r="C1132" s="74"/>
      <c r="D1132" s="74"/>
      <c r="E1132" s="74"/>
      <c r="F1132" s="74"/>
      <c r="G1132" s="74"/>
      <c r="H1132" s="74"/>
      <c r="I1132" s="74"/>
      <c r="J1132" s="74"/>
      <c r="K1132" s="74"/>
      <c r="L1132" s="74"/>
      <c r="M1132" s="74"/>
      <c r="N1132" s="74"/>
      <c r="O1132" s="74"/>
      <c r="P1132" s="74"/>
      <c r="Q1132" s="74"/>
      <c r="R1132" s="74"/>
      <c r="S1132" s="74"/>
      <c r="T1132" s="74"/>
      <c r="U1132" s="74"/>
      <c r="V1132" s="74"/>
      <c r="W1132" s="74"/>
    </row>
    <row r="1133">
      <c r="A1133" s="74"/>
      <c r="B1133" s="74"/>
      <c r="C1133" s="74"/>
      <c r="D1133" s="74"/>
      <c r="E1133" s="74"/>
      <c r="F1133" s="74"/>
      <c r="G1133" s="74"/>
      <c r="H1133" s="74"/>
      <c r="I1133" s="74"/>
      <c r="J1133" s="74"/>
      <c r="K1133" s="74"/>
      <c r="L1133" s="74"/>
      <c r="M1133" s="74"/>
      <c r="N1133" s="74"/>
      <c r="O1133" s="74"/>
      <c r="P1133" s="74"/>
      <c r="Q1133" s="74"/>
      <c r="R1133" s="74"/>
      <c r="S1133" s="74"/>
      <c r="T1133" s="74"/>
      <c r="U1133" s="74"/>
      <c r="V1133" s="74"/>
      <c r="W1133" s="74"/>
    </row>
    <row r="1134">
      <c r="A1134" s="74"/>
      <c r="B1134" s="74"/>
      <c r="C1134" s="74"/>
      <c r="D1134" s="74"/>
      <c r="E1134" s="74"/>
      <c r="F1134" s="74"/>
      <c r="G1134" s="74"/>
      <c r="H1134" s="74"/>
      <c r="I1134" s="74"/>
      <c r="J1134" s="74"/>
      <c r="K1134" s="74"/>
      <c r="L1134" s="74"/>
      <c r="M1134" s="74"/>
      <c r="N1134" s="74"/>
      <c r="O1134" s="74"/>
      <c r="P1134" s="74"/>
      <c r="Q1134" s="74"/>
      <c r="R1134" s="74"/>
      <c r="S1134" s="74"/>
      <c r="T1134" s="74"/>
      <c r="U1134" s="74"/>
      <c r="V1134" s="74"/>
      <c r="W1134" s="74"/>
    </row>
    <row r="1135">
      <c r="A1135" s="74"/>
      <c r="B1135" s="74"/>
      <c r="C1135" s="74"/>
      <c r="D1135" s="74"/>
      <c r="E1135" s="74"/>
      <c r="F1135" s="74"/>
      <c r="G1135" s="74"/>
      <c r="H1135" s="74"/>
      <c r="I1135" s="74"/>
      <c r="J1135" s="74"/>
      <c r="K1135" s="74"/>
      <c r="L1135" s="74"/>
      <c r="M1135" s="74"/>
      <c r="N1135" s="74"/>
      <c r="O1135" s="74"/>
      <c r="P1135" s="74"/>
      <c r="Q1135" s="74"/>
      <c r="R1135" s="74"/>
      <c r="S1135" s="74"/>
      <c r="T1135" s="74"/>
      <c r="U1135" s="74"/>
      <c r="V1135" s="74"/>
      <c r="W1135" s="74"/>
    </row>
    <row r="1136">
      <c r="A1136" s="74"/>
      <c r="B1136" s="74"/>
      <c r="C1136" s="74"/>
      <c r="D1136" s="74"/>
      <c r="E1136" s="74"/>
      <c r="F1136" s="74"/>
      <c r="G1136" s="74"/>
      <c r="H1136" s="74"/>
      <c r="I1136" s="74"/>
      <c r="J1136" s="74"/>
      <c r="K1136" s="74"/>
      <c r="L1136" s="74"/>
      <c r="M1136" s="74"/>
      <c r="N1136" s="74"/>
      <c r="O1136" s="74"/>
      <c r="P1136" s="74"/>
      <c r="Q1136" s="74"/>
      <c r="R1136" s="74"/>
      <c r="S1136" s="74"/>
      <c r="T1136" s="74"/>
      <c r="U1136" s="74"/>
      <c r="V1136" s="74"/>
      <c r="W1136" s="74"/>
    </row>
    <row r="1137">
      <c r="A1137" s="74"/>
      <c r="B1137" s="74"/>
      <c r="C1137" s="74"/>
      <c r="D1137" s="74"/>
      <c r="E1137" s="74"/>
      <c r="F1137" s="74"/>
      <c r="G1137" s="74"/>
      <c r="H1137" s="74"/>
      <c r="I1137" s="74"/>
      <c r="J1137" s="74"/>
      <c r="K1137" s="74"/>
      <c r="L1137" s="74"/>
      <c r="M1137" s="74"/>
      <c r="N1137" s="74"/>
      <c r="O1137" s="74"/>
      <c r="P1137" s="74"/>
      <c r="Q1137" s="74"/>
      <c r="R1137" s="74"/>
      <c r="S1137" s="74"/>
      <c r="T1137" s="74"/>
      <c r="U1137" s="74"/>
      <c r="V1137" s="74"/>
      <c r="W1137" s="74"/>
    </row>
    <row r="1138">
      <c r="A1138" s="74"/>
      <c r="B1138" s="74"/>
      <c r="C1138" s="74"/>
      <c r="D1138" s="74"/>
      <c r="E1138" s="74"/>
      <c r="F1138" s="74"/>
      <c r="G1138" s="74"/>
      <c r="H1138" s="74"/>
      <c r="I1138" s="74"/>
      <c r="J1138" s="74"/>
      <c r="K1138" s="74"/>
      <c r="L1138" s="74"/>
      <c r="M1138" s="74"/>
      <c r="N1138" s="74"/>
      <c r="O1138" s="74"/>
      <c r="P1138" s="74"/>
      <c r="Q1138" s="74"/>
      <c r="R1138" s="74"/>
      <c r="S1138" s="74"/>
      <c r="T1138" s="74"/>
      <c r="U1138" s="74"/>
      <c r="V1138" s="74"/>
      <c r="W1138" s="74"/>
    </row>
    <row r="1139">
      <c r="A1139" s="74"/>
      <c r="B1139" s="74"/>
      <c r="C1139" s="74"/>
      <c r="D1139" s="74"/>
      <c r="E1139" s="74"/>
      <c r="F1139" s="74"/>
      <c r="G1139" s="74"/>
      <c r="H1139" s="74"/>
      <c r="I1139" s="74"/>
      <c r="J1139" s="74"/>
      <c r="K1139" s="74"/>
      <c r="L1139" s="74"/>
      <c r="M1139" s="74"/>
      <c r="N1139" s="74"/>
      <c r="O1139" s="74"/>
      <c r="P1139" s="74"/>
      <c r="Q1139" s="74"/>
      <c r="R1139" s="74"/>
      <c r="S1139" s="74"/>
      <c r="T1139" s="74"/>
      <c r="U1139" s="74"/>
      <c r="V1139" s="74"/>
      <c r="W1139" s="74"/>
    </row>
    <row r="1140">
      <c r="A1140" s="74"/>
      <c r="B1140" s="74"/>
      <c r="C1140" s="74"/>
      <c r="D1140" s="74"/>
      <c r="E1140" s="74"/>
      <c r="F1140" s="74"/>
      <c r="G1140" s="74"/>
      <c r="H1140" s="74"/>
      <c r="I1140" s="74"/>
      <c r="J1140" s="74"/>
      <c r="K1140" s="74"/>
      <c r="L1140" s="74"/>
      <c r="M1140" s="74"/>
      <c r="N1140" s="74"/>
      <c r="O1140" s="74"/>
      <c r="P1140" s="74"/>
      <c r="Q1140" s="74"/>
      <c r="R1140" s="74"/>
      <c r="S1140" s="74"/>
      <c r="T1140" s="74"/>
      <c r="U1140" s="74"/>
      <c r="V1140" s="74"/>
      <c r="W1140" s="74"/>
    </row>
    <row r="1141">
      <c r="A1141" s="74"/>
      <c r="B1141" s="74"/>
      <c r="C1141" s="74"/>
      <c r="D1141" s="74"/>
      <c r="E1141" s="74"/>
      <c r="F1141" s="74"/>
      <c r="G1141" s="74"/>
      <c r="H1141" s="74"/>
      <c r="I1141" s="74"/>
      <c r="J1141" s="74"/>
      <c r="K1141" s="74"/>
      <c r="L1141" s="74"/>
      <c r="M1141" s="74"/>
      <c r="N1141" s="74"/>
      <c r="O1141" s="74"/>
      <c r="P1141" s="74"/>
      <c r="Q1141" s="74"/>
      <c r="R1141" s="74"/>
      <c r="S1141" s="74"/>
      <c r="T1141" s="74"/>
      <c r="U1141" s="74"/>
      <c r="V1141" s="74"/>
      <c r="W1141" s="74"/>
    </row>
    <row r="1142">
      <c r="A1142" s="74"/>
      <c r="B1142" s="74"/>
      <c r="C1142" s="74"/>
      <c r="D1142" s="74"/>
      <c r="E1142" s="74"/>
      <c r="F1142" s="74"/>
      <c r="G1142" s="74"/>
      <c r="H1142" s="74"/>
      <c r="I1142" s="74"/>
      <c r="J1142" s="74"/>
      <c r="K1142" s="74"/>
      <c r="L1142" s="74"/>
      <c r="M1142" s="74"/>
      <c r="N1142" s="74"/>
      <c r="O1142" s="74"/>
      <c r="P1142" s="74"/>
      <c r="Q1142" s="74"/>
      <c r="R1142" s="74"/>
      <c r="S1142" s="74"/>
      <c r="T1142" s="74"/>
      <c r="U1142" s="74"/>
      <c r="V1142" s="74"/>
      <c r="W1142" s="74"/>
    </row>
    <row r="1143">
      <c r="A1143" s="74"/>
      <c r="B1143" s="74"/>
      <c r="C1143" s="74"/>
      <c r="D1143" s="74"/>
      <c r="E1143" s="74"/>
      <c r="F1143" s="74"/>
      <c r="G1143" s="74"/>
      <c r="H1143" s="74"/>
      <c r="I1143" s="74"/>
      <c r="J1143" s="74"/>
      <c r="K1143" s="74"/>
      <c r="L1143" s="74"/>
      <c r="M1143" s="74"/>
      <c r="N1143" s="74"/>
      <c r="O1143" s="74"/>
      <c r="P1143" s="74"/>
      <c r="Q1143" s="74"/>
      <c r="R1143" s="74"/>
      <c r="S1143" s="74"/>
      <c r="T1143" s="74"/>
      <c r="U1143" s="74"/>
      <c r="V1143" s="74"/>
      <c r="W1143" s="74"/>
    </row>
    <row r="1144">
      <c r="A1144" s="74"/>
      <c r="B1144" s="74"/>
      <c r="C1144" s="74"/>
      <c r="D1144" s="74"/>
      <c r="E1144" s="74"/>
      <c r="F1144" s="74"/>
      <c r="G1144" s="74"/>
      <c r="H1144" s="74"/>
      <c r="I1144" s="74"/>
      <c r="J1144" s="74"/>
      <c r="K1144" s="74"/>
      <c r="L1144" s="74"/>
      <c r="M1144" s="74"/>
      <c r="N1144" s="74"/>
      <c r="O1144" s="74"/>
      <c r="P1144" s="74"/>
      <c r="Q1144" s="74"/>
      <c r="R1144" s="74"/>
      <c r="S1144" s="74"/>
      <c r="T1144" s="74"/>
      <c r="U1144" s="74"/>
      <c r="V1144" s="74"/>
      <c r="W1144" s="74"/>
    </row>
    <row r="1145">
      <c r="A1145" s="74"/>
      <c r="B1145" s="74"/>
      <c r="C1145" s="74"/>
      <c r="D1145" s="74"/>
      <c r="E1145" s="74"/>
      <c r="F1145" s="74"/>
      <c r="G1145" s="74"/>
      <c r="H1145" s="74"/>
      <c r="I1145" s="74"/>
      <c r="J1145" s="74"/>
      <c r="K1145" s="74"/>
      <c r="L1145" s="74"/>
      <c r="M1145" s="74"/>
      <c r="N1145" s="74"/>
      <c r="O1145" s="74"/>
      <c r="P1145" s="74"/>
      <c r="Q1145" s="74"/>
      <c r="R1145" s="74"/>
      <c r="S1145" s="74"/>
      <c r="T1145" s="74"/>
      <c r="U1145" s="74"/>
      <c r="V1145" s="74"/>
      <c r="W1145" s="74"/>
    </row>
    <row r="1146">
      <c r="A1146" s="74"/>
      <c r="B1146" s="74"/>
      <c r="C1146" s="74"/>
      <c r="D1146" s="74"/>
      <c r="E1146" s="74"/>
      <c r="F1146" s="74"/>
      <c r="G1146" s="74"/>
      <c r="H1146" s="74"/>
      <c r="I1146" s="74"/>
      <c r="J1146" s="74"/>
      <c r="K1146" s="74"/>
      <c r="L1146" s="74"/>
      <c r="M1146" s="74"/>
      <c r="N1146" s="74"/>
      <c r="O1146" s="74"/>
      <c r="P1146" s="74"/>
      <c r="Q1146" s="74"/>
      <c r="R1146" s="74"/>
      <c r="S1146" s="74"/>
      <c r="T1146" s="74"/>
      <c r="U1146" s="74"/>
      <c r="V1146" s="74"/>
      <c r="W1146" s="74"/>
    </row>
    <row r="1147">
      <c r="A1147" s="74"/>
      <c r="B1147" s="74"/>
      <c r="C1147" s="74"/>
      <c r="D1147" s="74"/>
      <c r="E1147" s="74"/>
      <c r="F1147" s="74"/>
      <c r="G1147" s="74"/>
      <c r="H1147" s="74"/>
      <c r="I1147" s="74"/>
      <c r="J1147" s="74"/>
      <c r="K1147" s="74"/>
      <c r="L1147" s="74"/>
      <c r="M1147" s="74"/>
      <c r="N1147" s="74"/>
      <c r="O1147" s="74"/>
      <c r="P1147" s="74"/>
      <c r="Q1147" s="74"/>
      <c r="R1147" s="74"/>
      <c r="S1147" s="74"/>
      <c r="T1147" s="74"/>
      <c r="U1147" s="74"/>
      <c r="V1147" s="74"/>
      <c r="W1147" s="74"/>
    </row>
    <row r="1148">
      <c r="A1148" s="74"/>
      <c r="B1148" s="74"/>
      <c r="C1148" s="74"/>
      <c r="D1148" s="74"/>
      <c r="E1148" s="74"/>
      <c r="F1148" s="74"/>
      <c r="G1148" s="74"/>
      <c r="H1148" s="74"/>
      <c r="I1148" s="74"/>
      <c r="J1148" s="74"/>
      <c r="K1148" s="74"/>
      <c r="L1148" s="74"/>
      <c r="M1148" s="74"/>
      <c r="N1148" s="74"/>
      <c r="O1148" s="74"/>
      <c r="P1148" s="74"/>
      <c r="Q1148" s="74"/>
      <c r="R1148" s="74"/>
      <c r="S1148" s="74"/>
      <c r="T1148" s="74"/>
      <c r="U1148" s="74"/>
      <c r="V1148" s="74"/>
      <c r="W1148" s="74"/>
    </row>
    <row r="1149">
      <c r="A1149" s="74"/>
      <c r="B1149" s="74"/>
      <c r="C1149" s="74"/>
      <c r="D1149" s="74"/>
      <c r="E1149" s="74"/>
      <c r="F1149" s="74"/>
      <c r="G1149" s="74"/>
      <c r="H1149" s="74"/>
      <c r="I1149" s="74"/>
      <c r="J1149" s="74"/>
      <c r="K1149" s="74"/>
      <c r="L1149" s="74"/>
      <c r="M1149" s="74"/>
      <c r="N1149" s="74"/>
      <c r="O1149" s="74"/>
      <c r="P1149" s="74"/>
      <c r="Q1149" s="74"/>
      <c r="R1149" s="74"/>
      <c r="S1149" s="74"/>
      <c r="T1149" s="74"/>
      <c r="U1149" s="74"/>
      <c r="V1149" s="74"/>
      <c r="W1149" s="74"/>
    </row>
    <row r="1150">
      <c r="A1150" s="74"/>
      <c r="B1150" s="74"/>
      <c r="C1150" s="74"/>
      <c r="D1150" s="74"/>
      <c r="E1150" s="74"/>
      <c r="F1150" s="74"/>
      <c r="G1150" s="74"/>
      <c r="H1150" s="74"/>
      <c r="I1150" s="74"/>
      <c r="J1150" s="74"/>
      <c r="K1150" s="74"/>
      <c r="L1150" s="74"/>
      <c r="M1150" s="74"/>
      <c r="N1150" s="74"/>
      <c r="O1150" s="74"/>
      <c r="P1150" s="74"/>
      <c r="Q1150" s="74"/>
      <c r="R1150" s="74"/>
      <c r="S1150" s="74"/>
      <c r="T1150" s="74"/>
      <c r="U1150" s="74"/>
      <c r="V1150" s="74"/>
      <c r="W1150" s="74"/>
    </row>
    <row r="1151">
      <c r="A1151" s="74"/>
      <c r="B1151" s="74"/>
      <c r="C1151" s="74"/>
      <c r="D1151" s="74"/>
      <c r="E1151" s="74"/>
      <c r="F1151" s="74"/>
      <c r="G1151" s="74"/>
      <c r="H1151" s="74"/>
      <c r="I1151" s="74"/>
      <c r="J1151" s="74"/>
      <c r="K1151" s="74"/>
      <c r="L1151" s="74"/>
      <c r="M1151" s="74"/>
      <c r="N1151" s="74"/>
      <c r="O1151" s="74"/>
      <c r="P1151" s="74"/>
      <c r="Q1151" s="74"/>
      <c r="R1151" s="74"/>
      <c r="S1151" s="74"/>
      <c r="T1151" s="74"/>
      <c r="U1151" s="74"/>
      <c r="V1151" s="74"/>
      <c r="W1151" s="74"/>
    </row>
    <row r="1152">
      <c r="A1152" s="74"/>
      <c r="B1152" s="74"/>
      <c r="C1152" s="74"/>
      <c r="D1152" s="74"/>
      <c r="E1152" s="74"/>
      <c r="F1152" s="74"/>
      <c r="G1152" s="74"/>
      <c r="H1152" s="74"/>
      <c r="I1152" s="74"/>
      <c r="J1152" s="74"/>
      <c r="K1152" s="74"/>
      <c r="L1152" s="74"/>
      <c r="M1152" s="74"/>
      <c r="N1152" s="74"/>
      <c r="O1152" s="74"/>
      <c r="P1152" s="74"/>
      <c r="Q1152" s="74"/>
      <c r="R1152" s="74"/>
      <c r="S1152" s="74"/>
      <c r="T1152" s="74"/>
      <c r="U1152" s="74"/>
      <c r="V1152" s="74"/>
      <c r="W1152" s="74"/>
    </row>
    <row r="1153">
      <c r="A1153" s="74"/>
      <c r="B1153" s="74"/>
      <c r="C1153" s="74"/>
      <c r="D1153" s="74"/>
      <c r="E1153" s="74"/>
      <c r="F1153" s="74"/>
      <c r="G1153" s="74"/>
      <c r="H1153" s="74"/>
      <c r="I1153" s="74"/>
      <c r="J1153" s="74"/>
      <c r="K1153" s="74"/>
      <c r="L1153" s="74"/>
      <c r="M1153" s="74"/>
      <c r="N1153" s="74"/>
      <c r="O1153" s="74"/>
      <c r="P1153" s="74"/>
      <c r="Q1153" s="74"/>
      <c r="R1153" s="74"/>
      <c r="S1153" s="74"/>
      <c r="T1153" s="74"/>
      <c r="U1153" s="74"/>
      <c r="V1153" s="74"/>
      <c r="W1153" s="74"/>
    </row>
    <row r="1154">
      <c r="A1154" s="74"/>
      <c r="B1154" s="74"/>
      <c r="C1154" s="74"/>
      <c r="D1154" s="74"/>
      <c r="E1154" s="74"/>
      <c r="F1154" s="74"/>
      <c r="G1154" s="74"/>
      <c r="H1154" s="74"/>
      <c r="I1154" s="74"/>
      <c r="J1154" s="74"/>
      <c r="K1154" s="74"/>
      <c r="L1154" s="74"/>
      <c r="M1154" s="74"/>
      <c r="N1154" s="74"/>
      <c r="O1154" s="74"/>
      <c r="P1154" s="74"/>
      <c r="Q1154" s="74"/>
      <c r="R1154" s="74"/>
      <c r="S1154" s="74"/>
      <c r="T1154" s="74"/>
      <c r="U1154" s="74"/>
      <c r="V1154" s="74"/>
      <c r="W1154" s="74"/>
    </row>
    <row r="1155">
      <c r="A1155" s="74"/>
      <c r="B1155" s="74"/>
      <c r="C1155" s="74"/>
      <c r="D1155" s="74"/>
      <c r="E1155" s="74"/>
      <c r="F1155" s="74"/>
      <c r="G1155" s="74"/>
      <c r="H1155" s="74"/>
      <c r="I1155" s="74"/>
      <c r="J1155" s="74"/>
      <c r="K1155" s="74"/>
      <c r="L1155" s="74"/>
      <c r="M1155" s="74"/>
      <c r="N1155" s="74"/>
      <c r="O1155" s="74"/>
      <c r="P1155" s="74"/>
      <c r="Q1155" s="74"/>
      <c r="R1155" s="74"/>
      <c r="S1155" s="74"/>
      <c r="T1155" s="74"/>
      <c r="U1155" s="74"/>
      <c r="V1155" s="74"/>
      <c r="W1155" s="74"/>
    </row>
    <row r="1156">
      <c r="A1156" s="74"/>
      <c r="B1156" s="74"/>
      <c r="C1156" s="74"/>
      <c r="D1156" s="74"/>
      <c r="E1156" s="74"/>
      <c r="F1156" s="74"/>
      <c r="G1156" s="74"/>
      <c r="H1156" s="74"/>
      <c r="I1156" s="74"/>
      <c r="J1156" s="74"/>
      <c r="K1156" s="74"/>
      <c r="L1156" s="74"/>
      <c r="M1156" s="74"/>
      <c r="N1156" s="74"/>
      <c r="O1156" s="74"/>
      <c r="P1156" s="74"/>
      <c r="Q1156" s="74"/>
      <c r="R1156" s="74"/>
      <c r="S1156" s="74"/>
      <c r="T1156" s="74"/>
      <c r="U1156" s="74"/>
      <c r="V1156" s="74"/>
      <c r="W1156" s="74"/>
    </row>
    <row r="1157">
      <c r="A1157" s="74"/>
      <c r="B1157" s="74"/>
      <c r="C1157" s="74"/>
      <c r="D1157" s="74"/>
      <c r="E1157" s="74"/>
      <c r="F1157" s="74"/>
      <c r="G1157" s="74"/>
      <c r="H1157" s="74"/>
      <c r="I1157" s="74"/>
      <c r="J1157" s="74"/>
      <c r="K1157" s="74"/>
      <c r="L1157" s="74"/>
      <c r="M1157" s="74"/>
      <c r="N1157" s="74"/>
      <c r="O1157" s="74"/>
      <c r="P1157" s="74"/>
      <c r="Q1157" s="74"/>
      <c r="R1157" s="74"/>
      <c r="S1157" s="74"/>
      <c r="T1157" s="74"/>
      <c r="U1157" s="74"/>
      <c r="V1157" s="74"/>
      <c r="W1157" s="74"/>
    </row>
    <row r="1158">
      <c r="A1158" s="74"/>
      <c r="B1158" s="74"/>
      <c r="C1158" s="74"/>
      <c r="D1158" s="74"/>
      <c r="E1158" s="74"/>
      <c r="F1158" s="74"/>
      <c r="G1158" s="74"/>
      <c r="H1158" s="74"/>
      <c r="I1158" s="74"/>
      <c r="J1158" s="74"/>
      <c r="K1158" s="74"/>
      <c r="L1158" s="74"/>
      <c r="M1158" s="74"/>
      <c r="N1158" s="74"/>
      <c r="O1158" s="74"/>
      <c r="P1158" s="74"/>
      <c r="Q1158" s="74"/>
      <c r="R1158" s="74"/>
      <c r="S1158" s="74"/>
      <c r="T1158" s="74"/>
      <c r="U1158" s="74"/>
      <c r="V1158" s="74"/>
      <c r="W1158" s="74"/>
    </row>
    <row r="1159">
      <c r="A1159" s="74"/>
      <c r="B1159" s="74"/>
      <c r="C1159" s="74"/>
      <c r="D1159" s="74"/>
      <c r="E1159" s="74"/>
      <c r="F1159" s="74"/>
      <c r="G1159" s="74"/>
      <c r="H1159" s="74"/>
      <c r="I1159" s="74"/>
      <c r="J1159" s="74"/>
      <c r="K1159" s="74"/>
      <c r="L1159" s="74"/>
      <c r="M1159" s="74"/>
      <c r="N1159" s="74"/>
      <c r="O1159" s="74"/>
      <c r="P1159" s="74"/>
      <c r="Q1159" s="74"/>
      <c r="R1159" s="74"/>
      <c r="S1159" s="74"/>
      <c r="T1159" s="74"/>
      <c r="U1159" s="74"/>
      <c r="V1159" s="74"/>
      <c r="W1159" s="74"/>
    </row>
    <row r="1160">
      <c r="A1160" s="74"/>
      <c r="B1160" s="74"/>
      <c r="C1160" s="74"/>
      <c r="D1160" s="74"/>
      <c r="E1160" s="74"/>
      <c r="F1160" s="74"/>
      <c r="G1160" s="74"/>
      <c r="H1160" s="74"/>
      <c r="I1160" s="74"/>
      <c r="J1160" s="74"/>
      <c r="K1160" s="74"/>
      <c r="L1160" s="74"/>
      <c r="M1160" s="74"/>
      <c r="N1160" s="74"/>
      <c r="O1160" s="74"/>
      <c r="P1160" s="74"/>
      <c r="Q1160" s="74"/>
      <c r="R1160" s="74"/>
      <c r="S1160" s="74"/>
      <c r="T1160" s="74"/>
      <c r="U1160" s="74"/>
      <c r="V1160" s="74"/>
      <c r="W1160" s="74"/>
    </row>
    <row r="1161">
      <c r="A1161" s="74"/>
      <c r="B1161" s="74"/>
      <c r="C1161" s="74"/>
      <c r="D1161" s="74"/>
      <c r="E1161" s="74"/>
      <c r="F1161" s="74"/>
      <c r="G1161" s="74"/>
      <c r="H1161" s="74"/>
      <c r="I1161" s="74"/>
      <c r="J1161" s="74"/>
      <c r="K1161" s="74"/>
      <c r="L1161" s="74"/>
      <c r="M1161" s="74"/>
      <c r="N1161" s="74"/>
      <c r="O1161" s="74"/>
      <c r="P1161" s="74"/>
      <c r="Q1161" s="74"/>
      <c r="R1161" s="74"/>
      <c r="S1161" s="74"/>
      <c r="T1161" s="74"/>
      <c r="U1161" s="74"/>
      <c r="V1161" s="74"/>
      <c r="W1161" s="74"/>
    </row>
    <row r="1162">
      <c r="A1162" s="74"/>
      <c r="B1162" s="74"/>
      <c r="C1162" s="74"/>
      <c r="D1162" s="74"/>
      <c r="E1162" s="74"/>
      <c r="F1162" s="74"/>
      <c r="G1162" s="74"/>
      <c r="H1162" s="74"/>
      <c r="I1162" s="74"/>
      <c r="J1162" s="74"/>
      <c r="K1162" s="74"/>
      <c r="L1162" s="74"/>
      <c r="M1162" s="74"/>
      <c r="N1162" s="74"/>
      <c r="O1162" s="74"/>
      <c r="P1162" s="74"/>
      <c r="Q1162" s="74"/>
      <c r="R1162" s="74"/>
      <c r="S1162" s="74"/>
      <c r="T1162" s="74"/>
      <c r="U1162" s="74"/>
      <c r="V1162" s="74"/>
      <c r="W1162" s="74"/>
    </row>
    <row r="1163">
      <c r="A1163" s="74"/>
      <c r="B1163" s="74"/>
      <c r="C1163" s="74"/>
      <c r="D1163" s="74"/>
      <c r="E1163" s="74"/>
      <c r="F1163" s="74"/>
      <c r="G1163" s="74"/>
      <c r="H1163" s="74"/>
      <c r="I1163" s="74"/>
      <c r="J1163" s="74"/>
      <c r="K1163" s="74"/>
      <c r="L1163" s="74"/>
      <c r="M1163" s="74"/>
      <c r="N1163" s="74"/>
      <c r="O1163" s="74"/>
      <c r="P1163" s="74"/>
      <c r="Q1163" s="74"/>
      <c r="R1163" s="74"/>
      <c r="S1163" s="74"/>
      <c r="T1163" s="74"/>
      <c r="U1163" s="74"/>
      <c r="V1163" s="74"/>
      <c r="W1163" s="74"/>
    </row>
    <row r="1164">
      <c r="A1164" s="74"/>
      <c r="B1164" s="74"/>
      <c r="C1164" s="74"/>
      <c r="D1164" s="74"/>
      <c r="E1164" s="74"/>
      <c r="F1164" s="74"/>
      <c r="G1164" s="74"/>
      <c r="H1164" s="74"/>
      <c r="I1164" s="74"/>
      <c r="J1164" s="74"/>
      <c r="K1164" s="74"/>
      <c r="L1164" s="74"/>
      <c r="M1164" s="74"/>
      <c r="N1164" s="74"/>
      <c r="O1164" s="74"/>
      <c r="P1164" s="74"/>
      <c r="Q1164" s="74"/>
      <c r="R1164" s="74"/>
      <c r="S1164" s="74"/>
      <c r="T1164" s="74"/>
      <c r="U1164" s="74"/>
      <c r="V1164" s="74"/>
      <c r="W1164" s="74"/>
    </row>
    <row r="1165">
      <c r="A1165" s="74"/>
      <c r="B1165" s="74"/>
      <c r="C1165" s="74"/>
      <c r="D1165" s="74"/>
      <c r="E1165" s="74"/>
      <c r="F1165" s="74"/>
      <c r="G1165" s="74"/>
      <c r="H1165" s="74"/>
      <c r="I1165" s="74"/>
      <c r="J1165" s="74"/>
      <c r="K1165" s="74"/>
      <c r="L1165" s="74"/>
      <c r="M1165" s="74"/>
      <c r="N1165" s="74"/>
      <c r="O1165" s="74"/>
      <c r="P1165" s="74"/>
      <c r="Q1165" s="74"/>
      <c r="R1165" s="74"/>
      <c r="S1165" s="74"/>
      <c r="T1165" s="74"/>
      <c r="U1165" s="74"/>
      <c r="V1165" s="74"/>
      <c r="W1165" s="74"/>
    </row>
    <row r="1166">
      <c r="A1166" s="74"/>
      <c r="B1166" s="74"/>
      <c r="C1166" s="74"/>
      <c r="D1166" s="74"/>
      <c r="E1166" s="74"/>
      <c r="F1166" s="74"/>
      <c r="G1166" s="74"/>
      <c r="H1166" s="74"/>
      <c r="I1166" s="74"/>
      <c r="J1166" s="74"/>
      <c r="K1166" s="74"/>
      <c r="L1166" s="74"/>
      <c r="M1166" s="74"/>
      <c r="N1166" s="74"/>
      <c r="O1166" s="74"/>
      <c r="P1166" s="74"/>
      <c r="Q1166" s="74"/>
      <c r="R1166" s="74"/>
      <c r="S1166" s="74"/>
      <c r="T1166" s="74"/>
      <c r="U1166" s="74"/>
      <c r="V1166" s="74"/>
      <c r="W1166" s="74"/>
    </row>
    <row r="1167">
      <c r="A1167" s="74"/>
      <c r="B1167" s="74"/>
      <c r="C1167" s="74"/>
      <c r="D1167" s="74"/>
      <c r="E1167" s="74"/>
      <c r="F1167" s="74"/>
      <c r="G1167" s="74"/>
      <c r="H1167" s="74"/>
      <c r="I1167" s="74"/>
      <c r="J1167" s="74"/>
      <c r="K1167" s="74"/>
      <c r="L1167" s="74"/>
      <c r="M1167" s="74"/>
      <c r="N1167" s="74"/>
      <c r="O1167" s="74"/>
      <c r="P1167" s="74"/>
      <c r="Q1167" s="74"/>
      <c r="R1167" s="74"/>
      <c r="S1167" s="74"/>
      <c r="T1167" s="74"/>
      <c r="U1167" s="74"/>
      <c r="V1167" s="74"/>
      <c r="W1167" s="74"/>
    </row>
    <row r="1168">
      <c r="A1168" s="74"/>
      <c r="B1168" s="74"/>
      <c r="C1168" s="74"/>
      <c r="D1168" s="74"/>
      <c r="E1168" s="74"/>
      <c r="F1168" s="74"/>
      <c r="G1168" s="74"/>
      <c r="H1168" s="74"/>
      <c r="I1168" s="74"/>
      <c r="J1168" s="74"/>
      <c r="K1168" s="74"/>
      <c r="L1168" s="74"/>
      <c r="M1168" s="74"/>
      <c r="N1168" s="74"/>
      <c r="O1168" s="74"/>
      <c r="P1168" s="74"/>
      <c r="Q1168" s="74"/>
      <c r="R1168" s="74"/>
      <c r="S1168" s="74"/>
      <c r="T1168" s="74"/>
      <c r="U1168" s="74"/>
      <c r="V1168" s="74"/>
      <c r="W1168" s="74"/>
    </row>
    <row r="1169">
      <c r="A1169" s="74"/>
      <c r="B1169" s="74"/>
      <c r="C1169" s="74"/>
      <c r="D1169" s="74"/>
      <c r="E1169" s="74"/>
      <c r="F1169" s="74"/>
      <c r="G1169" s="74"/>
      <c r="H1169" s="74"/>
      <c r="I1169" s="74"/>
      <c r="J1169" s="74"/>
      <c r="K1169" s="74"/>
      <c r="L1169" s="74"/>
      <c r="M1169" s="74"/>
      <c r="N1169" s="74"/>
      <c r="O1169" s="74"/>
      <c r="P1169" s="74"/>
      <c r="Q1169" s="74"/>
      <c r="R1169" s="74"/>
      <c r="S1169" s="74"/>
      <c r="T1169" s="74"/>
      <c r="U1169" s="74"/>
      <c r="V1169" s="74"/>
      <c r="W1169" s="74"/>
    </row>
    <row r="1170">
      <c r="A1170" s="74"/>
      <c r="B1170" s="74"/>
      <c r="C1170" s="74"/>
      <c r="D1170" s="74"/>
      <c r="E1170" s="74"/>
      <c r="F1170" s="74"/>
      <c r="G1170" s="74"/>
      <c r="H1170" s="74"/>
      <c r="I1170" s="74"/>
      <c r="J1170" s="74"/>
      <c r="K1170" s="74"/>
      <c r="L1170" s="74"/>
      <c r="M1170" s="74"/>
      <c r="N1170" s="74"/>
      <c r="O1170" s="74"/>
      <c r="P1170" s="74"/>
      <c r="Q1170" s="74"/>
      <c r="R1170" s="74"/>
      <c r="S1170" s="74"/>
      <c r="T1170" s="74"/>
      <c r="U1170" s="74"/>
      <c r="V1170" s="74"/>
      <c r="W1170" s="74"/>
    </row>
    <row r="1171">
      <c r="A1171" s="74"/>
      <c r="B1171" s="74"/>
      <c r="C1171" s="74"/>
      <c r="D1171" s="74"/>
      <c r="E1171" s="74"/>
      <c r="F1171" s="74"/>
      <c r="G1171" s="74"/>
      <c r="H1171" s="74"/>
      <c r="I1171" s="74"/>
      <c r="J1171" s="74"/>
      <c r="K1171" s="74"/>
      <c r="L1171" s="74"/>
      <c r="M1171" s="74"/>
      <c r="N1171" s="74"/>
      <c r="O1171" s="74"/>
      <c r="P1171" s="74"/>
      <c r="Q1171" s="74"/>
      <c r="R1171" s="74"/>
      <c r="S1171" s="74"/>
      <c r="T1171" s="74"/>
      <c r="U1171" s="74"/>
      <c r="V1171" s="74"/>
      <c r="W1171" s="74"/>
    </row>
    <row r="1172">
      <c r="A1172" s="74"/>
      <c r="B1172" s="74"/>
      <c r="C1172" s="74"/>
      <c r="D1172" s="74"/>
      <c r="E1172" s="74"/>
      <c r="F1172" s="74"/>
      <c r="G1172" s="74"/>
      <c r="H1172" s="74"/>
      <c r="I1172" s="74"/>
      <c r="J1172" s="74"/>
      <c r="K1172" s="74"/>
      <c r="L1172" s="74"/>
      <c r="M1172" s="74"/>
      <c r="N1172" s="74"/>
      <c r="O1172" s="74"/>
      <c r="P1172" s="74"/>
      <c r="Q1172" s="74"/>
      <c r="R1172" s="74"/>
      <c r="S1172" s="74"/>
      <c r="T1172" s="74"/>
      <c r="U1172" s="74"/>
      <c r="V1172" s="74"/>
      <c r="W1172" s="74"/>
    </row>
    <row r="1173">
      <c r="A1173" s="74"/>
      <c r="B1173" s="74"/>
      <c r="C1173" s="74"/>
      <c r="D1173" s="74"/>
      <c r="E1173" s="74"/>
      <c r="F1173" s="74"/>
      <c r="G1173" s="74"/>
      <c r="H1173" s="74"/>
      <c r="I1173" s="74"/>
      <c r="J1173" s="74"/>
      <c r="K1173" s="74"/>
      <c r="L1173" s="74"/>
      <c r="M1173" s="74"/>
      <c r="N1173" s="74"/>
      <c r="O1173" s="74"/>
      <c r="P1173" s="74"/>
      <c r="Q1173" s="74"/>
      <c r="R1173" s="74"/>
      <c r="S1173" s="74"/>
      <c r="T1173" s="74"/>
      <c r="U1173" s="74"/>
      <c r="V1173" s="74"/>
      <c r="W1173" s="74"/>
    </row>
    <row r="1174">
      <c r="A1174" s="74"/>
      <c r="B1174" s="74"/>
      <c r="C1174" s="74"/>
      <c r="D1174" s="74"/>
      <c r="E1174" s="74"/>
      <c r="F1174" s="74"/>
      <c r="G1174" s="74"/>
      <c r="H1174" s="74"/>
      <c r="I1174" s="74"/>
      <c r="J1174" s="74"/>
      <c r="K1174" s="74"/>
      <c r="L1174" s="74"/>
      <c r="M1174" s="74"/>
      <c r="N1174" s="74"/>
      <c r="O1174" s="74"/>
      <c r="P1174" s="74"/>
      <c r="Q1174" s="74"/>
      <c r="R1174" s="74"/>
      <c r="S1174" s="74"/>
      <c r="T1174" s="74"/>
      <c r="U1174" s="74"/>
      <c r="V1174" s="74"/>
      <c r="W1174" s="74"/>
    </row>
    <row r="1175">
      <c r="A1175" s="74"/>
      <c r="B1175" s="74"/>
      <c r="C1175" s="74"/>
      <c r="D1175" s="74"/>
      <c r="E1175" s="74"/>
      <c r="F1175" s="74"/>
      <c r="G1175" s="74"/>
      <c r="H1175" s="74"/>
      <c r="I1175" s="74"/>
      <c r="J1175" s="74"/>
      <c r="K1175" s="74"/>
      <c r="L1175" s="74"/>
      <c r="M1175" s="74"/>
      <c r="N1175" s="74"/>
      <c r="O1175" s="74"/>
      <c r="P1175" s="74"/>
      <c r="Q1175" s="74"/>
      <c r="R1175" s="74"/>
      <c r="S1175" s="74"/>
      <c r="T1175" s="74"/>
      <c r="U1175" s="74"/>
      <c r="V1175" s="74"/>
      <c r="W1175" s="74"/>
    </row>
    <row r="1176">
      <c r="A1176" s="74"/>
      <c r="B1176" s="74"/>
      <c r="C1176" s="74"/>
      <c r="D1176" s="74"/>
      <c r="E1176" s="74"/>
      <c r="F1176" s="74"/>
      <c r="G1176" s="74"/>
      <c r="H1176" s="74"/>
      <c r="I1176" s="74"/>
      <c r="J1176" s="74"/>
      <c r="K1176" s="74"/>
      <c r="L1176" s="74"/>
      <c r="M1176" s="74"/>
      <c r="N1176" s="74"/>
      <c r="O1176" s="74"/>
      <c r="P1176" s="74"/>
      <c r="Q1176" s="74"/>
      <c r="R1176" s="74"/>
      <c r="S1176" s="74"/>
      <c r="T1176" s="74"/>
      <c r="U1176" s="74"/>
      <c r="V1176" s="74"/>
      <c r="W1176" s="74"/>
    </row>
    <row r="1177">
      <c r="A1177" s="74"/>
      <c r="B1177" s="74"/>
      <c r="C1177" s="74"/>
      <c r="D1177" s="74"/>
      <c r="E1177" s="74"/>
      <c r="F1177" s="74"/>
      <c r="G1177" s="74"/>
      <c r="H1177" s="74"/>
      <c r="I1177" s="74"/>
      <c r="J1177" s="74"/>
      <c r="K1177" s="74"/>
      <c r="L1177" s="74"/>
      <c r="M1177" s="74"/>
      <c r="N1177" s="74"/>
      <c r="O1177" s="74"/>
      <c r="P1177" s="74"/>
      <c r="Q1177" s="74"/>
      <c r="R1177" s="74"/>
      <c r="S1177" s="74"/>
      <c r="T1177" s="74"/>
      <c r="U1177" s="74"/>
      <c r="V1177" s="74"/>
      <c r="W1177" s="74"/>
    </row>
    <row r="1178">
      <c r="A1178" s="74"/>
      <c r="B1178" s="74"/>
      <c r="C1178" s="74"/>
      <c r="D1178" s="74"/>
      <c r="E1178" s="74"/>
      <c r="F1178" s="74"/>
      <c r="G1178" s="74"/>
      <c r="H1178" s="74"/>
      <c r="I1178" s="74"/>
      <c r="J1178" s="74"/>
      <c r="K1178" s="74"/>
      <c r="L1178" s="74"/>
      <c r="M1178" s="74"/>
      <c r="N1178" s="74"/>
      <c r="O1178" s="74"/>
      <c r="P1178" s="74"/>
      <c r="Q1178" s="74"/>
      <c r="R1178" s="74"/>
      <c r="S1178" s="74"/>
      <c r="T1178" s="74"/>
      <c r="U1178" s="74"/>
      <c r="V1178" s="74"/>
      <c r="W1178" s="74"/>
    </row>
    <row r="1179">
      <c r="A1179" s="74"/>
      <c r="B1179" s="74"/>
      <c r="C1179" s="74"/>
      <c r="D1179" s="74"/>
      <c r="E1179" s="74"/>
      <c r="F1179" s="74"/>
      <c r="G1179" s="74"/>
      <c r="H1179" s="74"/>
      <c r="I1179" s="74"/>
      <c r="J1179" s="74"/>
      <c r="K1179" s="74"/>
      <c r="L1179" s="74"/>
      <c r="M1179" s="74"/>
      <c r="N1179" s="74"/>
      <c r="O1179" s="74"/>
      <c r="P1179" s="74"/>
      <c r="Q1179" s="74"/>
      <c r="R1179" s="74"/>
      <c r="S1179" s="74"/>
      <c r="T1179" s="74"/>
      <c r="U1179" s="74"/>
      <c r="V1179" s="74"/>
      <c r="W1179" s="74"/>
    </row>
    <row r="1180">
      <c r="A1180" s="74"/>
      <c r="B1180" s="74"/>
      <c r="C1180" s="74"/>
      <c r="D1180" s="74"/>
      <c r="E1180" s="74"/>
      <c r="F1180" s="74"/>
      <c r="G1180" s="74"/>
      <c r="H1180" s="74"/>
      <c r="I1180" s="74"/>
      <c r="J1180" s="74"/>
      <c r="K1180" s="74"/>
      <c r="L1180" s="74"/>
      <c r="M1180" s="74"/>
      <c r="N1180" s="74"/>
      <c r="O1180" s="74"/>
      <c r="P1180" s="74"/>
      <c r="Q1180" s="74"/>
      <c r="R1180" s="74"/>
      <c r="S1180" s="74"/>
      <c r="T1180" s="74"/>
      <c r="U1180" s="74"/>
      <c r="V1180" s="74"/>
      <c r="W1180" s="74"/>
    </row>
    <row r="1181">
      <c r="A1181" s="74"/>
      <c r="B1181" s="74"/>
      <c r="C1181" s="74"/>
      <c r="D1181" s="74"/>
      <c r="E1181" s="74"/>
      <c r="F1181" s="74"/>
      <c r="G1181" s="74"/>
      <c r="H1181" s="74"/>
      <c r="I1181" s="74"/>
      <c r="J1181" s="74"/>
      <c r="K1181" s="74"/>
      <c r="L1181" s="74"/>
      <c r="M1181" s="74"/>
      <c r="N1181" s="74"/>
      <c r="O1181" s="74"/>
      <c r="P1181" s="74"/>
      <c r="Q1181" s="74"/>
      <c r="R1181" s="74"/>
      <c r="S1181" s="74"/>
      <c r="T1181" s="74"/>
      <c r="U1181" s="74"/>
      <c r="V1181" s="74"/>
      <c r="W1181" s="74"/>
    </row>
    <row r="1182">
      <c r="A1182" s="74"/>
      <c r="B1182" s="74"/>
      <c r="C1182" s="74"/>
      <c r="D1182" s="74"/>
      <c r="E1182" s="74"/>
      <c r="F1182" s="74"/>
      <c r="G1182" s="74"/>
      <c r="H1182" s="74"/>
      <c r="I1182" s="74"/>
      <c r="J1182" s="74"/>
      <c r="K1182" s="74"/>
      <c r="L1182" s="74"/>
      <c r="M1182" s="74"/>
      <c r="N1182" s="74"/>
      <c r="O1182" s="74"/>
      <c r="P1182" s="74"/>
      <c r="Q1182" s="74"/>
      <c r="R1182" s="74"/>
      <c r="S1182" s="74"/>
      <c r="T1182" s="74"/>
      <c r="U1182" s="74"/>
      <c r="V1182" s="74"/>
      <c r="W1182" s="74"/>
    </row>
    <row r="1183">
      <c r="A1183" s="74"/>
      <c r="B1183" s="74"/>
      <c r="C1183" s="74"/>
      <c r="D1183" s="74"/>
      <c r="E1183" s="74"/>
      <c r="F1183" s="74"/>
      <c r="G1183" s="74"/>
      <c r="H1183" s="74"/>
      <c r="I1183" s="74"/>
      <c r="J1183" s="74"/>
      <c r="K1183" s="74"/>
      <c r="L1183" s="74"/>
      <c r="M1183" s="74"/>
      <c r="N1183" s="74"/>
      <c r="O1183" s="74"/>
      <c r="P1183" s="74"/>
      <c r="Q1183" s="74"/>
      <c r="R1183" s="74"/>
      <c r="S1183" s="74"/>
      <c r="T1183" s="74"/>
      <c r="U1183" s="74"/>
      <c r="V1183" s="74"/>
      <c r="W1183" s="74"/>
    </row>
    <row r="1184">
      <c r="A1184" s="74"/>
      <c r="B1184" s="74"/>
      <c r="C1184" s="74"/>
      <c r="D1184" s="74"/>
      <c r="E1184" s="74"/>
      <c r="F1184" s="74"/>
      <c r="G1184" s="74"/>
      <c r="H1184" s="74"/>
      <c r="I1184" s="74"/>
      <c r="J1184" s="74"/>
      <c r="K1184" s="74"/>
      <c r="L1184" s="74"/>
      <c r="M1184" s="74"/>
      <c r="N1184" s="74"/>
      <c r="O1184" s="74"/>
      <c r="P1184" s="74"/>
      <c r="Q1184" s="74"/>
      <c r="R1184" s="74"/>
      <c r="S1184" s="74"/>
      <c r="T1184" s="74"/>
      <c r="U1184" s="74"/>
      <c r="V1184" s="74"/>
      <c r="W1184" s="74"/>
    </row>
    <row r="1185">
      <c r="A1185" s="74"/>
      <c r="B1185" s="74"/>
      <c r="C1185" s="74"/>
      <c r="D1185" s="74"/>
      <c r="E1185" s="74"/>
      <c r="F1185" s="74"/>
      <c r="G1185" s="74"/>
      <c r="H1185" s="74"/>
      <c r="I1185" s="74"/>
      <c r="J1185" s="74"/>
      <c r="K1185" s="74"/>
      <c r="L1185" s="74"/>
      <c r="M1185" s="74"/>
      <c r="N1185" s="74"/>
      <c r="O1185" s="74"/>
      <c r="P1185" s="74"/>
      <c r="Q1185" s="74"/>
      <c r="R1185" s="74"/>
      <c r="S1185" s="74"/>
      <c r="T1185" s="74"/>
      <c r="U1185" s="74"/>
      <c r="V1185" s="74"/>
      <c r="W1185" s="74"/>
    </row>
    <row r="1186">
      <c r="A1186" s="74"/>
      <c r="B1186" s="74"/>
      <c r="C1186" s="74"/>
      <c r="D1186" s="74"/>
      <c r="E1186" s="74"/>
      <c r="F1186" s="74"/>
      <c r="G1186" s="74"/>
      <c r="H1186" s="74"/>
      <c r="I1186" s="74"/>
      <c r="J1186" s="74"/>
      <c r="K1186" s="74"/>
      <c r="L1186" s="74"/>
      <c r="M1186" s="74"/>
      <c r="N1186" s="74"/>
      <c r="O1186" s="74"/>
      <c r="P1186" s="74"/>
      <c r="Q1186" s="74"/>
      <c r="R1186" s="74"/>
      <c r="S1186" s="74"/>
      <c r="T1186" s="74"/>
      <c r="U1186" s="74"/>
      <c r="V1186" s="74"/>
      <c r="W1186" s="74"/>
    </row>
    <row r="1187">
      <c r="A1187" s="74"/>
      <c r="B1187" s="74"/>
      <c r="C1187" s="74"/>
      <c r="D1187" s="74"/>
      <c r="E1187" s="74"/>
      <c r="F1187" s="74"/>
      <c r="G1187" s="74"/>
      <c r="H1187" s="74"/>
      <c r="I1187" s="74"/>
      <c r="J1187" s="74"/>
      <c r="K1187" s="74"/>
      <c r="L1187" s="74"/>
      <c r="M1187" s="74"/>
      <c r="N1187" s="74"/>
      <c r="O1187" s="74"/>
      <c r="P1187" s="74"/>
      <c r="Q1187" s="74"/>
      <c r="R1187" s="74"/>
      <c r="S1187" s="74"/>
      <c r="T1187" s="74"/>
      <c r="U1187" s="74"/>
      <c r="V1187" s="74"/>
      <c r="W1187" s="74"/>
    </row>
    <row r="1188">
      <c r="A1188" s="74"/>
      <c r="B1188" s="74"/>
      <c r="C1188" s="74"/>
      <c r="D1188" s="74"/>
      <c r="E1188" s="74"/>
      <c r="F1188" s="74"/>
      <c r="G1188" s="74"/>
      <c r="H1188" s="74"/>
      <c r="I1188" s="74"/>
      <c r="J1188" s="74"/>
      <c r="K1188" s="74"/>
      <c r="L1188" s="74"/>
      <c r="M1188" s="74"/>
      <c r="N1188" s="74"/>
      <c r="O1188" s="74"/>
      <c r="P1188" s="74"/>
      <c r="Q1188" s="74"/>
      <c r="R1188" s="74"/>
      <c r="S1188" s="74"/>
      <c r="T1188" s="74"/>
      <c r="U1188" s="74"/>
      <c r="V1188" s="74"/>
      <c r="W1188" s="74"/>
    </row>
    <row r="1189">
      <c r="A1189" s="74"/>
      <c r="B1189" s="74"/>
      <c r="C1189" s="74"/>
      <c r="D1189" s="74"/>
      <c r="E1189" s="74"/>
      <c r="F1189" s="74"/>
      <c r="G1189" s="74"/>
      <c r="H1189" s="74"/>
      <c r="I1189" s="74"/>
      <c r="J1189" s="74"/>
      <c r="K1189" s="74"/>
      <c r="L1189" s="74"/>
      <c r="M1189" s="74"/>
      <c r="N1189" s="74"/>
      <c r="O1189" s="74"/>
      <c r="P1189" s="74"/>
      <c r="Q1189" s="74"/>
      <c r="R1189" s="74"/>
      <c r="S1189" s="74"/>
      <c r="T1189" s="74"/>
      <c r="U1189" s="74"/>
      <c r="V1189" s="74"/>
      <c r="W1189" s="74"/>
    </row>
    <row r="1190">
      <c r="A1190" s="74"/>
      <c r="B1190" s="74"/>
      <c r="C1190" s="74"/>
      <c r="D1190" s="74"/>
      <c r="E1190" s="74"/>
      <c r="F1190" s="74"/>
      <c r="G1190" s="74"/>
      <c r="H1190" s="74"/>
      <c r="I1190" s="74"/>
      <c r="J1190" s="74"/>
      <c r="K1190" s="74"/>
      <c r="L1190" s="74"/>
      <c r="M1190" s="74"/>
      <c r="N1190" s="74"/>
      <c r="O1190" s="74"/>
      <c r="P1190" s="74"/>
      <c r="Q1190" s="74"/>
      <c r="R1190" s="74"/>
      <c r="S1190" s="74"/>
      <c r="T1190" s="74"/>
      <c r="U1190" s="74"/>
      <c r="V1190" s="74"/>
      <c r="W1190" s="74"/>
    </row>
    <row r="1191">
      <c r="A1191" s="74"/>
      <c r="B1191" s="74"/>
      <c r="C1191" s="74"/>
      <c r="D1191" s="74"/>
      <c r="E1191" s="74"/>
      <c r="F1191" s="74"/>
      <c r="G1191" s="74"/>
      <c r="H1191" s="74"/>
      <c r="I1191" s="74"/>
      <c r="J1191" s="74"/>
      <c r="K1191" s="74"/>
      <c r="L1191" s="74"/>
      <c r="M1191" s="74"/>
      <c r="N1191" s="74"/>
      <c r="O1191" s="74"/>
      <c r="P1191" s="74"/>
      <c r="Q1191" s="74"/>
      <c r="R1191" s="74"/>
      <c r="S1191" s="74"/>
      <c r="T1191" s="74"/>
      <c r="U1191" s="74"/>
      <c r="V1191" s="74"/>
      <c r="W1191" s="74"/>
    </row>
    <row r="1192">
      <c r="A1192" s="74"/>
      <c r="B1192" s="74"/>
      <c r="C1192" s="74"/>
      <c r="D1192" s="74"/>
      <c r="E1192" s="74"/>
      <c r="F1192" s="74"/>
      <c r="G1192" s="74"/>
      <c r="H1192" s="74"/>
      <c r="I1192" s="74"/>
      <c r="J1192" s="74"/>
      <c r="K1192" s="74"/>
      <c r="L1192" s="74"/>
      <c r="M1192" s="74"/>
      <c r="N1192" s="74"/>
      <c r="O1192" s="74"/>
      <c r="P1192" s="74"/>
      <c r="Q1192" s="74"/>
      <c r="R1192" s="74"/>
      <c r="S1192" s="74"/>
      <c r="T1192" s="74"/>
      <c r="U1192" s="74"/>
      <c r="V1192" s="74"/>
      <c r="W1192" s="74"/>
    </row>
    <row r="1193">
      <c r="A1193" s="74"/>
      <c r="B1193" s="74"/>
      <c r="C1193" s="74"/>
      <c r="D1193" s="74"/>
      <c r="E1193" s="74"/>
      <c r="F1193" s="74"/>
      <c r="G1193" s="74"/>
      <c r="H1193" s="74"/>
      <c r="I1193" s="74"/>
      <c r="J1193" s="74"/>
      <c r="K1193" s="74"/>
      <c r="L1193" s="74"/>
      <c r="M1193" s="74"/>
      <c r="N1193" s="74"/>
      <c r="O1193" s="74"/>
      <c r="P1193" s="74"/>
      <c r="Q1193" s="74"/>
      <c r="R1193" s="74"/>
      <c r="S1193" s="74"/>
      <c r="T1193" s="74"/>
      <c r="U1193" s="74"/>
      <c r="V1193" s="74"/>
      <c r="W1193" s="74"/>
    </row>
    <row r="1194">
      <c r="A1194" s="74"/>
      <c r="B1194" s="74"/>
      <c r="C1194" s="74"/>
      <c r="D1194" s="74"/>
      <c r="E1194" s="74"/>
      <c r="F1194" s="74"/>
      <c r="G1194" s="74"/>
      <c r="H1194" s="74"/>
      <c r="I1194" s="74"/>
      <c r="J1194" s="74"/>
      <c r="K1194" s="74"/>
      <c r="L1194" s="74"/>
      <c r="M1194" s="74"/>
      <c r="N1194" s="74"/>
      <c r="O1194" s="74"/>
      <c r="P1194" s="74"/>
      <c r="Q1194" s="74"/>
      <c r="R1194" s="74"/>
      <c r="S1194" s="74"/>
      <c r="T1194" s="74"/>
      <c r="U1194" s="74"/>
      <c r="V1194" s="74"/>
      <c r="W1194" s="74"/>
    </row>
    <row r="1195">
      <c r="A1195" s="74"/>
      <c r="B1195" s="74"/>
      <c r="C1195" s="74"/>
      <c r="D1195" s="74"/>
      <c r="E1195" s="74"/>
      <c r="F1195" s="74"/>
      <c r="G1195" s="74"/>
      <c r="H1195" s="74"/>
      <c r="I1195" s="74"/>
      <c r="J1195" s="74"/>
      <c r="K1195" s="74"/>
      <c r="L1195" s="74"/>
      <c r="M1195" s="74"/>
      <c r="N1195" s="74"/>
      <c r="O1195" s="74"/>
      <c r="P1195" s="74"/>
      <c r="Q1195" s="74"/>
      <c r="R1195" s="74"/>
      <c r="S1195" s="74"/>
      <c r="T1195" s="74"/>
      <c r="U1195" s="74"/>
      <c r="V1195" s="74"/>
      <c r="W1195" s="74"/>
    </row>
    <row r="1196">
      <c r="A1196" s="74"/>
      <c r="B1196" s="74"/>
      <c r="C1196" s="74"/>
      <c r="D1196" s="74"/>
      <c r="E1196" s="74"/>
      <c r="F1196" s="74"/>
      <c r="G1196" s="74"/>
      <c r="H1196" s="74"/>
      <c r="I1196" s="74"/>
      <c r="J1196" s="74"/>
      <c r="K1196" s="74"/>
      <c r="L1196" s="74"/>
      <c r="M1196" s="74"/>
      <c r="N1196" s="74"/>
      <c r="O1196" s="74"/>
      <c r="P1196" s="74"/>
      <c r="Q1196" s="74"/>
      <c r="R1196" s="74"/>
      <c r="S1196" s="74"/>
      <c r="T1196" s="74"/>
      <c r="U1196" s="74"/>
      <c r="V1196" s="74"/>
      <c r="W1196" s="74"/>
    </row>
    <row r="1197">
      <c r="A1197" s="74"/>
      <c r="B1197" s="74"/>
      <c r="C1197" s="74"/>
      <c r="D1197" s="74"/>
      <c r="E1197" s="74"/>
      <c r="F1197" s="74"/>
      <c r="G1197" s="74"/>
      <c r="H1197" s="74"/>
      <c r="I1197" s="74"/>
      <c r="J1197" s="74"/>
      <c r="K1197" s="74"/>
      <c r="L1197" s="74"/>
      <c r="M1197" s="74"/>
      <c r="N1197" s="74"/>
      <c r="O1197" s="74"/>
      <c r="P1197" s="74"/>
      <c r="Q1197" s="74"/>
      <c r="R1197" s="74"/>
      <c r="S1197" s="74"/>
      <c r="T1197" s="74"/>
      <c r="U1197" s="74"/>
      <c r="V1197" s="74"/>
      <c r="W1197" s="74"/>
    </row>
    <row r="1198">
      <c r="A1198" s="74"/>
      <c r="B1198" s="74"/>
      <c r="C1198" s="74"/>
      <c r="D1198" s="74"/>
      <c r="E1198" s="74"/>
      <c r="F1198" s="74"/>
      <c r="G1198" s="74"/>
      <c r="H1198" s="74"/>
      <c r="I1198" s="74"/>
      <c r="J1198" s="74"/>
      <c r="K1198" s="74"/>
      <c r="L1198" s="74"/>
      <c r="M1198" s="74"/>
      <c r="N1198" s="74"/>
      <c r="O1198" s="74"/>
      <c r="P1198" s="74"/>
      <c r="Q1198" s="74"/>
      <c r="R1198" s="74"/>
      <c r="S1198" s="74"/>
      <c r="T1198" s="74"/>
      <c r="U1198" s="74"/>
      <c r="V1198" s="74"/>
      <c r="W1198" s="74"/>
    </row>
    <row r="1199">
      <c r="A1199" s="74"/>
      <c r="B1199" s="74"/>
      <c r="C1199" s="74"/>
      <c r="D1199" s="74"/>
      <c r="E1199" s="74"/>
      <c r="F1199" s="74"/>
      <c r="G1199" s="74"/>
      <c r="H1199" s="74"/>
      <c r="I1199" s="74"/>
      <c r="J1199" s="74"/>
      <c r="K1199" s="74"/>
      <c r="L1199" s="74"/>
      <c r="M1199" s="74"/>
      <c r="N1199" s="74"/>
      <c r="O1199" s="74"/>
      <c r="P1199" s="74"/>
      <c r="Q1199" s="74"/>
      <c r="R1199" s="74"/>
      <c r="S1199" s="74"/>
      <c r="T1199" s="74"/>
      <c r="U1199" s="74"/>
      <c r="V1199" s="74"/>
      <c r="W1199" s="74"/>
    </row>
    <row r="1200">
      <c r="A1200" s="74"/>
      <c r="B1200" s="74"/>
      <c r="C1200" s="74"/>
      <c r="D1200" s="74"/>
      <c r="E1200" s="74"/>
      <c r="F1200" s="74"/>
      <c r="G1200" s="74"/>
      <c r="H1200" s="74"/>
      <c r="I1200" s="74"/>
      <c r="J1200" s="74"/>
      <c r="K1200" s="74"/>
      <c r="L1200" s="74"/>
      <c r="M1200" s="74"/>
      <c r="N1200" s="74"/>
      <c r="O1200" s="74"/>
      <c r="P1200" s="74"/>
      <c r="Q1200" s="74"/>
      <c r="R1200" s="74"/>
      <c r="S1200" s="74"/>
      <c r="T1200" s="74"/>
      <c r="U1200" s="74"/>
      <c r="V1200" s="74"/>
      <c r="W1200" s="74"/>
    </row>
    <row r="1201">
      <c r="A1201" s="74"/>
      <c r="B1201" s="74"/>
      <c r="C1201" s="74"/>
      <c r="D1201" s="74"/>
      <c r="E1201" s="74"/>
      <c r="F1201" s="74"/>
      <c r="G1201" s="74"/>
      <c r="H1201" s="74"/>
      <c r="I1201" s="74"/>
      <c r="J1201" s="74"/>
      <c r="K1201" s="74"/>
      <c r="L1201" s="74"/>
      <c r="M1201" s="74"/>
      <c r="N1201" s="74"/>
      <c r="O1201" s="74"/>
      <c r="P1201" s="74"/>
      <c r="Q1201" s="74"/>
      <c r="R1201" s="74"/>
      <c r="S1201" s="74"/>
      <c r="T1201" s="74"/>
      <c r="U1201" s="74"/>
      <c r="V1201" s="74"/>
      <c r="W1201" s="74"/>
    </row>
    <row r="1202">
      <c r="A1202" s="74"/>
      <c r="B1202" s="74"/>
      <c r="C1202" s="74"/>
      <c r="D1202" s="74"/>
      <c r="E1202" s="74"/>
      <c r="F1202" s="74"/>
      <c r="G1202" s="74"/>
      <c r="H1202" s="74"/>
      <c r="I1202" s="74"/>
      <c r="J1202" s="74"/>
      <c r="K1202" s="74"/>
      <c r="L1202" s="74"/>
      <c r="M1202" s="74"/>
      <c r="N1202" s="74"/>
      <c r="O1202" s="74"/>
      <c r="P1202" s="74"/>
      <c r="Q1202" s="74"/>
      <c r="R1202" s="74"/>
      <c r="S1202" s="74"/>
      <c r="T1202" s="74"/>
      <c r="U1202" s="74"/>
      <c r="V1202" s="74"/>
      <c r="W1202" s="74"/>
    </row>
    <row r="1203">
      <c r="A1203" s="74"/>
      <c r="B1203" s="74"/>
      <c r="C1203" s="74"/>
      <c r="D1203" s="74"/>
      <c r="E1203" s="74"/>
      <c r="F1203" s="74"/>
      <c r="G1203" s="74"/>
      <c r="H1203" s="74"/>
      <c r="I1203" s="74"/>
      <c r="J1203" s="74"/>
      <c r="K1203" s="74"/>
      <c r="L1203" s="74"/>
      <c r="M1203" s="74"/>
      <c r="N1203" s="74"/>
      <c r="O1203" s="74"/>
      <c r="P1203" s="74"/>
      <c r="Q1203" s="74"/>
      <c r="R1203" s="74"/>
      <c r="S1203" s="74"/>
      <c r="T1203" s="74"/>
      <c r="U1203" s="74"/>
      <c r="V1203" s="74"/>
      <c r="W1203" s="74"/>
    </row>
    <row r="1204">
      <c r="A1204" s="74"/>
      <c r="B1204" s="74"/>
      <c r="C1204" s="74"/>
      <c r="D1204" s="74"/>
      <c r="E1204" s="74"/>
      <c r="F1204" s="74"/>
      <c r="G1204" s="74"/>
      <c r="H1204" s="74"/>
      <c r="I1204" s="74"/>
      <c r="J1204" s="74"/>
      <c r="K1204" s="74"/>
      <c r="L1204" s="74"/>
      <c r="M1204" s="74"/>
      <c r="N1204" s="74"/>
      <c r="O1204" s="74"/>
      <c r="P1204" s="74"/>
      <c r="Q1204" s="74"/>
      <c r="R1204" s="74"/>
      <c r="S1204" s="74"/>
      <c r="T1204" s="74"/>
      <c r="U1204" s="74"/>
      <c r="V1204" s="74"/>
      <c r="W1204" s="74"/>
    </row>
    <row r="1205">
      <c r="A1205" s="74"/>
      <c r="B1205" s="74"/>
      <c r="C1205" s="74"/>
      <c r="D1205" s="74"/>
      <c r="E1205" s="74"/>
      <c r="F1205" s="74"/>
      <c r="G1205" s="74"/>
      <c r="H1205" s="74"/>
      <c r="I1205" s="74"/>
      <c r="J1205" s="74"/>
      <c r="K1205" s="74"/>
      <c r="L1205" s="74"/>
      <c r="M1205" s="74"/>
      <c r="N1205" s="74"/>
      <c r="O1205" s="74"/>
      <c r="P1205" s="74"/>
      <c r="Q1205" s="74"/>
      <c r="R1205" s="74"/>
      <c r="S1205" s="74"/>
      <c r="T1205" s="74"/>
      <c r="U1205" s="74"/>
      <c r="V1205" s="74"/>
      <c r="W1205" s="74"/>
    </row>
    <row r="1206">
      <c r="A1206" s="74"/>
      <c r="B1206" s="74"/>
      <c r="C1206" s="74"/>
      <c r="D1206" s="74"/>
      <c r="E1206" s="74"/>
      <c r="F1206" s="74"/>
      <c r="G1206" s="74"/>
      <c r="H1206" s="74"/>
      <c r="I1206" s="74"/>
      <c r="J1206" s="74"/>
      <c r="K1206" s="74"/>
      <c r="L1206" s="74"/>
      <c r="M1206" s="74"/>
      <c r="N1206" s="74"/>
      <c r="O1206" s="74"/>
      <c r="P1206" s="74"/>
      <c r="Q1206" s="74"/>
      <c r="R1206" s="74"/>
      <c r="S1206" s="74"/>
      <c r="T1206" s="74"/>
      <c r="U1206" s="74"/>
      <c r="V1206" s="74"/>
      <c r="W1206" s="74"/>
    </row>
    <row r="1207">
      <c r="A1207" s="74"/>
      <c r="B1207" s="74"/>
      <c r="C1207" s="74"/>
      <c r="D1207" s="74"/>
      <c r="E1207" s="74"/>
      <c r="F1207" s="74"/>
      <c r="G1207" s="74"/>
      <c r="H1207" s="74"/>
      <c r="I1207" s="74"/>
      <c r="J1207" s="74"/>
      <c r="K1207" s="74"/>
      <c r="L1207" s="74"/>
      <c r="M1207" s="74"/>
      <c r="N1207" s="74"/>
      <c r="O1207" s="74"/>
      <c r="P1207" s="74"/>
      <c r="Q1207" s="74"/>
      <c r="R1207" s="74"/>
      <c r="S1207" s="74"/>
      <c r="T1207" s="74"/>
      <c r="U1207" s="74"/>
      <c r="V1207" s="74"/>
      <c r="W1207" s="74"/>
    </row>
    <row r="1208">
      <c r="A1208" s="74"/>
      <c r="B1208" s="74"/>
      <c r="C1208" s="74"/>
      <c r="D1208" s="74"/>
      <c r="E1208" s="74"/>
      <c r="F1208" s="74"/>
      <c r="G1208" s="74"/>
      <c r="H1208" s="74"/>
      <c r="I1208" s="74"/>
      <c r="J1208" s="74"/>
      <c r="K1208" s="74"/>
      <c r="L1208" s="74"/>
      <c r="M1208" s="74"/>
      <c r="N1208" s="74"/>
      <c r="O1208" s="74"/>
      <c r="P1208" s="74"/>
      <c r="Q1208" s="74"/>
      <c r="R1208" s="74"/>
      <c r="S1208" s="74"/>
      <c r="T1208" s="74"/>
      <c r="U1208" s="74"/>
      <c r="V1208" s="74"/>
      <c r="W1208" s="74"/>
    </row>
    <row r="1209">
      <c r="A1209" s="74"/>
      <c r="B1209" s="74"/>
      <c r="C1209" s="74"/>
      <c r="D1209" s="74"/>
      <c r="E1209" s="74"/>
      <c r="F1209" s="74"/>
      <c r="G1209" s="74"/>
      <c r="H1209" s="74"/>
      <c r="I1209" s="74"/>
      <c r="J1209" s="74"/>
      <c r="K1209" s="74"/>
      <c r="L1209" s="74"/>
      <c r="M1209" s="74"/>
      <c r="N1209" s="74"/>
      <c r="O1209" s="74"/>
      <c r="P1209" s="74"/>
      <c r="Q1209" s="74"/>
      <c r="R1209" s="74"/>
      <c r="S1209" s="74"/>
      <c r="T1209" s="74"/>
      <c r="U1209" s="74"/>
      <c r="V1209" s="74"/>
      <c r="W1209" s="74"/>
    </row>
    <row r="1210">
      <c r="A1210" s="74"/>
      <c r="B1210" s="74"/>
      <c r="C1210" s="74"/>
      <c r="D1210" s="74"/>
      <c r="E1210" s="74"/>
      <c r="F1210" s="74"/>
      <c r="G1210" s="74"/>
      <c r="H1210" s="74"/>
      <c r="I1210" s="74"/>
      <c r="J1210" s="74"/>
      <c r="K1210" s="74"/>
      <c r="L1210" s="74"/>
      <c r="M1210" s="74"/>
      <c r="N1210" s="74"/>
      <c r="O1210" s="74"/>
      <c r="P1210" s="74"/>
      <c r="Q1210" s="74"/>
      <c r="R1210" s="74"/>
      <c r="S1210" s="74"/>
      <c r="T1210" s="74"/>
      <c r="U1210" s="74"/>
      <c r="V1210" s="74"/>
      <c r="W1210" s="74"/>
    </row>
    <row r="1211">
      <c r="A1211" s="74"/>
      <c r="B1211" s="74"/>
      <c r="C1211" s="74"/>
      <c r="D1211" s="74"/>
      <c r="E1211" s="74"/>
      <c r="F1211" s="74"/>
      <c r="G1211" s="74"/>
      <c r="H1211" s="74"/>
      <c r="I1211" s="74"/>
      <c r="J1211" s="74"/>
      <c r="K1211" s="74"/>
      <c r="L1211" s="74"/>
      <c r="M1211" s="74"/>
      <c r="N1211" s="74"/>
      <c r="O1211" s="74"/>
      <c r="P1211" s="74"/>
      <c r="Q1211" s="74"/>
      <c r="R1211" s="74"/>
      <c r="S1211" s="74"/>
      <c r="T1211" s="74"/>
      <c r="U1211" s="74"/>
      <c r="V1211" s="74"/>
      <c r="W1211" s="74"/>
    </row>
    <row r="1212">
      <c r="A1212" s="74"/>
      <c r="B1212" s="74"/>
      <c r="C1212" s="74"/>
      <c r="D1212" s="74"/>
      <c r="E1212" s="74"/>
      <c r="F1212" s="74"/>
      <c r="G1212" s="74"/>
      <c r="H1212" s="74"/>
      <c r="I1212" s="74"/>
      <c r="J1212" s="74"/>
      <c r="K1212" s="74"/>
      <c r="L1212" s="74"/>
      <c r="M1212" s="74"/>
      <c r="N1212" s="74"/>
      <c r="O1212" s="74"/>
      <c r="P1212" s="74"/>
      <c r="Q1212" s="74"/>
      <c r="R1212" s="74"/>
      <c r="S1212" s="74"/>
      <c r="T1212" s="74"/>
      <c r="U1212" s="74"/>
      <c r="V1212" s="74"/>
      <c r="W1212" s="74"/>
    </row>
    <row r="1213">
      <c r="A1213" s="74"/>
      <c r="B1213" s="74"/>
      <c r="C1213" s="74"/>
      <c r="D1213" s="74"/>
      <c r="E1213" s="74"/>
      <c r="F1213" s="74"/>
      <c r="G1213" s="74"/>
      <c r="H1213" s="74"/>
      <c r="I1213" s="74"/>
      <c r="J1213" s="74"/>
      <c r="K1213" s="74"/>
      <c r="L1213" s="74"/>
      <c r="M1213" s="74"/>
      <c r="N1213" s="74"/>
      <c r="O1213" s="74"/>
      <c r="P1213" s="74"/>
      <c r="Q1213" s="74"/>
      <c r="R1213" s="74"/>
      <c r="S1213" s="74"/>
      <c r="T1213" s="74"/>
      <c r="U1213" s="74"/>
      <c r="V1213" s="74"/>
      <c r="W1213" s="74"/>
    </row>
    <row r="1214">
      <c r="A1214" s="74"/>
      <c r="B1214" s="74"/>
      <c r="C1214" s="74"/>
      <c r="D1214" s="74"/>
      <c r="E1214" s="74"/>
      <c r="F1214" s="74"/>
      <c r="G1214" s="74"/>
      <c r="H1214" s="74"/>
      <c r="I1214" s="74"/>
      <c r="J1214" s="74"/>
      <c r="K1214" s="74"/>
      <c r="L1214" s="74"/>
      <c r="M1214" s="74"/>
      <c r="N1214" s="74"/>
      <c r="O1214" s="74"/>
      <c r="P1214" s="74"/>
      <c r="Q1214" s="74"/>
      <c r="R1214" s="74"/>
      <c r="S1214" s="74"/>
      <c r="T1214" s="74"/>
      <c r="U1214" s="74"/>
      <c r="V1214" s="74"/>
      <c r="W1214" s="74"/>
    </row>
    <row r="1215">
      <c r="A1215" s="74"/>
      <c r="B1215" s="74"/>
      <c r="C1215" s="74"/>
      <c r="D1215" s="74"/>
      <c r="E1215" s="74"/>
      <c r="F1215" s="74"/>
      <c r="G1215" s="74"/>
      <c r="H1215" s="74"/>
      <c r="I1215" s="74"/>
      <c r="J1215" s="74"/>
      <c r="K1215" s="74"/>
      <c r="L1215" s="74"/>
      <c r="M1215" s="74"/>
      <c r="N1215" s="74"/>
      <c r="O1215" s="74"/>
      <c r="P1215" s="74"/>
      <c r="Q1215" s="74"/>
      <c r="R1215" s="74"/>
      <c r="S1215" s="74"/>
      <c r="T1215" s="74"/>
      <c r="U1215" s="74"/>
      <c r="V1215" s="74"/>
      <c r="W1215" s="74"/>
    </row>
    <row r="1216">
      <c r="A1216" s="74"/>
      <c r="B1216" s="74"/>
      <c r="C1216" s="74"/>
      <c r="D1216" s="74"/>
      <c r="E1216" s="74"/>
      <c r="F1216" s="74"/>
      <c r="G1216" s="74"/>
      <c r="H1216" s="74"/>
      <c r="I1216" s="74"/>
      <c r="J1216" s="74"/>
      <c r="K1216" s="74"/>
      <c r="L1216" s="74"/>
      <c r="M1216" s="74"/>
      <c r="N1216" s="74"/>
      <c r="O1216" s="74"/>
      <c r="P1216" s="74"/>
      <c r="Q1216" s="74"/>
      <c r="R1216" s="74"/>
      <c r="S1216" s="74"/>
      <c r="T1216" s="74"/>
      <c r="U1216" s="74"/>
      <c r="V1216" s="74"/>
      <c r="W1216" s="74"/>
    </row>
    <row r="1217">
      <c r="A1217" s="74"/>
      <c r="B1217" s="74"/>
      <c r="C1217" s="74"/>
      <c r="D1217" s="74"/>
      <c r="E1217" s="74"/>
      <c r="F1217" s="74"/>
      <c r="G1217" s="74"/>
      <c r="H1217" s="74"/>
      <c r="I1217" s="74"/>
      <c r="J1217" s="74"/>
      <c r="K1217" s="74"/>
      <c r="L1217" s="74"/>
      <c r="M1217" s="74"/>
      <c r="N1217" s="74"/>
      <c r="O1217" s="74"/>
      <c r="P1217" s="74"/>
      <c r="Q1217" s="74"/>
      <c r="R1217" s="74"/>
      <c r="S1217" s="74"/>
      <c r="T1217" s="74"/>
      <c r="U1217" s="74"/>
      <c r="V1217" s="74"/>
      <c r="W1217" s="74"/>
    </row>
    <row r="1218">
      <c r="A1218" s="74"/>
      <c r="B1218" s="74"/>
      <c r="C1218" s="74"/>
      <c r="D1218" s="74"/>
      <c r="E1218" s="74"/>
      <c r="F1218" s="74"/>
      <c r="G1218" s="74"/>
      <c r="H1218" s="74"/>
      <c r="I1218" s="74"/>
      <c r="J1218" s="74"/>
      <c r="K1218" s="74"/>
      <c r="L1218" s="74"/>
      <c r="M1218" s="74"/>
      <c r="N1218" s="74"/>
      <c r="O1218" s="74"/>
      <c r="P1218" s="74"/>
      <c r="Q1218" s="74"/>
      <c r="R1218" s="74"/>
      <c r="S1218" s="74"/>
      <c r="T1218" s="74"/>
      <c r="U1218" s="74"/>
      <c r="V1218" s="74"/>
      <c r="W1218" s="74"/>
    </row>
    <row r="1219">
      <c r="A1219" s="74"/>
      <c r="B1219" s="74"/>
      <c r="C1219" s="74"/>
      <c r="D1219" s="74"/>
      <c r="E1219" s="74"/>
      <c r="F1219" s="74"/>
      <c r="G1219" s="74"/>
      <c r="H1219" s="74"/>
      <c r="I1219" s="74"/>
      <c r="J1219" s="74"/>
      <c r="K1219" s="74"/>
      <c r="L1219" s="74"/>
      <c r="M1219" s="74"/>
      <c r="N1219" s="74"/>
      <c r="O1219" s="74"/>
      <c r="P1219" s="74"/>
      <c r="Q1219" s="74"/>
      <c r="R1219" s="74"/>
      <c r="S1219" s="74"/>
      <c r="T1219" s="74"/>
      <c r="U1219" s="74"/>
      <c r="V1219" s="74"/>
      <c r="W1219" s="74"/>
    </row>
    <row r="1220">
      <c r="A1220" s="74"/>
      <c r="B1220" s="74"/>
      <c r="C1220" s="74"/>
      <c r="D1220" s="74"/>
      <c r="E1220" s="74"/>
      <c r="F1220" s="74"/>
      <c r="G1220" s="74"/>
      <c r="H1220" s="74"/>
      <c r="I1220" s="74"/>
      <c r="J1220" s="74"/>
      <c r="K1220" s="74"/>
      <c r="L1220" s="74"/>
      <c r="M1220" s="74"/>
      <c r="N1220" s="74"/>
      <c r="O1220" s="74"/>
      <c r="P1220" s="74"/>
      <c r="Q1220" s="74"/>
      <c r="R1220" s="74"/>
      <c r="S1220" s="74"/>
      <c r="T1220" s="74"/>
      <c r="U1220" s="74"/>
      <c r="V1220" s="74"/>
      <c r="W1220" s="74"/>
    </row>
    <row r="1221">
      <c r="A1221" s="74"/>
      <c r="B1221" s="74"/>
      <c r="C1221" s="74"/>
      <c r="D1221" s="74"/>
      <c r="E1221" s="74"/>
      <c r="F1221" s="74"/>
      <c r="G1221" s="74"/>
      <c r="H1221" s="74"/>
      <c r="I1221" s="74"/>
      <c r="J1221" s="74"/>
      <c r="K1221" s="74"/>
      <c r="L1221" s="74"/>
      <c r="M1221" s="74"/>
      <c r="N1221" s="74"/>
      <c r="O1221" s="74"/>
      <c r="P1221" s="74"/>
      <c r="Q1221" s="74"/>
      <c r="R1221" s="74"/>
      <c r="S1221" s="74"/>
      <c r="T1221" s="74"/>
      <c r="U1221" s="74"/>
      <c r="V1221" s="74"/>
      <c r="W1221" s="74"/>
    </row>
    <row r="1222">
      <c r="A1222" s="74"/>
      <c r="B1222" s="74"/>
      <c r="C1222" s="74"/>
      <c r="D1222" s="74"/>
      <c r="E1222" s="74"/>
      <c r="F1222" s="74"/>
      <c r="G1222" s="74"/>
      <c r="H1222" s="74"/>
      <c r="I1222" s="74"/>
      <c r="J1222" s="74"/>
      <c r="K1222" s="74"/>
      <c r="L1222" s="74"/>
      <c r="M1222" s="74"/>
      <c r="N1222" s="74"/>
      <c r="O1222" s="74"/>
      <c r="P1222" s="74"/>
      <c r="Q1222" s="74"/>
      <c r="R1222" s="74"/>
      <c r="S1222" s="74"/>
      <c r="T1222" s="74"/>
      <c r="U1222" s="74"/>
      <c r="V1222" s="74"/>
      <c r="W1222" s="74"/>
    </row>
    <row r="1223">
      <c r="A1223" s="74"/>
      <c r="B1223" s="74"/>
      <c r="C1223" s="74"/>
      <c r="D1223" s="74"/>
      <c r="E1223" s="74"/>
      <c r="F1223" s="74"/>
      <c r="G1223" s="74"/>
      <c r="H1223" s="74"/>
      <c r="I1223" s="74"/>
      <c r="J1223" s="74"/>
      <c r="K1223" s="74"/>
      <c r="L1223" s="74"/>
      <c r="M1223" s="74"/>
      <c r="N1223" s="74"/>
      <c r="O1223" s="74"/>
      <c r="P1223" s="74"/>
      <c r="Q1223" s="74"/>
      <c r="R1223" s="74"/>
      <c r="S1223" s="74"/>
      <c r="T1223" s="74"/>
      <c r="U1223" s="74"/>
      <c r="V1223" s="74"/>
      <c r="W1223" s="74"/>
    </row>
    <row r="1224">
      <c r="A1224" s="74"/>
      <c r="B1224" s="74"/>
      <c r="C1224" s="74"/>
      <c r="D1224" s="74"/>
      <c r="E1224" s="74"/>
      <c r="F1224" s="74"/>
      <c r="G1224" s="74"/>
      <c r="H1224" s="74"/>
      <c r="I1224" s="74"/>
      <c r="J1224" s="74"/>
      <c r="K1224" s="74"/>
      <c r="L1224" s="74"/>
      <c r="M1224" s="74"/>
      <c r="N1224" s="74"/>
      <c r="O1224" s="74"/>
      <c r="P1224" s="74"/>
      <c r="Q1224" s="74"/>
      <c r="R1224" s="74"/>
      <c r="S1224" s="74"/>
      <c r="T1224" s="74"/>
      <c r="U1224" s="74"/>
      <c r="V1224" s="74"/>
      <c r="W1224" s="74"/>
    </row>
    <row r="1225">
      <c r="A1225" s="74"/>
      <c r="B1225" s="74"/>
      <c r="C1225" s="74"/>
      <c r="D1225" s="74"/>
      <c r="E1225" s="74"/>
      <c r="F1225" s="74"/>
      <c r="G1225" s="74"/>
      <c r="H1225" s="74"/>
      <c r="I1225" s="74"/>
      <c r="J1225" s="74"/>
      <c r="K1225" s="74"/>
      <c r="L1225" s="74"/>
      <c r="M1225" s="74"/>
      <c r="N1225" s="74"/>
      <c r="O1225" s="74"/>
      <c r="P1225" s="74"/>
      <c r="Q1225" s="74"/>
      <c r="R1225" s="74"/>
      <c r="S1225" s="74"/>
      <c r="T1225" s="74"/>
      <c r="U1225" s="74"/>
      <c r="V1225" s="74"/>
      <c r="W1225" s="74"/>
    </row>
    <row r="1226">
      <c r="A1226" s="74"/>
      <c r="B1226" s="74"/>
      <c r="C1226" s="74"/>
      <c r="D1226" s="74"/>
      <c r="E1226" s="74"/>
      <c r="F1226" s="74"/>
      <c r="G1226" s="74"/>
      <c r="H1226" s="74"/>
      <c r="I1226" s="74"/>
      <c r="J1226" s="74"/>
      <c r="K1226" s="74"/>
      <c r="L1226" s="74"/>
      <c r="M1226" s="74"/>
      <c r="N1226" s="74"/>
      <c r="O1226" s="74"/>
      <c r="P1226" s="74"/>
      <c r="Q1226" s="74"/>
      <c r="R1226" s="74"/>
      <c r="S1226" s="74"/>
      <c r="T1226" s="74"/>
      <c r="U1226" s="74"/>
      <c r="V1226" s="74"/>
      <c r="W1226" s="74"/>
    </row>
    <row r="1227">
      <c r="A1227" s="74"/>
      <c r="B1227" s="74"/>
      <c r="C1227" s="74"/>
      <c r="D1227" s="74"/>
      <c r="E1227" s="74"/>
      <c r="F1227" s="74"/>
      <c r="G1227" s="74"/>
      <c r="H1227" s="74"/>
      <c r="I1227" s="74"/>
      <c r="J1227" s="74"/>
      <c r="K1227" s="74"/>
      <c r="L1227" s="74"/>
      <c r="M1227" s="74"/>
      <c r="N1227" s="74"/>
      <c r="O1227" s="74"/>
      <c r="P1227" s="74"/>
      <c r="Q1227" s="74"/>
      <c r="R1227" s="74"/>
      <c r="S1227" s="74"/>
      <c r="T1227" s="74"/>
      <c r="U1227" s="74"/>
      <c r="V1227" s="74"/>
      <c r="W1227" s="74"/>
    </row>
    <row r="1228">
      <c r="A1228" s="74"/>
      <c r="B1228" s="74"/>
      <c r="C1228" s="74"/>
      <c r="D1228" s="74"/>
      <c r="E1228" s="74"/>
      <c r="F1228" s="74"/>
      <c r="G1228" s="74"/>
      <c r="H1228" s="74"/>
      <c r="I1228" s="74"/>
      <c r="J1228" s="74"/>
      <c r="K1228" s="74"/>
      <c r="L1228" s="74"/>
      <c r="M1228" s="74"/>
      <c r="N1228" s="74"/>
      <c r="O1228" s="74"/>
      <c r="P1228" s="74"/>
      <c r="Q1228" s="74"/>
      <c r="R1228" s="74"/>
      <c r="S1228" s="74"/>
      <c r="T1228" s="74"/>
      <c r="U1228" s="74"/>
      <c r="V1228" s="74"/>
      <c r="W1228" s="74"/>
    </row>
    <row r="1229">
      <c r="A1229" s="74"/>
      <c r="B1229" s="74"/>
      <c r="C1229" s="74"/>
      <c r="D1229" s="74"/>
      <c r="E1229" s="74"/>
      <c r="F1229" s="74"/>
      <c r="G1229" s="74"/>
      <c r="H1229" s="74"/>
      <c r="I1229" s="74"/>
      <c r="J1229" s="74"/>
      <c r="K1229" s="74"/>
      <c r="L1229" s="74"/>
      <c r="M1229" s="74"/>
      <c r="N1229" s="74"/>
      <c r="O1229" s="74"/>
      <c r="P1229" s="74"/>
      <c r="Q1229" s="74"/>
      <c r="R1229" s="74"/>
      <c r="S1229" s="74"/>
      <c r="T1229" s="74"/>
      <c r="U1229" s="74"/>
      <c r="V1229" s="74"/>
      <c r="W1229" s="74"/>
    </row>
    <row r="1230">
      <c r="A1230" s="74"/>
      <c r="B1230" s="74"/>
      <c r="C1230" s="74"/>
      <c r="D1230" s="74"/>
      <c r="E1230" s="74"/>
      <c r="F1230" s="74"/>
      <c r="G1230" s="74"/>
      <c r="H1230" s="74"/>
      <c r="I1230" s="74"/>
      <c r="J1230" s="74"/>
      <c r="K1230" s="74"/>
      <c r="L1230" s="74"/>
      <c r="M1230" s="74"/>
      <c r="N1230" s="74"/>
      <c r="O1230" s="74"/>
      <c r="P1230" s="74"/>
      <c r="Q1230" s="74"/>
      <c r="R1230" s="74"/>
      <c r="S1230" s="74"/>
      <c r="T1230" s="74"/>
      <c r="U1230" s="74"/>
      <c r="V1230" s="74"/>
      <c r="W1230" s="74"/>
    </row>
    <row r="1231">
      <c r="A1231" s="74"/>
      <c r="B1231" s="74"/>
      <c r="C1231" s="74"/>
      <c r="D1231" s="74"/>
      <c r="E1231" s="74"/>
      <c r="F1231" s="74"/>
      <c r="G1231" s="74"/>
      <c r="H1231" s="74"/>
      <c r="I1231" s="74"/>
      <c r="J1231" s="74"/>
      <c r="K1231" s="74"/>
      <c r="L1231" s="74"/>
      <c r="M1231" s="74"/>
      <c r="N1231" s="74"/>
      <c r="O1231" s="74"/>
      <c r="P1231" s="74"/>
      <c r="Q1231" s="74"/>
      <c r="R1231" s="74"/>
      <c r="S1231" s="74"/>
      <c r="T1231" s="74"/>
      <c r="U1231" s="74"/>
      <c r="V1231" s="74"/>
      <c r="W1231" s="74"/>
    </row>
    <row r="1232">
      <c r="A1232" s="74"/>
      <c r="B1232" s="74"/>
      <c r="C1232" s="74"/>
      <c r="D1232" s="74"/>
      <c r="E1232" s="74"/>
      <c r="F1232" s="74"/>
      <c r="G1232" s="74"/>
      <c r="H1232" s="74"/>
      <c r="I1232" s="74"/>
      <c r="J1232" s="74"/>
      <c r="K1232" s="74"/>
      <c r="L1232" s="74"/>
      <c r="M1232" s="74"/>
      <c r="N1232" s="74"/>
      <c r="O1232" s="74"/>
      <c r="P1232" s="74"/>
      <c r="Q1232" s="74"/>
      <c r="R1232" s="74"/>
      <c r="S1232" s="74"/>
      <c r="T1232" s="74"/>
      <c r="U1232" s="74"/>
      <c r="V1232" s="74"/>
      <c r="W1232" s="74"/>
    </row>
    <row r="1233">
      <c r="A1233" s="74"/>
      <c r="B1233" s="74"/>
      <c r="C1233" s="74"/>
      <c r="D1233" s="74"/>
      <c r="E1233" s="74"/>
      <c r="F1233" s="74"/>
      <c r="G1233" s="74"/>
      <c r="H1233" s="74"/>
      <c r="I1233" s="74"/>
      <c r="J1233" s="74"/>
      <c r="K1233" s="74"/>
      <c r="L1233" s="74"/>
      <c r="M1233" s="74"/>
      <c r="N1233" s="74"/>
      <c r="O1233" s="74"/>
      <c r="P1233" s="74"/>
      <c r="Q1233" s="74"/>
      <c r="R1233" s="74"/>
      <c r="S1233" s="74"/>
      <c r="T1233" s="74"/>
      <c r="U1233" s="74"/>
      <c r="V1233" s="74"/>
      <c r="W1233" s="74"/>
    </row>
    <row r="1234">
      <c r="A1234" s="74"/>
      <c r="B1234" s="74"/>
      <c r="C1234" s="74"/>
      <c r="D1234" s="74"/>
      <c r="E1234" s="74"/>
      <c r="F1234" s="74"/>
      <c r="G1234" s="74"/>
      <c r="H1234" s="74"/>
      <c r="I1234" s="74"/>
      <c r="J1234" s="74"/>
      <c r="K1234" s="74"/>
      <c r="L1234" s="74"/>
      <c r="M1234" s="74"/>
      <c r="N1234" s="74"/>
      <c r="O1234" s="74"/>
      <c r="P1234" s="74"/>
      <c r="Q1234" s="74"/>
      <c r="R1234" s="74"/>
      <c r="S1234" s="74"/>
      <c r="T1234" s="74"/>
      <c r="U1234" s="74"/>
      <c r="V1234" s="74"/>
      <c r="W1234" s="74"/>
    </row>
    <row r="1235">
      <c r="A1235" s="74"/>
      <c r="B1235" s="74"/>
      <c r="C1235" s="74"/>
      <c r="D1235" s="74"/>
      <c r="E1235" s="74"/>
      <c r="F1235" s="74"/>
      <c r="G1235" s="74"/>
      <c r="H1235" s="74"/>
      <c r="I1235" s="74"/>
      <c r="J1235" s="74"/>
      <c r="K1235" s="74"/>
      <c r="L1235" s="74"/>
      <c r="M1235" s="74"/>
      <c r="N1235" s="74"/>
      <c r="O1235" s="74"/>
      <c r="P1235" s="74"/>
      <c r="Q1235" s="74"/>
      <c r="R1235" s="74"/>
      <c r="S1235" s="74"/>
      <c r="T1235" s="74"/>
      <c r="U1235" s="74"/>
      <c r="V1235" s="74"/>
      <c r="W1235" s="74"/>
    </row>
    <row r="1236">
      <c r="A1236" s="74"/>
      <c r="B1236" s="74"/>
      <c r="C1236" s="74"/>
      <c r="D1236" s="74"/>
      <c r="E1236" s="74"/>
      <c r="F1236" s="74"/>
      <c r="G1236" s="74"/>
      <c r="H1236" s="74"/>
      <c r="I1236" s="74"/>
      <c r="J1236" s="74"/>
      <c r="K1236" s="74"/>
      <c r="L1236" s="74"/>
      <c r="M1236" s="74"/>
      <c r="N1236" s="74"/>
      <c r="O1236" s="74"/>
      <c r="P1236" s="74"/>
      <c r="Q1236" s="74"/>
      <c r="R1236" s="74"/>
      <c r="S1236" s="74"/>
      <c r="T1236" s="74"/>
      <c r="U1236" s="74"/>
      <c r="V1236" s="74"/>
      <c r="W1236" s="74"/>
    </row>
    <row r="1237">
      <c r="A1237" s="74"/>
      <c r="B1237" s="74"/>
      <c r="C1237" s="74"/>
      <c r="D1237" s="74"/>
      <c r="E1237" s="74"/>
      <c r="F1237" s="74"/>
      <c r="G1237" s="74"/>
      <c r="H1237" s="74"/>
      <c r="I1237" s="74"/>
      <c r="J1237" s="74"/>
      <c r="K1237" s="74"/>
      <c r="L1237" s="74"/>
      <c r="M1237" s="74"/>
      <c r="N1237" s="74"/>
      <c r="O1237" s="74"/>
      <c r="P1237" s="74"/>
      <c r="Q1237" s="74"/>
      <c r="R1237" s="74"/>
      <c r="S1237" s="74"/>
      <c r="T1237" s="74"/>
      <c r="U1237" s="74"/>
      <c r="V1237" s="74"/>
      <c r="W1237" s="74"/>
    </row>
    <row r="1238">
      <c r="A1238" s="74"/>
      <c r="B1238" s="74"/>
      <c r="C1238" s="74"/>
      <c r="D1238" s="74"/>
      <c r="E1238" s="74"/>
      <c r="F1238" s="74"/>
      <c r="G1238" s="74"/>
      <c r="H1238" s="74"/>
      <c r="I1238" s="74"/>
      <c r="J1238" s="74"/>
      <c r="K1238" s="74"/>
      <c r="L1238" s="74"/>
      <c r="M1238" s="74"/>
      <c r="N1238" s="74"/>
      <c r="O1238" s="74"/>
      <c r="P1238" s="74"/>
      <c r="Q1238" s="74"/>
      <c r="R1238" s="74"/>
      <c r="S1238" s="74"/>
      <c r="T1238" s="74"/>
      <c r="U1238" s="74"/>
      <c r="V1238" s="74"/>
      <c r="W1238" s="74"/>
    </row>
    <row r="1239">
      <c r="A1239" s="74"/>
      <c r="B1239" s="74"/>
      <c r="C1239" s="74"/>
      <c r="D1239" s="74"/>
      <c r="E1239" s="74"/>
      <c r="F1239" s="74"/>
      <c r="G1239" s="74"/>
      <c r="H1239" s="74"/>
      <c r="I1239" s="74"/>
      <c r="J1239" s="74"/>
      <c r="K1239" s="74"/>
      <c r="L1239" s="74"/>
      <c r="M1239" s="74"/>
      <c r="N1239" s="74"/>
      <c r="O1239" s="74"/>
      <c r="P1239" s="74"/>
      <c r="Q1239" s="74"/>
      <c r="R1239" s="74"/>
      <c r="S1239" s="74"/>
      <c r="T1239" s="74"/>
      <c r="U1239" s="74"/>
      <c r="V1239" s="74"/>
      <c r="W1239" s="74"/>
    </row>
    <row r="1240">
      <c r="A1240" s="74"/>
      <c r="B1240" s="74"/>
      <c r="C1240" s="74"/>
      <c r="D1240" s="74"/>
      <c r="E1240" s="74"/>
      <c r="F1240" s="74"/>
      <c r="G1240" s="74"/>
      <c r="H1240" s="74"/>
      <c r="I1240" s="74"/>
      <c r="J1240" s="74"/>
      <c r="K1240" s="74"/>
      <c r="L1240" s="74"/>
      <c r="M1240" s="74"/>
      <c r="N1240" s="74"/>
      <c r="O1240" s="74"/>
      <c r="P1240" s="74"/>
      <c r="Q1240" s="74"/>
      <c r="R1240" s="74"/>
      <c r="S1240" s="74"/>
      <c r="T1240" s="74"/>
      <c r="U1240" s="74"/>
      <c r="V1240" s="74"/>
      <c r="W1240" s="74"/>
    </row>
    <row r="1241">
      <c r="A1241" s="74"/>
      <c r="B1241" s="74"/>
      <c r="C1241" s="74"/>
      <c r="D1241" s="74"/>
      <c r="E1241" s="74"/>
      <c r="F1241" s="74"/>
      <c r="G1241" s="74"/>
      <c r="H1241" s="74"/>
      <c r="I1241" s="74"/>
      <c r="J1241" s="74"/>
      <c r="K1241" s="74"/>
      <c r="L1241" s="74"/>
      <c r="M1241" s="74"/>
      <c r="N1241" s="74"/>
      <c r="O1241" s="74"/>
      <c r="P1241" s="74"/>
      <c r="Q1241" s="74"/>
      <c r="R1241" s="74"/>
      <c r="S1241" s="74"/>
      <c r="T1241" s="74"/>
      <c r="U1241" s="74"/>
      <c r="V1241" s="74"/>
      <c r="W1241" s="74"/>
    </row>
    <row r="1242">
      <c r="A1242" s="74"/>
      <c r="B1242" s="74"/>
      <c r="C1242" s="74"/>
      <c r="D1242" s="74"/>
      <c r="E1242" s="74"/>
      <c r="F1242" s="74"/>
      <c r="G1242" s="74"/>
      <c r="H1242" s="74"/>
      <c r="I1242" s="74"/>
      <c r="J1242" s="74"/>
      <c r="K1242" s="74"/>
      <c r="L1242" s="74"/>
      <c r="M1242" s="74"/>
      <c r="N1242" s="74"/>
      <c r="O1242" s="74"/>
      <c r="P1242" s="74"/>
      <c r="Q1242" s="74"/>
      <c r="R1242" s="74"/>
      <c r="S1242" s="74"/>
      <c r="T1242" s="74"/>
      <c r="U1242" s="74"/>
      <c r="V1242" s="74"/>
      <c r="W1242" s="74"/>
    </row>
    <row r="1243">
      <c r="A1243" s="74"/>
      <c r="B1243" s="74"/>
      <c r="C1243" s="74"/>
      <c r="D1243" s="74"/>
      <c r="E1243" s="74"/>
      <c r="F1243" s="74"/>
      <c r="G1243" s="74"/>
      <c r="H1243" s="74"/>
      <c r="I1243" s="74"/>
      <c r="J1243" s="74"/>
      <c r="K1243" s="74"/>
      <c r="L1243" s="74"/>
      <c r="M1243" s="74"/>
      <c r="N1243" s="74"/>
      <c r="O1243" s="74"/>
      <c r="P1243" s="74"/>
      <c r="Q1243" s="74"/>
      <c r="R1243" s="74"/>
      <c r="S1243" s="74"/>
      <c r="T1243" s="74"/>
      <c r="U1243" s="74"/>
      <c r="V1243" s="74"/>
      <c r="W1243" s="74"/>
    </row>
    <row r="1244">
      <c r="A1244" s="74"/>
      <c r="B1244" s="74"/>
      <c r="C1244" s="74"/>
      <c r="D1244" s="74"/>
      <c r="E1244" s="74"/>
      <c r="F1244" s="74"/>
      <c r="G1244" s="74"/>
      <c r="H1244" s="74"/>
      <c r="I1244" s="74"/>
      <c r="J1244" s="74"/>
      <c r="K1244" s="74"/>
      <c r="L1244" s="74"/>
      <c r="M1244" s="74"/>
      <c r="N1244" s="74"/>
      <c r="O1244" s="74"/>
      <c r="P1244" s="74"/>
      <c r="Q1244" s="74"/>
      <c r="R1244" s="74"/>
      <c r="S1244" s="74"/>
      <c r="T1244" s="74"/>
      <c r="U1244" s="74"/>
      <c r="V1244" s="74"/>
      <c r="W1244" s="74"/>
    </row>
    <row r="1245">
      <c r="A1245" s="74"/>
      <c r="B1245" s="74"/>
      <c r="C1245" s="74"/>
      <c r="D1245" s="74"/>
      <c r="E1245" s="74"/>
      <c r="F1245" s="74"/>
      <c r="G1245" s="74"/>
      <c r="H1245" s="74"/>
      <c r="I1245" s="74"/>
      <c r="J1245" s="74"/>
      <c r="K1245" s="74"/>
      <c r="L1245" s="74"/>
      <c r="M1245" s="74"/>
      <c r="N1245" s="74"/>
      <c r="O1245" s="74"/>
      <c r="P1245" s="74"/>
      <c r="Q1245" s="74"/>
      <c r="R1245" s="74"/>
      <c r="S1245" s="74"/>
      <c r="T1245" s="74"/>
      <c r="U1245" s="74"/>
      <c r="V1245" s="74"/>
      <c r="W1245" s="74"/>
    </row>
    <row r="1246">
      <c r="A1246" s="74"/>
      <c r="B1246" s="74"/>
      <c r="C1246" s="74"/>
      <c r="D1246" s="74"/>
      <c r="E1246" s="74"/>
      <c r="F1246" s="74"/>
      <c r="G1246" s="74"/>
      <c r="H1246" s="74"/>
      <c r="I1246" s="74"/>
      <c r="J1246" s="74"/>
      <c r="K1246" s="74"/>
      <c r="L1246" s="74"/>
      <c r="M1246" s="74"/>
      <c r="N1246" s="74"/>
      <c r="O1246" s="74"/>
      <c r="P1246" s="74"/>
      <c r="Q1246" s="74"/>
      <c r="R1246" s="74"/>
      <c r="S1246" s="74"/>
      <c r="T1246" s="74"/>
      <c r="U1246" s="74"/>
      <c r="V1246" s="74"/>
      <c r="W1246" s="74"/>
    </row>
    <row r="1247">
      <c r="A1247" s="74"/>
      <c r="B1247" s="74"/>
      <c r="C1247" s="74"/>
      <c r="D1247" s="74"/>
      <c r="E1247" s="74"/>
      <c r="F1247" s="74"/>
      <c r="G1247" s="74"/>
      <c r="H1247" s="74"/>
      <c r="I1247" s="74"/>
      <c r="J1247" s="74"/>
      <c r="K1247" s="74"/>
      <c r="L1247" s="74"/>
      <c r="M1247" s="74"/>
      <c r="N1247" s="74"/>
      <c r="O1247" s="74"/>
      <c r="P1247" s="74"/>
      <c r="Q1247" s="74"/>
      <c r="R1247" s="74"/>
      <c r="S1247" s="74"/>
      <c r="T1247" s="74"/>
      <c r="U1247" s="74"/>
      <c r="V1247" s="74"/>
      <c r="W1247" s="74"/>
    </row>
    <row r="1248">
      <c r="A1248" s="74"/>
      <c r="B1248" s="74"/>
      <c r="C1248" s="74"/>
      <c r="D1248" s="74"/>
      <c r="E1248" s="74"/>
      <c r="F1248" s="74"/>
      <c r="G1248" s="74"/>
      <c r="H1248" s="74"/>
      <c r="I1248" s="74"/>
      <c r="J1248" s="74"/>
      <c r="K1248" s="74"/>
      <c r="L1248" s="74"/>
      <c r="M1248" s="74"/>
      <c r="N1248" s="74"/>
      <c r="O1248" s="74"/>
      <c r="P1248" s="74"/>
      <c r="Q1248" s="74"/>
      <c r="R1248" s="74"/>
      <c r="S1248" s="74"/>
      <c r="T1248" s="74"/>
      <c r="U1248" s="74"/>
      <c r="V1248" s="74"/>
      <c r="W1248" s="74"/>
    </row>
    <row r="1249">
      <c r="A1249" s="74"/>
      <c r="B1249" s="74"/>
      <c r="C1249" s="74"/>
      <c r="D1249" s="74"/>
      <c r="E1249" s="74"/>
      <c r="F1249" s="74"/>
      <c r="G1249" s="74"/>
      <c r="H1249" s="74"/>
      <c r="I1249" s="74"/>
      <c r="J1249" s="74"/>
      <c r="K1249" s="74"/>
      <c r="L1249" s="74"/>
      <c r="M1249" s="74"/>
      <c r="N1249" s="74"/>
      <c r="O1249" s="74"/>
      <c r="P1249" s="74"/>
      <c r="Q1249" s="74"/>
      <c r="R1249" s="74"/>
      <c r="S1249" s="74"/>
      <c r="T1249" s="74"/>
      <c r="U1249" s="74"/>
      <c r="V1249" s="74"/>
      <c r="W1249" s="74"/>
    </row>
    <row r="1250">
      <c r="A1250" s="74"/>
      <c r="B1250" s="74"/>
      <c r="C1250" s="74"/>
      <c r="D1250" s="74"/>
      <c r="E1250" s="74"/>
      <c r="F1250" s="74"/>
      <c r="G1250" s="74"/>
      <c r="H1250" s="74"/>
      <c r="I1250" s="74"/>
      <c r="J1250" s="74"/>
      <c r="K1250" s="74"/>
      <c r="L1250" s="74"/>
      <c r="M1250" s="74"/>
      <c r="N1250" s="74"/>
      <c r="O1250" s="74"/>
      <c r="P1250" s="74"/>
      <c r="Q1250" s="74"/>
      <c r="R1250" s="74"/>
      <c r="S1250" s="74"/>
      <c r="T1250" s="74"/>
      <c r="U1250" s="74"/>
      <c r="V1250" s="74"/>
      <c r="W1250" s="74"/>
    </row>
    <row r="1251">
      <c r="A1251" s="74"/>
      <c r="B1251" s="74"/>
      <c r="C1251" s="74"/>
      <c r="D1251" s="74"/>
      <c r="E1251" s="74"/>
      <c r="F1251" s="74"/>
      <c r="G1251" s="74"/>
      <c r="H1251" s="74"/>
      <c r="I1251" s="74"/>
      <c r="J1251" s="74"/>
      <c r="K1251" s="74"/>
      <c r="L1251" s="74"/>
      <c r="M1251" s="74"/>
      <c r="N1251" s="74"/>
      <c r="O1251" s="74"/>
      <c r="P1251" s="74"/>
      <c r="Q1251" s="74"/>
      <c r="R1251" s="74"/>
      <c r="S1251" s="74"/>
      <c r="T1251" s="74"/>
      <c r="U1251" s="74"/>
      <c r="V1251" s="74"/>
      <c r="W1251" s="74"/>
    </row>
    <row r="1252">
      <c r="A1252" s="74"/>
      <c r="B1252" s="74"/>
      <c r="C1252" s="74"/>
      <c r="D1252" s="74"/>
      <c r="E1252" s="74"/>
      <c r="F1252" s="74"/>
      <c r="G1252" s="74"/>
      <c r="H1252" s="74"/>
      <c r="I1252" s="74"/>
      <c r="J1252" s="74"/>
      <c r="K1252" s="74"/>
      <c r="L1252" s="74"/>
      <c r="M1252" s="74"/>
      <c r="N1252" s="74"/>
      <c r="O1252" s="74"/>
      <c r="P1252" s="74"/>
      <c r="Q1252" s="74"/>
      <c r="R1252" s="74"/>
      <c r="S1252" s="74"/>
      <c r="T1252" s="74"/>
      <c r="U1252" s="74"/>
      <c r="V1252" s="74"/>
      <c r="W1252" s="74"/>
    </row>
    <row r="1253">
      <c r="A1253" s="74"/>
      <c r="B1253" s="74"/>
      <c r="C1253" s="74"/>
      <c r="D1253" s="74"/>
      <c r="E1253" s="74"/>
      <c r="F1253" s="74"/>
      <c r="G1253" s="74"/>
      <c r="H1253" s="74"/>
      <c r="I1253" s="74"/>
      <c r="J1253" s="74"/>
      <c r="K1253" s="74"/>
      <c r="L1253" s="74"/>
      <c r="M1253" s="74"/>
      <c r="N1253" s="74"/>
      <c r="O1253" s="74"/>
      <c r="P1253" s="74"/>
      <c r="Q1253" s="74"/>
      <c r="R1253" s="74"/>
      <c r="S1253" s="74"/>
      <c r="T1253" s="74"/>
      <c r="U1253" s="74"/>
      <c r="V1253" s="74"/>
      <c r="W1253" s="74"/>
    </row>
    <row r="1254">
      <c r="A1254" s="74"/>
      <c r="B1254" s="74"/>
      <c r="C1254" s="74"/>
      <c r="D1254" s="74"/>
      <c r="E1254" s="74"/>
      <c r="F1254" s="74"/>
      <c r="G1254" s="74"/>
      <c r="H1254" s="74"/>
      <c r="I1254" s="74"/>
      <c r="J1254" s="74"/>
      <c r="K1254" s="74"/>
      <c r="L1254" s="74"/>
      <c r="M1254" s="74"/>
      <c r="N1254" s="74"/>
      <c r="O1254" s="74"/>
      <c r="P1254" s="74"/>
      <c r="Q1254" s="74"/>
      <c r="R1254" s="74"/>
      <c r="S1254" s="74"/>
      <c r="T1254" s="74"/>
      <c r="U1254" s="74"/>
      <c r="V1254" s="74"/>
      <c r="W1254" s="74"/>
    </row>
    <row r="1255">
      <c r="A1255" s="74"/>
      <c r="B1255" s="74"/>
      <c r="C1255" s="74"/>
      <c r="D1255" s="74"/>
      <c r="E1255" s="74"/>
      <c r="F1255" s="74"/>
      <c r="G1255" s="74"/>
      <c r="H1255" s="74"/>
      <c r="I1255" s="74"/>
      <c r="J1255" s="74"/>
      <c r="K1255" s="74"/>
      <c r="L1255" s="74"/>
      <c r="M1255" s="74"/>
      <c r="N1255" s="74"/>
      <c r="O1255" s="74"/>
      <c r="P1255" s="74"/>
      <c r="Q1255" s="74"/>
      <c r="R1255" s="74"/>
      <c r="S1255" s="74"/>
      <c r="T1255" s="74"/>
      <c r="U1255" s="74"/>
      <c r="V1255" s="74"/>
      <c r="W1255" s="74"/>
    </row>
    <row r="1256">
      <c r="A1256" s="74"/>
      <c r="B1256" s="74"/>
      <c r="C1256" s="74"/>
      <c r="D1256" s="74"/>
      <c r="E1256" s="74"/>
      <c r="F1256" s="74"/>
      <c r="G1256" s="74"/>
      <c r="H1256" s="74"/>
      <c r="I1256" s="74"/>
      <c r="J1256" s="74"/>
      <c r="K1256" s="74"/>
      <c r="L1256" s="74"/>
      <c r="M1256" s="74"/>
      <c r="N1256" s="74"/>
      <c r="O1256" s="74"/>
      <c r="P1256" s="74"/>
      <c r="Q1256" s="74"/>
      <c r="R1256" s="74"/>
      <c r="S1256" s="74"/>
      <c r="T1256" s="74"/>
      <c r="U1256" s="74"/>
      <c r="V1256" s="74"/>
      <c r="W1256" s="74"/>
    </row>
    <row r="1257">
      <c r="A1257" s="74"/>
      <c r="B1257" s="74"/>
      <c r="C1257" s="74"/>
      <c r="D1257" s="74"/>
      <c r="E1257" s="74"/>
      <c r="F1257" s="74"/>
      <c r="G1257" s="74"/>
      <c r="H1257" s="74"/>
      <c r="I1257" s="74"/>
      <c r="J1257" s="74"/>
      <c r="K1257" s="74"/>
      <c r="L1257" s="74"/>
      <c r="M1257" s="74"/>
      <c r="N1257" s="74"/>
      <c r="O1257" s="74"/>
      <c r="P1257" s="74"/>
      <c r="Q1257" s="74"/>
      <c r="R1257" s="74"/>
      <c r="S1257" s="74"/>
      <c r="T1257" s="74"/>
      <c r="U1257" s="74"/>
      <c r="V1257" s="74"/>
      <c r="W1257" s="74"/>
    </row>
    <row r="1258">
      <c r="A1258" s="74"/>
      <c r="B1258" s="74"/>
      <c r="C1258" s="74"/>
      <c r="D1258" s="74"/>
      <c r="E1258" s="74"/>
      <c r="F1258" s="74"/>
      <c r="G1258" s="74"/>
      <c r="H1258" s="74"/>
      <c r="I1258" s="74"/>
      <c r="J1258" s="74"/>
      <c r="K1258" s="74"/>
      <c r="L1258" s="74"/>
      <c r="M1258" s="74"/>
      <c r="N1258" s="74"/>
      <c r="O1258" s="74"/>
      <c r="P1258" s="74"/>
      <c r="Q1258" s="74"/>
      <c r="R1258" s="74"/>
      <c r="S1258" s="74"/>
      <c r="T1258" s="74"/>
      <c r="U1258" s="74"/>
      <c r="V1258" s="74"/>
      <c r="W1258" s="74"/>
    </row>
    <row r="1259">
      <c r="A1259" s="74"/>
      <c r="B1259" s="74"/>
      <c r="C1259" s="74"/>
      <c r="D1259" s="74"/>
      <c r="E1259" s="74"/>
      <c r="F1259" s="74"/>
      <c r="G1259" s="74"/>
      <c r="H1259" s="74"/>
      <c r="I1259" s="74"/>
      <c r="J1259" s="74"/>
      <c r="K1259" s="74"/>
      <c r="L1259" s="74"/>
      <c r="M1259" s="74"/>
      <c r="N1259" s="74"/>
      <c r="O1259" s="74"/>
      <c r="P1259" s="74"/>
      <c r="Q1259" s="74"/>
      <c r="R1259" s="74"/>
      <c r="S1259" s="74"/>
      <c r="T1259" s="74"/>
      <c r="U1259" s="74"/>
      <c r="V1259" s="74"/>
      <c r="W1259" s="74"/>
    </row>
    <row r="1260">
      <c r="A1260" s="74"/>
      <c r="B1260" s="74"/>
      <c r="C1260" s="74"/>
      <c r="D1260" s="74"/>
      <c r="E1260" s="74"/>
      <c r="F1260" s="74"/>
      <c r="G1260" s="74"/>
      <c r="H1260" s="74"/>
      <c r="I1260" s="74"/>
      <c r="J1260" s="74"/>
      <c r="K1260" s="74"/>
      <c r="L1260" s="74"/>
      <c r="M1260" s="74"/>
      <c r="N1260" s="74"/>
      <c r="O1260" s="74"/>
      <c r="P1260" s="74"/>
      <c r="Q1260" s="74"/>
      <c r="R1260" s="74"/>
      <c r="S1260" s="74"/>
      <c r="T1260" s="74"/>
      <c r="U1260" s="74"/>
      <c r="V1260" s="74"/>
      <c r="W1260" s="74"/>
    </row>
    <row r="1261">
      <c r="A1261" s="74"/>
      <c r="B1261" s="74"/>
      <c r="C1261" s="74"/>
      <c r="D1261" s="74"/>
      <c r="E1261" s="74"/>
      <c r="F1261" s="74"/>
      <c r="G1261" s="74"/>
      <c r="H1261" s="74"/>
      <c r="I1261" s="74"/>
      <c r="J1261" s="74"/>
      <c r="K1261" s="74"/>
      <c r="L1261" s="74"/>
      <c r="M1261" s="74"/>
      <c r="N1261" s="74"/>
      <c r="O1261" s="74"/>
      <c r="P1261" s="74"/>
      <c r="Q1261" s="74"/>
      <c r="R1261" s="74"/>
      <c r="S1261" s="74"/>
      <c r="T1261" s="74"/>
      <c r="U1261" s="74"/>
      <c r="V1261" s="74"/>
      <c r="W1261" s="74"/>
    </row>
    <row r="1262">
      <c r="A1262" s="74"/>
      <c r="B1262" s="74"/>
      <c r="C1262" s="74"/>
      <c r="D1262" s="74"/>
      <c r="E1262" s="74"/>
      <c r="F1262" s="74"/>
      <c r="G1262" s="74"/>
      <c r="H1262" s="74"/>
      <c r="I1262" s="74"/>
      <c r="J1262" s="74"/>
      <c r="K1262" s="74"/>
      <c r="L1262" s="74"/>
      <c r="M1262" s="74"/>
      <c r="N1262" s="74"/>
      <c r="O1262" s="74"/>
      <c r="P1262" s="74"/>
      <c r="Q1262" s="74"/>
      <c r="R1262" s="74"/>
      <c r="S1262" s="74"/>
      <c r="T1262" s="74"/>
      <c r="U1262" s="74"/>
      <c r="V1262" s="74"/>
      <c r="W1262" s="74"/>
    </row>
    <row r="1263">
      <c r="A1263" s="74"/>
      <c r="B1263" s="74"/>
      <c r="C1263" s="74"/>
      <c r="D1263" s="74"/>
      <c r="E1263" s="74"/>
      <c r="F1263" s="74"/>
      <c r="G1263" s="74"/>
      <c r="H1263" s="74"/>
      <c r="I1263" s="74"/>
      <c r="J1263" s="74"/>
      <c r="K1263" s="74"/>
      <c r="L1263" s="74"/>
      <c r="M1263" s="74"/>
      <c r="N1263" s="74"/>
      <c r="O1263" s="74"/>
      <c r="P1263" s="74"/>
      <c r="Q1263" s="74"/>
      <c r="R1263" s="74"/>
      <c r="S1263" s="74"/>
      <c r="T1263" s="74"/>
      <c r="U1263" s="74"/>
      <c r="V1263" s="74"/>
      <c r="W1263" s="74"/>
    </row>
    <row r="1264">
      <c r="A1264" s="74"/>
      <c r="B1264" s="74"/>
      <c r="C1264" s="74"/>
      <c r="D1264" s="74"/>
      <c r="E1264" s="74"/>
      <c r="F1264" s="74"/>
      <c r="G1264" s="74"/>
      <c r="H1264" s="74"/>
      <c r="I1264" s="74"/>
      <c r="J1264" s="74"/>
      <c r="K1264" s="74"/>
      <c r="L1264" s="74"/>
      <c r="M1264" s="74"/>
      <c r="N1264" s="74"/>
      <c r="O1264" s="74"/>
      <c r="P1264" s="74"/>
      <c r="Q1264" s="74"/>
      <c r="R1264" s="74"/>
      <c r="S1264" s="74"/>
      <c r="T1264" s="74"/>
      <c r="U1264" s="74"/>
      <c r="V1264" s="74"/>
      <c r="W1264" s="74"/>
    </row>
    <row r="1265">
      <c r="A1265" s="74"/>
      <c r="B1265" s="74"/>
      <c r="C1265" s="74"/>
      <c r="D1265" s="74"/>
      <c r="E1265" s="74"/>
      <c r="F1265" s="74"/>
      <c r="G1265" s="74"/>
      <c r="H1265" s="74"/>
      <c r="I1265" s="74"/>
      <c r="J1265" s="74"/>
      <c r="K1265" s="74"/>
      <c r="L1265" s="74"/>
      <c r="M1265" s="74"/>
      <c r="N1265" s="74"/>
      <c r="O1265" s="74"/>
      <c r="P1265" s="74"/>
      <c r="Q1265" s="74"/>
      <c r="R1265" s="74"/>
      <c r="S1265" s="74"/>
      <c r="T1265" s="74"/>
      <c r="U1265" s="74"/>
      <c r="V1265" s="74"/>
      <c r="W1265" s="74"/>
    </row>
    <row r="1266">
      <c r="A1266" s="74"/>
      <c r="B1266" s="74"/>
      <c r="C1266" s="74"/>
      <c r="D1266" s="74"/>
      <c r="E1266" s="74"/>
      <c r="F1266" s="74"/>
      <c r="G1266" s="74"/>
      <c r="H1266" s="74"/>
      <c r="I1266" s="74"/>
      <c r="J1266" s="74"/>
      <c r="K1266" s="74"/>
      <c r="L1266" s="74"/>
      <c r="M1266" s="74"/>
      <c r="N1266" s="74"/>
      <c r="O1266" s="74"/>
      <c r="P1266" s="74"/>
      <c r="Q1266" s="74"/>
      <c r="R1266" s="74"/>
      <c r="S1266" s="74"/>
      <c r="T1266" s="74"/>
      <c r="U1266" s="74"/>
      <c r="V1266" s="74"/>
      <c r="W1266" s="74"/>
    </row>
    <row r="1267">
      <c r="A1267" s="74"/>
      <c r="B1267" s="74"/>
      <c r="C1267" s="74"/>
      <c r="D1267" s="74"/>
      <c r="E1267" s="74"/>
      <c r="F1267" s="74"/>
      <c r="G1267" s="74"/>
      <c r="H1267" s="74"/>
      <c r="I1267" s="74"/>
      <c r="J1267" s="74"/>
      <c r="K1267" s="74"/>
      <c r="L1267" s="74"/>
      <c r="M1267" s="74"/>
      <c r="N1267" s="74"/>
      <c r="O1267" s="74"/>
      <c r="P1267" s="74"/>
      <c r="Q1267" s="74"/>
      <c r="R1267" s="74"/>
      <c r="S1267" s="74"/>
      <c r="T1267" s="74"/>
      <c r="U1267" s="74"/>
      <c r="V1267" s="74"/>
      <c r="W1267" s="74"/>
    </row>
    <row r="1268">
      <c r="A1268" s="74"/>
      <c r="B1268" s="74"/>
      <c r="C1268" s="74"/>
      <c r="D1268" s="74"/>
      <c r="E1268" s="74"/>
      <c r="F1268" s="74"/>
      <c r="G1268" s="74"/>
      <c r="H1268" s="74"/>
      <c r="I1268" s="74"/>
      <c r="J1268" s="74"/>
      <c r="K1268" s="74"/>
      <c r="L1268" s="74"/>
      <c r="M1268" s="74"/>
      <c r="N1268" s="74"/>
      <c r="O1268" s="74"/>
      <c r="P1268" s="74"/>
      <c r="Q1268" s="74"/>
      <c r="R1268" s="74"/>
      <c r="S1268" s="74"/>
      <c r="T1268" s="74"/>
      <c r="U1268" s="74"/>
      <c r="V1268" s="74"/>
      <c r="W1268" s="74"/>
    </row>
    <row r="1269">
      <c r="A1269" s="74"/>
      <c r="B1269" s="74"/>
      <c r="C1269" s="74"/>
      <c r="D1269" s="74"/>
      <c r="E1269" s="74"/>
      <c r="F1269" s="74"/>
      <c r="G1269" s="74"/>
      <c r="H1269" s="74"/>
      <c r="I1269" s="74"/>
      <c r="J1269" s="74"/>
      <c r="K1269" s="74"/>
      <c r="L1269" s="74"/>
      <c r="M1269" s="74"/>
      <c r="N1269" s="74"/>
      <c r="O1269" s="74"/>
      <c r="P1269" s="74"/>
      <c r="Q1269" s="74"/>
      <c r="R1269" s="74"/>
      <c r="S1269" s="74"/>
      <c r="T1269" s="74"/>
      <c r="U1269" s="74"/>
      <c r="V1269" s="74"/>
      <c r="W1269" s="74"/>
    </row>
    <row r="1270">
      <c r="A1270" s="74"/>
      <c r="B1270" s="74"/>
      <c r="C1270" s="74"/>
      <c r="D1270" s="74"/>
      <c r="E1270" s="74"/>
      <c r="F1270" s="74"/>
      <c r="G1270" s="74"/>
      <c r="H1270" s="74"/>
      <c r="I1270" s="74"/>
      <c r="J1270" s="74"/>
      <c r="K1270" s="74"/>
      <c r="L1270" s="74"/>
      <c r="M1270" s="74"/>
      <c r="N1270" s="74"/>
      <c r="O1270" s="74"/>
      <c r="P1270" s="74"/>
      <c r="Q1270" s="74"/>
      <c r="R1270" s="74"/>
      <c r="S1270" s="74"/>
      <c r="T1270" s="74"/>
      <c r="U1270" s="74"/>
      <c r="V1270" s="74"/>
      <c r="W1270" s="74"/>
    </row>
    <row r="1271">
      <c r="A1271" s="74"/>
      <c r="B1271" s="74"/>
      <c r="C1271" s="74"/>
      <c r="D1271" s="74"/>
      <c r="E1271" s="74"/>
      <c r="F1271" s="74"/>
      <c r="G1271" s="74"/>
      <c r="H1271" s="74"/>
      <c r="I1271" s="74"/>
      <c r="J1271" s="74"/>
      <c r="K1271" s="74"/>
      <c r="L1271" s="74"/>
      <c r="M1271" s="74"/>
      <c r="N1271" s="74"/>
      <c r="O1271" s="74"/>
      <c r="P1271" s="74"/>
      <c r="Q1271" s="74"/>
      <c r="R1271" s="74"/>
      <c r="S1271" s="74"/>
      <c r="T1271" s="74"/>
      <c r="U1271" s="74"/>
      <c r="V1271" s="74"/>
      <c r="W1271" s="74"/>
    </row>
    <row r="1272">
      <c r="A1272" s="74"/>
      <c r="B1272" s="74"/>
      <c r="C1272" s="74"/>
      <c r="D1272" s="74"/>
      <c r="E1272" s="74"/>
      <c r="F1272" s="74"/>
      <c r="G1272" s="74"/>
      <c r="H1272" s="74"/>
      <c r="I1272" s="74"/>
      <c r="J1272" s="74"/>
      <c r="K1272" s="74"/>
      <c r="L1272" s="74"/>
      <c r="M1272" s="74"/>
      <c r="N1272" s="74"/>
      <c r="O1272" s="74"/>
      <c r="P1272" s="74"/>
      <c r="Q1272" s="74"/>
      <c r="R1272" s="74"/>
      <c r="S1272" s="74"/>
      <c r="T1272" s="74"/>
      <c r="U1272" s="74"/>
      <c r="V1272" s="74"/>
      <c r="W1272" s="74"/>
    </row>
    <row r="1273">
      <c r="A1273" s="74"/>
      <c r="B1273" s="74"/>
      <c r="C1273" s="74"/>
      <c r="D1273" s="74"/>
      <c r="E1273" s="74"/>
      <c r="F1273" s="74"/>
      <c r="G1273" s="74"/>
      <c r="H1273" s="74"/>
      <c r="I1273" s="74"/>
      <c r="J1273" s="74"/>
      <c r="K1273" s="74"/>
      <c r="L1273" s="74"/>
      <c r="M1273" s="74"/>
      <c r="N1273" s="74"/>
      <c r="O1273" s="74"/>
      <c r="P1273" s="74"/>
      <c r="Q1273" s="74"/>
      <c r="R1273" s="74"/>
      <c r="S1273" s="74"/>
      <c r="T1273" s="74"/>
      <c r="U1273" s="74"/>
      <c r="V1273" s="74"/>
      <c r="W1273" s="74"/>
    </row>
    <row r="1274">
      <c r="A1274" s="74"/>
      <c r="B1274" s="74"/>
      <c r="C1274" s="74"/>
      <c r="D1274" s="74"/>
      <c r="E1274" s="74"/>
      <c r="F1274" s="74"/>
      <c r="G1274" s="74"/>
      <c r="H1274" s="74"/>
      <c r="I1274" s="74"/>
      <c r="J1274" s="74"/>
      <c r="K1274" s="74"/>
      <c r="L1274" s="74"/>
      <c r="M1274" s="74"/>
      <c r="N1274" s="74"/>
      <c r="O1274" s="74"/>
      <c r="P1274" s="74"/>
      <c r="Q1274" s="74"/>
      <c r="R1274" s="74"/>
      <c r="S1274" s="74"/>
      <c r="T1274" s="74"/>
      <c r="U1274" s="74"/>
      <c r="V1274" s="74"/>
      <c r="W1274" s="74"/>
    </row>
    <row r="1275">
      <c r="A1275" s="74"/>
      <c r="B1275" s="74"/>
      <c r="C1275" s="74"/>
      <c r="D1275" s="74"/>
      <c r="E1275" s="74"/>
      <c r="F1275" s="74"/>
      <c r="G1275" s="74"/>
      <c r="H1275" s="74"/>
      <c r="I1275" s="74"/>
      <c r="J1275" s="74"/>
      <c r="K1275" s="74"/>
      <c r="L1275" s="74"/>
      <c r="M1275" s="74"/>
      <c r="N1275" s="74"/>
      <c r="O1275" s="74"/>
      <c r="P1275" s="74"/>
      <c r="Q1275" s="74"/>
      <c r="R1275" s="74"/>
      <c r="S1275" s="74"/>
      <c r="T1275" s="74"/>
      <c r="U1275" s="74"/>
      <c r="V1275" s="74"/>
      <c r="W1275" s="74"/>
    </row>
    <row r="1276">
      <c r="A1276" s="74"/>
      <c r="B1276" s="74"/>
      <c r="C1276" s="74"/>
      <c r="D1276" s="74"/>
      <c r="E1276" s="74"/>
      <c r="F1276" s="74"/>
      <c r="G1276" s="74"/>
      <c r="H1276" s="74"/>
      <c r="I1276" s="74"/>
      <c r="J1276" s="74"/>
      <c r="K1276" s="74"/>
      <c r="L1276" s="74"/>
      <c r="M1276" s="74"/>
      <c r="N1276" s="74"/>
      <c r="O1276" s="74"/>
      <c r="P1276" s="74"/>
      <c r="Q1276" s="74"/>
      <c r="R1276" s="74"/>
      <c r="S1276" s="74"/>
      <c r="T1276" s="74"/>
      <c r="U1276" s="74"/>
      <c r="V1276" s="74"/>
      <c r="W1276" s="74"/>
    </row>
    <row r="1277">
      <c r="A1277" s="74"/>
      <c r="B1277" s="74"/>
      <c r="C1277" s="74"/>
      <c r="D1277" s="74"/>
      <c r="E1277" s="74"/>
      <c r="F1277" s="74"/>
      <c r="G1277" s="74"/>
      <c r="H1277" s="74"/>
      <c r="I1277" s="74"/>
      <c r="J1277" s="74"/>
      <c r="K1277" s="74"/>
      <c r="L1277" s="74"/>
      <c r="M1277" s="74"/>
      <c r="N1277" s="74"/>
      <c r="O1277" s="74"/>
      <c r="P1277" s="74"/>
      <c r="Q1277" s="74"/>
      <c r="R1277" s="74"/>
      <c r="S1277" s="74"/>
      <c r="T1277" s="74"/>
      <c r="U1277" s="74"/>
      <c r="V1277" s="74"/>
      <c r="W1277" s="74"/>
    </row>
    <row r="1278">
      <c r="A1278" s="74"/>
      <c r="B1278" s="74"/>
      <c r="C1278" s="74"/>
      <c r="D1278" s="74"/>
      <c r="E1278" s="74"/>
      <c r="F1278" s="74"/>
      <c r="G1278" s="74"/>
      <c r="H1278" s="74"/>
      <c r="I1278" s="74"/>
      <c r="J1278" s="74"/>
      <c r="K1278" s="74"/>
      <c r="L1278" s="74"/>
      <c r="M1278" s="74"/>
      <c r="N1278" s="74"/>
      <c r="O1278" s="74"/>
      <c r="P1278" s="74"/>
      <c r="Q1278" s="74"/>
      <c r="R1278" s="74"/>
      <c r="S1278" s="74"/>
      <c r="T1278" s="74"/>
      <c r="U1278" s="74"/>
      <c r="V1278" s="74"/>
      <c r="W1278" s="74"/>
    </row>
    <row r="1279">
      <c r="A1279" s="74"/>
      <c r="B1279" s="74"/>
      <c r="C1279" s="74"/>
      <c r="D1279" s="74"/>
      <c r="E1279" s="74"/>
      <c r="F1279" s="74"/>
      <c r="G1279" s="74"/>
      <c r="H1279" s="74"/>
      <c r="I1279" s="74"/>
      <c r="J1279" s="74"/>
      <c r="K1279" s="74"/>
      <c r="L1279" s="74"/>
      <c r="M1279" s="74"/>
      <c r="N1279" s="74"/>
      <c r="O1279" s="74"/>
      <c r="P1279" s="74"/>
      <c r="Q1279" s="74"/>
      <c r="R1279" s="74"/>
      <c r="S1279" s="74"/>
      <c r="T1279" s="74"/>
      <c r="U1279" s="74"/>
      <c r="V1279" s="74"/>
      <c r="W1279" s="74"/>
    </row>
    <row r="1280">
      <c r="A1280" s="74"/>
      <c r="B1280" s="74"/>
      <c r="C1280" s="74"/>
      <c r="D1280" s="74"/>
      <c r="E1280" s="74"/>
      <c r="F1280" s="74"/>
      <c r="G1280" s="74"/>
      <c r="H1280" s="74"/>
      <c r="I1280" s="74"/>
      <c r="J1280" s="74"/>
      <c r="K1280" s="74"/>
      <c r="L1280" s="74"/>
      <c r="M1280" s="74"/>
      <c r="N1280" s="74"/>
      <c r="O1280" s="74"/>
      <c r="P1280" s="74"/>
      <c r="Q1280" s="74"/>
      <c r="R1280" s="74"/>
      <c r="S1280" s="74"/>
      <c r="T1280" s="74"/>
      <c r="U1280" s="74"/>
      <c r="V1280" s="74"/>
      <c r="W1280" s="74"/>
    </row>
    <row r="1281">
      <c r="A1281" s="74"/>
      <c r="B1281" s="74"/>
      <c r="C1281" s="74"/>
      <c r="D1281" s="74"/>
      <c r="E1281" s="74"/>
      <c r="F1281" s="74"/>
      <c r="G1281" s="74"/>
      <c r="H1281" s="74"/>
      <c r="I1281" s="74"/>
      <c r="J1281" s="74"/>
      <c r="K1281" s="74"/>
      <c r="L1281" s="74"/>
      <c r="M1281" s="74"/>
      <c r="N1281" s="74"/>
      <c r="O1281" s="74"/>
      <c r="P1281" s="74"/>
      <c r="Q1281" s="74"/>
      <c r="R1281" s="74"/>
      <c r="S1281" s="74"/>
      <c r="T1281" s="74"/>
      <c r="U1281" s="74"/>
      <c r="V1281" s="74"/>
      <c r="W1281" s="74"/>
    </row>
    <row r="1282">
      <c r="A1282" s="74"/>
      <c r="B1282" s="74"/>
      <c r="C1282" s="74"/>
      <c r="D1282" s="74"/>
      <c r="E1282" s="74"/>
      <c r="F1282" s="74"/>
      <c r="G1282" s="74"/>
      <c r="H1282" s="74"/>
      <c r="I1282" s="74"/>
      <c r="J1282" s="74"/>
      <c r="K1282" s="74"/>
      <c r="L1282" s="74"/>
      <c r="M1282" s="74"/>
      <c r="N1282" s="74"/>
      <c r="O1282" s="74"/>
      <c r="P1282" s="74"/>
      <c r="Q1282" s="74"/>
      <c r="R1282" s="74"/>
      <c r="S1282" s="74"/>
      <c r="T1282" s="74"/>
      <c r="U1282" s="74"/>
      <c r="V1282" s="74"/>
      <c r="W1282" s="74"/>
    </row>
    <row r="1283">
      <c r="A1283" s="74"/>
      <c r="B1283" s="74"/>
      <c r="C1283" s="74"/>
      <c r="D1283" s="74"/>
      <c r="E1283" s="74"/>
      <c r="F1283" s="74"/>
      <c r="G1283" s="74"/>
      <c r="H1283" s="74"/>
      <c r="I1283" s="74"/>
      <c r="J1283" s="74"/>
      <c r="K1283" s="74"/>
      <c r="L1283" s="74"/>
      <c r="M1283" s="74"/>
      <c r="N1283" s="74"/>
      <c r="O1283" s="74"/>
      <c r="P1283" s="74"/>
      <c r="Q1283" s="74"/>
      <c r="R1283" s="74"/>
      <c r="S1283" s="74"/>
      <c r="T1283" s="74"/>
      <c r="U1283" s="74"/>
      <c r="V1283" s="74"/>
      <c r="W1283" s="74"/>
    </row>
    <row r="1284">
      <c r="A1284" s="74"/>
      <c r="B1284" s="74"/>
      <c r="C1284" s="74"/>
      <c r="D1284" s="74"/>
      <c r="E1284" s="74"/>
      <c r="F1284" s="74"/>
      <c r="G1284" s="74"/>
      <c r="H1284" s="74"/>
      <c r="I1284" s="74"/>
      <c r="J1284" s="74"/>
      <c r="K1284" s="74"/>
      <c r="L1284" s="74"/>
      <c r="M1284" s="74"/>
      <c r="N1284" s="74"/>
      <c r="O1284" s="74"/>
      <c r="P1284" s="74"/>
      <c r="Q1284" s="74"/>
      <c r="R1284" s="74"/>
      <c r="S1284" s="74"/>
      <c r="T1284" s="74"/>
      <c r="U1284" s="74"/>
      <c r="V1284" s="74"/>
      <c r="W1284" s="74"/>
    </row>
    <row r="1285">
      <c r="A1285" s="74"/>
      <c r="B1285" s="74"/>
      <c r="C1285" s="74"/>
      <c r="D1285" s="74"/>
      <c r="E1285" s="74"/>
      <c r="F1285" s="74"/>
      <c r="G1285" s="74"/>
      <c r="H1285" s="74"/>
      <c r="I1285" s="74"/>
      <c r="J1285" s="74"/>
      <c r="K1285" s="74"/>
      <c r="L1285" s="74"/>
      <c r="M1285" s="74"/>
      <c r="N1285" s="74"/>
      <c r="O1285" s="74"/>
      <c r="P1285" s="74"/>
      <c r="Q1285" s="74"/>
      <c r="R1285" s="74"/>
      <c r="S1285" s="74"/>
      <c r="T1285" s="74"/>
      <c r="U1285" s="74"/>
      <c r="V1285" s="74"/>
      <c r="W1285" s="74"/>
    </row>
    <row r="1286">
      <c r="A1286" s="74"/>
      <c r="B1286" s="74"/>
      <c r="C1286" s="74"/>
      <c r="D1286" s="74"/>
      <c r="E1286" s="74"/>
      <c r="F1286" s="74"/>
      <c r="G1286" s="74"/>
      <c r="H1286" s="74"/>
      <c r="I1286" s="74"/>
      <c r="J1286" s="74"/>
      <c r="K1286" s="74"/>
      <c r="L1286" s="74"/>
      <c r="M1286" s="74"/>
      <c r="N1286" s="74"/>
      <c r="O1286" s="74"/>
      <c r="P1286" s="74"/>
      <c r="Q1286" s="74"/>
      <c r="R1286" s="74"/>
      <c r="S1286" s="74"/>
      <c r="T1286" s="74"/>
      <c r="U1286" s="74"/>
      <c r="V1286" s="74"/>
      <c r="W1286" s="74"/>
    </row>
    <row r="1287">
      <c r="A1287" s="74"/>
      <c r="B1287" s="74"/>
      <c r="C1287" s="74"/>
      <c r="D1287" s="74"/>
      <c r="E1287" s="74"/>
      <c r="F1287" s="74"/>
      <c r="G1287" s="74"/>
      <c r="H1287" s="74"/>
      <c r="I1287" s="74"/>
      <c r="J1287" s="74"/>
      <c r="K1287" s="74"/>
      <c r="L1287" s="74"/>
      <c r="M1287" s="74"/>
      <c r="N1287" s="74"/>
      <c r="O1287" s="74"/>
      <c r="P1287" s="74"/>
      <c r="Q1287" s="74"/>
      <c r="R1287" s="74"/>
      <c r="S1287" s="74"/>
      <c r="T1287" s="74"/>
      <c r="U1287" s="74"/>
      <c r="V1287" s="74"/>
      <c r="W1287" s="74"/>
    </row>
    <row r="1288">
      <c r="A1288" s="74"/>
      <c r="B1288" s="74"/>
      <c r="C1288" s="74"/>
      <c r="D1288" s="74"/>
      <c r="E1288" s="74"/>
      <c r="F1288" s="74"/>
      <c r="G1288" s="74"/>
      <c r="H1288" s="74"/>
      <c r="I1288" s="74"/>
      <c r="J1288" s="74"/>
      <c r="K1288" s="74"/>
      <c r="L1288" s="74"/>
      <c r="M1288" s="74"/>
      <c r="N1288" s="74"/>
      <c r="O1288" s="74"/>
      <c r="P1288" s="74"/>
      <c r="Q1288" s="74"/>
      <c r="R1288" s="74"/>
      <c r="S1288" s="74"/>
      <c r="T1288" s="74"/>
      <c r="U1288" s="74"/>
      <c r="V1288" s="74"/>
      <c r="W1288" s="74"/>
    </row>
    <row r="1289">
      <c r="A1289" s="74"/>
      <c r="B1289" s="74"/>
      <c r="C1289" s="74"/>
      <c r="D1289" s="74"/>
      <c r="E1289" s="74"/>
      <c r="F1289" s="74"/>
      <c r="G1289" s="74"/>
      <c r="H1289" s="74"/>
      <c r="I1289" s="74"/>
      <c r="J1289" s="74"/>
      <c r="K1289" s="74"/>
      <c r="L1289" s="74"/>
      <c r="M1289" s="74"/>
      <c r="N1289" s="74"/>
      <c r="O1289" s="74"/>
      <c r="P1289" s="74"/>
      <c r="Q1289" s="74"/>
      <c r="R1289" s="74"/>
      <c r="S1289" s="74"/>
      <c r="T1289" s="74"/>
      <c r="U1289" s="74"/>
      <c r="V1289" s="74"/>
      <c r="W1289" s="74"/>
    </row>
    <row r="1290">
      <c r="A1290" s="74"/>
      <c r="B1290" s="74"/>
      <c r="C1290" s="74"/>
      <c r="D1290" s="74"/>
      <c r="E1290" s="74"/>
      <c r="F1290" s="74"/>
      <c r="G1290" s="74"/>
      <c r="H1290" s="74"/>
      <c r="I1290" s="74"/>
      <c r="J1290" s="74"/>
      <c r="K1290" s="74"/>
      <c r="L1290" s="74"/>
      <c r="M1290" s="74"/>
      <c r="N1290" s="74"/>
      <c r="O1290" s="74"/>
      <c r="P1290" s="74"/>
      <c r="Q1290" s="74"/>
      <c r="R1290" s="74"/>
      <c r="S1290" s="74"/>
      <c r="T1290" s="74"/>
      <c r="U1290" s="74"/>
      <c r="V1290" s="74"/>
      <c r="W1290" s="74"/>
    </row>
    <row r="1291">
      <c r="A1291" s="74"/>
      <c r="B1291" s="74"/>
      <c r="C1291" s="74"/>
      <c r="D1291" s="74"/>
      <c r="E1291" s="74"/>
      <c r="F1291" s="74"/>
      <c r="G1291" s="74"/>
      <c r="H1291" s="74"/>
      <c r="I1291" s="74"/>
      <c r="J1291" s="74"/>
      <c r="K1291" s="74"/>
      <c r="L1291" s="74"/>
      <c r="M1291" s="74"/>
      <c r="N1291" s="74"/>
      <c r="O1291" s="74"/>
      <c r="P1291" s="74"/>
      <c r="Q1291" s="74"/>
      <c r="R1291" s="74"/>
      <c r="S1291" s="74"/>
      <c r="T1291" s="74"/>
      <c r="U1291" s="74"/>
      <c r="V1291" s="74"/>
      <c r="W1291" s="74"/>
    </row>
    <row r="1292">
      <c r="A1292" s="74"/>
      <c r="B1292" s="74"/>
      <c r="C1292" s="74"/>
      <c r="D1292" s="74"/>
      <c r="E1292" s="74"/>
      <c r="F1292" s="74"/>
      <c r="G1292" s="74"/>
      <c r="H1292" s="74"/>
      <c r="I1292" s="74"/>
      <c r="J1292" s="74"/>
      <c r="K1292" s="74"/>
      <c r="L1292" s="74"/>
      <c r="M1292" s="74"/>
      <c r="N1292" s="74"/>
      <c r="O1292" s="74"/>
      <c r="P1292" s="74"/>
      <c r="Q1292" s="74"/>
      <c r="R1292" s="74"/>
      <c r="S1292" s="74"/>
      <c r="T1292" s="74"/>
      <c r="U1292" s="74"/>
      <c r="V1292" s="74"/>
      <c r="W1292" s="74"/>
    </row>
    <row r="1293">
      <c r="A1293" s="74"/>
      <c r="B1293" s="74"/>
      <c r="C1293" s="74"/>
      <c r="D1293" s="74"/>
      <c r="E1293" s="74"/>
      <c r="F1293" s="74"/>
      <c r="G1293" s="74"/>
      <c r="H1293" s="74"/>
      <c r="I1293" s="74"/>
      <c r="J1293" s="74"/>
      <c r="K1293" s="74"/>
      <c r="L1293" s="74"/>
      <c r="M1293" s="74"/>
      <c r="N1293" s="74"/>
      <c r="O1293" s="74"/>
      <c r="P1293" s="74"/>
      <c r="Q1293" s="74"/>
      <c r="R1293" s="74"/>
      <c r="S1293" s="74"/>
      <c r="T1293" s="74"/>
      <c r="U1293" s="74"/>
      <c r="V1293" s="74"/>
      <c r="W1293" s="74"/>
    </row>
    <row r="1294">
      <c r="A1294" s="74"/>
      <c r="B1294" s="74"/>
      <c r="C1294" s="74"/>
      <c r="D1294" s="74"/>
      <c r="E1294" s="74"/>
      <c r="F1294" s="74"/>
      <c r="G1294" s="74"/>
      <c r="H1294" s="74"/>
      <c r="I1294" s="74"/>
      <c r="J1294" s="74"/>
      <c r="K1294" s="74"/>
      <c r="L1294" s="74"/>
      <c r="M1294" s="74"/>
      <c r="N1294" s="74"/>
      <c r="O1294" s="74"/>
      <c r="P1294" s="74"/>
      <c r="Q1294" s="74"/>
      <c r="R1294" s="74"/>
      <c r="S1294" s="74"/>
      <c r="T1294" s="74"/>
      <c r="U1294" s="74"/>
      <c r="V1294" s="74"/>
      <c r="W1294" s="74"/>
    </row>
    <row r="1295">
      <c r="A1295" s="74"/>
      <c r="B1295" s="74"/>
      <c r="C1295" s="74"/>
      <c r="D1295" s="74"/>
      <c r="E1295" s="74"/>
      <c r="F1295" s="74"/>
      <c r="G1295" s="74"/>
      <c r="H1295" s="74"/>
      <c r="I1295" s="74"/>
      <c r="J1295" s="74"/>
      <c r="K1295" s="74"/>
      <c r="L1295" s="74"/>
      <c r="M1295" s="74"/>
      <c r="N1295" s="74"/>
      <c r="O1295" s="74"/>
      <c r="P1295" s="74"/>
      <c r="Q1295" s="74"/>
      <c r="R1295" s="74"/>
      <c r="S1295" s="74"/>
      <c r="T1295" s="74"/>
      <c r="U1295" s="74"/>
      <c r="V1295" s="74"/>
      <c r="W1295" s="74"/>
    </row>
    <row r="1296">
      <c r="A1296" s="74"/>
      <c r="B1296" s="74"/>
      <c r="C1296" s="74"/>
      <c r="D1296" s="74"/>
      <c r="E1296" s="74"/>
      <c r="F1296" s="74"/>
      <c r="G1296" s="74"/>
      <c r="H1296" s="74"/>
      <c r="I1296" s="74"/>
      <c r="J1296" s="74"/>
      <c r="K1296" s="74"/>
      <c r="L1296" s="74"/>
      <c r="M1296" s="74"/>
      <c r="N1296" s="74"/>
      <c r="O1296" s="74"/>
      <c r="P1296" s="74"/>
      <c r="Q1296" s="74"/>
      <c r="R1296" s="74"/>
      <c r="S1296" s="74"/>
      <c r="T1296" s="74"/>
      <c r="U1296" s="74"/>
      <c r="V1296" s="74"/>
      <c r="W1296" s="74"/>
    </row>
    <row r="1297">
      <c r="A1297" s="74"/>
      <c r="B1297" s="74"/>
      <c r="C1297" s="74"/>
      <c r="D1297" s="74"/>
      <c r="E1297" s="74"/>
      <c r="F1297" s="74"/>
      <c r="G1297" s="74"/>
      <c r="H1297" s="74"/>
      <c r="I1297" s="74"/>
      <c r="J1297" s="74"/>
      <c r="K1297" s="74"/>
      <c r="L1297" s="74"/>
      <c r="M1297" s="74"/>
      <c r="N1297" s="74"/>
      <c r="O1297" s="74"/>
      <c r="P1297" s="74"/>
      <c r="Q1297" s="74"/>
      <c r="R1297" s="74"/>
      <c r="S1297" s="74"/>
      <c r="T1297" s="74"/>
      <c r="U1297" s="74"/>
      <c r="V1297" s="74"/>
      <c r="W1297" s="74"/>
    </row>
    <row r="1298">
      <c r="A1298" s="74"/>
      <c r="B1298" s="74"/>
      <c r="C1298" s="74"/>
      <c r="D1298" s="74"/>
      <c r="E1298" s="74"/>
      <c r="F1298" s="74"/>
      <c r="G1298" s="74"/>
      <c r="H1298" s="74"/>
      <c r="I1298" s="74"/>
      <c r="J1298" s="74"/>
      <c r="K1298" s="74"/>
      <c r="L1298" s="74"/>
      <c r="M1298" s="74"/>
      <c r="N1298" s="74"/>
      <c r="O1298" s="74"/>
      <c r="P1298" s="74"/>
      <c r="Q1298" s="74"/>
      <c r="R1298" s="74"/>
      <c r="S1298" s="74"/>
      <c r="T1298" s="74"/>
      <c r="U1298" s="74"/>
      <c r="V1298" s="74"/>
      <c r="W1298" s="74"/>
    </row>
    <row r="1299">
      <c r="A1299" s="74"/>
      <c r="B1299" s="74"/>
      <c r="C1299" s="74"/>
      <c r="D1299" s="74"/>
      <c r="E1299" s="74"/>
      <c r="F1299" s="74"/>
      <c r="G1299" s="74"/>
      <c r="H1299" s="74"/>
      <c r="I1299" s="74"/>
      <c r="J1299" s="74"/>
      <c r="K1299" s="74"/>
      <c r="L1299" s="74"/>
      <c r="M1299" s="74"/>
      <c r="N1299" s="74"/>
      <c r="O1299" s="74"/>
      <c r="P1299" s="74"/>
      <c r="Q1299" s="74"/>
      <c r="R1299" s="74"/>
      <c r="S1299" s="74"/>
      <c r="T1299" s="74"/>
      <c r="U1299" s="74"/>
      <c r="V1299" s="74"/>
      <c r="W1299" s="74"/>
    </row>
    <row r="1300">
      <c r="A1300" s="74"/>
      <c r="B1300" s="74"/>
      <c r="C1300" s="74"/>
      <c r="D1300" s="74"/>
      <c r="E1300" s="74"/>
      <c r="F1300" s="74"/>
      <c r="G1300" s="74"/>
      <c r="H1300" s="74"/>
      <c r="I1300" s="74"/>
      <c r="J1300" s="74"/>
      <c r="K1300" s="74"/>
      <c r="L1300" s="74"/>
      <c r="M1300" s="74"/>
      <c r="N1300" s="74"/>
      <c r="O1300" s="74"/>
      <c r="P1300" s="74"/>
      <c r="Q1300" s="74"/>
      <c r="R1300" s="74"/>
      <c r="S1300" s="74"/>
      <c r="T1300" s="74"/>
      <c r="U1300" s="74"/>
      <c r="V1300" s="74"/>
      <c r="W1300" s="74"/>
    </row>
    <row r="1301">
      <c r="A1301" s="74"/>
      <c r="B1301" s="74"/>
      <c r="C1301" s="74"/>
      <c r="D1301" s="74"/>
      <c r="E1301" s="74"/>
      <c r="F1301" s="74"/>
      <c r="G1301" s="74"/>
      <c r="H1301" s="74"/>
      <c r="I1301" s="74"/>
      <c r="J1301" s="74"/>
      <c r="K1301" s="74"/>
      <c r="L1301" s="74"/>
      <c r="M1301" s="74"/>
      <c r="N1301" s="74"/>
      <c r="O1301" s="74"/>
      <c r="P1301" s="74"/>
      <c r="Q1301" s="74"/>
      <c r="R1301" s="74"/>
      <c r="S1301" s="74"/>
      <c r="T1301" s="74"/>
      <c r="U1301" s="74"/>
      <c r="V1301" s="74"/>
      <c r="W1301" s="74"/>
    </row>
    <row r="1302">
      <c r="A1302" s="74"/>
      <c r="B1302" s="74"/>
      <c r="C1302" s="74"/>
      <c r="D1302" s="74"/>
      <c r="E1302" s="74"/>
      <c r="F1302" s="74"/>
      <c r="G1302" s="74"/>
      <c r="H1302" s="74"/>
      <c r="I1302" s="74"/>
      <c r="J1302" s="74"/>
      <c r="K1302" s="74"/>
      <c r="L1302" s="74"/>
      <c r="M1302" s="74"/>
      <c r="N1302" s="74"/>
      <c r="O1302" s="74"/>
      <c r="P1302" s="74"/>
      <c r="Q1302" s="74"/>
      <c r="R1302" s="74"/>
      <c r="S1302" s="74"/>
      <c r="T1302" s="74"/>
      <c r="U1302" s="74"/>
      <c r="V1302" s="74"/>
      <c r="W1302" s="74"/>
    </row>
    <row r="1303">
      <c r="A1303" s="74"/>
      <c r="B1303" s="74"/>
      <c r="C1303" s="74"/>
      <c r="D1303" s="74"/>
      <c r="E1303" s="74"/>
      <c r="F1303" s="74"/>
      <c r="G1303" s="74"/>
      <c r="H1303" s="74"/>
      <c r="I1303" s="74"/>
      <c r="J1303" s="74"/>
      <c r="K1303" s="74"/>
      <c r="L1303" s="74"/>
      <c r="M1303" s="74"/>
      <c r="N1303" s="74"/>
      <c r="O1303" s="74"/>
      <c r="P1303" s="74"/>
      <c r="Q1303" s="74"/>
      <c r="R1303" s="74"/>
      <c r="S1303" s="74"/>
      <c r="T1303" s="74"/>
      <c r="U1303" s="74"/>
      <c r="V1303" s="74"/>
      <c r="W1303" s="74"/>
    </row>
    <row r="1304">
      <c r="A1304" s="74"/>
      <c r="B1304" s="74"/>
      <c r="C1304" s="74"/>
      <c r="D1304" s="74"/>
      <c r="E1304" s="74"/>
      <c r="F1304" s="74"/>
      <c r="G1304" s="74"/>
      <c r="H1304" s="74"/>
      <c r="I1304" s="74"/>
      <c r="J1304" s="74"/>
      <c r="K1304" s="74"/>
      <c r="L1304" s="74"/>
      <c r="M1304" s="74"/>
      <c r="N1304" s="74"/>
      <c r="O1304" s="74"/>
      <c r="P1304" s="74"/>
      <c r="Q1304" s="74"/>
      <c r="R1304" s="74"/>
      <c r="S1304" s="74"/>
      <c r="T1304" s="74"/>
      <c r="U1304" s="74"/>
      <c r="V1304" s="74"/>
      <c r="W1304" s="74"/>
    </row>
    <row r="1305">
      <c r="A1305" s="74"/>
      <c r="B1305" s="74"/>
      <c r="C1305" s="74"/>
      <c r="D1305" s="74"/>
      <c r="E1305" s="74"/>
      <c r="F1305" s="74"/>
      <c r="G1305" s="74"/>
      <c r="H1305" s="74"/>
      <c r="I1305" s="74"/>
      <c r="J1305" s="74"/>
      <c r="K1305" s="74"/>
      <c r="L1305" s="74"/>
      <c r="M1305" s="74"/>
      <c r="N1305" s="74"/>
      <c r="O1305" s="74"/>
      <c r="P1305" s="74"/>
      <c r="Q1305" s="74"/>
      <c r="R1305" s="74"/>
      <c r="S1305" s="74"/>
      <c r="T1305" s="74"/>
      <c r="U1305" s="74"/>
      <c r="V1305" s="74"/>
      <c r="W1305" s="74"/>
    </row>
    <row r="1306">
      <c r="A1306" s="74"/>
      <c r="B1306" s="74"/>
      <c r="C1306" s="74"/>
      <c r="D1306" s="74"/>
      <c r="E1306" s="74"/>
      <c r="F1306" s="74"/>
      <c r="G1306" s="74"/>
      <c r="H1306" s="74"/>
      <c r="I1306" s="74"/>
      <c r="J1306" s="74"/>
      <c r="K1306" s="74"/>
      <c r="L1306" s="74"/>
      <c r="M1306" s="74"/>
      <c r="N1306" s="74"/>
      <c r="O1306" s="74"/>
      <c r="P1306" s="74"/>
      <c r="Q1306" s="74"/>
      <c r="R1306" s="74"/>
      <c r="S1306" s="74"/>
      <c r="T1306" s="74"/>
      <c r="U1306" s="74"/>
      <c r="V1306" s="74"/>
      <c r="W1306" s="74"/>
    </row>
    <row r="1307">
      <c r="A1307" s="74"/>
      <c r="B1307" s="74"/>
      <c r="C1307" s="74"/>
      <c r="D1307" s="74"/>
      <c r="E1307" s="74"/>
      <c r="F1307" s="74"/>
      <c r="G1307" s="74"/>
      <c r="H1307" s="74"/>
      <c r="I1307" s="74"/>
      <c r="J1307" s="74"/>
      <c r="K1307" s="74"/>
      <c r="L1307" s="74"/>
      <c r="M1307" s="74"/>
      <c r="N1307" s="74"/>
      <c r="O1307" s="74"/>
      <c r="P1307" s="74"/>
      <c r="Q1307" s="74"/>
      <c r="R1307" s="74"/>
      <c r="S1307" s="74"/>
      <c r="T1307" s="74"/>
      <c r="U1307" s="74"/>
      <c r="V1307" s="74"/>
      <c r="W1307" s="74"/>
    </row>
    <row r="1308">
      <c r="A1308" s="74"/>
      <c r="B1308" s="74"/>
      <c r="C1308" s="74"/>
      <c r="D1308" s="74"/>
      <c r="E1308" s="74"/>
      <c r="F1308" s="74"/>
      <c r="G1308" s="74"/>
      <c r="H1308" s="74"/>
      <c r="I1308" s="74"/>
      <c r="J1308" s="74"/>
      <c r="K1308" s="74"/>
      <c r="L1308" s="74"/>
      <c r="M1308" s="74"/>
      <c r="N1308" s="74"/>
      <c r="O1308" s="74"/>
      <c r="P1308" s="74"/>
      <c r="Q1308" s="74"/>
      <c r="R1308" s="74"/>
      <c r="S1308" s="74"/>
      <c r="T1308" s="74"/>
      <c r="U1308" s="74"/>
      <c r="V1308" s="74"/>
      <c r="W1308" s="74"/>
    </row>
    <row r="1309">
      <c r="A1309" s="74"/>
      <c r="B1309" s="74"/>
      <c r="C1309" s="74"/>
      <c r="D1309" s="74"/>
      <c r="E1309" s="74"/>
      <c r="F1309" s="74"/>
      <c r="G1309" s="74"/>
      <c r="H1309" s="74"/>
      <c r="I1309" s="74"/>
      <c r="J1309" s="74"/>
      <c r="K1309" s="74"/>
      <c r="L1309" s="74"/>
      <c r="M1309" s="74"/>
      <c r="N1309" s="74"/>
      <c r="O1309" s="74"/>
      <c r="P1309" s="74"/>
      <c r="Q1309" s="74"/>
      <c r="R1309" s="74"/>
      <c r="S1309" s="74"/>
      <c r="T1309" s="74"/>
      <c r="U1309" s="74"/>
      <c r="V1309" s="74"/>
      <c r="W1309" s="74"/>
    </row>
    <row r="1310">
      <c r="A1310" s="74"/>
      <c r="B1310" s="74"/>
      <c r="C1310" s="74"/>
      <c r="D1310" s="74"/>
      <c r="E1310" s="74"/>
      <c r="F1310" s="74"/>
      <c r="G1310" s="74"/>
      <c r="H1310" s="74"/>
      <c r="I1310" s="74"/>
      <c r="J1310" s="74"/>
      <c r="K1310" s="74"/>
      <c r="L1310" s="74"/>
      <c r="M1310" s="74"/>
      <c r="N1310" s="74"/>
      <c r="O1310" s="74"/>
      <c r="P1310" s="74"/>
      <c r="Q1310" s="74"/>
      <c r="R1310" s="74"/>
      <c r="S1310" s="74"/>
      <c r="T1310" s="74"/>
      <c r="U1310" s="74"/>
      <c r="V1310" s="74"/>
      <c r="W1310" s="74"/>
    </row>
    <row r="1311">
      <c r="A1311" s="74"/>
      <c r="B1311" s="74"/>
      <c r="C1311" s="74"/>
      <c r="D1311" s="74"/>
      <c r="E1311" s="74"/>
      <c r="F1311" s="74"/>
      <c r="G1311" s="74"/>
      <c r="H1311" s="74"/>
      <c r="I1311" s="74"/>
      <c r="J1311" s="74"/>
      <c r="K1311" s="74"/>
      <c r="L1311" s="74"/>
      <c r="M1311" s="74"/>
      <c r="N1311" s="74"/>
      <c r="O1311" s="74"/>
      <c r="P1311" s="74"/>
      <c r="Q1311" s="74"/>
      <c r="R1311" s="74"/>
      <c r="S1311" s="74"/>
      <c r="T1311" s="74"/>
      <c r="U1311" s="74"/>
      <c r="V1311" s="74"/>
      <c r="W1311" s="74"/>
    </row>
    <row r="1312">
      <c r="A1312" s="74"/>
      <c r="B1312" s="74"/>
      <c r="C1312" s="74"/>
      <c r="D1312" s="74"/>
      <c r="E1312" s="74"/>
      <c r="F1312" s="74"/>
      <c r="G1312" s="74"/>
      <c r="H1312" s="74"/>
      <c r="I1312" s="74"/>
      <c r="J1312" s="74"/>
      <c r="K1312" s="74"/>
      <c r="L1312" s="74"/>
      <c r="M1312" s="74"/>
      <c r="N1312" s="74"/>
      <c r="O1312" s="74"/>
      <c r="P1312" s="74"/>
      <c r="Q1312" s="74"/>
      <c r="R1312" s="74"/>
      <c r="S1312" s="74"/>
      <c r="T1312" s="74"/>
      <c r="U1312" s="74"/>
      <c r="V1312" s="74"/>
      <c r="W1312" s="74"/>
    </row>
    <row r="1313">
      <c r="A1313" s="74"/>
      <c r="B1313" s="74"/>
      <c r="C1313" s="74"/>
      <c r="D1313" s="74"/>
      <c r="E1313" s="74"/>
      <c r="F1313" s="74"/>
      <c r="G1313" s="74"/>
      <c r="H1313" s="74"/>
      <c r="I1313" s="74"/>
      <c r="J1313" s="74"/>
      <c r="K1313" s="74"/>
      <c r="L1313" s="74"/>
      <c r="M1313" s="74"/>
      <c r="N1313" s="74"/>
      <c r="O1313" s="74"/>
      <c r="P1313" s="74"/>
      <c r="Q1313" s="74"/>
      <c r="R1313" s="74"/>
      <c r="S1313" s="74"/>
      <c r="T1313" s="74"/>
      <c r="U1313" s="74"/>
      <c r="V1313" s="74"/>
      <c r="W1313" s="74"/>
    </row>
    <row r="1314">
      <c r="A1314" s="74"/>
      <c r="B1314" s="74"/>
      <c r="C1314" s="74"/>
      <c r="D1314" s="74"/>
      <c r="E1314" s="74"/>
      <c r="F1314" s="74"/>
      <c r="G1314" s="74"/>
      <c r="H1314" s="74"/>
      <c r="I1314" s="74"/>
      <c r="J1314" s="74"/>
      <c r="K1314" s="74"/>
      <c r="L1314" s="74"/>
      <c r="M1314" s="74"/>
      <c r="N1314" s="74"/>
      <c r="O1314" s="74"/>
      <c r="P1314" s="74"/>
      <c r="Q1314" s="74"/>
      <c r="R1314" s="74"/>
      <c r="S1314" s="74"/>
      <c r="T1314" s="74"/>
      <c r="U1314" s="74"/>
      <c r="V1314" s="74"/>
      <c r="W1314" s="74"/>
    </row>
    <row r="1315">
      <c r="A1315" s="74"/>
      <c r="B1315" s="74"/>
      <c r="C1315" s="74"/>
      <c r="D1315" s="74"/>
      <c r="E1315" s="74"/>
      <c r="F1315" s="74"/>
      <c r="G1315" s="74"/>
      <c r="H1315" s="74"/>
      <c r="I1315" s="74"/>
      <c r="J1315" s="74"/>
      <c r="K1315" s="74"/>
      <c r="L1315" s="74"/>
      <c r="M1315" s="74"/>
      <c r="N1315" s="74"/>
      <c r="O1315" s="74"/>
      <c r="P1315" s="74"/>
      <c r="Q1315" s="74"/>
      <c r="R1315" s="74"/>
      <c r="S1315" s="74"/>
      <c r="T1315" s="74"/>
      <c r="U1315" s="74"/>
      <c r="V1315" s="74"/>
      <c r="W1315" s="74"/>
    </row>
    <row r="1316">
      <c r="A1316" s="74"/>
      <c r="B1316" s="74"/>
      <c r="C1316" s="74"/>
      <c r="D1316" s="74"/>
      <c r="E1316" s="74"/>
      <c r="F1316" s="74"/>
      <c r="G1316" s="74"/>
      <c r="H1316" s="74"/>
      <c r="I1316" s="74"/>
      <c r="J1316" s="74"/>
      <c r="K1316" s="74"/>
      <c r="L1316" s="74"/>
      <c r="M1316" s="74"/>
      <c r="N1316" s="74"/>
      <c r="O1316" s="74"/>
      <c r="P1316" s="74"/>
      <c r="Q1316" s="74"/>
      <c r="R1316" s="74"/>
      <c r="S1316" s="74"/>
      <c r="T1316" s="74"/>
      <c r="U1316" s="74"/>
      <c r="V1316" s="74"/>
      <c r="W1316" s="74"/>
    </row>
    <row r="1317">
      <c r="A1317" s="74"/>
      <c r="B1317" s="74"/>
      <c r="C1317" s="74"/>
      <c r="D1317" s="74"/>
      <c r="E1317" s="74"/>
      <c r="F1317" s="74"/>
      <c r="G1317" s="74"/>
      <c r="H1317" s="74"/>
      <c r="I1317" s="74"/>
      <c r="J1317" s="74"/>
      <c r="K1317" s="74"/>
      <c r="L1317" s="74"/>
      <c r="M1317" s="74"/>
      <c r="N1317" s="74"/>
      <c r="O1317" s="74"/>
      <c r="P1317" s="74"/>
      <c r="Q1317" s="74"/>
      <c r="R1317" s="74"/>
      <c r="S1317" s="74"/>
      <c r="T1317" s="74"/>
      <c r="U1317" s="74"/>
      <c r="V1317" s="74"/>
      <c r="W1317" s="74"/>
    </row>
    <row r="1318">
      <c r="A1318" s="74"/>
      <c r="B1318" s="74"/>
      <c r="C1318" s="74"/>
      <c r="D1318" s="74"/>
      <c r="E1318" s="74"/>
      <c r="F1318" s="74"/>
      <c r="G1318" s="74"/>
      <c r="H1318" s="74"/>
      <c r="I1318" s="74"/>
      <c r="J1318" s="74"/>
      <c r="K1318" s="74"/>
      <c r="L1318" s="74"/>
      <c r="M1318" s="74"/>
      <c r="N1318" s="74"/>
      <c r="O1318" s="74"/>
      <c r="P1318" s="74"/>
      <c r="Q1318" s="74"/>
      <c r="R1318" s="74"/>
      <c r="S1318" s="74"/>
      <c r="T1318" s="74"/>
      <c r="U1318" s="74"/>
      <c r="V1318" s="74"/>
      <c r="W1318" s="74"/>
    </row>
    <row r="1319">
      <c r="A1319" s="74"/>
      <c r="B1319" s="74"/>
      <c r="C1319" s="74"/>
      <c r="D1319" s="74"/>
      <c r="E1319" s="74"/>
      <c r="F1319" s="74"/>
      <c r="G1319" s="74"/>
      <c r="H1319" s="74"/>
      <c r="I1319" s="74"/>
      <c r="J1319" s="74"/>
      <c r="K1319" s="74"/>
      <c r="L1319" s="74"/>
      <c r="M1319" s="74"/>
      <c r="N1319" s="74"/>
      <c r="O1319" s="74"/>
      <c r="P1319" s="74"/>
      <c r="Q1319" s="74"/>
      <c r="R1319" s="74"/>
      <c r="S1319" s="74"/>
      <c r="T1319" s="74"/>
      <c r="U1319" s="74"/>
      <c r="V1319" s="74"/>
      <c r="W1319" s="74"/>
    </row>
    <row r="1320">
      <c r="A1320" s="74"/>
      <c r="B1320" s="74"/>
      <c r="C1320" s="74"/>
      <c r="D1320" s="74"/>
      <c r="E1320" s="74"/>
      <c r="F1320" s="74"/>
      <c r="G1320" s="74"/>
      <c r="H1320" s="74"/>
      <c r="I1320" s="74"/>
      <c r="J1320" s="74"/>
      <c r="K1320" s="74"/>
      <c r="L1320" s="74"/>
      <c r="M1320" s="74"/>
      <c r="N1320" s="74"/>
      <c r="O1320" s="74"/>
      <c r="P1320" s="74"/>
      <c r="Q1320" s="74"/>
      <c r="R1320" s="74"/>
      <c r="S1320" s="74"/>
      <c r="T1320" s="74"/>
      <c r="U1320" s="74"/>
      <c r="V1320" s="74"/>
      <c r="W1320" s="74"/>
    </row>
    <row r="1321">
      <c r="A1321" s="74"/>
      <c r="B1321" s="74"/>
      <c r="C1321" s="74"/>
      <c r="D1321" s="74"/>
      <c r="E1321" s="74"/>
      <c r="F1321" s="74"/>
      <c r="G1321" s="74"/>
      <c r="H1321" s="74"/>
      <c r="I1321" s="74"/>
      <c r="J1321" s="74"/>
      <c r="K1321" s="74"/>
      <c r="L1321" s="74"/>
      <c r="M1321" s="74"/>
      <c r="N1321" s="74"/>
      <c r="O1321" s="74"/>
      <c r="P1321" s="74"/>
      <c r="Q1321" s="74"/>
      <c r="R1321" s="74"/>
      <c r="S1321" s="74"/>
      <c r="T1321" s="74"/>
      <c r="U1321" s="74"/>
      <c r="V1321" s="74"/>
      <c r="W1321" s="74"/>
    </row>
    <row r="1322">
      <c r="A1322" s="74"/>
      <c r="B1322" s="74"/>
      <c r="C1322" s="74"/>
      <c r="D1322" s="74"/>
      <c r="E1322" s="74"/>
      <c r="F1322" s="74"/>
      <c r="G1322" s="74"/>
      <c r="H1322" s="74"/>
      <c r="I1322" s="74"/>
      <c r="J1322" s="74"/>
      <c r="K1322" s="74"/>
      <c r="L1322" s="74"/>
      <c r="M1322" s="74"/>
      <c r="N1322" s="74"/>
      <c r="O1322" s="74"/>
      <c r="P1322" s="74"/>
      <c r="Q1322" s="74"/>
      <c r="R1322" s="74"/>
      <c r="S1322" s="74"/>
      <c r="T1322" s="74"/>
      <c r="U1322" s="74"/>
      <c r="V1322" s="74"/>
      <c r="W1322" s="74"/>
    </row>
    <row r="1323">
      <c r="A1323" s="74"/>
      <c r="B1323" s="74"/>
      <c r="C1323" s="74"/>
      <c r="D1323" s="74"/>
      <c r="E1323" s="74"/>
      <c r="F1323" s="74"/>
      <c r="G1323" s="74"/>
      <c r="H1323" s="74"/>
      <c r="I1323" s="74"/>
      <c r="J1323" s="74"/>
      <c r="K1323" s="74"/>
      <c r="L1323" s="74"/>
      <c r="M1323" s="74"/>
      <c r="N1323" s="74"/>
      <c r="O1323" s="74"/>
      <c r="P1323" s="74"/>
      <c r="Q1323" s="74"/>
      <c r="R1323" s="74"/>
      <c r="S1323" s="74"/>
      <c r="T1323" s="74"/>
      <c r="U1323" s="74"/>
      <c r="V1323" s="74"/>
      <c r="W1323" s="74"/>
    </row>
    <row r="1324">
      <c r="A1324" s="74"/>
      <c r="B1324" s="74"/>
      <c r="C1324" s="74"/>
      <c r="D1324" s="74"/>
      <c r="E1324" s="74"/>
      <c r="F1324" s="74"/>
      <c r="G1324" s="74"/>
      <c r="H1324" s="74"/>
      <c r="I1324" s="74"/>
      <c r="J1324" s="74"/>
      <c r="K1324" s="74"/>
      <c r="L1324" s="74"/>
      <c r="M1324" s="74"/>
      <c r="N1324" s="74"/>
      <c r="O1324" s="74"/>
      <c r="P1324" s="74"/>
      <c r="Q1324" s="74"/>
      <c r="R1324" s="74"/>
      <c r="S1324" s="74"/>
      <c r="T1324" s="74"/>
      <c r="U1324" s="74"/>
      <c r="V1324" s="74"/>
      <c r="W1324" s="74"/>
    </row>
    <row r="1325">
      <c r="A1325" s="74"/>
      <c r="B1325" s="74"/>
      <c r="C1325" s="74"/>
      <c r="D1325" s="74"/>
      <c r="E1325" s="74"/>
      <c r="F1325" s="74"/>
      <c r="G1325" s="74"/>
      <c r="H1325" s="74"/>
      <c r="I1325" s="74"/>
      <c r="J1325" s="74"/>
      <c r="K1325" s="74"/>
      <c r="L1325" s="74"/>
      <c r="M1325" s="74"/>
      <c r="N1325" s="74"/>
      <c r="O1325" s="74"/>
      <c r="P1325" s="74"/>
      <c r="Q1325" s="74"/>
      <c r="R1325" s="74"/>
      <c r="S1325" s="74"/>
      <c r="T1325" s="74"/>
      <c r="U1325" s="74"/>
      <c r="V1325" s="74"/>
      <c r="W1325" s="74"/>
    </row>
    <row r="1326">
      <c r="A1326" s="74"/>
      <c r="B1326" s="74"/>
      <c r="C1326" s="74"/>
      <c r="D1326" s="74"/>
      <c r="E1326" s="74"/>
      <c r="F1326" s="74"/>
      <c r="G1326" s="74"/>
      <c r="H1326" s="74"/>
      <c r="I1326" s="74"/>
      <c r="J1326" s="74"/>
      <c r="K1326" s="74"/>
      <c r="L1326" s="74"/>
      <c r="M1326" s="74"/>
      <c r="N1326" s="74"/>
      <c r="O1326" s="74"/>
      <c r="P1326" s="74"/>
      <c r="Q1326" s="74"/>
      <c r="R1326" s="74"/>
      <c r="S1326" s="74"/>
      <c r="T1326" s="74"/>
      <c r="U1326" s="74"/>
      <c r="V1326" s="74"/>
      <c r="W1326" s="74"/>
    </row>
    <row r="1327">
      <c r="A1327" s="74"/>
      <c r="B1327" s="74"/>
      <c r="C1327" s="74"/>
      <c r="D1327" s="74"/>
      <c r="E1327" s="74"/>
      <c r="F1327" s="74"/>
      <c r="G1327" s="74"/>
      <c r="H1327" s="74"/>
      <c r="I1327" s="74"/>
      <c r="J1327" s="74"/>
      <c r="K1327" s="74"/>
      <c r="L1327" s="74"/>
      <c r="M1327" s="74"/>
      <c r="N1327" s="74"/>
      <c r="O1327" s="74"/>
      <c r="P1327" s="74"/>
      <c r="Q1327" s="74"/>
      <c r="R1327" s="74"/>
      <c r="S1327" s="74"/>
      <c r="T1327" s="74"/>
      <c r="U1327" s="74"/>
      <c r="V1327" s="74"/>
      <c r="W1327" s="74"/>
    </row>
    <row r="1328">
      <c r="A1328" s="74"/>
      <c r="B1328" s="74"/>
      <c r="C1328" s="74"/>
      <c r="D1328" s="74"/>
      <c r="E1328" s="74"/>
      <c r="F1328" s="74"/>
      <c r="G1328" s="74"/>
      <c r="H1328" s="74"/>
      <c r="I1328" s="74"/>
      <c r="J1328" s="74"/>
      <c r="K1328" s="74"/>
      <c r="L1328" s="74"/>
      <c r="M1328" s="74"/>
      <c r="N1328" s="74"/>
      <c r="O1328" s="74"/>
      <c r="P1328" s="74"/>
      <c r="Q1328" s="74"/>
      <c r="R1328" s="74"/>
      <c r="S1328" s="74"/>
      <c r="T1328" s="74"/>
      <c r="U1328" s="74"/>
      <c r="V1328" s="74"/>
      <c r="W1328" s="74"/>
    </row>
    <row r="1329">
      <c r="A1329" s="74"/>
      <c r="B1329" s="74"/>
      <c r="C1329" s="74"/>
      <c r="D1329" s="74"/>
      <c r="E1329" s="74"/>
      <c r="F1329" s="74"/>
      <c r="G1329" s="74"/>
      <c r="H1329" s="74"/>
      <c r="I1329" s="74"/>
      <c r="J1329" s="74"/>
      <c r="K1329" s="74"/>
      <c r="L1329" s="74"/>
      <c r="M1329" s="74"/>
      <c r="N1329" s="74"/>
      <c r="O1329" s="74"/>
      <c r="P1329" s="74"/>
      <c r="Q1329" s="74"/>
      <c r="R1329" s="74"/>
      <c r="S1329" s="74"/>
      <c r="T1329" s="74"/>
      <c r="U1329" s="74"/>
      <c r="V1329" s="74"/>
      <c r="W1329" s="74"/>
    </row>
    <row r="1330">
      <c r="A1330" s="74"/>
      <c r="B1330" s="74"/>
      <c r="C1330" s="74"/>
      <c r="D1330" s="74"/>
      <c r="E1330" s="74"/>
      <c r="F1330" s="74"/>
      <c r="G1330" s="74"/>
      <c r="H1330" s="74"/>
      <c r="I1330" s="74"/>
      <c r="J1330" s="74"/>
      <c r="K1330" s="74"/>
      <c r="L1330" s="74"/>
      <c r="M1330" s="74"/>
      <c r="N1330" s="74"/>
      <c r="O1330" s="74"/>
      <c r="P1330" s="74"/>
      <c r="Q1330" s="74"/>
      <c r="R1330" s="74"/>
      <c r="S1330" s="74"/>
      <c r="T1330" s="74"/>
      <c r="U1330" s="74"/>
      <c r="V1330" s="74"/>
      <c r="W1330" s="74"/>
    </row>
    <row r="1331">
      <c r="A1331" s="74"/>
      <c r="B1331" s="74"/>
      <c r="C1331" s="74"/>
      <c r="D1331" s="74"/>
      <c r="E1331" s="74"/>
      <c r="F1331" s="74"/>
      <c r="G1331" s="74"/>
      <c r="H1331" s="74"/>
      <c r="I1331" s="74"/>
      <c r="J1331" s="74"/>
      <c r="K1331" s="74"/>
      <c r="L1331" s="74"/>
      <c r="M1331" s="74"/>
      <c r="N1331" s="74"/>
      <c r="O1331" s="74"/>
      <c r="P1331" s="74"/>
      <c r="Q1331" s="74"/>
      <c r="R1331" s="74"/>
      <c r="S1331" s="74"/>
      <c r="T1331" s="74"/>
      <c r="U1331" s="74"/>
      <c r="V1331" s="74"/>
      <c r="W1331" s="74"/>
    </row>
    <row r="1332">
      <c r="A1332" s="74"/>
      <c r="B1332" s="74"/>
      <c r="C1332" s="74"/>
      <c r="D1332" s="74"/>
      <c r="E1332" s="74"/>
      <c r="F1332" s="74"/>
      <c r="G1332" s="74"/>
      <c r="H1332" s="74"/>
      <c r="I1332" s="74"/>
      <c r="J1332" s="74"/>
      <c r="K1332" s="74"/>
      <c r="L1332" s="74"/>
      <c r="M1332" s="74"/>
      <c r="N1332" s="74"/>
      <c r="O1332" s="74"/>
      <c r="P1332" s="74"/>
      <c r="Q1332" s="74"/>
      <c r="R1332" s="74"/>
      <c r="S1332" s="74"/>
      <c r="T1332" s="74"/>
      <c r="U1332" s="74"/>
      <c r="V1332" s="74"/>
      <c r="W1332" s="74"/>
    </row>
    <row r="1333">
      <c r="A1333" s="74"/>
      <c r="B1333" s="74"/>
      <c r="C1333" s="74"/>
      <c r="D1333" s="74"/>
      <c r="E1333" s="74"/>
      <c r="F1333" s="74"/>
      <c r="G1333" s="74"/>
      <c r="H1333" s="74"/>
      <c r="I1333" s="74"/>
      <c r="J1333" s="74"/>
      <c r="K1333" s="74"/>
      <c r="L1333" s="74"/>
      <c r="M1333" s="74"/>
      <c r="N1333" s="74"/>
      <c r="O1333" s="74"/>
      <c r="P1333" s="74"/>
      <c r="Q1333" s="74"/>
      <c r="R1333" s="74"/>
      <c r="S1333" s="74"/>
      <c r="T1333" s="74"/>
      <c r="U1333" s="74"/>
      <c r="V1333" s="74"/>
      <c r="W1333" s="74"/>
    </row>
    <row r="1334">
      <c r="A1334" s="74"/>
      <c r="B1334" s="74"/>
      <c r="C1334" s="74"/>
      <c r="D1334" s="74"/>
      <c r="E1334" s="74"/>
      <c r="F1334" s="74"/>
      <c r="G1334" s="74"/>
      <c r="H1334" s="74"/>
      <c r="I1334" s="74"/>
      <c r="J1334" s="74"/>
      <c r="K1334" s="74"/>
      <c r="L1334" s="74"/>
      <c r="M1334" s="74"/>
      <c r="N1334" s="74"/>
      <c r="O1334" s="74"/>
      <c r="P1334" s="74"/>
      <c r="Q1334" s="74"/>
      <c r="R1334" s="74"/>
      <c r="S1334" s="74"/>
      <c r="T1334" s="74"/>
      <c r="U1334" s="74"/>
      <c r="V1334" s="74"/>
      <c r="W1334" s="74"/>
    </row>
    <row r="1335">
      <c r="A1335" s="74"/>
      <c r="B1335" s="74"/>
      <c r="C1335" s="74"/>
      <c r="D1335" s="74"/>
      <c r="E1335" s="74"/>
      <c r="F1335" s="74"/>
      <c r="G1335" s="74"/>
      <c r="H1335" s="74"/>
      <c r="I1335" s="74"/>
      <c r="J1335" s="74"/>
      <c r="K1335" s="74"/>
      <c r="L1335" s="74"/>
      <c r="M1335" s="74"/>
      <c r="N1335" s="74"/>
      <c r="O1335" s="74"/>
      <c r="P1335" s="74"/>
      <c r="Q1335" s="74"/>
      <c r="R1335" s="74"/>
      <c r="S1335" s="74"/>
      <c r="T1335" s="74"/>
      <c r="U1335" s="74"/>
      <c r="V1335" s="74"/>
      <c r="W1335" s="74"/>
    </row>
    <row r="1336">
      <c r="A1336" s="74"/>
      <c r="B1336" s="74"/>
      <c r="C1336" s="74"/>
      <c r="D1336" s="74"/>
      <c r="E1336" s="74"/>
      <c r="F1336" s="74"/>
      <c r="G1336" s="74"/>
      <c r="H1336" s="74"/>
      <c r="I1336" s="74"/>
      <c r="J1336" s="74"/>
      <c r="K1336" s="74"/>
      <c r="L1336" s="74"/>
      <c r="M1336" s="74"/>
      <c r="N1336" s="74"/>
      <c r="O1336" s="74"/>
      <c r="P1336" s="74"/>
      <c r="Q1336" s="74"/>
      <c r="R1336" s="74"/>
      <c r="S1336" s="74"/>
      <c r="T1336" s="74"/>
      <c r="U1336" s="74"/>
      <c r="V1336" s="74"/>
      <c r="W1336" s="74"/>
    </row>
    <row r="1337">
      <c r="A1337" s="74"/>
      <c r="B1337" s="74"/>
      <c r="C1337" s="74"/>
      <c r="D1337" s="74"/>
      <c r="E1337" s="74"/>
      <c r="F1337" s="74"/>
      <c r="G1337" s="74"/>
      <c r="H1337" s="74"/>
      <c r="I1337" s="74"/>
      <c r="J1337" s="74"/>
      <c r="K1337" s="74"/>
      <c r="L1337" s="74"/>
      <c r="M1337" s="74"/>
      <c r="N1337" s="74"/>
      <c r="O1337" s="74"/>
      <c r="P1337" s="74"/>
      <c r="Q1337" s="74"/>
      <c r="R1337" s="74"/>
      <c r="S1337" s="74"/>
      <c r="T1337" s="74"/>
      <c r="U1337" s="74"/>
      <c r="V1337" s="74"/>
      <c r="W1337" s="74"/>
    </row>
    <row r="1338">
      <c r="A1338" s="74"/>
      <c r="B1338" s="74"/>
      <c r="C1338" s="74"/>
      <c r="D1338" s="74"/>
      <c r="E1338" s="74"/>
      <c r="F1338" s="74"/>
      <c r="G1338" s="74"/>
      <c r="H1338" s="74"/>
      <c r="I1338" s="74"/>
      <c r="J1338" s="74"/>
      <c r="K1338" s="74"/>
      <c r="L1338" s="74"/>
      <c r="M1338" s="74"/>
      <c r="N1338" s="74"/>
      <c r="O1338" s="74"/>
      <c r="P1338" s="74"/>
      <c r="Q1338" s="74"/>
      <c r="R1338" s="74"/>
      <c r="S1338" s="74"/>
      <c r="T1338" s="74"/>
      <c r="U1338" s="74"/>
      <c r="V1338" s="74"/>
      <c r="W1338" s="74"/>
    </row>
    <row r="1339">
      <c r="A1339" s="74"/>
      <c r="B1339" s="74"/>
      <c r="C1339" s="74"/>
      <c r="D1339" s="74"/>
      <c r="E1339" s="74"/>
      <c r="F1339" s="74"/>
      <c r="G1339" s="74"/>
      <c r="H1339" s="74"/>
      <c r="I1339" s="74"/>
      <c r="J1339" s="74"/>
      <c r="K1339" s="74"/>
      <c r="L1339" s="74"/>
      <c r="M1339" s="74"/>
      <c r="N1339" s="74"/>
      <c r="O1339" s="74"/>
      <c r="P1339" s="74"/>
      <c r="Q1339" s="74"/>
      <c r="R1339" s="74"/>
      <c r="S1339" s="74"/>
      <c r="T1339" s="74"/>
      <c r="U1339" s="74"/>
      <c r="V1339" s="74"/>
      <c r="W1339" s="74"/>
    </row>
    <row r="1340">
      <c r="A1340" s="74"/>
      <c r="B1340" s="74"/>
      <c r="C1340" s="74"/>
      <c r="D1340" s="74"/>
      <c r="E1340" s="74"/>
      <c r="F1340" s="74"/>
      <c r="G1340" s="74"/>
      <c r="H1340" s="74"/>
      <c r="I1340" s="74"/>
      <c r="J1340" s="74"/>
      <c r="K1340" s="74"/>
      <c r="L1340" s="74"/>
      <c r="M1340" s="74"/>
      <c r="N1340" s="74"/>
      <c r="O1340" s="74"/>
      <c r="P1340" s="74"/>
      <c r="Q1340" s="74"/>
      <c r="R1340" s="74"/>
      <c r="S1340" s="74"/>
      <c r="T1340" s="74"/>
      <c r="U1340" s="74"/>
      <c r="V1340" s="74"/>
      <c r="W1340" s="74"/>
    </row>
    <row r="1341">
      <c r="A1341" s="74"/>
      <c r="B1341" s="74"/>
      <c r="C1341" s="74"/>
      <c r="D1341" s="74"/>
      <c r="E1341" s="74"/>
      <c r="F1341" s="74"/>
      <c r="G1341" s="74"/>
      <c r="H1341" s="74"/>
      <c r="I1341" s="74"/>
      <c r="J1341" s="74"/>
      <c r="K1341" s="74"/>
      <c r="L1341" s="74"/>
      <c r="M1341" s="74"/>
      <c r="N1341" s="74"/>
      <c r="O1341" s="74"/>
      <c r="P1341" s="74"/>
      <c r="Q1341" s="74"/>
      <c r="R1341" s="74"/>
      <c r="S1341" s="74"/>
      <c r="T1341" s="74"/>
      <c r="U1341" s="74"/>
      <c r="V1341" s="74"/>
      <c r="W1341" s="74"/>
    </row>
    <row r="1342">
      <c r="A1342" s="74"/>
      <c r="B1342" s="74"/>
      <c r="C1342" s="74"/>
      <c r="D1342" s="74"/>
      <c r="E1342" s="74"/>
      <c r="F1342" s="74"/>
      <c r="G1342" s="74"/>
      <c r="H1342" s="74"/>
      <c r="I1342" s="74"/>
      <c r="J1342" s="74"/>
      <c r="K1342" s="74"/>
      <c r="L1342" s="74"/>
      <c r="M1342" s="74"/>
      <c r="N1342" s="74"/>
      <c r="O1342" s="74"/>
      <c r="P1342" s="74"/>
      <c r="Q1342" s="74"/>
      <c r="R1342" s="74"/>
      <c r="S1342" s="74"/>
      <c r="T1342" s="74"/>
      <c r="U1342" s="74"/>
      <c r="V1342" s="74"/>
      <c r="W1342" s="74"/>
    </row>
    <row r="1343">
      <c r="A1343" s="74"/>
      <c r="B1343" s="74"/>
      <c r="C1343" s="74"/>
      <c r="D1343" s="74"/>
      <c r="E1343" s="74"/>
      <c r="F1343" s="74"/>
      <c r="G1343" s="74"/>
      <c r="H1343" s="74"/>
      <c r="I1343" s="74"/>
      <c r="J1343" s="74"/>
      <c r="K1343" s="74"/>
      <c r="L1343" s="74"/>
      <c r="M1343" s="74"/>
      <c r="N1343" s="74"/>
      <c r="O1343" s="74"/>
      <c r="P1343" s="74"/>
      <c r="Q1343" s="74"/>
      <c r="R1343" s="74"/>
      <c r="S1343" s="74"/>
      <c r="T1343" s="74"/>
      <c r="U1343" s="74"/>
      <c r="V1343" s="74"/>
      <c r="W1343" s="74"/>
    </row>
    <row r="1344">
      <c r="A1344" s="74"/>
      <c r="B1344" s="74"/>
      <c r="C1344" s="74"/>
      <c r="D1344" s="74"/>
      <c r="E1344" s="74"/>
      <c r="F1344" s="74"/>
      <c r="G1344" s="74"/>
      <c r="H1344" s="74"/>
      <c r="I1344" s="74"/>
      <c r="J1344" s="74"/>
      <c r="K1344" s="74"/>
      <c r="L1344" s="74"/>
      <c r="M1344" s="74"/>
      <c r="N1344" s="74"/>
      <c r="O1344" s="74"/>
      <c r="P1344" s="74"/>
      <c r="Q1344" s="74"/>
      <c r="R1344" s="74"/>
      <c r="S1344" s="74"/>
      <c r="T1344" s="74"/>
      <c r="U1344" s="74"/>
      <c r="V1344" s="74"/>
      <c r="W1344" s="74"/>
    </row>
    <row r="1345">
      <c r="A1345" s="74"/>
      <c r="B1345" s="74"/>
      <c r="C1345" s="74"/>
      <c r="D1345" s="74"/>
      <c r="E1345" s="74"/>
      <c r="F1345" s="74"/>
      <c r="G1345" s="74"/>
      <c r="H1345" s="74"/>
      <c r="I1345" s="74"/>
      <c r="J1345" s="74"/>
      <c r="K1345" s="74"/>
      <c r="L1345" s="74"/>
      <c r="M1345" s="74"/>
      <c r="N1345" s="74"/>
      <c r="O1345" s="74"/>
      <c r="P1345" s="74"/>
      <c r="Q1345" s="74"/>
      <c r="R1345" s="74"/>
      <c r="S1345" s="74"/>
      <c r="T1345" s="74"/>
      <c r="U1345" s="74"/>
      <c r="V1345" s="74"/>
      <c r="W1345" s="74"/>
    </row>
    <row r="1346">
      <c r="A1346" s="74"/>
      <c r="B1346" s="74"/>
      <c r="C1346" s="74"/>
      <c r="D1346" s="74"/>
      <c r="E1346" s="74"/>
      <c r="F1346" s="74"/>
      <c r="G1346" s="74"/>
      <c r="H1346" s="74"/>
      <c r="I1346" s="74"/>
      <c r="J1346" s="74"/>
      <c r="K1346" s="74"/>
      <c r="L1346" s="74"/>
      <c r="M1346" s="74"/>
      <c r="N1346" s="74"/>
      <c r="O1346" s="74"/>
      <c r="P1346" s="74"/>
      <c r="Q1346" s="74"/>
      <c r="R1346" s="74"/>
      <c r="S1346" s="74"/>
      <c r="T1346" s="74"/>
      <c r="U1346" s="74"/>
      <c r="V1346" s="74"/>
      <c r="W1346" s="74"/>
    </row>
    <row r="1347">
      <c r="A1347" s="74"/>
      <c r="B1347" s="74"/>
      <c r="C1347" s="74"/>
      <c r="D1347" s="74"/>
      <c r="E1347" s="74"/>
      <c r="F1347" s="74"/>
      <c r="G1347" s="74"/>
      <c r="H1347" s="74"/>
      <c r="I1347" s="74"/>
      <c r="J1347" s="74"/>
      <c r="K1347" s="74"/>
      <c r="L1347" s="74"/>
      <c r="M1347" s="74"/>
      <c r="N1347" s="74"/>
      <c r="O1347" s="74"/>
      <c r="P1347" s="74"/>
      <c r="Q1347" s="74"/>
      <c r="R1347" s="74"/>
      <c r="S1347" s="74"/>
      <c r="T1347" s="74"/>
      <c r="U1347" s="74"/>
      <c r="V1347" s="74"/>
      <c r="W1347" s="74"/>
    </row>
    <row r="1348">
      <c r="A1348" s="74"/>
      <c r="B1348" s="74"/>
      <c r="C1348" s="74"/>
      <c r="D1348" s="74"/>
      <c r="E1348" s="74"/>
      <c r="F1348" s="74"/>
      <c r="G1348" s="74"/>
      <c r="H1348" s="74"/>
      <c r="I1348" s="74"/>
      <c r="J1348" s="74"/>
      <c r="K1348" s="74"/>
      <c r="L1348" s="74"/>
      <c r="M1348" s="74"/>
      <c r="N1348" s="74"/>
      <c r="O1348" s="74"/>
      <c r="P1348" s="74"/>
      <c r="Q1348" s="74"/>
      <c r="R1348" s="74"/>
      <c r="S1348" s="74"/>
      <c r="T1348" s="74"/>
      <c r="U1348" s="74"/>
      <c r="V1348" s="74"/>
      <c r="W1348" s="74"/>
    </row>
    <row r="1349">
      <c r="A1349" s="74"/>
      <c r="B1349" s="74"/>
      <c r="C1349" s="74"/>
      <c r="D1349" s="74"/>
      <c r="E1349" s="74"/>
      <c r="F1349" s="74"/>
      <c r="G1349" s="74"/>
      <c r="H1349" s="74"/>
      <c r="I1349" s="74"/>
      <c r="J1349" s="74"/>
      <c r="K1349" s="74"/>
      <c r="L1349" s="74"/>
      <c r="M1349" s="74"/>
      <c r="N1349" s="74"/>
      <c r="O1349" s="74"/>
      <c r="P1349" s="74"/>
      <c r="Q1349" s="74"/>
      <c r="R1349" s="74"/>
      <c r="S1349" s="74"/>
      <c r="T1349" s="74"/>
      <c r="U1349" s="74"/>
      <c r="V1349" s="74"/>
      <c r="W1349" s="74"/>
    </row>
    <row r="1350">
      <c r="A1350" s="74"/>
      <c r="B1350" s="74"/>
      <c r="C1350" s="74"/>
      <c r="D1350" s="74"/>
      <c r="E1350" s="74"/>
      <c r="F1350" s="74"/>
      <c r="G1350" s="74"/>
      <c r="H1350" s="74"/>
      <c r="I1350" s="74"/>
      <c r="J1350" s="74"/>
      <c r="K1350" s="74"/>
      <c r="L1350" s="74"/>
      <c r="M1350" s="74"/>
      <c r="N1350" s="74"/>
      <c r="O1350" s="74"/>
      <c r="P1350" s="74"/>
      <c r="Q1350" s="74"/>
      <c r="R1350" s="74"/>
      <c r="S1350" s="74"/>
      <c r="T1350" s="74"/>
      <c r="U1350" s="74"/>
      <c r="V1350" s="74"/>
      <c r="W1350" s="74"/>
    </row>
    <row r="1351">
      <c r="A1351" s="74"/>
      <c r="B1351" s="74"/>
      <c r="C1351" s="74"/>
      <c r="D1351" s="74"/>
      <c r="E1351" s="74"/>
      <c r="F1351" s="74"/>
      <c r="G1351" s="74"/>
      <c r="H1351" s="74"/>
      <c r="I1351" s="74"/>
      <c r="J1351" s="74"/>
      <c r="K1351" s="74"/>
      <c r="L1351" s="74"/>
      <c r="M1351" s="74"/>
      <c r="N1351" s="74"/>
      <c r="O1351" s="74"/>
      <c r="P1351" s="74"/>
      <c r="Q1351" s="74"/>
      <c r="R1351" s="74"/>
      <c r="S1351" s="74"/>
      <c r="T1351" s="74"/>
      <c r="U1351" s="74"/>
      <c r="V1351" s="74"/>
      <c r="W1351" s="74"/>
    </row>
    <row r="1352">
      <c r="A1352" s="74"/>
      <c r="B1352" s="74"/>
      <c r="C1352" s="74"/>
      <c r="D1352" s="74"/>
      <c r="E1352" s="74"/>
      <c r="F1352" s="74"/>
      <c r="G1352" s="74"/>
      <c r="H1352" s="74"/>
      <c r="I1352" s="74"/>
      <c r="J1352" s="74"/>
      <c r="K1352" s="74"/>
      <c r="L1352" s="74"/>
      <c r="M1352" s="74"/>
      <c r="N1352" s="74"/>
      <c r="O1352" s="74"/>
      <c r="P1352" s="74"/>
      <c r="Q1352" s="74"/>
      <c r="R1352" s="74"/>
      <c r="S1352" s="74"/>
      <c r="T1352" s="74"/>
      <c r="U1352" s="74"/>
      <c r="V1352" s="74"/>
      <c r="W1352" s="74"/>
    </row>
    <row r="1353">
      <c r="A1353" s="74"/>
      <c r="B1353" s="74"/>
      <c r="C1353" s="74"/>
      <c r="D1353" s="74"/>
      <c r="E1353" s="74"/>
      <c r="F1353" s="74"/>
      <c r="G1353" s="74"/>
      <c r="H1353" s="74"/>
      <c r="I1353" s="74"/>
      <c r="J1353" s="74"/>
      <c r="K1353" s="74"/>
      <c r="L1353" s="74"/>
      <c r="M1353" s="74"/>
      <c r="N1353" s="74"/>
      <c r="O1353" s="74"/>
      <c r="P1353" s="74"/>
      <c r="Q1353" s="74"/>
      <c r="R1353" s="74"/>
      <c r="S1353" s="74"/>
      <c r="T1353" s="74"/>
      <c r="U1353" s="74"/>
      <c r="V1353" s="74"/>
      <c r="W1353" s="74"/>
    </row>
    <row r="1354">
      <c r="A1354" s="74"/>
      <c r="B1354" s="74"/>
      <c r="C1354" s="74"/>
      <c r="D1354" s="74"/>
      <c r="E1354" s="74"/>
      <c r="F1354" s="74"/>
      <c r="G1354" s="74"/>
      <c r="H1354" s="74"/>
      <c r="I1354" s="74"/>
      <c r="J1354" s="74"/>
      <c r="K1354" s="74"/>
      <c r="L1354" s="74"/>
      <c r="M1354" s="74"/>
      <c r="N1354" s="74"/>
      <c r="O1354" s="74"/>
      <c r="P1354" s="74"/>
      <c r="Q1354" s="74"/>
      <c r="R1354" s="74"/>
      <c r="S1354" s="74"/>
      <c r="T1354" s="74"/>
      <c r="U1354" s="74"/>
      <c r="V1354" s="74"/>
      <c r="W1354" s="74"/>
    </row>
  </sheetData>
  <autoFilter ref="$A$1:$Q$340"/>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0.5"/>
  </cols>
  <sheetData>
    <row r="1">
      <c r="A1" s="75" t="s">
        <v>1555</v>
      </c>
      <c r="B1" s="75" t="s">
        <v>30</v>
      </c>
    </row>
    <row r="2">
      <c r="A2" s="75" t="s">
        <v>214</v>
      </c>
      <c r="B2" s="75" t="s">
        <v>63</v>
      </c>
    </row>
    <row r="3">
      <c r="A3" s="75" t="s">
        <v>262</v>
      </c>
      <c r="B3" s="75" t="s">
        <v>49</v>
      </c>
    </row>
    <row r="4">
      <c r="A4" s="75" t="s">
        <v>268</v>
      </c>
      <c r="B4" s="75" t="s">
        <v>49</v>
      </c>
    </row>
    <row r="5">
      <c r="A5" s="75" t="s">
        <v>274</v>
      </c>
      <c r="B5" s="75" t="s">
        <v>49</v>
      </c>
    </row>
    <row r="6">
      <c r="A6" s="75" t="s">
        <v>277</v>
      </c>
      <c r="B6" s="75" t="s">
        <v>49</v>
      </c>
    </row>
    <row r="7">
      <c r="A7" s="75" t="s">
        <v>287</v>
      </c>
      <c r="B7" s="75" t="s">
        <v>49</v>
      </c>
    </row>
    <row r="8">
      <c r="A8" s="75" t="s">
        <v>313</v>
      </c>
      <c r="B8" s="75" t="s">
        <v>49</v>
      </c>
    </row>
    <row r="9">
      <c r="A9" s="75" t="s">
        <v>318</v>
      </c>
      <c r="B9" s="75" t="s">
        <v>49</v>
      </c>
    </row>
    <row r="10">
      <c r="A10" s="75" t="s">
        <v>351</v>
      </c>
      <c r="B10" s="75" t="s">
        <v>49</v>
      </c>
    </row>
    <row r="11">
      <c r="A11" s="75" t="s">
        <v>366</v>
      </c>
      <c r="B11" s="75" t="s">
        <v>49</v>
      </c>
    </row>
    <row r="12">
      <c r="A12" s="75" t="s">
        <v>383</v>
      </c>
      <c r="B12" s="75" t="s">
        <v>49</v>
      </c>
    </row>
    <row r="13">
      <c r="A13" s="75" t="s">
        <v>509</v>
      </c>
      <c r="B13" s="75" t="s">
        <v>56</v>
      </c>
    </row>
    <row r="14">
      <c r="A14" s="75" t="s">
        <v>560</v>
      </c>
      <c r="B14" s="75" t="s">
        <v>49</v>
      </c>
    </row>
    <row r="15">
      <c r="A15" s="75" t="s">
        <v>1556</v>
      </c>
      <c r="B15" s="75" t="s">
        <v>49</v>
      </c>
    </row>
    <row r="16">
      <c r="A16" s="75" t="s">
        <v>766</v>
      </c>
      <c r="B16" s="75" t="s">
        <v>60</v>
      </c>
    </row>
    <row r="17">
      <c r="A17" s="75" t="s">
        <v>846</v>
      </c>
      <c r="B17" s="75" t="s">
        <v>47</v>
      </c>
    </row>
    <row r="18">
      <c r="A18" s="75" t="s">
        <v>1058</v>
      </c>
      <c r="B18" s="75" t="s">
        <v>49</v>
      </c>
    </row>
    <row r="19">
      <c r="A19" s="75" t="s">
        <v>1079</v>
      </c>
      <c r="B19" s="75" t="s">
        <v>49</v>
      </c>
    </row>
    <row r="20">
      <c r="A20" s="75" t="s">
        <v>1212</v>
      </c>
      <c r="B20" s="75" t="s">
        <v>63</v>
      </c>
    </row>
    <row r="21">
      <c r="A21" s="75" t="s">
        <v>1215</v>
      </c>
      <c r="B21" s="75" t="s">
        <v>1557</v>
      </c>
    </row>
    <row r="22">
      <c r="A22" s="75" t="s">
        <v>1219</v>
      </c>
      <c r="B22" s="75" t="s">
        <v>1557</v>
      </c>
    </row>
    <row r="23">
      <c r="A23" s="75" t="s">
        <v>1225</v>
      </c>
      <c r="B23" s="75" t="s">
        <v>49</v>
      </c>
    </row>
    <row r="24">
      <c r="A24" s="75" t="s">
        <v>1229</v>
      </c>
      <c r="B24" s="75" t="s">
        <v>49</v>
      </c>
    </row>
    <row r="25">
      <c r="A25" s="75" t="s">
        <v>1234</v>
      </c>
      <c r="B25" s="75" t="s">
        <v>49</v>
      </c>
    </row>
    <row r="26">
      <c r="A26" s="75" t="s">
        <v>1129</v>
      </c>
      <c r="B26" s="75" t="s">
        <v>49</v>
      </c>
    </row>
    <row r="27">
      <c r="A27" s="75" t="s">
        <v>1134</v>
      </c>
      <c r="B27" s="75" t="s">
        <v>49</v>
      </c>
    </row>
    <row r="28">
      <c r="A28" s="75" t="s">
        <v>1140</v>
      </c>
      <c r="B28" s="75" t="s">
        <v>49</v>
      </c>
    </row>
    <row r="29">
      <c r="A29" s="75" t="s">
        <v>1145</v>
      </c>
      <c r="B29" s="75" t="s">
        <v>49</v>
      </c>
    </row>
    <row r="30">
      <c r="A30" s="75" t="s">
        <v>1252</v>
      </c>
      <c r="B30" s="75" t="s">
        <v>45</v>
      </c>
    </row>
    <row r="31">
      <c r="A31" s="75" t="s">
        <v>1255</v>
      </c>
      <c r="B31" s="75" t="s">
        <v>45</v>
      </c>
    </row>
    <row r="32">
      <c r="A32" s="75" t="s">
        <v>1426</v>
      </c>
      <c r="B32" s="75" t="s">
        <v>45</v>
      </c>
    </row>
    <row r="33">
      <c r="A33" s="75" t="s">
        <v>1264</v>
      </c>
      <c r="B33" s="75" t="s">
        <v>49</v>
      </c>
    </row>
    <row r="34">
      <c r="A34" s="75" t="s">
        <v>1267</v>
      </c>
      <c r="B34" s="75" t="s">
        <v>49</v>
      </c>
    </row>
    <row r="35">
      <c r="A35" s="75" t="s">
        <v>1270</v>
      </c>
      <c r="B35" s="75" t="s">
        <v>63</v>
      </c>
    </row>
    <row r="36">
      <c r="A36" s="75" t="s">
        <v>1558</v>
      </c>
      <c r="B36" s="75" t="s">
        <v>37</v>
      </c>
    </row>
    <row r="37">
      <c r="A37" s="75" t="s">
        <v>1361</v>
      </c>
      <c r="B37" s="75" t="s">
        <v>37</v>
      </c>
    </row>
    <row r="38">
      <c r="A38" s="75" t="s">
        <v>1364</v>
      </c>
      <c r="B38" s="75" t="s">
        <v>37</v>
      </c>
    </row>
    <row r="39">
      <c r="A39" s="75" t="s">
        <v>1367</v>
      </c>
      <c r="B39" s="75" t="s">
        <v>37</v>
      </c>
    </row>
    <row r="40">
      <c r="A40" s="75" t="s">
        <v>1383</v>
      </c>
      <c r="B40" s="75" t="s">
        <v>49</v>
      </c>
    </row>
    <row r="41">
      <c r="A41" s="75" t="s">
        <v>1387</v>
      </c>
      <c r="B41" s="75" t="s">
        <v>49</v>
      </c>
    </row>
    <row r="42">
      <c r="A42" s="75" t="s">
        <v>1390</v>
      </c>
      <c r="B42" s="75" t="s">
        <v>49</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2.13"/>
    <col customWidth="1" min="2" max="2" width="22.25"/>
    <col customWidth="1" min="3" max="3" width="12.75"/>
    <col customWidth="1" min="4" max="4" width="8.88"/>
    <col customWidth="1" min="5" max="5" width="17.88"/>
    <col customWidth="1" min="6" max="6" width="16.88"/>
    <col customWidth="1" min="7" max="7" width="6.25"/>
    <col customWidth="1" min="8" max="8" width="16.75"/>
  </cols>
  <sheetData>
    <row r="1">
      <c r="A1" s="3" t="str">
        <f>IFERROR(__xludf.DUMMYFUNCTION("ARRAYFORMULA(QUERY(SUBSTITUTE(SPLIT(FLATTEN(Data_Looker!B1:B339 &amp; ""|"" &amp; SPLIT(SUBSTITUTE(Data_Looker!G1:G339, ""Land, Food and Forest"", ""PROTEGER1""), "", "", FALSE)), ""|""), ""PROTEGER1"", ""Land, Food and Forest""), ""where Col2 &lt;&gt; ''""))"),"Stakeholder ")</f>
        <v>Stakeholder </v>
      </c>
      <c r="B1" s="3" t="str">
        <f>IFERROR(__xludf.DUMMYFUNCTION("""COMPUTED_VALUE"""),"Primary impact area 
(sector of interest / Nexuses)")</f>
        <v>Primary impact area 
(sector of interest / Nexuses)</v>
      </c>
      <c r="C1" s="76"/>
      <c r="D1" s="76"/>
    </row>
    <row r="2">
      <c r="A2" s="3" t="str">
        <f>IFERROR(__xludf.DUMMYFUNCTION("""COMPUTED_VALUE"""),"Instituto Ibirapitanga")</f>
        <v>Instituto Ibirapitanga</v>
      </c>
      <c r="B2" s="3" t="str">
        <f>IFERROR(__xludf.DUMMYFUNCTION("""COMPUTED_VALUE"""),"""Land, Food and Forest""")</f>
        <v>"Land, Food and Forest"</v>
      </c>
    </row>
    <row r="3">
      <c r="A3" s="3" t="str">
        <f>IFERROR(__xludf.DUMMYFUNCTION("""COMPUTED_VALUE"""),"Instituto Serrapilheira")</f>
        <v>Instituto Serrapilheira</v>
      </c>
      <c r="B3" s="3" t="str">
        <f>IFERROR(__xludf.DUMMYFUNCTION("""COMPUTED_VALUE"""),"""Land, Food and Forest""")</f>
        <v>"Land, Food and Forest"</v>
      </c>
    </row>
    <row r="4">
      <c r="A4" s="3" t="str">
        <f>IFERROR(__xludf.DUMMYFUNCTION("""COMPUTED_VALUE"""),"Fundo Brasileiro para a Biodiversidade (FUNBIO)")</f>
        <v>Fundo Brasileiro para a Biodiversidade (FUNBIO)</v>
      </c>
      <c r="B4" s="3" t="str">
        <f>IFERROR(__xludf.DUMMYFUNCTION("""COMPUTED_VALUE"""),"""Land, Food and Forest""")</f>
        <v>"Land, Food and Forest"</v>
      </c>
    </row>
    <row r="5">
      <c r="A5" s="3" t="str">
        <f>IFERROR(__xludf.DUMMYFUNCTION("""COMPUTED_VALUE"""),"Instituto Clima e Sociedade (iCS)")</f>
        <v>Instituto Clima e Sociedade (iCS)</v>
      </c>
      <c r="B5" s="3" t="str">
        <f>IFERROR(__xludf.DUMMYFUNCTION("""COMPUTED_VALUE"""),"Buildings &amp; Transport")</f>
        <v>Buildings &amp; Transport</v>
      </c>
    </row>
    <row r="6">
      <c r="A6" s="3" t="str">
        <f>IFERROR(__xludf.DUMMYFUNCTION("""COMPUTED_VALUE"""),"Instituto Clima e Sociedade (iCS)")</f>
        <v>Instituto Clima e Sociedade (iCS)</v>
      </c>
      <c r="B6" s="3" t="str">
        <f>IFERROR(__xludf.DUMMYFUNCTION("""COMPUTED_VALUE"""),"Energy")</f>
        <v>Energy</v>
      </c>
    </row>
    <row r="7">
      <c r="A7" s="3" t="str">
        <f>IFERROR(__xludf.DUMMYFUNCTION("""COMPUTED_VALUE"""),"Instituto Clima e Sociedade (iCS)")</f>
        <v>Instituto Clima e Sociedade (iCS)</v>
      </c>
      <c r="B7" s="3" t="str">
        <f>IFERROR(__xludf.DUMMYFUNCTION("""COMPUTED_VALUE"""),"""Land, Food and Forest""")</f>
        <v>"Land, Food and Forest"</v>
      </c>
    </row>
    <row r="8">
      <c r="A8" s="3" t="str">
        <f>IFERROR(__xludf.DUMMYFUNCTION("""COMPUTED_VALUE"""),"Instituto Cultura, Comunicação e Incidência (ICCI)")</f>
        <v>Instituto Cultura, Comunicação e Incidência (ICCI)</v>
      </c>
      <c r="B8" s="3" t="str">
        <f>IFERROR(__xludf.DUMMYFUNCTION("""COMPUTED_VALUE"""),"Buildings &amp; Transport")</f>
        <v>Buildings &amp; Transport</v>
      </c>
    </row>
    <row r="9">
      <c r="A9" s="3" t="str">
        <f>IFERROR(__xludf.DUMMYFUNCTION("""COMPUTED_VALUE"""),"Instituto Cultura, Comunicação e Incidência (ICCI)")</f>
        <v>Instituto Cultura, Comunicação e Incidência (ICCI)</v>
      </c>
      <c r="B9" s="3" t="str">
        <f>IFERROR(__xludf.DUMMYFUNCTION("""COMPUTED_VALUE"""),"Energy")</f>
        <v>Energy</v>
      </c>
    </row>
    <row r="10">
      <c r="A10" s="3" t="str">
        <f>IFERROR(__xludf.DUMMYFUNCTION("""COMPUTED_VALUE"""),"Instituto Cultura, Comunicação e Incidência (ICCI)")</f>
        <v>Instituto Cultura, Comunicação e Incidência (ICCI)</v>
      </c>
      <c r="B10" s="3" t="str">
        <f>IFERROR(__xludf.DUMMYFUNCTION("""COMPUTED_VALUE"""),"""Land, Food and Forest""")</f>
        <v>"Land, Food and Forest"</v>
      </c>
    </row>
    <row r="11">
      <c r="A11" s="3" t="str">
        <f>IFERROR(__xludf.DUMMYFUNCTION("""COMPUTED_VALUE"""),"Grupo de Institutos, Fundações e Empresas (GIFE)")</f>
        <v>Grupo de Institutos, Fundações e Empresas (GIFE)</v>
      </c>
      <c r="B11" s="3" t="str">
        <f>IFERROR(__xludf.DUMMYFUNCTION("""COMPUTED_VALUE"""),"Buildings &amp; Transport")</f>
        <v>Buildings &amp; Transport</v>
      </c>
    </row>
    <row r="12">
      <c r="A12" s="3" t="str">
        <f>IFERROR(__xludf.DUMMYFUNCTION("""COMPUTED_VALUE"""),"Grupo de Institutos, Fundações e Empresas (GIFE)")</f>
        <v>Grupo de Institutos, Fundações e Empresas (GIFE)</v>
      </c>
      <c r="B12" s="3" t="str">
        <f>IFERROR(__xludf.DUMMYFUNCTION("""COMPUTED_VALUE"""),"Energy")</f>
        <v>Energy</v>
      </c>
    </row>
    <row r="13">
      <c r="A13" s="3" t="str">
        <f>IFERROR(__xludf.DUMMYFUNCTION("""COMPUTED_VALUE"""),"Grupo de Institutos, Fundações e Empresas (GIFE)")</f>
        <v>Grupo de Institutos, Fundações e Empresas (GIFE)</v>
      </c>
      <c r="B13" s="3" t="str">
        <f>IFERROR(__xludf.DUMMYFUNCTION("""COMPUTED_VALUE"""),"""Land, Food and Forest""")</f>
        <v>"Land, Food and Forest"</v>
      </c>
    </row>
    <row r="14">
      <c r="A14" s="3" t="str">
        <f>IFERROR(__xludf.DUMMYFUNCTION("""COMPUTED_VALUE"""),"Movimento Bem Maior (MBM)")</f>
        <v>Movimento Bem Maior (MBM)</v>
      </c>
      <c r="B14" s="3" t="str">
        <f>IFERROR(__xludf.DUMMYFUNCTION("""COMPUTED_VALUE"""),"Buildings &amp; Transport")</f>
        <v>Buildings &amp; Transport</v>
      </c>
    </row>
    <row r="15">
      <c r="A15" s="3" t="str">
        <f>IFERROR(__xludf.DUMMYFUNCTION("""COMPUTED_VALUE"""),"Movimento Bem Maior (MBM)")</f>
        <v>Movimento Bem Maior (MBM)</v>
      </c>
      <c r="B15" s="3" t="str">
        <f>IFERROR(__xludf.DUMMYFUNCTION("""COMPUTED_VALUE"""),"""Land, Food and Forest""")</f>
        <v>"Land, Food and Forest"</v>
      </c>
    </row>
    <row r="16">
      <c r="A16" s="3" t="str">
        <f>IFERROR(__xludf.DUMMYFUNCTION("""COMPUTED_VALUE"""),"Instituto Beija ")</f>
        <v>Instituto Beija </v>
      </c>
      <c r="B16" s="3" t="str">
        <f>IFERROR(__xludf.DUMMYFUNCTION("""COMPUTED_VALUE"""),"Buildings &amp; Transport")</f>
        <v>Buildings &amp; Transport</v>
      </c>
    </row>
    <row r="17">
      <c r="A17" s="3" t="str">
        <f>IFERROR(__xludf.DUMMYFUNCTION("""COMPUTED_VALUE"""),"Instituto Beija ")</f>
        <v>Instituto Beija </v>
      </c>
      <c r="B17" s="3" t="str">
        <f>IFERROR(__xludf.DUMMYFUNCTION("""COMPUTED_VALUE"""),"Energy")</f>
        <v>Energy</v>
      </c>
    </row>
    <row r="18">
      <c r="A18" s="3" t="str">
        <f>IFERROR(__xludf.DUMMYFUNCTION("""COMPUTED_VALUE"""),"Instituto Beija ")</f>
        <v>Instituto Beija </v>
      </c>
      <c r="B18" s="3" t="str">
        <f>IFERROR(__xludf.DUMMYFUNCTION("""COMPUTED_VALUE"""),"""Land, Food and Forest""")</f>
        <v>"Land, Food and Forest"</v>
      </c>
    </row>
    <row r="19">
      <c r="A19" s="3" t="str">
        <f>IFERROR(__xludf.DUMMYFUNCTION("""COMPUTED_VALUE"""),"Instituto Beija ")</f>
        <v>Instituto Beija </v>
      </c>
      <c r="B19" s="3" t="str">
        <f>IFERROR(__xludf.DUMMYFUNCTION("""COMPUTED_VALUE"""),"Emergency response")</f>
        <v>Emergency response</v>
      </c>
    </row>
    <row r="20">
      <c r="A20" s="3" t="str">
        <f>IFERROR(__xludf.DUMMYFUNCTION("""COMPUTED_VALUE"""),"Open Society Foundations")</f>
        <v>Open Society Foundations</v>
      </c>
      <c r="B20" s="3" t="str">
        <f>IFERROR(__xludf.DUMMYFUNCTION("""COMPUTED_VALUE"""),"Buildings &amp; Transport")</f>
        <v>Buildings &amp; Transport</v>
      </c>
    </row>
    <row r="21">
      <c r="A21" s="3" t="str">
        <f>IFERROR(__xludf.DUMMYFUNCTION("""COMPUTED_VALUE"""),"Open Society Foundations")</f>
        <v>Open Society Foundations</v>
      </c>
      <c r="B21" s="3" t="str">
        <f>IFERROR(__xludf.DUMMYFUNCTION("""COMPUTED_VALUE"""),"Emergency response")</f>
        <v>Emergency response</v>
      </c>
    </row>
    <row r="22">
      <c r="A22" s="3" t="str">
        <f>IFERROR(__xludf.DUMMYFUNCTION("""COMPUTED_VALUE"""),"Open Society Foundations")</f>
        <v>Open Society Foundations</v>
      </c>
      <c r="B22" s="3" t="str">
        <f>IFERROR(__xludf.DUMMYFUNCTION("""COMPUTED_VALUE"""),"Energy")</f>
        <v>Energy</v>
      </c>
    </row>
    <row r="23">
      <c r="A23" s="3" t="str">
        <f>IFERROR(__xludf.DUMMYFUNCTION("""COMPUTED_VALUE"""),"Open Society Foundations")</f>
        <v>Open Society Foundations</v>
      </c>
      <c r="B23" s="3" t="str">
        <f>IFERROR(__xludf.DUMMYFUNCTION("""COMPUTED_VALUE"""),"""Land, Food and Forest""")</f>
        <v>"Land, Food and Forest"</v>
      </c>
    </row>
    <row r="24">
      <c r="A24" s="3" t="str">
        <f>IFERROR(__xludf.DUMMYFUNCTION("""COMPUTED_VALUE"""),"Instituto Ethos")</f>
        <v>Instituto Ethos</v>
      </c>
      <c r="B24" s="3" t="str">
        <f>IFERROR(__xludf.DUMMYFUNCTION("""COMPUTED_VALUE"""),"Buildings &amp; Transport")</f>
        <v>Buildings &amp; Transport</v>
      </c>
    </row>
    <row r="25">
      <c r="A25" s="3" t="str">
        <f>IFERROR(__xludf.DUMMYFUNCTION("""COMPUTED_VALUE"""),"Instituto Ethos")</f>
        <v>Instituto Ethos</v>
      </c>
      <c r="B25" s="3" t="str">
        <f>IFERROR(__xludf.DUMMYFUNCTION("""COMPUTED_VALUE"""),"Energy")</f>
        <v>Energy</v>
      </c>
    </row>
    <row r="26">
      <c r="A26" s="3" t="str">
        <f>IFERROR(__xludf.DUMMYFUNCTION("""COMPUTED_VALUE"""),"Instituto Ethos")</f>
        <v>Instituto Ethos</v>
      </c>
      <c r="B26" s="3" t="str">
        <f>IFERROR(__xludf.DUMMYFUNCTION("""COMPUTED_VALUE"""),"""Land, Food and Forest""")</f>
        <v>"Land, Food and Forest"</v>
      </c>
    </row>
    <row r="27">
      <c r="A27" s="3" t="str">
        <f>IFERROR(__xludf.DUMMYFUNCTION("""COMPUTED_VALUE"""),"Instituto para o Desenvolvimento do Investimento Social (IDIS)")</f>
        <v>Instituto para o Desenvolvimento do Investimento Social (IDIS)</v>
      </c>
      <c r="B27" s="3" t="str">
        <f>IFERROR(__xludf.DUMMYFUNCTION("""COMPUTED_VALUE"""),"Buildings &amp; Transport")</f>
        <v>Buildings &amp; Transport</v>
      </c>
    </row>
    <row r="28">
      <c r="A28" s="3" t="str">
        <f>IFERROR(__xludf.DUMMYFUNCTION("""COMPUTED_VALUE"""),"Instituto para o Desenvolvimento do Investimento Social (IDIS)")</f>
        <v>Instituto para o Desenvolvimento do Investimento Social (IDIS)</v>
      </c>
      <c r="B28" s="3" t="str">
        <f>IFERROR(__xludf.DUMMYFUNCTION("""COMPUTED_VALUE"""),"Energy")</f>
        <v>Energy</v>
      </c>
    </row>
    <row r="29">
      <c r="A29" s="3" t="str">
        <f>IFERROR(__xludf.DUMMYFUNCTION("""COMPUTED_VALUE"""),"Instituto para o Desenvolvimento do Investimento Social (IDIS)")</f>
        <v>Instituto para o Desenvolvimento do Investimento Social (IDIS)</v>
      </c>
      <c r="B29" s="3" t="str">
        <f>IFERROR(__xludf.DUMMYFUNCTION("""COMPUTED_VALUE"""),"""Land, Food and Forest""")</f>
        <v>"Land, Food and Forest"</v>
      </c>
    </row>
    <row r="30">
      <c r="A30" s="3" t="str">
        <f>IFERROR(__xludf.DUMMYFUNCTION("""COMPUTED_VALUE"""),"Instituto Climate Ventures Brasil (Climate Ventures)")</f>
        <v>Instituto Climate Ventures Brasil (Climate Ventures)</v>
      </c>
      <c r="B30" s="3" t="str">
        <f>IFERROR(__xludf.DUMMYFUNCTION("""COMPUTED_VALUE"""),"Buildings &amp; Transport")</f>
        <v>Buildings &amp; Transport</v>
      </c>
    </row>
    <row r="31">
      <c r="A31" s="3" t="str">
        <f>IFERROR(__xludf.DUMMYFUNCTION("""COMPUTED_VALUE"""),"Instituto Climate Ventures Brasil (Climate Ventures)")</f>
        <v>Instituto Climate Ventures Brasil (Climate Ventures)</v>
      </c>
      <c r="B31" s="3" t="str">
        <f>IFERROR(__xludf.DUMMYFUNCTION("""COMPUTED_VALUE"""),"Energy")</f>
        <v>Energy</v>
      </c>
    </row>
    <row r="32">
      <c r="A32" s="3" t="str">
        <f>IFERROR(__xludf.DUMMYFUNCTION("""COMPUTED_VALUE"""),"Instituto Climate Ventures Brasil (Climate Ventures)")</f>
        <v>Instituto Climate Ventures Brasil (Climate Ventures)</v>
      </c>
      <c r="B32" s="3" t="str">
        <f>IFERROR(__xludf.DUMMYFUNCTION("""COMPUTED_VALUE"""),"""Land, Food and Forest""")</f>
        <v>"Land, Food and Forest"</v>
      </c>
    </row>
    <row r="33">
      <c r="A33" s="3" t="str">
        <f>IFERROR(__xludf.DUMMYFUNCTION("""COMPUTED_VALUE"""),"The Climate Group")</f>
        <v>The Climate Group</v>
      </c>
      <c r="B33" s="3" t="str">
        <f>IFERROR(__xludf.DUMMYFUNCTION("""COMPUTED_VALUE"""),"Buildings &amp; Transport")</f>
        <v>Buildings &amp; Transport</v>
      </c>
    </row>
    <row r="34">
      <c r="A34" s="3" t="str">
        <f>IFERROR(__xludf.DUMMYFUNCTION("""COMPUTED_VALUE"""),"The Climate Group")</f>
        <v>The Climate Group</v>
      </c>
      <c r="B34" s="3" t="str">
        <f>IFERROR(__xludf.DUMMYFUNCTION("""COMPUTED_VALUE"""),"Energy")</f>
        <v>Energy</v>
      </c>
    </row>
    <row r="35">
      <c r="A35" s="3" t="str">
        <f>IFERROR(__xludf.DUMMYFUNCTION("""COMPUTED_VALUE"""),"Fundação Arymax")</f>
        <v>Fundação Arymax</v>
      </c>
      <c r="B35" s="3" t="str">
        <f>IFERROR(__xludf.DUMMYFUNCTION("""COMPUTED_VALUE"""),"Emergency response")</f>
        <v>Emergency response</v>
      </c>
    </row>
    <row r="36">
      <c r="A36" s="3" t="str">
        <f>IFERROR(__xludf.DUMMYFUNCTION("""COMPUTED_VALUE"""),"Fundação Arymax")</f>
        <v>Fundação Arymax</v>
      </c>
      <c r="B36" s="3" t="str">
        <f>IFERROR(__xludf.DUMMYFUNCTION("""COMPUTED_VALUE"""),"""Land, Food and Forest""")</f>
        <v>"Land, Food and Forest"</v>
      </c>
    </row>
    <row r="37">
      <c r="A37" s="3" t="str">
        <f>IFERROR(__xludf.DUMMYFUNCTION("""COMPUTED_VALUE"""),"Instituto Talanoa")</f>
        <v>Instituto Talanoa</v>
      </c>
      <c r="B37" s="3" t="str">
        <f>IFERROR(__xludf.DUMMYFUNCTION("""COMPUTED_VALUE"""),"Buildings &amp; Transport")</f>
        <v>Buildings &amp; Transport</v>
      </c>
    </row>
    <row r="38">
      <c r="A38" s="3" t="str">
        <f>IFERROR(__xludf.DUMMYFUNCTION("""COMPUTED_VALUE"""),"Instituto Talanoa")</f>
        <v>Instituto Talanoa</v>
      </c>
      <c r="B38" s="3" t="str">
        <f>IFERROR(__xludf.DUMMYFUNCTION("""COMPUTED_VALUE"""),"Energy")</f>
        <v>Energy</v>
      </c>
    </row>
    <row r="39">
      <c r="A39" s="3" t="str">
        <f>IFERROR(__xludf.DUMMYFUNCTION("""COMPUTED_VALUE"""),"Instituto Talanoa")</f>
        <v>Instituto Talanoa</v>
      </c>
      <c r="B39" s="3" t="str">
        <f>IFERROR(__xludf.DUMMYFUNCTION("""COMPUTED_VALUE"""),"""Land, Food and Forest""")</f>
        <v>"Land, Food and Forest"</v>
      </c>
    </row>
    <row r="40">
      <c r="A40" s="3" t="str">
        <f>IFERROR(__xludf.DUMMYFUNCTION("""COMPUTED_VALUE"""),"Instituto Alana")</f>
        <v>Instituto Alana</v>
      </c>
      <c r="B40" s="3" t="str">
        <f>IFERROR(__xludf.DUMMYFUNCTION("""COMPUTED_VALUE"""),"""Land, Food and Forest""")</f>
        <v>"Land, Food and Forest"</v>
      </c>
    </row>
    <row r="41">
      <c r="A41" s="3" t="str">
        <f>IFERROR(__xludf.DUMMYFUNCTION("""COMPUTED_VALUE"""),"Itaúsa (Itaúsa S.A.)")</f>
        <v>Itaúsa (Itaúsa S.A.)</v>
      </c>
      <c r="B41" s="3" t="str">
        <f>IFERROR(__xludf.DUMMYFUNCTION("""COMPUTED_VALUE"""),"Buildings &amp; Transport")</f>
        <v>Buildings &amp; Transport</v>
      </c>
    </row>
    <row r="42">
      <c r="A42" s="3" t="str">
        <f>IFERROR(__xludf.DUMMYFUNCTION("""COMPUTED_VALUE"""),"Itaúsa (Itaúsa S.A.)")</f>
        <v>Itaúsa (Itaúsa S.A.)</v>
      </c>
      <c r="B42" s="3" t="str">
        <f>IFERROR(__xludf.DUMMYFUNCTION("""COMPUTED_VALUE"""),"Energy")</f>
        <v>Energy</v>
      </c>
    </row>
    <row r="43">
      <c r="A43" s="3" t="str">
        <f>IFERROR(__xludf.DUMMYFUNCTION("""COMPUTED_VALUE"""),"Itaúsa (Itaúsa S.A.)")</f>
        <v>Itaúsa (Itaúsa S.A.)</v>
      </c>
      <c r="B43" s="3" t="str">
        <f>IFERROR(__xludf.DUMMYFUNCTION("""COMPUTED_VALUE"""),"""Land, Food and Forest""")</f>
        <v>"Land, Food and Forest"</v>
      </c>
    </row>
    <row r="44">
      <c r="A44" s="3" t="str">
        <f>IFERROR(__xludf.DUMMYFUNCTION("""COMPUTED_VALUE"""),"Instituto Arapyaú")</f>
        <v>Instituto Arapyaú</v>
      </c>
      <c r="B44" s="3" t="str">
        <f>IFERROR(__xludf.DUMMYFUNCTION("""COMPUTED_VALUE"""),"Buildings &amp; Transport")</f>
        <v>Buildings &amp; Transport</v>
      </c>
    </row>
    <row r="45">
      <c r="A45" s="3" t="str">
        <f>IFERROR(__xludf.DUMMYFUNCTION("""COMPUTED_VALUE"""),"Instituto Arapyaú")</f>
        <v>Instituto Arapyaú</v>
      </c>
      <c r="B45" s="3" t="str">
        <f>IFERROR(__xludf.DUMMYFUNCTION("""COMPUTED_VALUE"""),"Energy")</f>
        <v>Energy</v>
      </c>
    </row>
    <row r="46">
      <c r="A46" s="3" t="str">
        <f>IFERROR(__xludf.DUMMYFUNCTION("""COMPUTED_VALUE"""),"Instituto Arapyaú")</f>
        <v>Instituto Arapyaú</v>
      </c>
      <c r="B46" s="3" t="str">
        <f>IFERROR(__xludf.DUMMYFUNCTION("""COMPUTED_VALUE"""),"""Land, Food and Forest""")</f>
        <v>"Land, Food and Forest"</v>
      </c>
    </row>
    <row r="47">
      <c r="A47" s="3" t="str">
        <f>IFERROR(__xludf.DUMMYFUNCTION("""COMPUTED_VALUE"""),"Instituto Semeia")</f>
        <v>Instituto Semeia</v>
      </c>
      <c r="B47" s="3" t="str">
        <f>IFERROR(__xludf.DUMMYFUNCTION("""COMPUTED_VALUE"""),"""Land, Food and Forest""")</f>
        <v>"Land, Food and Forest"</v>
      </c>
    </row>
    <row r="48">
      <c r="A48" s="3" t="str">
        <f>IFERROR(__xludf.DUMMYFUNCTION("""COMPUTED_VALUE"""),"The David and Lucile Packard Foundation")</f>
        <v>The David and Lucile Packard Foundation</v>
      </c>
      <c r="B48" s="3" t="str">
        <f>IFERROR(__xludf.DUMMYFUNCTION("""COMPUTED_VALUE"""),"Energy")</f>
        <v>Energy</v>
      </c>
    </row>
    <row r="49">
      <c r="A49" s="3" t="str">
        <f>IFERROR(__xludf.DUMMYFUNCTION("""COMPUTED_VALUE"""),"The David and Lucile Packard Foundation")</f>
        <v>The David and Lucile Packard Foundation</v>
      </c>
      <c r="B49" s="3" t="str">
        <f>IFERROR(__xludf.DUMMYFUNCTION("""COMPUTED_VALUE"""),"""Land, Food and Forest""")</f>
        <v>"Land, Food and Forest"</v>
      </c>
    </row>
    <row r="50">
      <c r="A50" s="3" t="str">
        <f>IFERROR(__xludf.DUMMYFUNCTION("""COMPUTED_VALUE"""),"Alcoa")</f>
        <v>Alcoa</v>
      </c>
      <c r="B50" s="3" t="str">
        <f>IFERROR(__xludf.DUMMYFUNCTION("""COMPUTED_VALUE"""),"Buildings &amp; Transport")</f>
        <v>Buildings &amp; Transport</v>
      </c>
    </row>
    <row r="51">
      <c r="A51" s="3" t="str">
        <f>IFERROR(__xludf.DUMMYFUNCTION("""COMPUTED_VALUE"""),"Alcoa")</f>
        <v>Alcoa</v>
      </c>
      <c r="B51" s="3" t="str">
        <f>IFERROR(__xludf.DUMMYFUNCTION("""COMPUTED_VALUE"""),"Energy")</f>
        <v>Energy</v>
      </c>
    </row>
    <row r="52">
      <c r="A52" s="3" t="str">
        <f>IFERROR(__xludf.DUMMYFUNCTION("""COMPUTED_VALUE"""),"Norsk Hydro ASA (Hydro)")</f>
        <v>Norsk Hydro ASA (Hydro)</v>
      </c>
      <c r="B52" s="3" t="str">
        <f>IFERROR(__xludf.DUMMYFUNCTION("""COMPUTED_VALUE"""),"Buildings &amp; Transport")</f>
        <v>Buildings &amp; Transport</v>
      </c>
    </row>
    <row r="53">
      <c r="A53" s="3" t="str">
        <f>IFERROR(__xludf.DUMMYFUNCTION("""COMPUTED_VALUE"""),"Norsk Hydro ASA (Hydro)")</f>
        <v>Norsk Hydro ASA (Hydro)</v>
      </c>
      <c r="B53" s="3" t="str">
        <f>IFERROR(__xludf.DUMMYFUNCTION("""COMPUTED_VALUE"""),"Energy")</f>
        <v>Energy</v>
      </c>
    </row>
    <row r="54">
      <c r="A54" s="3" t="str">
        <f>IFERROR(__xludf.DUMMYFUNCTION("""COMPUTED_VALUE"""),"Instituto Socioambiental (ISA)")</f>
        <v>Instituto Socioambiental (ISA)</v>
      </c>
      <c r="B54" s="3" t="str">
        <f>IFERROR(__xludf.DUMMYFUNCTION("""COMPUTED_VALUE"""),"""Land, Food and Forest""")</f>
        <v>"Land, Food and Forest"</v>
      </c>
    </row>
    <row r="55">
      <c r="A55" s="3" t="str">
        <f>IFERROR(__xludf.DUMMYFUNCTION("""COMPUTED_VALUE"""),"The Nature Conservancy Brasil (TNC Brasil)")</f>
        <v>The Nature Conservancy Brasil (TNC Brasil)</v>
      </c>
      <c r="B55" s="3" t="str">
        <f>IFERROR(__xludf.DUMMYFUNCTION("""COMPUTED_VALUE"""),"""Land, Food and Forest""")</f>
        <v>"Land, Food and Forest"</v>
      </c>
    </row>
    <row r="56">
      <c r="A56" s="3" t="str">
        <f>IFERROR(__xludf.DUMMYFUNCTION("""COMPUTED_VALUE"""),"Conservação Internacional Brasil (CI-Brasil)")</f>
        <v>Conservação Internacional Brasil (CI-Brasil)</v>
      </c>
      <c r="B56" s="3" t="str">
        <f>IFERROR(__xludf.DUMMYFUNCTION("""COMPUTED_VALUE"""),"""Land, Food and Forest""")</f>
        <v>"Land, Food and Forest"</v>
      </c>
    </row>
    <row r="57">
      <c r="A57" s="3" t="str">
        <f>IFERROR(__xludf.DUMMYFUNCTION("""COMPUTED_VALUE"""),"WWF-Brasil")</f>
        <v>WWF-Brasil</v>
      </c>
      <c r="B57" s="3" t="str">
        <f>IFERROR(__xludf.DUMMYFUNCTION("""COMPUTED_VALUE"""),"""Land, Food and Forest""")</f>
        <v>"Land, Food and Forest"</v>
      </c>
    </row>
    <row r="58">
      <c r="A58" s="3" t="str">
        <f>IFERROR(__xludf.DUMMYFUNCTION("""COMPUTED_VALUE"""),"WRI Brasil")</f>
        <v>WRI Brasil</v>
      </c>
      <c r="B58" s="3" t="str">
        <f>IFERROR(__xludf.DUMMYFUNCTION("""COMPUTED_VALUE"""),"Buildings &amp; Transport")</f>
        <v>Buildings &amp; Transport</v>
      </c>
    </row>
    <row r="59">
      <c r="A59" s="3" t="str">
        <f>IFERROR(__xludf.DUMMYFUNCTION("""COMPUTED_VALUE"""),"WRI Brasil")</f>
        <v>WRI Brasil</v>
      </c>
      <c r="B59" s="3" t="str">
        <f>IFERROR(__xludf.DUMMYFUNCTION("""COMPUTED_VALUE"""),"Energy")</f>
        <v>Energy</v>
      </c>
    </row>
    <row r="60">
      <c r="A60" s="3" t="str">
        <f>IFERROR(__xludf.DUMMYFUNCTION("""COMPUTED_VALUE"""),"WRI Brasil")</f>
        <v>WRI Brasil</v>
      </c>
      <c r="B60" s="3" t="str">
        <f>IFERROR(__xludf.DUMMYFUNCTION("""COMPUTED_VALUE"""),"""Land, Food and Forest""")</f>
        <v>"Land, Food and Forest"</v>
      </c>
    </row>
    <row r="61">
      <c r="A61" s="3" t="str">
        <f>IFERROR(__xludf.DUMMYFUNCTION("""COMPUTED_VALUE"""),"Fundação SOS Mata Atlântica")</f>
        <v>Fundação SOS Mata Atlântica</v>
      </c>
      <c r="B61" s="3" t="str">
        <f>IFERROR(__xludf.DUMMYFUNCTION("""COMPUTED_VALUE"""),"""Land, Food and Forest""")</f>
        <v>"Land, Food and Forest"</v>
      </c>
    </row>
    <row r="62">
      <c r="A62" s="3" t="str">
        <f>IFERROR(__xludf.DUMMYFUNCTION("""COMPUTED_VALUE"""),"Empresa Brasileira de Pesquisa Agropecuária (Embrapa)")</f>
        <v>Empresa Brasileira de Pesquisa Agropecuária (Embrapa)</v>
      </c>
      <c r="B62" s="3" t="str">
        <f>IFERROR(__xludf.DUMMYFUNCTION("""COMPUTED_VALUE"""),"""Land, Food and Forest""")</f>
        <v>"Land, Food and Forest"</v>
      </c>
    </row>
    <row r="63">
      <c r="A63" s="3" t="str">
        <f>IFERROR(__xludf.DUMMYFUNCTION("""COMPUTED_VALUE"""),"Sistema S")</f>
        <v>Sistema S</v>
      </c>
      <c r="B63" s="3" t="str">
        <f>IFERROR(__xludf.DUMMYFUNCTION("""COMPUTED_VALUE"""),"Buildings &amp; Transport")</f>
        <v>Buildings &amp; Transport</v>
      </c>
    </row>
    <row r="64">
      <c r="A64" s="3" t="str">
        <f>IFERROR(__xludf.DUMMYFUNCTION("""COMPUTED_VALUE"""),"Sistema S")</f>
        <v>Sistema S</v>
      </c>
      <c r="B64" s="3" t="str">
        <f>IFERROR(__xludf.DUMMYFUNCTION("""COMPUTED_VALUE"""),"Energy")</f>
        <v>Energy</v>
      </c>
    </row>
    <row r="65">
      <c r="A65" s="3" t="str">
        <f>IFERROR(__xludf.DUMMYFUNCTION("""COMPUTED_VALUE"""),"Instituto Brasileiro do Meio Ambiente e dos Recursos Naturais Renováveis (Ibama)")</f>
        <v>Instituto Brasileiro do Meio Ambiente e dos Recursos Naturais Renováveis (Ibama)</v>
      </c>
      <c r="B65" s="3" t="str">
        <f>IFERROR(__xludf.DUMMYFUNCTION("""COMPUTED_VALUE"""),"Energy")</f>
        <v>Energy</v>
      </c>
    </row>
    <row r="66">
      <c r="A66" s="3" t="str">
        <f>IFERROR(__xludf.DUMMYFUNCTION("""COMPUTED_VALUE"""),"Instituto Brasileiro do Meio Ambiente e dos Recursos Naturais Renováveis (Ibama)")</f>
        <v>Instituto Brasileiro do Meio Ambiente e dos Recursos Naturais Renováveis (Ibama)</v>
      </c>
      <c r="B66" s="3" t="str">
        <f>IFERROR(__xludf.DUMMYFUNCTION("""COMPUTED_VALUE"""),"""Land, Food and Forest""")</f>
        <v>"Land, Food and Forest"</v>
      </c>
    </row>
    <row r="67">
      <c r="A67" s="3" t="str">
        <f>IFERROR(__xludf.DUMMYFUNCTION("""COMPUTED_VALUE"""),"Instituto Chico Mendes de Conservação da Biodiversidade (ICMBio)")</f>
        <v>Instituto Chico Mendes de Conservação da Biodiversidade (ICMBio)</v>
      </c>
      <c r="B67" s="3" t="str">
        <f>IFERROR(__xludf.DUMMYFUNCTION("""COMPUTED_VALUE"""),"""Land, Food and Forest""")</f>
        <v>"Land, Food and Forest"</v>
      </c>
    </row>
    <row r="68">
      <c r="A68" s="3" t="str">
        <f>IFERROR(__xludf.DUMMYFUNCTION("""COMPUTED_VALUE"""),"Instituto do Homem e Meio Ambiente da Amazônia (Imazon)")</f>
        <v>Instituto do Homem e Meio Ambiente da Amazônia (Imazon)</v>
      </c>
      <c r="B68" s="3" t="str">
        <f>IFERROR(__xludf.DUMMYFUNCTION("""COMPUTED_VALUE"""),"""Land, Food and Forest""")</f>
        <v>"Land, Food and Forest"</v>
      </c>
    </row>
    <row r="69">
      <c r="A69" s="3" t="str">
        <f>IFERROR(__xludf.DUMMYFUNCTION("""COMPUTED_VALUE"""),"Fundação Amazonas Sustentável (FAS)")</f>
        <v>Fundação Amazonas Sustentável (FAS)</v>
      </c>
      <c r="B69" s="3" t="str">
        <f>IFERROR(__xludf.DUMMYFUNCTION("""COMPUTED_VALUE"""),"""Land, Food and Forest""")</f>
        <v>"Land, Food and Forest"</v>
      </c>
    </row>
    <row r="70">
      <c r="A70" s="3" t="str">
        <f>IFERROR(__xludf.DUMMYFUNCTION("""COMPUTED_VALUE"""),"Instituto de Manejo e Certificação Florestal e Agrícola (Imaflora)")</f>
        <v>Instituto de Manejo e Certificação Florestal e Agrícola (Imaflora)</v>
      </c>
      <c r="B70" s="3" t="str">
        <f>IFERROR(__xludf.DUMMYFUNCTION("""COMPUTED_VALUE"""),"""Land, Food and Forest""")</f>
        <v>"Land, Food and Forest"</v>
      </c>
    </row>
    <row r="71">
      <c r="A71" s="3" t="str">
        <f>IFERROR(__xludf.DUMMYFUNCTION("""COMPUTED_VALUE"""),"Fundação Roberto Marinho")</f>
        <v>Fundação Roberto Marinho</v>
      </c>
      <c r="B71" s="3" t="str">
        <f>IFERROR(__xludf.DUMMYFUNCTION("""COMPUTED_VALUE"""),"Buildings &amp; Transport")</f>
        <v>Buildings &amp; Transport</v>
      </c>
    </row>
    <row r="72">
      <c r="A72" s="3" t="str">
        <f>IFERROR(__xludf.DUMMYFUNCTION("""COMPUTED_VALUE"""),"Fundação Roberto Marinho")</f>
        <v>Fundação Roberto Marinho</v>
      </c>
      <c r="B72" s="3" t="str">
        <f>IFERROR(__xludf.DUMMYFUNCTION("""COMPUTED_VALUE"""),"""Land, Food and Forest""")</f>
        <v>"Land, Food and Forest"</v>
      </c>
    </row>
    <row r="73">
      <c r="A73" s="3" t="str">
        <f>IFERROR(__xludf.DUMMYFUNCTION("""COMPUTED_VALUE"""),"Instituto Serzedello Corrêa (ISC/TCU)")</f>
        <v>Instituto Serzedello Corrêa (ISC/TCU)</v>
      </c>
      <c r="B73" s="3" t="str">
        <f>IFERROR(__xludf.DUMMYFUNCTION("""COMPUTED_VALUE"""),"Buildings &amp; Transport")</f>
        <v>Buildings &amp; Transport</v>
      </c>
    </row>
    <row r="74">
      <c r="A74" s="3" t="str">
        <f>IFERROR(__xludf.DUMMYFUNCTION("""COMPUTED_VALUE"""),"Instituto Serzedello Corrêa (ISC/TCU)")</f>
        <v>Instituto Serzedello Corrêa (ISC/TCU)</v>
      </c>
      <c r="B74" s="3" t="str">
        <f>IFERROR(__xludf.DUMMYFUNCTION("""COMPUTED_VALUE"""),"Energy")</f>
        <v>Energy</v>
      </c>
    </row>
    <row r="75">
      <c r="A75" s="3" t="str">
        <f>IFERROR(__xludf.DUMMYFUNCTION("""COMPUTED_VALUE"""),"Instituto Serzedello Corrêa (ISC/TCU)")</f>
        <v>Instituto Serzedello Corrêa (ISC/TCU)</v>
      </c>
      <c r="B75" s="3" t="str">
        <f>IFERROR(__xludf.DUMMYFUNCTION("""COMPUTED_VALUE"""),"""Land, Food and Forest""")</f>
        <v>"Land, Food and Forest"</v>
      </c>
    </row>
    <row r="76">
      <c r="A76" s="3" t="str">
        <f>IFERROR(__xludf.DUMMYFUNCTION("""COMPUTED_VALUE"""),"Vale S.A.")</f>
        <v>Vale S.A.</v>
      </c>
      <c r="B76" s="3" t="str">
        <f>IFERROR(__xludf.DUMMYFUNCTION("""COMPUTED_VALUE"""),"Buildings &amp; Transport")</f>
        <v>Buildings &amp; Transport</v>
      </c>
    </row>
    <row r="77">
      <c r="A77" s="3" t="str">
        <f>IFERROR(__xludf.DUMMYFUNCTION("""COMPUTED_VALUE"""),"Vale S.A.")</f>
        <v>Vale S.A.</v>
      </c>
      <c r="B77" s="3" t="str">
        <f>IFERROR(__xludf.DUMMYFUNCTION("""COMPUTED_VALUE"""),"Energy")</f>
        <v>Energy</v>
      </c>
    </row>
    <row r="78">
      <c r="A78" s="3" t="str">
        <f>IFERROR(__xludf.DUMMYFUNCTION("""COMPUTED_VALUE"""),"Vale S.A.")</f>
        <v>Vale S.A.</v>
      </c>
      <c r="B78" s="3" t="str">
        <f>IFERROR(__xludf.DUMMYFUNCTION("""COMPUTED_VALUE"""),"""Land, Food and Forest""")</f>
        <v>"Land, Food and Forest"</v>
      </c>
    </row>
    <row r="79">
      <c r="A79" s="3" t="str">
        <f>IFERROR(__xludf.DUMMYFUNCTION("""COMPUTED_VALUE"""),"Suzano S.A.")</f>
        <v>Suzano S.A.</v>
      </c>
      <c r="B79" s="3" t="str">
        <f>IFERROR(__xludf.DUMMYFUNCTION("""COMPUTED_VALUE"""),"Energy")</f>
        <v>Energy</v>
      </c>
    </row>
    <row r="80">
      <c r="A80" s="3" t="str">
        <f>IFERROR(__xludf.DUMMYFUNCTION("""COMPUTED_VALUE"""),"Suzano S.A.")</f>
        <v>Suzano S.A.</v>
      </c>
      <c r="B80" s="3" t="str">
        <f>IFERROR(__xludf.DUMMYFUNCTION("""COMPUTED_VALUE"""),"""Land, Food and Forest""")</f>
        <v>"Land, Food and Forest"</v>
      </c>
    </row>
    <row r="81">
      <c r="A81" s="3" t="str">
        <f>IFERROR(__xludf.DUMMYFUNCTION("""COMPUTED_VALUE"""),"Banco da Amazônia S.A. (BASA)")</f>
        <v>Banco da Amazônia S.A. (BASA)</v>
      </c>
      <c r="B81" s="3" t="str">
        <f>IFERROR(__xludf.DUMMYFUNCTION("""COMPUTED_VALUE"""),"Energy")</f>
        <v>Energy</v>
      </c>
    </row>
    <row r="82">
      <c r="A82" s="3" t="str">
        <f>IFERROR(__xludf.DUMMYFUNCTION("""COMPUTED_VALUE"""),"Banco da Amazônia S.A. (BASA)")</f>
        <v>Banco da Amazônia S.A. (BASA)</v>
      </c>
      <c r="B82" s="3" t="str">
        <f>IFERROR(__xludf.DUMMYFUNCTION("""COMPUTED_VALUE"""),"""Land, Food and Forest""")</f>
        <v>"Land, Food and Forest"</v>
      </c>
    </row>
    <row r="83">
      <c r="A83" s="3" t="str">
        <f>IFERROR(__xludf.DUMMYFUNCTION("""COMPUTED_VALUE"""),"Instituto de Conservação e Desenvolvimento Sustentável da Amazônia (IDESAM)")</f>
        <v>Instituto de Conservação e Desenvolvimento Sustentável da Amazônia (IDESAM)</v>
      </c>
      <c r="B83" s="3" t="str">
        <f>IFERROR(__xludf.DUMMYFUNCTION("""COMPUTED_VALUE"""),"""Land, Food and Forest""")</f>
        <v>"Land, Food and Forest"</v>
      </c>
    </row>
    <row r="84">
      <c r="A84" s="3" t="str">
        <f>IFERROR(__xludf.DUMMYFUNCTION("""COMPUTED_VALUE"""),"Sitawi Finanças do Bem")</f>
        <v>Sitawi Finanças do Bem</v>
      </c>
      <c r="B84" s="3" t="str">
        <f>IFERROR(__xludf.DUMMYFUNCTION("""COMPUTED_VALUE"""),"Buildings &amp; Transport")</f>
        <v>Buildings &amp; Transport</v>
      </c>
    </row>
    <row r="85">
      <c r="A85" s="3" t="str">
        <f>IFERROR(__xludf.DUMMYFUNCTION("""COMPUTED_VALUE"""),"Sitawi Finanças do Bem")</f>
        <v>Sitawi Finanças do Bem</v>
      </c>
      <c r="B85" s="3" t="str">
        <f>IFERROR(__xludf.DUMMYFUNCTION("""COMPUTED_VALUE"""),"Energy")</f>
        <v>Energy</v>
      </c>
    </row>
    <row r="86">
      <c r="A86" s="3" t="str">
        <f>IFERROR(__xludf.DUMMYFUNCTION("""COMPUTED_VALUE"""),"Sitawi Finanças do Bem")</f>
        <v>Sitawi Finanças do Bem</v>
      </c>
      <c r="B86" s="3" t="str">
        <f>IFERROR(__xludf.DUMMYFUNCTION("""COMPUTED_VALUE"""),"""Land, Food and Forest""")</f>
        <v>"Land, Food and Forest"</v>
      </c>
    </row>
    <row r="87">
      <c r="A87" s="3" t="str">
        <f>IFERROR(__xludf.DUMMYFUNCTION("""COMPUTED_VALUE"""),"Din4mo")</f>
        <v>Din4mo</v>
      </c>
      <c r="B87" s="3" t="str">
        <f>IFERROR(__xludf.DUMMYFUNCTION("""COMPUTED_VALUE"""),"Buildings &amp; Transport")</f>
        <v>Buildings &amp; Transport</v>
      </c>
    </row>
    <row r="88">
      <c r="A88" s="3" t="str">
        <f>IFERROR(__xludf.DUMMYFUNCTION("""COMPUTED_VALUE"""),"Din4mo")</f>
        <v>Din4mo</v>
      </c>
      <c r="B88" s="3" t="str">
        <f>IFERROR(__xludf.DUMMYFUNCTION("""COMPUTED_VALUE"""),"Energy")</f>
        <v>Energy</v>
      </c>
    </row>
    <row r="89">
      <c r="A89" s="3" t="str">
        <f>IFERROR(__xludf.DUMMYFUNCTION("""COMPUTED_VALUE"""),"Din4mo")</f>
        <v>Din4mo</v>
      </c>
      <c r="B89" s="3" t="str">
        <f>IFERROR(__xludf.DUMMYFUNCTION("""COMPUTED_VALUE"""),"""Land, Food and Forest""")</f>
        <v>"Land, Food and Forest"</v>
      </c>
    </row>
    <row r="90">
      <c r="A90" s="3" t="str">
        <f>IFERROR(__xludf.DUMMYFUNCTION("""COMPUTED_VALUE"""),"Artemisia")</f>
        <v>Artemisia</v>
      </c>
      <c r="B90" s="3" t="str">
        <f>IFERROR(__xludf.DUMMYFUNCTION("""COMPUTED_VALUE"""),"Buildings &amp; Transport")</f>
        <v>Buildings &amp; Transport</v>
      </c>
    </row>
    <row r="91">
      <c r="A91" s="3" t="str">
        <f>IFERROR(__xludf.DUMMYFUNCTION("""COMPUTED_VALUE"""),"Impact Hub Network")</f>
        <v>Impact Hub Network</v>
      </c>
      <c r="B91" s="3" t="str">
        <f>IFERROR(__xludf.DUMMYFUNCTION("""COMPUTED_VALUE"""),"Buildings &amp; Transport")</f>
        <v>Buildings &amp; Transport</v>
      </c>
    </row>
    <row r="92">
      <c r="A92" s="3" t="str">
        <f>IFERROR(__xludf.DUMMYFUNCTION("""COMPUTED_VALUE"""),"Impact Hub Network")</f>
        <v>Impact Hub Network</v>
      </c>
      <c r="B92" s="3" t="str">
        <f>IFERROR(__xludf.DUMMYFUNCTION("""COMPUTED_VALUE"""),"Energy")</f>
        <v>Energy</v>
      </c>
    </row>
    <row r="93">
      <c r="A93" s="3" t="str">
        <f>IFERROR(__xludf.DUMMYFUNCTION("""COMPUTED_VALUE"""),"Impact Hub Network")</f>
        <v>Impact Hub Network</v>
      </c>
      <c r="B93" s="3" t="str">
        <f>IFERROR(__xludf.DUMMYFUNCTION("""COMPUTED_VALUE"""),"""Land, Food and Forest""")</f>
        <v>"Land, Food and Forest"</v>
      </c>
    </row>
    <row r="94">
      <c r="A94" s="3" t="str">
        <f>IFERROR(__xludf.DUMMYFUNCTION("""COMPUTED_VALUE"""),"Instituto Conexões Sustentáveis (Conexsus)")</f>
        <v>Instituto Conexões Sustentáveis (Conexsus)</v>
      </c>
      <c r="B94" s="3" t="str">
        <f>IFERROR(__xludf.DUMMYFUNCTION("""COMPUTED_VALUE"""),"""Land, Food and Forest""")</f>
        <v>"Land, Food and Forest"</v>
      </c>
    </row>
    <row r="95">
      <c r="A95" s="3" t="str">
        <f>IFERROR(__xludf.DUMMYFUNCTION("""COMPUTED_VALUE"""),"Pipe.Social")</f>
        <v>Pipe.Social</v>
      </c>
      <c r="B95" s="3" t="str">
        <f>IFERROR(__xludf.DUMMYFUNCTION("""COMPUTED_VALUE"""),"Buildings &amp; Transport")</f>
        <v>Buildings &amp; Transport</v>
      </c>
    </row>
    <row r="96">
      <c r="A96" s="3" t="str">
        <f>IFERROR(__xludf.DUMMYFUNCTION("""COMPUTED_VALUE"""),"Pipe.Social")</f>
        <v>Pipe.Social</v>
      </c>
      <c r="B96" s="3" t="str">
        <f>IFERROR(__xludf.DUMMYFUNCTION("""COMPUTED_VALUE"""),"Energy")</f>
        <v>Energy</v>
      </c>
    </row>
    <row r="97">
      <c r="A97" s="3" t="str">
        <f>IFERROR(__xludf.DUMMYFUNCTION("""COMPUTED_VALUE"""),"Pipe.Social")</f>
        <v>Pipe.Social</v>
      </c>
      <c r="B97" s="3" t="str">
        <f>IFERROR(__xludf.DUMMYFUNCTION("""COMPUTED_VALUE"""),"""Land, Food and Forest""")</f>
        <v>"Land, Food and Forest"</v>
      </c>
    </row>
    <row r="98">
      <c r="A98" s="3" t="str">
        <f>IFERROR(__xludf.DUMMYFUNCTION("""COMPUTED_VALUE"""),"Yunus Negócios Sociais (Brasil)")</f>
        <v>Yunus Negócios Sociais (Brasil)</v>
      </c>
      <c r="B98" s="3" t="str">
        <f>IFERROR(__xludf.DUMMYFUNCTION("""COMPUTED_VALUE"""),"Buildings &amp; Transport")</f>
        <v>Buildings &amp; Transport</v>
      </c>
    </row>
    <row r="99">
      <c r="A99" s="3" t="str">
        <f>IFERROR(__xludf.DUMMYFUNCTION("""COMPUTED_VALUE"""),"Yunus Negócios Sociais (Brasil)")</f>
        <v>Yunus Negócios Sociais (Brasil)</v>
      </c>
      <c r="B99" s="3" t="str">
        <f>IFERROR(__xludf.DUMMYFUNCTION("""COMPUTED_VALUE"""),"Energy")</f>
        <v>Energy</v>
      </c>
    </row>
    <row r="100">
      <c r="A100" s="3" t="str">
        <f>IFERROR(__xludf.DUMMYFUNCTION("""COMPUTED_VALUE"""),"Yunus Negócios Sociais (Brasil)")</f>
        <v>Yunus Negócios Sociais (Brasil)</v>
      </c>
      <c r="B100" s="3" t="str">
        <f>IFERROR(__xludf.DUMMYFUNCTION("""COMPUTED_VALUE"""),"""Land, Food and Forest""")</f>
        <v>"Land, Food and Forest"</v>
      </c>
    </row>
    <row r="101">
      <c r="A101" s="3" t="str">
        <f>IFERROR(__xludf.DUMMYFUNCTION("""COMPUTED_VALUE"""),"Instituto C&amp;A")</f>
        <v>Instituto C&amp;A</v>
      </c>
      <c r="B101" s="3" t="str">
        <f>IFERROR(__xludf.DUMMYFUNCTION("""COMPUTED_VALUE"""),"Buildings &amp; Transport")</f>
        <v>Buildings &amp; Transport</v>
      </c>
    </row>
    <row r="102">
      <c r="A102" s="3" t="str">
        <f>IFERROR(__xludf.DUMMYFUNCTION("""COMPUTED_VALUE"""),"Instituto C&amp;A")</f>
        <v>Instituto C&amp;A</v>
      </c>
      <c r="B102" s="3" t="str">
        <f>IFERROR(__xludf.DUMMYFUNCTION("""COMPUTED_VALUE"""),"""Land, Food and Forest""")</f>
        <v>"Land, Food and Forest"</v>
      </c>
    </row>
    <row r="103">
      <c r="A103" s="3" t="str">
        <f>IFERROR(__xludf.DUMMYFUNCTION("""COMPUTED_VALUE"""),"Lundin Foundation")</f>
        <v>Lundin Foundation</v>
      </c>
      <c r="B103" s="3" t="str">
        <f>IFERROR(__xludf.DUMMYFUNCTION("""COMPUTED_VALUE"""),"""Land, Food and Forest""")</f>
        <v>"Land, Food and Forest"</v>
      </c>
    </row>
    <row r="104">
      <c r="A104" s="3" t="str">
        <f>IFERROR(__xludf.DUMMYFUNCTION("""COMPUTED_VALUE"""),"Fundação Grupo Boticário de Proteção à Natureza")</f>
        <v>Fundação Grupo Boticário de Proteção à Natureza</v>
      </c>
      <c r="B104" s="3" t="str">
        <f>IFERROR(__xludf.DUMMYFUNCTION("""COMPUTED_VALUE"""),"Buildings &amp; Transport")</f>
        <v>Buildings &amp; Transport</v>
      </c>
    </row>
    <row r="105">
      <c r="A105" s="3" t="str">
        <f>IFERROR(__xludf.DUMMYFUNCTION("""COMPUTED_VALUE"""),"Fundação Grupo Boticário de Proteção à Natureza")</f>
        <v>Fundação Grupo Boticário de Proteção à Natureza</v>
      </c>
      <c r="B105" s="3" t="str">
        <f>IFERROR(__xludf.DUMMYFUNCTION("""COMPUTED_VALUE"""),"""Land, Food and Forest""")</f>
        <v>"Land, Food and Forest"</v>
      </c>
    </row>
    <row r="106">
      <c r="A106" s="3" t="str">
        <f>IFERROR(__xludf.DUMMYFUNCTION("""COMPUTED_VALUE"""),"Natura")</f>
        <v>Natura</v>
      </c>
      <c r="B106" s="3" t="str">
        <f>IFERROR(__xludf.DUMMYFUNCTION("""COMPUTED_VALUE"""),"""Land, Food and Forest""")</f>
        <v>"Land, Food and Forest"</v>
      </c>
    </row>
    <row r="107">
      <c r="A107" s="3" t="str">
        <f>IFERROR(__xludf.DUMMYFUNCTION("""COMPUTED_VALUE"""),"Programa das Nações Unidas para o Desenvolvimento (PNUD)")</f>
        <v>Programa das Nações Unidas para o Desenvolvimento (PNUD)</v>
      </c>
      <c r="B107" s="3" t="str">
        <f>IFERROR(__xludf.DUMMYFUNCTION("""COMPUTED_VALUE"""),"Buildings &amp; Transport")</f>
        <v>Buildings &amp; Transport</v>
      </c>
    </row>
    <row r="108">
      <c r="A108" s="3" t="str">
        <f>IFERROR(__xludf.DUMMYFUNCTION("""COMPUTED_VALUE"""),"Programa das Nações Unidas para o Desenvolvimento (PNUD)")</f>
        <v>Programa das Nações Unidas para o Desenvolvimento (PNUD)</v>
      </c>
      <c r="B108" s="3" t="str">
        <f>IFERROR(__xludf.DUMMYFUNCTION("""COMPUTED_VALUE"""),"Emergency response")</f>
        <v>Emergency response</v>
      </c>
    </row>
    <row r="109">
      <c r="A109" s="3" t="str">
        <f>IFERROR(__xludf.DUMMYFUNCTION("""COMPUTED_VALUE"""),"Programa das Nações Unidas para o Desenvolvimento (PNUD)")</f>
        <v>Programa das Nações Unidas para o Desenvolvimento (PNUD)</v>
      </c>
      <c r="B109" s="3" t="str">
        <f>IFERROR(__xludf.DUMMYFUNCTION("""COMPUTED_VALUE"""),"Energy")</f>
        <v>Energy</v>
      </c>
    </row>
    <row r="110">
      <c r="A110" s="3" t="str">
        <f>IFERROR(__xludf.DUMMYFUNCTION("""COMPUTED_VALUE"""),"Programa das Nações Unidas para o Desenvolvimento (PNUD)")</f>
        <v>Programa das Nações Unidas para o Desenvolvimento (PNUD)</v>
      </c>
      <c r="B110" s="3" t="str">
        <f>IFERROR(__xludf.DUMMYFUNCTION("""COMPUTED_VALUE"""),"""Land, Food and Forest""")</f>
        <v>"Land, Food and Forest"</v>
      </c>
    </row>
    <row r="111">
      <c r="A111" s="3" t="str">
        <f>IFERROR(__xludf.DUMMYFUNCTION("""COMPUTED_VALUE"""),"Centro de Empreendedorismo da Amazônia (CEA)")</f>
        <v>Centro de Empreendedorismo da Amazônia (CEA)</v>
      </c>
      <c r="B111" s="3" t="str">
        <f>IFERROR(__xludf.DUMMYFUNCTION("""COMPUTED_VALUE"""),"""Land, Food and Forest""")</f>
        <v>"Land, Food and Forest"</v>
      </c>
    </row>
    <row r="112">
      <c r="A112" s="3" t="str">
        <f>IFERROR(__xludf.DUMMYFUNCTION("""COMPUTED_VALUE"""),"Manioca")</f>
        <v>Manioca</v>
      </c>
      <c r="B112" s="3" t="str">
        <f>IFERROR(__xludf.DUMMYFUNCTION("""COMPUTED_VALUE"""),"""Land, Food and Forest""")</f>
        <v>"Land, Food and Forest"</v>
      </c>
    </row>
    <row r="113">
      <c r="A113" s="3" t="str">
        <f>IFERROR(__xludf.DUMMYFUNCTION("""COMPUTED_VALUE"""),"Instituto Votorantim")</f>
        <v>Instituto Votorantim</v>
      </c>
      <c r="B113" s="3" t="str">
        <f>IFERROR(__xludf.DUMMYFUNCTION("""COMPUTED_VALUE"""),"Buildings &amp; Transport")</f>
        <v>Buildings &amp; Transport</v>
      </c>
    </row>
    <row r="114">
      <c r="A114" s="3" t="str">
        <f>IFERROR(__xludf.DUMMYFUNCTION("""COMPUTED_VALUE"""),"Instituto Votorantim")</f>
        <v>Instituto Votorantim</v>
      </c>
      <c r="B114" s="3" t="str">
        <f>IFERROR(__xludf.DUMMYFUNCTION("""COMPUTED_VALUE"""),"Energy")</f>
        <v>Energy</v>
      </c>
    </row>
    <row r="115">
      <c r="A115" s="3" t="str">
        <f>IFERROR(__xludf.DUMMYFUNCTION("""COMPUTED_VALUE"""),"Instituto Votorantim")</f>
        <v>Instituto Votorantim</v>
      </c>
      <c r="B115" s="3" t="str">
        <f>IFERROR(__xludf.DUMMYFUNCTION("""COMPUTED_VALUE"""),"""Land, Food and Forest""")</f>
        <v>"Land, Food and Forest"</v>
      </c>
    </row>
    <row r="116">
      <c r="A116" s="3" t="str">
        <f>IFERROR(__xludf.DUMMYFUNCTION("""COMPUTED_VALUE"""),"Quintessa")</f>
        <v>Quintessa</v>
      </c>
      <c r="B116" s="3" t="str">
        <f>IFERROR(__xludf.DUMMYFUNCTION("""COMPUTED_VALUE"""),"Buildings &amp; Transport")</f>
        <v>Buildings &amp; Transport</v>
      </c>
    </row>
    <row r="117">
      <c r="A117" s="3" t="str">
        <f>IFERROR(__xludf.DUMMYFUNCTION("""COMPUTED_VALUE"""),"Quintessa")</f>
        <v>Quintessa</v>
      </c>
      <c r="B117" s="3" t="str">
        <f>IFERROR(__xludf.DUMMYFUNCTION("""COMPUTED_VALUE"""),"Energy")</f>
        <v>Energy</v>
      </c>
    </row>
    <row r="118">
      <c r="A118" s="3" t="str">
        <f>IFERROR(__xludf.DUMMYFUNCTION("""COMPUTED_VALUE"""),"Quintessa")</f>
        <v>Quintessa</v>
      </c>
      <c r="B118" s="3" t="str">
        <f>IFERROR(__xludf.DUMMYFUNCTION("""COMPUTED_VALUE"""),"""Land, Food and Forest""")</f>
        <v>"Land, Food and Forest"</v>
      </c>
    </row>
    <row r="119">
      <c r="A119" s="3" t="str">
        <f>IFERROR(__xludf.DUMMYFUNCTION("""COMPUTED_VALUE"""),"De Mendes")</f>
        <v>De Mendes</v>
      </c>
      <c r="B119" s="3" t="str">
        <f>IFERROR(__xludf.DUMMYFUNCTION("""COMPUTED_VALUE"""),"""Land, Food and Forest""")</f>
        <v>"Land, Food and Forest"</v>
      </c>
    </row>
    <row r="120">
      <c r="A120" s="3" t="str">
        <f>IFERROR(__xludf.DUMMYFUNCTION("""COMPUTED_VALUE"""),"Endeva")</f>
        <v>Endeva</v>
      </c>
      <c r="B120" s="3" t="str">
        <f>IFERROR(__xludf.DUMMYFUNCTION("""COMPUTED_VALUE"""),"""Land, Food and Forest""")</f>
        <v>"Land, Food and Forest"</v>
      </c>
    </row>
    <row r="121">
      <c r="A121" s="3" t="str">
        <f>IFERROR(__xludf.DUMMYFUNCTION("""COMPUTED_VALUE"""),"Positive Ventures")</f>
        <v>Positive Ventures</v>
      </c>
      <c r="B121" s="3" t="str">
        <f>IFERROR(__xludf.DUMMYFUNCTION("""COMPUTED_VALUE"""),"Buildings &amp; Transport")</f>
        <v>Buildings &amp; Transport</v>
      </c>
    </row>
    <row r="122">
      <c r="A122" s="3" t="str">
        <f>IFERROR(__xludf.DUMMYFUNCTION("""COMPUTED_VALUE"""),"Positive Ventures")</f>
        <v>Positive Ventures</v>
      </c>
      <c r="B122" s="3" t="str">
        <f>IFERROR(__xludf.DUMMYFUNCTION("""COMPUTED_VALUE"""),"""Land, Food and Forest""")</f>
        <v>"Land, Food and Forest"</v>
      </c>
    </row>
    <row r="123">
      <c r="A123" s="3" t="str">
        <f>IFERROR(__xludf.DUMMYFUNCTION("""COMPUTED_VALUE"""),"Ford Foundation")</f>
        <v>Ford Foundation</v>
      </c>
      <c r="B123" s="3" t="str">
        <f>IFERROR(__xludf.DUMMYFUNCTION("""COMPUTED_VALUE"""),"""Land, Food and Forest""")</f>
        <v>"Land, Food and Forest"</v>
      </c>
    </row>
    <row r="124">
      <c r="A124" s="3" t="str">
        <f>IFERROR(__xludf.DUMMYFUNCTION("""COMPUTED_VALUE"""),"Instituto Phi")</f>
        <v>Instituto Phi</v>
      </c>
      <c r="B124" s="3" t="str">
        <f>IFERROR(__xludf.DUMMYFUNCTION("""COMPUTED_VALUE"""),"Buildings &amp; Transport")</f>
        <v>Buildings &amp; Transport</v>
      </c>
    </row>
    <row r="125">
      <c r="A125" s="3" t="str">
        <f>IFERROR(__xludf.DUMMYFUNCTION("""COMPUTED_VALUE"""),"Instituto Phi")</f>
        <v>Instituto Phi</v>
      </c>
      <c r="B125" s="3" t="str">
        <f>IFERROR(__xludf.DUMMYFUNCTION("""COMPUTED_VALUE"""),"Energy")</f>
        <v>Energy</v>
      </c>
    </row>
    <row r="126">
      <c r="A126" s="3" t="str">
        <f>IFERROR(__xludf.DUMMYFUNCTION("""COMPUTED_VALUE"""),"Instituto Phi")</f>
        <v>Instituto Phi</v>
      </c>
      <c r="B126" s="3" t="str">
        <f>IFERROR(__xludf.DUMMYFUNCTION("""COMPUTED_VALUE"""),"""Land, Food and Forest""")</f>
        <v>"Land, Food and Forest"</v>
      </c>
    </row>
    <row r="127">
      <c r="A127" s="3" t="str">
        <f>IFERROR(__xludf.DUMMYFUNCTION("""COMPUTED_VALUE"""),"Centro de Estudos em Sustentabilidade da FGV (FGVces)")</f>
        <v>Centro de Estudos em Sustentabilidade da FGV (FGVces)</v>
      </c>
      <c r="B127" s="3" t="str">
        <f>IFERROR(__xludf.DUMMYFUNCTION("""COMPUTED_VALUE"""),"Buildings &amp; Transport")</f>
        <v>Buildings &amp; Transport</v>
      </c>
    </row>
    <row r="128">
      <c r="A128" s="3" t="str">
        <f>IFERROR(__xludf.DUMMYFUNCTION("""COMPUTED_VALUE"""),"Centro de Estudos em Sustentabilidade da FGV (FGVces)")</f>
        <v>Centro de Estudos em Sustentabilidade da FGV (FGVces)</v>
      </c>
      <c r="B128" s="3" t="str">
        <f>IFERROR(__xludf.DUMMYFUNCTION("""COMPUTED_VALUE"""),"Emergency response")</f>
        <v>Emergency response</v>
      </c>
    </row>
    <row r="129">
      <c r="A129" s="3" t="str">
        <f>IFERROR(__xludf.DUMMYFUNCTION("""COMPUTED_VALUE"""),"Centro de Estudos em Sustentabilidade da FGV (FGVces)")</f>
        <v>Centro de Estudos em Sustentabilidade da FGV (FGVces)</v>
      </c>
      <c r="B129" s="3" t="str">
        <f>IFERROR(__xludf.DUMMYFUNCTION("""COMPUTED_VALUE"""),"Energy")</f>
        <v>Energy</v>
      </c>
    </row>
    <row r="130">
      <c r="A130" s="3" t="str">
        <f>IFERROR(__xludf.DUMMYFUNCTION("""COMPUTED_VALUE"""),"Centro de Estudos em Sustentabilidade da FGV (FGVces)")</f>
        <v>Centro de Estudos em Sustentabilidade da FGV (FGVces)</v>
      </c>
      <c r="B130" s="3" t="str">
        <f>IFERROR(__xludf.DUMMYFUNCTION("""COMPUTED_VALUE"""),"""Land, Food and Forest""")</f>
        <v>"Land, Food and Forest"</v>
      </c>
    </row>
    <row r="131">
      <c r="A131" s="3" t="str">
        <f>IFERROR(__xludf.DUMMYFUNCTION("""COMPUTED_VALUE"""),"Bemtevi")</f>
        <v>Bemtevi</v>
      </c>
      <c r="B131" s="3" t="str">
        <f>IFERROR(__xludf.DUMMYFUNCTION("""COMPUTED_VALUE"""),"Buildings &amp; Transport")</f>
        <v>Buildings &amp; Transport</v>
      </c>
    </row>
    <row r="132">
      <c r="A132" s="3" t="str">
        <f>IFERROR(__xludf.DUMMYFUNCTION("""COMPUTED_VALUE"""),"Bemtevi")</f>
        <v>Bemtevi</v>
      </c>
      <c r="B132" s="3" t="str">
        <f>IFERROR(__xludf.DUMMYFUNCTION("""COMPUTED_VALUE"""),"Energy")</f>
        <v>Energy</v>
      </c>
    </row>
    <row r="133">
      <c r="A133" s="3" t="str">
        <f>IFERROR(__xludf.DUMMYFUNCTION("""COMPUTED_VALUE"""),"Bemtevi")</f>
        <v>Bemtevi</v>
      </c>
      <c r="B133" s="3" t="str">
        <f>IFERROR(__xludf.DUMMYFUNCTION("""COMPUTED_VALUE"""),"""Land, Food and Forest""")</f>
        <v>"Land, Food and Forest"</v>
      </c>
    </row>
    <row r="134">
      <c r="A134" s="3" t="str">
        <f>IFERROR(__xludf.DUMMYFUNCTION("""COMPUTED_VALUE"""),"Climate and Land Use Alliance (CLUA)")</f>
        <v>Climate and Land Use Alliance (CLUA)</v>
      </c>
      <c r="B134" s="3" t="str">
        <f>IFERROR(__xludf.DUMMYFUNCTION("""COMPUTED_VALUE"""),"""Land, Food and Forest""")</f>
        <v>"Land, Food and Forest"</v>
      </c>
    </row>
    <row r="135">
      <c r="A135" s="3" t="str">
        <f>IFERROR(__xludf.DUMMYFUNCTION("""COMPUTED_VALUE"""),"AMAZ")</f>
        <v>AMAZ</v>
      </c>
      <c r="B135" s="3" t="str">
        <f>IFERROR(__xludf.DUMMYFUNCTION("""COMPUTED_VALUE"""),"""Land, Food and Forest""")</f>
        <v>"Land, Food and Forest"</v>
      </c>
    </row>
    <row r="136">
      <c r="A136" s="3" t="str">
        <f>IFERROR(__xludf.DUMMYFUNCTION("""COMPUTED_VALUE"""),"Mercado Livre")</f>
        <v>Mercado Livre</v>
      </c>
      <c r="B136" s="3" t="str">
        <f>IFERROR(__xludf.DUMMYFUNCTION("""COMPUTED_VALUE"""),"Buildings &amp; Transport")</f>
        <v>Buildings &amp; Transport</v>
      </c>
    </row>
    <row r="137">
      <c r="A137" s="3" t="str">
        <f>IFERROR(__xludf.DUMMYFUNCTION("""COMPUTED_VALUE"""),"Amazon")</f>
        <v>Amazon</v>
      </c>
      <c r="B137" s="3" t="str">
        <f>IFERROR(__xludf.DUMMYFUNCTION("""COMPUTED_VALUE"""),"Buildings &amp; Transport")</f>
        <v>Buildings &amp; Transport</v>
      </c>
    </row>
    <row r="138">
      <c r="A138" s="3" t="str">
        <f>IFERROR(__xludf.DUMMYFUNCTION("""COMPUTED_VALUE"""),"CocoaAction Brasil")</f>
        <v>CocoaAction Brasil</v>
      </c>
      <c r="B138" s="3" t="str">
        <f>IFERROR(__xludf.DUMMYFUNCTION("""COMPUTED_VALUE"""),"""Land, Food and Forest""")</f>
        <v>"Land, Food and Forest"</v>
      </c>
    </row>
    <row r="139">
      <c r="A139" s="3" t="str">
        <f>IFERROR(__xludf.DUMMYFUNCTION("""COMPUTED_VALUE"""),"Instituto de Pesquisas Ecológicas (IPÊ)")</f>
        <v>Instituto de Pesquisas Ecológicas (IPÊ)</v>
      </c>
      <c r="B139" s="3" t="str">
        <f>IFERROR(__xludf.DUMMYFUNCTION("""COMPUTED_VALUE"""),"""Land, Food and Forest""")</f>
        <v>"Land, Food and Forest"</v>
      </c>
    </row>
    <row r="140">
      <c r="A140" s="3" t="str">
        <f>IFERROR(__xludf.DUMMYFUNCTION("""COMPUTED_VALUE"""),"Comunitas")</f>
        <v>Comunitas</v>
      </c>
      <c r="B140" s="3" t="str">
        <f>IFERROR(__xludf.DUMMYFUNCTION("""COMPUTED_VALUE"""),"Buildings &amp; Transport")</f>
        <v>Buildings &amp; Transport</v>
      </c>
    </row>
    <row r="141">
      <c r="A141" s="3" t="str">
        <f>IFERROR(__xludf.DUMMYFUNCTION("""COMPUTED_VALUE"""),"Comunitas")</f>
        <v>Comunitas</v>
      </c>
      <c r="B141" s="3" t="str">
        <f>IFERROR(__xludf.DUMMYFUNCTION("""COMPUTED_VALUE"""),"Energy")</f>
        <v>Energy</v>
      </c>
    </row>
    <row r="142">
      <c r="A142" s="3" t="str">
        <f>IFERROR(__xludf.DUMMYFUNCTION("""COMPUTED_VALUE"""),"Comunitas")</f>
        <v>Comunitas</v>
      </c>
      <c r="B142" s="3" t="str">
        <f>IFERROR(__xludf.DUMMYFUNCTION("""COMPUTED_VALUE"""),"""Land, Food and Forest""")</f>
        <v>"Land, Food and Forest"</v>
      </c>
    </row>
    <row r="143">
      <c r="A143" s="3" t="str">
        <f>IFERROR(__xludf.DUMMYFUNCTION("""COMPUTED_VALUE"""),"Fundação Oswaldo Cruz (Fiocruz)")</f>
        <v>Fundação Oswaldo Cruz (Fiocruz)</v>
      </c>
      <c r="B143" s="3" t="str">
        <f>IFERROR(__xludf.DUMMYFUNCTION("""COMPUTED_VALUE"""),"Emergency response")</f>
        <v>Emergency response</v>
      </c>
    </row>
    <row r="144">
      <c r="A144" s="3" t="str">
        <f>IFERROR(__xludf.DUMMYFUNCTION("""COMPUTED_VALUE"""),"Fundação Oswaldo Cruz (Fiocruz)")</f>
        <v>Fundação Oswaldo Cruz (Fiocruz)</v>
      </c>
      <c r="B144" s="3" t="str">
        <f>IFERROR(__xludf.DUMMYFUNCTION("""COMPUTED_VALUE"""),"""Land, Food and Forest""")</f>
        <v>"Land, Food and Forest"</v>
      </c>
    </row>
    <row r="145">
      <c r="A145" s="3" t="str">
        <f>IFERROR(__xludf.DUMMYFUNCTION("""COMPUTED_VALUE"""),"Fundação Nacional dos Povos Indígenas (FUNAI)")</f>
        <v>Fundação Nacional dos Povos Indígenas (FUNAI)</v>
      </c>
      <c r="B145" s="3" t="str">
        <f>IFERROR(__xludf.DUMMYFUNCTION("""COMPUTED_VALUE"""),"""Land, Food and Forest""")</f>
        <v>"Land, Food and Forest"</v>
      </c>
    </row>
    <row r="146">
      <c r="A146" s="3" t="str">
        <f>IFERROR(__xludf.DUMMYFUNCTION("""COMPUTED_VALUE"""),"Fundação Brasileira para o Desenvolvimento Sustentável (FBDS)")</f>
        <v>Fundação Brasileira para o Desenvolvimento Sustentável (FBDS)</v>
      </c>
      <c r="B146" s="3" t="str">
        <f>IFERROR(__xludf.DUMMYFUNCTION("""COMPUTED_VALUE"""),"Buildings &amp; Transport")</f>
        <v>Buildings &amp; Transport</v>
      </c>
    </row>
    <row r="147">
      <c r="A147" s="3" t="str">
        <f>IFERROR(__xludf.DUMMYFUNCTION("""COMPUTED_VALUE"""),"Fundação Brasileira para o Desenvolvimento Sustentável (FBDS)")</f>
        <v>Fundação Brasileira para o Desenvolvimento Sustentável (FBDS)</v>
      </c>
      <c r="B147" s="3" t="str">
        <f>IFERROR(__xludf.DUMMYFUNCTION("""COMPUTED_VALUE"""),"Energy")</f>
        <v>Energy</v>
      </c>
    </row>
    <row r="148">
      <c r="A148" s="3" t="str">
        <f>IFERROR(__xludf.DUMMYFUNCTION("""COMPUTED_VALUE"""),"Fundação Brasileira para o Desenvolvimento Sustentável (FBDS)")</f>
        <v>Fundação Brasileira para o Desenvolvimento Sustentável (FBDS)</v>
      </c>
      <c r="B148" s="3" t="str">
        <f>IFERROR(__xludf.DUMMYFUNCTION("""COMPUTED_VALUE"""),"""Land, Food and Forest""")</f>
        <v>"Land, Food and Forest"</v>
      </c>
    </row>
    <row r="149">
      <c r="A149" s="3" t="str">
        <f>IFERROR(__xludf.DUMMYFUNCTION("""COMPUTED_VALUE"""),"Grupo Terra Nova")</f>
        <v>Grupo Terra Nova</v>
      </c>
      <c r="B149" s="3" t="str">
        <f>IFERROR(__xludf.DUMMYFUNCTION("""COMPUTED_VALUE"""),"""Land, Food and Forest""")</f>
        <v>"Land, Food and Forest"</v>
      </c>
    </row>
    <row r="150">
      <c r="A150" s="3" t="str">
        <f>IFERROR(__xludf.DUMMYFUNCTION("""COMPUTED_VALUE"""),"Grupo Aterpa")</f>
        <v>Grupo Aterpa</v>
      </c>
      <c r="B150" s="3" t="str">
        <f>IFERROR(__xludf.DUMMYFUNCTION("""COMPUTED_VALUE"""),"Buildings &amp; Transport")</f>
        <v>Buildings &amp; Transport</v>
      </c>
    </row>
    <row r="151">
      <c r="A151" s="3" t="str">
        <f>IFERROR(__xludf.DUMMYFUNCTION("""COMPUTED_VALUE"""),"Observatório do Clima")</f>
        <v>Observatório do Clima</v>
      </c>
      <c r="B151" s="3" t="str">
        <f>IFERROR(__xludf.DUMMYFUNCTION("""COMPUTED_VALUE"""),"Buildings &amp; Transport")</f>
        <v>Buildings &amp; Transport</v>
      </c>
    </row>
    <row r="152">
      <c r="A152" s="3" t="str">
        <f>IFERROR(__xludf.DUMMYFUNCTION("""COMPUTED_VALUE"""),"Observatório do Clima")</f>
        <v>Observatório do Clima</v>
      </c>
      <c r="B152" s="3" t="str">
        <f>IFERROR(__xludf.DUMMYFUNCTION("""COMPUTED_VALUE"""),"Energy")</f>
        <v>Energy</v>
      </c>
    </row>
    <row r="153">
      <c r="A153" s="3" t="str">
        <f>IFERROR(__xludf.DUMMYFUNCTION("""COMPUTED_VALUE"""),"Observatório do Clima")</f>
        <v>Observatório do Clima</v>
      </c>
      <c r="B153" s="3" t="str">
        <f>IFERROR(__xludf.DUMMYFUNCTION("""COMPUTED_VALUE"""),"""Land, Food and Forest""")</f>
        <v>"Land, Food and Forest"</v>
      </c>
    </row>
    <row r="154">
      <c r="A154" s="3" t="str">
        <f>IFERROR(__xludf.DUMMYFUNCTION("""COMPUTED_VALUE"""),"United States Agency for International Development (USAID)")</f>
        <v>United States Agency for International Development (USAID)</v>
      </c>
      <c r="B154" s="3" t="str">
        <f>IFERROR(__xludf.DUMMYFUNCTION("""COMPUTED_VALUE"""),"Buildings &amp; Transport")</f>
        <v>Buildings &amp; Transport</v>
      </c>
    </row>
    <row r="155">
      <c r="A155" s="3" t="str">
        <f>IFERROR(__xludf.DUMMYFUNCTION("""COMPUTED_VALUE"""),"United States Agency for International Development (USAID)")</f>
        <v>United States Agency for International Development (USAID)</v>
      </c>
      <c r="B155" s="3" t="str">
        <f>IFERROR(__xludf.DUMMYFUNCTION("""COMPUTED_VALUE"""),"Emergency response")</f>
        <v>Emergency response</v>
      </c>
    </row>
    <row r="156">
      <c r="A156" s="3" t="str">
        <f>IFERROR(__xludf.DUMMYFUNCTION("""COMPUTED_VALUE"""),"United States Agency for International Development (USAID)")</f>
        <v>United States Agency for International Development (USAID)</v>
      </c>
      <c r="B156" s="3" t="str">
        <f>IFERROR(__xludf.DUMMYFUNCTION("""COMPUTED_VALUE"""),"Energy")</f>
        <v>Energy</v>
      </c>
    </row>
    <row r="157">
      <c r="A157" s="3" t="str">
        <f>IFERROR(__xludf.DUMMYFUNCTION("""COMPUTED_VALUE"""),"United States Agency for International Development (USAID)")</f>
        <v>United States Agency for International Development (USAID)</v>
      </c>
      <c r="B157" s="3" t="str">
        <f>IFERROR(__xludf.DUMMYFUNCTION("""COMPUTED_VALUE"""),"""Land, Food and Forest""")</f>
        <v>"Land, Food and Forest"</v>
      </c>
    </row>
    <row r="158">
      <c r="A158" s="3" t="str">
        <f>IFERROR(__xludf.DUMMYFUNCTION("""COMPUTED_VALUE"""),"Gordon and Betty Moore Foundation")</f>
        <v>Gordon and Betty Moore Foundation</v>
      </c>
      <c r="B158" s="3" t="str">
        <f>IFERROR(__xludf.DUMMYFUNCTION("""COMPUTED_VALUE"""),"Energy")</f>
        <v>Energy</v>
      </c>
    </row>
    <row r="159">
      <c r="A159" s="3" t="str">
        <f>IFERROR(__xludf.DUMMYFUNCTION("""COMPUTED_VALUE"""),"Gordon and Betty Moore Foundation")</f>
        <v>Gordon and Betty Moore Foundation</v>
      </c>
      <c r="B159" s="3" t="str">
        <f>IFERROR(__xludf.DUMMYFUNCTION("""COMPUTED_VALUE"""),"""Land, Food and Forest""")</f>
        <v>"Land, Food and Forest"</v>
      </c>
    </row>
    <row r="160">
      <c r="A160" s="3" t="str">
        <f>IFERROR(__xludf.DUMMYFUNCTION("""COMPUTED_VALUE"""),"Fundação Avina")</f>
        <v>Fundação Avina</v>
      </c>
      <c r="B160" s="3" t="str">
        <f>IFERROR(__xludf.DUMMYFUNCTION("""COMPUTED_VALUE"""),"""Land, Food and Forest""")</f>
        <v>"Land, Food and Forest"</v>
      </c>
    </row>
    <row r="161">
      <c r="A161" s="3" t="str">
        <f>IFERROR(__xludf.DUMMYFUNCTION("""COMPUTED_VALUE"""),"William and Flora Hewlett Foundation")</f>
        <v>William and Flora Hewlett Foundation</v>
      </c>
      <c r="B161" s="3" t="str">
        <f>IFERROR(__xludf.DUMMYFUNCTION("""COMPUTED_VALUE"""),"Buildings &amp; Transport")</f>
        <v>Buildings &amp; Transport</v>
      </c>
    </row>
    <row r="162">
      <c r="A162" s="3" t="str">
        <f>IFERROR(__xludf.DUMMYFUNCTION("""COMPUTED_VALUE"""),"William and Flora Hewlett Foundation")</f>
        <v>William and Flora Hewlett Foundation</v>
      </c>
      <c r="B162" s="3" t="str">
        <f>IFERROR(__xludf.DUMMYFUNCTION("""COMPUTED_VALUE"""),"Energy")</f>
        <v>Energy</v>
      </c>
    </row>
    <row r="163">
      <c r="A163" s="3" t="str">
        <f>IFERROR(__xludf.DUMMYFUNCTION("""COMPUTED_VALUE"""),"William and Flora Hewlett Foundation")</f>
        <v>William and Flora Hewlett Foundation</v>
      </c>
      <c r="B163" s="3" t="str">
        <f>IFERROR(__xludf.DUMMYFUNCTION("""COMPUTED_VALUE"""),"""Land, Food and Forest""")</f>
        <v>"Land, Food and Forest"</v>
      </c>
    </row>
    <row r="164">
      <c r="A164" s="3" t="str">
        <f>IFERROR(__xludf.DUMMYFUNCTION("""COMPUTED_VALUE"""),"ClimateWorks Foundation")</f>
        <v>ClimateWorks Foundation</v>
      </c>
      <c r="B164" s="3" t="str">
        <f>IFERROR(__xludf.DUMMYFUNCTION("""COMPUTED_VALUE"""),"Buildings &amp; Transport")</f>
        <v>Buildings &amp; Transport</v>
      </c>
    </row>
    <row r="165">
      <c r="A165" s="3" t="str">
        <f>IFERROR(__xludf.DUMMYFUNCTION("""COMPUTED_VALUE"""),"ClimateWorks Foundation")</f>
        <v>ClimateWorks Foundation</v>
      </c>
      <c r="B165" s="3" t="str">
        <f>IFERROR(__xludf.DUMMYFUNCTION("""COMPUTED_VALUE"""),"Energy")</f>
        <v>Energy</v>
      </c>
    </row>
    <row r="166">
      <c r="A166" s="3" t="str">
        <f>IFERROR(__xludf.DUMMYFUNCTION("""COMPUTED_VALUE"""),"Children’s Investment Fund Foundation (CIFF)")</f>
        <v>Children’s Investment Fund Foundation (CIFF)</v>
      </c>
      <c r="B166" s="3" t="str">
        <f>IFERROR(__xludf.DUMMYFUNCTION("""COMPUTED_VALUE"""),"Buildings &amp; Transport")</f>
        <v>Buildings &amp; Transport</v>
      </c>
    </row>
    <row r="167">
      <c r="A167" s="3" t="str">
        <f>IFERROR(__xludf.DUMMYFUNCTION("""COMPUTED_VALUE"""),"Children’s Investment Fund Foundation (CIFF)")</f>
        <v>Children’s Investment Fund Foundation (CIFF)</v>
      </c>
      <c r="B167" s="3" t="str">
        <f>IFERROR(__xludf.DUMMYFUNCTION("""COMPUTED_VALUE"""),"Emergency response")</f>
        <v>Emergency response</v>
      </c>
    </row>
    <row r="168">
      <c r="A168" s="3" t="str">
        <f>IFERROR(__xludf.DUMMYFUNCTION("""COMPUTED_VALUE"""),"Children’s Investment Fund Foundation (CIFF)")</f>
        <v>Children’s Investment Fund Foundation (CIFF)</v>
      </c>
      <c r="B168" s="3" t="str">
        <f>IFERROR(__xludf.DUMMYFUNCTION("""COMPUTED_VALUE"""),"Energy")</f>
        <v>Energy</v>
      </c>
    </row>
    <row r="169">
      <c r="A169" s="3" t="str">
        <f>IFERROR(__xludf.DUMMYFUNCTION("""COMPUTED_VALUE"""),"Children’s Investment Fund Foundation (CIFF)")</f>
        <v>Children’s Investment Fund Foundation (CIFF)</v>
      </c>
      <c r="B169" s="3" t="str">
        <f>IFERROR(__xludf.DUMMYFUNCTION("""COMPUTED_VALUE"""),"""Land, Food and Forest""")</f>
        <v>"Land, Food and Forest"</v>
      </c>
    </row>
    <row r="170">
      <c r="A170" s="3" t="str">
        <f>IFERROR(__xludf.DUMMYFUNCTION("""COMPUTED_VALUE"""),"Oak Foundation")</f>
        <v>Oak Foundation</v>
      </c>
      <c r="B170" s="3" t="str">
        <f>IFERROR(__xludf.DUMMYFUNCTION("""COMPUTED_VALUE"""),"Buildings &amp; Transport")</f>
        <v>Buildings &amp; Transport</v>
      </c>
    </row>
    <row r="171">
      <c r="A171" s="3" t="str">
        <f>IFERROR(__xludf.DUMMYFUNCTION("""COMPUTED_VALUE"""),"Oak Foundation")</f>
        <v>Oak Foundation</v>
      </c>
      <c r="B171" s="3" t="str">
        <f>IFERROR(__xludf.DUMMYFUNCTION("""COMPUTED_VALUE"""),"Emergency response")</f>
        <v>Emergency response</v>
      </c>
    </row>
    <row r="172">
      <c r="A172" s="3" t="str">
        <f>IFERROR(__xludf.DUMMYFUNCTION("""COMPUTED_VALUE"""),"Oak Foundation")</f>
        <v>Oak Foundation</v>
      </c>
      <c r="B172" s="3" t="str">
        <f>IFERROR(__xludf.DUMMYFUNCTION("""COMPUTED_VALUE"""),"Energy")</f>
        <v>Energy</v>
      </c>
    </row>
    <row r="173">
      <c r="A173" s="3" t="str">
        <f>IFERROR(__xludf.DUMMYFUNCTION("""COMPUTED_VALUE"""),"Oak Foundation")</f>
        <v>Oak Foundation</v>
      </c>
      <c r="B173" s="3" t="str">
        <f>IFERROR(__xludf.DUMMYFUNCTION("""COMPUTED_VALUE"""),"""Land, Food and Forest""")</f>
        <v>"Land, Food and Forest"</v>
      </c>
    </row>
    <row r="174">
      <c r="A174" s="3" t="str">
        <f>IFERROR(__xludf.DUMMYFUNCTION("""COMPUTED_VALUE"""),"Ministério de Minas e Energia (MME)")</f>
        <v>Ministério de Minas e Energia (MME)</v>
      </c>
      <c r="B174" s="3" t="str">
        <f>IFERROR(__xludf.DUMMYFUNCTION("""COMPUTED_VALUE"""),"Energy")</f>
        <v>Energy</v>
      </c>
    </row>
    <row r="175">
      <c r="A175" s="3" t="str">
        <f>IFERROR(__xludf.DUMMYFUNCTION("""COMPUTED_VALUE"""),"Empresa de Pesquisa Energética (EPE)")</f>
        <v>Empresa de Pesquisa Energética (EPE)</v>
      </c>
      <c r="B175" s="3" t="str">
        <f>IFERROR(__xludf.DUMMYFUNCTION("""COMPUTED_VALUE"""),"Energy")</f>
        <v>Energy</v>
      </c>
    </row>
    <row r="176">
      <c r="A176" s="3" t="str">
        <f>IFERROR(__xludf.DUMMYFUNCTION("""COMPUTED_VALUE"""),"Agência Nacional de Energia Elétrica (ANEEL)")</f>
        <v>Agência Nacional de Energia Elétrica (ANEEL)</v>
      </c>
      <c r="B176" s="3" t="str">
        <f>IFERROR(__xludf.DUMMYFUNCTION("""COMPUTED_VALUE"""),"Energy")</f>
        <v>Energy</v>
      </c>
    </row>
    <row r="177">
      <c r="A177" s="3" t="str">
        <f>IFERROR(__xludf.DUMMYFUNCTION("""COMPUTED_VALUE"""),"Operador Nacional do Sistema Elétrico (ONS)")</f>
        <v>Operador Nacional do Sistema Elétrico (ONS)</v>
      </c>
      <c r="B177" s="3" t="str">
        <f>IFERROR(__xludf.DUMMYFUNCTION("""COMPUTED_VALUE"""),"Energy")</f>
        <v>Energy</v>
      </c>
    </row>
    <row r="178">
      <c r="A178" s="3" t="str">
        <f>IFERROR(__xludf.DUMMYFUNCTION("""COMPUTED_VALUE"""),"Neoenergia")</f>
        <v>Neoenergia</v>
      </c>
      <c r="B178" s="3" t="str">
        <f>IFERROR(__xludf.DUMMYFUNCTION("""COMPUTED_VALUE"""),"Energy")</f>
        <v>Energy</v>
      </c>
    </row>
    <row r="179">
      <c r="A179" s="3" t="str">
        <f>IFERROR(__xludf.DUMMYFUNCTION("""COMPUTED_VALUE"""),"CPFL Energia")</f>
        <v>CPFL Energia</v>
      </c>
      <c r="B179" s="3" t="str">
        <f>IFERROR(__xludf.DUMMYFUNCTION("""COMPUTED_VALUE"""),"Energy")</f>
        <v>Energy</v>
      </c>
    </row>
    <row r="180">
      <c r="A180" s="3" t="str">
        <f>IFERROR(__xludf.DUMMYFUNCTION("""COMPUTED_VALUE"""),"Engie Brasil")</f>
        <v>Engie Brasil</v>
      </c>
      <c r="B180" s="3" t="str">
        <f>IFERROR(__xludf.DUMMYFUNCTION("""COMPUTED_VALUE"""),"Energy")</f>
        <v>Energy</v>
      </c>
    </row>
    <row r="181">
      <c r="A181" s="3" t="str">
        <f>IFERROR(__xludf.DUMMYFUNCTION("""COMPUTED_VALUE"""),"EDP Brasil")</f>
        <v>EDP Brasil</v>
      </c>
      <c r="B181" s="3" t="str">
        <f>IFERROR(__xludf.DUMMYFUNCTION("""COMPUTED_VALUE"""),"Energy")</f>
        <v>Energy</v>
      </c>
    </row>
    <row r="182">
      <c r="A182" s="3" t="str">
        <f>IFERROR(__xludf.DUMMYFUNCTION("""COMPUTED_VALUE"""),"Enel Brasil")</f>
        <v>Enel Brasil</v>
      </c>
      <c r="B182" s="3" t="str">
        <f>IFERROR(__xludf.DUMMYFUNCTION("""COMPUTED_VALUE"""),"Energy")</f>
        <v>Energy</v>
      </c>
    </row>
    <row r="183">
      <c r="A183" s="3" t="str">
        <f>IFERROR(__xludf.DUMMYFUNCTION("""COMPUTED_VALUE"""),"Eletrobras")</f>
        <v>Eletrobras</v>
      </c>
      <c r="B183" s="3" t="str">
        <f>IFERROR(__xludf.DUMMYFUNCTION("""COMPUTED_VALUE"""),"Energy")</f>
        <v>Energy</v>
      </c>
    </row>
    <row r="184">
      <c r="A184" s="3" t="str">
        <f>IFERROR(__xludf.DUMMYFUNCTION("""COMPUTED_VALUE"""),"Instituto de Energia e Meio Ambiente (IEMA)")</f>
        <v>Instituto de Energia e Meio Ambiente (IEMA)</v>
      </c>
      <c r="B184" s="3" t="str">
        <f>IFERROR(__xludf.DUMMYFUNCTION("""COMPUTED_VALUE"""),"Buildings &amp; Transport")</f>
        <v>Buildings &amp; Transport</v>
      </c>
    </row>
    <row r="185">
      <c r="A185" s="3" t="str">
        <f>IFERROR(__xludf.DUMMYFUNCTION("""COMPUTED_VALUE"""),"Instituto de Energia e Meio Ambiente (IEMA)")</f>
        <v>Instituto de Energia e Meio Ambiente (IEMA)</v>
      </c>
      <c r="B185" s="3" t="str">
        <f>IFERROR(__xludf.DUMMYFUNCTION("""COMPUTED_VALUE"""),"Energy")</f>
        <v>Energy</v>
      </c>
    </row>
    <row r="186">
      <c r="A186" s="3" t="str">
        <f>IFERROR(__xludf.DUMMYFUNCTION("""COMPUTED_VALUE"""),"Instituto de Energia e Meio Ambiente (IEMA)")</f>
        <v>Instituto de Energia e Meio Ambiente (IEMA)</v>
      </c>
      <c r="B186" s="3" t="str">
        <f>IFERROR(__xludf.DUMMYFUNCTION("""COMPUTED_VALUE"""),"""Land, Food and Forest""")</f>
        <v>"Land, Food and Forest"</v>
      </c>
    </row>
    <row r="187">
      <c r="A187" s="3" t="str">
        <f>IFERROR(__xludf.DUMMYFUNCTION("""COMPUTED_VALUE"""),"Instituto E+ Transição Energética (E+)")</f>
        <v>Instituto E+ Transição Energética (E+)</v>
      </c>
      <c r="B187" s="3" t="str">
        <f>IFERROR(__xludf.DUMMYFUNCTION("""COMPUTED_VALUE"""),"Energy")</f>
        <v>Energy</v>
      </c>
    </row>
    <row r="188">
      <c r="A188" s="3" t="str">
        <f>IFERROR(__xludf.DUMMYFUNCTION("""COMPUTED_VALUE"""),"European Climate Foundation (ECF)")</f>
        <v>European Climate Foundation (ECF)</v>
      </c>
      <c r="B188" s="3" t="str">
        <f>IFERROR(__xludf.DUMMYFUNCTION("""COMPUTED_VALUE"""),"Buildings &amp; Transport")</f>
        <v>Buildings &amp; Transport</v>
      </c>
    </row>
    <row r="189">
      <c r="A189" s="3" t="str">
        <f>IFERROR(__xludf.DUMMYFUNCTION("""COMPUTED_VALUE"""),"European Climate Foundation (ECF)")</f>
        <v>European Climate Foundation (ECF)</v>
      </c>
      <c r="B189" s="3" t="str">
        <f>IFERROR(__xludf.DUMMYFUNCTION("""COMPUTED_VALUE"""),"Energy")</f>
        <v>Energy</v>
      </c>
    </row>
    <row r="190">
      <c r="A190" s="3" t="str">
        <f>IFERROR(__xludf.DUMMYFUNCTION("""COMPUTED_VALUE"""),"European Climate Foundation (ECF)")</f>
        <v>European Climate Foundation (ECF)</v>
      </c>
      <c r="B190" s="3" t="str">
        <f>IFERROR(__xludf.DUMMYFUNCTION("""COMPUTED_VALUE"""),"""Land, Food and Forest""")</f>
        <v>"Land, Food and Forest"</v>
      </c>
    </row>
    <row r="191">
      <c r="A191" s="3" t="str">
        <f>IFERROR(__xludf.DUMMYFUNCTION("""COMPUTED_VALUE"""),"Quadrature Climate Foundation")</f>
        <v>Quadrature Climate Foundation</v>
      </c>
      <c r="B191" s="3" t="str">
        <f>IFERROR(__xludf.DUMMYFUNCTION("""COMPUTED_VALUE"""),"Buildings &amp; Transport")</f>
        <v>Buildings &amp; Transport</v>
      </c>
    </row>
    <row r="192">
      <c r="A192" s="3" t="str">
        <f>IFERROR(__xludf.DUMMYFUNCTION("""COMPUTED_VALUE"""),"Quadrature Climate Foundation")</f>
        <v>Quadrature Climate Foundation</v>
      </c>
      <c r="B192" s="3" t="str">
        <f>IFERROR(__xludf.DUMMYFUNCTION("""COMPUTED_VALUE"""),"Energy")</f>
        <v>Energy</v>
      </c>
    </row>
    <row r="193">
      <c r="A193" s="3" t="str">
        <f>IFERROR(__xludf.DUMMYFUNCTION("""COMPUTED_VALUE"""),"Quadrature Climate Foundation")</f>
        <v>Quadrature Climate Foundation</v>
      </c>
      <c r="B193" s="3" t="str">
        <f>IFERROR(__xludf.DUMMYFUNCTION("""COMPUTED_VALUE"""),"""Land, Food and Forest""")</f>
        <v>"Land, Food and Forest"</v>
      </c>
    </row>
    <row r="194">
      <c r="A194" s="3" t="str">
        <f>IFERROR(__xludf.DUMMYFUNCTION("""COMPUTED_VALUE"""),"Ministério das Cidades")</f>
        <v>Ministério das Cidades</v>
      </c>
      <c r="B194" s="3" t="str">
        <f>IFERROR(__xludf.DUMMYFUNCTION("""COMPUTED_VALUE"""),"Buildings &amp; Transport")</f>
        <v>Buildings &amp; Transport</v>
      </c>
    </row>
    <row r="195">
      <c r="A195" s="3" t="str">
        <f>IFERROR(__xludf.DUMMYFUNCTION("""COMPUTED_VALUE"""),"Agência Nacional de Transportes Terrestres (ANTT)")</f>
        <v>Agência Nacional de Transportes Terrestres (ANTT)</v>
      </c>
      <c r="B195" s="3" t="str">
        <f>IFERROR(__xludf.DUMMYFUNCTION("""COMPUTED_VALUE"""),"Buildings &amp; Transport")</f>
        <v>Buildings &amp; Transport</v>
      </c>
    </row>
    <row r="196">
      <c r="A196" s="3" t="str">
        <f>IFERROR(__xludf.DUMMYFUNCTION("""COMPUTED_VALUE"""),"Agência Nacional de Transportes Aquaviários (ANTAQ)")</f>
        <v>Agência Nacional de Transportes Aquaviários (ANTAQ)</v>
      </c>
      <c r="B196" s="3" t="str">
        <f>IFERROR(__xludf.DUMMYFUNCTION("""COMPUTED_VALUE"""),"Buildings &amp; Transport")</f>
        <v>Buildings &amp; Transport</v>
      </c>
    </row>
    <row r="197">
      <c r="A197" s="3" t="str">
        <f>IFERROR(__xludf.DUMMYFUNCTION("""COMPUTED_VALUE"""),"CCR S.A. (Grupo CCR)")</f>
        <v>CCR S.A. (Grupo CCR)</v>
      </c>
      <c r="B197" s="3" t="str">
        <f>IFERROR(__xludf.DUMMYFUNCTION("""COMPUTED_VALUE"""),"Buildings &amp; Transport")</f>
        <v>Buildings &amp; Transport</v>
      </c>
    </row>
    <row r="198">
      <c r="A198" s="3" t="str">
        <f>IFERROR(__xludf.DUMMYFUNCTION("""COMPUTED_VALUE"""),"EcoRodovias")</f>
        <v>EcoRodovias</v>
      </c>
      <c r="B198" s="3" t="str">
        <f>IFERROR(__xludf.DUMMYFUNCTION("""COMPUTED_VALUE"""),"Buildings &amp; Transport")</f>
        <v>Buildings &amp; Transport</v>
      </c>
    </row>
    <row r="199">
      <c r="A199" s="3" t="str">
        <f>IFERROR(__xludf.DUMMYFUNCTION("""COMPUTED_VALUE"""),"BYD Brasil")</f>
        <v>BYD Brasil</v>
      </c>
      <c r="B199" s="3" t="str">
        <f>IFERROR(__xludf.DUMMYFUNCTION("""COMPUTED_VALUE"""),"Buildings &amp; Transport")</f>
        <v>Buildings &amp; Transport</v>
      </c>
    </row>
    <row r="200">
      <c r="A200" s="3" t="str">
        <f>IFERROR(__xludf.DUMMYFUNCTION("""COMPUTED_VALUE"""),"BYD Brasil")</f>
        <v>BYD Brasil</v>
      </c>
      <c r="B200" s="3" t="str">
        <f>IFERROR(__xludf.DUMMYFUNCTION("""COMPUTED_VALUE"""),"Energy")</f>
        <v>Energy</v>
      </c>
    </row>
    <row r="201">
      <c r="A201" s="3" t="str">
        <f>IFERROR(__xludf.DUMMYFUNCTION("""COMPUTED_VALUE"""),"BYD Brasil")</f>
        <v>BYD Brasil</v>
      </c>
      <c r="B201" s="3" t="str">
        <f>IFERROR(__xludf.DUMMYFUNCTION("""COMPUTED_VALUE"""),"""Land, Food and Forest""")</f>
        <v>"Land, Food and Forest"</v>
      </c>
    </row>
    <row r="202">
      <c r="A202" s="3" t="str">
        <f>IFERROR(__xludf.DUMMYFUNCTION("""COMPUTED_VALUE"""),"Volvo Buses Latin America")</f>
        <v>Volvo Buses Latin America</v>
      </c>
      <c r="B202" s="3" t="str">
        <f>IFERROR(__xludf.DUMMYFUNCTION("""COMPUTED_VALUE"""),"Buildings &amp; Transport")</f>
        <v>Buildings &amp; Transport</v>
      </c>
    </row>
    <row r="203">
      <c r="A203" s="3" t="str">
        <f>IFERROR(__xludf.DUMMYFUNCTION("""COMPUTED_VALUE"""),"Mercedes-Benz Brasil")</f>
        <v>Mercedes-Benz Brasil</v>
      </c>
      <c r="B203" s="3" t="str">
        <f>IFERROR(__xludf.DUMMYFUNCTION("""COMPUTED_VALUE"""),"Buildings &amp; Transport")</f>
        <v>Buildings &amp; Transport</v>
      </c>
    </row>
    <row r="204">
      <c r="A204" s="3" t="str">
        <f>IFERROR(__xludf.DUMMYFUNCTION("""COMPUTED_VALUE"""),"Instituto de Políticas de Transporte e Desenvolvimento (ITDP Brasil)")</f>
        <v>Instituto de Políticas de Transporte e Desenvolvimento (ITDP Brasil)</v>
      </c>
      <c r="B204" s="3" t="str">
        <f>IFERROR(__xludf.DUMMYFUNCTION("""COMPUTED_VALUE"""),"Buildings &amp; Transport")</f>
        <v>Buildings &amp; Transport</v>
      </c>
    </row>
    <row r="205">
      <c r="A205" s="3" t="str">
        <f>IFERROR(__xludf.DUMMYFUNCTION("""COMPUTED_VALUE"""),"Caixa Econômica Federal")</f>
        <v>Caixa Econômica Federal</v>
      </c>
      <c r="B205" s="3" t="str">
        <f>IFERROR(__xludf.DUMMYFUNCTION("""COMPUTED_VALUE"""),"Buildings &amp; Transport")</f>
        <v>Buildings &amp; Transport</v>
      </c>
    </row>
    <row r="206">
      <c r="A206" s="3" t="str">
        <f>IFERROR(__xludf.DUMMYFUNCTION("""COMPUTED_VALUE"""),"Caixa Econômica Federal")</f>
        <v>Caixa Econômica Federal</v>
      </c>
      <c r="B206" s="3" t="str">
        <f>IFERROR(__xludf.DUMMYFUNCTION("""COMPUTED_VALUE"""),"Emergency response")</f>
        <v>Emergency response</v>
      </c>
    </row>
    <row r="207">
      <c r="A207" s="3" t="str">
        <f>IFERROR(__xludf.DUMMYFUNCTION("""COMPUTED_VALUE"""),"Caixa Econômica Federal")</f>
        <v>Caixa Econômica Federal</v>
      </c>
      <c r="B207" s="3" t="str">
        <f>IFERROR(__xludf.DUMMYFUNCTION("""COMPUTED_VALUE"""),"Energy")</f>
        <v>Energy</v>
      </c>
    </row>
    <row r="208">
      <c r="A208" s="3" t="str">
        <f>IFERROR(__xludf.DUMMYFUNCTION("""COMPUTED_VALUE"""),"Caixa Econômica Federal")</f>
        <v>Caixa Econômica Federal</v>
      </c>
      <c r="B208" s="3" t="str">
        <f>IFERROR(__xludf.DUMMYFUNCTION("""COMPUTED_VALUE"""),"""Land, Food and Forest""")</f>
        <v>"Land, Food and Forest"</v>
      </c>
    </row>
    <row r="209">
      <c r="A209" s="3" t="str">
        <f>IFERROR(__xludf.DUMMYFUNCTION("""COMPUTED_VALUE"""),"MRV")</f>
        <v>MRV</v>
      </c>
      <c r="B209" s="3" t="str">
        <f>IFERROR(__xludf.DUMMYFUNCTION("""COMPUTED_VALUE"""),"Buildings &amp; Transport")</f>
        <v>Buildings &amp; Transport</v>
      </c>
    </row>
    <row r="210">
      <c r="A210" s="3" t="str">
        <f>IFERROR(__xludf.DUMMYFUNCTION("""COMPUTED_VALUE"""),"Tenda")</f>
        <v>Tenda</v>
      </c>
      <c r="B210" s="3" t="str">
        <f>IFERROR(__xludf.DUMMYFUNCTION("""COMPUTED_VALUE"""),"Buildings &amp; Transport")</f>
        <v>Buildings &amp; Transport</v>
      </c>
    </row>
    <row r="211">
      <c r="A211" s="3" t="str">
        <f>IFERROR(__xludf.DUMMYFUNCTION("""COMPUTED_VALUE"""),"Cyrela")</f>
        <v>Cyrela</v>
      </c>
      <c r="B211" s="3" t="str">
        <f>IFERROR(__xludf.DUMMYFUNCTION("""COMPUTED_VALUE"""),"Buildings &amp; Transport")</f>
        <v>Buildings &amp; Transport</v>
      </c>
    </row>
    <row r="212">
      <c r="A212" s="3" t="str">
        <f>IFERROR(__xludf.DUMMYFUNCTION("""COMPUTED_VALUE"""),"Votorantim Cimentos")</f>
        <v>Votorantim Cimentos</v>
      </c>
      <c r="B212" s="3" t="str">
        <f>IFERROR(__xludf.DUMMYFUNCTION("""COMPUTED_VALUE"""),"Buildings &amp; Transport")</f>
        <v>Buildings &amp; Transport</v>
      </c>
    </row>
    <row r="213">
      <c r="A213" s="3" t="str">
        <f>IFERROR(__xludf.DUMMYFUNCTION("""COMPUTED_VALUE"""),"Votorantim Cimentos")</f>
        <v>Votorantim Cimentos</v>
      </c>
      <c r="B213" s="3" t="str">
        <f>IFERROR(__xludf.DUMMYFUNCTION("""COMPUTED_VALUE"""),"Energy")</f>
        <v>Energy</v>
      </c>
    </row>
    <row r="214">
      <c r="A214" s="3" t="str">
        <f>IFERROR(__xludf.DUMMYFUNCTION("""COMPUTED_VALUE"""),"InterCement")</f>
        <v>InterCement</v>
      </c>
      <c r="B214" s="3" t="str">
        <f>IFERROR(__xludf.DUMMYFUNCTION("""COMPUTED_VALUE"""),"Buildings &amp; Transport")</f>
        <v>Buildings &amp; Transport</v>
      </c>
    </row>
    <row r="215">
      <c r="A215" s="3" t="str">
        <f>IFERROR(__xludf.DUMMYFUNCTION("""COMPUTED_VALUE"""),"InterCement")</f>
        <v>InterCement</v>
      </c>
      <c r="B215" s="3" t="str">
        <f>IFERROR(__xludf.DUMMYFUNCTION("""COMPUTED_VALUE"""),"Energy")</f>
        <v>Energy</v>
      </c>
    </row>
    <row r="216">
      <c r="A216" s="3" t="str">
        <f>IFERROR(__xludf.DUMMYFUNCTION("""COMPUTED_VALUE"""),"Green Building Council Brasil (GBC Brasil)")</f>
        <v>Green Building Council Brasil (GBC Brasil)</v>
      </c>
      <c r="B216" s="3" t="str">
        <f>IFERROR(__xludf.DUMMYFUNCTION("""COMPUTED_VALUE"""),"Buildings &amp; Transport")</f>
        <v>Buildings &amp; Transport</v>
      </c>
    </row>
    <row r="217">
      <c r="A217" s="3" t="str">
        <f>IFERROR(__xludf.DUMMYFUNCTION("""COMPUTED_VALUE"""),"Green Building Council Brasil (GBC Brasil)")</f>
        <v>Green Building Council Brasil (GBC Brasil)</v>
      </c>
      <c r="B217" s="3" t="str">
        <f>IFERROR(__xludf.DUMMYFUNCTION("""COMPUTED_VALUE"""),"Energy")</f>
        <v>Energy</v>
      </c>
    </row>
    <row r="218">
      <c r="A218" s="3" t="str">
        <f>IFERROR(__xludf.DUMMYFUNCTION("""COMPUTED_VALUE"""),"Ministério da Agricultura e Pecuária (MAPA)")</f>
        <v>Ministério da Agricultura e Pecuária (MAPA)</v>
      </c>
      <c r="B218" s="3" t="str">
        <f>IFERROR(__xludf.DUMMYFUNCTION("""COMPUTED_VALUE"""),"""Land, Food and Forest""")</f>
        <v>"Land, Food and Forest"</v>
      </c>
    </row>
    <row r="219">
      <c r="A219" s="3" t="str">
        <f>IFERROR(__xludf.DUMMYFUNCTION("""COMPUTED_VALUE"""),"Instituto Nacional de Colonização e Reforma Agrária (INCRA)")</f>
        <v>Instituto Nacional de Colonização e Reforma Agrária (INCRA)</v>
      </c>
      <c r="B219" s="3" t="str">
        <f>IFERROR(__xludf.DUMMYFUNCTION("""COMPUTED_VALUE"""),"Emergency response")</f>
        <v>Emergency response</v>
      </c>
    </row>
    <row r="220">
      <c r="A220" s="3" t="str">
        <f>IFERROR(__xludf.DUMMYFUNCTION("""COMPUTED_VALUE"""),"Instituto Nacional de Colonização e Reforma Agrária (INCRA)")</f>
        <v>Instituto Nacional de Colonização e Reforma Agrária (INCRA)</v>
      </c>
      <c r="B220" s="3" t="str">
        <f>IFERROR(__xludf.DUMMYFUNCTION("""COMPUTED_VALUE"""),"""Land, Food and Forest""")</f>
        <v>"Land, Food and Forest"</v>
      </c>
    </row>
    <row r="221">
      <c r="A221" s="3" t="str">
        <f>IFERROR(__xludf.DUMMYFUNCTION("""COMPUTED_VALUE"""),"Agroicone")</f>
        <v>Agroicone</v>
      </c>
      <c r="B221" s="3" t="str">
        <f>IFERROR(__xludf.DUMMYFUNCTION("""COMPUTED_VALUE"""),"""Land, Food and Forest""")</f>
        <v>"Land, Food and Forest"</v>
      </c>
    </row>
    <row r="222">
      <c r="A222" s="3" t="str">
        <f>IFERROR(__xludf.DUMMYFUNCTION("""COMPUTED_VALUE"""),"JBS")</f>
        <v>JBS</v>
      </c>
      <c r="B222" s="3" t="str">
        <f>IFERROR(__xludf.DUMMYFUNCTION("""COMPUTED_VALUE"""),"Buildings &amp; Transport")</f>
        <v>Buildings &amp; Transport</v>
      </c>
    </row>
    <row r="223">
      <c r="A223" s="3" t="str">
        <f>IFERROR(__xludf.DUMMYFUNCTION("""COMPUTED_VALUE"""),"JBS")</f>
        <v>JBS</v>
      </c>
      <c r="B223" s="3" t="str">
        <f>IFERROR(__xludf.DUMMYFUNCTION("""COMPUTED_VALUE"""),"""Land, Food and Forest""")</f>
        <v>"Land, Food and Forest"</v>
      </c>
    </row>
    <row r="224">
      <c r="A224" s="3" t="str">
        <f>IFERROR(__xludf.DUMMYFUNCTION("""COMPUTED_VALUE"""),"Marfrig")</f>
        <v>Marfrig</v>
      </c>
      <c r="B224" s="3" t="str">
        <f>IFERROR(__xludf.DUMMYFUNCTION("""COMPUTED_VALUE"""),"Buildings &amp; Transport")</f>
        <v>Buildings &amp; Transport</v>
      </c>
    </row>
    <row r="225">
      <c r="A225" s="3" t="str">
        <f>IFERROR(__xludf.DUMMYFUNCTION("""COMPUTED_VALUE"""),"Marfrig")</f>
        <v>Marfrig</v>
      </c>
      <c r="B225" s="3" t="str">
        <f>IFERROR(__xludf.DUMMYFUNCTION("""COMPUTED_VALUE"""),"""Land, Food and Forest""")</f>
        <v>"Land, Food and Forest"</v>
      </c>
    </row>
    <row r="226">
      <c r="A226" s="3" t="str">
        <f>IFERROR(__xludf.DUMMYFUNCTION("""COMPUTED_VALUE"""),"Amaggi")</f>
        <v>Amaggi</v>
      </c>
      <c r="B226" s="3" t="str">
        <f>IFERROR(__xludf.DUMMYFUNCTION("""COMPUTED_VALUE"""),"Buildings &amp; Transport")</f>
        <v>Buildings &amp; Transport</v>
      </c>
    </row>
    <row r="227">
      <c r="A227" s="3" t="str">
        <f>IFERROR(__xludf.DUMMYFUNCTION("""COMPUTED_VALUE"""),"Amaggi")</f>
        <v>Amaggi</v>
      </c>
      <c r="B227" s="3" t="str">
        <f>IFERROR(__xludf.DUMMYFUNCTION("""COMPUTED_VALUE"""),"""Land, Food and Forest""")</f>
        <v>"Land, Food and Forest"</v>
      </c>
    </row>
    <row r="228">
      <c r="A228" s="3" t="str">
        <f>IFERROR(__xludf.DUMMYFUNCTION("""COMPUTED_VALUE"""),"SLC Agrícola")</f>
        <v>SLC Agrícola</v>
      </c>
      <c r="B228" s="3" t="str">
        <f>IFERROR(__xludf.DUMMYFUNCTION("""COMPUTED_VALUE"""),"Buildings &amp; Transport")</f>
        <v>Buildings &amp; Transport</v>
      </c>
    </row>
    <row r="229">
      <c r="A229" s="3" t="str">
        <f>IFERROR(__xludf.DUMMYFUNCTION("""COMPUTED_VALUE"""),"SLC Agrícola")</f>
        <v>SLC Agrícola</v>
      </c>
      <c r="B229" s="3" t="str">
        <f>IFERROR(__xludf.DUMMYFUNCTION("""COMPUTED_VALUE"""),"""Land, Food and Forest""")</f>
        <v>"Land, Food and Forest"</v>
      </c>
    </row>
    <row r="230">
      <c r="A230" s="3" t="str">
        <f>IFERROR(__xludf.DUMMYFUNCTION("""COMPUTED_VALUE"""),"Instituto de Pesquisa Ambiental da Amazônia (IPAM)")</f>
        <v>Instituto de Pesquisa Ambiental da Amazônia (IPAM)</v>
      </c>
      <c r="B230" s="3" t="str">
        <f>IFERROR(__xludf.DUMMYFUNCTION("""COMPUTED_VALUE"""),"""Land, Food and Forest""")</f>
        <v>"Land, Food and Forest"</v>
      </c>
    </row>
    <row r="231">
      <c r="A231" s="3" t="str">
        <f>IFERROR(__xludf.DUMMYFUNCTION("""COMPUTED_VALUE"""),"Global Canopy")</f>
        <v>Global Canopy</v>
      </c>
      <c r="B231" s="3" t="str">
        <f>IFERROR(__xludf.DUMMYFUNCTION("""COMPUTED_VALUE"""),"""Land, Food and Forest""")</f>
        <v>"Land, Food and Forest"</v>
      </c>
    </row>
    <row r="232">
      <c r="A232" s="3" t="str">
        <f>IFERROR(__xludf.DUMMYFUNCTION("""COMPUTED_VALUE"""),"Good Energies Foundation")</f>
        <v>Good Energies Foundation</v>
      </c>
      <c r="B232" s="3" t="str">
        <f>IFERROR(__xludf.DUMMYFUNCTION("""COMPUTED_VALUE"""),"Energy")</f>
        <v>Energy</v>
      </c>
    </row>
    <row r="233">
      <c r="A233" s="3" t="str">
        <f>IFERROR(__xludf.DUMMYFUNCTION("""COMPUTED_VALUE"""),"Ministério do Desenvolvimento e Assistência Social, Família e Combate à Fome (MDS)")</f>
        <v>Ministério do Desenvolvimento e Assistência Social, Família e Combate à Fome (MDS)</v>
      </c>
      <c r="B233" s="3" t="str">
        <f>IFERROR(__xludf.DUMMYFUNCTION("""COMPUTED_VALUE"""),"Emergency response")</f>
        <v>Emergency response</v>
      </c>
    </row>
    <row r="234">
      <c r="A234" s="3" t="str">
        <f>IFERROR(__xludf.DUMMYFUNCTION("""COMPUTED_VALUE"""),"Ministério do Desenvolvimento e Assistência Social, Família e Combate à Fome (MDS)")</f>
        <v>Ministério do Desenvolvimento e Assistência Social, Família e Combate à Fome (MDS)</v>
      </c>
      <c r="B234" s="3" t="str">
        <f>IFERROR(__xludf.DUMMYFUNCTION("""COMPUTED_VALUE"""),"""Land, Food and Forest""")</f>
        <v>"Land, Food and Forest"</v>
      </c>
    </row>
    <row r="235">
      <c r="A235" s="3" t="str">
        <f>IFERROR(__xludf.DUMMYFUNCTION("""COMPUTED_VALUE"""),"Conselho Nacional de Segurança Alimentar e Nutricional (CONSEA)")</f>
        <v>Conselho Nacional de Segurança Alimentar e Nutricional (CONSEA)</v>
      </c>
      <c r="B235" s="3" t="str">
        <f>IFERROR(__xludf.DUMMYFUNCTION("""COMPUTED_VALUE"""),"Emergency response")</f>
        <v>Emergency response</v>
      </c>
    </row>
    <row r="236">
      <c r="A236" s="3" t="str">
        <f>IFERROR(__xludf.DUMMYFUNCTION("""COMPUTED_VALUE"""),"Conselho Nacional de Segurança Alimentar e Nutricional (CONSEA)")</f>
        <v>Conselho Nacional de Segurança Alimentar e Nutricional (CONSEA)</v>
      </c>
      <c r="B236" s="3" t="str">
        <f>IFERROR(__xludf.DUMMYFUNCTION("""COMPUTED_VALUE"""),"""Land, Food and Forest""")</f>
        <v>"Land, Food and Forest"</v>
      </c>
    </row>
    <row r="237">
      <c r="A237" s="3" t="str">
        <f>IFERROR(__xludf.DUMMYFUNCTION("""COMPUTED_VALUE"""),"Grupo Pão de Açúcar (GPA)")</f>
        <v>Grupo Pão de Açúcar (GPA)</v>
      </c>
      <c r="B237" s="3" t="str">
        <f>IFERROR(__xludf.DUMMYFUNCTION("""COMPUTED_VALUE"""),"Buildings &amp; Transport")</f>
        <v>Buildings &amp; Transport</v>
      </c>
    </row>
    <row r="238">
      <c r="A238" s="3" t="str">
        <f>IFERROR(__xludf.DUMMYFUNCTION("""COMPUTED_VALUE"""),"Grupo Pão de Açúcar (GPA)")</f>
        <v>Grupo Pão de Açúcar (GPA)</v>
      </c>
      <c r="B238" s="3" t="str">
        <f>IFERROR(__xludf.DUMMYFUNCTION("""COMPUTED_VALUE"""),"""Land, Food and Forest""")</f>
        <v>"Land, Food and Forest"</v>
      </c>
    </row>
    <row r="239">
      <c r="A239" s="3" t="str">
        <f>IFERROR(__xludf.DUMMYFUNCTION("""COMPUTED_VALUE"""),"Assaí Atacadista")</f>
        <v>Assaí Atacadista</v>
      </c>
      <c r="B239" s="3" t="str">
        <f>IFERROR(__xludf.DUMMYFUNCTION("""COMPUTED_VALUE"""),"Buildings &amp; Transport")</f>
        <v>Buildings &amp; Transport</v>
      </c>
    </row>
    <row r="240">
      <c r="A240" s="3" t="str">
        <f>IFERROR(__xludf.DUMMYFUNCTION("""COMPUTED_VALUE"""),"Assaí Atacadista")</f>
        <v>Assaí Atacadista</v>
      </c>
      <c r="B240" s="3" t="str">
        <f>IFERROR(__xludf.DUMMYFUNCTION("""COMPUTED_VALUE"""),"""Land, Food and Forest""")</f>
        <v>"Land, Food and Forest"</v>
      </c>
    </row>
    <row r="241">
      <c r="A241" s="3" t="str">
        <f>IFERROR(__xludf.DUMMYFUNCTION("""COMPUTED_VALUE"""),"Carrefour Brasil")</f>
        <v>Carrefour Brasil</v>
      </c>
      <c r="B241" s="3" t="str">
        <f>IFERROR(__xludf.DUMMYFUNCTION("""COMPUTED_VALUE"""),"Buildings &amp; Transport")</f>
        <v>Buildings &amp; Transport</v>
      </c>
    </row>
    <row r="242">
      <c r="A242" s="3" t="str">
        <f>IFERROR(__xludf.DUMMYFUNCTION("""COMPUTED_VALUE"""),"Carrefour Brasil")</f>
        <v>Carrefour Brasil</v>
      </c>
      <c r="B242" s="3" t="str">
        <f>IFERROR(__xludf.DUMMYFUNCTION("""COMPUTED_VALUE"""),"""Land, Food and Forest""")</f>
        <v>"Land, Food and Forest"</v>
      </c>
    </row>
    <row r="243">
      <c r="A243" s="3" t="str">
        <f>IFERROR(__xludf.DUMMYFUNCTION("""COMPUTED_VALUE"""),"Nestlé Brasil")</f>
        <v>Nestlé Brasil</v>
      </c>
      <c r="B243" s="3" t="str">
        <f>IFERROR(__xludf.DUMMYFUNCTION("""COMPUTED_VALUE"""),"Buildings &amp; Transport")</f>
        <v>Buildings &amp; Transport</v>
      </c>
    </row>
    <row r="244">
      <c r="A244" s="3" t="str">
        <f>IFERROR(__xludf.DUMMYFUNCTION("""COMPUTED_VALUE"""),"Nestlé Brasil")</f>
        <v>Nestlé Brasil</v>
      </c>
      <c r="B244" s="3" t="str">
        <f>IFERROR(__xludf.DUMMYFUNCTION("""COMPUTED_VALUE"""),"""Land, Food and Forest""")</f>
        <v>"Land, Food and Forest"</v>
      </c>
    </row>
    <row r="245">
      <c r="A245" s="3" t="str">
        <f>IFERROR(__xludf.DUMMYFUNCTION("""COMPUTED_VALUE"""),"Unilever Brasil")</f>
        <v>Unilever Brasil</v>
      </c>
      <c r="B245" s="3" t="str">
        <f>IFERROR(__xludf.DUMMYFUNCTION("""COMPUTED_VALUE"""),"Buildings &amp; Transport")</f>
        <v>Buildings &amp; Transport</v>
      </c>
    </row>
    <row r="246">
      <c r="A246" s="3" t="str">
        <f>IFERROR(__xludf.DUMMYFUNCTION("""COMPUTED_VALUE"""),"Unilever Brasil")</f>
        <v>Unilever Brasil</v>
      </c>
      <c r="B246" s="3" t="str">
        <f>IFERROR(__xludf.DUMMYFUNCTION("""COMPUTED_VALUE"""),"""Land, Food and Forest""")</f>
        <v>"Land, Food and Forest"</v>
      </c>
    </row>
    <row r="247">
      <c r="A247" s="3" t="str">
        <f>IFERROR(__xludf.DUMMYFUNCTION("""COMPUTED_VALUE"""),"Danone Brasil")</f>
        <v>Danone Brasil</v>
      </c>
      <c r="B247" s="3" t="str">
        <f>IFERROR(__xludf.DUMMYFUNCTION("""COMPUTED_VALUE"""),"Buildings &amp; Transport")</f>
        <v>Buildings &amp; Transport</v>
      </c>
    </row>
    <row r="248">
      <c r="A248" s="3" t="str">
        <f>IFERROR(__xludf.DUMMYFUNCTION("""COMPUTED_VALUE"""),"Danone Brasil")</f>
        <v>Danone Brasil</v>
      </c>
      <c r="B248" s="3" t="str">
        <f>IFERROR(__xludf.DUMMYFUNCTION("""COMPUTED_VALUE"""),"""Land, Food and Forest""")</f>
        <v>"Land, Food and Forest"</v>
      </c>
    </row>
    <row r="249">
      <c r="A249" s="3" t="str">
        <f>IFERROR(__xludf.DUMMYFUNCTION("""COMPUTED_VALUE"""),"Rede PENSSAN")</f>
        <v>Rede PENSSAN</v>
      </c>
      <c r="B249" s="3" t="str">
        <f>IFERROR(__xludf.DUMMYFUNCTION("""COMPUTED_VALUE"""),"""Land, Food and Forest""")</f>
        <v>"Land, Food and Forest"</v>
      </c>
    </row>
    <row r="250">
      <c r="A250" s="3" t="str">
        <f>IFERROR(__xludf.DUMMYFUNCTION("""COMPUTED_VALUE"""),"Instituto Comida do Amanhã")</f>
        <v>Instituto Comida do Amanhã</v>
      </c>
      <c r="B250" s="3" t="str">
        <f>IFERROR(__xludf.DUMMYFUNCTION("""COMPUTED_VALUE"""),"""Land, Food and Forest""")</f>
        <v>"Land, Food and Forest"</v>
      </c>
    </row>
    <row r="251">
      <c r="A251" s="3" t="str">
        <f>IFERROR(__xludf.DUMMYFUNCTION("""COMPUTED_VALUE"""),"EAT Foundation")</f>
        <v>EAT Foundation</v>
      </c>
      <c r="B251" s="3" t="str">
        <f>IFERROR(__xludf.DUMMYFUNCTION("""COMPUTED_VALUE"""),"""Land, Food and Forest""")</f>
        <v>"Land, Food and Forest"</v>
      </c>
    </row>
    <row r="252">
      <c r="A252" s="3" t="str">
        <f>IFERROR(__xludf.DUMMYFUNCTION("""COMPUTED_VALUE"""),"Programa de Sistemas Alimentares da FAO no Brasil (FAO – Food Systems Programme)")</f>
        <v>Programa de Sistemas Alimentares da FAO no Brasil (FAO – Food Systems Programme)</v>
      </c>
      <c r="B252" s="3" t="str">
        <f>IFERROR(__xludf.DUMMYFUNCTION("""COMPUTED_VALUE"""),"""Land, Food and Forest""")</f>
        <v>"Land, Food and Forest"</v>
      </c>
    </row>
    <row r="253">
      <c r="A253" s="3" t="str">
        <f>IFERROR(__xludf.DUMMYFUNCTION("""COMPUTED_VALUE"""),"Serviço Florestal Brasileiro (SFB)")</f>
        <v>Serviço Florestal Brasileiro (SFB)</v>
      </c>
      <c r="B253" s="3" t="str">
        <f>IFERROR(__xludf.DUMMYFUNCTION("""COMPUTED_VALUE"""),"""Land, Food and Forest""")</f>
        <v>"Land, Food and Forest"</v>
      </c>
    </row>
    <row r="254">
      <c r="A254" s="3" t="str">
        <f>IFERROR(__xludf.DUMMYFUNCTION("""COMPUTED_VALUE"""),"Klabin")</f>
        <v>Klabin</v>
      </c>
      <c r="B254" s="3" t="str">
        <f>IFERROR(__xludf.DUMMYFUNCTION("""COMPUTED_VALUE"""),"Buildings &amp; Transport")</f>
        <v>Buildings &amp; Transport</v>
      </c>
    </row>
    <row r="255">
      <c r="A255" s="3" t="str">
        <f>IFERROR(__xludf.DUMMYFUNCTION("""COMPUTED_VALUE"""),"Klabin")</f>
        <v>Klabin</v>
      </c>
      <c r="B255" s="3" t="str">
        <f>IFERROR(__xludf.DUMMYFUNCTION("""COMPUTED_VALUE"""),"Energy")</f>
        <v>Energy</v>
      </c>
    </row>
    <row r="256">
      <c r="A256" s="3" t="str">
        <f>IFERROR(__xludf.DUMMYFUNCTION("""COMPUTED_VALUE"""),"Klabin")</f>
        <v>Klabin</v>
      </c>
      <c r="B256" s="3" t="str">
        <f>IFERROR(__xludf.DUMMYFUNCTION("""COMPUTED_VALUE"""),"""Land, Food and Forest""")</f>
        <v>"Land, Food and Forest"</v>
      </c>
    </row>
    <row r="257">
      <c r="A257" s="3" t="str">
        <f>IFERROR(__xludf.DUMMYFUNCTION("""COMPUTED_VALUE"""),"Bracell")</f>
        <v>Bracell</v>
      </c>
      <c r="B257" s="3" t="str">
        <f>IFERROR(__xludf.DUMMYFUNCTION("""COMPUTED_VALUE"""),"Buildings &amp; Transport")</f>
        <v>Buildings &amp; Transport</v>
      </c>
    </row>
    <row r="258">
      <c r="A258" s="3" t="str">
        <f>IFERROR(__xludf.DUMMYFUNCTION("""COMPUTED_VALUE"""),"Bracell")</f>
        <v>Bracell</v>
      </c>
      <c r="B258" s="3" t="str">
        <f>IFERROR(__xludf.DUMMYFUNCTION("""COMPUTED_VALUE"""),"""Land, Food and Forest""")</f>
        <v>"Land, Food and Forest"</v>
      </c>
    </row>
    <row r="259">
      <c r="A259" s="3" t="str">
        <f>IFERROR(__xludf.DUMMYFUNCTION("""COMPUTED_VALUE"""),"Dexco")</f>
        <v>Dexco</v>
      </c>
      <c r="B259" s="3" t="str">
        <f>IFERROR(__xludf.DUMMYFUNCTION("""COMPUTED_VALUE"""),"Buildings &amp; Transport")</f>
        <v>Buildings &amp; Transport</v>
      </c>
    </row>
    <row r="260">
      <c r="A260" s="3" t="str">
        <f>IFERROR(__xludf.DUMMYFUNCTION("""COMPUTED_VALUE"""),"Dexco")</f>
        <v>Dexco</v>
      </c>
      <c r="B260" s="3" t="str">
        <f>IFERROR(__xludf.DUMMYFUNCTION("""COMPUTED_VALUE"""),"""Land, Food and Forest""")</f>
        <v>"Land, Food and Forest"</v>
      </c>
    </row>
    <row r="261">
      <c r="A261" s="3" t="str">
        <f>IFERROR(__xludf.DUMMYFUNCTION("""COMPUTED_VALUE"""),"Suzano Ventures")</f>
        <v>Suzano Ventures</v>
      </c>
      <c r="B261" s="3" t="str">
        <f>IFERROR(__xludf.DUMMYFUNCTION("""COMPUTED_VALUE"""),"Buildings &amp; Transport")</f>
        <v>Buildings &amp; Transport</v>
      </c>
    </row>
    <row r="262">
      <c r="A262" s="3" t="str">
        <f>IFERROR(__xludf.DUMMYFUNCTION("""COMPUTED_VALUE"""),"Suzano Ventures")</f>
        <v>Suzano Ventures</v>
      </c>
      <c r="B262" s="3" t="str">
        <f>IFERROR(__xludf.DUMMYFUNCTION("""COMPUTED_VALUE"""),"Energy")</f>
        <v>Energy</v>
      </c>
    </row>
    <row r="263">
      <c r="A263" s="3" t="str">
        <f>IFERROR(__xludf.DUMMYFUNCTION("""COMPUTED_VALUE"""),"Suzano Ventures")</f>
        <v>Suzano Ventures</v>
      </c>
      <c r="B263" s="3" t="str">
        <f>IFERROR(__xludf.DUMMYFUNCTION("""COMPUTED_VALUE"""),"""Land, Food and Forest""")</f>
        <v>"Land, Food and Forest"</v>
      </c>
    </row>
    <row r="264">
      <c r="A264" s="3" t="str">
        <f>IFERROR(__xludf.DUMMYFUNCTION("""COMPUTED_VALUE"""),"Rainforest Alliance")</f>
        <v>Rainforest Alliance</v>
      </c>
      <c r="B264" s="3" t="str">
        <f>IFERROR(__xludf.DUMMYFUNCTION("""COMPUTED_VALUE"""),"""Land, Food and Forest""")</f>
        <v>"Land, Food and Forest"</v>
      </c>
    </row>
    <row r="265">
      <c r="A265" s="3" t="str">
        <f>IFERROR(__xludf.DUMMYFUNCTION("""COMPUTED_VALUE"""),"Forest Trends")</f>
        <v>Forest Trends</v>
      </c>
      <c r="B265" s="3" t="str">
        <f>IFERROR(__xludf.DUMMYFUNCTION("""COMPUTED_VALUE"""),"""Land, Food and Forest""")</f>
        <v>"Land, Food and Forest"</v>
      </c>
    </row>
    <row r="266">
      <c r="A266" s="3" t="str">
        <f>IFERROR(__xludf.DUMMYFUNCTION("""COMPUTED_VALUE"""),"Earth Innovation Institute")</f>
        <v>Earth Innovation Institute</v>
      </c>
      <c r="B266" s="3" t="str">
        <f>IFERROR(__xludf.DUMMYFUNCTION("""COMPUTED_VALUE"""),"""Land, Food and Forest""")</f>
        <v>"Land, Food and Forest"</v>
      </c>
    </row>
    <row r="267">
      <c r="A267" s="3" t="str">
        <f>IFERROR(__xludf.DUMMYFUNCTION("""COMPUTED_VALUE"""),"Bezos Earth Fund")</f>
        <v>Bezos Earth Fund</v>
      </c>
      <c r="B267" s="3" t="str">
        <f>IFERROR(__xludf.DUMMYFUNCTION("""COMPUTED_VALUE"""),"Buildings &amp; Transport")</f>
        <v>Buildings &amp; Transport</v>
      </c>
    </row>
    <row r="268">
      <c r="A268" s="3" t="str">
        <f>IFERROR(__xludf.DUMMYFUNCTION("""COMPUTED_VALUE"""),"Bezos Earth Fund")</f>
        <v>Bezos Earth Fund</v>
      </c>
      <c r="B268" s="3" t="str">
        <f>IFERROR(__xludf.DUMMYFUNCTION("""COMPUTED_VALUE"""),"Emergency response")</f>
        <v>Emergency response</v>
      </c>
    </row>
    <row r="269">
      <c r="A269" s="3" t="str">
        <f>IFERROR(__xludf.DUMMYFUNCTION("""COMPUTED_VALUE"""),"Bezos Earth Fund")</f>
        <v>Bezos Earth Fund</v>
      </c>
      <c r="B269" s="3" t="str">
        <f>IFERROR(__xludf.DUMMYFUNCTION("""COMPUTED_VALUE"""),"Energy")</f>
        <v>Energy</v>
      </c>
    </row>
    <row r="270">
      <c r="A270" s="3" t="str">
        <f>IFERROR(__xludf.DUMMYFUNCTION("""COMPUTED_VALUE"""),"Bezos Earth Fund")</f>
        <v>Bezos Earth Fund</v>
      </c>
      <c r="B270" s="3" t="str">
        <f>IFERROR(__xludf.DUMMYFUNCTION("""COMPUTED_VALUE"""),"""Land, Food and Forest""")</f>
        <v>"Land, Food and Forest"</v>
      </c>
    </row>
    <row r="271">
      <c r="A271" s="3" t="str">
        <f>IFERROR(__xludf.DUMMYFUNCTION("""COMPUTED_VALUE"""),"Bloomberg Philanthropies")</f>
        <v>Bloomberg Philanthropies</v>
      </c>
      <c r="B271" s="3" t="str">
        <f>IFERROR(__xludf.DUMMYFUNCTION("""COMPUTED_VALUE"""),"Buildings &amp; Transport")</f>
        <v>Buildings &amp; Transport</v>
      </c>
    </row>
    <row r="272">
      <c r="A272" s="3" t="str">
        <f>IFERROR(__xludf.DUMMYFUNCTION("""COMPUTED_VALUE"""),"Bloomberg Philanthropies")</f>
        <v>Bloomberg Philanthropies</v>
      </c>
      <c r="B272" s="3" t="str">
        <f>IFERROR(__xludf.DUMMYFUNCTION("""COMPUTED_VALUE"""),"Emergency response")</f>
        <v>Emergency response</v>
      </c>
    </row>
    <row r="273">
      <c r="A273" s="3" t="str">
        <f>IFERROR(__xludf.DUMMYFUNCTION("""COMPUTED_VALUE"""),"Bloomberg Philanthropies")</f>
        <v>Bloomberg Philanthropies</v>
      </c>
      <c r="B273" s="3" t="str">
        <f>IFERROR(__xludf.DUMMYFUNCTION("""COMPUTED_VALUE"""),"Energy")</f>
        <v>Energy</v>
      </c>
    </row>
    <row r="274">
      <c r="A274" s="3" t="str">
        <f>IFERROR(__xludf.DUMMYFUNCTION("""COMPUTED_VALUE"""),"Bloomberg Philanthropies")</f>
        <v>Bloomberg Philanthropies</v>
      </c>
      <c r="B274" s="3" t="str">
        <f>IFERROR(__xludf.DUMMYFUNCTION("""COMPUTED_VALUE"""),"""Land, Food and Forest""")</f>
        <v>"Land, Food and Forest"</v>
      </c>
    </row>
    <row r="275">
      <c r="A275" s="3" t="str">
        <f>IFERROR(__xludf.DUMMYFUNCTION("""COMPUTED_VALUE"""),"Laudes Foundation")</f>
        <v>Laudes Foundation</v>
      </c>
      <c r="B275" s="3" t="str">
        <f>IFERROR(__xludf.DUMMYFUNCTION("""COMPUTED_VALUE"""),"Buildings &amp; Transport")</f>
        <v>Buildings &amp; Transport</v>
      </c>
    </row>
    <row r="276">
      <c r="A276" s="3" t="str">
        <f>IFERROR(__xludf.DUMMYFUNCTION("""COMPUTED_VALUE"""),"Laudes Foundation")</f>
        <v>Laudes Foundation</v>
      </c>
      <c r="B276" s="3" t="str">
        <f>IFERROR(__xludf.DUMMYFUNCTION("""COMPUTED_VALUE"""),"Energy")</f>
        <v>Energy</v>
      </c>
    </row>
    <row r="277">
      <c r="A277" s="3" t="str">
        <f>IFERROR(__xludf.DUMMYFUNCTION("""COMPUTED_VALUE"""),"Skoll Foundation")</f>
        <v>Skoll Foundation</v>
      </c>
      <c r="B277" s="3" t="str">
        <f>IFERROR(__xludf.DUMMYFUNCTION("""COMPUTED_VALUE"""),"Buildings &amp; Transport")</f>
        <v>Buildings &amp; Transport</v>
      </c>
    </row>
    <row r="278">
      <c r="A278" s="3" t="str">
        <f>IFERROR(__xludf.DUMMYFUNCTION("""COMPUTED_VALUE"""),"Skoll Foundation")</f>
        <v>Skoll Foundation</v>
      </c>
      <c r="B278" s="3" t="str">
        <f>IFERROR(__xludf.DUMMYFUNCTION("""COMPUTED_VALUE"""),"Emergency response")</f>
        <v>Emergency response</v>
      </c>
    </row>
    <row r="279">
      <c r="A279" s="3" t="str">
        <f>IFERROR(__xludf.DUMMYFUNCTION("""COMPUTED_VALUE"""),"Skoll Foundation")</f>
        <v>Skoll Foundation</v>
      </c>
      <c r="B279" s="3" t="str">
        <f>IFERROR(__xludf.DUMMYFUNCTION("""COMPUTED_VALUE"""),"Energy")</f>
        <v>Energy</v>
      </c>
    </row>
    <row r="280">
      <c r="A280" s="3" t="str">
        <f>IFERROR(__xludf.DUMMYFUNCTION("""COMPUTED_VALUE"""),"Skoll Foundation")</f>
        <v>Skoll Foundation</v>
      </c>
      <c r="B280" s="3" t="str">
        <f>IFERROR(__xludf.DUMMYFUNCTION("""COMPUTED_VALUE"""),"""Land, Food and Forest""")</f>
        <v>"Land, Food and Forest"</v>
      </c>
    </row>
    <row r="281">
      <c r="A281" s="3" t="str">
        <f>IFERROR(__xludf.DUMMYFUNCTION("""COMPUTED_VALUE"""),"Walton Family Foundation")</f>
        <v>Walton Family Foundation</v>
      </c>
      <c r="B281" s="3" t="str">
        <f>IFERROR(__xludf.DUMMYFUNCTION("""COMPUTED_VALUE"""),"""Land, Food and Forest""")</f>
        <v>"Land, Food and Forest"</v>
      </c>
    </row>
    <row r="282">
      <c r="A282" s="3" t="str">
        <f>IFERROR(__xludf.DUMMYFUNCTION("""COMPUTED_VALUE"""),"Blue Moon Fund")</f>
        <v>Blue Moon Fund</v>
      </c>
      <c r="B282" s="3" t="str">
        <f>IFERROR(__xludf.DUMMYFUNCTION("""COMPUTED_VALUE"""),"Energy")</f>
        <v>Energy</v>
      </c>
    </row>
    <row r="283">
      <c r="A283" s="3" t="str">
        <f>IFERROR(__xludf.DUMMYFUNCTION("""COMPUTED_VALUE"""),"Blue Moon Fund")</f>
        <v>Blue Moon Fund</v>
      </c>
      <c r="B283" s="3" t="str">
        <f>IFERROR(__xludf.DUMMYFUNCTION("""COMPUTED_VALUE"""),"""Land, Food and Forest""")</f>
        <v>"Land, Food and Forest"</v>
      </c>
    </row>
    <row r="284">
      <c r="A284" s="3" t="str">
        <f>IFERROR(__xludf.DUMMYFUNCTION("""COMPUTED_VALUE"""),"Rainforest Trust")</f>
        <v>Rainforest Trust</v>
      </c>
      <c r="B284" s="3" t="str">
        <f>IFERROR(__xludf.DUMMYFUNCTION("""COMPUTED_VALUE"""),"""Land, Food and Forest""")</f>
        <v>"Land, Food and Forest"</v>
      </c>
    </row>
    <row r="285">
      <c r="A285" s="3" t="str">
        <f>IFERROR(__xludf.DUMMYFUNCTION("""COMPUTED_VALUE"""),"John D. and Catherine T. MacArthur Foundation (MacArthur Foundation)")</f>
        <v>John D. and Catherine T. MacArthur Foundation (MacArthur Foundation)</v>
      </c>
      <c r="B285" s="3" t="str">
        <f>IFERROR(__xludf.DUMMYFUNCTION("""COMPUTED_VALUE"""),"Buildings &amp; Transport")</f>
        <v>Buildings &amp; Transport</v>
      </c>
    </row>
    <row r="286">
      <c r="A286" s="3" t="str">
        <f>IFERROR(__xludf.DUMMYFUNCTION("""COMPUTED_VALUE"""),"John D. and Catherine T. MacArthur Foundation (MacArthur Foundation)")</f>
        <v>John D. and Catherine T. MacArthur Foundation (MacArthur Foundation)</v>
      </c>
      <c r="B286" s="3" t="str">
        <f>IFERROR(__xludf.DUMMYFUNCTION("""COMPUTED_VALUE"""),"Emergency response")</f>
        <v>Emergency response</v>
      </c>
    </row>
    <row r="287">
      <c r="A287" s="3" t="str">
        <f>IFERROR(__xludf.DUMMYFUNCTION("""COMPUTED_VALUE"""),"John D. and Catherine T. MacArthur Foundation (MacArthur Foundation)")</f>
        <v>John D. and Catherine T. MacArthur Foundation (MacArthur Foundation)</v>
      </c>
      <c r="B287" s="3" t="str">
        <f>IFERROR(__xludf.DUMMYFUNCTION("""COMPUTED_VALUE"""),"Energy")</f>
        <v>Energy</v>
      </c>
    </row>
    <row r="288">
      <c r="A288" s="3" t="str">
        <f>IFERROR(__xludf.DUMMYFUNCTION("""COMPUTED_VALUE"""),"John D. and Catherine T. MacArthur Foundation (MacArthur Foundation)")</f>
        <v>John D. and Catherine T. MacArthur Foundation (MacArthur Foundation)</v>
      </c>
      <c r="B288" s="3" t="str">
        <f>IFERROR(__xludf.DUMMYFUNCTION("""COMPUTED_VALUE"""),"""Land, Food and Forest""")</f>
        <v>"Land, Food and Forest"</v>
      </c>
    </row>
    <row r="289">
      <c r="A289" s="3" t="str">
        <f>IFERROR(__xludf.DUMMYFUNCTION("""COMPUTED_VALUE"""),"Rockefeller Brothers Fund")</f>
        <v>Rockefeller Brothers Fund</v>
      </c>
      <c r="B289" s="3" t="str">
        <f>IFERROR(__xludf.DUMMYFUNCTION("""COMPUTED_VALUE"""),"Buildings &amp; Transport")</f>
        <v>Buildings &amp; Transport</v>
      </c>
    </row>
    <row r="290">
      <c r="A290" s="3" t="str">
        <f>IFERROR(__xludf.DUMMYFUNCTION("""COMPUTED_VALUE"""),"Rockefeller Brothers Fund")</f>
        <v>Rockefeller Brothers Fund</v>
      </c>
      <c r="B290" s="3" t="str">
        <f>IFERROR(__xludf.DUMMYFUNCTION("""COMPUTED_VALUE"""),"Emergency response")</f>
        <v>Emergency response</v>
      </c>
    </row>
    <row r="291">
      <c r="A291" s="3" t="str">
        <f>IFERROR(__xludf.DUMMYFUNCTION("""COMPUTED_VALUE"""),"Rockefeller Brothers Fund")</f>
        <v>Rockefeller Brothers Fund</v>
      </c>
      <c r="B291" s="3" t="str">
        <f>IFERROR(__xludf.DUMMYFUNCTION("""COMPUTED_VALUE"""),"Energy")</f>
        <v>Energy</v>
      </c>
    </row>
    <row r="292">
      <c r="A292" s="3" t="str">
        <f>IFERROR(__xludf.DUMMYFUNCTION("""COMPUTED_VALUE"""),"Rockefeller Brothers Fund")</f>
        <v>Rockefeller Brothers Fund</v>
      </c>
      <c r="B292" s="3" t="str">
        <f>IFERROR(__xludf.DUMMYFUNCTION("""COMPUTED_VALUE"""),"""Land, Food and Forest""")</f>
        <v>"Land, Food and Forest"</v>
      </c>
    </row>
    <row r="293">
      <c r="A293" s="3" t="str">
        <f>IFERROR(__xludf.DUMMYFUNCTION("""COMPUTED_VALUE"""),"Consórcio Nordeste")</f>
        <v>Consórcio Nordeste</v>
      </c>
      <c r="B293" s="3" t="str">
        <f>IFERROR(__xludf.DUMMYFUNCTION("""COMPUTED_VALUE"""),"Buildings &amp; Transport")</f>
        <v>Buildings &amp; Transport</v>
      </c>
    </row>
    <row r="294">
      <c r="A294" s="3" t="str">
        <f>IFERROR(__xludf.DUMMYFUNCTION("""COMPUTED_VALUE"""),"Consórcio Nordeste")</f>
        <v>Consórcio Nordeste</v>
      </c>
      <c r="B294" s="3" t="str">
        <f>IFERROR(__xludf.DUMMYFUNCTION("""COMPUTED_VALUE"""),"Energy")</f>
        <v>Energy</v>
      </c>
    </row>
    <row r="295">
      <c r="A295" s="3" t="str">
        <f>IFERROR(__xludf.DUMMYFUNCTION("""COMPUTED_VALUE"""),"Consórcio Nordeste")</f>
        <v>Consórcio Nordeste</v>
      </c>
      <c r="B295" s="3" t="str">
        <f>IFERROR(__xludf.DUMMYFUNCTION("""COMPUTED_VALUE"""),"""Land, Food and Forest""")</f>
        <v>"Land, Food and Forest"</v>
      </c>
    </row>
    <row r="296">
      <c r="A296" s="3" t="str">
        <f>IFERROR(__xludf.DUMMYFUNCTION("""COMPUTED_VALUE"""),"Laboratório de Inovação Financeira (LAB/CVM)")</f>
        <v>Laboratório de Inovação Financeira (LAB/CVM)</v>
      </c>
      <c r="B296" s="3" t="str">
        <f>IFERROR(__xludf.DUMMYFUNCTION("""COMPUTED_VALUE"""),"Buildings &amp; Transport")</f>
        <v>Buildings &amp; Transport</v>
      </c>
    </row>
    <row r="297">
      <c r="A297" s="3" t="str">
        <f>IFERROR(__xludf.DUMMYFUNCTION("""COMPUTED_VALUE"""),"Laboratório de Inovação Financeira (LAB/CVM)")</f>
        <v>Laboratório de Inovação Financeira (LAB/CVM)</v>
      </c>
      <c r="B297" s="3" t="str">
        <f>IFERROR(__xludf.DUMMYFUNCTION("""COMPUTED_VALUE"""),"Energy")</f>
        <v>Energy</v>
      </c>
    </row>
    <row r="298">
      <c r="A298" s="3" t="str">
        <f>IFERROR(__xludf.DUMMYFUNCTION("""COMPUTED_VALUE"""),"Laboratório de Inovação Financeira (LAB/CVM)")</f>
        <v>Laboratório de Inovação Financeira (LAB/CVM)</v>
      </c>
      <c r="B298" s="3" t="str">
        <f>IFERROR(__xludf.DUMMYFUNCTION("""COMPUTED_VALUE"""),"""Land, Food and Forest""")</f>
        <v>"Land, Food and Forest"</v>
      </c>
    </row>
    <row r="299">
      <c r="A299" s="3" t="str">
        <f>IFERROR(__xludf.DUMMYFUNCTION("""COMPUTED_VALUE"""),"Conselho Empresarial Brasileiro para o Desenvolvimento Sustentável (CEBDS)")</f>
        <v>Conselho Empresarial Brasileiro para o Desenvolvimento Sustentável (CEBDS)</v>
      </c>
      <c r="B299" s="3" t="str">
        <f>IFERROR(__xludf.DUMMYFUNCTION("""COMPUTED_VALUE"""),"Buildings &amp; Transport")</f>
        <v>Buildings &amp; Transport</v>
      </c>
    </row>
    <row r="300">
      <c r="A300" s="3" t="str">
        <f>IFERROR(__xludf.DUMMYFUNCTION("""COMPUTED_VALUE"""),"Conselho Empresarial Brasileiro para o Desenvolvimento Sustentável (CEBDS)")</f>
        <v>Conselho Empresarial Brasileiro para o Desenvolvimento Sustentável (CEBDS)</v>
      </c>
      <c r="B300" s="3" t="str">
        <f>IFERROR(__xludf.DUMMYFUNCTION("""COMPUTED_VALUE"""),"Energy")</f>
        <v>Energy</v>
      </c>
    </row>
    <row r="301">
      <c r="A301" s="3" t="str">
        <f>IFERROR(__xludf.DUMMYFUNCTION("""COMPUTED_VALUE"""),"Conselho Empresarial Brasileiro para o Desenvolvimento Sustentável (CEBDS)")</f>
        <v>Conselho Empresarial Brasileiro para o Desenvolvimento Sustentável (CEBDS)</v>
      </c>
      <c r="B301" s="3" t="str">
        <f>IFERROR(__xludf.DUMMYFUNCTION("""COMPUTED_VALUE"""),"""Land, Food and Forest""")</f>
        <v>"Land, Food and Forest"</v>
      </c>
    </row>
    <row r="302">
      <c r="A302" s="3" t="str">
        <f>IFERROR(__xludf.DUMMYFUNCTION("""COMPUTED_VALUE"""),"Associação Brasileira de Desenvolvimento (ABDE)")</f>
        <v>Associação Brasileira de Desenvolvimento (ABDE)</v>
      </c>
      <c r="B302" s="3" t="str">
        <f>IFERROR(__xludf.DUMMYFUNCTION("""COMPUTED_VALUE"""),"Buildings &amp; Transport")</f>
        <v>Buildings &amp; Transport</v>
      </c>
    </row>
    <row r="303">
      <c r="A303" s="3" t="str">
        <f>IFERROR(__xludf.DUMMYFUNCTION("""COMPUTED_VALUE"""),"Associação Brasileira de Desenvolvimento (ABDE)")</f>
        <v>Associação Brasileira de Desenvolvimento (ABDE)</v>
      </c>
      <c r="B303" s="3" t="str">
        <f>IFERROR(__xludf.DUMMYFUNCTION("""COMPUTED_VALUE"""),"Energy")</f>
        <v>Energy</v>
      </c>
    </row>
    <row r="304">
      <c r="A304" s="3" t="str">
        <f>IFERROR(__xludf.DUMMYFUNCTION("""COMPUTED_VALUE"""),"Associação Brasileira de Desenvolvimento (ABDE)")</f>
        <v>Associação Brasileira de Desenvolvimento (ABDE)</v>
      </c>
      <c r="B304" s="3" t="str">
        <f>IFERROR(__xludf.DUMMYFUNCTION("""COMPUTED_VALUE"""),"""Land, Food and Forest""")</f>
        <v>"Land, Food and Forest"</v>
      </c>
    </row>
    <row r="305">
      <c r="A305" s="3" t="str">
        <f>IFERROR(__xludf.DUMMYFUNCTION("""COMPUTED_VALUE"""),"Climate Policy Initiative (CPI)")</f>
        <v>Climate Policy Initiative (CPI)</v>
      </c>
      <c r="B305" s="3" t="str">
        <f>IFERROR(__xludf.DUMMYFUNCTION("""COMPUTED_VALUE"""),"Energy")</f>
        <v>Energy</v>
      </c>
    </row>
    <row r="306">
      <c r="A306" s="3" t="str">
        <f>IFERROR(__xludf.DUMMYFUNCTION("""COMPUTED_VALUE"""),"Climate Policy Initiative (CPI)")</f>
        <v>Climate Policy Initiative (CPI)</v>
      </c>
      <c r="B306" s="3" t="str">
        <f>IFERROR(__xludf.DUMMYFUNCTION("""COMPUTED_VALUE"""),"""Land, Food and Forest""")</f>
        <v>"Land, Food and Forest"</v>
      </c>
    </row>
    <row r="307">
      <c r="A307" s="3" t="str">
        <f>IFERROR(__xludf.DUMMYFUNCTION("""COMPUTED_VALUE"""),"Climate Finance Hub Brasil")</f>
        <v>Climate Finance Hub Brasil</v>
      </c>
      <c r="B307" s="3" t="str">
        <f>IFERROR(__xludf.DUMMYFUNCTION("""COMPUTED_VALUE"""),"Buildings &amp; Transport")</f>
        <v>Buildings &amp; Transport</v>
      </c>
    </row>
    <row r="308">
      <c r="A308" s="3" t="str">
        <f>IFERROR(__xludf.DUMMYFUNCTION("""COMPUTED_VALUE"""),"Climate Finance Hub Brasil")</f>
        <v>Climate Finance Hub Brasil</v>
      </c>
      <c r="B308" s="3" t="str">
        <f>IFERROR(__xludf.DUMMYFUNCTION("""COMPUTED_VALUE"""),"Energy")</f>
        <v>Energy</v>
      </c>
    </row>
    <row r="309">
      <c r="A309" s="3" t="str">
        <f>IFERROR(__xludf.DUMMYFUNCTION("""COMPUTED_VALUE"""),"Climate Finance Hub Brasil")</f>
        <v>Climate Finance Hub Brasil</v>
      </c>
      <c r="B309" s="3" t="str">
        <f>IFERROR(__xludf.DUMMYFUNCTION("""COMPUTED_VALUE"""),"""Land, Food and Forest""")</f>
        <v>"Land, Food and Forest"</v>
      </c>
    </row>
    <row r="310">
      <c r="A310" s="3" t="str">
        <f>IFERROR(__xludf.DUMMYFUNCTION("""COMPUTED_VALUE"""),"Associação Brasileira de Energia Eólica (ABEEólica)")</f>
        <v>Associação Brasileira de Energia Eólica (ABEEólica)</v>
      </c>
      <c r="B310" s="3" t="str">
        <f>IFERROR(__xludf.DUMMYFUNCTION("""COMPUTED_VALUE"""),"Energy")</f>
        <v>Energy</v>
      </c>
    </row>
    <row r="311">
      <c r="A311" s="3" t="str">
        <f>IFERROR(__xludf.DUMMYFUNCTION("""COMPUTED_VALUE"""),"Associação Brasileira de Energia Solar Fotovoltaica (ABSolar)")</f>
        <v>Associação Brasileira de Energia Solar Fotovoltaica (ABSolar)</v>
      </c>
      <c r="B311" s="3" t="str">
        <f>IFERROR(__xludf.DUMMYFUNCTION("""COMPUTED_VALUE"""),"Energy")</f>
        <v>Energy</v>
      </c>
    </row>
    <row r="312">
      <c r="A312" s="3" t="str">
        <f>IFERROR(__xludf.DUMMYFUNCTION("""COMPUTED_VALUE"""),"Associação Brasileira do Biogás (ABiogás)")</f>
        <v>Associação Brasileira do Biogás (ABiogás)</v>
      </c>
      <c r="B312" s="3" t="str">
        <f>IFERROR(__xludf.DUMMYFUNCTION("""COMPUTED_VALUE"""),"Energy")</f>
        <v>Energy</v>
      </c>
    </row>
    <row r="313">
      <c r="A313" s="3" t="str">
        <f>IFERROR(__xludf.DUMMYFUNCTION("""COMPUTED_VALUE"""),"Associação Brasileira do Hidrogênio (ABH2)")</f>
        <v>Associação Brasileira do Hidrogênio (ABH2)</v>
      </c>
      <c r="B313" s="3" t="str">
        <f>IFERROR(__xludf.DUMMYFUNCTION("""COMPUTED_VALUE"""),"Energy")</f>
        <v>Energy</v>
      </c>
    </row>
    <row r="314">
      <c r="A314" s="3" t="str">
        <f>IFERROR(__xludf.DUMMYFUNCTION("""COMPUTED_VALUE"""),"Instituto Nacional de Eficiência Energética (INEE)")</f>
        <v>Instituto Nacional de Eficiência Energética (INEE)</v>
      </c>
      <c r="B314" s="3" t="str">
        <f>IFERROR(__xludf.DUMMYFUNCTION("""COMPUTED_VALUE"""),"Energy")</f>
        <v>Energy</v>
      </c>
    </row>
    <row r="315">
      <c r="A315" s="3" t="str">
        <f>IFERROR(__xludf.DUMMYFUNCTION("""COMPUTED_VALUE"""),"Superintendência do Desenvolvimento do Nordeste (SUDENE)")</f>
        <v>Superintendência do Desenvolvimento do Nordeste (SUDENE)</v>
      </c>
      <c r="B315" s="3" t="str">
        <f>IFERROR(__xludf.DUMMYFUNCTION("""COMPUTED_VALUE"""),"Buildings &amp; Transport")</f>
        <v>Buildings &amp; Transport</v>
      </c>
    </row>
    <row r="316">
      <c r="A316" s="3" t="str">
        <f>IFERROR(__xludf.DUMMYFUNCTION("""COMPUTED_VALUE"""),"Superintendência do Desenvolvimento do Nordeste (SUDENE)")</f>
        <v>Superintendência do Desenvolvimento do Nordeste (SUDENE)</v>
      </c>
      <c r="B316" s="3" t="str">
        <f>IFERROR(__xludf.DUMMYFUNCTION("""COMPUTED_VALUE"""),"Energy")</f>
        <v>Energy</v>
      </c>
    </row>
    <row r="317">
      <c r="A317" s="3" t="str">
        <f>IFERROR(__xludf.DUMMYFUNCTION("""COMPUTED_VALUE"""),"Superintendência do Desenvolvimento do Nordeste (SUDENE)")</f>
        <v>Superintendência do Desenvolvimento do Nordeste (SUDENE)</v>
      </c>
      <c r="B317" s="3" t="str">
        <f>IFERROR(__xludf.DUMMYFUNCTION("""COMPUTED_VALUE"""),"""Land, Food and Forest""")</f>
        <v>"Land, Food and Forest"</v>
      </c>
    </row>
    <row r="318">
      <c r="A318" s="3" t="str">
        <f>IFERROR(__xludf.DUMMYFUNCTION("""COMPUTED_VALUE"""),"Associação Brasileira de Grandes Consumidores Industriais de Energia e de Consumidores Livres (ABRACE)")</f>
        <v>Associação Brasileira de Grandes Consumidores Industriais de Energia e de Consumidores Livres (ABRACE)</v>
      </c>
      <c r="B318" s="3" t="str">
        <f>IFERROR(__xludf.DUMMYFUNCTION("""COMPUTED_VALUE"""),"Energy")</f>
        <v>Energy</v>
      </c>
    </row>
    <row r="319">
      <c r="A319" s="3" t="str">
        <f>IFERROR(__xludf.DUMMYFUNCTION("""COMPUTED_VALUE"""),"Casa dos Ventos")</f>
        <v>Casa dos Ventos</v>
      </c>
      <c r="B319" s="3" t="str">
        <f>IFERROR(__xludf.DUMMYFUNCTION("""COMPUTED_VALUE"""),"Energy")</f>
        <v>Energy</v>
      </c>
    </row>
    <row r="320">
      <c r="A320" s="3" t="str">
        <f>IFERROR(__xludf.DUMMYFUNCTION("""COMPUTED_VALUE"""),"Voltalia Energia do Brasil (Voltalia)")</f>
        <v>Voltalia Energia do Brasil (Voltalia)</v>
      </c>
      <c r="B320" s="3" t="str">
        <f>IFERROR(__xludf.DUMMYFUNCTION("""COMPUTED_VALUE"""),"Energy")</f>
        <v>Energy</v>
      </c>
    </row>
    <row r="321">
      <c r="A321" s="3" t="str">
        <f>IFERROR(__xludf.DUMMYFUNCTION("""COMPUTED_VALUE"""),"Brava Energia")</f>
        <v>Brava Energia</v>
      </c>
      <c r="B321" s="3" t="str">
        <f>IFERROR(__xludf.DUMMYFUNCTION("""COMPUTED_VALUE"""),"Energy")</f>
        <v>Energy</v>
      </c>
    </row>
    <row r="322">
      <c r="A322" s="3" t="str">
        <f>IFERROR(__xludf.DUMMYFUNCTION("""COMPUTED_VALUE"""),"Grupo Stellantis (Stellantis)")</f>
        <v>Grupo Stellantis (Stellantis)</v>
      </c>
      <c r="B322" s="3" t="str">
        <f>IFERROR(__xludf.DUMMYFUNCTION("""COMPUTED_VALUE"""),"Energy")</f>
        <v>Energy</v>
      </c>
    </row>
    <row r="323">
      <c r="A323" s="3" t="str">
        <f>IFERROR(__xludf.DUMMYFUNCTION("""COMPUTED_VALUE"""),"Agência Brasileira de Promoção de Exportações e Investimentos (ApexBrasil)")</f>
        <v>Agência Brasileira de Promoção de Exportações e Investimentos (ApexBrasil)</v>
      </c>
      <c r="B323" s="3" t="str">
        <f>IFERROR(__xludf.DUMMYFUNCTION("""COMPUTED_VALUE"""),"Buildings &amp; Transport")</f>
        <v>Buildings &amp; Transport</v>
      </c>
    </row>
    <row r="324">
      <c r="A324" s="3" t="str">
        <f>IFERROR(__xludf.DUMMYFUNCTION("""COMPUTED_VALUE"""),"Agência Brasileira de Promoção de Exportações e Investimentos (ApexBrasil)")</f>
        <v>Agência Brasileira de Promoção de Exportações e Investimentos (ApexBrasil)</v>
      </c>
      <c r="B324" s="3" t="str">
        <f>IFERROR(__xludf.DUMMYFUNCTION("""COMPUTED_VALUE"""),"Energy")</f>
        <v>Energy</v>
      </c>
    </row>
    <row r="325">
      <c r="A325" s="3" t="str">
        <f>IFERROR(__xludf.DUMMYFUNCTION("""COMPUTED_VALUE"""),"Complexo Industrial Portuário de Suape (Suape)")</f>
        <v>Complexo Industrial Portuário de Suape (Suape)</v>
      </c>
      <c r="B325" s="3" t="str">
        <f>IFERROR(__xludf.DUMMYFUNCTION("""COMPUTED_VALUE"""),"Buildings &amp; Transport")</f>
        <v>Buildings &amp; Transport</v>
      </c>
    </row>
    <row r="326">
      <c r="A326" s="3" t="str">
        <f>IFERROR(__xludf.DUMMYFUNCTION("""COMPUTED_VALUE"""),"Complexo Industrial Portuário de Suape (Suape)")</f>
        <v>Complexo Industrial Portuário de Suape (Suape)</v>
      </c>
      <c r="B326" s="3" t="str">
        <f>IFERROR(__xludf.DUMMYFUNCTION("""COMPUTED_VALUE"""),"Energy")</f>
        <v>Energy</v>
      </c>
    </row>
    <row r="327">
      <c r="A327" s="3" t="str">
        <f>IFERROR(__xludf.DUMMYFUNCTION("""COMPUTED_VALUE"""),"Complexo do Pecém (CIPP S.A.)")</f>
        <v>Complexo do Pecém (CIPP S.A.)</v>
      </c>
      <c r="B327" s="3" t="str">
        <f>IFERROR(__xludf.DUMMYFUNCTION("""COMPUTED_VALUE"""),"Buildings &amp; Transport")</f>
        <v>Buildings &amp; Transport</v>
      </c>
    </row>
    <row r="328">
      <c r="A328" s="3" t="str">
        <f>IFERROR(__xludf.DUMMYFUNCTION("""COMPUTED_VALUE"""),"Complexo do Pecém (CIPP S.A.)")</f>
        <v>Complexo do Pecém (CIPP S.A.)</v>
      </c>
      <c r="B328" s="3" t="str">
        <f>IFERROR(__xludf.DUMMYFUNCTION("""COMPUTED_VALUE"""),"Energy")</f>
        <v>Energy</v>
      </c>
    </row>
    <row r="329">
      <c r="A329" s="3" t="str">
        <f>IFERROR(__xludf.DUMMYFUNCTION("""COMPUTED_VALUE"""),"Hydrogen Council")</f>
        <v>Hydrogen Council</v>
      </c>
      <c r="B329" s="3" t="str">
        <f>IFERROR(__xludf.DUMMYFUNCTION("""COMPUTED_VALUE"""),"Buildings &amp; Transport")</f>
        <v>Buildings &amp; Transport</v>
      </c>
    </row>
    <row r="330">
      <c r="A330" s="3" t="str">
        <f>IFERROR(__xludf.DUMMYFUNCTION("""COMPUTED_VALUE"""),"Hydrogen Council")</f>
        <v>Hydrogen Council</v>
      </c>
      <c r="B330" s="3" t="str">
        <f>IFERROR(__xludf.DUMMYFUNCTION("""COMPUTED_VALUE"""),"Energy")</f>
        <v>Energy</v>
      </c>
    </row>
    <row r="331">
      <c r="A331" s="3" t="str">
        <f>IFERROR(__xludf.DUMMYFUNCTION("""COMPUTED_VALUE"""),"World Energy Council")</f>
        <v>World Energy Council</v>
      </c>
      <c r="B331" s="3" t="str">
        <f>IFERROR(__xludf.DUMMYFUNCTION("""COMPUTED_VALUE"""),"Energy")</f>
        <v>Energy</v>
      </c>
    </row>
    <row r="332">
      <c r="A332" s="3" t="str">
        <f>IFERROR(__xludf.DUMMYFUNCTION("""COMPUTED_VALUE"""),"Câmara Setorial de Energias Renováveis do Ceará (CS Renováveis/CE)")</f>
        <v>Câmara Setorial de Energias Renováveis do Ceará (CS Renováveis/CE)</v>
      </c>
      <c r="B332" s="3" t="str">
        <f>IFERROR(__xludf.DUMMYFUNCTION("""COMPUTED_VALUE"""),"Energy")</f>
        <v>Energy</v>
      </c>
    </row>
    <row r="333">
      <c r="A333" s="3" t="str">
        <f>IFERROR(__xludf.DUMMYFUNCTION("""COMPUTED_VALUE"""),"Glasgow Financial Alliance for Net Zero (GFANZ)")</f>
        <v>Glasgow Financial Alliance for Net Zero (GFANZ)</v>
      </c>
      <c r="B333" s="3" t="str">
        <f>IFERROR(__xludf.DUMMYFUNCTION("""COMPUTED_VALUE"""),"Buildings &amp; Transport")</f>
        <v>Buildings &amp; Transport</v>
      </c>
    </row>
    <row r="334">
      <c r="A334" s="3" t="str">
        <f>IFERROR(__xludf.DUMMYFUNCTION("""COMPUTED_VALUE"""),"Glasgow Financial Alliance for Net Zero (GFANZ)")</f>
        <v>Glasgow Financial Alliance for Net Zero (GFANZ)</v>
      </c>
      <c r="B334" s="3" t="str">
        <f>IFERROR(__xludf.DUMMYFUNCTION("""COMPUTED_VALUE"""),"Energy")</f>
        <v>Energy</v>
      </c>
    </row>
    <row r="335">
      <c r="A335" s="3" t="str">
        <f>IFERROR(__xludf.DUMMYFUNCTION("""COMPUTED_VALUE"""),"Centro Brasileiro de Relações Internacionais (CEBRI)")</f>
        <v>Centro Brasileiro de Relações Internacionais (CEBRI)</v>
      </c>
      <c r="B335" s="3" t="str">
        <f>IFERROR(__xludf.DUMMYFUNCTION("""COMPUTED_VALUE"""),"Buildings &amp; Transport")</f>
        <v>Buildings &amp; Transport</v>
      </c>
    </row>
    <row r="336">
      <c r="A336" s="3" t="str">
        <f>IFERROR(__xludf.DUMMYFUNCTION("""COMPUTED_VALUE"""),"Centro Brasileiro de Relações Internacionais (CEBRI)")</f>
        <v>Centro Brasileiro de Relações Internacionais (CEBRI)</v>
      </c>
      <c r="B336" s="3" t="str">
        <f>IFERROR(__xludf.DUMMYFUNCTION("""COMPUTED_VALUE"""),"Energy")</f>
        <v>Energy</v>
      </c>
    </row>
    <row r="337">
      <c r="A337" s="3" t="str">
        <f>IFERROR(__xludf.DUMMYFUNCTION("""COMPUTED_VALUE"""),"Centro Brasileiro de Relações Internacionais (CEBRI)")</f>
        <v>Centro Brasileiro de Relações Internacionais (CEBRI)</v>
      </c>
      <c r="B337" s="3" t="str">
        <f>IFERROR(__xludf.DUMMYFUNCTION("""COMPUTED_VALUE"""),"""Land, Food and Forest""")</f>
        <v>"Land, Food and Forest"</v>
      </c>
    </row>
    <row r="338">
      <c r="A338" s="3" t="str">
        <f>IFERROR(__xludf.DUMMYFUNCTION("""COMPUTED_VALUE"""),"Future Climate")</f>
        <v>Future Climate</v>
      </c>
      <c r="B338" s="3" t="str">
        <f>IFERROR(__xludf.DUMMYFUNCTION("""COMPUTED_VALUE"""),"Buildings &amp; Transport")</f>
        <v>Buildings &amp; Transport</v>
      </c>
    </row>
    <row r="339">
      <c r="A339" s="3" t="str">
        <f>IFERROR(__xludf.DUMMYFUNCTION("""COMPUTED_VALUE"""),"Future Climate")</f>
        <v>Future Climate</v>
      </c>
      <c r="B339" s="3" t="str">
        <f>IFERROR(__xludf.DUMMYFUNCTION("""COMPUTED_VALUE"""),"Energy")</f>
        <v>Energy</v>
      </c>
    </row>
    <row r="340">
      <c r="A340" s="3" t="str">
        <f>IFERROR(__xludf.DUMMYFUNCTION("""COMPUTED_VALUE"""),"Future Climate")</f>
        <v>Future Climate</v>
      </c>
      <c r="B340" s="3" t="str">
        <f>IFERROR(__xludf.DUMMYFUNCTION("""COMPUTED_VALUE"""),"""Land, Food and Forest""")</f>
        <v>"Land, Food and Forest"</v>
      </c>
    </row>
    <row r="341">
      <c r="A341" s="3" t="str">
        <f>IFERROR(__xludf.DUMMYFUNCTION("""COMPUTED_VALUE"""),"AS-PTA – Agricultura Familiar e Agroecologia (AS-PTA)")</f>
        <v>AS-PTA – Agricultura Familiar e Agroecologia (AS-PTA)</v>
      </c>
      <c r="B341" s="3" t="str">
        <f>IFERROR(__xludf.DUMMYFUNCTION("""COMPUTED_VALUE"""),"Energy")</f>
        <v>Energy</v>
      </c>
    </row>
    <row r="342">
      <c r="A342" s="3" t="str">
        <f>IFERROR(__xludf.DUMMYFUNCTION("""COMPUTED_VALUE"""),"AS-PTA – Agricultura Familiar e Agroecologia (AS-PTA)")</f>
        <v>AS-PTA – Agricultura Familiar e Agroecologia (AS-PTA)</v>
      </c>
      <c r="B342" s="3" t="str">
        <f>IFERROR(__xludf.DUMMYFUNCTION("""COMPUTED_VALUE"""),"""Land, Food and Forest""")</f>
        <v>"Land, Food and Forest"</v>
      </c>
    </row>
    <row r="343">
      <c r="A343" s="3" t="str">
        <f>IFERROR(__xludf.DUMMYFUNCTION("""COMPUTED_VALUE"""),"Associação Brasileira das Entidades dos Mercados Financeiro e de Capitais (ANBIMA)")</f>
        <v>Associação Brasileira das Entidades dos Mercados Financeiro e de Capitais (ANBIMA)</v>
      </c>
      <c r="B343" s="3" t="str">
        <f>IFERROR(__xludf.DUMMYFUNCTION("""COMPUTED_VALUE"""),"Buildings &amp; Transport")</f>
        <v>Buildings &amp; Transport</v>
      </c>
    </row>
    <row r="344">
      <c r="A344" s="3" t="str">
        <f>IFERROR(__xludf.DUMMYFUNCTION("""COMPUTED_VALUE"""),"Associação Brasileira das Entidades dos Mercados Financeiro e de Capitais (ANBIMA)")</f>
        <v>Associação Brasileira das Entidades dos Mercados Financeiro e de Capitais (ANBIMA)</v>
      </c>
      <c r="B344" s="3" t="str">
        <f>IFERROR(__xludf.DUMMYFUNCTION("""COMPUTED_VALUE"""),"Energy")</f>
        <v>Energy</v>
      </c>
    </row>
    <row r="345">
      <c r="A345" s="3" t="str">
        <f>IFERROR(__xludf.DUMMYFUNCTION("""COMPUTED_VALUE"""),"Associação Brasileira das Entidades dos Mercados Financeiro e de Capitais (ANBIMA)")</f>
        <v>Associação Brasileira das Entidades dos Mercados Financeiro e de Capitais (ANBIMA)</v>
      </c>
      <c r="B345" s="3" t="str">
        <f>IFERROR(__xludf.DUMMYFUNCTION("""COMPUTED_VALUE"""),"""Land, Food and Forest""")</f>
        <v>"Land, Food and Forest"</v>
      </c>
    </row>
    <row r="346">
      <c r="A346" s="3" t="str">
        <f>IFERROR(__xludf.DUMMYFUNCTION("""COMPUTED_VALUE"""),"C40 Cities (C40)")</f>
        <v>C40 Cities (C40)</v>
      </c>
      <c r="B346" s="3" t="str">
        <f>IFERROR(__xludf.DUMMYFUNCTION("""COMPUTED_VALUE"""),"Buildings &amp; Transport")</f>
        <v>Buildings &amp; Transport</v>
      </c>
    </row>
    <row r="347">
      <c r="A347" s="3" t="str">
        <f>IFERROR(__xludf.DUMMYFUNCTION("""COMPUTED_VALUE"""),"C40 Cities (C40)")</f>
        <v>C40 Cities (C40)</v>
      </c>
      <c r="B347" s="3" t="str">
        <f>IFERROR(__xludf.DUMMYFUNCTION("""COMPUTED_VALUE"""),"""Land, Food and Forest""")</f>
        <v>"Land, Food and Forest"</v>
      </c>
    </row>
    <row r="348">
      <c r="A348" s="3" t="str">
        <f>IFERROR(__xludf.DUMMYFUNCTION("""COMPUTED_VALUE"""),"Programa das Nações Unidas para os Assentamentos Humanos (ONU-Habitat)")</f>
        <v>Programa das Nações Unidas para os Assentamentos Humanos (ONU-Habitat)</v>
      </c>
      <c r="B348" s="3" t="str">
        <f>IFERROR(__xludf.DUMMYFUNCTION("""COMPUTED_VALUE"""),"Buildings &amp; Transport")</f>
        <v>Buildings &amp; Transport</v>
      </c>
    </row>
    <row r="349">
      <c r="A349" s="3" t="str">
        <f>IFERROR(__xludf.DUMMYFUNCTION("""COMPUTED_VALUE"""),"Programa das Nações Unidas para os Assentamentos Humanos (ONU-Habitat)")</f>
        <v>Programa das Nações Unidas para os Assentamentos Humanos (ONU-Habitat)</v>
      </c>
      <c r="B349" s="3" t="str">
        <f>IFERROR(__xludf.DUMMYFUNCTION("""COMPUTED_VALUE"""),"Emergency response")</f>
        <v>Emergency response</v>
      </c>
    </row>
    <row r="350">
      <c r="A350" s="3" t="str">
        <f>IFERROR(__xludf.DUMMYFUNCTION("""COMPUTED_VALUE"""),"Associação Nacional de Transportes Públicos (ANTP)")</f>
        <v>Associação Nacional de Transportes Públicos (ANTP)</v>
      </c>
      <c r="B350" s="3" t="str">
        <f>IFERROR(__xludf.DUMMYFUNCTION("""COMPUTED_VALUE"""),"Buildings &amp; Transport")</f>
        <v>Buildings &amp; Transport</v>
      </c>
    </row>
    <row r="351">
      <c r="A351" s="3" t="str">
        <f>IFERROR(__xludf.DUMMYFUNCTION("""COMPUTED_VALUE"""),"Governos Locais pela Sustentabilidade (ICLEI)")</f>
        <v>Governos Locais pela Sustentabilidade (ICLEI)</v>
      </c>
      <c r="B351" s="3" t="str">
        <f>IFERROR(__xludf.DUMMYFUNCTION("""COMPUTED_VALUE"""),"Buildings &amp; Transport")</f>
        <v>Buildings &amp; Transport</v>
      </c>
    </row>
    <row r="352">
      <c r="A352" s="3" t="str">
        <f>IFERROR(__xludf.DUMMYFUNCTION("""COMPUTED_VALUE"""),"Governos Locais pela Sustentabilidade (ICLEI)")</f>
        <v>Governos Locais pela Sustentabilidade (ICLEI)</v>
      </c>
      <c r="B352" s="3" t="str">
        <f>IFERROR(__xludf.DUMMYFUNCTION("""COMPUTED_VALUE"""),"Energy")</f>
        <v>Energy</v>
      </c>
    </row>
    <row r="353">
      <c r="A353" s="3" t="str">
        <f>IFERROR(__xludf.DUMMYFUNCTION("""COMPUTED_VALUE"""),"Governos Locais pela Sustentabilidade (ICLEI)")</f>
        <v>Governos Locais pela Sustentabilidade (ICLEI)</v>
      </c>
      <c r="B353" s="3" t="str">
        <f>IFERROR(__xludf.DUMMYFUNCTION("""COMPUTED_VALUE"""),"""Land, Food and Forest""")</f>
        <v>"Land, Food and Forest"</v>
      </c>
    </row>
    <row r="354">
      <c r="A354" s="3" t="str">
        <f>IFERROR(__xludf.DUMMYFUNCTION("""COMPUTED_VALUE"""),"Programa das Nações Unidas para o Meio Ambiente (PNUMA)")</f>
        <v>Programa das Nações Unidas para o Meio Ambiente (PNUMA)</v>
      </c>
      <c r="B354" s="3" t="str">
        <f>IFERROR(__xludf.DUMMYFUNCTION("""COMPUTED_VALUE"""),"Buildings &amp; Transport")</f>
        <v>Buildings &amp; Transport</v>
      </c>
    </row>
    <row r="355">
      <c r="A355" s="3" t="str">
        <f>IFERROR(__xludf.DUMMYFUNCTION("""COMPUTED_VALUE"""),"Programa das Nações Unidas para o Meio Ambiente (PNUMA)")</f>
        <v>Programa das Nações Unidas para o Meio Ambiente (PNUMA)</v>
      </c>
      <c r="B355" s="3" t="str">
        <f>IFERROR(__xludf.DUMMYFUNCTION("""COMPUTED_VALUE"""),"Energy")</f>
        <v>Energy</v>
      </c>
    </row>
    <row r="356">
      <c r="A356" s="3" t="str">
        <f>IFERROR(__xludf.DUMMYFUNCTION("""COMPUTED_VALUE"""),"Programa das Nações Unidas para o Meio Ambiente (PNUMA)")</f>
        <v>Programa das Nações Unidas para o Meio Ambiente (PNUMA)</v>
      </c>
      <c r="B356" s="3" t="str">
        <f>IFERROR(__xludf.DUMMYFUNCTION("""COMPUTED_VALUE"""),"""Land, Food and Forest""")</f>
        <v>"Land, Food and Forest"</v>
      </c>
    </row>
    <row r="357">
      <c r="A357" s="3" t="str">
        <f>IFERROR(__xludf.DUMMYFUNCTION("""COMPUTED_VALUE"""),"Associação Brasileira das Empresas de Serviços de Conservação de Energia (ABESCO)")</f>
        <v>Associação Brasileira das Empresas de Serviços de Conservação de Energia (ABESCO)</v>
      </c>
      <c r="B357" s="3" t="str">
        <f>IFERROR(__xludf.DUMMYFUNCTION("""COMPUTED_VALUE"""),"Buildings &amp; Transport")</f>
        <v>Buildings &amp; Transport</v>
      </c>
    </row>
    <row r="358">
      <c r="A358" s="3" t="str">
        <f>IFERROR(__xludf.DUMMYFUNCTION("""COMPUTED_VALUE"""),"Associação Brasileira das Empresas de Serviços de Conservação de Energia (ABESCO)")</f>
        <v>Associação Brasileira das Empresas de Serviços de Conservação de Energia (ABESCO)</v>
      </c>
      <c r="B358" s="3" t="str">
        <f>IFERROR(__xludf.DUMMYFUNCTION("""COMPUTED_VALUE"""),"Energy")</f>
        <v>Energy</v>
      </c>
    </row>
    <row r="359">
      <c r="A359" s="3" t="str">
        <f>IFERROR(__xludf.DUMMYFUNCTION("""COMPUTED_VALUE"""),"Associação Nacional das Empresas de Transportes Urbanos (NTU)")</f>
        <v>Associação Nacional das Empresas de Transportes Urbanos (NTU)</v>
      </c>
      <c r="B359" s="3" t="str">
        <f>IFERROR(__xludf.DUMMYFUNCTION("""COMPUTED_VALUE"""),"Buildings &amp; Transport")</f>
        <v>Buildings &amp; Transport</v>
      </c>
    </row>
    <row r="360">
      <c r="A360" s="3" t="str">
        <f>IFERROR(__xludf.DUMMYFUNCTION("""COMPUTED_VALUE"""),"Instituto Nacional de Pesquisas Espaciais (INPE)")</f>
        <v>Instituto Nacional de Pesquisas Espaciais (INPE)</v>
      </c>
      <c r="B360" s="3" t="str">
        <f>IFERROR(__xludf.DUMMYFUNCTION("""COMPUTED_VALUE"""),"""Land, Food and Forest""")</f>
        <v>"Land, Food and Forest"</v>
      </c>
    </row>
    <row r="361">
      <c r="A361" s="3" t="str">
        <f>IFERROR(__xludf.DUMMYFUNCTION("""COMPUTED_VALUE"""),"Coalizão Brasil Clima, Florestas e Agricultura")</f>
        <v>Coalizão Brasil Clima, Florestas e Agricultura</v>
      </c>
      <c r="B361" s="3" t="str">
        <f>IFERROR(__xludf.DUMMYFUNCTION("""COMPUTED_VALUE"""),"""Land, Food and Forest""")</f>
        <v>"Land, Food and Forest"</v>
      </c>
    </row>
    <row r="362">
      <c r="A362" s="3" t="str">
        <f>IFERROR(__xludf.DUMMYFUNCTION("""COMPUTED_VALUE"""),"Sustainable Energy for All (SEforALL)")</f>
        <v>Sustainable Energy for All (SEforALL)</v>
      </c>
      <c r="B362" s="3" t="str">
        <f>IFERROR(__xludf.DUMMYFUNCTION("""COMPUTED_VALUE"""),"Energy")</f>
        <v>Energy</v>
      </c>
    </row>
    <row r="363">
      <c r="A363" s="3" t="str">
        <f>IFERROR(__xludf.DUMMYFUNCTION("""COMPUTED_VALUE"""),"Global Covenant of Mayors for Climate &amp; Energy")</f>
        <v>Global Covenant of Mayors for Climate &amp; Energy</v>
      </c>
      <c r="B363" s="3" t="str">
        <f>IFERROR(__xludf.DUMMYFUNCTION("""COMPUTED_VALUE"""),"Buildings &amp; Transport")</f>
        <v>Buildings &amp; Transport</v>
      </c>
    </row>
    <row r="364">
      <c r="A364" s="3" t="str">
        <f>IFERROR(__xludf.DUMMYFUNCTION("""COMPUTED_VALUE"""),"Global Covenant of Mayors for Climate &amp; Energy")</f>
        <v>Global Covenant of Mayors for Climate &amp; Energy</v>
      </c>
      <c r="B364" s="3" t="str">
        <f>IFERROR(__xludf.DUMMYFUNCTION("""COMPUTED_VALUE"""),"Energy")</f>
        <v>Energy</v>
      </c>
    </row>
    <row r="365">
      <c r="A365" s="3" t="str">
        <f>IFERROR(__xludf.DUMMYFUNCTION("""COMPUTED_VALUE"""),"Organização para a Cooperação e Desenvolvimento Econômico (OECD)")</f>
        <v>Organização para a Cooperação e Desenvolvimento Econômico (OECD)</v>
      </c>
      <c r="B365" s="3" t="str">
        <f>IFERROR(__xludf.DUMMYFUNCTION("""COMPUTED_VALUE"""),"Buildings &amp; Transport")</f>
        <v>Buildings &amp; Transport</v>
      </c>
    </row>
    <row r="366">
      <c r="A366" s="3" t="str">
        <f>IFERROR(__xludf.DUMMYFUNCTION("""COMPUTED_VALUE"""),"Organização para a Cooperação e Desenvolvimento Econômico (OECD)")</f>
        <v>Organização para a Cooperação e Desenvolvimento Econômico (OECD)</v>
      </c>
      <c r="B366" s="3" t="str">
        <f>IFERROR(__xludf.DUMMYFUNCTION("""COMPUTED_VALUE"""),"Energy")</f>
        <v>Energy</v>
      </c>
    </row>
    <row r="367">
      <c r="A367" s="3" t="str">
        <f>IFERROR(__xludf.DUMMYFUNCTION("""COMPUTED_VALUE"""),"Organização para a Cooperação e Desenvolvimento Econômico (OECD)")</f>
        <v>Organização para a Cooperação e Desenvolvimento Econômico (OECD)</v>
      </c>
      <c r="B367" s="3" t="str">
        <f>IFERROR(__xludf.DUMMYFUNCTION("""COMPUTED_VALUE"""),"""Land, Food and Forest""")</f>
        <v>"Land, Food and Forest"</v>
      </c>
    </row>
    <row r="368">
      <c r="A368" s="3" t="str">
        <f>IFERROR(__xludf.DUMMYFUNCTION("""COMPUTED_VALUE"""),"Centro Internacional de Pesquisa Florestal e Agroflorestal (CIFOR-ICRAF)")</f>
        <v>Centro Internacional de Pesquisa Florestal e Agroflorestal (CIFOR-ICRAF)</v>
      </c>
      <c r="B368" s="3" t="str">
        <f>IFERROR(__xludf.DUMMYFUNCTION("""COMPUTED_VALUE"""),"""Land, Food and Forest""")</f>
        <v>"Land, Food and Forest"</v>
      </c>
    </row>
    <row r="369">
      <c r="A369" s="3" t="str">
        <f>IFERROR(__xludf.DUMMYFUNCTION("""COMPUTED_VALUE"""),"Organização das Cooperativas Brasileiras (OCB)")</f>
        <v>Organização das Cooperativas Brasileiras (OCB)</v>
      </c>
      <c r="B369" s="3" t="str">
        <f>IFERROR(__xludf.DUMMYFUNCTION("""COMPUTED_VALUE"""),"Buildings &amp; Transport")</f>
        <v>Buildings &amp; Transport</v>
      </c>
    </row>
    <row r="370">
      <c r="A370" s="3" t="str">
        <f>IFERROR(__xludf.DUMMYFUNCTION("""COMPUTED_VALUE"""),"Organização das Cooperativas Brasileiras (OCB)")</f>
        <v>Organização das Cooperativas Brasileiras (OCB)</v>
      </c>
      <c r="B370" s="3" t="str">
        <f>IFERROR(__xludf.DUMMYFUNCTION("""COMPUTED_VALUE"""),"Energy")</f>
        <v>Energy</v>
      </c>
    </row>
    <row r="371">
      <c r="A371" s="3" t="str">
        <f>IFERROR(__xludf.DUMMYFUNCTION("""COMPUTED_VALUE"""),"Organização das Cooperativas Brasileiras (OCB)")</f>
        <v>Organização das Cooperativas Brasileiras (OCB)</v>
      </c>
      <c r="B371" s="3" t="str">
        <f>IFERROR(__xludf.DUMMYFUNCTION("""COMPUTED_VALUE"""),"""Land, Food and Forest""")</f>
        <v>"Land, Food and Forest"</v>
      </c>
    </row>
    <row r="372">
      <c r="A372" s="3" t="str">
        <f>IFERROR(__xludf.DUMMYFUNCTION("""COMPUTED_VALUE"""),"Fundo Internacional de Desenvolvimento Agrícola (IFAD)")</f>
        <v>Fundo Internacional de Desenvolvimento Agrícola (IFAD)</v>
      </c>
      <c r="B372" s="3" t="str">
        <f>IFERROR(__xludf.DUMMYFUNCTION("""COMPUTED_VALUE"""),"""Land, Food and Forest""")</f>
        <v>"Land, Food and Forest"</v>
      </c>
    </row>
    <row r="373">
      <c r="A373" s="3" t="str">
        <f>IFERROR(__xludf.DUMMYFUNCTION("""COMPUTED_VALUE"""),"Wellcome Trust")</f>
        <v>Wellcome Trust</v>
      </c>
      <c r="B373" s="3" t="str">
        <f>IFERROR(__xludf.DUMMYFUNCTION("""COMPUTED_VALUE"""),"Emergency response")</f>
        <v>Emergency response</v>
      </c>
    </row>
    <row r="374">
      <c r="A374" s="3" t="str">
        <f>IFERROR(__xludf.DUMMYFUNCTION("""COMPUTED_VALUE"""),"Associação Caatinga")</f>
        <v>Associação Caatinga</v>
      </c>
      <c r="B374" s="3" t="str">
        <f>IFERROR(__xludf.DUMMYFUNCTION("""COMPUTED_VALUE"""),"""Land, Food and Forest""")</f>
        <v>"Land, Food and Forest"</v>
      </c>
    </row>
    <row r="375">
      <c r="A375" s="3" t="str">
        <f>IFERROR(__xludf.DUMMYFUNCTION("""COMPUTED_VALUE"""),"Fundo Constitucional de Financiamento do Nordeste (FNE)")</f>
        <v>Fundo Constitucional de Financiamento do Nordeste (FNE)</v>
      </c>
      <c r="B375" s="3" t="str">
        <f>IFERROR(__xludf.DUMMYFUNCTION("""COMPUTED_VALUE"""),"Buildings &amp; Transport")</f>
        <v>Buildings &amp; Transport</v>
      </c>
    </row>
    <row r="376">
      <c r="A376" s="3" t="str">
        <f>IFERROR(__xludf.DUMMYFUNCTION("""COMPUTED_VALUE"""),"Fundo Constitucional de Financiamento do Nordeste (FNE)")</f>
        <v>Fundo Constitucional de Financiamento do Nordeste (FNE)</v>
      </c>
      <c r="B376" s="3" t="str">
        <f>IFERROR(__xludf.DUMMYFUNCTION("""COMPUTED_VALUE"""),"Energy")</f>
        <v>Energy</v>
      </c>
    </row>
    <row r="377">
      <c r="A377" s="3" t="str">
        <f>IFERROR(__xludf.DUMMYFUNCTION("""COMPUTED_VALUE"""),"Fundo Constitucional de Financiamento do Nordeste (FNE)")</f>
        <v>Fundo Constitucional de Financiamento do Nordeste (FNE)</v>
      </c>
      <c r="B377" s="3" t="str">
        <f>IFERROR(__xludf.DUMMYFUNCTION("""COMPUTED_VALUE"""),"""Land, Food and Forest""")</f>
        <v>"Land, Food and Forest"</v>
      </c>
    </row>
    <row r="378">
      <c r="A378" s="3" t="str">
        <f>IFERROR(__xludf.DUMMYFUNCTION("""COMPUTED_VALUE"""),"Articulação Semiárido Brasileiro (ASA Brasil)")</f>
        <v>Articulação Semiárido Brasileiro (ASA Brasil)</v>
      </c>
      <c r="B378" s="3" t="str">
        <f>IFERROR(__xludf.DUMMYFUNCTION("""COMPUTED_VALUE"""),"""Land, Food and Forest""")</f>
        <v>"Land, Food and Forest"</v>
      </c>
    </row>
    <row r="379">
      <c r="A379" s="3" t="str">
        <f>IFERROR(__xludf.DUMMYFUNCTION("""COMPUTED_VALUE"""),"Fundação Araripe")</f>
        <v>Fundação Araripe</v>
      </c>
      <c r="B379" s="3" t="str">
        <f>IFERROR(__xludf.DUMMYFUNCTION("""COMPUTED_VALUE"""),"""Land, Food and Forest""")</f>
        <v>"Land, Food and Forest"</v>
      </c>
    </row>
    <row r="380">
      <c r="A380" s="3" t="str">
        <f>IFERROR(__xludf.DUMMYFUNCTION("""COMPUTED_VALUE"""),"Centro de Manejo de Fauna da Caatinga (CEMAFauna)")</f>
        <v>Centro de Manejo de Fauna da Caatinga (CEMAFauna)</v>
      </c>
      <c r="B380" s="3" t="str">
        <f>IFERROR(__xludf.DUMMYFUNCTION("""COMPUTED_VALUE"""),"""Land, Food and Forest""")</f>
        <v>"Land, Food and Forest"</v>
      </c>
    </row>
    <row r="381">
      <c r="A381" s="3" t="str">
        <f>IFERROR(__xludf.DUMMYFUNCTION("""COMPUTED_VALUE"""),"Instituto Regional da Pequena Agropecuária Apropriada (IRPAA)")</f>
        <v>Instituto Regional da Pequena Agropecuária Apropriada (IRPAA)</v>
      </c>
      <c r="B381" s="3" t="str">
        <f>IFERROR(__xludf.DUMMYFUNCTION("""COMPUTED_VALUE"""),"""Land, Food and Forest""")</f>
        <v>"Land, Food and Forest"</v>
      </c>
    </row>
    <row r="382">
      <c r="A382" s="3" t="str">
        <f>IFERROR(__xludf.DUMMYFUNCTION("""COMPUTED_VALUE"""),"Global Energy Alliance for People and Planet (GEAPP)")</f>
        <v>Global Energy Alliance for People and Planet (GEAPP)</v>
      </c>
      <c r="B382" s="3" t="str">
        <f>IFERROR(__xludf.DUMMYFUNCTION("""COMPUTED_VALUE"""),"Energy")</f>
        <v>Energy</v>
      </c>
    </row>
    <row r="383">
      <c r="A383" s="3" t="str">
        <f>IFERROR(__xludf.DUMMYFUNCTION("""COMPUTED_VALUE"""),"Banco Nacional de Desenvolvimento Econômico e Social (BNDES)")</f>
        <v>Banco Nacional de Desenvolvimento Econômico e Social (BNDES)</v>
      </c>
      <c r="B383" s="3" t="str">
        <f>IFERROR(__xludf.DUMMYFUNCTION("""COMPUTED_VALUE"""),"Buildings &amp; Transport")</f>
        <v>Buildings &amp; Transport</v>
      </c>
    </row>
    <row r="384">
      <c r="A384" s="3" t="str">
        <f>IFERROR(__xludf.DUMMYFUNCTION("""COMPUTED_VALUE"""),"Banco Nacional de Desenvolvimento Econômico e Social (BNDES)")</f>
        <v>Banco Nacional de Desenvolvimento Econômico e Social (BNDES)</v>
      </c>
      <c r="B384" s="3" t="str">
        <f>IFERROR(__xludf.DUMMYFUNCTION("""COMPUTED_VALUE"""),"Emergency response")</f>
        <v>Emergency response</v>
      </c>
    </row>
    <row r="385">
      <c r="A385" s="3" t="str">
        <f>IFERROR(__xludf.DUMMYFUNCTION("""COMPUTED_VALUE"""),"Banco Nacional de Desenvolvimento Econômico e Social (BNDES)")</f>
        <v>Banco Nacional de Desenvolvimento Econômico e Social (BNDES)</v>
      </c>
      <c r="B385" s="3" t="str">
        <f>IFERROR(__xludf.DUMMYFUNCTION("""COMPUTED_VALUE"""),"Energy")</f>
        <v>Energy</v>
      </c>
    </row>
    <row r="386">
      <c r="A386" s="3" t="str">
        <f>IFERROR(__xludf.DUMMYFUNCTION("""COMPUTED_VALUE"""),"Banco Nacional de Desenvolvimento Econômico e Social (BNDES)")</f>
        <v>Banco Nacional de Desenvolvimento Econômico e Social (BNDES)</v>
      </c>
      <c r="B386" s="3" t="str">
        <f>IFERROR(__xludf.DUMMYFUNCTION("""COMPUTED_VALUE"""),"""Land, Food and Forest""")</f>
        <v>"Land, Food and Forest"</v>
      </c>
    </row>
    <row r="387">
      <c r="A387" s="3" t="str">
        <f>IFERROR(__xludf.DUMMYFUNCTION("""COMPUTED_VALUE"""),"Banco do Nordeste (BNB)")</f>
        <v>Banco do Nordeste (BNB)</v>
      </c>
      <c r="B387" s="3" t="str">
        <f>IFERROR(__xludf.DUMMYFUNCTION("""COMPUTED_VALUE"""),"Buildings &amp; Transport")</f>
        <v>Buildings &amp; Transport</v>
      </c>
    </row>
    <row r="388">
      <c r="A388" s="3" t="str">
        <f>IFERROR(__xludf.DUMMYFUNCTION("""COMPUTED_VALUE"""),"Banco do Nordeste (BNB)")</f>
        <v>Banco do Nordeste (BNB)</v>
      </c>
      <c r="B388" s="3" t="str">
        <f>IFERROR(__xludf.DUMMYFUNCTION("""COMPUTED_VALUE"""),"Energy")</f>
        <v>Energy</v>
      </c>
    </row>
    <row r="389">
      <c r="A389" s="3" t="str">
        <f>IFERROR(__xludf.DUMMYFUNCTION("""COMPUTED_VALUE"""),"Banco do Nordeste (BNB)")</f>
        <v>Banco do Nordeste (BNB)</v>
      </c>
      <c r="B389" s="3" t="str">
        <f>IFERROR(__xludf.DUMMYFUNCTION("""COMPUTED_VALUE"""),"""Land, Food and Forest""")</f>
        <v>"Land, Food and Forest"</v>
      </c>
    </row>
    <row r="390">
      <c r="A390" s="3" t="str">
        <f>IFERROR(__xludf.DUMMYFUNCTION("""COMPUTED_VALUE"""),"Banco do Brasil (BB)")</f>
        <v>Banco do Brasil (BB)</v>
      </c>
      <c r="B390" s="3" t="str">
        <f>IFERROR(__xludf.DUMMYFUNCTION("""COMPUTED_VALUE"""),"Buildings &amp; Transport")</f>
        <v>Buildings &amp; Transport</v>
      </c>
    </row>
    <row r="391">
      <c r="A391" s="3" t="str">
        <f>IFERROR(__xludf.DUMMYFUNCTION("""COMPUTED_VALUE"""),"Banco do Brasil (BB)")</f>
        <v>Banco do Brasil (BB)</v>
      </c>
      <c r="B391" s="3" t="str">
        <f>IFERROR(__xludf.DUMMYFUNCTION("""COMPUTED_VALUE"""),"Energy")</f>
        <v>Energy</v>
      </c>
    </row>
    <row r="392">
      <c r="A392" s="3" t="str">
        <f>IFERROR(__xludf.DUMMYFUNCTION("""COMPUTED_VALUE"""),"Banco do Brasil (BB)")</f>
        <v>Banco do Brasil (BB)</v>
      </c>
      <c r="B392" s="3" t="str">
        <f>IFERROR(__xludf.DUMMYFUNCTION("""COMPUTED_VALUE"""),"""Land, Food and Forest""")</f>
        <v>"Land, Food and Forest"</v>
      </c>
    </row>
    <row r="393">
      <c r="A393" s="3" t="str">
        <f>IFERROR(__xludf.DUMMYFUNCTION("""COMPUTED_VALUE"""),"Câmara de Comercialização de Energia Elétrica (CCEE)")</f>
        <v>Câmara de Comercialização de Energia Elétrica (CCEE)</v>
      </c>
      <c r="B393" s="3" t="str">
        <f>IFERROR(__xludf.DUMMYFUNCTION("""COMPUTED_VALUE"""),"Energy")</f>
        <v>Energy</v>
      </c>
    </row>
    <row r="394">
      <c r="A394" s="3" t="str">
        <f>IFERROR(__xludf.DUMMYFUNCTION("""COMPUTED_VALUE"""),"Agência Nacional do Petróleo, Gás Natural e Biocombustíveis (ANP)")</f>
        <v>Agência Nacional do Petróleo, Gás Natural e Biocombustíveis (ANP)</v>
      </c>
      <c r="B394" s="3" t="str">
        <f>IFERROR(__xludf.DUMMYFUNCTION("""COMPUTED_VALUE"""),"Buildings &amp; Transport")</f>
        <v>Buildings &amp; Transport</v>
      </c>
    </row>
    <row r="395">
      <c r="A395" s="3" t="str">
        <f>IFERROR(__xludf.DUMMYFUNCTION("""COMPUTED_VALUE"""),"Agência Nacional do Petróleo, Gás Natural e Biocombustíveis (ANP)")</f>
        <v>Agência Nacional do Petróleo, Gás Natural e Biocombustíveis (ANP)</v>
      </c>
      <c r="B395" s="3" t="str">
        <f>IFERROR(__xludf.DUMMYFUNCTION("""COMPUTED_VALUE"""),"Energy")</f>
        <v>Energy</v>
      </c>
    </row>
    <row r="396">
      <c r="A396" s="3" t="str">
        <f>IFERROR(__xludf.DUMMYFUNCTION("""COMPUTED_VALUE"""),"Agência Nacional de Águas e Saneamento Básico (ANA)")</f>
        <v>Agência Nacional de Águas e Saneamento Básico (ANA)</v>
      </c>
      <c r="B396" s="3" t="str">
        <f>IFERROR(__xludf.DUMMYFUNCTION("""COMPUTED_VALUE"""),"Buildings &amp; Transport")</f>
        <v>Buildings &amp; Transport</v>
      </c>
    </row>
    <row r="397">
      <c r="A397" s="3" t="str">
        <f>IFERROR(__xludf.DUMMYFUNCTION("""COMPUTED_VALUE"""),"Agência Nacional de Águas e Saneamento Básico (ANA)")</f>
        <v>Agência Nacional de Águas e Saneamento Básico (ANA)</v>
      </c>
      <c r="B397" s="3" t="str">
        <f>IFERROR(__xludf.DUMMYFUNCTION("""COMPUTED_VALUE"""),"Energy")</f>
        <v>Energy</v>
      </c>
    </row>
    <row r="398">
      <c r="A398" s="3" t="str">
        <f>IFERROR(__xludf.DUMMYFUNCTION("""COMPUTED_VALUE"""),"Agência Nacional de Águas e Saneamento Básico (ANA)")</f>
        <v>Agência Nacional de Águas e Saneamento Básico (ANA)</v>
      </c>
      <c r="B398" s="3" t="str">
        <f>IFERROR(__xludf.DUMMYFUNCTION("""COMPUTED_VALUE"""),"""Land, Food and Forest""")</f>
        <v>"Land, Food and Forest"</v>
      </c>
    </row>
    <row r="399">
      <c r="A399" s="3" t="str">
        <f>IFERROR(__xludf.DUMMYFUNCTION("""COMPUTED_VALUE"""),"MapBiomas (MapBiomas)")</f>
        <v>MapBiomas (MapBiomas)</v>
      </c>
      <c r="B399" s="3" t="str">
        <f>IFERROR(__xludf.DUMMYFUNCTION("""COMPUTED_VALUE"""),"""Land, Food and Forest""")</f>
        <v>"Land, Food and Forest"</v>
      </c>
    </row>
    <row r="400">
      <c r="A400" s="3" t="str">
        <f>IFERROR(__xludf.DUMMYFUNCTION("""COMPUTED_VALUE"""),"Instituto Nacional do Semiárido (INSA)")</f>
        <v>Instituto Nacional do Semiárido (INSA)</v>
      </c>
      <c r="B400" s="3" t="str">
        <f>IFERROR(__xludf.DUMMYFUNCTION("""COMPUTED_VALUE"""),"""Land, Food and Forest""")</f>
        <v>"Land, Food and Forest"</v>
      </c>
    </row>
    <row r="401">
      <c r="A401" s="3" t="str">
        <f>IFERROR(__xludf.DUMMYFUNCTION("""COMPUTED_VALUE"""),"Instituto de Desenvolvimento Sustentável Mamirauá (IDSM)")</f>
        <v>Instituto de Desenvolvimento Sustentável Mamirauá (IDSM)</v>
      </c>
      <c r="B401" s="3" t="str">
        <f>IFERROR(__xludf.DUMMYFUNCTION("""COMPUTED_VALUE"""),"""Land, Food and Forest""")</f>
        <v>"Land, Food and Forest"</v>
      </c>
    </row>
    <row r="402">
      <c r="A402" s="3" t="str">
        <f>IFERROR(__xludf.DUMMYFUNCTION("""COMPUTED_VALUE"""),"Instituto Centro de Vida (ICV)")</f>
        <v>Instituto Centro de Vida (ICV)</v>
      </c>
      <c r="B402" s="3" t="str">
        <f>IFERROR(__xludf.DUMMYFUNCTION("""COMPUTED_VALUE"""),"""Land, Food and Forest""")</f>
        <v>"Land, Food and Forest"</v>
      </c>
    </row>
    <row r="403">
      <c r="A403" s="3" t="str">
        <f>IFERROR(__xludf.DUMMYFUNCTION("""COMPUTED_VALUE"""),"Instituto Internacional de Educação do Brasil (IEB)")</f>
        <v>Instituto Internacional de Educação do Brasil (IEB)</v>
      </c>
      <c r="B403" s="3" t="str">
        <f>IFERROR(__xludf.DUMMYFUNCTION("""COMPUTED_VALUE"""),"""Land, Food and Forest""")</f>
        <v>"Land, Food and Forest"</v>
      </c>
    </row>
    <row r="404">
      <c r="A404" s="3" t="str">
        <f>IFERROR(__xludf.DUMMYFUNCTION("""COMPUTED_VALUE"""),"Fundação Vitória Amazônica (FVA)")</f>
        <v>Fundação Vitória Amazônica (FVA)</v>
      </c>
      <c r="B404" s="3" t="str">
        <f>IFERROR(__xludf.DUMMYFUNCTION("""COMPUTED_VALUE"""),"""Land, Food and Forest""")</f>
        <v>"Land, Food and Forest"</v>
      </c>
    </row>
    <row r="405">
      <c r="A405" s="3" t="str">
        <f>IFERROR(__xludf.DUMMYFUNCTION("""COMPUTED_VALUE"""),"Instituto Ouro Verde (IOV)")</f>
        <v>Instituto Ouro Verde (IOV)</v>
      </c>
      <c r="B405" s="3" t="str">
        <f>IFERROR(__xludf.DUMMYFUNCTION("""COMPUTED_VALUE"""),"""Land, Food and Forest""")</f>
        <v>"Land, Food and Forest"</v>
      </c>
    </row>
    <row r="406">
      <c r="A406" s="3" t="str">
        <f>IFERROR(__xludf.DUMMYFUNCTION("""COMPUTED_VALUE"""),"Instituto Sociedade, População e Natureza (ISPN)")</f>
        <v>Instituto Sociedade, População e Natureza (ISPN)</v>
      </c>
      <c r="B406" s="3" t="str">
        <f>IFERROR(__xludf.DUMMYFUNCTION("""COMPUTED_VALUE"""),"""Land, Food and Forest""")</f>
        <v>"Land, Food and Forest"</v>
      </c>
    </row>
    <row r="407">
      <c r="A407" s="3" t="str">
        <f>IFERROR(__xludf.DUMMYFUNCTION("""COMPUTED_VALUE"""),"Rede Cerrado (Rede Cerrado)")</f>
        <v>Rede Cerrado (Rede Cerrado)</v>
      </c>
      <c r="B407" s="3" t="str">
        <f>IFERROR(__xludf.DUMMYFUNCTION("""COMPUTED_VALUE"""),"""Land, Food and Forest""")</f>
        <v>"Land, Food and Forest"</v>
      </c>
    </row>
    <row r="408">
      <c r="A408" s="3" t="str">
        <f>IFERROR(__xludf.DUMMYFUNCTION("""COMPUTED_VALUE"""),"Associação Brasileira de Geração Distribuída (ABGD)")</f>
        <v>Associação Brasileira de Geração Distribuída (ABGD)</v>
      </c>
      <c r="B408" s="3" t="str">
        <f>IFERROR(__xludf.DUMMYFUNCTION("""COMPUTED_VALUE"""),"Energy")</f>
        <v>Energy</v>
      </c>
    </row>
    <row r="409">
      <c r="A409" s="3" t="str">
        <f>IFERROR(__xludf.DUMMYFUNCTION("""COMPUTED_VALUE"""),"Associação Brasileira do Veículo Elétrico (ABVE)")</f>
        <v>Associação Brasileira do Veículo Elétrico (ABVE)</v>
      </c>
      <c r="B409" s="3" t="str">
        <f>IFERROR(__xludf.DUMMYFUNCTION("""COMPUTED_VALUE"""),"Buildings &amp; Transport")</f>
        <v>Buildings &amp; Transport</v>
      </c>
    </row>
    <row r="410">
      <c r="A410" s="3" t="str">
        <f>IFERROR(__xludf.DUMMYFUNCTION("""COMPUTED_VALUE"""),"Associação Brasileira do Veículo Elétrico (ABVE)")</f>
        <v>Associação Brasileira do Veículo Elétrico (ABVE)</v>
      </c>
      <c r="B410" s="3" t="str">
        <f>IFERROR(__xludf.DUMMYFUNCTION("""COMPUTED_VALUE"""),"Energy")</f>
        <v>Energy</v>
      </c>
    </row>
    <row r="411">
      <c r="A411" s="3" t="str">
        <f>IFERROR(__xludf.DUMMYFUNCTION("""COMPUTED_VALUE"""),"Confederação Nacional do Transporte (CNT)")</f>
        <v>Confederação Nacional do Transporte (CNT)</v>
      </c>
      <c r="B411" s="3" t="str">
        <f>IFERROR(__xludf.DUMMYFUNCTION("""COMPUTED_VALUE"""),"Buildings &amp; Transport")</f>
        <v>Buildings &amp; Transport</v>
      </c>
    </row>
    <row r="412">
      <c r="A412" s="3" t="str">
        <f>IFERROR(__xludf.DUMMYFUNCTION("""COMPUTED_VALUE"""),"Departamento Nacional de Infraestrutura de Transportes (DNIT)")</f>
        <v>Departamento Nacional de Infraestrutura de Transportes (DNIT)</v>
      </c>
      <c r="B412" s="3" t="str">
        <f>IFERROR(__xludf.DUMMYFUNCTION("""COMPUTED_VALUE"""),"Buildings &amp; Transport")</f>
        <v>Buildings &amp; Transport</v>
      </c>
    </row>
    <row r="413">
      <c r="A413" s="3" t="str">
        <f>IFERROR(__xludf.DUMMYFUNCTION("""COMPUTED_VALUE"""),"Agência Nacional de Aviação Civil (ANAC)")</f>
        <v>Agência Nacional de Aviação Civil (ANAC)</v>
      </c>
      <c r="B413" s="3" t="str">
        <f>IFERROR(__xludf.DUMMYFUNCTION("""COMPUTED_VALUE"""),"Buildings &amp; Transport")</f>
        <v>Buildings &amp; Transport</v>
      </c>
    </row>
    <row r="414">
      <c r="A414" s="3" t="str">
        <f>IFERROR(__xludf.DUMMYFUNCTION("""COMPUTED_VALUE"""),"Câmara Brasileira da Indústria da Construção (CBIC)")</f>
        <v>Câmara Brasileira da Indústria da Construção (CBIC)</v>
      </c>
      <c r="B414" s="3" t="str">
        <f>IFERROR(__xludf.DUMMYFUNCTION("""COMPUTED_VALUE"""),"Buildings &amp; Transport")</f>
        <v>Buildings &amp; Transport</v>
      </c>
    </row>
    <row r="415">
      <c r="A415" s="3" t="str">
        <f>IFERROR(__xludf.DUMMYFUNCTION("""COMPUTED_VALUE"""),"Conselho de Arquitetura e Urbanismo do Brasil (CAU/BR)")</f>
        <v>Conselho de Arquitetura e Urbanismo do Brasil (CAU/BR)</v>
      </c>
      <c r="B415" s="3" t="str">
        <f>IFERROR(__xludf.DUMMYFUNCTION("""COMPUTED_VALUE"""),"Buildings &amp; Transport")</f>
        <v>Buildings &amp; Transport</v>
      </c>
    </row>
    <row r="416">
      <c r="A416" s="3" t="str">
        <f>IFERROR(__xludf.DUMMYFUNCTION("""COMPUTED_VALUE"""),"Conselho Federal de Engenharia e Agronomia (Confea)")</f>
        <v>Conselho Federal de Engenharia e Agronomia (Confea)</v>
      </c>
      <c r="B416" s="3" t="str">
        <f>IFERROR(__xludf.DUMMYFUNCTION("""COMPUTED_VALUE"""),"""Land, Food and Forest""")</f>
        <v>"Land, Food and Forest"</v>
      </c>
    </row>
    <row r="417">
      <c r="A417" s="3" t="str">
        <f>IFERROR(__xludf.DUMMYFUNCTION("""COMPUTED_VALUE"""),"Serviço Brasileiro de Apoio às Micro e Pequenas Empresas (SEBRAE)")</f>
        <v>Serviço Brasileiro de Apoio às Micro e Pequenas Empresas (SEBRAE)</v>
      </c>
      <c r="B417" s="3" t="str">
        <f>IFERROR(__xludf.DUMMYFUNCTION("""COMPUTED_VALUE"""),"Buildings &amp; Transport")</f>
        <v>Buildings &amp; Transport</v>
      </c>
    </row>
    <row r="418">
      <c r="A418" s="3" t="str">
        <f>IFERROR(__xludf.DUMMYFUNCTION("""COMPUTED_VALUE"""),"Serviço Brasileiro de Apoio às Micro e Pequenas Empresas (SEBRAE)")</f>
        <v>Serviço Brasileiro de Apoio às Micro e Pequenas Empresas (SEBRAE)</v>
      </c>
      <c r="B418" s="3" t="str">
        <f>IFERROR(__xludf.DUMMYFUNCTION("""COMPUTED_VALUE"""),"Energy")</f>
        <v>Energy</v>
      </c>
    </row>
    <row r="419">
      <c r="A419" s="3" t="str">
        <f>IFERROR(__xludf.DUMMYFUNCTION("""COMPUTED_VALUE"""),"Serviço Brasileiro de Apoio às Micro e Pequenas Empresas (SEBRAE)")</f>
        <v>Serviço Brasileiro de Apoio às Micro e Pequenas Empresas (SEBRAE)</v>
      </c>
      <c r="B419" s="3" t="str">
        <f>IFERROR(__xludf.DUMMYFUNCTION("""COMPUTED_VALUE"""),"""Land, Food and Forest""")</f>
        <v>"Land, Food and Forest"</v>
      </c>
    </row>
    <row r="420">
      <c r="A420" s="3" t="str">
        <f>IFERROR(__xludf.DUMMYFUNCTION("""COMPUTED_VALUE"""),"União Nacional de Cooperativas da Agricultura Familiar e Economia Solidária (Unicafes)")</f>
        <v>União Nacional de Cooperativas da Agricultura Familiar e Economia Solidária (Unicafes)</v>
      </c>
      <c r="B420" s="3" t="str">
        <f>IFERROR(__xludf.DUMMYFUNCTION("""COMPUTED_VALUE"""),"""Land, Food and Forest""")</f>
        <v>"Land, Food and Forest"</v>
      </c>
    </row>
    <row r="421">
      <c r="A421" s="3" t="str">
        <f>IFERROR(__xludf.DUMMYFUNCTION("""COMPUTED_VALUE"""),"Infocos Agri-Agency")</f>
        <v>Infocos Agri-Agency</v>
      </c>
      <c r="B421" s="3" t="str">
        <f>IFERROR(__xludf.DUMMYFUNCTION("""COMPUTED_VALUE"""),"""Land, Food and Forest""")</f>
        <v>"Land, Food and Forest"</v>
      </c>
    </row>
    <row r="422">
      <c r="A422" s="3" t="str">
        <f>IFERROR(__xludf.DUMMYFUNCTION("""COMPUTED_VALUE"""),"Instituto Democracia e Sustentabilidade (IDS)")</f>
        <v>Instituto Democracia e Sustentabilidade (IDS)</v>
      </c>
      <c r="B422" s="3" t="str">
        <f>IFERROR(__xludf.DUMMYFUNCTION("""COMPUTED_VALUE"""),"Energy")</f>
        <v>Energy</v>
      </c>
    </row>
    <row r="423">
      <c r="A423" s="3" t="str">
        <f>IFERROR(__xludf.DUMMYFUNCTION("""COMPUTED_VALUE"""),"Instituto Democracia e Sustentabilidade (IDS)")</f>
        <v>Instituto Democracia e Sustentabilidade (IDS)</v>
      </c>
      <c r="B423" s="3" t="str">
        <f>IFERROR(__xludf.DUMMYFUNCTION("""COMPUTED_VALUE"""),"""Land, Food and Forest""")</f>
        <v>"Land, Food and Forest"</v>
      </c>
    </row>
    <row r="424">
      <c r="A424" s="3" t="str">
        <f>IFERROR(__xludf.DUMMYFUNCTION("""COMPUTED_VALUE"""),"Instituto Cidades Sustentáveis")</f>
        <v>Instituto Cidades Sustentáveis</v>
      </c>
      <c r="B424" s="3" t="str">
        <f>IFERROR(__xludf.DUMMYFUNCTION("""COMPUTED_VALUE"""),"Buildings &amp; Transport")</f>
        <v>Buildings &amp; Transport</v>
      </c>
    </row>
    <row r="425">
      <c r="A425" s="3" t="str">
        <f>IFERROR(__xludf.DUMMYFUNCTION("""COMPUTED_VALUE"""),"Rede Nossa São Paulo")</f>
        <v>Rede Nossa São Paulo</v>
      </c>
      <c r="B425" s="3" t="str">
        <f>IFERROR(__xludf.DUMMYFUNCTION("""COMPUTED_VALUE"""),"Buildings &amp; Transport")</f>
        <v>Buildings &amp; Transport</v>
      </c>
    </row>
    <row r="426">
      <c r="A426" s="3" t="str">
        <f>IFERROR(__xludf.DUMMYFUNCTION("""COMPUTED_VALUE"""),"Instituto Pólis")</f>
        <v>Instituto Pólis</v>
      </c>
      <c r="B426" s="3" t="str">
        <f>IFERROR(__xludf.DUMMYFUNCTION("""COMPUTED_VALUE"""),"Buildings &amp; Transport")</f>
        <v>Buildings &amp; Transport</v>
      </c>
    </row>
    <row r="427">
      <c r="A427" s="3" t="str">
        <f>IFERROR(__xludf.DUMMYFUNCTION("""COMPUTED_VALUE"""),"Instituto Escolhas")</f>
        <v>Instituto Escolhas</v>
      </c>
      <c r="B427" s="3" t="str">
        <f>IFERROR(__xludf.DUMMYFUNCTION("""COMPUTED_VALUE"""),"Energy")</f>
        <v>Energy</v>
      </c>
    </row>
    <row r="428">
      <c r="A428" s="3" t="str">
        <f>IFERROR(__xludf.DUMMYFUNCTION("""COMPUTED_VALUE"""),"Instituto Escolhas")</f>
        <v>Instituto Escolhas</v>
      </c>
      <c r="B428" s="3" t="str">
        <f>IFERROR(__xludf.DUMMYFUNCTION("""COMPUTED_VALUE"""),"""Land, Food and Forest""")</f>
        <v>"Land, Food and Forest"</v>
      </c>
    </row>
    <row r="429">
      <c r="A429" s="3" t="str">
        <f>IFERROR(__xludf.DUMMYFUNCTION("""COMPUTED_VALUE"""),"Instituto de Estudos Socioeconômicos (INESC)")</f>
        <v>Instituto de Estudos Socioeconômicos (INESC)</v>
      </c>
      <c r="B429" s="3" t="str">
        <f>IFERROR(__xludf.DUMMYFUNCTION("""COMPUTED_VALUE"""),"Energy")</f>
        <v>Energy</v>
      </c>
    </row>
    <row r="430">
      <c r="A430" s="3" t="str">
        <f>IFERROR(__xludf.DUMMYFUNCTION("""COMPUTED_VALUE"""),"Instituto de Estudos Socioeconômicos (INESC)")</f>
        <v>Instituto de Estudos Socioeconômicos (INESC)</v>
      </c>
      <c r="B430" s="3" t="str">
        <f>IFERROR(__xludf.DUMMYFUNCTION("""COMPUTED_VALUE"""),"""Land, Food and Forest""")</f>
        <v>"Land, Food and Forest"</v>
      </c>
    </row>
    <row r="431">
      <c r="A431" s="3" t="str">
        <f>IFERROR(__xludf.DUMMYFUNCTION("""COMPUTED_VALUE"""),"Greenpeace Brasil")</f>
        <v>Greenpeace Brasil</v>
      </c>
      <c r="B431" s="3" t="str">
        <f>IFERROR(__xludf.DUMMYFUNCTION("""COMPUTED_VALUE"""),"Energy")</f>
        <v>Energy</v>
      </c>
    </row>
    <row r="432">
      <c r="A432" s="3" t="str">
        <f>IFERROR(__xludf.DUMMYFUNCTION("""COMPUTED_VALUE"""),"Greenpeace Brasil")</f>
        <v>Greenpeace Brasil</v>
      </c>
      <c r="B432" s="3" t="str">
        <f>IFERROR(__xludf.DUMMYFUNCTION("""COMPUTED_VALUE"""),"""Land, Food and Forest""")</f>
        <v>"Land, Food and Forest"</v>
      </c>
    </row>
    <row r="433">
      <c r="A433" s="3" t="str">
        <f>IFERROR(__xludf.DUMMYFUNCTION("""COMPUTED_VALUE"""),"Instituto Internacional Arayara (Arayara)")</f>
        <v>Instituto Internacional Arayara (Arayara)</v>
      </c>
      <c r="B433" s="3" t="str">
        <f>IFERROR(__xludf.DUMMYFUNCTION("""COMPUTED_VALUE"""),"Energy")</f>
        <v>Energy</v>
      </c>
    </row>
    <row r="434">
      <c r="A434" s="3" t="str">
        <f>IFERROR(__xludf.DUMMYFUNCTION("""COMPUTED_VALUE"""),"Instituto Internacional Arayara (Arayara)")</f>
        <v>Instituto Internacional Arayara (Arayara)</v>
      </c>
      <c r="B434" s="3" t="str">
        <f>IFERROR(__xludf.DUMMYFUNCTION("""COMPUTED_VALUE"""),"""Land, Food and Forest""")</f>
        <v>"Land, Food and Forest"</v>
      </c>
    </row>
    <row r="435">
      <c r="A435" s="3" t="str">
        <f>IFERROR(__xludf.DUMMYFUNCTION("""COMPUTED_VALUE"""),"Rede Brasileira de Justiça Ambiental (RBJA)")</f>
        <v>Rede Brasileira de Justiça Ambiental (RBJA)</v>
      </c>
      <c r="B435" s="3" t="str">
        <f>IFERROR(__xludf.DUMMYFUNCTION("""COMPUTED_VALUE"""),"Energy")</f>
        <v>Energy</v>
      </c>
    </row>
    <row r="436">
      <c r="A436" s="3" t="str">
        <f>IFERROR(__xludf.DUMMYFUNCTION("""COMPUTED_VALUE"""),"Rede Brasileira de Justiça Ambiental (RBJA)")</f>
        <v>Rede Brasileira de Justiça Ambiental (RBJA)</v>
      </c>
      <c r="B436" s="3" t="str">
        <f>IFERROR(__xludf.DUMMYFUNCTION("""COMPUTED_VALUE"""),"""Land, Food and Forest""")</f>
        <v>"Land, Food and Forest"</v>
      </c>
    </row>
    <row r="437">
      <c r="A437" s="3" t="str">
        <f>IFERROR(__xludf.DUMMYFUNCTION("""COMPUTED_VALUE"""),"Fundação Pró-Natureza (Funatura)")</f>
        <v>Fundação Pró-Natureza (Funatura)</v>
      </c>
      <c r="B437" s="3" t="str">
        <f>IFERROR(__xludf.DUMMYFUNCTION("""COMPUTED_VALUE"""),"""Land, Food and Forest""")</f>
        <v>"Land, Food and Forest"</v>
      </c>
    </row>
    <row r="438">
      <c r="A438" s="3" t="str">
        <f>IFERROR(__xludf.DUMMYFUNCTION("""COMPUTED_VALUE"""),"Instituto Cerrados (IC)")</f>
        <v>Instituto Cerrados (IC)</v>
      </c>
      <c r="B438" s="3" t="str">
        <f>IFERROR(__xludf.DUMMYFUNCTION("""COMPUTED_VALUE"""),"""Land, Food and Forest""")</f>
        <v>"Land, Food and Forest"</v>
      </c>
    </row>
    <row r="439">
      <c r="A439" s="3" t="str">
        <f>IFERROR(__xludf.DUMMYFUNCTION("""COMPUTED_VALUE"""),"Operação Amazônia Nativa (OPAN)")</f>
        <v>Operação Amazônia Nativa (OPAN)</v>
      </c>
      <c r="B439" s="3" t="str">
        <f>IFERROR(__xludf.DUMMYFUNCTION("""COMPUTED_VALUE"""),"""Land, Food and Forest""")</f>
        <v>"Land, Food and Forest"</v>
      </c>
    </row>
    <row r="440">
      <c r="A440" s="3" t="str">
        <f>IFERROR(__xludf.DUMMYFUNCTION("""COMPUTED_VALUE"""),"Instituto Peabiru")</f>
        <v>Instituto Peabiru</v>
      </c>
      <c r="B440" s="3" t="str">
        <f>IFERROR(__xludf.DUMMYFUNCTION("""COMPUTED_VALUE"""),"""Land, Food and Forest""")</f>
        <v>"Land, Food and Forest"</v>
      </c>
    </row>
    <row r="441">
      <c r="A441" s="3" t="str">
        <f>IFERROR(__xludf.DUMMYFUNCTION("""COMPUTED_VALUE"""),"Projeto Saúde e Alegria (PSA)")</f>
        <v>Projeto Saúde e Alegria (PSA)</v>
      </c>
      <c r="B441" s="3" t="str">
        <f>IFERROR(__xludf.DUMMYFUNCTION("""COMPUTED_VALUE"""),"""Land, Food and Forest""")</f>
        <v>"Land, Food and Forest"</v>
      </c>
    </row>
    <row r="442">
      <c r="A442" s="3" t="str">
        <f>IFERROR(__xludf.DUMMYFUNCTION("""COMPUTED_VALUE"""),"Articulação dos Povos Indígenas do Brasil (APIB)")</f>
        <v>Articulação dos Povos Indígenas do Brasil (APIB)</v>
      </c>
      <c r="B442" s="3" t="str">
        <f>IFERROR(__xludf.DUMMYFUNCTION("""COMPUTED_VALUE"""),"""Land, Food and Forest""")</f>
        <v>"Land, Food and Forest"</v>
      </c>
    </row>
    <row r="443">
      <c r="A443" s="3" t="str">
        <f>IFERROR(__xludf.DUMMYFUNCTION("""COMPUTED_VALUE"""),"Coordenação das Organizações Indígenas da Amazônia Brasileira (COIAB)")</f>
        <v>Coordenação das Organizações Indígenas da Amazônia Brasileira (COIAB)</v>
      </c>
      <c r="B443" s="3" t="str">
        <f>IFERROR(__xludf.DUMMYFUNCTION("""COMPUTED_VALUE"""),"""Land, Food and Forest""")</f>
        <v>"Land, Food and Forest"</v>
      </c>
    </row>
    <row r="444">
      <c r="A444" s="3" t="str">
        <f>IFERROR(__xludf.DUMMYFUNCTION("""COMPUTED_VALUE"""),"Conselho Indigenista Missionário (CIMI)")</f>
        <v>Conselho Indigenista Missionário (CIMI)</v>
      </c>
      <c r="B444" s="3" t="str">
        <f>IFERROR(__xludf.DUMMYFUNCTION("""COMPUTED_VALUE"""),"""Land, Food and Forest""")</f>
        <v>"Land, Food and Forest"</v>
      </c>
    </row>
    <row r="445">
      <c r="A445" s="3" t="str">
        <f>IFERROR(__xludf.DUMMYFUNCTION("""COMPUTED_VALUE"""),"Comissão Pastoral da Terra (CPT)")</f>
        <v>Comissão Pastoral da Terra (CPT)</v>
      </c>
      <c r="B445" s="3" t="str">
        <f>IFERROR(__xludf.DUMMYFUNCTION("""COMPUTED_VALUE"""),"Emergency response")</f>
        <v>Emergency response</v>
      </c>
    </row>
    <row r="446">
      <c r="A446" s="3" t="str">
        <f>IFERROR(__xludf.DUMMYFUNCTION("""COMPUTED_VALUE"""),"Comissão Pastoral da Terra (CPT)")</f>
        <v>Comissão Pastoral da Terra (CPT)</v>
      </c>
      <c r="B446" s="3" t="str">
        <f>IFERROR(__xludf.DUMMYFUNCTION("""COMPUTED_VALUE"""),"Energy")</f>
        <v>Energy</v>
      </c>
    </row>
    <row r="447">
      <c r="A447" s="3" t="str">
        <f>IFERROR(__xludf.DUMMYFUNCTION("""COMPUTED_VALUE"""),"Comissão Pastoral da Terra (CPT)")</f>
        <v>Comissão Pastoral da Terra (CPT)</v>
      </c>
      <c r="B447" s="3" t="str">
        <f>IFERROR(__xludf.DUMMYFUNCTION("""COMPUTED_VALUE"""),"""Land, Food and Forest""")</f>
        <v>"Land, Food and Forest"</v>
      </c>
    </row>
    <row r="448">
      <c r="A448" s="3" t="str">
        <f>IFERROR(__xludf.DUMMYFUNCTION("""COMPUTED_VALUE"""),"Conselho Nacional das Populações Extrativistas (CNS)")</f>
        <v>Conselho Nacional das Populações Extrativistas (CNS)</v>
      </c>
      <c r="B448" s="3" t="str">
        <f>IFERROR(__xludf.DUMMYFUNCTION("""COMPUTED_VALUE"""),"""Land, Food and Forest""")</f>
        <v>"Land, Food and Forest"</v>
      </c>
    </row>
    <row r="449">
      <c r="A449" s="3" t="str">
        <f>IFERROR(__xludf.DUMMYFUNCTION("""COMPUTED_VALUE"""),"Articulação Nacional de Agroecologia (ANA)")</f>
        <v>Articulação Nacional de Agroecologia (ANA)</v>
      </c>
      <c r="B449" s="3" t="str">
        <f>IFERROR(__xludf.DUMMYFUNCTION("""COMPUTED_VALUE"""),"""Land, Food and Forest""")</f>
        <v>"Land, Food and Forest"</v>
      </c>
    </row>
    <row r="450">
      <c r="A450" s="3" t="str">
        <f>IFERROR(__xludf.DUMMYFUNCTION("""COMPUTED_VALUE"""),"Diaconia")</f>
        <v>Diaconia</v>
      </c>
      <c r="B450" s="3" t="str">
        <f>IFERROR(__xludf.DUMMYFUNCTION("""COMPUTED_VALUE"""),"Emergency response")</f>
        <v>Emergency response</v>
      </c>
    </row>
    <row r="451">
      <c r="A451" s="3" t="str">
        <f>IFERROR(__xludf.DUMMYFUNCTION("""COMPUTED_VALUE"""),"Diaconia")</f>
        <v>Diaconia</v>
      </c>
      <c r="B451" s="3" t="str">
        <f>IFERROR(__xludf.DUMMYFUNCTION("""COMPUTED_VALUE"""),"""Land, Food and Forest""")</f>
        <v>"Land, Food and Forest"</v>
      </c>
    </row>
    <row r="452">
      <c r="A452" s="3" t="str">
        <f>IFERROR(__xludf.DUMMYFUNCTION("""COMPUTED_VALUE"""),"Cáritas Brasileira")</f>
        <v>Cáritas Brasileira</v>
      </c>
      <c r="B452" s="3" t="str">
        <f>IFERROR(__xludf.DUMMYFUNCTION("""COMPUTED_VALUE"""),"Emergency response")</f>
        <v>Emergency response</v>
      </c>
    </row>
    <row r="453">
      <c r="A453" s="3" t="str">
        <f>IFERROR(__xludf.DUMMYFUNCTION("""COMPUTED_VALUE"""),"Cáritas Brasileira")</f>
        <v>Cáritas Brasileira</v>
      </c>
      <c r="B453" s="3" t="str">
        <f>IFERROR(__xludf.DUMMYFUNCTION("""COMPUTED_VALUE"""),"""Land, Food and Forest""")</f>
        <v>"Land, Food and Forest"</v>
      </c>
    </row>
    <row r="454">
      <c r="A454" s="3" t="str">
        <f>IFERROR(__xludf.DUMMYFUNCTION("""COMPUTED_VALUE"""),"Federação de Órgãos para Assistência Social e Educacional (FASE)")</f>
        <v>Federação de Órgãos para Assistência Social e Educacional (FASE)</v>
      </c>
      <c r="B454" s="3" t="str">
        <f>IFERROR(__xludf.DUMMYFUNCTION("""COMPUTED_VALUE"""),"""Land, Food and Forest""")</f>
        <v>"Land, Food and Forest"</v>
      </c>
    </row>
    <row r="455">
      <c r="A455" s="3" t="str">
        <f>IFERROR(__xludf.DUMMYFUNCTION("""COMPUTED_VALUE"""),"Centro de Estudos do Trabalho e de Assessoria ao Trabalhador e à Trabalhadora (CETRA)")</f>
        <v>Centro de Estudos do Trabalho e de Assessoria ao Trabalhador e à Trabalhadora (CETRA)</v>
      </c>
      <c r="B455" s="3" t="str">
        <f>IFERROR(__xludf.DUMMYFUNCTION("""COMPUTED_VALUE"""),"""Land, Food and Forest""")</f>
        <v>"Land, Food and Forest"</v>
      </c>
    </row>
    <row r="456">
      <c r="A456" s="3" t="str">
        <f>IFERROR(__xludf.DUMMYFUNCTION("""COMPUTED_VALUE"""),"Centro de Desenvolvimento Agroecológico Sabiá (Centro Sabiá)")</f>
        <v>Centro de Desenvolvimento Agroecológico Sabiá (Centro Sabiá)</v>
      </c>
      <c r="B456" s="3" t="str">
        <f>IFERROR(__xludf.DUMMYFUNCTION("""COMPUTED_VALUE"""),"""Land, Food and Forest""")</f>
        <v>"Land, Food and Forest"</v>
      </c>
    </row>
    <row r="457">
      <c r="A457" s="3" t="str">
        <f>IFERROR(__xludf.DUMMYFUNCTION("""COMPUTED_VALUE"""),"Programa de Aplicação de Tecnologias Apropriadas às Comunidades (PATAC)")</f>
        <v>Programa de Aplicação de Tecnologias Apropriadas às Comunidades (PATAC)</v>
      </c>
      <c r="B457" s="3" t="str">
        <f>IFERROR(__xludf.DUMMYFUNCTION("""COMPUTED_VALUE"""),"""Land, Food and Forest""")</f>
        <v>"Land, Food and Forest"</v>
      </c>
    </row>
    <row r="458">
      <c r="A458" s="3" t="str">
        <f>IFERROR(__xludf.DUMMYFUNCTION("""COMPUTED_VALUE"""),"Instituto de Arquitetos do Brasil (IAB)")</f>
        <v>Instituto de Arquitetos do Brasil (IAB)</v>
      </c>
      <c r="B458" s="3" t="str">
        <f>IFERROR(__xludf.DUMMYFUNCTION("""COMPUTED_VALUE"""),"Buildings &amp; Transport")</f>
        <v>Buildings &amp; Transport</v>
      </c>
    </row>
    <row r="459">
      <c r="A459" s="3" t="str">
        <f>IFERROR(__xludf.DUMMYFUNCTION("""COMPUTED_VALUE"""),"Deutsche Gesellschaft für Internationale Zusammenarbeit (GIZ)")</f>
        <v>Deutsche Gesellschaft für Internationale Zusammenarbeit (GIZ)</v>
      </c>
      <c r="B459" s="3" t="str">
        <f>IFERROR(__xludf.DUMMYFUNCTION("""COMPUTED_VALUE"""),"Buildings &amp; Transport")</f>
        <v>Buildings &amp; Transport</v>
      </c>
    </row>
    <row r="460">
      <c r="A460" s="3" t="str">
        <f>IFERROR(__xludf.DUMMYFUNCTION("""COMPUTED_VALUE"""),"Deutsche Gesellschaft für Internationale Zusammenarbeit (GIZ)")</f>
        <v>Deutsche Gesellschaft für Internationale Zusammenarbeit (GIZ)</v>
      </c>
      <c r="B460" s="3" t="str">
        <f>IFERROR(__xludf.DUMMYFUNCTION("""COMPUTED_VALUE"""),"Energy")</f>
        <v>Energy</v>
      </c>
    </row>
    <row r="461">
      <c r="A461" s="3" t="str">
        <f>IFERROR(__xludf.DUMMYFUNCTION("""COMPUTED_VALUE"""),"Deutsche Gesellschaft für Internationale Zusammenarbeit (GIZ)")</f>
        <v>Deutsche Gesellschaft für Internationale Zusammenarbeit (GIZ)</v>
      </c>
      <c r="B461" s="3" t="str">
        <f>IFERROR(__xludf.DUMMYFUNCTION("""COMPUTED_VALUE"""),"""Land, Food and Forest""")</f>
        <v>"Land, Food and Forest"</v>
      </c>
    </row>
    <row r="462">
      <c r="A462" s="3" t="str">
        <f>IFERROR(__xludf.DUMMYFUNCTION("""COMPUTED_VALUE"""),"Kreditanstalt für Wiederaufbau (KfW)")</f>
        <v>Kreditanstalt für Wiederaufbau (KfW)</v>
      </c>
      <c r="B462" s="3" t="str">
        <f>IFERROR(__xludf.DUMMYFUNCTION("""COMPUTED_VALUE"""),"Buildings &amp; Transport")</f>
        <v>Buildings &amp; Transport</v>
      </c>
    </row>
    <row r="463">
      <c r="A463" s="3" t="str">
        <f>IFERROR(__xludf.DUMMYFUNCTION("""COMPUTED_VALUE"""),"Kreditanstalt für Wiederaufbau (KfW)")</f>
        <v>Kreditanstalt für Wiederaufbau (KfW)</v>
      </c>
      <c r="B463" s="3" t="str">
        <f>IFERROR(__xludf.DUMMYFUNCTION("""COMPUTED_VALUE"""),"Energy")</f>
        <v>Energy</v>
      </c>
    </row>
    <row r="464">
      <c r="A464" s="3" t="str">
        <f>IFERROR(__xludf.DUMMYFUNCTION("""COMPUTED_VALUE"""),"Kreditanstalt für Wiederaufbau (KfW)")</f>
        <v>Kreditanstalt für Wiederaufbau (KfW)</v>
      </c>
      <c r="B464" s="3" t="str">
        <f>IFERROR(__xludf.DUMMYFUNCTION("""COMPUTED_VALUE"""),"""Land, Food and Forest""")</f>
        <v>"Land, Food and Forest"</v>
      </c>
    </row>
    <row r="465">
      <c r="A465" s="3" t="str">
        <f>IFERROR(__xludf.DUMMYFUNCTION("""COMPUTED_VALUE"""),"Deutsche Investitions- und Entwicklungsgesellschaft (DEG)")</f>
        <v>Deutsche Investitions- und Entwicklungsgesellschaft (DEG)</v>
      </c>
      <c r="B465" s="3" t="str">
        <f>IFERROR(__xludf.DUMMYFUNCTION("""COMPUTED_VALUE"""),"Buildings &amp; Transport")</f>
        <v>Buildings &amp; Transport</v>
      </c>
    </row>
    <row r="466">
      <c r="A466" s="3" t="str">
        <f>IFERROR(__xludf.DUMMYFUNCTION("""COMPUTED_VALUE"""),"Deutsche Investitions- und Entwicklungsgesellschaft (DEG)")</f>
        <v>Deutsche Investitions- und Entwicklungsgesellschaft (DEG)</v>
      </c>
      <c r="B466" s="3" t="str">
        <f>IFERROR(__xludf.DUMMYFUNCTION("""COMPUTED_VALUE"""),"Energy")</f>
        <v>Energy</v>
      </c>
    </row>
    <row r="467">
      <c r="A467" s="3" t="str">
        <f>IFERROR(__xludf.DUMMYFUNCTION("""COMPUTED_VALUE"""),"Deutsche Investitions- und Entwicklungsgesellschaft (DEG)")</f>
        <v>Deutsche Investitions- und Entwicklungsgesellschaft (DEG)</v>
      </c>
      <c r="B467" s="3" t="str">
        <f>IFERROR(__xludf.DUMMYFUNCTION("""COMPUTED_VALUE"""),"""Land, Food and Forest""")</f>
        <v>"Land, Food and Forest"</v>
      </c>
    </row>
    <row r="468">
      <c r="A468" s="3" t="str">
        <f>IFERROR(__xludf.DUMMYFUNCTION("""COMPUTED_VALUE"""),"Agência Francesa de Desenvolvimento (AFD)")</f>
        <v>Agência Francesa de Desenvolvimento (AFD)</v>
      </c>
      <c r="B468" s="3" t="str">
        <f>IFERROR(__xludf.DUMMYFUNCTION("""COMPUTED_VALUE"""),"Buildings &amp; Transport")</f>
        <v>Buildings &amp; Transport</v>
      </c>
    </row>
    <row r="469">
      <c r="A469" s="3" t="str">
        <f>IFERROR(__xludf.DUMMYFUNCTION("""COMPUTED_VALUE"""),"Agência Francesa de Desenvolvimento (AFD)")</f>
        <v>Agência Francesa de Desenvolvimento (AFD)</v>
      </c>
      <c r="B469" s="3" t="str">
        <f>IFERROR(__xludf.DUMMYFUNCTION("""COMPUTED_VALUE"""),"Energy")</f>
        <v>Energy</v>
      </c>
    </row>
    <row r="470">
      <c r="A470" s="3" t="str">
        <f>IFERROR(__xludf.DUMMYFUNCTION("""COMPUTED_VALUE"""),"Agência Francesa de Desenvolvimento (AFD)")</f>
        <v>Agência Francesa de Desenvolvimento (AFD)</v>
      </c>
      <c r="B470" s="3" t="str">
        <f>IFERROR(__xludf.DUMMYFUNCTION("""COMPUTED_VALUE"""),"""Land, Food and Forest""")</f>
        <v>"Land, Food and Forest"</v>
      </c>
    </row>
    <row r="471">
      <c r="A471" s="3" t="str">
        <f>IFERROR(__xludf.DUMMYFUNCTION("""COMPUTED_VALUE"""),"Proparco")</f>
        <v>Proparco</v>
      </c>
      <c r="B471" s="3" t="str">
        <f>IFERROR(__xludf.DUMMYFUNCTION("""COMPUTED_VALUE"""),"Buildings &amp; Transport")</f>
        <v>Buildings &amp; Transport</v>
      </c>
    </row>
    <row r="472">
      <c r="A472" s="3" t="str">
        <f>IFERROR(__xludf.DUMMYFUNCTION("""COMPUTED_VALUE"""),"Proparco")</f>
        <v>Proparco</v>
      </c>
      <c r="B472" s="3" t="str">
        <f>IFERROR(__xludf.DUMMYFUNCTION("""COMPUTED_VALUE"""),"Energy")</f>
        <v>Energy</v>
      </c>
    </row>
    <row r="473">
      <c r="A473" s="3" t="str">
        <f>IFERROR(__xludf.DUMMYFUNCTION("""COMPUTED_VALUE"""),"Proparco")</f>
        <v>Proparco</v>
      </c>
      <c r="B473" s="3" t="str">
        <f>IFERROR(__xludf.DUMMYFUNCTION("""COMPUTED_VALUE"""),"""Land, Food and Forest""")</f>
        <v>"Land, Food and Forest"</v>
      </c>
    </row>
    <row r="474">
      <c r="A474" s="3" t="str">
        <f>IFERROR(__xludf.DUMMYFUNCTION("""COMPUTED_VALUE"""),"Expertise France")</f>
        <v>Expertise France</v>
      </c>
      <c r="B474" s="3" t="str">
        <f>IFERROR(__xludf.DUMMYFUNCTION("""COMPUTED_VALUE"""),"Buildings &amp; Transport")</f>
        <v>Buildings &amp; Transport</v>
      </c>
    </row>
    <row r="475">
      <c r="A475" s="3" t="str">
        <f>IFERROR(__xludf.DUMMYFUNCTION("""COMPUTED_VALUE"""),"Expertise France")</f>
        <v>Expertise France</v>
      </c>
      <c r="B475" s="3" t="str">
        <f>IFERROR(__xludf.DUMMYFUNCTION("""COMPUTED_VALUE"""),"Energy")</f>
        <v>Energy</v>
      </c>
    </row>
    <row r="476">
      <c r="A476" s="3" t="str">
        <f>IFERROR(__xludf.DUMMYFUNCTION("""COMPUTED_VALUE"""),"Expertise France")</f>
        <v>Expertise France</v>
      </c>
      <c r="B476" s="3" t="str">
        <f>IFERROR(__xludf.DUMMYFUNCTION("""COMPUTED_VALUE"""),"""Land, Food and Forest""")</f>
        <v>"Land, Food and Forest"</v>
      </c>
    </row>
    <row r="477">
      <c r="A477" s="3" t="str">
        <f>IFERROR(__xludf.DUMMYFUNCTION("""COMPUTED_VALUE"""),"Agência de Cooperação Internacional do Japão (JICA)")</f>
        <v>Agência de Cooperação Internacional do Japão (JICA)</v>
      </c>
      <c r="B477" s="3" t="str">
        <f>IFERROR(__xludf.DUMMYFUNCTION("""COMPUTED_VALUE"""),"Buildings &amp; Transport")</f>
        <v>Buildings &amp; Transport</v>
      </c>
    </row>
    <row r="478">
      <c r="A478" s="3" t="str">
        <f>IFERROR(__xludf.DUMMYFUNCTION("""COMPUTED_VALUE"""),"Agência de Cooperação Internacional do Japão (JICA)")</f>
        <v>Agência de Cooperação Internacional do Japão (JICA)</v>
      </c>
      <c r="B478" s="3" t="str">
        <f>IFERROR(__xludf.DUMMYFUNCTION("""COMPUTED_VALUE"""),"Energy")</f>
        <v>Energy</v>
      </c>
    </row>
    <row r="479">
      <c r="A479" s="3" t="str">
        <f>IFERROR(__xludf.DUMMYFUNCTION("""COMPUTED_VALUE"""),"Agência de Cooperação Internacional do Japão (JICA)")</f>
        <v>Agência de Cooperação Internacional do Japão (JICA)</v>
      </c>
      <c r="B479" s="3" t="str">
        <f>IFERROR(__xludf.DUMMYFUNCTION("""COMPUTED_VALUE"""),"""Land, Food and Forest""")</f>
        <v>"Land, Food and Forest"</v>
      </c>
    </row>
    <row r="480">
      <c r="A480" s="3" t="str">
        <f>IFERROR(__xludf.DUMMYFUNCTION("""COMPUTED_VALUE"""),"Agência de Cooperação Internacional da Coreia (KOICA)")</f>
        <v>Agência de Cooperação Internacional da Coreia (KOICA)</v>
      </c>
      <c r="B480" s="3" t="str">
        <f>IFERROR(__xludf.DUMMYFUNCTION("""COMPUTED_VALUE"""),"Buildings &amp; Transport")</f>
        <v>Buildings &amp; Transport</v>
      </c>
    </row>
    <row r="481">
      <c r="A481" s="3" t="str">
        <f>IFERROR(__xludf.DUMMYFUNCTION("""COMPUTED_VALUE"""),"Agência de Cooperação Internacional da Coreia (KOICA)")</f>
        <v>Agência de Cooperação Internacional da Coreia (KOICA)</v>
      </c>
      <c r="B481" s="3" t="str">
        <f>IFERROR(__xludf.DUMMYFUNCTION("""COMPUTED_VALUE"""),"Energy")</f>
        <v>Energy</v>
      </c>
    </row>
    <row r="482">
      <c r="A482" s="3" t="str">
        <f>IFERROR(__xludf.DUMMYFUNCTION("""COMPUTED_VALUE"""),"Agência de Cooperação Internacional da Coreia (KOICA)")</f>
        <v>Agência de Cooperação Internacional da Coreia (KOICA)</v>
      </c>
      <c r="B482" s="3" t="str">
        <f>IFERROR(__xludf.DUMMYFUNCTION("""COMPUTED_VALUE"""),"""Land, Food and Forest""")</f>
        <v>"Land, Food and Forest"</v>
      </c>
    </row>
    <row r="483">
      <c r="A483" s="3" t="str">
        <f>IFERROR(__xludf.DUMMYFUNCTION("""COMPUTED_VALUE"""),"Agência Espanhola de Cooperação Internacional para o Desenvolvimento (AECID)")</f>
        <v>Agência Espanhola de Cooperação Internacional para o Desenvolvimento (AECID)</v>
      </c>
      <c r="B483" s="3" t="str">
        <f>IFERROR(__xludf.DUMMYFUNCTION("""COMPUTED_VALUE"""),"Buildings &amp; Transport")</f>
        <v>Buildings &amp; Transport</v>
      </c>
    </row>
    <row r="484">
      <c r="A484" s="3" t="str">
        <f>IFERROR(__xludf.DUMMYFUNCTION("""COMPUTED_VALUE"""),"Agência Espanhola de Cooperação Internacional para o Desenvolvimento (AECID)")</f>
        <v>Agência Espanhola de Cooperação Internacional para o Desenvolvimento (AECID)</v>
      </c>
      <c r="B484" s="3" t="str">
        <f>IFERROR(__xludf.DUMMYFUNCTION("""COMPUTED_VALUE"""),"Energy")</f>
        <v>Energy</v>
      </c>
    </row>
    <row r="485">
      <c r="A485" s="3" t="str">
        <f>IFERROR(__xludf.DUMMYFUNCTION("""COMPUTED_VALUE"""),"Agência Espanhola de Cooperação Internacional para o Desenvolvimento (AECID)")</f>
        <v>Agência Espanhola de Cooperação Internacional para o Desenvolvimento (AECID)</v>
      </c>
      <c r="B485" s="3" t="str">
        <f>IFERROR(__xludf.DUMMYFUNCTION("""COMPUTED_VALUE"""),"""Land, Food and Forest""")</f>
        <v>"Land, Food and Forest"</v>
      </c>
    </row>
    <row r="486">
      <c r="A486" s="3" t="str">
        <f>IFERROR(__xludf.DUMMYFUNCTION("""COMPUTED_VALUE"""),"Agência Italiana de Cooperação para o Desenvolvimento (AICS)")</f>
        <v>Agência Italiana de Cooperação para o Desenvolvimento (AICS)</v>
      </c>
      <c r="B486" s="3" t="str">
        <f>IFERROR(__xludf.DUMMYFUNCTION("""COMPUTED_VALUE"""),"Buildings &amp; Transport")</f>
        <v>Buildings &amp; Transport</v>
      </c>
    </row>
    <row r="487">
      <c r="A487" s="3" t="str">
        <f>IFERROR(__xludf.DUMMYFUNCTION("""COMPUTED_VALUE"""),"Agência Italiana de Cooperação para o Desenvolvimento (AICS)")</f>
        <v>Agência Italiana de Cooperação para o Desenvolvimento (AICS)</v>
      </c>
      <c r="B487" s="3" t="str">
        <f>IFERROR(__xludf.DUMMYFUNCTION("""COMPUTED_VALUE"""),"Energy")</f>
        <v>Energy</v>
      </c>
    </row>
    <row r="488">
      <c r="A488" s="3" t="str">
        <f>IFERROR(__xludf.DUMMYFUNCTION("""COMPUTED_VALUE"""),"Agência Italiana de Cooperação para o Desenvolvimento (AICS)")</f>
        <v>Agência Italiana de Cooperação para o Desenvolvimento (AICS)</v>
      </c>
      <c r="B488" s="3" t="str">
        <f>IFERROR(__xludf.DUMMYFUNCTION("""COMPUTED_VALUE"""),"""Land, Food and Forest""")</f>
        <v>"Land, Food and Forest"</v>
      </c>
    </row>
    <row r="489">
      <c r="A489" s="3" t="str">
        <f>IFERROR(__xludf.DUMMYFUNCTION("""COMPUTED_VALUE"""),"Agência Suíça para o Desenvolvimento e Cooperação (COSUDE)")</f>
        <v>Agência Suíça para o Desenvolvimento e Cooperação (COSUDE)</v>
      </c>
      <c r="B489" s="3" t="str">
        <f>IFERROR(__xludf.DUMMYFUNCTION("""COMPUTED_VALUE"""),"Emergency response")</f>
        <v>Emergency response</v>
      </c>
    </row>
    <row r="490">
      <c r="A490" s="3" t="str">
        <f>IFERROR(__xludf.DUMMYFUNCTION("""COMPUTED_VALUE"""),"Agência Suíça para o Desenvolvimento e Cooperação (COSUDE)")</f>
        <v>Agência Suíça para o Desenvolvimento e Cooperação (COSUDE)</v>
      </c>
      <c r="B490" s="3" t="str">
        <f>IFERROR(__xludf.DUMMYFUNCTION("""COMPUTED_VALUE"""),"""Land, Food and Forest""")</f>
        <v>"Land, Food and Forest"</v>
      </c>
    </row>
    <row r="491">
      <c r="A491" s="3" t="str">
        <f>IFERROR(__xludf.DUMMYFUNCTION("""COMPUTED_VALUE"""),"Agência Sueca de Cooperação para o Desenvolvimento Internacional (Sida)")</f>
        <v>Agência Sueca de Cooperação para o Desenvolvimento Internacional (Sida)</v>
      </c>
      <c r="B491" s="3" t="str">
        <f>IFERROR(__xludf.DUMMYFUNCTION("""COMPUTED_VALUE"""),"Energy")</f>
        <v>Energy</v>
      </c>
    </row>
    <row r="492">
      <c r="A492" s="3" t="str">
        <f>IFERROR(__xludf.DUMMYFUNCTION("""COMPUTED_VALUE"""),"Agência Sueca de Cooperação para o Desenvolvimento Internacional (Sida)")</f>
        <v>Agência Sueca de Cooperação para o Desenvolvimento Internacional (Sida)</v>
      </c>
      <c r="B492" s="3" t="str">
        <f>IFERROR(__xludf.DUMMYFUNCTION("""COMPUTED_VALUE"""),"""Land, Food and Forest""")</f>
        <v>"Land, Food and Forest"</v>
      </c>
    </row>
    <row r="493">
      <c r="A493" s="3" t="str">
        <f>IFERROR(__xludf.DUMMYFUNCTION("""COMPUTED_VALUE"""),"Agência Dinamarquesa para o Desenvolvimento Internacional (DANIDA)")</f>
        <v>Agência Dinamarquesa para o Desenvolvimento Internacional (DANIDA)</v>
      </c>
      <c r="B493" s="3" t="str">
        <f>IFERROR(__xludf.DUMMYFUNCTION("""COMPUTED_VALUE"""),"Energy")</f>
        <v>Energy</v>
      </c>
    </row>
    <row r="494">
      <c r="A494" s="3" t="str">
        <f>IFERROR(__xludf.DUMMYFUNCTION("""COMPUTED_VALUE"""),"Agência Dinamarquesa para o Desenvolvimento Internacional (DANIDA)")</f>
        <v>Agência Dinamarquesa para o Desenvolvimento Internacional (DANIDA)</v>
      </c>
      <c r="B494" s="3" t="str">
        <f>IFERROR(__xludf.DUMMYFUNCTION("""COMPUTED_VALUE"""),"""Land, Food and Forest""")</f>
        <v>"Land, Food and Forest"</v>
      </c>
    </row>
    <row r="495">
      <c r="A495" s="3" t="str">
        <f>IFERROR(__xludf.DUMMYFUNCTION("""COMPUTED_VALUE"""),"Agência Norueguesa de Cooperação para o Desenvolvimento (Norad)")</f>
        <v>Agência Norueguesa de Cooperação para o Desenvolvimento (Norad)</v>
      </c>
      <c r="B495" s="3" t="str">
        <f>IFERROR(__xludf.DUMMYFUNCTION("""COMPUTED_VALUE"""),"Energy")</f>
        <v>Energy</v>
      </c>
    </row>
    <row r="496">
      <c r="A496" s="3" t="str">
        <f>IFERROR(__xludf.DUMMYFUNCTION("""COMPUTED_VALUE"""),"Agência Norueguesa de Cooperação para o Desenvolvimento (Norad)")</f>
        <v>Agência Norueguesa de Cooperação para o Desenvolvimento (Norad)</v>
      </c>
      <c r="B496" s="3" t="str">
        <f>IFERROR(__xludf.DUMMYFUNCTION("""COMPUTED_VALUE"""),"""Land, Food and Forest""")</f>
        <v>"Land, Food and Forest"</v>
      </c>
    </row>
    <row r="497">
      <c r="A497" s="3" t="str">
        <f>IFERROR(__xludf.DUMMYFUNCTION("""COMPUTED_VALUE"""),"Iniciativa Internacional de Clima e Florestas da Noruega (NICFI)")</f>
        <v>Iniciativa Internacional de Clima e Florestas da Noruega (NICFI)</v>
      </c>
      <c r="B497" s="3" t="str">
        <f>IFERROR(__xludf.DUMMYFUNCTION("""COMPUTED_VALUE"""),"""Land, Food and Forest""")</f>
        <v>"Land, Food and Forest"</v>
      </c>
    </row>
    <row r="498">
      <c r="A498" s="3" t="str">
        <f>IFERROR(__xludf.DUMMYFUNCTION("""COMPUTED_VALUE"""),"UK PACT")</f>
        <v>UK PACT</v>
      </c>
      <c r="B498" s="3" t="str">
        <f>IFERROR(__xludf.DUMMYFUNCTION("""COMPUTED_VALUE"""),"Buildings &amp; Transport")</f>
        <v>Buildings &amp; Transport</v>
      </c>
    </row>
    <row r="499">
      <c r="A499" s="3" t="str">
        <f>IFERROR(__xludf.DUMMYFUNCTION("""COMPUTED_VALUE"""),"UK PACT")</f>
        <v>UK PACT</v>
      </c>
      <c r="B499" s="3" t="str">
        <f>IFERROR(__xludf.DUMMYFUNCTION("""COMPUTED_VALUE"""),"Energy")</f>
        <v>Energy</v>
      </c>
    </row>
    <row r="500">
      <c r="A500" s="3" t="str">
        <f>IFERROR(__xludf.DUMMYFUNCTION("""COMPUTED_VALUE"""),"UK PACT")</f>
        <v>UK PACT</v>
      </c>
      <c r="B500" s="3" t="str">
        <f>IFERROR(__xludf.DUMMYFUNCTION("""COMPUTED_VALUE"""),"""Land, Food and Forest""")</f>
        <v>"Land, Food and Forest"</v>
      </c>
    </row>
    <row r="501">
      <c r="A501" s="3" t="str">
        <f>IFERROR(__xludf.DUMMYFUNCTION("""COMPUTED_VALUE"""),"Delegação da União Europeia no Brasil (UE)")</f>
        <v>Delegação da União Europeia no Brasil (UE)</v>
      </c>
      <c r="B501" s="3" t="str">
        <f>IFERROR(__xludf.DUMMYFUNCTION("""COMPUTED_VALUE"""),"Buildings &amp; Transport")</f>
        <v>Buildings &amp; Transport</v>
      </c>
    </row>
    <row r="502">
      <c r="A502" s="3" t="str">
        <f>IFERROR(__xludf.DUMMYFUNCTION("""COMPUTED_VALUE"""),"Delegação da União Europeia no Brasil (UE)")</f>
        <v>Delegação da União Europeia no Brasil (UE)</v>
      </c>
      <c r="B502" s="3" t="str">
        <f>IFERROR(__xludf.DUMMYFUNCTION("""COMPUTED_VALUE"""),"Energy")</f>
        <v>Energy</v>
      </c>
    </row>
    <row r="503">
      <c r="A503" s="3" t="str">
        <f>IFERROR(__xludf.DUMMYFUNCTION("""COMPUTED_VALUE"""),"Delegação da União Europeia no Brasil (UE)")</f>
        <v>Delegação da União Europeia no Brasil (UE)</v>
      </c>
      <c r="B503" s="3" t="str">
        <f>IFERROR(__xludf.DUMMYFUNCTION("""COMPUTED_VALUE"""),"""Land, Food and Forest""")</f>
        <v>"Land, Food and Forest"</v>
      </c>
    </row>
    <row r="504">
      <c r="A504" s="3" t="str">
        <f>IFERROR(__xludf.DUMMYFUNCTION("""COMPUTED_VALUE"""),"Banco Europeu de Investimento (BEI)")</f>
        <v>Banco Europeu de Investimento (BEI)</v>
      </c>
      <c r="B504" s="3" t="str">
        <f>IFERROR(__xludf.DUMMYFUNCTION("""COMPUTED_VALUE"""),"Buildings &amp; Transport")</f>
        <v>Buildings &amp; Transport</v>
      </c>
    </row>
    <row r="505">
      <c r="A505" s="3" t="str">
        <f>IFERROR(__xludf.DUMMYFUNCTION("""COMPUTED_VALUE"""),"Banco Europeu de Investimento (BEI)")</f>
        <v>Banco Europeu de Investimento (BEI)</v>
      </c>
      <c r="B505" s="3" t="str">
        <f>IFERROR(__xludf.DUMMYFUNCTION("""COMPUTED_VALUE"""),"Energy")</f>
        <v>Energy</v>
      </c>
    </row>
    <row r="506">
      <c r="A506" s="3" t="str">
        <f>IFERROR(__xludf.DUMMYFUNCTION("""COMPUTED_VALUE"""),"Banco Europeu de Investimento (BEI)")</f>
        <v>Banco Europeu de Investimento (BEI)</v>
      </c>
      <c r="B506" s="3" t="str">
        <f>IFERROR(__xludf.DUMMYFUNCTION("""COMPUTED_VALUE"""),"""Land, Food and Forest""")</f>
        <v>"Land, Food and Forest"</v>
      </c>
    </row>
    <row r="507">
      <c r="A507" s="3" t="str">
        <f>IFERROR(__xludf.DUMMYFUNCTION("""COMPUTED_VALUE"""),"Lux-Development (LuxDev)")</f>
        <v>Lux-Development (LuxDev)</v>
      </c>
      <c r="B507" s="3" t="str">
        <f>IFERROR(__xludf.DUMMYFUNCTION("""COMPUTED_VALUE"""),"Buildings &amp; Transport")</f>
        <v>Buildings &amp; Transport</v>
      </c>
    </row>
    <row r="508">
      <c r="A508" s="3" t="str">
        <f>IFERROR(__xludf.DUMMYFUNCTION("""COMPUTED_VALUE"""),"Lux-Development (LuxDev)")</f>
        <v>Lux-Development (LuxDev)</v>
      </c>
      <c r="B508" s="3" t="str">
        <f>IFERROR(__xludf.DUMMYFUNCTION("""COMPUTED_VALUE"""),"Energy")</f>
        <v>Energy</v>
      </c>
    </row>
    <row r="509">
      <c r="A509" s="3" t="str">
        <f>IFERROR(__xludf.DUMMYFUNCTION("""COMPUTED_VALUE"""),"Lux-Development (LuxDev)")</f>
        <v>Lux-Development (LuxDev)</v>
      </c>
      <c r="B509" s="3" t="str">
        <f>IFERROR(__xludf.DUMMYFUNCTION("""COMPUTED_VALUE"""),"""Land, Food and Forest""")</f>
        <v>"Land, Food and Forest"</v>
      </c>
    </row>
    <row r="510">
      <c r="A510" s="3" t="str">
        <f>IFERROR(__xludf.DUMMYFUNCTION("""COMPUTED_VALUE"""),"Irish Aid (Irish Aid)")</f>
        <v>Irish Aid (Irish Aid)</v>
      </c>
      <c r="B510" s="3" t="str">
        <f>IFERROR(__xludf.DUMMYFUNCTION("""COMPUTED_VALUE"""),"Buildings &amp; Transport")</f>
        <v>Buildings &amp; Transport</v>
      </c>
    </row>
    <row r="511">
      <c r="A511" s="3" t="str">
        <f>IFERROR(__xludf.DUMMYFUNCTION("""COMPUTED_VALUE"""),"Irish Aid (Irish Aid)")</f>
        <v>Irish Aid (Irish Aid)</v>
      </c>
      <c r="B511" s="3" t="str">
        <f>IFERROR(__xludf.DUMMYFUNCTION("""COMPUTED_VALUE"""),"Emergency response")</f>
        <v>Emergency response</v>
      </c>
    </row>
    <row r="512">
      <c r="A512" s="3" t="str">
        <f>IFERROR(__xludf.DUMMYFUNCTION("""COMPUTED_VALUE"""),"Irish Aid (Irish Aid)")</f>
        <v>Irish Aid (Irish Aid)</v>
      </c>
      <c r="B512" s="3" t="str">
        <f>IFERROR(__xludf.DUMMYFUNCTION("""COMPUTED_VALUE"""),"Energy")</f>
        <v>Energy</v>
      </c>
    </row>
    <row r="513">
      <c r="A513" s="3" t="str">
        <f>IFERROR(__xludf.DUMMYFUNCTION("""COMPUTED_VALUE"""),"Irish Aid (Irish Aid)")</f>
        <v>Irish Aid (Irish Aid)</v>
      </c>
      <c r="B513" s="3" t="str">
        <f>IFERROR(__xludf.DUMMYFUNCTION("""COMPUTED_VALUE"""),"""Land, Food and Forest""")</f>
        <v>"Land, Food and Forest"</v>
      </c>
    </row>
    <row r="514">
      <c r="A514" s="3" t="str">
        <f>IFERROR(__xludf.DUMMYFUNCTION("""COMPUTED_VALUE"""),"Agência Austríaca de Desenvolvimento (ADA)")</f>
        <v>Agência Austríaca de Desenvolvimento (ADA)</v>
      </c>
      <c r="B514" s="3" t="str">
        <f>IFERROR(__xludf.DUMMYFUNCTION("""COMPUTED_VALUE"""),"Buildings &amp; Transport")</f>
        <v>Buildings &amp; Transport</v>
      </c>
    </row>
    <row r="515">
      <c r="A515" s="3" t="str">
        <f>IFERROR(__xludf.DUMMYFUNCTION("""COMPUTED_VALUE"""),"Agência Austríaca de Desenvolvimento (ADA)")</f>
        <v>Agência Austríaca de Desenvolvimento (ADA)</v>
      </c>
      <c r="B515" s="3" t="str">
        <f>IFERROR(__xludf.DUMMYFUNCTION("""COMPUTED_VALUE"""),"Energy")</f>
        <v>Energy</v>
      </c>
    </row>
    <row r="516">
      <c r="A516" s="3" t="str">
        <f>IFERROR(__xludf.DUMMYFUNCTION("""COMPUTED_VALUE"""),"Agência Austríaca de Desenvolvimento (ADA)")</f>
        <v>Agência Austríaca de Desenvolvimento (ADA)</v>
      </c>
      <c r="B516" s="3" t="str">
        <f>IFERROR(__xludf.DUMMYFUNCTION("""COMPUTED_VALUE"""),"""Land, Food and Forest""")</f>
        <v>"Land, Food and Forest"</v>
      </c>
    </row>
    <row r="517">
      <c r="A517" s="3" t="str">
        <f>IFERROR(__xludf.DUMMYFUNCTION("""COMPUTED_VALUE"""),"Camões – Instituto da Cooperação e da Língua (Camões, I.P.)")</f>
        <v>Camões – Instituto da Cooperação e da Língua (Camões, I.P.)</v>
      </c>
      <c r="B517" s="3" t="str">
        <f>IFERROR(__xludf.DUMMYFUNCTION("""COMPUTED_VALUE"""),"Buildings &amp; Transport")</f>
        <v>Buildings &amp; Transport</v>
      </c>
    </row>
    <row r="518">
      <c r="A518" s="3" t="str">
        <f>IFERROR(__xludf.DUMMYFUNCTION("""COMPUTED_VALUE"""),"Camões – Instituto da Cooperação e da Língua (Camões, I.P.)")</f>
        <v>Camões – Instituto da Cooperação e da Língua (Camões, I.P.)</v>
      </c>
      <c r="B518" s="3" t="str">
        <f>IFERROR(__xludf.DUMMYFUNCTION("""COMPUTED_VALUE"""),"Energy")</f>
        <v>Energy</v>
      </c>
    </row>
    <row r="519">
      <c r="A519" s="3" t="str">
        <f>IFERROR(__xludf.DUMMYFUNCTION("""COMPUTED_VALUE"""),"Camões – Instituto da Cooperação e da Língua (Camões, I.P.)")</f>
        <v>Camões – Instituto da Cooperação e da Língua (Camões, I.P.)</v>
      </c>
      <c r="B519" s="3" t="str">
        <f>IFERROR(__xludf.DUMMYFUNCTION("""COMPUTED_VALUE"""),"""Land, Food and Forest""")</f>
        <v>"Land, Food and Forest"</v>
      </c>
    </row>
    <row r="520">
      <c r="A520" s="3" t="str">
        <f>IFERROR(__xludf.DUMMYFUNCTION("""COMPUTED_VALUE"""),"Misereor (Misereor)")</f>
        <v>Misereor (Misereor)</v>
      </c>
      <c r="B520" s="3" t="str">
        <f>IFERROR(__xludf.DUMMYFUNCTION("""COMPUTED_VALUE"""),"""Land, Food and Forest""")</f>
        <v>"Land, Food and Forest"</v>
      </c>
    </row>
    <row r="521">
      <c r="A521" s="3" t="str">
        <f>IFERROR(__xludf.DUMMYFUNCTION("""COMPUTED_VALUE"""),"Trias (Trias vzw)")</f>
        <v>Trias (Trias vzw)</v>
      </c>
      <c r="B521" s="3" t="str">
        <f>IFERROR(__xludf.DUMMYFUNCTION("""COMPUTED_VALUE"""),"""Land, Food and Forest""")</f>
        <v>"Land, Food and Forest"</v>
      </c>
    </row>
    <row r="522">
      <c r="A522" s="3" t="str">
        <f>IFERROR(__xludf.DUMMYFUNCTION("""COMPUTED_VALUE"""),"Brot für die Welt (Brot für die Welt)")</f>
        <v>Brot für die Welt (Brot für die Welt)</v>
      </c>
      <c r="B522" s="3" t="str">
        <f>IFERROR(__xludf.DUMMYFUNCTION("""COMPUTED_VALUE"""),"Emergency response")</f>
        <v>Emergency response</v>
      </c>
    </row>
    <row r="523">
      <c r="A523" s="3" t="str">
        <f>IFERROR(__xludf.DUMMYFUNCTION("""COMPUTED_VALUE"""),"Brot für die Welt (Brot für die Welt)")</f>
        <v>Brot für die Welt (Brot für die Welt)</v>
      </c>
      <c r="B523" s="3" t="str">
        <f>IFERROR(__xludf.DUMMYFUNCTION("""COMPUTED_VALUE"""),"""Land, Food and Forest""")</f>
        <v>"Land, Food and Forest"</v>
      </c>
    </row>
    <row r="524">
      <c r="A524" s="3" t="str">
        <f>IFERROR(__xludf.DUMMYFUNCTION("""COMPUTED_VALUE"""),"Catholic Agency for Overseas Development (CAFOD)")</f>
        <v>Catholic Agency for Overseas Development (CAFOD)</v>
      </c>
      <c r="B524" s="3" t="str">
        <f>IFERROR(__xludf.DUMMYFUNCTION("""COMPUTED_VALUE"""),"Emergency response")</f>
        <v>Emergency response</v>
      </c>
    </row>
    <row r="525">
      <c r="A525" s="3" t="str">
        <f>IFERROR(__xludf.DUMMYFUNCTION("""COMPUTED_VALUE"""),"Catholic Agency for Overseas Development (CAFOD)")</f>
        <v>Catholic Agency for Overseas Development (CAFOD)</v>
      </c>
      <c r="B525" s="3" t="str">
        <f>IFERROR(__xludf.DUMMYFUNCTION("""COMPUTED_VALUE"""),"""Land, Food and Forest""")</f>
        <v>"Land, Food and Forest"</v>
      </c>
    </row>
    <row r="526">
      <c r="A526" s="3" t="str">
        <f>IFERROR(__xludf.DUMMYFUNCTION("""COMPUTED_VALUE"""),"Fundação Heinrich Böll (Heinrich Böll Stiftung)")</f>
        <v>Fundação Heinrich Böll (Heinrich Böll Stiftung)</v>
      </c>
      <c r="B526" s="3" t="str">
        <f>IFERROR(__xludf.DUMMYFUNCTION("""COMPUTED_VALUE"""),"Energy")</f>
        <v>Energy</v>
      </c>
    </row>
    <row r="527">
      <c r="A527" s="3" t="str">
        <f>IFERROR(__xludf.DUMMYFUNCTION("""COMPUTED_VALUE"""),"Fundação Heinrich Böll (Heinrich Böll Stiftung)")</f>
        <v>Fundação Heinrich Böll (Heinrich Böll Stiftung)</v>
      </c>
      <c r="B527" s="3" t="str">
        <f>IFERROR(__xludf.DUMMYFUNCTION("""COMPUTED_VALUE"""),"""Land, Food and Forest""")</f>
        <v>"Land, Food and Forest"</v>
      </c>
    </row>
    <row r="528">
      <c r="A528" s="3" t="str">
        <f>IFERROR(__xludf.DUMMYFUNCTION("""COMPUTED_VALUE"""),"Fundação Friedrich Ebert (Friedrich-Ebert-Stiftung)")</f>
        <v>Fundação Friedrich Ebert (Friedrich-Ebert-Stiftung)</v>
      </c>
      <c r="B528" s="3" t="str">
        <f>IFERROR(__xludf.DUMMYFUNCTION("""COMPUTED_VALUE"""),"Buildings &amp; Transport")</f>
        <v>Buildings &amp; Transport</v>
      </c>
    </row>
    <row r="529">
      <c r="A529" s="3" t="str">
        <f>IFERROR(__xludf.DUMMYFUNCTION("""COMPUTED_VALUE"""),"Fundação Friedrich Ebert (Friedrich-Ebert-Stiftung)")</f>
        <v>Fundação Friedrich Ebert (Friedrich-Ebert-Stiftung)</v>
      </c>
      <c r="B529" s="3" t="str">
        <f>IFERROR(__xludf.DUMMYFUNCTION("""COMPUTED_VALUE"""),"Energy")</f>
        <v>Energy</v>
      </c>
    </row>
    <row r="530">
      <c r="A530" s="3" t="str">
        <f>IFERROR(__xludf.DUMMYFUNCTION("""COMPUTED_VALUE"""),"Fundação Konrad Adenauer (Konrad-Adenauer-Stiftung)")</f>
        <v>Fundação Konrad Adenauer (Konrad-Adenauer-Stiftung)</v>
      </c>
      <c r="B530" s="3" t="str">
        <f>IFERROR(__xludf.DUMMYFUNCTION("""COMPUTED_VALUE"""),"Buildings &amp; Transport")</f>
        <v>Buildings &amp; Transport</v>
      </c>
    </row>
    <row r="531">
      <c r="A531" s="3" t="str">
        <f>IFERROR(__xludf.DUMMYFUNCTION("""COMPUTED_VALUE"""),"Fundação Konrad Adenauer (Konrad-Adenauer-Stiftung)")</f>
        <v>Fundação Konrad Adenauer (Konrad-Adenauer-Stiftung)</v>
      </c>
      <c r="B531" s="3" t="str">
        <f>IFERROR(__xludf.DUMMYFUNCTION("""COMPUTED_VALUE"""),"Energy")</f>
        <v>Energy</v>
      </c>
    </row>
    <row r="532">
      <c r="A532" s="3" t="str">
        <f>IFERROR(__xludf.DUMMYFUNCTION("""COMPUTED_VALUE"""),"Fundação Rosa Luxemburgo (Rosa-Luxemburg-Stiftung)")</f>
        <v>Fundação Rosa Luxemburgo (Rosa-Luxemburg-Stiftung)</v>
      </c>
      <c r="B532" s="3" t="str">
        <f>IFERROR(__xludf.DUMMYFUNCTION("""COMPUTED_VALUE"""),"Energy")</f>
        <v>Energy</v>
      </c>
    </row>
    <row r="533">
      <c r="A533" s="3" t="str">
        <f>IFERROR(__xludf.DUMMYFUNCTION("""COMPUTED_VALUE"""),"Fundação Rosa Luxemburgo (Rosa-Luxemburg-Stiftung)")</f>
        <v>Fundação Rosa Luxemburgo (Rosa-Luxemburg-Stiftung)</v>
      </c>
      <c r="B533" s="3" t="str">
        <f>IFERROR(__xludf.DUMMYFUNCTION("""COMPUTED_VALUE"""),"""Land, Food and Forest""")</f>
        <v>"Land, Food and Forest"</v>
      </c>
    </row>
    <row r="534">
      <c r="A534" s="3" t="str">
        <f>IFERROR(__xludf.DUMMYFUNCTION("""COMPUTED_VALUE"""),"Plan International Brasil (Plan International)")</f>
        <v>Plan International Brasil (Plan International)</v>
      </c>
      <c r="B534" s="3" t="str">
        <f>IFERROR(__xludf.DUMMYFUNCTION("""COMPUTED_VALUE"""),"Emergency response")</f>
        <v>Emergency response</v>
      </c>
    </row>
    <row r="535">
      <c r="A535" s="3" t="str">
        <f>IFERROR(__xludf.DUMMYFUNCTION("""COMPUTED_VALUE"""),"Save the Children Brasil (Save the Children)")</f>
        <v>Save the Children Brasil (Save the Children)</v>
      </c>
      <c r="B535" s="3" t="str">
        <f>IFERROR(__xludf.DUMMYFUNCTION("""COMPUTED_VALUE"""),"Emergency response")</f>
        <v>Emergency response</v>
      </c>
    </row>
    <row r="536">
      <c r="A536" s="3" t="str">
        <f>IFERROR(__xludf.DUMMYFUNCTION("""COMPUTED_VALUE"""),"Visão Mundial (Visão Mundial)")</f>
        <v>Visão Mundial (Visão Mundial)</v>
      </c>
      <c r="B536" s="3" t="str">
        <f>IFERROR(__xludf.DUMMYFUNCTION("""COMPUTED_VALUE"""),"Emergency response")</f>
        <v>Emergency response</v>
      </c>
    </row>
    <row r="537">
      <c r="A537" s="3" t="str">
        <f>IFERROR(__xludf.DUMMYFUNCTION("""COMPUTED_VALUE"""),"Movimento dos Trabalhadores Rurais Sem Terra (MST)")</f>
        <v>Movimento dos Trabalhadores Rurais Sem Terra (MST)</v>
      </c>
      <c r="B537" s="3" t="str">
        <f>IFERROR(__xludf.DUMMYFUNCTION("""COMPUTED_VALUE"""),"Emergency response")</f>
        <v>Emergency response</v>
      </c>
    </row>
    <row r="538">
      <c r="A538" s="3" t="str">
        <f>IFERROR(__xludf.DUMMYFUNCTION("""COMPUTED_VALUE"""),"Movimento dos Trabalhadores Rurais Sem Terra (MST)")</f>
        <v>Movimento dos Trabalhadores Rurais Sem Terra (MST)</v>
      </c>
      <c r="B538" s="3" t="str">
        <f>IFERROR(__xludf.DUMMYFUNCTION("""COMPUTED_VALUE"""),"""Land, Food and Forest""")</f>
        <v>"Land, Food and Forest"</v>
      </c>
    </row>
    <row r="539">
      <c r="A539" s="3" t="str">
        <f>IFERROR(__xludf.DUMMYFUNCTION("""COMPUTED_VALUE"""),"Movimento dos Trabalhadores Sem Teto (MTST)")</f>
        <v>Movimento dos Trabalhadores Sem Teto (MTST)</v>
      </c>
      <c r="B539" s="3" t="str">
        <f>IFERROR(__xludf.DUMMYFUNCTION("""COMPUTED_VALUE"""),"Buildings &amp; Transport")</f>
        <v>Buildings &amp; Transport</v>
      </c>
    </row>
    <row r="540">
      <c r="A540" s="3" t="str">
        <f>IFERROR(__xludf.DUMMYFUNCTION("""COMPUTED_VALUE"""),"Movimento dos Atingidos por Barragens (MAB)")</f>
        <v>Movimento dos Atingidos por Barragens (MAB)</v>
      </c>
      <c r="B540" s="3" t="str">
        <f>IFERROR(__xludf.DUMMYFUNCTION("""COMPUTED_VALUE"""),"Energy")</f>
        <v>Energy</v>
      </c>
    </row>
    <row r="541">
      <c r="A541" s="3" t="str">
        <f>IFERROR(__xludf.DUMMYFUNCTION("""COMPUTED_VALUE"""),"Movimento dos Atingidos por Barragens (MAB)")</f>
        <v>Movimento dos Atingidos por Barragens (MAB)</v>
      </c>
      <c r="B541" s="3" t="str">
        <f>IFERROR(__xludf.DUMMYFUNCTION("""COMPUTED_VALUE"""),"""Land, Food and Forest""")</f>
        <v>"Land, Food and Forest"</v>
      </c>
    </row>
    <row r="542">
      <c r="A542" s="3" t="str">
        <f>IFERROR(__xludf.DUMMYFUNCTION("""COMPUTED_VALUE"""),"Movimento dos Pequenos Agricultores (MPA)")</f>
        <v>Movimento dos Pequenos Agricultores (MPA)</v>
      </c>
      <c r="B542" s="3" t="str">
        <f>IFERROR(__xludf.DUMMYFUNCTION("""COMPUTED_VALUE"""),"""Land, Food and Forest""")</f>
        <v>"Land, Food and Forest"</v>
      </c>
    </row>
    <row r="543">
      <c r="A543" s="3" t="str">
        <f>IFERROR(__xludf.DUMMYFUNCTION("""COMPUTED_VALUE"""),"Movimento pela Soberania Popular na Mineração (MAM)")</f>
        <v>Movimento pela Soberania Popular na Mineração (MAM)</v>
      </c>
      <c r="B543" s="3" t="str">
        <f>IFERROR(__xludf.DUMMYFUNCTION("""COMPUTED_VALUE"""),"Energy")</f>
        <v>Energy</v>
      </c>
    </row>
    <row r="544">
      <c r="A544" s="3" t="str">
        <f>IFERROR(__xludf.DUMMYFUNCTION("""COMPUTED_VALUE"""),"Movimento pela Soberania Popular na Mineração (MAM)")</f>
        <v>Movimento pela Soberania Popular na Mineração (MAM)</v>
      </c>
      <c r="B544" s="3" t="str">
        <f>IFERROR(__xludf.DUMMYFUNCTION("""COMPUTED_VALUE"""),"""Land, Food and Forest""")</f>
        <v>"Land, Food and Forest"</v>
      </c>
    </row>
    <row r="545">
      <c r="A545" s="3" t="str">
        <f>IFERROR(__xludf.DUMMYFUNCTION("""COMPUTED_VALUE"""),"Confederação Nacional dos Trabalhadores Rurais Agricultores e Agricultoras Familiares (CONTAG)")</f>
        <v>Confederação Nacional dos Trabalhadores Rurais Agricultores e Agricultoras Familiares (CONTAG)</v>
      </c>
      <c r="B545" s="3" t="str">
        <f>IFERROR(__xludf.DUMMYFUNCTION("""COMPUTED_VALUE"""),"""Land, Food and Forest""")</f>
        <v>"Land, Food and Forest"</v>
      </c>
    </row>
    <row r="546">
      <c r="A546" s="3" t="str">
        <f>IFERROR(__xludf.DUMMYFUNCTION("""COMPUTED_VALUE"""),"Coordenação Nacional de Articulação das Comunidades Negras Rurais Quilombolas (CONAQ)")</f>
        <v>Coordenação Nacional de Articulação das Comunidades Negras Rurais Quilombolas (CONAQ)</v>
      </c>
      <c r="B546" s="3" t="str">
        <f>IFERROR(__xludf.DUMMYFUNCTION("""COMPUTED_VALUE"""),"""Land, Food and Forest""")</f>
        <v>"Land, Food and Forest"</v>
      </c>
    </row>
    <row r="547">
      <c r="A547" s="3" t="str">
        <f>IFERROR(__xludf.DUMMYFUNCTION("""COMPUTED_VALUE"""),"Movimento de Mulheres Camponesas (MMC)")</f>
        <v>Movimento de Mulheres Camponesas (MMC)</v>
      </c>
      <c r="B547" s="3" t="str">
        <f>IFERROR(__xludf.DUMMYFUNCTION("""COMPUTED_VALUE"""),"""Land, Food and Forest""")</f>
        <v>"Land, Food and Forest"</v>
      </c>
    </row>
    <row r="548">
      <c r="A548" s="3" t="str">
        <f>IFERROR(__xludf.DUMMYFUNCTION("""COMPUTED_VALUE"""),"Movimento Interestadual das Quebradeiras de Coco Babaçu (MIQCB)")</f>
        <v>Movimento Interestadual das Quebradeiras de Coco Babaçu (MIQCB)</v>
      </c>
      <c r="B548" s="3" t="str">
        <f>IFERROR(__xludf.DUMMYFUNCTION("""COMPUTED_VALUE"""),"""Land, Food and Forest""")</f>
        <v>"Land, Food and Forest"</v>
      </c>
    </row>
    <row r="549">
      <c r="A549" s="3" t="str">
        <f>IFERROR(__xludf.DUMMYFUNCTION("""COMPUTED_VALUE"""),"Conselho Pastoral dos Pescadores (CPP)")</f>
        <v>Conselho Pastoral dos Pescadores (CPP)</v>
      </c>
      <c r="B549" s="3" t="str">
        <f>IFERROR(__xludf.DUMMYFUNCTION("""COMPUTED_VALUE"""),"""Land, Food and Forest""")</f>
        <v>"Land, Food and Forest"</v>
      </c>
    </row>
    <row r="550">
      <c r="A550" s="3" t="str">
        <f>IFERROR(__xludf.DUMMYFUNCTION("""COMPUTED_VALUE"""),"Movimento Nacional de Catadores de Materiais Recicláveis (MNCR)")</f>
        <v>Movimento Nacional de Catadores de Materiais Recicláveis (MNCR)</v>
      </c>
      <c r="B550" s="3" t="str">
        <f>IFERROR(__xludf.DUMMYFUNCTION("""COMPUTED_VALUE"""),"Buildings &amp; Transport")</f>
        <v>Buildings &amp; Transport</v>
      </c>
    </row>
    <row r="551">
      <c r="A551" s="3" t="str">
        <f>IFERROR(__xludf.DUMMYFUNCTION("""COMPUTED_VALUE"""),"Articulação dos Povos Indígenas do Nordeste, Minas Gerais e Espírito Santo (APOINME)")</f>
        <v>Articulação dos Povos Indígenas do Nordeste, Minas Gerais e Espírito Santo (APOINME)</v>
      </c>
      <c r="B551" s="3" t="str">
        <f>IFERROR(__xludf.DUMMYFUNCTION("""COMPUTED_VALUE"""),"""Land, Food and Forest""")</f>
        <v>"Land, Food and Forest"</v>
      </c>
    </row>
    <row r="552">
      <c r="A552" s="3" t="str">
        <f>IFERROR(__xludf.DUMMYFUNCTION("""COMPUTED_VALUE"""),"Federação das Organizações Indígenas do Rio Negro (FOIRN)")</f>
        <v>Federação das Organizações Indígenas do Rio Negro (FOIRN)</v>
      </c>
      <c r="B552" s="3" t="str">
        <f>IFERROR(__xludf.DUMMYFUNCTION("""COMPUTED_VALUE"""),"""Land, Food and Forest""")</f>
        <v>"Land, Food and Forest"</v>
      </c>
    </row>
    <row r="553">
      <c r="A553" s="3" t="str">
        <f>IFERROR(__xludf.DUMMYFUNCTION("""COMPUTED_VALUE"""),"Conselho Indígena de Roraima (CIR)")</f>
        <v>Conselho Indígena de Roraima (CIR)</v>
      </c>
      <c r="B553" s="3" t="str">
        <f>IFERROR(__xludf.DUMMYFUNCTION("""COMPUTED_VALUE"""),"""Land, Food and Forest""")</f>
        <v>"Land, Food and Forest"</v>
      </c>
    </row>
    <row r="554">
      <c r="A554" s="3" t="str">
        <f>IFERROR(__xludf.DUMMYFUNCTION("""COMPUTED_VALUE"""),"Hutukara Associação Yanomami (HAY)")</f>
        <v>Hutukara Associação Yanomami (HAY)</v>
      </c>
      <c r="B554" s="3" t="str">
        <f>IFERROR(__xludf.DUMMYFUNCTION("""COMPUTED_VALUE"""),"""Land, Food and Forest""")</f>
        <v>"Land, Food and Forest"</v>
      </c>
    </row>
    <row r="555">
      <c r="A555" s="3" t="str">
        <f>IFERROR(__xludf.DUMMYFUNCTION("""COMPUTED_VALUE"""),"Movimento Xingu Vivo para Sempre")</f>
        <v>Movimento Xingu Vivo para Sempre</v>
      </c>
      <c r="B555" s="3" t="str">
        <f>IFERROR(__xludf.DUMMYFUNCTION("""COMPUTED_VALUE"""),"Energy")</f>
        <v>Energy</v>
      </c>
    </row>
    <row r="556">
      <c r="A556" s="3" t="str">
        <f>IFERROR(__xludf.DUMMYFUNCTION("""COMPUTED_VALUE"""),"Movimento Xingu Vivo para Sempre")</f>
        <v>Movimento Xingu Vivo para Sempre</v>
      </c>
      <c r="B556" s="3" t="str">
        <f>IFERROR(__xludf.DUMMYFUNCTION("""COMPUTED_VALUE"""),"""Land, Food and Forest""")</f>
        <v>"Land, Food and Forest"</v>
      </c>
    </row>
    <row r="557">
      <c r="A557" s="3" t="str">
        <f>IFERROR(__xludf.DUMMYFUNCTION("""COMPUTED_VALUE"""),"Rede Xingu+ (Rede Xingu+)")</f>
        <v>Rede Xingu+ (Rede Xingu+)</v>
      </c>
      <c r="B557" s="3" t="str">
        <f>IFERROR(__xludf.DUMMYFUNCTION("""COMPUTED_VALUE"""),"""Land, Food and Forest""")</f>
        <v>"Land, Food and Forest"</v>
      </c>
    </row>
    <row r="558">
      <c r="A558" s="3" t="str">
        <f>IFERROR(__xludf.DUMMYFUNCTION("""COMPUTED_VALUE"""),"Movimento Tapajós Vivo")</f>
        <v>Movimento Tapajós Vivo</v>
      </c>
      <c r="B558" s="3" t="str">
        <f>IFERROR(__xludf.DUMMYFUNCTION("""COMPUTED_VALUE"""),"Energy")</f>
        <v>Energy</v>
      </c>
    </row>
    <row r="559">
      <c r="A559" s="3" t="str">
        <f>IFERROR(__xludf.DUMMYFUNCTION("""COMPUTED_VALUE"""),"Movimento Tapajós Vivo")</f>
        <v>Movimento Tapajós Vivo</v>
      </c>
      <c r="B559" s="3" t="str">
        <f>IFERROR(__xludf.DUMMYFUNCTION("""COMPUTED_VALUE"""),"""Land, Food and Forest""")</f>
        <v>"Land, Food and Forest"</v>
      </c>
    </row>
    <row r="560">
      <c r="A560" s="3" t="str">
        <f>IFERROR(__xludf.DUMMYFUNCTION("""COMPUTED_VALUE"""),"Articulação Nacional de Economia Solidária (FBES)")</f>
        <v>Articulação Nacional de Economia Solidária (FBES)</v>
      </c>
      <c r="B560" s="3" t="str">
        <f>IFERROR(__xludf.DUMMYFUNCTION("""COMPUTED_VALUE"""),"Buildings &amp; Transport")</f>
        <v>Buildings &amp; Transport</v>
      </c>
    </row>
    <row r="561">
      <c r="A561" s="3" t="str">
        <f>IFERROR(__xludf.DUMMYFUNCTION("""COMPUTED_VALUE"""),"Articulação Nacional de Economia Solidária (FBES)")</f>
        <v>Articulação Nacional de Economia Solidária (FBES)</v>
      </c>
      <c r="B561" s="3" t="str">
        <f>IFERROR(__xludf.DUMMYFUNCTION("""COMPUTED_VALUE"""),"""Land, Food and Forest""")</f>
        <v>"Land, Food and Forest"</v>
      </c>
    </row>
    <row r="562">
      <c r="A562" s="3" t="str">
        <f>IFERROR(__xludf.DUMMYFUNCTION("""COMPUTED_VALUE"""),"Movimento Atingidos pelas Renováveis (MAR)")</f>
        <v>Movimento Atingidos pelas Renováveis (MAR)</v>
      </c>
      <c r="B562" s="3" t="str">
        <f>IFERROR(__xludf.DUMMYFUNCTION("""COMPUTED_VALUE"""),"Energy")</f>
        <v>Energy</v>
      </c>
    </row>
    <row r="563">
      <c r="A563" s="3" t="str">
        <f>IFERROR(__xludf.DUMMYFUNCTION("""COMPUTED_VALUE"""),"Seridó Vivo (Seridó Vivo)")</f>
        <v>Seridó Vivo (Seridó Vivo)</v>
      </c>
      <c r="B563" s="3" t="str">
        <f>IFERROR(__xludf.DUMMYFUNCTION("""COMPUTED_VALUE"""),"Energy")</f>
        <v>Energy</v>
      </c>
    </row>
    <row r="564">
      <c r="A564" s="3" t="str">
        <f>IFERROR(__xludf.DUMMYFUNCTION("""COMPUTED_VALUE"""),"Coalizão Energia Limpa (Coalizão Energia Limpa)")</f>
        <v>Coalizão Energia Limpa (Coalizão Energia Limpa)</v>
      </c>
      <c r="B564" s="3" t="str">
        <f>IFERROR(__xludf.DUMMYFUNCTION("""COMPUTED_VALUE"""),"Energy")</f>
        <v>Energy</v>
      </c>
    </row>
    <row r="1001">
      <c r="C1001" s="77" t="s">
        <v>3</v>
      </c>
    </row>
    <row r="1002">
      <c r="C1002" s="77" t="s">
        <v>6</v>
      </c>
    </row>
    <row r="1003">
      <c r="C1003" s="77" t="s">
        <v>6</v>
      </c>
    </row>
    <row r="1004">
      <c r="C1004" s="77" t="s">
        <v>6</v>
      </c>
    </row>
    <row r="1005">
      <c r="C1005" s="77" t="s">
        <v>17</v>
      </c>
    </row>
    <row r="1006">
      <c r="C1006" s="77" t="s">
        <v>17</v>
      </c>
    </row>
    <row r="1007">
      <c r="C1007" s="77" t="s">
        <v>17</v>
      </c>
    </row>
    <row r="1008">
      <c r="C1008" s="77" t="s">
        <v>17</v>
      </c>
    </row>
    <row r="1009">
      <c r="C1009" s="77" t="s">
        <v>14</v>
      </c>
    </row>
    <row r="1010">
      <c r="C1010" s="77" t="s">
        <v>17</v>
      </c>
    </row>
    <row r="1011">
      <c r="C1011" s="77" t="s">
        <v>17</v>
      </c>
    </row>
    <row r="1012">
      <c r="C1012" s="77" t="s">
        <v>17</v>
      </c>
    </row>
    <row r="1013">
      <c r="C1013" s="77" t="s">
        <v>15</v>
      </c>
    </row>
    <row r="1014">
      <c r="C1014" s="77" t="s">
        <v>145</v>
      </c>
    </row>
    <row r="1015">
      <c r="C1015" s="77" t="s">
        <v>145</v>
      </c>
    </row>
    <row r="1016">
      <c r="C1016" s="77" t="s">
        <v>23</v>
      </c>
    </row>
    <row r="1017">
      <c r="C1017" s="77" t="s">
        <v>17</v>
      </c>
    </row>
    <row r="1018">
      <c r="C1018" s="77" t="s">
        <v>6</v>
      </c>
    </row>
    <row r="1019">
      <c r="C1019" s="77" t="s">
        <v>17</v>
      </c>
    </row>
    <row r="1020">
      <c r="C1020" s="77" t="s">
        <v>15</v>
      </c>
    </row>
    <row r="1021">
      <c r="C1021" s="77" t="s">
        <v>6</v>
      </c>
    </row>
    <row r="1022">
      <c r="C1022" s="77" t="s">
        <v>28</v>
      </c>
    </row>
    <row r="1023">
      <c r="C1023" s="77" t="s">
        <v>15</v>
      </c>
    </row>
    <row r="1024">
      <c r="C1024" s="77" t="s">
        <v>15</v>
      </c>
    </row>
    <row r="1025">
      <c r="C1025" s="77" t="s">
        <v>6</v>
      </c>
    </row>
    <row r="1026">
      <c r="C1026" s="77" t="s">
        <v>6</v>
      </c>
    </row>
    <row r="1027">
      <c r="C1027" s="77" t="s">
        <v>6</v>
      </c>
    </row>
    <row r="1028">
      <c r="C1028" s="77" t="s">
        <v>6</v>
      </c>
    </row>
    <row r="1029">
      <c r="C1029" s="77" t="s">
        <v>17</v>
      </c>
    </row>
    <row r="1030">
      <c r="C1030" s="77" t="s">
        <v>6</v>
      </c>
    </row>
    <row r="1031">
      <c r="C1031" s="77" t="s">
        <v>6</v>
      </c>
    </row>
    <row r="1032">
      <c r="C1032" s="77" t="s">
        <v>15</v>
      </c>
    </row>
    <row r="1033">
      <c r="C1033" s="77" t="s">
        <v>28</v>
      </c>
    </row>
    <row r="1034">
      <c r="C1034" s="77" t="s">
        <v>6</v>
      </c>
    </row>
    <row r="1035">
      <c r="C1035" s="77" t="s">
        <v>6</v>
      </c>
    </row>
    <row r="1036">
      <c r="C1036" s="77" t="s">
        <v>6</v>
      </c>
    </row>
    <row r="1037">
      <c r="C1037" s="77" t="s">
        <v>6</v>
      </c>
    </row>
    <row r="1038">
      <c r="C1038" s="77" t="s">
        <v>10</v>
      </c>
    </row>
    <row r="1039">
      <c r="C1039" s="77" t="s">
        <v>145</v>
      </c>
    </row>
    <row r="1040">
      <c r="C1040" s="77" t="s">
        <v>145</v>
      </c>
    </row>
    <row r="1041">
      <c r="C1041" s="77" t="s">
        <v>17</v>
      </c>
    </row>
    <row r="1042">
      <c r="C1042" s="77" t="s">
        <v>17</v>
      </c>
    </row>
    <row r="1043">
      <c r="C1043" s="77" t="s">
        <v>28</v>
      </c>
    </row>
    <row r="1044">
      <c r="C1044" s="77" t="s">
        <v>28</v>
      </c>
    </row>
    <row r="1045">
      <c r="C1045" s="77" t="s">
        <v>6</v>
      </c>
    </row>
    <row r="1046">
      <c r="C1046" s="77" t="s">
        <v>17</v>
      </c>
    </row>
    <row r="1047">
      <c r="C1047" s="77" t="s">
        <v>17</v>
      </c>
    </row>
    <row r="1048">
      <c r="C1048" s="77" t="s">
        <v>8</v>
      </c>
    </row>
    <row r="1049">
      <c r="C1049" s="77" t="s">
        <v>145</v>
      </c>
    </row>
    <row r="1050">
      <c r="C1050" s="77" t="s">
        <v>17</v>
      </c>
    </row>
    <row r="1051">
      <c r="C1051" s="77" t="s">
        <v>6</v>
      </c>
    </row>
    <row r="1052">
      <c r="C1052" s="77" t="s">
        <v>17</v>
      </c>
    </row>
    <row r="1053">
      <c r="C1053" s="77" t="s">
        <v>17</v>
      </c>
    </row>
    <row r="1054">
      <c r="C1054" s="77" t="s">
        <v>10</v>
      </c>
    </row>
    <row r="1055">
      <c r="C1055" s="77" t="s">
        <v>6</v>
      </c>
    </row>
    <row r="1056">
      <c r="C1056" s="77" t="s">
        <v>145</v>
      </c>
    </row>
    <row r="1057">
      <c r="C1057" s="77" t="s">
        <v>145</v>
      </c>
    </row>
    <row r="1058">
      <c r="C1058" s="77" t="s">
        <v>10</v>
      </c>
    </row>
    <row r="1059">
      <c r="C1059" s="77" t="s">
        <v>6</v>
      </c>
    </row>
    <row r="1060">
      <c r="C1060" s="77" t="s">
        <v>14</v>
      </c>
    </row>
    <row r="1061">
      <c r="C1061" s="77" t="s">
        <v>6</v>
      </c>
    </row>
    <row r="1062">
      <c r="C1062" s="77" t="s">
        <v>6</v>
      </c>
    </row>
    <row r="1063">
      <c r="C1063" s="77" t="s">
        <v>17</v>
      </c>
    </row>
    <row r="1064">
      <c r="C1064" s="77" t="s">
        <v>17</v>
      </c>
    </row>
    <row r="1065">
      <c r="C1065" s="77" t="s">
        <v>6</v>
      </c>
    </row>
    <row r="1066">
      <c r="C1066" s="77" t="s">
        <v>6</v>
      </c>
    </row>
    <row r="1067">
      <c r="C1067" s="77" t="s">
        <v>145</v>
      </c>
    </row>
    <row r="1068">
      <c r="C1068" s="77" t="s">
        <v>10</v>
      </c>
    </row>
    <row r="1069">
      <c r="C1069" s="77" t="s">
        <v>145</v>
      </c>
    </row>
    <row r="1070">
      <c r="C1070" s="77" t="s">
        <v>6</v>
      </c>
    </row>
    <row r="1071">
      <c r="C1071" s="77" t="s">
        <v>145</v>
      </c>
    </row>
    <row r="1072">
      <c r="C1072" s="77" t="s">
        <v>17</v>
      </c>
    </row>
    <row r="1073">
      <c r="C1073" s="77" t="s">
        <v>145</v>
      </c>
    </row>
    <row r="1074">
      <c r="C1074" s="77" t="s">
        <v>14</v>
      </c>
    </row>
    <row r="1075">
      <c r="C1075" s="77" t="s">
        <v>145</v>
      </c>
    </row>
    <row r="1076">
      <c r="C1076" s="77" t="s">
        <v>145</v>
      </c>
    </row>
    <row r="1077">
      <c r="C1077" s="77" t="s">
        <v>145</v>
      </c>
    </row>
    <row r="1078">
      <c r="C1078" s="77" t="s">
        <v>17</v>
      </c>
    </row>
    <row r="1079">
      <c r="C1079" s="77" t="s">
        <v>6</v>
      </c>
    </row>
    <row r="1080">
      <c r="C1080" s="77" t="s">
        <v>6</v>
      </c>
    </row>
    <row r="1081">
      <c r="C1081" s="77" t="s">
        <v>8</v>
      </c>
    </row>
    <row r="1082">
      <c r="C1082" s="77" t="s">
        <v>8</v>
      </c>
    </row>
    <row r="1083">
      <c r="C1083" s="77" t="s">
        <v>6</v>
      </c>
    </row>
    <row r="1084">
      <c r="C1084" s="77" t="s">
        <v>6</v>
      </c>
    </row>
    <row r="1085">
      <c r="C1085" s="77" t="s">
        <v>17</v>
      </c>
    </row>
    <row r="1086">
      <c r="C1086" s="77" t="s">
        <v>23</v>
      </c>
    </row>
    <row r="1087">
      <c r="C1087" s="77" t="s">
        <v>145</v>
      </c>
    </row>
    <row r="1088">
      <c r="C1088" s="77" t="s">
        <v>145</v>
      </c>
    </row>
    <row r="1089">
      <c r="C1089" s="77" t="s">
        <v>145</v>
      </c>
    </row>
    <row r="1090">
      <c r="C1090" s="77" t="s">
        <v>6</v>
      </c>
    </row>
    <row r="1091">
      <c r="C1091" s="77" t="s">
        <v>17</v>
      </c>
    </row>
    <row r="1092">
      <c r="C1092" s="77" t="s">
        <v>6</v>
      </c>
    </row>
    <row r="1093">
      <c r="C1093" s="77" t="s">
        <v>8</v>
      </c>
    </row>
    <row r="1094">
      <c r="C1094" s="77" t="s">
        <v>17</v>
      </c>
    </row>
    <row r="1095">
      <c r="C1095" s="77" t="s">
        <v>14</v>
      </c>
    </row>
    <row r="1096">
      <c r="C1096" s="77" t="s">
        <v>28</v>
      </c>
    </row>
    <row r="1097">
      <c r="C1097" s="77" t="s">
        <v>6</v>
      </c>
    </row>
    <row r="1098">
      <c r="C1098" s="77" t="s">
        <v>17</v>
      </c>
    </row>
    <row r="1099">
      <c r="C1099" s="77" t="s">
        <v>15</v>
      </c>
    </row>
    <row r="1100">
      <c r="C1100" s="77" t="s">
        <v>14</v>
      </c>
    </row>
    <row r="1101">
      <c r="C1101" s="77" t="s">
        <v>14</v>
      </c>
    </row>
    <row r="1102">
      <c r="C1102" s="77" t="s">
        <v>27</v>
      </c>
    </row>
    <row r="1103">
      <c r="C1103" s="77" t="s">
        <v>27</v>
      </c>
    </row>
    <row r="1104">
      <c r="C1104" s="77" t="s">
        <v>27</v>
      </c>
    </row>
    <row r="1105">
      <c r="C1105" s="77" t="s">
        <v>27</v>
      </c>
    </row>
    <row r="1106">
      <c r="C1106" s="77" t="s">
        <v>27</v>
      </c>
    </row>
    <row r="1107">
      <c r="C1107" s="77" t="s">
        <v>27</v>
      </c>
    </row>
    <row r="1108">
      <c r="C1108" s="77" t="s">
        <v>27</v>
      </c>
    </row>
    <row r="1109">
      <c r="C1109" s="77" t="s">
        <v>27</v>
      </c>
    </row>
    <row r="1110">
      <c r="C1110" s="77" t="s">
        <v>27</v>
      </c>
    </row>
    <row r="1111">
      <c r="C1111" s="77" t="s">
        <v>27</v>
      </c>
    </row>
    <row r="1112">
      <c r="C1112" s="77" t="s">
        <v>17</v>
      </c>
    </row>
    <row r="1113">
      <c r="C1113" s="77" t="s">
        <v>27</v>
      </c>
    </row>
    <row r="1114">
      <c r="C1114" s="77" t="s">
        <v>17</v>
      </c>
    </row>
    <row r="1115">
      <c r="C1115" s="77" t="s">
        <v>17</v>
      </c>
    </row>
    <row r="1116">
      <c r="C1116" s="77" t="s">
        <v>8</v>
      </c>
    </row>
    <row r="1117">
      <c r="C1117" s="77" t="s">
        <v>8</v>
      </c>
    </row>
    <row r="1118">
      <c r="C1118" s="77" t="s">
        <v>8</v>
      </c>
    </row>
    <row r="1119">
      <c r="C1119" s="77" t="s">
        <v>8</v>
      </c>
    </row>
    <row r="1120">
      <c r="C1120" s="77" t="s">
        <v>8</v>
      </c>
    </row>
    <row r="1121">
      <c r="C1121" s="77" t="s">
        <v>17</v>
      </c>
    </row>
    <row r="1122">
      <c r="C1122" s="77" t="s">
        <v>8</v>
      </c>
    </row>
    <row r="1123">
      <c r="C1123" s="77" t="s">
        <v>8</v>
      </c>
    </row>
    <row r="1124">
      <c r="C1124" s="77" t="s">
        <v>8</v>
      </c>
    </row>
    <row r="1125">
      <c r="C1125" s="77" t="s">
        <v>14</v>
      </c>
    </row>
    <row r="1126">
      <c r="C1126" s="77" t="s">
        <v>8</v>
      </c>
    </row>
    <row r="1127">
      <c r="C1127" s="77" t="s">
        <v>8</v>
      </c>
    </row>
    <row r="1128">
      <c r="C1128" s="77" t="s">
        <v>8</v>
      </c>
    </row>
    <row r="1129">
      <c r="C1129" s="77" t="s">
        <v>15</v>
      </c>
    </row>
    <row r="1130">
      <c r="C1130" s="77" t="s">
        <v>15</v>
      </c>
    </row>
    <row r="1131">
      <c r="C1131" s="77" t="s">
        <v>15</v>
      </c>
    </row>
    <row r="1132">
      <c r="C1132" s="77" t="s">
        <v>6</v>
      </c>
    </row>
    <row r="1133">
      <c r="C1133" s="77" t="s">
        <v>23</v>
      </c>
    </row>
    <row r="1134">
      <c r="C1134" s="77" t="s">
        <v>6</v>
      </c>
    </row>
    <row r="1135">
      <c r="C1135" s="77" t="s">
        <v>10</v>
      </c>
    </row>
    <row r="1136">
      <c r="C1136" s="77" t="s">
        <v>10</v>
      </c>
    </row>
    <row r="1137">
      <c r="C1137" s="77" t="s">
        <v>10</v>
      </c>
    </row>
    <row r="1138">
      <c r="C1138" s="77" t="s">
        <v>10</v>
      </c>
    </row>
    <row r="1139">
      <c r="C1139" s="77" t="s">
        <v>6</v>
      </c>
    </row>
    <row r="1140">
      <c r="C1140" s="77" t="s">
        <v>6</v>
      </c>
    </row>
    <row r="1141">
      <c r="C1141" s="77" t="s">
        <v>27</v>
      </c>
    </row>
    <row r="1142">
      <c r="C1142" s="77" t="s">
        <v>23</v>
      </c>
    </row>
    <row r="1143">
      <c r="C1143" s="77" t="s">
        <v>145</v>
      </c>
    </row>
    <row r="1144">
      <c r="C1144" s="77" t="s">
        <v>23</v>
      </c>
    </row>
    <row r="1145">
      <c r="C1145" s="77" t="s">
        <v>10</v>
      </c>
    </row>
    <row r="1146">
      <c r="C1146" s="77" t="s">
        <v>10</v>
      </c>
    </row>
    <row r="1147">
      <c r="C1147" s="77" t="s">
        <v>10</v>
      </c>
    </row>
    <row r="1148">
      <c r="C1148" s="77" t="s">
        <v>10</v>
      </c>
    </row>
    <row r="1149">
      <c r="C1149" s="77" t="s">
        <v>10</v>
      </c>
    </row>
    <row r="1150">
      <c r="C1150" s="77" t="s">
        <v>10</v>
      </c>
    </row>
    <row r="1151">
      <c r="C1151" s="77" t="s">
        <v>6</v>
      </c>
    </row>
    <row r="1152">
      <c r="C1152" s="77" t="s">
        <v>6</v>
      </c>
    </row>
    <row r="1153">
      <c r="C1153" s="77" t="s">
        <v>6</v>
      </c>
    </row>
    <row r="1154">
      <c r="C1154" s="77" t="s">
        <v>6</v>
      </c>
    </row>
    <row r="1155">
      <c r="C1155" s="77" t="s">
        <v>6</v>
      </c>
    </row>
    <row r="1156">
      <c r="C1156" s="77" t="s">
        <v>17</v>
      </c>
    </row>
    <row r="1157">
      <c r="C1157" s="77" t="s">
        <v>10</v>
      </c>
    </row>
    <row r="1158">
      <c r="C1158" s="77" t="s">
        <v>10</v>
      </c>
    </row>
    <row r="1159">
      <c r="C1159" s="77" t="s">
        <v>17</v>
      </c>
    </row>
    <row r="1160">
      <c r="C1160" s="77" t="s">
        <v>6</v>
      </c>
    </row>
    <row r="1161">
      <c r="C1161" s="77" t="s">
        <v>6</v>
      </c>
    </row>
    <row r="1162">
      <c r="C1162" s="77" t="s">
        <v>6</v>
      </c>
    </row>
    <row r="1163">
      <c r="C1163" s="77" t="s">
        <v>14</v>
      </c>
    </row>
    <row r="1164">
      <c r="C1164" s="77" t="s">
        <v>14</v>
      </c>
    </row>
    <row r="1165">
      <c r="C1165" s="77" t="s">
        <v>15</v>
      </c>
    </row>
    <row r="1166">
      <c r="C1166" s="77" t="s">
        <v>14</v>
      </c>
    </row>
    <row r="1167">
      <c r="C1167" s="77" t="s">
        <v>6</v>
      </c>
    </row>
    <row r="1168">
      <c r="C1168" s="77" t="s">
        <v>28</v>
      </c>
    </row>
    <row r="1169">
      <c r="C1169" s="77" t="s">
        <v>6</v>
      </c>
    </row>
    <row r="1170">
      <c r="C1170" s="77" t="s">
        <v>14</v>
      </c>
    </row>
    <row r="1171">
      <c r="C1171" s="77" t="s">
        <v>14</v>
      </c>
    </row>
    <row r="1172">
      <c r="C1172" s="77" t="s">
        <v>17</v>
      </c>
    </row>
    <row r="1173">
      <c r="C1173" s="77" t="s">
        <v>17</v>
      </c>
    </row>
    <row r="1174">
      <c r="C1174" s="77" t="s">
        <v>17</v>
      </c>
    </row>
    <row r="1175">
      <c r="C1175" s="77" t="s">
        <v>17</v>
      </c>
    </row>
    <row r="1176">
      <c r="C1176" s="77" t="s">
        <v>28</v>
      </c>
    </row>
    <row r="1177">
      <c r="C1177" s="77" t="s">
        <v>17</v>
      </c>
    </row>
    <row r="1178">
      <c r="C1178" s="77" t="s">
        <v>27</v>
      </c>
    </row>
    <row r="1179">
      <c r="C1179" s="77" t="s">
        <v>27</v>
      </c>
    </row>
    <row r="1180">
      <c r="C1180" s="77" t="s">
        <v>27</v>
      </c>
    </row>
    <row r="1181">
      <c r="C1181" s="77" t="s">
        <v>27</v>
      </c>
    </row>
    <row r="1182">
      <c r="C1182" s="77" t="s">
        <v>27</v>
      </c>
    </row>
    <row r="1183">
      <c r="C1183" s="77" t="s">
        <v>17</v>
      </c>
    </row>
    <row r="1184">
      <c r="C1184" s="77" t="s">
        <v>27</v>
      </c>
    </row>
    <row r="1185">
      <c r="C1185" s="77" t="s">
        <v>27</v>
      </c>
    </row>
    <row r="1186">
      <c r="C1186" s="77" t="s">
        <v>27</v>
      </c>
    </row>
    <row r="1187">
      <c r="C1187" s="77" t="s">
        <v>27</v>
      </c>
    </row>
    <row r="1188">
      <c r="C1188" s="77" t="s">
        <v>27</v>
      </c>
    </row>
    <row r="1189">
      <c r="C1189" s="77" t="s">
        <v>15</v>
      </c>
    </row>
    <row r="1190">
      <c r="C1190" s="77" t="s">
        <v>15</v>
      </c>
    </row>
    <row r="1191">
      <c r="C1191" s="77" t="s">
        <v>15</v>
      </c>
    </row>
    <row r="1192">
      <c r="C1192" s="77" t="s">
        <v>15</v>
      </c>
    </row>
    <row r="1193">
      <c r="C1193" s="77" t="s">
        <v>27</v>
      </c>
    </row>
    <row r="1194">
      <c r="C1194" s="77" t="s">
        <v>27</v>
      </c>
    </row>
    <row r="1195">
      <c r="C1195" s="77" t="s">
        <v>15</v>
      </c>
    </row>
    <row r="1196">
      <c r="C1196" s="77" t="s">
        <v>17</v>
      </c>
    </row>
    <row r="1197">
      <c r="C1197" s="77" t="s">
        <v>17</v>
      </c>
    </row>
    <row r="1198">
      <c r="C1198" s="77" t="s">
        <v>28</v>
      </c>
    </row>
    <row r="1199">
      <c r="C1199" s="77" t="s">
        <v>17</v>
      </c>
    </row>
    <row r="1200">
      <c r="C1200" s="77" t="s">
        <v>10</v>
      </c>
    </row>
    <row r="1201">
      <c r="C1201" s="77" t="s">
        <v>12</v>
      </c>
    </row>
    <row r="1202">
      <c r="C1202" s="77" t="s">
        <v>8</v>
      </c>
    </row>
    <row r="1203">
      <c r="C1203" s="77" t="s">
        <v>17</v>
      </c>
    </row>
    <row r="1204">
      <c r="C1204" s="77" t="s">
        <v>17</v>
      </c>
    </row>
    <row r="1205">
      <c r="C1205" s="77" t="s">
        <v>15</v>
      </c>
    </row>
    <row r="1206">
      <c r="C1206" s="77" t="s">
        <v>8</v>
      </c>
    </row>
    <row r="1207">
      <c r="C1207" s="77" t="s">
        <v>6</v>
      </c>
    </row>
    <row r="1208">
      <c r="C1208" s="77" t="s">
        <v>6</v>
      </c>
    </row>
    <row r="1209">
      <c r="C1209" s="77" t="s">
        <v>27</v>
      </c>
    </row>
    <row r="1210">
      <c r="C1210" s="77" t="s">
        <v>15</v>
      </c>
    </row>
    <row r="1211">
      <c r="C1211" s="77" t="s">
        <v>17</v>
      </c>
    </row>
    <row r="1212">
      <c r="C1212" s="77" t="s">
        <v>6</v>
      </c>
    </row>
    <row r="1213">
      <c r="C1213" s="77" t="s">
        <v>17</v>
      </c>
    </row>
    <row r="1214">
      <c r="C1214" s="77" t="s">
        <v>6</v>
      </c>
    </row>
    <row r="1215">
      <c r="C1215" s="77" t="s">
        <v>21</v>
      </c>
    </row>
    <row r="1216">
      <c r="C1216" s="77" t="s">
        <v>6</v>
      </c>
    </row>
    <row r="1217">
      <c r="C1217" s="77" t="s">
        <v>17</v>
      </c>
    </row>
    <row r="1218">
      <c r="C1218" s="77" t="s">
        <v>6</v>
      </c>
    </row>
    <row r="1219">
      <c r="C1219" s="77" t="s">
        <v>6</v>
      </c>
    </row>
    <row r="1220">
      <c r="C1220" s="77" t="s">
        <v>6</v>
      </c>
    </row>
    <row r="1221">
      <c r="C1221" s="77" t="s">
        <v>6</v>
      </c>
    </row>
    <row r="1222">
      <c r="C1222" s="77" t="s">
        <v>27</v>
      </c>
    </row>
    <row r="1223">
      <c r="C1223" s="77" t="s">
        <v>14</v>
      </c>
    </row>
    <row r="1224">
      <c r="C1224" s="77" t="s">
        <v>17</v>
      </c>
    </row>
    <row r="1225">
      <c r="C1225" s="77" t="s">
        <v>17</v>
      </c>
    </row>
    <row r="1226">
      <c r="C1226" s="77" t="s">
        <v>145</v>
      </c>
    </row>
    <row r="1227">
      <c r="C1227" s="77" t="s">
        <v>145</v>
      </c>
    </row>
    <row r="1228">
      <c r="C1228" s="77" t="s">
        <v>27</v>
      </c>
    </row>
    <row r="1229">
      <c r="C1229" s="77" t="s">
        <v>15</v>
      </c>
    </row>
    <row r="1230">
      <c r="C1230" s="77" t="s">
        <v>17</v>
      </c>
    </row>
    <row r="1231">
      <c r="C1231" s="77" t="s">
        <v>6</v>
      </c>
    </row>
    <row r="1232">
      <c r="C1232" s="77" t="s">
        <v>6</v>
      </c>
    </row>
    <row r="1233">
      <c r="C1233" s="77" t="s">
        <v>6</v>
      </c>
    </row>
    <row r="1234">
      <c r="C1234" s="77" t="s">
        <v>6</v>
      </c>
    </row>
    <row r="1235">
      <c r="C1235" s="77" t="s">
        <v>6</v>
      </c>
    </row>
    <row r="1236">
      <c r="C1236" s="77" t="s">
        <v>6</v>
      </c>
    </row>
    <row r="1237">
      <c r="C1237" s="77" t="s">
        <v>6</v>
      </c>
    </row>
    <row r="1238">
      <c r="C1238" s="77" t="s">
        <v>6</v>
      </c>
    </row>
    <row r="1239">
      <c r="C1239" s="77" t="s">
        <v>6</v>
      </c>
    </row>
    <row r="1240">
      <c r="C1240" s="77" t="s">
        <v>27</v>
      </c>
    </row>
    <row r="1241">
      <c r="C1241" s="77" t="s">
        <v>15</v>
      </c>
    </row>
    <row r="1242">
      <c r="C1242" s="77" t="s">
        <v>8</v>
      </c>
    </row>
    <row r="1243">
      <c r="C1243" s="77" t="s">
        <v>8</v>
      </c>
    </row>
    <row r="1244">
      <c r="C1244" s="77" t="s">
        <v>8</v>
      </c>
    </row>
    <row r="1245">
      <c r="C1245" s="77" t="s">
        <v>145</v>
      </c>
    </row>
    <row r="1246">
      <c r="C1246" s="77" t="s">
        <v>8</v>
      </c>
    </row>
    <row r="1247">
      <c r="C1247" s="77" t="s">
        <v>8</v>
      </c>
    </row>
    <row r="1248">
      <c r="C1248" s="77" t="s">
        <v>6</v>
      </c>
    </row>
    <row r="1249">
      <c r="C1249" s="77" t="s">
        <v>145</v>
      </c>
    </row>
    <row r="1250">
      <c r="C1250" s="77" t="s">
        <v>17</v>
      </c>
    </row>
    <row r="1251">
      <c r="C1251" s="77" t="s">
        <v>6</v>
      </c>
    </row>
    <row r="1252">
      <c r="C1252" s="77" t="s">
        <v>6</v>
      </c>
    </row>
    <row r="1253">
      <c r="C1253" s="77" t="s">
        <v>28</v>
      </c>
    </row>
    <row r="1254">
      <c r="C1254" s="77" t="s">
        <v>8</v>
      </c>
    </row>
    <row r="1255">
      <c r="C1255" s="77" t="s">
        <v>8</v>
      </c>
    </row>
    <row r="1256">
      <c r="C1256" s="77" t="s">
        <v>8</v>
      </c>
    </row>
    <row r="1257">
      <c r="C1257" s="77" t="s">
        <v>28</v>
      </c>
    </row>
    <row r="1258">
      <c r="C1258" s="77" t="s">
        <v>28</v>
      </c>
    </row>
    <row r="1259">
      <c r="C1259" s="77" t="s">
        <v>145</v>
      </c>
    </row>
    <row r="1260">
      <c r="C1260" s="77" t="s">
        <v>28</v>
      </c>
    </row>
    <row r="1261">
      <c r="C1261" s="77" t="s">
        <v>28</v>
      </c>
    </row>
    <row r="1262">
      <c r="C1262" s="77" t="s">
        <v>28</v>
      </c>
    </row>
    <row r="1263">
      <c r="C1263" s="77" t="s">
        <v>6</v>
      </c>
    </row>
    <row r="1264">
      <c r="C1264" s="77" t="s">
        <v>6</v>
      </c>
    </row>
    <row r="1265">
      <c r="C1265" s="77" t="s">
        <v>6</v>
      </c>
    </row>
    <row r="1266">
      <c r="C1266" s="77" t="s">
        <v>6</v>
      </c>
    </row>
    <row r="1267">
      <c r="C1267" s="77" t="s">
        <v>6</v>
      </c>
    </row>
    <row r="1268">
      <c r="C1268" s="77" t="s">
        <v>6</v>
      </c>
    </row>
    <row r="1269">
      <c r="C1269" s="77" t="s">
        <v>6</v>
      </c>
    </row>
    <row r="1270">
      <c r="C1270" s="77" t="s">
        <v>6</v>
      </c>
    </row>
    <row r="1271">
      <c r="C1271" s="77" t="s">
        <v>25</v>
      </c>
    </row>
    <row r="1272">
      <c r="C1272" s="77" t="s">
        <v>6</v>
      </c>
    </row>
    <row r="1273">
      <c r="C1273" s="77" t="s">
        <v>6</v>
      </c>
    </row>
    <row r="1274">
      <c r="C1274" s="77" t="s">
        <v>23</v>
      </c>
    </row>
    <row r="1275">
      <c r="C1275" s="77" t="s">
        <v>23</v>
      </c>
    </row>
    <row r="1276">
      <c r="C1276" s="77" t="s">
        <v>6</v>
      </c>
    </row>
    <row r="1277">
      <c r="C1277" s="77" t="s">
        <v>6</v>
      </c>
    </row>
    <row r="1278">
      <c r="C1278" s="77" t="s">
        <v>6</v>
      </c>
    </row>
    <row r="1279">
      <c r="C1279" s="77" t="s">
        <v>6</v>
      </c>
    </row>
    <row r="1280">
      <c r="C1280" s="77" t="s">
        <v>8</v>
      </c>
    </row>
    <row r="1281">
      <c r="C1281" s="77" t="s">
        <v>17</v>
      </c>
    </row>
    <row r="1282">
      <c r="C1282" s="77" t="s">
        <v>17</v>
      </c>
    </row>
    <row r="1283">
      <c r="C1283" s="77" t="s">
        <v>17</v>
      </c>
    </row>
    <row r="1284">
      <c r="C1284" s="77" t="s">
        <v>17</v>
      </c>
    </row>
    <row r="1285">
      <c r="C1285" s="77" t="s">
        <v>17</v>
      </c>
    </row>
    <row r="1286">
      <c r="C1286" s="77" t="s">
        <v>17</v>
      </c>
    </row>
    <row r="1287">
      <c r="C1287" s="77" t="s">
        <v>17</v>
      </c>
    </row>
    <row r="1288">
      <c r="C1288" s="77" t="s">
        <v>17</v>
      </c>
    </row>
    <row r="1289">
      <c r="C1289" s="77" t="s">
        <v>17</v>
      </c>
    </row>
    <row r="1290">
      <c r="C1290" s="77" t="s">
        <v>17</v>
      </c>
    </row>
    <row r="1291">
      <c r="C1291" s="77" t="s">
        <v>23</v>
      </c>
    </row>
    <row r="1292">
      <c r="C1292" s="77" t="s">
        <v>28</v>
      </c>
    </row>
    <row r="1293">
      <c r="C1293" s="77" t="s">
        <v>28</v>
      </c>
    </row>
    <row r="1294">
      <c r="C1294" s="77" t="s">
        <v>28</v>
      </c>
    </row>
    <row r="1295">
      <c r="C1295" s="77" t="s">
        <v>6</v>
      </c>
    </row>
    <row r="1296">
      <c r="C1296" s="77" t="s">
        <v>145</v>
      </c>
    </row>
    <row r="1297">
      <c r="C1297" s="77" t="s">
        <v>17</v>
      </c>
    </row>
    <row r="1298">
      <c r="C1298" s="77" t="s">
        <v>17</v>
      </c>
    </row>
    <row r="1299">
      <c r="C1299" s="77" t="s">
        <v>17</v>
      </c>
    </row>
    <row r="1300">
      <c r="C1300" s="77" t="s">
        <v>17</v>
      </c>
    </row>
    <row r="1301">
      <c r="C1301" s="77" t="s">
        <v>14</v>
      </c>
    </row>
    <row r="1302">
      <c r="C1302" s="77" t="s">
        <v>17</v>
      </c>
    </row>
    <row r="1303">
      <c r="C1303" s="77" t="s">
        <v>17</v>
      </c>
    </row>
    <row r="1304">
      <c r="C1304" s="77" t="s">
        <v>6</v>
      </c>
    </row>
    <row r="1305">
      <c r="C1305" s="77" t="s">
        <v>6</v>
      </c>
    </row>
    <row r="1306">
      <c r="C1306" s="77" t="s">
        <v>23</v>
      </c>
    </row>
    <row r="1307">
      <c r="C1307" s="77" t="s">
        <v>23</v>
      </c>
    </row>
    <row r="1308">
      <c r="C1308" s="77" t="s">
        <v>28</v>
      </c>
    </row>
    <row r="1309">
      <c r="C1309" s="77" t="s">
        <v>15</v>
      </c>
    </row>
    <row r="1310">
      <c r="C1310" s="77" t="s">
        <v>15</v>
      </c>
    </row>
    <row r="1311">
      <c r="C1311" s="77" t="s">
        <v>28</v>
      </c>
    </row>
    <row r="1312">
      <c r="C1312" s="77" t="s">
        <v>21</v>
      </c>
    </row>
    <row r="1313">
      <c r="C1313" s="77" t="s">
        <v>21</v>
      </c>
    </row>
    <row r="1314">
      <c r="C1314" s="77" t="s">
        <v>21</v>
      </c>
    </row>
    <row r="1315">
      <c r="C1315" s="77" t="s">
        <v>23</v>
      </c>
    </row>
    <row r="1316">
      <c r="C1316" s="77" t="s">
        <v>8</v>
      </c>
    </row>
    <row r="1317">
      <c r="C1317" s="77" t="s">
        <v>28</v>
      </c>
    </row>
    <row r="1318">
      <c r="C1318" s="77" t="s">
        <v>6</v>
      </c>
    </row>
    <row r="1319">
      <c r="C1319" s="77" t="s">
        <v>28</v>
      </c>
    </row>
    <row r="1320">
      <c r="C1320" s="77" t="s">
        <v>6</v>
      </c>
    </row>
    <row r="1321">
      <c r="C1321" s="77" t="s">
        <v>6</v>
      </c>
    </row>
    <row r="1322">
      <c r="C1322" s="77" t="s">
        <v>145</v>
      </c>
    </row>
    <row r="1323">
      <c r="C1323" s="77" t="s">
        <v>6</v>
      </c>
    </row>
    <row r="1324">
      <c r="C1324" s="77" t="s">
        <v>6</v>
      </c>
    </row>
    <row r="1325">
      <c r="C1325" s="77" t="s">
        <v>6</v>
      </c>
    </row>
    <row r="1326">
      <c r="C1326" s="77" t="s">
        <v>8</v>
      </c>
    </row>
    <row r="1327">
      <c r="C1327" s="77" t="s">
        <v>145</v>
      </c>
    </row>
    <row r="1328">
      <c r="C1328" s="77" t="s">
        <v>6</v>
      </c>
    </row>
    <row r="1329">
      <c r="C1329" s="77" t="s">
        <v>6</v>
      </c>
    </row>
    <row r="1330">
      <c r="C1330" s="77" t="s">
        <v>6</v>
      </c>
    </row>
    <row r="1331">
      <c r="C1331" s="77" t="s">
        <v>6</v>
      </c>
    </row>
    <row r="1332">
      <c r="C1332" s="77" t="s">
        <v>28</v>
      </c>
    </row>
    <row r="1333">
      <c r="C1333" s="77" t="s">
        <v>6</v>
      </c>
    </row>
    <row r="1334">
      <c r="C1334" s="77" t="s">
        <v>28</v>
      </c>
    </row>
    <row r="1335">
      <c r="C1335" s="77" t="s">
        <v>10</v>
      </c>
    </row>
    <row r="1336">
      <c r="C1336" s="77" t="s">
        <v>27</v>
      </c>
    </row>
    <row r="1337">
      <c r="C1337" s="77" t="s">
        <v>27</v>
      </c>
    </row>
    <row r="1338">
      <c r="C1338" s="77" t="s">
        <v>27</v>
      </c>
    </row>
    <row r="1339">
      <c r="C1339" s="77" t="s">
        <v>8</v>
      </c>
    </row>
    <row r="1340">
      <c r="C1340" s="77" t="s">
        <v>17</v>
      </c>
    </row>
  </sheetData>
  <autoFilter ref="$A$1:$B$562"/>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2.25"/>
  </cols>
  <sheetData>
    <row r="1">
      <c r="A1" s="3" t="s">
        <v>76</v>
      </c>
      <c r="B1" s="3" t="s">
        <v>3</v>
      </c>
    </row>
    <row r="2">
      <c r="A2" s="3" t="s">
        <v>88</v>
      </c>
      <c r="B2" s="78" t="s">
        <v>1559</v>
      </c>
    </row>
    <row r="3">
      <c r="A3" s="3" t="s">
        <v>88</v>
      </c>
      <c r="B3" s="78" t="s">
        <v>1559</v>
      </c>
    </row>
    <row r="4">
      <c r="A4" s="3" t="s">
        <v>105</v>
      </c>
      <c r="B4" s="78" t="s">
        <v>1559</v>
      </c>
    </row>
    <row r="5">
      <c r="A5" s="3" t="s">
        <v>105</v>
      </c>
      <c r="B5" s="3" t="s">
        <v>8</v>
      </c>
    </row>
    <row r="6">
      <c r="A6" s="3" t="s">
        <v>105</v>
      </c>
      <c r="B6" s="3" t="s">
        <v>27</v>
      </c>
    </row>
    <row r="7">
      <c r="A7" s="3" t="s">
        <v>105</v>
      </c>
      <c r="B7" s="78" t="s">
        <v>1559</v>
      </c>
    </row>
    <row r="8">
      <c r="A8" s="3" t="s">
        <v>105</v>
      </c>
      <c r="B8" s="3" t="s">
        <v>8</v>
      </c>
    </row>
    <row r="9">
      <c r="A9" s="3" t="s">
        <v>105</v>
      </c>
      <c r="B9" s="3" t="s">
        <v>27</v>
      </c>
    </row>
    <row r="10">
      <c r="A10" s="3" t="s">
        <v>105</v>
      </c>
      <c r="B10" s="78" t="s">
        <v>1559</v>
      </c>
    </row>
    <row r="11">
      <c r="A11" s="3" t="s">
        <v>132</v>
      </c>
      <c r="B11" s="3" t="s">
        <v>8</v>
      </c>
    </row>
    <row r="12">
      <c r="A12" s="3" t="s">
        <v>132</v>
      </c>
      <c r="B12" s="3" t="s">
        <v>27</v>
      </c>
    </row>
    <row r="13">
      <c r="A13" s="3" t="s">
        <v>132</v>
      </c>
      <c r="B13" s="78" t="s">
        <v>1559</v>
      </c>
    </row>
    <row r="14">
      <c r="A14" s="3" t="s">
        <v>88</v>
      </c>
      <c r="B14" s="3" t="s">
        <v>8</v>
      </c>
    </row>
    <row r="15">
      <c r="A15" s="3" t="s">
        <v>88</v>
      </c>
      <c r="B15" s="3" t="s">
        <v>27</v>
      </c>
    </row>
    <row r="16">
      <c r="A16" s="3" t="s">
        <v>88</v>
      </c>
      <c r="B16" s="78" t="s">
        <v>1559</v>
      </c>
    </row>
    <row r="17">
      <c r="A17" s="3" t="s">
        <v>88</v>
      </c>
      <c r="B17" s="3" t="s">
        <v>21</v>
      </c>
    </row>
    <row r="18">
      <c r="A18" s="3" t="s">
        <v>88</v>
      </c>
      <c r="B18" s="3" t="s">
        <v>8</v>
      </c>
    </row>
    <row r="19">
      <c r="A19" s="3" t="s">
        <v>88</v>
      </c>
      <c r="B19" s="3" t="s">
        <v>21</v>
      </c>
    </row>
    <row r="20">
      <c r="A20" s="3" t="s">
        <v>88</v>
      </c>
      <c r="B20" s="3" t="s">
        <v>27</v>
      </c>
    </row>
    <row r="21">
      <c r="A21" s="3" t="s">
        <v>88</v>
      </c>
      <c r="B21" s="78" t="s">
        <v>1559</v>
      </c>
    </row>
    <row r="22">
      <c r="A22" s="3" t="s">
        <v>132</v>
      </c>
      <c r="B22" s="3" t="s">
        <v>8</v>
      </c>
    </row>
    <row r="23">
      <c r="A23" s="3" t="s">
        <v>132</v>
      </c>
      <c r="B23" s="3" t="s">
        <v>27</v>
      </c>
    </row>
    <row r="24">
      <c r="A24" s="3" t="s">
        <v>132</v>
      </c>
      <c r="B24" s="78" t="s">
        <v>1559</v>
      </c>
    </row>
    <row r="25">
      <c r="A25" s="3" t="s">
        <v>132</v>
      </c>
      <c r="B25" s="3" t="s">
        <v>8</v>
      </c>
    </row>
    <row r="26">
      <c r="A26" s="3" t="s">
        <v>132</v>
      </c>
      <c r="B26" s="3" t="s">
        <v>27</v>
      </c>
    </row>
    <row r="27">
      <c r="A27" s="3" t="s">
        <v>132</v>
      </c>
      <c r="B27" s="78" t="s">
        <v>1559</v>
      </c>
    </row>
    <row r="28">
      <c r="A28" s="3" t="s">
        <v>132</v>
      </c>
      <c r="B28" s="3" t="s">
        <v>8</v>
      </c>
    </row>
    <row r="29">
      <c r="A29" s="3" t="s">
        <v>132</v>
      </c>
      <c r="B29" s="3" t="s">
        <v>27</v>
      </c>
    </row>
    <row r="30">
      <c r="A30" s="3" t="s">
        <v>132</v>
      </c>
      <c r="B30" s="78" t="s">
        <v>1559</v>
      </c>
    </row>
    <row r="31">
      <c r="A31" s="3" t="s">
        <v>132</v>
      </c>
      <c r="B31" s="3" t="s">
        <v>8</v>
      </c>
    </row>
    <row r="32">
      <c r="A32" s="3" t="s">
        <v>132</v>
      </c>
      <c r="B32" s="3" t="s">
        <v>27</v>
      </c>
    </row>
    <row r="33">
      <c r="A33" s="3" t="s">
        <v>88</v>
      </c>
      <c r="B33" s="3" t="s">
        <v>21</v>
      </c>
    </row>
    <row r="34">
      <c r="A34" s="3" t="s">
        <v>88</v>
      </c>
      <c r="B34" s="78" t="s">
        <v>1559</v>
      </c>
    </row>
    <row r="35">
      <c r="A35" s="3" t="s">
        <v>132</v>
      </c>
      <c r="B35" s="3" t="s">
        <v>8</v>
      </c>
    </row>
    <row r="36">
      <c r="A36" s="3" t="s">
        <v>132</v>
      </c>
      <c r="B36" s="3" t="s">
        <v>27</v>
      </c>
    </row>
    <row r="37">
      <c r="A37" s="3" t="s">
        <v>132</v>
      </c>
      <c r="B37" s="78" t="s">
        <v>1559</v>
      </c>
    </row>
    <row r="38">
      <c r="A38" s="3" t="s">
        <v>88</v>
      </c>
      <c r="B38" s="78" t="s">
        <v>1559</v>
      </c>
    </row>
    <row r="39">
      <c r="A39" s="3" t="s">
        <v>105</v>
      </c>
      <c r="B39" s="3" t="s">
        <v>8</v>
      </c>
    </row>
    <row r="40">
      <c r="A40" s="3" t="s">
        <v>105</v>
      </c>
      <c r="B40" s="3" t="s">
        <v>27</v>
      </c>
    </row>
    <row r="41">
      <c r="A41" s="3" t="s">
        <v>105</v>
      </c>
      <c r="B41" s="78" t="s">
        <v>1559</v>
      </c>
    </row>
    <row r="42">
      <c r="A42" s="3" t="s">
        <v>88</v>
      </c>
      <c r="B42" s="3" t="s">
        <v>8</v>
      </c>
    </row>
    <row r="43">
      <c r="A43" s="3" t="s">
        <v>88</v>
      </c>
      <c r="B43" s="3" t="s">
        <v>27</v>
      </c>
    </row>
    <row r="44">
      <c r="A44" s="3" t="s">
        <v>88</v>
      </c>
      <c r="B44" s="78" t="s">
        <v>1559</v>
      </c>
    </row>
    <row r="45">
      <c r="A45" s="3" t="s">
        <v>88</v>
      </c>
      <c r="B45" s="78" t="s">
        <v>1559</v>
      </c>
    </row>
    <row r="46">
      <c r="A46" s="3" t="s">
        <v>88</v>
      </c>
      <c r="B46" s="3" t="s">
        <v>27</v>
      </c>
    </row>
    <row r="47">
      <c r="A47" s="3" t="s">
        <v>88</v>
      </c>
      <c r="B47" s="78" t="s">
        <v>1559</v>
      </c>
    </row>
    <row r="48">
      <c r="A48" s="3" t="s">
        <v>88</v>
      </c>
      <c r="B48" s="3" t="s">
        <v>8</v>
      </c>
    </row>
    <row r="49">
      <c r="A49" s="3" t="s">
        <v>88</v>
      </c>
      <c r="B49" s="3" t="s">
        <v>27</v>
      </c>
    </row>
    <row r="50">
      <c r="A50" s="3" t="s">
        <v>88</v>
      </c>
      <c r="B50" s="3" t="s">
        <v>8</v>
      </c>
    </row>
    <row r="51">
      <c r="A51" s="3" t="s">
        <v>88</v>
      </c>
      <c r="B51" s="3" t="s">
        <v>27</v>
      </c>
    </row>
    <row r="52">
      <c r="A52" s="3" t="s">
        <v>132</v>
      </c>
      <c r="B52" s="78" t="s">
        <v>1559</v>
      </c>
    </row>
    <row r="53">
      <c r="A53" s="3" t="s">
        <v>132</v>
      </c>
      <c r="B53" s="78" t="s">
        <v>1559</v>
      </c>
    </row>
    <row r="54">
      <c r="A54" s="3" t="s">
        <v>132</v>
      </c>
      <c r="B54" s="78" t="s">
        <v>1559</v>
      </c>
    </row>
    <row r="55">
      <c r="A55" s="3" t="s">
        <v>132</v>
      </c>
      <c r="B55" s="78" t="s">
        <v>1559</v>
      </c>
    </row>
    <row r="56">
      <c r="A56" s="3" t="s">
        <v>132</v>
      </c>
      <c r="B56" s="3" t="s">
        <v>8</v>
      </c>
    </row>
    <row r="57">
      <c r="A57" s="3" t="s">
        <v>132</v>
      </c>
      <c r="B57" s="3" t="s">
        <v>27</v>
      </c>
    </row>
    <row r="58">
      <c r="A58" s="3" t="s">
        <v>132</v>
      </c>
      <c r="B58" s="78" t="s">
        <v>1559</v>
      </c>
    </row>
    <row r="59">
      <c r="A59" s="3" t="s">
        <v>132</v>
      </c>
      <c r="B59" s="78" t="s">
        <v>1559</v>
      </c>
    </row>
    <row r="60">
      <c r="A60" s="3" t="s">
        <v>132</v>
      </c>
      <c r="B60" s="78" t="s">
        <v>1559</v>
      </c>
    </row>
    <row r="61">
      <c r="A61" s="3" t="s">
        <v>132</v>
      </c>
      <c r="B61" s="3" t="s">
        <v>8</v>
      </c>
    </row>
    <row r="62">
      <c r="A62" s="3" t="s">
        <v>132</v>
      </c>
      <c r="B62" s="3" t="s">
        <v>27</v>
      </c>
    </row>
    <row r="63">
      <c r="A63" s="3" t="s">
        <v>132</v>
      </c>
      <c r="B63" s="78" t="s">
        <v>1559</v>
      </c>
    </row>
    <row r="64">
      <c r="A64" s="3" t="s">
        <v>132</v>
      </c>
      <c r="B64" s="78" t="s">
        <v>1559</v>
      </c>
    </row>
    <row r="65">
      <c r="A65" s="3" t="s">
        <v>132</v>
      </c>
      <c r="B65" s="78" t="s">
        <v>1559</v>
      </c>
    </row>
    <row r="66">
      <c r="A66" s="3" t="s">
        <v>105</v>
      </c>
      <c r="B66" s="3" t="s">
        <v>8</v>
      </c>
    </row>
    <row r="67">
      <c r="A67" s="3" t="s">
        <v>105</v>
      </c>
      <c r="B67" s="78" t="s">
        <v>1559</v>
      </c>
    </row>
    <row r="68">
      <c r="A68" s="3" t="s">
        <v>132</v>
      </c>
      <c r="B68" s="3" t="s">
        <v>8</v>
      </c>
    </row>
    <row r="69">
      <c r="A69" s="3" t="s">
        <v>132</v>
      </c>
      <c r="B69" s="3" t="s">
        <v>27</v>
      </c>
    </row>
    <row r="70">
      <c r="A70" s="3" t="s">
        <v>132</v>
      </c>
      <c r="B70" s="78" t="s">
        <v>1559</v>
      </c>
    </row>
    <row r="71">
      <c r="A71" s="3" t="s">
        <v>88</v>
      </c>
      <c r="B71" s="3" t="s">
        <v>8</v>
      </c>
    </row>
    <row r="72">
      <c r="A72" s="3" t="s">
        <v>88</v>
      </c>
      <c r="B72" s="3" t="s">
        <v>27</v>
      </c>
    </row>
    <row r="73">
      <c r="A73" s="3" t="s">
        <v>88</v>
      </c>
      <c r="B73" s="78" t="s">
        <v>1559</v>
      </c>
    </row>
    <row r="74">
      <c r="A74" s="3" t="s">
        <v>88</v>
      </c>
      <c r="B74" s="3" t="s">
        <v>27</v>
      </c>
    </row>
    <row r="75">
      <c r="A75" s="3" t="s">
        <v>88</v>
      </c>
      <c r="B75" s="78" t="s">
        <v>1559</v>
      </c>
    </row>
    <row r="76">
      <c r="A76" s="3" t="s">
        <v>105</v>
      </c>
      <c r="B76" s="3" t="s">
        <v>27</v>
      </c>
    </row>
    <row r="77">
      <c r="A77" s="3" t="s">
        <v>105</v>
      </c>
      <c r="B77" s="78" t="s">
        <v>1559</v>
      </c>
    </row>
    <row r="78">
      <c r="A78" s="3" t="s">
        <v>132</v>
      </c>
      <c r="B78" s="78" t="s">
        <v>1559</v>
      </c>
    </row>
    <row r="79">
      <c r="A79" s="3" t="s">
        <v>105</v>
      </c>
      <c r="B79" s="3" t="s">
        <v>8</v>
      </c>
    </row>
    <row r="80">
      <c r="A80" s="3" t="s">
        <v>105</v>
      </c>
      <c r="B80" s="3" t="s">
        <v>27</v>
      </c>
    </row>
    <row r="81">
      <c r="A81" s="3" t="s">
        <v>105</v>
      </c>
      <c r="B81" s="78" t="s">
        <v>1559</v>
      </c>
    </row>
    <row r="82">
      <c r="A82" s="3" t="s">
        <v>105</v>
      </c>
      <c r="B82" s="3" t="s">
        <v>8</v>
      </c>
    </row>
    <row r="83">
      <c r="A83" s="3" t="s">
        <v>105</v>
      </c>
      <c r="B83" s="3" t="s">
        <v>27</v>
      </c>
    </row>
    <row r="84">
      <c r="A84" s="3" t="s">
        <v>105</v>
      </c>
      <c r="B84" s="78" t="s">
        <v>1559</v>
      </c>
    </row>
    <row r="85">
      <c r="A85" s="3" t="s">
        <v>132</v>
      </c>
      <c r="B85" s="3" t="s">
        <v>8</v>
      </c>
    </row>
    <row r="86">
      <c r="A86" s="3" t="s">
        <v>132</v>
      </c>
      <c r="B86" s="3" t="s">
        <v>8</v>
      </c>
    </row>
    <row r="87">
      <c r="A87" s="3" t="s">
        <v>132</v>
      </c>
      <c r="B87" s="3" t="s">
        <v>27</v>
      </c>
    </row>
    <row r="88">
      <c r="A88" s="3" t="s">
        <v>132</v>
      </c>
      <c r="B88" s="78" t="s">
        <v>1559</v>
      </c>
    </row>
    <row r="89">
      <c r="A89" s="3" t="s">
        <v>105</v>
      </c>
      <c r="B89" s="78" t="s">
        <v>1559</v>
      </c>
    </row>
    <row r="90">
      <c r="A90" s="3" t="s">
        <v>132</v>
      </c>
      <c r="B90" s="3" t="s">
        <v>8</v>
      </c>
    </row>
    <row r="91">
      <c r="A91" s="3" t="s">
        <v>132</v>
      </c>
      <c r="B91" s="3" t="s">
        <v>27</v>
      </c>
    </row>
    <row r="92">
      <c r="A92" s="3" t="s">
        <v>132</v>
      </c>
      <c r="B92" s="78" t="s">
        <v>1559</v>
      </c>
    </row>
    <row r="93">
      <c r="A93" s="3" t="s">
        <v>105</v>
      </c>
      <c r="B93" s="3" t="s">
        <v>8</v>
      </c>
    </row>
    <row r="94">
      <c r="A94" s="3" t="s">
        <v>105</v>
      </c>
      <c r="B94" s="3" t="s">
        <v>27</v>
      </c>
    </row>
    <row r="95">
      <c r="A95" s="3" t="s">
        <v>105</v>
      </c>
      <c r="B95" s="78" t="s">
        <v>1559</v>
      </c>
    </row>
    <row r="96">
      <c r="A96" s="3" t="s">
        <v>88</v>
      </c>
      <c r="B96" s="3" t="s">
        <v>8</v>
      </c>
    </row>
    <row r="97">
      <c r="A97" s="3" t="s">
        <v>88</v>
      </c>
      <c r="B97" s="78" t="s">
        <v>1559</v>
      </c>
    </row>
    <row r="98">
      <c r="A98" s="3" t="s">
        <v>88</v>
      </c>
      <c r="B98" s="78" t="s">
        <v>1559</v>
      </c>
    </row>
    <row r="99">
      <c r="A99" s="3" t="s">
        <v>88</v>
      </c>
      <c r="B99" s="3" t="s">
        <v>8</v>
      </c>
    </row>
    <row r="100">
      <c r="A100" s="3" t="s">
        <v>88</v>
      </c>
      <c r="B100" s="78" t="s">
        <v>1559</v>
      </c>
    </row>
    <row r="101">
      <c r="A101" s="3" t="s">
        <v>88</v>
      </c>
      <c r="B101" s="78" t="s">
        <v>1559</v>
      </c>
    </row>
    <row r="102">
      <c r="A102" s="3" t="s">
        <v>105</v>
      </c>
      <c r="B102" s="3" t="s">
        <v>8</v>
      </c>
    </row>
    <row r="103">
      <c r="A103" s="3" t="s">
        <v>105</v>
      </c>
      <c r="B103" s="3" t="s">
        <v>21</v>
      </c>
    </row>
    <row r="104">
      <c r="A104" s="3" t="s">
        <v>105</v>
      </c>
      <c r="B104" s="3" t="s">
        <v>27</v>
      </c>
    </row>
    <row r="105">
      <c r="A105" s="3" t="s">
        <v>105</v>
      </c>
      <c r="B105" s="78" t="s">
        <v>1559</v>
      </c>
    </row>
    <row r="106">
      <c r="A106" s="3" t="s">
        <v>132</v>
      </c>
      <c r="B106" s="78" t="s">
        <v>1559</v>
      </c>
    </row>
    <row r="107">
      <c r="A107" s="3" t="s">
        <v>132</v>
      </c>
      <c r="B107" s="78" t="s">
        <v>1559</v>
      </c>
    </row>
    <row r="108">
      <c r="A108" s="3" t="s">
        <v>88</v>
      </c>
      <c r="B108" s="3" t="s">
        <v>8</v>
      </c>
    </row>
    <row r="109">
      <c r="A109" s="3" t="s">
        <v>88</v>
      </c>
      <c r="B109" s="3" t="s">
        <v>27</v>
      </c>
    </row>
    <row r="110">
      <c r="A110" s="3" t="s">
        <v>88</v>
      </c>
      <c r="B110" s="78" t="s">
        <v>1559</v>
      </c>
    </row>
    <row r="111">
      <c r="A111" s="3" t="s">
        <v>132</v>
      </c>
      <c r="B111" s="3" t="s">
        <v>8</v>
      </c>
    </row>
    <row r="112">
      <c r="A112" s="3" t="s">
        <v>132</v>
      </c>
      <c r="B112" s="3" t="s">
        <v>27</v>
      </c>
    </row>
    <row r="113">
      <c r="A113" s="3" t="s">
        <v>132</v>
      </c>
      <c r="B113" s="78" t="s">
        <v>1559</v>
      </c>
    </row>
    <row r="114">
      <c r="A114" s="3" t="s">
        <v>132</v>
      </c>
      <c r="B114" s="78" t="s">
        <v>1559</v>
      </c>
    </row>
    <row r="115">
      <c r="A115" s="3" t="s">
        <v>132</v>
      </c>
      <c r="B115" s="78" t="s">
        <v>1559</v>
      </c>
    </row>
    <row r="116">
      <c r="A116" s="3" t="s">
        <v>105</v>
      </c>
      <c r="B116" s="3" t="s">
        <v>8</v>
      </c>
    </row>
    <row r="117">
      <c r="A117" s="3" t="s">
        <v>105</v>
      </c>
      <c r="B117" s="78" t="s">
        <v>1559</v>
      </c>
    </row>
    <row r="118">
      <c r="A118" s="3" t="s">
        <v>88</v>
      </c>
      <c r="B118" s="78" t="s">
        <v>1559</v>
      </c>
    </row>
    <row r="119">
      <c r="A119" s="3" t="s">
        <v>132</v>
      </c>
      <c r="B119" s="3" t="s">
        <v>8</v>
      </c>
    </row>
    <row r="120">
      <c r="A120" s="3" t="s">
        <v>132</v>
      </c>
      <c r="B120" s="3" t="s">
        <v>27</v>
      </c>
    </row>
    <row r="121">
      <c r="A121" s="3" t="s">
        <v>132</v>
      </c>
      <c r="B121" s="78" t="s">
        <v>1559</v>
      </c>
    </row>
    <row r="122">
      <c r="A122" s="3" t="s">
        <v>132</v>
      </c>
      <c r="B122" s="3" t="s">
        <v>8</v>
      </c>
    </row>
    <row r="123">
      <c r="A123" s="3" t="s">
        <v>132</v>
      </c>
      <c r="B123" s="3" t="s">
        <v>21</v>
      </c>
    </row>
    <row r="124">
      <c r="A124" s="3" t="s">
        <v>132</v>
      </c>
      <c r="B124" s="3" t="s">
        <v>27</v>
      </c>
    </row>
    <row r="125">
      <c r="A125" s="3" t="s">
        <v>132</v>
      </c>
      <c r="B125" s="78" t="s">
        <v>1559</v>
      </c>
    </row>
    <row r="126">
      <c r="A126" s="3" t="s">
        <v>105</v>
      </c>
      <c r="B126" s="3" t="s">
        <v>8</v>
      </c>
    </row>
    <row r="127">
      <c r="A127" s="3" t="s">
        <v>105</v>
      </c>
      <c r="B127" s="3" t="s">
        <v>27</v>
      </c>
    </row>
    <row r="128">
      <c r="A128" s="3" t="s">
        <v>105</v>
      </c>
      <c r="B128" s="78" t="s">
        <v>1559</v>
      </c>
    </row>
    <row r="129">
      <c r="A129" s="3" t="s">
        <v>88</v>
      </c>
      <c r="B129" s="78" t="s">
        <v>1559</v>
      </c>
    </row>
    <row r="130">
      <c r="A130" s="3" t="s">
        <v>105</v>
      </c>
      <c r="B130" s="78" t="s">
        <v>1559</v>
      </c>
    </row>
    <row r="131">
      <c r="A131" s="3" t="s">
        <v>88</v>
      </c>
      <c r="B131" s="3" t="s">
        <v>8</v>
      </c>
    </row>
    <row r="132">
      <c r="A132" s="3" t="s">
        <v>88</v>
      </c>
      <c r="B132" s="3" t="s">
        <v>8</v>
      </c>
    </row>
    <row r="133">
      <c r="A133" s="3" t="s">
        <v>88</v>
      </c>
      <c r="B133" s="78" t="s">
        <v>1559</v>
      </c>
    </row>
    <row r="134">
      <c r="A134" s="3" t="s">
        <v>132</v>
      </c>
      <c r="B134" s="78" t="s">
        <v>1559</v>
      </c>
    </row>
    <row r="135">
      <c r="A135" s="3" t="s">
        <v>132</v>
      </c>
      <c r="B135" s="3" t="s">
        <v>8</v>
      </c>
    </row>
    <row r="136">
      <c r="A136" s="3" t="s">
        <v>132</v>
      </c>
      <c r="B136" s="3" t="s">
        <v>27</v>
      </c>
    </row>
    <row r="137">
      <c r="A137" s="3" t="s">
        <v>132</v>
      </c>
      <c r="B137" s="78" t="s">
        <v>1559</v>
      </c>
    </row>
    <row r="138">
      <c r="A138" s="3" t="s">
        <v>132</v>
      </c>
      <c r="B138" s="3" t="s">
        <v>21</v>
      </c>
    </row>
    <row r="139">
      <c r="A139" s="3" t="s">
        <v>132</v>
      </c>
      <c r="B139" s="78" t="s">
        <v>1559</v>
      </c>
    </row>
    <row r="140">
      <c r="A140" s="3" t="s">
        <v>132</v>
      </c>
      <c r="B140" s="78" t="s">
        <v>1559</v>
      </c>
    </row>
    <row r="141">
      <c r="A141" s="3" t="s">
        <v>132</v>
      </c>
      <c r="B141" s="3" t="s">
        <v>8</v>
      </c>
    </row>
    <row r="142">
      <c r="A142" s="3" t="s">
        <v>132</v>
      </c>
      <c r="B142" s="3" t="s">
        <v>27</v>
      </c>
    </row>
    <row r="143">
      <c r="A143" s="3" t="s">
        <v>132</v>
      </c>
      <c r="B143" s="78" t="s">
        <v>1559</v>
      </c>
    </row>
    <row r="144">
      <c r="A144" s="3" t="s">
        <v>132</v>
      </c>
      <c r="B144" s="78" t="s">
        <v>1559</v>
      </c>
    </row>
    <row r="145">
      <c r="A145" s="3" t="s">
        <v>132</v>
      </c>
      <c r="B145" s="3" t="s">
        <v>8</v>
      </c>
    </row>
    <row r="146">
      <c r="A146" s="3" t="s">
        <v>132</v>
      </c>
      <c r="B146" s="3" t="s">
        <v>8</v>
      </c>
    </row>
    <row r="147">
      <c r="A147" s="3" t="s">
        <v>132</v>
      </c>
      <c r="B147" s="3" t="s">
        <v>27</v>
      </c>
    </row>
    <row r="148">
      <c r="A148" s="3" t="s">
        <v>132</v>
      </c>
      <c r="B148" s="78" t="s">
        <v>1559</v>
      </c>
    </row>
    <row r="149">
      <c r="A149" s="3" t="s">
        <v>88</v>
      </c>
      <c r="B149" s="3" t="s">
        <v>8</v>
      </c>
    </row>
    <row r="150">
      <c r="A150" s="3" t="s">
        <v>88</v>
      </c>
      <c r="B150" s="3" t="s">
        <v>21</v>
      </c>
    </row>
    <row r="151">
      <c r="A151" s="3" t="s">
        <v>88</v>
      </c>
      <c r="B151" s="3" t="s">
        <v>27</v>
      </c>
    </row>
    <row r="152">
      <c r="A152" s="3" t="s">
        <v>88</v>
      </c>
      <c r="B152" s="78" t="s">
        <v>1559</v>
      </c>
    </row>
    <row r="153">
      <c r="A153" s="3" t="s">
        <v>88</v>
      </c>
      <c r="B153" s="3" t="s">
        <v>27</v>
      </c>
    </row>
    <row r="154">
      <c r="A154" s="3" t="s">
        <v>88</v>
      </c>
      <c r="B154" s="78" t="s">
        <v>1559</v>
      </c>
    </row>
    <row r="155">
      <c r="A155" s="3" t="s">
        <v>88</v>
      </c>
      <c r="B155" s="78" t="s">
        <v>1559</v>
      </c>
    </row>
    <row r="156">
      <c r="A156" s="3" t="s">
        <v>88</v>
      </c>
      <c r="B156" s="3" t="s">
        <v>8</v>
      </c>
    </row>
    <row r="157">
      <c r="A157" s="3" t="s">
        <v>88</v>
      </c>
      <c r="B157" s="3" t="s">
        <v>27</v>
      </c>
    </row>
    <row r="158">
      <c r="A158" s="3" t="s">
        <v>88</v>
      </c>
      <c r="B158" s="78" t="s">
        <v>1559</v>
      </c>
    </row>
    <row r="159">
      <c r="A159" s="3" t="s">
        <v>88</v>
      </c>
      <c r="B159" s="3" t="s">
        <v>8</v>
      </c>
    </row>
    <row r="160">
      <c r="A160" s="3" t="s">
        <v>88</v>
      </c>
      <c r="B160" s="3" t="s">
        <v>27</v>
      </c>
    </row>
    <row r="161">
      <c r="A161" s="3" t="s">
        <v>88</v>
      </c>
      <c r="B161" s="3" t="s">
        <v>8</v>
      </c>
    </row>
    <row r="162">
      <c r="A162" s="3" t="s">
        <v>88</v>
      </c>
      <c r="B162" s="3" t="s">
        <v>21</v>
      </c>
    </row>
    <row r="163">
      <c r="A163" s="3" t="s">
        <v>88</v>
      </c>
      <c r="B163" s="3" t="s">
        <v>27</v>
      </c>
    </row>
    <row r="164">
      <c r="A164" s="3" t="s">
        <v>88</v>
      </c>
      <c r="B164" s="78" t="s">
        <v>1559</v>
      </c>
    </row>
    <row r="165">
      <c r="A165" s="3" t="s">
        <v>88</v>
      </c>
      <c r="B165" s="3" t="s">
        <v>8</v>
      </c>
    </row>
    <row r="166">
      <c r="A166" s="3" t="s">
        <v>88</v>
      </c>
      <c r="B166" s="3" t="s">
        <v>21</v>
      </c>
    </row>
    <row r="167">
      <c r="A167" s="3" t="s">
        <v>88</v>
      </c>
      <c r="B167" s="3" t="s">
        <v>27</v>
      </c>
    </row>
    <row r="168">
      <c r="A168" s="3" t="s">
        <v>88</v>
      </c>
      <c r="B168" s="78" t="s">
        <v>1559</v>
      </c>
    </row>
    <row r="169">
      <c r="A169" s="3" t="s">
        <v>88</v>
      </c>
      <c r="B169" s="3" t="s">
        <v>27</v>
      </c>
    </row>
    <row r="170">
      <c r="A170" s="3" t="s">
        <v>88</v>
      </c>
      <c r="B170" s="3" t="s">
        <v>27</v>
      </c>
    </row>
    <row r="171">
      <c r="A171" s="3" t="s">
        <v>88</v>
      </c>
      <c r="B171" s="3" t="s">
        <v>27</v>
      </c>
    </row>
    <row r="172">
      <c r="A172" s="3" t="s">
        <v>88</v>
      </c>
      <c r="B172" s="3" t="s">
        <v>27</v>
      </c>
    </row>
    <row r="173">
      <c r="A173" s="3" t="s">
        <v>88</v>
      </c>
      <c r="B173" s="3" t="s">
        <v>27</v>
      </c>
    </row>
    <row r="174">
      <c r="A174" s="3" t="s">
        <v>88</v>
      </c>
      <c r="B174" s="3" t="s">
        <v>27</v>
      </c>
    </row>
    <row r="175">
      <c r="A175" s="3" t="s">
        <v>132</v>
      </c>
      <c r="B175" s="3" t="s">
        <v>8</v>
      </c>
    </row>
    <row r="176">
      <c r="A176" s="3" t="s">
        <v>132</v>
      </c>
      <c r="B176" s="3" t="s">
        <v>27</v>
      </c>
    </row>
    <row r="177">
      <c r="A177" s="3" t="s">
        <v>132</v>
      </c>
      <c r="B177" s="78" t="s">
        <v>1559</v>
      </c>
    </row>
    <row r="178">
      <c r="A178" s="3" t="s">
        <v>132</v>
      </c>
      <c r="B178" s="3" t="s">
        <v>27</v>
      </c>
    </row>
    <row r="179">
      <c r="A179" s="3" t="s">
        <v>88</v>
      </c>
      <c r="B179" s="3" t="s">
        <v>8</v>
      </c>
    </row>
    <row r="180">
      <c r="A180" s="3" t="s">
        <v>88</v>
      </c>
      <c r="B180" s="3" t="s">
        <v>27</v>
      </c>
    </row>
    <row r="181">
      <c r="A181" s="3" t="s">
        <v>88</v>
      </c>
      <c r="B181" s="78" t="s">
        <v>1559</v>
      </c>
    </row>
    <row r="182">
      <c r="A182" s="3" t="s">
        <v>88</v>
      </c>
      <c r="B182" s="3" t="s">
        <v>8</v>
      </c>
    </row>
    <row r="183">
      <c r="A183" s="3" t="s">
        <v>88</v>
      </c>
      <c r="B183" s="3" t="s">
        <v>27</v>
      </c>
    </row>
    <row r="184">
      <c r="A184" s="3" t="s">
        <v>88</v>
      </c>
      <c r="B184" s="78" t="s">
        <v>1559</v>
      </c>
    </row>
    <row r="185">
      <c r="A185" s="3" t="s">
        <v>132</v>
      </c>
      <c r="B185" s="3" t="s">
        <v>8</v>
      </c>
    </row>
    <row r="186">
      <c r="A186" s="3" t="s">
        <v>132</v>
      </c>
      <c r="B186" s="3" t="s">
        <v>8</v>
      </c>
    </row>
    <row r="187">
      <c r="A187" s="3" t="s">
        <v>88</v>
      </c>
      <c r="B187" s="3" t="s">
        <v>8</v>
      </c>
    </row>
    <row r="188">
      <c r="A188" s="3" t="s">
        <v>88</v>
      </c>
      <c r="B188" s="3" t="s">
        <v>8</v>
      </c>
    </row>
    <row r="189">
      <c r="A189" s="3" t="s">
        <v>88</v>
      </c>
      <c r="B189" s="3" t="s">
        <v>8</v>
      </c>
    </row>
    <row r="190">
      <c r="A190" s="3" t="s">
        <v>88</v>
      </c>
      <c r="B190" s="3" t="s">
        <v>27</v>
      </c>
    </row>
    <row r="191">
      <c r="A191" s="3" t="s">
        <v>88</v>
      </c>
      <c r="B191" s="78" t="s">
        <v>1559</v>
      </c>
    </row>
    <row r="192">
      <c r="A192" s="3" t="s">
        <v>88</v>
      </c>
      <c r="B192" s="3" t="s">
        <v>8</v>
      </c>
    </row>
    <row r="193">
      <c r="A193" s="3" t="s">
        <v>88</v>
      </c>
      <c r="B193" s="3" t="s">
        <v>8</v>
      </c>
    </row>
    <row r="194">
      <c r="A194" s="3" t="s">
        <v>132</v>
      </c>
      <c r="B194" s="3" t="s">
        <v>8</v>
      </c>
    </row>
    <row r="195">
      <c r="A195" s="3" t="s">
        <v>105</v>
      </c>
      <c r="B195" s="3" t="s">
        <v>8</v>
      </c>
    </row>
    <row r="196">
      <c r="A196" s="3" t="s">
        <v>105</v>
      </c>
      <c r="B196" s="3" t="s">
        <v>21</v>
      </c>
    </row>
    <row r="197">
      <c r="A197" s="3" t="s">
        <v>105</v>
      </c>
      <c r="B197" s="3" t="s">
        <v>27</v>
      </c>
    </row>
    <row r="198">
      <c r="A198" s="3" t="s">
        <v>105</v>
      </c>
      <c r="B198" s="78" t="s">
        <v>1559</v>
      </c>
    </row>
    <row r="199">
      <c r="A199" s="3" t="s">
        <v>88</v>
      </c>
      <c r="B199" s="3" t="s">
        <v>8</v>
      </c>
    </row>
    <row r="200">
      <c r="A200" s="3" t="s">
        <v>88</v>
      </c>
      <c r="B200" s="3" t="s">
        <v>8</v>
      </c>
    </row>
    <row r="201">
      <c r="A201" s="3" t="s">
        <v>88</v>
      </c>
      <c r="B201" s="3" t="s">
        <v>8</v>
      </c>
    </row>
    <row r="202">
      <c r="A202" s="3" t="s">
        <v>88</v>
      </c>
      <c r="B202" s="3" t="s">
        <v>8</v>
      </c>
    </row>
    <row r="203">
      <c r="A203" s="3" t="s">
        <v>88</v>
      </c>
      <c r="B203" s="3" t="s">
        <v>27</v>
      </c>
    </row>
    <row r="204">
      <c r="A204" s="3" t="s">
        <v>88</v>
      </c>
      <c r="B204" s="3" t="s">
        <v>8</v>
      </c>
    </row>
    <row r="205">
      <c r="A205" s="3" t="s">
        <v>88</v>
      </c>
      <c r="B205" s="3" t="s">
        <v>27</v>
      </c>
    </row>
    <row r="206">
      <c r="A206" s="3" t="s">
        <v>132</v>
      </c>
      <c r="B206" s="3" t="s">
        <v>8</v>
      </c>
    </row>
    <row r="207">
      <c r="A207" s="3" t="s">
        <v>132</v>
      </c>
      <c r="B207" s="3" t="s">
        <v>27</v>
      </c>
    </row>
    <row r="208">
      <c r="A208" s="3" t="s">
        <v>132</v>
      </c>
      <c r="B208" s="3" t="s">
        <v>21</v>
      </c>
    </row>
    <row r="209">
      <c r="A209" s="3" t="s">
        <v>132</v>
      </c>
      <c r="B209" s="78" t="s">
        <v>1559</v>
      </c>
    </row>
    <row r="210">
      <c r="A210" s="3" t="s">
        <v>88</v>
      </c>
      <c r="B210" s="78" t="s">
        <v>1559</v>
      </c>
    </row>
    <row r="211">
      <c r="A211" s="3" t="s">
        <v>88</v>
      </c>
      <c r="B211" s="3" t="s">
        <v>8</v>
      </c>
    </row>
    <row r="212">
      <c r="A212" s="3" t="s">
        <v>88</v>
      </c>
      <c r="B212" s="78" t="s">
        <v>1559</v>
      </c>
    </row>
    <row r="213">
      <c r="A213" s="3" t="s">
        <v>88</v>
      </c>
      <c r="B213" s="3" t="s">
        <v>8</v>
      </c>
    </row>
    <row r="214">
      <c r="A214" s="3" t="s">
        <v>88</v>
      </c>
      <c r="B214" s="78" t="s">
        <v>1559</v>
      </c>
    </row>
    <row r="215">
      <c r="A215" s="3" t="s">
        <v>88</v>
      </c>
      <c r="B215" s="3" t="s">
        <v>8</v>
      </c>
    </row>
    <row r="216">
      <c r="A216" s="3" t="s">
        <v>88</v>
      </c>
      <c r="B216" s="78" t="s">
        <v>1559</v>
      </c>
    </row>
    <row r="217">
      <c r="A217" s="3" t="s">
        <v>88</v>
      </c>
      <c r="B217" s="3" t="s">
        <v>8</v>
      </c>
    </row>
    <row r="218">
      <c r="A218" s="3" t="s">
        <v>88</v>
      </c>
      <c r="B218" s="78" t="s">
        <v>1559</v>
      </c>
    </row>
    <row r="219">
      <c r="A219" s="3" t="s">
        <v>132</v>
      </c>
      <c r="B219" s="78" t="s">
        <v>1559</v>
      </c>
    </row>
    <row r="220">
      <c r="A220" s="3" t="s">
        <v>132</v>
      </c>
      <c r="B220" s="78" t="s">
        <v>1559</v>
      </c>
    </row>
    <row r="221">
      <c r="A221" s="3" t="s">
        <v>88</v>
      </c>
      <c r="B221" s="3" t="s">
        <v>27</v>
      </c>
    </row>
    <row r="222">
      <c r="A222" s="3" t="s">
        <v>132</v>
      </c>
      <c r="B222" s="3" t="s">
        <v>21</v>
      </c>
    </row>
    <row r="223">
      <c r="A223" s="3" t="s">
        <v>132</v>
      </c>
      <c r="B223" s="78" t="s">
        <v>1559</v>
      </c>
    </row>
    <row r="224">
      <c r="A224" s="3" t="s">
        <v>88</v>
      </c>
      <c r="B224" s="3" t="s">
        <v>8</v>
      </c>
    </row>
    <row r="225">
      <c r="A225" s="3" t="s">
        <v>88</v>
      </c>
      <c r="B225" s="78" t="s">
        <v>1559</v>
      </c>
    </row>
    <row r="226">
      <c r="A226" s="3" t="s">
        <v>88</v>
      </c>
      <c r="B226" s="3" t="s">
        <v>8</v>
      </c>
    </row>
    <row r="227">
      <c r="A227" s="3" t="s">
        <v>88</v>
      </c>
      <c r="B227" s="78" t="s">
        <v>1559</v>
      </c>
    </row>
    <row r="228">
      <c r="A228" s="3" t="s">
        <v>88</v>
      </c>
      <c r="B228" s="3" t="s">
        <v>8</v>
      </c>
    </row>
    <row r="229">
      <c r="A229" s="3" t="s">
        <v>88</v>
      </c>
      <c r="B229" s="78" t="s">
        <v>1559</v>
      </c>
    </row>
    <row r="230">
      <c r="A230" s="3" t="s">
        <v>88</v>
      </c>
      <c r="B230" s="3" t="s">
        <v>8</v>
      </c>
    </row>
    <row r="231">
      <c r="A231" s="3" t="s">
        <v>88</v>
      </c>
      <c r="B231" s="78" t="s">
        <v>1559</v>
      </c>
    </row>
    <row r="232">
      <c r="A232" s="3" t="s">
        <v>88</v>
      </c>
      <c r="B232" s="3" t="s">
        <v>8</v>
      </c>
    </row>
    <row r="233">
      <c r="A233" s="3" t="s">
        <v>88</v>
      </c>
      <c r="B233" s="78" t="s">
        <v>1559</v>
      </c>
    </row>
    <row r="234">
      <c r="A234" s="3" t="s">
        <v>88</v>
      </c>
      <c r="B234" s="3" t="s">
        <v>8</v>
      </c>
    </row>
    <row r="235">
      <c r="A235" s="3" t="s">
        <v>88</v>
      </c>
      <c r="B235" s="78" t="s">
        <v>1559</v>
      </c>
    </row>
    <row r="236">
      <c r="A236" s="3" t="s">
        <v>132</v>
      </c>
      <c r="B236" s="78" t="s">
        <v>1559</v>
      </c>
    </row>
    <row r="237">
      <c r="A237" s="3" t="s">
        <v>132</v>
      </c>
      <c r="B237" s="78" t="s">
        <v>1559</v>
      </c>
    </row>
    <row r="238">
      <c r="A238" s="3" t="s">
        <v>88</v>
      </c>
      <c r="B238" s="78" t="s">
        <v>1559</v>
      </c>
    </row>
    <row r="239">
      <c r="A239" s="3" t="s">
        <v>132</v>
      </c>
      <c r="B239" s="78" t="s">
        <v>1559</v>
      </c>
    </row>
    <row r="240">
      <c r="A240" s="3" t="s">
        <v>88</v>
      </c>
      <c r="B240" s="3" t="s">
        <v>8</v>
      </c>
    </row>
    <row r="241">
      <c r="A241" s="3" t="s">
        <v>88</v>
      </c>
      <c r="B241" s="3" t="s">
        <v>27</v>
      </c>
    </row>
    <row r="242">
      <c r="A242" s="3" t="s">
        <v>88</v>
      </c>
      <c r="B242" s="78" t="s">
        <v>1559</v>
      </c>
    </row>
    <row r="243">
      <c r="A243" s="3" t="s">
        <v>88</v>
      </c>
      <c r="B243" s="3" t="s">
        <v>8</v>
      </c>
    </row>
    <row r="244">
      <c r="A244" s="3" t="s">
        <v>88</v>
      </c>
      <c r="B244" s="78" t="s">
        <v>1559</v>
      </c>
    </row>
    <row r="245">
      <c r="A245" s="3" t="s">
        <v>88</v>
      </c>
      <c r="B245" s="3" t="s">
        <v>8</v>
      </c>
    </row>
    <row r="246">
      <c r="A246" s="3" t="s">
        <v>88</v>
      </c>
      <c r="B246" s="78" t="s">
        <v>1559</v>
      </c>
    </row>
    <row r="247">
      <c r="A247" s="3" t="s">
        <v>105</v>
      </c>
      <c r="B247" s="3" t="s">
        <v>8</v>
      </c>
    </row>
    <row r="248">
      <c r="A248" s="3" t="s">
        <v>105</v>
      </c>
      <c r="B248" s="3" t="s">
        <v>27</v>
      </c>
    </row>
    <row r="249">
      <c r="A249" s="3" t="s">
        <v>105</v>
      </c>
      <c r="B249" s="78" t="s">
        <v>1559</v>
      </c>
    </row>
    <row r="250">
      <c r="A250" s="3" t="s">
        <v>132</v>
      </c>
      <c r="B250" s="78" t="s">
        <v>1559</v>
      </c>
    </row>
    <row r="251">
      <c r="A251" s="3" t="s">
        <v>132</v>
      </c>
      <c r="B251" s="78" t="s">
        <v>1559</v>
      </c>
    </row>
    <row r="252">
      <c r="A252" s="3" t="s">
        <v>132</v>
      </c>
      <c r="B252" s="78" t="s">
        <v>1559</v>
      </c>
    </row>
    <row r="253">
      <c r="A253" s="3" t="s">
        <v>88</v>
      </c>
      <c r="B253" s="3" t="s">
        <v>8</v>
      </c>
    </row>
    <row r="254">
      <c r="A254" s="3" t="s">
        <v>88</v>
      </c>
      <c r="B254" s="3" t="s">
        <v>21</v>
      </c>
    </row>
    <row r="255">
      <c r="A255" s="3" t="s">
        <v>88</v>
      </c>
      <c r="B255" s="3" t="s">
        <v>27</v>
      </c>
    </row>
    <row r="256">
      <c r="A256" s="3" t="s">
        <v>88</v>
      </c>
      <c r="B256" s="78" t="s">
        <v>1559</v>
      </c>
    </row>
    <row r="257">
      <c r="A257" s="3" t="s">
        <v>88</v>
      </c>
      <c r="B257" s="3" t="s">
        <v>8</v>
      </c>
    </row>
    <row r="258">
      <c r="A258" s="3" t="s">
        <v>88</v>
      </c>
      <c r="B258" s="3" t="s">
        <v>21</v>
      </c>
    </row>
    <row r="259">
      <c r="A259" s="3" t="s">
        <v>88</v>
      </c>
      <c r="B259" s="3" t="s">
        <v>27</v>
      </c>
    </row>
    <row r="260">
      <c r="A260" s="3" t="s">
        <v>88</v>
      </c>
      <c r="B260" s="78" t="s">
        <v>1559</v>
      </c>
    </row>
    <row r="261">
      <c r="A261" s="3" t="s">
        <v>88</v>
      </c>
      <c r="B261" s="3" t="s">
        <v>8</v>
      </c>
    </row>
    <row r="262">
      <c r="A262" s="3" t="s">
        <v>88</v>
      </c>
      <c r="B262" s="3" t="s">
        <v>27</v>
      </c>
    </row>
    <row r="263">
      <c r="A263" s="3" t="s">
        <v>88</v>
      </c>
      <c r="B263" s="3" t="s">
        <v>8</v>
      </c>
    </row>
    <row r="264">
      <c r="A264" s="3" t="s">
        <v>88</v>
      </c>
      <c r="B264" s="3" t="s">
        <v>21</v>
      </c>
    </row>
    <row r="265">
      <c r="A265" s="3" t="s">
        <v>88</v>
      </c>
      <c r="B265" s="3" t="s">
        <v>27</v>
      </c>
    </row>
    <row r="266">
      <c r="A266" s="3" t="s">
        <v>88</v>
      </c>
      <c r="B266" s="78" t="s">
        <v>1559</v>
      </c>
    </row>
    <row r="267">
      <c r="A267" s="3" t="s">
        <v>88</v>
      </c>
      <c r="B267" s="78" t="s">
        <v>1559</v>
      </c>
    </row>
    <row r="268">
      <c r="A268" s="3" t="s">
        <v>88</v>
      </c>
      <c r="B268" s="3" t="s">
        <v>27</v>
      </c>
    </row>
    <row r="269">
      <c r="A269" s="3" t="s">
        <v>88</v>
      </c>
      <c r="B269" s="78" t="s">
        <v>1559</v>
      </c>
    </row>
    <row r="270">
      <c r="A270" s="3" t="s">
        <v>88</v>
      </c>
      <c r="B270" s="78" t="s">
        <v>1559</v>
      </c>
    </row>
    <row r="271">
      <c r="A271" s="3" t="s">
        <v>88</v>
      </c>
      <c r="B271" s="3" t="s">
        <v>8</v>
      </c>
    </row>
    <row r="272">
      <c r="A272" s="3" t="s">
        <v>88</v>
      </c>
      <c r="B272" s="3" t="s">
        <v>21</v>
      </c>
    </row>
    <row r="273">
      <c r="A273" s="3" t="s">
        <v>88</v>
      </c>
      <c r="B273" s="3" t="s">
        <v>27</v>
      </c>
    </row>
    <row r="274">
      <c r="A274" s="3" t="s">
        <v>88</v>
      </c>
      <c r="B274" s="78" t="s">
        <v>1559</v>
      </c>
    </row>
    <row r="275">
      <c r="A275" s="3" t="s">
        <v>88</v>
      </c>
      <c r="B275" s="3" t="s">
        <v>8</v>
      </c>
    </row>
    <row r="276">
      <c r="A276" s="3" t="s">
        <v>88</v>
      </c>
      <c r="B276" s="3" t="s">
        <v>21</v>
      </c>
    </row>
    <row r="277">
      <c r="A277" s="3" t="s">
        <v>88</v>
      </c>
      <c r="B277" s="3" t="s">
        <v>27</v>
      </c>
    </row>
    <row r="278">
      <c r="A278" s="3" t="s">
        <v>88</v>
      </c>
      <c r="B278" s="78" t="s">
        <v>1559</v>
      </c>
    </row>
    <row r="279">
      <c r="A279" s="3" t="s">
        <v>132</v>
      </c>
      <c r="B279" s="3" t="s">
        <v>8</v>
      </c>
    </row>
    <row r="280">
      <c r="A280" s="3" t="s">
        <v>132</v>
      </c>
      <c r="B280" s="3" t="s">
        <v>27</v>
      </c>
    </row>
    <row r="281">
      <c r="A281" s="3" t="s">
        <v>132</v>
      </c>
      <c r="B281" s="78" t="s">
        <v>1559</v>
      </c>
    </row>
    <row r="282">
      <c r="A282" s="3" t="s">
        <v>132</v>
      </c>
      <c r="B282" s="3" t="s">
        <v>8</v>
      </c>
    </row>
    <row r="283">
      <c r="A283" s="3" t="s">
        <v>132</v>
      </c>
      <c r="B283" s="3" t="s">
        <v>27</v>
      </c>
    </row>
    <row r="284">
      <c r="A284" s="3" t="s">
        <v>132</v>
      </c>
      <c r="B284" s="78" t="s">
        <v>1559</v>
      </c>
    </row>
    <row r="285">
      <c r="A285" s="3" t="s">
        <v>132</v>
      </c>
      <c r="B285" s="3" t="s">
        <v>8</v>
      </c>
    </row>
    <row r="286">
      <c r="A286" s="3" t="s">
        <v>132</v>
      </c>
      <c r="B286" s="3" t="s">
        <v>27</v>
      </c>
    </row>
    <row r="287">
      <c r="A287" s="3" t="s">
        <v>132</v>
      </c>
      <c r="B287" s="78" t="s">
        <v>1559</v>
      </c>
    </row>
    <row r="288">
      <c r="A288" s="3" t="s">
        <v>105</v>
      </c>
      <c r="B288" s="3" t="s">
        <v>8</v>
      </c>
    </row>
    <row r="289">
      <c r="A289" s="3" t="s">
        <v>105</v>
      </c>
      <c r="B289" s="3" t="s">
        <v>27</v>
      </c>
    </row>
    <row r="290">
      <c r="A290" s="3" t="s">
        <v>105</v>
      </c>
      <c r="B290" s="78" t="s">
        <v>1559</v>
      </c>
    </row>
    <row r="291">
      <c r="A291" s="3" t="s">
        <v>132</v>
      </c>
      <c r="B291" s="3" t="s">
        <v>27</v>
      </c>
    </row>
    <row r="292">
      <c r="A292" s="3" t="s">
        <v>132</v>
      </c>
      <c r="B292" s="78" t="s">
        <v>1559</v>
      </c>
    </row>
    <row r="293">
      <c r="A293" s="3" t="s">
        <v>132</v>
      </c>
      <c r="B293" s="3" t="s">
        <v>8</v>
      </c>
    </row>
    <row r="294">
      <c r="A294" s="3" t="s">
        <v>132</v>
      </c>
      <c r="B294" s="3" t="s">
        <v>27</v>
      </c>
    </row>
    <row r="295">
      <c r="A295" s="3" t="s">
        <v>132</v>
      </c>
      <c r="B295" s="78" t="s">
        <v>1559</v>
      </c>
    </row>
    <row r="296">
      <c r="A296" s="3" t="s">
        <v>132</v>
      </c>
      <c r="B296" s="3" t="s">
        <v>27</v>
      </c>
    </row>
    <row r="297">
      <c r="A297" s="3" t="s">
        <v>132</v>
      </c>
      <c r="B297" s="3" t="s">
        <v>27</v>
      </c>
    </row>
    <row r="298">
      <c r="A298" s="3" t="s">
        <v>132</v>
      </c>
      <c r="B298" s="3" t="s">
        <v>27</v>
      </c>
    </row>
    <row r="299">
      <c r="A299" s="3" t="s">
        <v>132</v>
      </c>
      <c r="B299" s="3" t="s">
        <v>27</v>
      </c>
    </row>
    <row r="300">
      <c r="A300" s="3" t="s">
        <v>132</v>
      </c>
      <c r="B300" s="3" t="s">
        <v>27</v>
      </c>
    </row>
    <row r="301">
      <c r="A301" s="3" t="s">
        <v>105</v>
      </c>
      <c r="B301" s="3" t="s">
        <v>8</v>
      </c>
    </row>
    <row r="302">
      <c r="A302" s="3" t="s">
        <v>105</v>
      </c>
      <c r="B302" s="3" t="s">
        <v>27</v>
      </c>
    </row>
    <row r="303">
      <c r="A303" s="3" t="s">
        <v>105</v>
      </c>
      <c r="B303" s="78" t="s">
        <v>1559</v>
      </c>
    </row>
    <row r="304">
      <c r="A304" s="3" t="s">
        <v>132</v>
      </c>
      <c r="B304" s="3" t="s">
        <v>27</v>
      </c>
    </row>
    <row r="305">
      <c r="A305" s="3" t="s">
        <v>88</v>
      </c>
      <c r="B305" s="3" t="s">
        <v>27</v>
      </c>
    </row>
    <row r="306">
      <c r="A306" s="3" t="s">
        <v>88</v>
      </c>
      <c r="B306" s="3" t="s">
        <v>27</v>
      </c>
    </row>
    <row r="307">
      <c r="A307" s="3" t="s">
        <v>88</v>
      </c>
      <c r="B307" s="3" t="s">
        <v>27</v>
      </c>
    </row>
    <row r="308">
      <c r="A308" s="3" t="s">
        <v>88</v>
      </c>
      <c r="B308" s="3" t="s">
        <v>27</v>
      </c>
    </row>
    <row r="309">
      <c r="A309" s="3" t="s">
        <v>132</v>
      </c>
      <c r="B309" s="3" t="s">
        <v>8</v>
      </c>
    </row>
    <row r="310">
      <c r="A310" s="3" t="s">
        <v>132</v>
      </c>
      <c r="B310" s="3" t="s">
        <v>27</v>
      </c>
    </row>
    <row r="311">
      <c r="A311" s="3" t="s">
        <v>132</v>
      </c>
      <c r="B311" s="3" t="s">
        <v>8</v>
      </c>
    </row>
    <row r="312">
      <c r="A312" s="3" t="s">
        <v>132</v>
      </c>
      <c r="B312" s="3" t="s">
        <v>27</v>
      </c>
    </row>
    <row r="313">
      <c r="A313" s="3" t="s">
        <v>132</v>
      </c>
      <c r="B313" s="3" t="s">
        <v>8</v>
      </c>
    </row>
    <row r="314">
      <c r="A314" s="3" t="s">
        <v>132</v>
      </c>
      <c r="B314" s="3" t="s">
        <v>27</v>
      </c>
    </row>
    <row r="315">
      <c r="A315" s="3" t="s">
        <v>132</v>
      </c>
      <c r="B315" s="3" t="s">
        <v>8</v>
      </c>
    </row>
    <row r="316">
      <c r="A316" s="3" t="s">
        <v>132</v>
      </c>
      <c r="B316" s="3" t="s">
        <v>27</v>
      </c>
    </row>
    <row r="317">
      <c r="A317" s="3" t="s">
        <v>132</v>
      </c>
      <c r="B317" s="3" t="s">
        <v>27</v>
      </c>
    </row>
    <row r="318">
      <c r="A318" s="3" t="s">
        <v>132</v>
      </c>
      <c r="B318" s="3" t="s">
        <v>27</v>
      </c>
    </row>
    <row r="319">
      <c r="A319" s="3" t="s">
        <v>105</v>
      </c>
      <c r="B319" s="3" t="s">
        <v>8</v>
      </c>
    </row>
    <row r="320">
      <c r="A320" s="3" t="s">
        <v>105</v>
      </c>
      <c r="B320" s="3" t="s">
        <v>27</v>
      </c>
    </row>
    <row r="321">
      <c r="A321" s="3" t="s">
        <v>132</v>
      </c>
      <c r="B321" s="3" t="s">
        <v>8</v>
      </c>
    </row>
    <row r="322">
      <c r="A322" s="3" t="s">
        <v>132</v>
      </c>
      <c r="B322" s="3" t="s">
        <v>27</v>
      </c>
    </row>
    <row r="323">
      <c r="A323" s="3" t="s">
        <v>132</v>
      </c>
      <c r="B323" s="78" t="s">
        <v>1559</v>
      </c>
    </row>
    <row r="324">
      <c r="A324" s="3" t="s">
        <v>132</v>
      </c>
      <c r="B324" s="3" t="s">
        <v>8</v>
      </c>
    </row>
    <row r="325">
      <c r="A325" s="3" t="s">
        <v>132</v>
      </c>
      <c r="B325" s="3" t="s">
        <v>27</v>
      </c>
    </row>
    <row r="326">
      <c r="A326" s="3" t="s">
        <v>132</v>
      </c>
      <c r="B326" s="78" t="s">
        <v>1559</v>
      </c>
    </row>
    <row r="327">
      <c r="A327" s="3" t="s">
        <v>132</v>
      </c>
      <c r="B327" s="3" t="s">
        <v>27</v>
      </c>
    </row>
    <row r="328">
      <c r="A328" s="3" t="s">
        <v>132</v>
      </c>
      <c r="B328" s="78" t="s">
        <v>1559</v>
      </c>
    </row>
    <row r="329">
      <c r="A329" s="3" t="s">
        <v>132</v>
      </c>
      <c r="B329" s="3" t="s">
        <v>8</v>
      </c>
    </row>
    <row r="330">
      <c r="A330" s="3" t="s">
        <v>132</v>
      </c>
      <c r="B330" s="3" t="s">
        <v>27</v>
      </c>
    </row>
    <row r="331">
      <c r="A331" s="3" t="s">
        <v>132</v>
      </c>
      <c r="B331" s="78" t="s">
        <v>1559</v>
      </c>
    </row>
    <row r="332">
      <c r="A332" s="3" t="s">
        <v>132</v>
      </c>
      <c r="B332" s="3" t="s">
        <v>8</v>
      </c>
    </row>
    <row r="333">
      <c r="A333" s="3" t="s">
        <v>132</v>
      </c>
      <c r="B333" s="78" t="s">
        <v>1559</v>
      </c>
    </row>
    <row r="334">
      <c r="A334" s="3" t="s">
        <v>132</v>
      </c>
      <c r="B334" s="3" t="s">
        <v>8</v>
      </c>
    </row>
    <row r="335">
      <c r="A335" s="3" t="s">
        <v>132</v>
      </c>
      <c r="B335" s="3" t="s">
        <v>21</v>
      </c>
    </row>
    <row r="336">
      <c r="A336" s="3" t="s">
        <v>132</v>
      </c>
      <c r="B336" s="3" t="s">
        <v>8</v>
      </c>
    </row>
    <row r="337">
      <c r="A337" s="3" t="s">
        <v>132</v>
      </c>
      <c r="B337" s="3" t="s">
        <v>8</v>
      </c>
    </row>
    <row r="338">
      <c r="A338" s="3" t="s">
        <v>132</v>
      </c>
      <c r="B338" s="3" t="s">
        <v>27</v>
      </c>
    </row>
    <row r="339">
      <c r="A339" s="3" t="s">
        <v>132</v>
      </c>
      <c r="B339" s="78" t="s">
        <v>1559</v>
      </c>
    </row>
    <row r="340">
      <c r="A340" s="3" t="s">
        <v>132</v>
      </c>
      <c r="B340" s="3" t="s">
        <v>8</v>
      </c>
    </row>
    <row r="341">
      <c r="A341" s="3" t="s">
        <v>132</v>
      </c>
      <c r="B341" s="3" t="s">
        <v>27</v>
      </c>
    </row>
    <row r="342">
      <c r="A342" s="3" t="s">
        <v>132</v>
      </c>
      <c r="B342" s="78" t="s">
        <v>1559</v>
      </c>
    </row>
    <row r="343">
      <c r="A343" s="3" t="s">
        <v>132</v>
      </c>
      <c r="B343" s="3" t="s">
        <v>8</v>
      </c>
    </row>
    <row r="344">
      <c r="A344" s="3" t="s">
        <v>132</v>
      </c>
      <c r="B344" s="3" t="s">
        <v>27</v>
      </c>
    </row>
    <row r="345">
      <c r="A345" s="3" t="s">
        <v>132</v>
      </c>
      <c r="B345" s="3" t="s">
        <v>8</v>
      </c>
    </row>
    <row r="346">
      <c r="A346" s="3" t="s">
        <v>132</v>
      </c>
      <c r="B346" s="78" t="s">
        <v>1559</v>
      </c>
    </row>
    <row r="347">
      <c r="A347" s="3" t="s">
        <v>132</v>
      </c>
      <c r="B347" s="78" t="s">
        <v>1559</v>
      </c>
    </row>
    <row r="348">
      <c r="A348" s="3" t="s">
        <v>132</v>
      </c>
      <c r="B348" s="3" t="s">
        <v>27</v>
      </c>
    </row>
    <row r="349">
      <c r="A349" s="3" t="s">
        <v>132</v>
      </c>
      <c r="B349" s="3" t="s">
        <v>8</v>
      </c>
    </row>
    <row r="350">
      <c r="A350" s="3" t="s">
        <v>132</v>
      </c>
      <c r="B350" s="3" t="s">
        <v>27</v>
      </c>
    </row>
    <row r="351">
      <c r="A351" s="3" t="s">
        <v>132</v>
      </c>
      <c r="B351" s="3" t="s">
        <v>8</v>
      </c>
    </row>
    <row r="352">
      <c r="A352" s="3" t="s">
        <v>132</v>
      </c>
      <c r="B352" s="3" t="s">
        <v>27</v>
      </c>
    </row>
    <row r="353">
      <c r="A353" s="3" t="s">
        <v>132</v>
      </c>
      <c r="B353" s="78" t="s">
        <v>1559</v>
      </c>
    </row>
    <row r="354">
      <c r="A354" s="3" t="s">
        <v>132</v>
      </c>
      <c r="B354" s="78" t="s">
        <v>1559</v>
      </c>
    </row>
    <row r="355">
      <c r="A355" s="3" t="s">
        <v>132</v>
      </c>
      <c r="B355" s="3" t="s">
        <v>8</v>
      </c>
    </row>
    <row r="356">
      <c r="A356" s="3" t="s">
        <v>132</v>
      </c>
      <c r="B356" s="3" t="s">
        <v>27</v>
      </c>
    </row>
    <row r="357">
      <c r="A357" s="3" t="s">
        <v>132</v>
      </c>
      <c r="B357" s="78" t="s">
        <v>1559</v>
      </c>
    </row>
    <row r="358">
      <c r="A358" s="3" t="s">
        <v>105</v>
      </c>
      <c r="B358" s="78" t="s">
        <v>1559</v>
      </c>
    </row>
    <row r="359">
      <c r="A359" s="3" t="s">
        <v>88</v>
      </c>
      <c r="B359" s="3" t="s">
        <v>21</v>
      </c>
    </row>
    <row r="360">
      <c r="A360" s="3" t="s">
        <v>132</v>
      </c>
      <c r="B360" s="78" t="s">
        <v>1559</v>
      </c>
    </row>
    <row r="361">
      <c r="A361" s="3" t="s">
        <v>105</v>
      </c>
      <c r="B361" s="3" t="s">
        <v>8</v>
      </c>
    </row>
    <row r="362">
      <c r="A362" s="3" t="s">
        <v>105</v>
      </c>
      <c r="B362" s="3" t="s">
        <v>27</v>
      </c>
    </row>
    <row r="363">
      <c r="A363" s="3" t="s">
        <v>105</v>
      </c>
      <c r="B363" s="78" t="s">
        <v>1559</v>
      </c>
    </row>
    <row r="364">
      <c r="A364" s="3" t="s">
        <v>132</v>
      </c>
      <c r="B364" s="78" t="s">
        <v>1559</v>
      </c>
    </row>
    <row r="365">
      <c r="A365" s="3" t="s">
        <v>132</v>
      </c>
      <c r="B365" s="78" t="s">
        <v>1559</v>
      </c>
    </row>
    <row r="366">
      <c r="A366" s="3" t="s">
        <v>132</v>
      </c>
      <c r="B366" s="78" t="s">
        <v>1559</v>
      </c>
    </row>
    <row r="367">
      <c r="A367" s="3" t="s">
        <v>132</v>
      </c>
      <c r="B367" s="78" t="s">
        <v>1559</v>
      </c>
    </row>
    <row r="368">
      <c r="A368" s="3" t="s">
        <v>88</v>
      </c>
      <c r="B368" s="3" t="s">
        <v>27</v>
      </c>
    </row>
    <row r="369">
      <c r="A369" s="3" t="s">
        <v>105</v>
      </c>
      <c r="B369" s="3" t="s">
        <v>8</v>
      </c>
    </row>
    <row r="370">
      <c r="A370" s="3" t="s">
        <v>105</v>
      </c>
      <c r="B370" s="3" t="s">
        <v>21</v>
      </c>
    </row>
    <row r="371">
      <c r="A371" s="3" t="s">
        <v>105</v>
      </c>
      <c r="B371" s="3" t="s">
        <v>27</v>
      </c>
    </row>
    <row r="372">
      <c r="A372" s="3" t="s">
        <v>105</v>
      </c>
      <c r="B372" s="78" t="s">
        <v>1559</v>
      </c>
    </row>
    <row r="373">
      <c r="A373" s="3" t="s">
        <v>105</v>
      </c>
      <c r="B373" s="3" t="s">
        <v>8</v>
      </c>
    </row>
    <row r="374">
      <c r="A374" s="3" t="s">
        <v>105</v>
      </c>
      <c r="B374" s="3" t="s">
        <v>27</v>
      </c>
    </row>
    <row r="375">
      <c r="A375" s="3" t="s">
        <v>105</v>
      </c>
      <c r="B375" s="78" t="s">
        <v>1559</v>
      </c>
    </row>
    <row r="376">
      <c r="A376" s="3" t="s">
        <v>105</v>
      </c>
      <c r="B376" s="3" t="s">
        <v>8</v>
      </c>
    </row>
    <row r="377">
      <c r="A377" s="3" t="s">
        <v>105</v>
      </c>
      <c r="B377" s="3" t="s">
        <v>27</v>
      </c>
    </row>
    <row r="378">
      <c r="A378" s="3" t="s">
        <v>105</v>
      </c>
      <c r="B378" s="78" t="s">
        <v>1559</v>
      </c>
    </row>
    <row r="379">
      <c r="A379" s="3" t="s">
        <v>132</v>
      </c>
      <c r="B379" s="3" t="s">
        <v>27</v>
      </c>
    </row>
    <row r="380">
      <c r="A380" s="3" t="s">
        <v>132</v>
      </c>
      <c r="B380" s="3" t="s">
        <v>8</v>
      </c>
    </row>
    <row r="381">
      <c r="A381" s="3" t="s">
        <v>132</v>
      </c>
      <c r="B381" s="3" t="s">
        <v>27</v>
      </c>
    </row>
    <row r="382">
      <c r="A382" s="3" t="s">
        <v>132</v>
      </c>
      <c r="B382" s="3" t="s">
        <v>8</v>
      </c>
    </row>
    <row r="383">
      <c r="A383" s="3" t="s">
        <v>132</v>
      </c>
      <c r="B383" s="3" t="s">
        <v>27</v>
      </c>
    </row>
    <row r="384">
      <c r="A384" s="3" t="s">
        <v>132</v>
      </c>
      <c r="B384" s="78" t="s">
        <v>1559</v>
      </c>
    </row>
    <row r="385">
      <c r="A385" s="3" t="s">
        <v>132</v>
      </c>
      <c r="B385" s="78" t="s">
        <v>1559</v>
      </c>
    </row>
    <row r="386">
      <c r="A386" s="3" t="s">
        <v>132</v>
      </c>
      <c r="B386" s="78" t="s">
        <v>1559</v>
      </c>
    </row>
    <row r="387">
      <c r="A387" s="3" t="s">
        <v>132</v>
      </c>
      <c r="B387" s="78" t="s">
        <v>1559</v>
      </c>
    </row>
    <row r="388">
      <c r="A388" s="3" t="s">
        <v>132</v>
      </c>
      <c r="B388" s="78" t="s">
        <v>1559</v>
      </c>
    </row>
    <row r="389">
      <c r="A389" s="3" t="s">
        <v>132</v>
      </c>
      <c r="B389" s="78" t="s">
        <v>1559</v>
      </c>
    </row>
    <row r="390">
      <c r="A390" s="3" t="s">
        <v>132</v>
      </c>
      <c r="B390" s="78" t="s">
        <v>1559</v>
      </c>
    </row>
    <row r="391">
      <c r="A391" s="3" t="s">
        <v>132</v>
      </c>
      <c r="B391" s="78" t="s">
        <v>1559</v>
      </c>
    </row>
    <row r="392">
      <c r="A392" s="3" t="s">
        <v>88</v>
      </c>
      <c r="B392" s="78" t="s">
        <v>1559</v>
      </c>
    </row>
    <row r="393">
      <c r="A393" s="3" t="s">
        <v>132</v>
      </c>
      <c r="B393" s="78" t="s">
        <v>1559</v>
      </c>
    </row>
    <row r="394">
      <c r="A394" s="3" t="s">
        <v>132</v>
      </c>
      <c r="B394" s="3" t="s">
        <v>27</v>
      </c>
    </row>
    <row r="395">
      <c r="A395" s="3" t="s">
        <v>132</v>
      </c>
      <c r="B395" s="3" t="s">
        <v>8</v>
      </c>
    </row>
    <row r="396">
      <c r="A396" s="3" t="s">
        <v>132</v>
      </c>
      <c r="B396" s="3" t="s">
        <v>27</v>
      </c>
    </row>
    <row r="397">
      <c r="A397" s="3" t="s">
        <v>132</v>
      </c>
      <c r="B397" s="3" t="s">
        <v>8</v>
      </c>
    </row>
    <row r="398">
      <c r="A398" s="3" t="s">
        <v>132</v>
      </c>
      <c r="B398" s="3" t="s">
        <v>8</v>
      </c>
    </row>
    <row r="399">
      <c r="A399" s="3" t="s">
        <v>132</v>
      </c>
      <c r="B399" s="3" t="s">
        <v>8</v>
      </c>
    </row>
    <row r="400">
      <c r="A400" s="3" t="s">
        <v>132</v>
      </c>
      <c r="B400" s="3" t="s">
        <v>8</v>
      </c>
    </row>
    <row r="401">
      <c r="A401" s="3" t="s">
        <v>132</v>
      </c>
      <c r="B401" s="3" t="s">
        <v>8</v>
      </c>
    </row>
    <row r="402">
      <c r="A402" s="3" t="s">
        <v>132</v>
      </c>
      <c r="B402" s="78" t="s">
        <v>1559</v>
      </c>
    </row>
    <row r="403">
      <c r="A403" s="3" t="s">
        <v>132</v>
      </c>
      <c r="B403" s="3" t="s">
        <v>8</v>
      </c>
    </row>
    <row r="404">
      <c r="A404" s="3" t="s">
        <v>132</v>
      </c>
      <c r="B404" s="3" t="s">
        <v>27</v>
      </c>
    </row>
    <row r="405">
      <c r="A405" s="3" t="s">
        <v>132</v>
      </c>
      <c r="B405" s="78" t="s">
        <v>1559</v>
      </c>
    </row>
    <row r="406">
      <c r="A406" s="3" t="s">
        <v>132</v>
      </c>
      <c r="B406" s="78" t="s">
        <v>1559</v>
      </c>
    </row>
    <row r="407">
      <c r="A407" s="3" t="s">
        <v>132</v>
      </c>
      <c r="B407" s="78" t="s">
        <v>1559</v>
      </c>
    </row>
    <row r="408">
      <c r="A408" s="3" t="s">
        <v>132</v>
      </c>
      <c r="B408" s="3" t="s">
        <v>27</v>
      </c>
    </row>
    <row r="409">
      <c r="A409" s="3" t="s">
        <v>132</v>
      </c>
      <c r="B409" s="78" t="s">
        <v>1559</v>
      </c>
    </row>
    <row r="410">
      <c r="A410" s="3" t="s">
        <v>132</v>
      </c>
      <c r="B410" s="3" t="s">
        <v>8</v>
      </c>
    </row>
    <row r="411">
      <c r="A411" s="3" t="s">
        <v>132</v>
      </c>
      <c r="B411" s="3" t="s">
        <v>8</v>
      </c>
    </row>
    <row r="412">
      <c r="A412" s="3" t="s">
        <v>132</v>
      </c>
      <c r="B412" s="3" t="s">
        <v>8</v>
      </c>
    </row>
    <row r="413">
      <c r="A413" s="3" t="s">
        <v>132</v>
      </c>
      <c r="B413" s="3" t="s">
        <v>27</v>
      </c>
    </row>
    <row r="414">
      <c r="A414" s="3" t="s">
        <v>132</v>
      </c>
      <c r="B414" s="78" t="s">
        <v>1559</v>
      </c>
    </row>
    <row r="415">
      <c r="A415" s="3" t="s">
        <v>132</v>
      </c>
      <c r="B415" s="3" t="s">
        <v>27</v>
      </c>
    </row>
    <row r="416">
      <c r="A416" s="3" t="s">
        <v>132</v>
      </c>
      <c r="B416" s="78" t="s">
        <v>1559</v>
      </c>
    </row>
    <row r="417">
      <c r="A417" s="3" t="s">
        <v>132</v>
      </c>
      <c r="B417" s="3" t="s">
        <v>27</v>
      </c>
    </row>
    <row r="418">
      <c r="A418" s="3" t="s">
        <v>132</v>
      </c>
      <c r="B418" s="78" t="s">
        <v>1559</v>
      </c>
    </row>
    <row r="419">
      <c r="A419" s="3" t="s">
        <v>132</v>
      </c>
      <c r="B419" s="3" t="s">
        <v>27</v>
      </c>
    </row>
    <row r="420">
      <c r="A420" s="3" t="s">
        <v>132</v>
      </c>
      <c r="B420" s="78" t="s">
        <v>1559</v>
      </c>
    </row>
    <row r="421">
      <c r="A421" s="3" t="s">
        <v>132</v>
      </c>
      <c r="B421" s="3" t="s">
        <v>27</v>
      </c>
    </row>
    <row r="422">
      <c r="A422" s="3" t="s">
        <v>132</v>
      </c>
      <c r="B422" s="78" t="s">
        <v>1559</v>
      </c>
    </row>
    <row r="423">
      <c r="A423" s="3" t="s">
        <v>132</v>
      </c>
      <c r="B423" s="78" t="s">
        <v>1559</v>
      </c>
    </row>
    <row r="424">
      <c r="A424" s="3" t="s">
        <v>132</v>
      </c>
      <c r="B424" s="78" t="s">
        <v>1559</v>
      </c>
    </row>
    <row r="425">
      <c r="A425" s="3" t="s">
        <v>132</v>
      </c>
      <c r="B425" s="78" t="s">
        <v>1559</v>
      </c>
    </row>
    <row r="426">
      <c r="A426" s="3" t="s">
        <v>132</v>
      </c>
      <c r="B426" s="78" t="s">
        <v>1559</v>
      </c>
    </row>
    <row r="427">
      <c r="A427" s="3" t="s">
        <v>132</v>
      </c>
      <c r="B427" s="78" t="s">
        <v>1559</v>
      </c>
    </row>
    <row r="428">
      <c r="A428" s="3" t="s">
        <v>132</v>
      </c>
      <c r="B428" s="78" t="s">
        <v>1559</v>
      </c>
    </row>
    <row r="429">
      <c r="A429" s="3" t="s">
        <v>132</v>
      </c>
      <c r="B429" s="78" t="s">
        <v>1559</v>
      </c>
    </row>
    <row r="430">
      <c r="A430" s="3" t="s">
        <v>132</v>
      </c>
      <c r="B430" s="78" t="s">
        <v>1559</v>
      </c>
    </row>
    <row r="431">
      <c r="A431" s="3" t="s">
        <v>132</v>
      </c>
      <c r="B431" s="3" t="s">
        <v>21</v>
      </c>
    </row>
    <row r="432">
      <c r="A432" s="3" t="s">
        <v>132</v>
      </c>
      <c r="B432" s="3" t="s">
        <v>27</v>
      </c>
    </row>
    <row r="433">
      <c r="A433" s="3" t="s">
        <v>132</v>
      </c>
      <c r="B433" s="78" t="s">
        <v>1559</v>
      </c>
    </row>
    <row r="434">
      <c r="A434" s="3" t="s">
        <v>132</v>
      </c>
      <c r="B434" s="78" t="s">
        <v>1559</v>
      </c>
    </row>
    <row r="435">
      <c r="A435" s="3" t="s">
        <v>132</v>
      </c>
      <c r="B435" s="78" t="s">
        <v>1559</v>
      </c>
    </row>
    <row r="436">
      <c r="A436" s="3" t="s">
        <v>132</v>
      </c>
      <c r="B436" s="3" t="s">
        <v>21</v>
      </c>
    </row>
    <row r="437">
      <c r="A437" s="3" t="s">
        <v>132</v>
      </c>
      <c r="B437" s="78" t="s">
        <v>1559</v>
      </c>
    </row>
    <row r="438">
      <c r="A438" s="3" t="s">
        <v>132</v>
      </c>
      <c r="B438" s="3" t="s">
        <v>21</v>
      </c>
    </row>
    <row r="439">
      <c r="A439" s="3" t="s">
        <v>132</v>
      </c>
      <c r="B439" s="78" t="s">
        <v>1559</v>
      </c>
    </row>
    <row r="440">
      <c r="A440" s="3" t="s">
        <v>132</v>
      </c>
      <c r="B440" s="78" t="s">
        <v>1559</v>
      </c>
    </row>
    <row r="441">
      <c r="A441" s="3" t="s">
        <v>132</v>
      </c>
      <c r="B441" s="78" t="s">
        <v>1559</v>
      </c>
    </row>
    <row r="442">
      <c r="A442" s="3" t="s">
        <v>132</v>
      </c>
      <c r="B442" s="78" t="s">
        <v>1559</v>
      </c>
    </row>
    <row r="443">
      <c r="A443" s="3" t="s">
        <v>132</v>
      </c>
      <c r="B443" s="78" t="s">
        <v>1559</v>
      </c>
    </row>
    <row r="444">
      <c r="A444" s="3" t="s">
        <v>132</v>
      </c>
      <c r="B444" s="3" t="s">
        <v>8</v>
      </c>
    </row>
    <row r="445">
      <c r="A445" s="3" t="s">
        <v>88</v>
      </c>
      <c r="B445" s="3" t="s">
        <v>8</v>
      </c>
    </row>
    <row r="446">
      <c r="A446" s="3" t="s">
        <v>88</v>
      </c>
      <c r="B446" s="3" t="s">
        <v>27</v>
      </c>
    </row>
    <row r="447">
      <c r="A447" s="3" t="s">
        <v>88</v>
      </c>
      <c r="B447" s="78" t="s">
        <v>1559</v>
      </c>
    </row>
    <row r="448">
      <c r="A448" s="3" t="s">
        <v>105</v>
      </c>
      <c r="B448" s="3" t="s">
        <v>8</v>
      </c>
    </row>
    <row r="449">
      <c r="A449" s="3" t="s">
        <v>105</v>
      </c>
      <c r="B449" s="3" t="s">
        <v>27</v>
      </c>
    </row>
    <row r="450">
      <c r="A450" s="3" t="s">
        <v>105</v>
      </c>
      <c r="B450" s="78" t="s">
        <v>1559</v>
      </c>
    </row>
    <row r="451">
      <c r="A451" s="3" t="s">
        <v>105</v>
      </c>
      <c r="B451" s="3" t="s">
        <v>8</v>
      </c>
    </row>
    <row r="452">
      <c r="A452" s="3" t="s">
        <v>105</v>
      </c>
      <c r="B452" s="3" t="s">
        <v>27</v>
      </c>
    </row>
    <row r="453">
      <c r="A453" s="3" t="s">
        <v>105</v>
      </c>
      <c r="B453" s="78" t="s">
        <v>1559</v>
      </c>
    </row>
    <row r="454">
      <c r="A454" s="3" t="s">
        <v>105</v>
      </c>
      <c r="B454" s="3" t="s">
        <v>8</v>
      </c>
    </row>
    <row r="455">
      <c r="A455" s="3" t="s">
        <v>105</v>
      </c>
      <c r="B455" s="3" t="s">
        <v>27</v>
      </c>
    </row>
    <row r="456">
      <c r="A456" s="3" t="s">
        <v>105</v>
      </c>
      <c r="B456" s="78" t="s">
        <v>1559</v>
      </c>
    </row>
    <row r="457">
      <c r="A457" s="3" t="s">
        <v>105</v>
      </c>
      <c r="B457" s="3" t="s">
        <v>8</v>
      </c>
    </row>
    <row r="458">
      <c r="A458" s="3" t="s">
        <v>105</v>
      </c>
      <c r="B458" s="3" t="s">
        <v>27</v>
      </c>
    </row>
    <row r="459">
      <c r="A459" s="3" t="s">
        <v>105</v>
      </c>
      <c r="B459" s="78" t="s">
        <v>1559</v>
      </c>
    </row>
    <row r="460">
      <c r="A460" s="3" t="s">
        <v>132</v>
      </c>
      <c r="B460" s="3" t="s">
        <v>8</v>
      </c>
    </row>
    <row r="461">
      <c r="A461" s="3" t="s">
        <v>132</v>
      </c>
      <c r="B461" s="3" t="s">
        <v>27</v>
      </c>
    </row>
    <row r="462">
      <c r="A462" s="3" t="s">
        <v>132</v>
      </c>
      <c r="B462" s="78" t="s">
        <v>1559</v>
      </c>
    </row>
    <row r="463">
      <c r="A463" s="3" t="s">
        <v>105</v>
      </c>
      <c r="B463" s="3" t="s">
        <v>8</v>
      </c>
    </row>
    <row r="464">
      <c r="A464" s="3" t="s">
        <v>105</v>
      </c>
      <c r="B464" s="3" t="s">
        <v>27</v>
      </c>
    </row>
    <row r="465">
      <c r="A465" s="3" t="s">
        <v>105</v>
      </c>
      <c r="B465" s="78" t="s">
        <v>1559</v>
      </c>
    </row>
    <row r="466">
      <c r="A466" s="3" t="s">
        <v>88</v>
      </c>
      <c r="B466" s="3" t="s">
        <v>8</v>
      </c>
    </row>
    <row r="467">
      <c r="A467" s="3" t="s">
        <v>88</v>
      </c>
      <c r="B467" s="3" t="s">
        <v>27</v>
      </c>
    </row>
    <row r="468">
      <c r="A468" s="3" t="s">
        <v>88</v>
      </c>
      <c r="B468" s="78" t="s">
        <v>1559</v>
      </c>
    </row>
    <row r="469">
      <c r="A469" s="3" t="s">
        <v>88</v>
      </c>
      <c r="B469" s="3" t="s">
        <v>8</v>
      </c>
    </row>
    <row r="470">
      <c r="A470" s="3" t="s">
        <v>88</v>
      </c>
      <c r="B470" s="3" t="s">
        <v>27</v>
      </c>
    </row>
    <row r="471">
      <c r="A471" s="3" t="s">
        <v>88</v>
      </c>
      <c r="B471" s="78" t="s">
        <v>1559</v>
      </c>
    </row>
    <row r="472">
      <c r="A472" s="3" t="s">
        <v>88</v>
      </c>
      <c r="B472" s="3" t="s">
        <v>8</v>
      </c>
    </row>
    <row r="473">
      <c r="A473" s="3" t="s">
        <v>88</v>
      </c>
      <c r="B473" s="3" t="s">
        <v>27</v>
      </c>
    </row>
    <row r="474">
      <c r="A474" s="3" t="s">
        <v>88</v>
      </c>
      <c r="B474" s="78" t="s">
        <v>1559</v>
      </c>
    </row>
    <row r="475">
      <c r="A475" s="3" t="s">
        <v>88</v>
      </c>
      <c r="B475" s="3" t="s">
        <v>21</v>
      </c>
    </row>
    <row r="476">
      <c r="A476" s="3" t="s">
        <v>88</v>
      </c>
      <c r="B476" s="78" t="s">
        <v>1559</v>
      </c>
    </row>
    <row r="477">
      <c r="A477" s="3" t="s">
        <v>88</v>
      </c>
      <c r="B477" s="3" t="s">
        <v>27</v>
      </c>
    </row>
    <row r="478">
      <c r="A478" s="3" t="s">
        <v>88</v>
      </c>
      <c r="B478" s="78" t="s">
        <v>1559</v>
      </c>
    </row>
    <row r="479">
      <c r="A479" s="3" t="s">
        <v>88</v>
      </c>
      <c r="B479" s="3" t="s">
        <v>27</v>
      </c>
    </row>
    <row r="480">
      <c r="A480" s="3" t="s">
        <v>88</v>
      </c>
      <c r="B480" s="78" t="s">
        <v>1559</v>
      </c>
    </row>
    <row r="481">
      <c r="A481" s="3" t="s">
        <v>88</v>
      </c>
      <c r="B481" s="3" t="s">
        <v>27</v>
      </c>
    </row>
    <row r="482">
      <c r="A482" s="3" t="s">
        <v>88</v>
      </c>
      <c r="B482" s="78" t="s">
        <v>1559</v>
      </c>
    </row>
    <row r="483">
      <c r="A483" s="3" t="s">
        <v>88</v>
      </c>
      <c r="B483" s="78" t="s">
        <v>1559</v>
      </c>
    </row>
    <row r="484">
      <c r="A484" s="3" t="s">
        <v>88</v>
      </c>
      <c r="B484" s="3" t="s">
        <v>8</v>
      </c>
    </row>
    <row r="485">
      <c r="A485" s="3" t="s">
        <v>88</v>
      </c>
      <c r="B485" s="3" t="s">
        <v>27</v>
      </c>
    </row>
    <row r="486">
      <c r="A486" s="3" t="s">
        <v>88</v>
      </c>
      <c r="B486" s="78" t="s">
        <v>1559</v>
      </c>
    </row>
    <row r="487">
      <c r="A487" s="3" t="s">
        <v>88</v>
      </c>
      <c r="B487" s="3" t="s">
        <v>8</v>
      </c>
    </row>
    <row r="488">
      <c r="A488" s="3" t="s">
        <v>88</v>
      </c>
      <c r="B488" s="3" t="s">
        <v>27</v>
      </c>
    </row>
    <row r="489">
      <c r="A489" s="3" t="s">
        <v>88</v>
      </c>
      <c r="B489" s="78" t="s">
        <v>1559</v>
      </c>
    </row>
    <row r="490">
      <c r="A490" s="3" t="s">
        <v>105</v>
      </c>
      <c r="B490" s="3" t="s">
        <v>8</v>
      </c>
    </row>
    <row r="491">
      <c r="A491" s="3" t="s">
        <v>105</v>
      </c>
      <c r="B491" s="3" t="s">
        <v>27</v>
      </c>
    </row>
    <row r="492">
      <c r="A492" s="3" t="s">
        <v>105</v>
      </c>
      <c r="B492" s="78" t="s">
        <v>1559</v>
      </c>
    </row>
    <row r="493">
      <c r="A493" s="3" t="s">
        <v>132</v>
      </c>
      <c r="B493" s="3" t="s">
        <v>8</v>
      </c>
    </row>
    <row r="494">
      <c r="A494" s="3" t="s">
        <v>132</v>
      </c>
      <c r="B494" s="3" t="s">
        <v>27</v>
      </c>
    </row>
    <row r="495">
      <c r="A495" s="3" t="s">
        <v>132</v>
      </c>
      <c r="B495" s="78" t="s">
        <v>1559</v>
      </c>
    </row>
    <row r="496">
      <c r="A496" s="3" t="s">
        <v>88</v>
      </c>
      <c r="B496" s="3" t="s">
        <v>8</v>
      </c>
    </row>
    <row r="497">
      <c r="A497" s="3" t="s">
        <v>88</v>
      </c>
      <c r="B497" s="3" t="s">
        <v>21</v>
      </c>
    </row>
    <row r="498">
      <c r="A498" s="3" t="s">
        <v>88</v>
      </c>
      <c r="B498" s="3" t="s">
        <v>27</v>
      </c>
    </row>
    <row r="499">
      <c r="A499" s="3" t="s">
        <v>88</v>
      </c>
      <c r="B499" s="78" t="s">
        <v>1559</v>
      </c>
    </row>
    <row r="500">
      <c r="A500" s="3" t="s">
        <v>88</v>
      </c>
      <c r="B500" s="3" t="s">
        <v>8</v>
      </c>
    </row>
    <row r="501">
      <c r="A501" s="3" t="s">
        <v>88</v>
      </c>
      <c r="B501" s="3" t="s">
        <v>27</v>
      </c>
    </row>
    <row r="502">
      <c r="A502" s="3" t="s">
        <v>88</v>
      </c>
      <c r="B502" s="78" t="s">
        <v>1559</v>
      </c>
    </row>
    <row r="503">
      <c r="A503" s="3" t="s">
        <v>88</v>
      </c>
      <c r="B503" s="3" t="s">
        <v>8</v>
      </c>
    </row>
    <row r="504">
      <c r="A504" s="3" t="s">
        <v>88</v>
      </c>
      <c r="B504" s="3" t="s">
        <v>27</v>
      </c>
    </row>
    <row r="505">
      <c r="A505" s="3" t="s">
        <v>88</v>
      </c>
      <c r="B505" s="78" t="s">
        <v>1559</v>
      </c>
    </row>
    <row r="506">
      <c r="A506" s="3" t="s">
        <v>88</v>
      </c>
      <c r="B506" s="78" t="s">
        <v>1559</v>
      </c>
    </row>
    <row r="507">
      <c r="A507" s="3" t="s">
        <v>132</v>
      </c>
      <c r="B507" s="78" t="s">
        <v>1559</v>
      </c>
    </row>
    <row r="508">
      <c r="A508" s="3" t="s">
        <v>88</v>
      </c>
      <c r="B508" s="3" t="s">
        <v>21</v>
      </c>
    </row>
    <row r="509">
      <c r="A509" s="3" t="s">
        <v>88</v>
      </c>
      <c r="B509" s="78" t="s">
        <v>1559</v>
      </c>
    </row>
    <row r="510">
      <c r="A510" s="3" t="s">
        <v>88</v>
      </c>
      <c r="B510" s="3" t="s">
        <v>21</v>
      </c>
    </row>
    <row r="511">
      <c r="A511" s="3" t="s">
        <v>88</v>
      </c>
      <c r="B511" s="78" t="s">
        <v>1559</v>
      </c>
    </row>
    <row r="512">
      <c r="A512" s="3" t="s">
        <v>88</v>
      </c>
      <c r="B512" s="3" t="s">
        <v>27</v>
      </c>
    </row>
    <row r="513">
      <c r="A513" s="3" t="s">
        <v>88</v>
      </c>
      <c r="B513" s="78" t="s">
        <v>1559</v>
      </c>
    </row>
    <row r="514">
      <c r="A514" s="3" t="s">
        <v>88</v>
      </c>
      <c r="B514" s="3" t="s">
        <v>8</v>
      </c>
    </row>
    <row r="515">
      <c r="A515" s="3" t="s">
        <v>88</v>
      </c>
      <c r="B515" s="3" t="s">
        <v>27</v>
      </c>
    </row>
    <row r="516">
      <c r="A516" s="3" t="s">
        <v>88</v>
      </c>
      <c r="B516" s="3" t="s">
        <v>8</v>
      </c>
    </row>
    <row r="517">
      <c r="A517" s="3" t="s">
        <v>88</v>
      </c>
      <c r="B517" s="3" t="s">
        <v>27</v>
      </c>
    </row>
    <row r="518">
      <c r="A518" s="3" t="s">
        <v>88</v>
      </c>
      <c r="B518" s="3" t="s">
        <v>27</v>
      </c>
    </row>
    <row r="519">
      <c r="A519" s="3" t="s">
        <v>88</v>
      </c>
      <c r="B519" s="78" t="s">
        <v>1559</v>
      </c>
    </row>
    <row r="520">
      <c r="A520" s="3" t="s">
        <v>132</v>
      </c>
      <c r="B520" s="3" t="s">
        <v>21</v>
      </c>
    </row>
    <row r="521">
      <c r="A521" s="3" t="s">
        <v>132</v>
      </c>
      <c r="B521" s="3" t="s">
        <v>21</v>
      </c>
    </row>
    <row r="522">
      <c r="A522" s="3" t="s">
        <v>132</v>
      </c>
      <c r="B522" s="3" t="s">
        <v>21</v>
      </c>
    </row>
    <row r="523">
      <c r="A523" s="3" t="s">
        <v>132</v>
      </c>
      <c r="B523" s="3" t="s">
        <v>21</v>
      </c>
    </row>
    <row r="524">
      <c r="A524" s="3" t="s">
        <v>132</v>
      </c>
      <c r="B524" s="78" t="s">
        <v>1559</v>
      </c>
    </row>
    <row r="525">
      <c r="A525" s="3" t="s">
        <v>132</v>
      </c>
      <c r="B525" s="3" t="s">
        <v>8</v>
      </c>
    </row>
    <row r="526">
      <c r="A526" s="3" t="s">
        <v>132</v>
      </c>
      <c r="B526" s="3" t="s">
        <v>27</v>
      </c>
    </row>
    <row r="527">
      <c r="A527" s="3" t="s">
        <v>132</v>
      </c>
      <c r="B527" s="78" t="s">
        <v>1559</v>
      </c>
    </row>
    <row r="528">
      <c r="A528" s="3" t="s">
        <v>132</v>
      </c>
      <c r="B528" s="78" t="s">
        <v>1559</v>
      </c>
    </row>
    <row r="529">
      <c r="A529" s="3" t="s">
        <v>132</v>
      </c>
      <c r="B529" s="3" t="s">
        <v>27</v>
      </c>
    </row>
    <row r="530">
      <c r="A530" s="3" t="s">
        <v>132</v>
      </c>
      <c r="B530" s="78" t="s">
        <v>1559</v>
      </c>
    </row>
    <row r="531">
      <c r="A531" s="3" t="s">
        <v>132</v>
      </c>
      <c r="B531" s="78" t="s">
        <v>1559</v>
      </c>
    </row>
    <row r="532">
      <c r="A532" s="3" t="s">
        <v>132</v>
      </c>
      <c r="B532" s="78" t="s">
        <v>1559</v>
      </c>
    </row>
    <row r="533">
      <c r="A533" s="3" t="s">
        <v>132</v>
      </c>
      <c r="B533" s="78" t="s">
        <v>1559</v>
      </c>
    </row>
    <row r="534">
      <c r="A534" s="3" t="s">
        <v>132</v>
      </c>
      <c r="B534" s="78" t="s">
        <v>1559</v>
      </c>
    </row>
    <row r="535">
      <c r="A535" s="3" t="s">
        <v>132</v>
      </c>
      <c r="B535" s="78" t="s">
        <v>1559</v>
      </c>
    </row>
    <row r="536">
      <c r="A536" s="3" t="s">
        <v>132</v>
      </c>
      <c r="B536" s="3" t="s">
        <v>8</v>
      </c>
    </row>
    <row r="537">
      <c r="A537" s="3" t="s">
        <v>132</v>
      </c>
      <c r="B537" s="78" t="s">
        <v>1559</v>
      </c>
    </row>
    <row r="538">
      <c r="A538" s="3" t="s">
        <v>132</v>
      </c>
      <c r="B538" s="78" t="s">
        <v>1559</v>
      </c>
    </row>
    <row r="539">
      <c r="A539" s="3" t="s">
        <v>132</v>
      </c>
      <c r="B539" s="78" t="s">
        <v>1559</v>
      </c>
    </row>
    <row r="540">
      <c r="A540" s="3" t="s">
        <v>132</v>
      </c>
      <c r="B540" s="78" t="s">
        <v>1559</v>
      </c>
    </row>
    <row r="541">
      <c r="A541" s="3" t="s">
        <v>132</v>
      </c>
      <c r="B541" s="3" t="s">
        <v>27</v>
      </c>
    </row>
    <row r="542">
      <c r="A542" s="3" t="s">
        <v>132</v>
      </c>
      <c r="B542" s="78" t="s">
        <v>1559</v>
      </c>
    </row>
    <row r="543">
      <c r="A543" s="3" t="s">
        <v>132</v>
      </c>
      <c r="B543" s="78" t="s">
        <v>1559</v>
      </c>
    </row>
    <row r="544">
      <c r="A544" s="3" t="s">
        <v>132</v>
      </c>
      <c r="B544" s="3" t="s">
        <v>27</v>
      </c>
    </row>
    <row r="545">
      <c r="A545" s="3" t="s">
        <v>132</v>
      </c>
      <c r="B545" s="78" t="s">
        <v>1559</v>
      </c>
    </row>
    <row r="546">
      <c r="A546" s="3" t="s">
        <v>132</v>
      </c>
      <c r="B546" s="3" t="s">
        <v>8</v>
      </c>
    </row>
    <row r="547">
      <c r="A547" s="3" t="s">
        <v>132</v>
      </c>
      <c r="B547" s="78" t="s">
        <v>1559</v>
      </c>
    </row>
    <row r="548">
      <c r="A548" s="3" t="s">
        <v>132</v>
      </c>
      <c r="B548" s="3" t="s">
        <v>27</v>
      </c>
    </row>
    <row r="549">
      <c r="A549" s="3" t="s">
        <v>132</v>
      </c>
      <c r="B549" s="3" t="s">
        <v>27</v>
      </c>
    </row>
    <row r="550">
      <c r="A550" s="3" t="s">
        <v>132</v>
      </c>
      <c r="B550" s="3" t="s">
        <v>27</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2.13"/>
    <col customWidth="1" min="2" max="2" width="8.38"/>
  </cols>
  <sheetData>
    <row r="1">
      <c r="A1" s="77" t="s">
        <v>1555</v>
      </c>
      <c r="B1" s="77" t="s">
        <v>1560</v>
      </c>
    </row>
    <row r="2">
      <c r="A2" s="3" t="str">
        <f>IFERROR(__xludf.DUMMYFUNCTION("ARRAYFORMULA(QUERY(SPLIT(FLATTEN(Data_Looker!B2:B340 &amp; ""|"" &amp; SPLIT(Data_Looker!H2:H340, "", "")), ""|""), ""where Col2 &lt;&gt; ''""))"),"Instituto Ibirapitanga")</f>
        <v>Instituto Ibirapitanga</v>
      </c>
      <c r="B2" s="3" t="str">
        <f>IFERROR(__xludf.DUMMYFUNCTION("""COMPUTED_VALUE"""),"Amazonia")</f>
        <v>Amazonia</v>
      </c>
    </row>
    <row r="3">
      <c r="A3" s="3" t="str">
        <f>IFERROR(__xludf.DUMMYFUNCTION("""COMPUTED_VALUE"""),"Fundo Brasileiro para a Biodiversidade (FUNBIO)")</f>
        <v>Fundo Brasileiro para a Biodiversidade (FUNBIO)</v>
      </c>
      <c r="B3" s="3" t="str">
        <f>IFERROR(__xludf.DUMMYFUNCTION("""COMPUTED_VALUE"""),"Amazonia")</f>
        <v>Amazonia</v>
      </c>
    </row>
    <row r="4">
      <c r="A4" s="3" t="str">
        <f>IFERROR(__xludf.DUMMYFUNCTION("""COMPUTED_VALUE"""),"Fundo Brasileiro para a Biodiversidade (FUNBIO)")</f>
        <v>Fundo Brasileiro para a Biodiversidade (FUNBIO)</v>
      </c>
      <c r="B4" s="3" t="str">
        <f>IFERROR(__xludf.DUMMYFUNCTION("""COMPUTED_VALUE"""),"Caatinga")</f>
        <v>Caatinga</v>
      </c>
    </row>
    <row r="5">
      <c r="A5" s="3" t="str">
        <f>IFERROR(__xludf.DUMMYFUNCTION("""COMPUTED_VALUE"""),"Fundo Brasileiro para a Biodiversidade (FUNBIO)")</f>
        <v>Fundo Brasileiro para a Biodiversidade (FUNBIO)</v>
      </c>
      <c r="B5" s="3" t="str">
        <f>IFERROR(__xludf.DUMMYFUNCTION("""COMPUTED_VALUE"""),"Cerrado")</f>
        <v>Cerrado</v>
      </c>
    </row>
    <row r="6">
      <c r="A6" s="3" t="str">
        <f>IFERROR(__xludf.DUMMYFUNCTION("""COMPUTED_VALUE"""),"Instituto Clima e Sociedade (iCS)")</f>
        <v>Instituto Clima e Sociedade (iCS)</v>
      </c>
      <c r="B6" s="3" t="str">
        <f>IFERROR(__xludf.DUMMYFUNCTION("""COMPUTED_VALUE"""),"Amazonia")</f>
        <v>Amazonia</v>
      </c>
    </row>
    <row r="7">
      <c r="A7" s="3" t="str">
        <f>IFERROR(__xludf.DUMMYFUNCTION("""COMPUTED_VALUE"""),"Instituto Clima e Sociedade (iCS)")</f>
        <v>Instituto Clima e Sociedade (iCS)</v>
      </c>
      <c r="B7" s="3" t="str">
        <f>IFERROR(__xludf.DUMMYFUNCTION("""COMPUTED_VALUE"""),"Caatinga")</f>
        <v>Caatinga</v>
      </c>
    </row>
    <row r="8">
      <c r="A8" s="3" t="str">
        <f>IFERROR(__xludf.DUMMYFUNCTION("""COMPUTED_VALUE"""),"Instituto Clima e Sociedade (iCS)")</f>
        <v>Instituto Clima e Sociedade (iCS)</v>
      </c>
      <c r="B8" s="3" t="str">
        <f>IFERROR(__xludf.DUMMYFUNCTION("""COMPUTED_VALUE"""),"Cerrado")</f>
        <v>Cerrado</v>
      </c>
    </row>
    <row r="9">
      <c r="A9" s="3" t="str">
        <f>IFERROR(__xludf.DUMMYFUNCTION("""COMPUTED_VALUE"""),"Movimento Bem Maior (MBM)")</f>
        <v>Movimento Bem Maior (MBM)</v>
      </c>
      <c r="B9" s="3" t="str">
        <f>IFERROR(__xludf.DUMMYFUNCTION("""COMPUTED_VALUE"""),"Amazonia")</f>
        <v>Amazonia</v>
      </c>
    </row>
    <row r="10">
      <c r="A10" s="3" t="str">
        <f>IFERROR(__xludf.DUMMYFUNCTION("""COMPUTED_VALUE"""),"Open Society Foundations")</f>
        <v>Open Society Foundations</v>
      </c>
      <c r="B10" s="3" t="str">
        <f>IFERROR(__xludf.DUMMYFUNCTION("""COMPUTED_VALUE"""),"Amazonia")</f>
        <v>Amazonia</v>
      </c>
    </row>
    <row r="11">
      <c r="A11" s="3" t="str">
        <f>IFERROR(__xludf.DUMMYFUNCTION("""COMPUTED_VALUE"""),"Instituto Ethos")</f>
        <v>Instituto Ethos</v>
      </c>
      <c r="B11" s="3" t="str">
        <f>IFERROR(__xludf.DUMMYFUNCTION("""COMPUTED_VALUE"""),"Amazonia")</f>
        <v>Amazonia</v>
      </c>
    </row>
    <row r="12">
      <c r="A12" s="3" t="str">
        <f>IFERROR(__xludf.DUMMYFUNCTION("""COMPUTED_VALUE"""),"Instituto Climate Ventures Brasil (Climate Ventures)")</f>
        <v>Instituto Climate Ventures Brasil (Climate Ventures)</v>
      </c>
      <c r="B12" s="3" t="str">
        <f>IFERROR(__xludf.DUMMYFUNCTION("""COMPUTED_VALUE"""),"Amazonia")</f>
        <v>Amazonia</v>
      </c>
    </row>
    <row r="13">
      <c r="A13" s="3" t="str">
        <f>IFERROR(__xludf.DUMMYFUNCTION("""COMPUTED_VALUE"""),"Instituto Climate Ventures Brasil (Climate Ventures)")</f>
        <v>Instituto Climate Ventures Brasil (Climate Ventures)</v>
      </c>
      <c r="B13" s="3" t="str">
        <f>IFERROR(__xludf.DUMMYFUNCTION("""COMPUTED_VALUE"""),"Caatinga")</f>
        <v>Caatinga</v>
      </c>
    </row>
    <row r="14">
      <c r="A14" s="3" t="str">
        <f>IFERROR(__xludf.DUMMYFUNCTION("""COMPUTED_VALUE"""),"Instituto Climate Ventures Brasil (Climate Ventures)")</f>
        <v>Instituto Climate Ventures Brasil (Climate Ventures)</v>
      </c>
      <c r="B14" s="3" t="str">
        <f>IFERROR(__xludf.DUMMYFUNCTION("""COMPUTED_VALUE"""),"Cerrado")</f>
        <v>Cerrado</v>
      </c>
    </row>
    <row r="15">
      <c r="A15" s="3" t="str">
        <f>IFERROR(__xludf.DUMMYFUNCTION("""COMPUTED_VALUE"""),"Instituto Talanoa")</f>
        <v>Instituto Talanoa</v>
      </c>
      <c r="B15" s="3" t="str">
        <f>IFERROR(__xludf.DUMMYFUNCTION("""COMPUTED_VALUE"""),"Amazonia")</f>
        <v>Amazonia</v>
      </c>
    </row>
    <row r="16">
      <c r="A16" s="3" t="str">
        <f>IFERROR(__xludf.DUMMYFUNCTION("""COMPUTED_VALUE"""),"Instituto Talanoa")</f>
        <v>Instituto Talanoa</v>
      </c>
      <c r="B16" s="3" t="str">
        <f>IFERROR(__xludf.DUMMYFUNCTION("""COMPUTED_VALUE"""),"Caatinga")</f>
        <v>Caatinga</v>
      </c>
    </row>
    <row r="17">
      <c r="A17" s="3" t="str">
        <f>IFERROR(__xludf.DUMMYFUNCTION("""COMPUTED_VALUE"""),"Instituto Talanoa")</f>
        <v>Instituto Talanoa</v>
      </c>
      <c r="B17" s="3" t="str">
        <f>IFERROR(__xludf.DUMMYFUNCTION("""COMPUTED_VALUE"""),"Cerrado")</f>
        <v>Cerrado</v>
      </c>
    </row>
    <row r="18">
      <c r="A18" s="3" t="str">
        <f>IFERROR(__xludf.DUMMYFUNCTION("""COMPUTED_VALUE"""),"Instituto Alana")</f>
        <v>Instituto Alana</v>
      </c>
      <c r="B18" s="3" t="str">
        <f>IFERROR(__xludf.DUMMYFUNCTION("""COMPUTED_VALUE"""),"Amazonia")</f>
        <v>Amazonia</v>
      </c>
    </row>
    <row r="19">
      <c r="A19" s="3" t="str">
        <f>IFERROR(__xludf.DUMMYFUNCTION("""COMPUTED_VALUE"""),"Instituto Alana")</f>
        <v>Instituto Alana</v>
      </c>
      <c r="B19" s="3" t="str">
        <f>IFERROR(__xludf.DUMMYFUNCTION("""COMPUTED_VALUE"""),"Caatinga")</f>
        <v>Caatinga</v>
      </c>
    </row>
    <row r="20">
      <c r="A20" s="3" t="str">
        <f>IFERROR(__xludf.DUMMYFUNCTION("""COMPUTED_VALUE"""),"Instituto Alana")</f>
        <v>Instituto Alana</v>
      </c>
      <c r="B20" s="3" t="str">
        <f>IFERROR(__xludf.DUMMYFUNCTION("""COMPUTED_VALUE"""),"Cerrado")</f>
        <v>Cerrado</v>
      </c>
    </row>
    <row r="21">
      <c r="A21" s="3" t="str">
        <f>IFERROR(__xludf.DUMMYFUNCTION("""COMPUTED_VALUE"""),"Instituto Arapyaú")</f>
        <v>Instituto Arapyaú</v>
      </c>
      <c r="B21" s="3" t="str">
        <f>IFERROR(__xludf.DUMMYFUNCTION("""COMPUTED_VALUE"""),"Amazonia")</f>
        <v>Amazonia</v>
      </c>
    </row>
    <row r="22">
      <c r="A22" s="3" t="str">
        <f>IFERROR(__xludf.DUMMYFUNCTION("""COMPUTED_VALUE"""),"Instituto Semeia")</f>
        <v>Instituto Semeia</v>
      </c>
      <c r="B22" s="3" t="str">
        <f>IFERROR(__xludf.DUMMYFUNCTION("""COMPUTED_VALUE"""),"Amazonia")</f>
        <v>Amazonia</v>
      </c>
    </row>
    <row r="23">
      <c r="A23" s="3" t="str">
        <f>IFERROR(__xludf.DUMMYFUNCTION("""COMPUTED_VALUE"""),"Instituto Semeia")</f>
        <v>Instituto Semeia</v>
      </c>
      <c r="B23" s="3" t="str">
        <f>IFERROR(__xludf.DUMMYFUNCTION("""COMPUTED_VALUE"""),"Cerrado")</f>
        <v>Cerrado</v>
      </c>
    </row>
    <row r="24">
      <c r="A24" s="3" t="str">
        <f>IFERROR(__xludf.DUMMYFUNCTION("""COMPUTED_VALUE"""),"Alcoa")</f>
        <v>Alcoa</v>
      </c>
      <c r="B24" s="3" t="str">
        <f>IFERROR(__xludf.DUMMYFUNCTION("""COMPUTED_VALUE"""),"Amazonia")</f>
        <v>Amazonia</v>
      </c>
    </row>
    <row r="25">
      <c r="A25" s="3" t="str">
        <f>IFERROR(__xludf.DUMMYFUNCTION("""COMPUTED_VALUE"""),"Norsk Hydro ASA (Hydro)")</f>
        <v>Norsk Hydro ASA (Hydro)</v>
      </c>
      <c r="B25" s="3" t="str">
        <f>IFERROR(__xludf.DUMMYFUNCTION("""COMPUTED_VALUE"""),"Amazonia")</f>
        <v>Amazonia</v>
      </c>
    </row>
    <row r="26">
      <c r="A26" s="3" t="str">
        <f>IFERROR(__xludf.DUMMYFUNCTION("""COMPUTED_VALUE"""),"Instituto Socioambiental (ISA)")</f>
        <v>Instituto Socioambiental (ISA)</v>
      </c>
      <c r="B26" s="3" t="str">
        <f>IFERROR(__xludf.DUMMYFUNCTION("""COMPUTED_VALUE"""),"Amazonia")</f>
        <v>Amazonia</v>
      </c>
    </row>
    <row r="27">
      <c r="A27" s="3" t="str">
        <f>IFERROR(__xludf.DUMMYFUNCTION("""COMPUTED_VALUE"""),"The Nature Conservancy Brasil (TNC Brasil)")</f>
        <v>The Nature Conservancy Brasil (TNC Brasil)</v>
      </c>
      <c r="B27" s="3" t="str">
        <f>IFERROR(__xludf.DUMMYFUNCTION("""COMPUTED_VALUE"""),"Amazonia")</f>
        <v>Amazonia</v>
      </c>
    </row>
    <row r="28">
      <c r="A28" s="3" t="str">
        <f>IFERROR(__xludf.DUMMYFUNCTION("""COMPUTED_VALUE"""),"The Nature Conservancy Brasil (TNC Brasil)")</f>
        <v>The Nature Conservancy Brasil (TNC Brasil)</v>
      </c>
      <c r="B28" s="3" t="str">
        <f>IFERROR(__xludf.DUMMYFUNCTION("""COMPUTED_VALUE"""),"Cerrado")</f>
        <v>Cerrado</v>
      </c>
    </row>
    <row r="29">
      <c r="A29" s="3" t="str">
        <f>IFERROR(__xludf.DUMMYFUNCTION("""COMPUTED_VALUE"""),"Conservação Internacional Brasil (CI-Brasil)")</f>
        <v>Conservação Internacional Brasil (CI-Brasil)</v>
      </c>
      <c r="B29" s="3" t="str">
        <f>IFERROR(__xludf.DUMMYFUNCTION("""COMPUTED_VALUE"""),"Amazonia")</f>
        <v>Amazonia</v>
      </c>
    </row>
    <row r="30">
      <c r="A30" s="3" t="str">
        <f>IFERROR(__xludf.DUMMYFUNCTION("""COMPUTED_VALUE"""),"Conservação Internacional Brasil (CI-Brasil)")</f>
        <v>Conservação Internacional Brasil (CI-Brasil)</v>
      </c>
      <c r="B30" s="3" t="str">
        <f>IFERROR(__xludf.DUMMYFUNCTION("""COMPUTED_VALUE"""),"Cerrado")</f>
        <v>Cerrado</v>
      </c>
    </row>
    <row r="31">
      <c r="A31" s="3" t="str">
        <f>IFERROR(__xludf.DUMMYFUNCTION("""COMPUTED_VALUE"""),"WWF-Brasil")</f>
        <v>WWF-Brasil</v>
      </c>
      <c r="B31" s="3" t="str">
        <f>IFERROR(__xludf.DUMMYFUNCTION("""COMPUTED_VALUE"""),"Amazonia")</f>
        <v>Amazonia</v>
      </c>
    </row>
    <row r="32">
      <c r="A32" s="3" t="str">
        <f>IFERROR(__xludf.DUMMYFUNCTION("""COMPUTED_VALUE"""),"WWF-Brasil")</f>
        <v>WWF-Brasil</v>
      </c>
      <c r="B32" s="3" t="str">
        <f>IFERROR(__xludf.DUMMYFUNCTION("""COMPUTED_VALUE"""),"Cerrado")</f>
        <v>Cerrado</v>
      </c>
    </row>
    <row r="33">
      <c r="A33" s="3" t="str">
        <f>IFERROR(__xludf.DUMMYFUNCTION("""COMPUTED_VALUE"""),"WRI Brasil")</f>
        <v>WRI Brasil</v>
      </c>
      <c r="B33" s="3" t="str">
        <f>IFERROR(__xludf.DUMMYFUNCTION("""COMPUTED_VALUE"""),"Amazonia")</f>
        <v>Amazonia</v>
      </c>
    </row>
    <row r="34">
      <c r="A34" s="3" t="str">
        <f>IFERROR(__xludf.DUMMYFUNCTION("""COMPUTED_VALUE"""),"WRI Brasil")</f>
        <v>WRI Brasil</v>
      </c>
      <c r="B34" s="3" t="str">
        <f>IFERROR(__xludf.DUMMYFUNCTION("""COMPUTED_VALUE"""),"Caatinga")</f>
        <v>Caatinga</v>
      </c>
    </row>
    <row r="35">
      <c r="A35" s="3" t="str">
        <f>IFERROR(__xludf.DUMMYFUNCTION("""COMPUTED_VALUE"""),"WRI Brasil")</f>
        <v>WRI Brasil</v>
      </c>
      <c r="B35" s="3" t="str">
        <f>IFERROR(__xludf.DUMMYFUNCTION("""COMPUTED_VALUE"""),"Cerrado")</f>
        <v>Cerrado</v>
      </c>
    </row>
    <row r="36">
      <c r="A36" s="3" t="str">
        <f>IFERROR(__xludf.DUMMYFUNCTION("""COMPUTED_VALUE"""),"Empresa Brasileira de Pesquisa Agropecuária (Embrapa)")</f>
        <v>Empresa Brasileira de Pesquisa Agropecuária (Embrapa)</v>
      </c>
      <c r="B36" s="3" t="str">
        <f>IFERROR(__xludf.DUMMYFUNCTION("""COMPUTED_VALUE"""),"Amazonia")</f>
        <v>Amazonia</v>
      </c>
    </row>
    <row r="37">
      <c r="A37" s="3" t="str">
        <f>IFERROR(__xludf.DUMMYFUNCTION("""COMPUTED_VALUE"""),"Empresa Brasileira de Pesquisa Agropecuária (Embrapa)")</f>
        <v>Empresa Brasileira de Pesquisa Agropecuária (Embrapa)</v>
      </c>
      <c r="B37" s="3" t="str">
        <f>IFERROR(__xludf.DUMMYFUNCTION("""COMPUTED_VALUE"""),"Caatinga")</f>
        <v>Caatinga</v>
      </c>
    </row>
    <row r="38">
      <c r="A38" s="3" t="str">
        <f>IFERROR(__xludf.DUMMYFUNCTION("""COMPUTED_VALUE"""),"Empresa Brasileira de Pesquisa Agropecuária (Embrapa)")</f>
        <v>Empresa Brasileira de Pesquisa Agropecuária (Embrapa)</v>
      </c>
      <c r="B38" s="3" t="str">
        <f>IFERROR(__xludf.DUMMYFUNCTION("""COMPUTED_VALUE"""),"Cerrado")</f>
        <v>Cerrado</v>
      </c>
    </row>
    <row r="39">
      <c r="A39" s="3" t="str">
        <f>IFERROR(__xludf.DUMMYFUNCTION("""COMPUTED_VALUE"""),"Instituto Brasileiro do Meio Ambiente e dos Recursos Naturais Renováveis (Ibama)")</f>
        <v>Instituto Brasileiro do Meio Ambiente e dos Recursos Naturais Renováveis (Ibama)</v>
      </c>
      <c r="B39" s="3" t="str">
        <f>IFERROR(__xludf.DUMMYFUNCTION("""COMPUTED_VALUE"""),"Amazonia")</f>
        <v>Amazonia</v>
      </c>
    </row>
    <row r="40">
      <c r="A40" s="3" t="str">
        <f>IFERROR(__xludf.DUMMYFUNCTION("""COMPUTED_VALUE"""),"Instituto Brasileiro do Meio Ambiente e dos Recursos Naturais Renováveis (Ibama)")</f>
        <v>Instituto Brasileiro do Meio Ambiente e dos Recursos Naturais Renováveis (Ibama)</v>
      </c>
      <c r="B40" s="3" t="str">
        <f>IFERROR(__xludf.DUMMYFUNCTION("""COMPUTED_VALUE"""),"Caatinga")</f>
        <v>Caatinga</v>
      </c>
    </row>
    <row r="41">
      <c r="A41" s="3" t="str">
        <f>IFERROR(__xludf.DUMMYFUNCTION("""COMPUTED_VALUE"""),"Instituto Brasileiro do Meio Ambiente e dos Recursos Naturais Renováveis (Ibama)")</f>
        <v>Instituto Brasileiro do Meio Ambiente e dos Recursos Naturais Renováveis (Ibama)</v>
      </c>
      <c r="B41" s="3" t="str">
        <f>IFERROR(__xludf.DUMMYFUNCTION("""COMPUTED_VALUE"""),"Cerrado")</f>
        <v>Cerrado</v>
      </c>
    </row>
    <row r="42">
      <c r="A42" s="3" t="str">
        <f>IFERROR(__xludf.DUMMYFUNCTION("""COMPUTED_VALUE"""),"Instituto Chico Mendes de Conservação da Biodiversidade (ICMBio)")</f>
        <v>Instituto Chico Mendes de Conservação da Biodiversidade (ICMBio)</v>
      </c>
      <c r="B42" s="3" t="str">
        <f>IFERROR(__xludf.DUMMYFUNCTION("""COMPUTED_VALUE"""),"Amazonia")</f>
        <v>Amazonia</v>
      </c>
    </row>
    <row r="43">
      <c r="A43" s="3" t="str">
        <f>IFERROR(__xludf.DUMMYFUNCTION("""COMPUTED_VALUE"""),"Instituto Chico Mendes de Conservação da Biodiversidade (ICMBio)")</f>
        <v>Instituto Chico Mendes de Conservação da Biodiversidade (ICMBio)</v>
      </c>
      <c r="B43" s="3" t="str">
        <f>IFERROR(__xludf.DUMMYFUNCTION("""COMPUTED_VALUE"""),"Caatinga")</f>
        <v>Caatinga</v>
      </c>
    </row>
    <row r="44">
      <c r="A44" s="3" t="str">
        <f>IFERROR(__xludf.DUMMYFUNCTION("""COMPUTED_VALUE"""),"Instituto Chico Mendes de Conservação da Biodiversidade (ICMBio)")</f>
        <v>Instituto Chico Mendes de Conservação da Biodiversidade (ICMBio)</v>
      </c>
      <c r="B44" s="3" t="str">
        <f>IFERROR(__xludf.DUMMYFUNCTION("""COMPUTED_VALUE"""),"Cerrado")</f>
        <v>Cerrado</v>
      </c>
    </row>
    <row r="45">
      <c r="A45" s="3" t="str">
        <f>IFERROR(__xludf.DUMMYFUNCTION("""COMPUTED_VALUE"""),"Instituto do Homem e Meio Ambiente da Amazônia (Imazon)")</f>
        <v>Instituto do Homem e Meio Ambiente da Amazônia (Imazon)</v>
      </c>
      <c r="B45" s="3" t="str">
        <f>IFERROR(__xludf.DUMMYFUNCTION("""COMPUTED_VALUE"""),"Amazonia")</f>
        <v>Amazonia</v>
      </c>
    </row>
    <row r="46">
      <c r="A46" s="3" t="str">
        <f>IFERROR(__xludf.DUMMYFUNCTION("""COMPUTED_VALUE"""),"Fundação Amazonas Sustentável (FAS)")</f>
        <v>Fundação Amazonas Sustentável (FAS)</v>
      </c>
      <c r="B46" s="3" t="str">
        <f>IFERROR(__xludf.DUMMYFUNCTION("""COMPUTED_VALUE"""),"Amazonia")</f>
        <v>Amazonia</v>
      </c>
    </row>
    <row r="47">
      <c r="A47" s="3" t="str">
        <f>IFERROR(__xludf.DUMMYFUNCTION("""COMPUTED_VALUE"""),"Instituto de Manejo e Certificação Florestal e Agrícola (Imaflora)")</f>
        <v>Instituto de Manejo e Certificação Florestal e Agrícola (Imaflora)</v>
      </c>
      <c r="B47" s="3" t="str">
        <f>IFERROR(__xludf.DUMMYFUNCTION("""COMPUTED_VALUE"""),"Amazonia")</f>
        <v>Amazonia</v>
      </c>
    </row>
    <row r="48">
      <c r="A48" s="3" t="str">
        <f>IFERROR(__xludf.DUMMYFUNCTION("""COMPUTED_VALUE"""),"Instituto de Manejo e Certificação Florestal e Agrícola (Imaflora)")</f>
        <v>Instituto de Manejo e Certificação Florestal e Agrícola (Imaflora)</v>
      </c>
      <c r="B48" s="3" t="str">
        <f>IFERROR(__xludf.DUMMYFUNCTION("""COMPUTED_VALUE"""),"Caatinga")</f>
        <v>Caatinga</v>
      </c>
    </row>
    <row r="49">
      <c r="A49" s="3" t="str">
        <f>IFERROR(__xludf.DUMMYFUNCTION("""COMPUTED_VALUE"""),"Instituto de Manejo e Certificação Florestal e Agrícola (Imaflora)")</f>
        <v>Instituto de Manejo e Certificação Florestal e Agrícola (Imaflora)</v>
      </c>
      <c r="B49" s="3" t="str">
        <f>IFERROR(__xludf.DUMMYFUNCTION("""COMPUTED_VALUE"""),"Cerrado")</f>
        <v>Cerrado</v>
      </c>
    </row>
    <row r="50">
      <c r="A50" s="3" t="str">
        <f>IFERROR(__xludf.DUMMYFUNCTION("""COMPUTED_VALUE"""),"Vale S.A.")</f>
        <v>Vale S.A.</v>
      </c>
      <c r="B50" s="3" t="str">
        <f>IFERROR(__xludf.DUMMYFUNCTION("""COMPUTED_VALUE"""),"Amazonia")</f>
        <v>Amazonia</v>
      </c>
    </row>
    <row r="51">
      <c r="A51" s="3" t="str">
        <f>IFERROR(__xludf.DUMMYFUNCTION("""COMPUTED_VALUE"""),"Vale S.A.")</f>
        <v>Vale S.A.</v>
      </c>
      <c r="B51" s="3" t="str">
        <f>IFERROR(__xludf.DUMMYFUNCTION("""COMPUTED_VALUE"""),"Cerrado")</f>
        <v>Cerrado</v>
      </c>
    </row>
    <row r="52">
      <c r="A52" s="3" t="str">
        <f>IFERROR(__xludf.DUMMYFUNCTION("""COMPUTED_VALUE"""),"Suzano S.A.")</f>
        <v>Suzano S.A.</v>
      </c>
      <c r="B52" s="3" t="str">
        <f>IFERROR(__xludf.DUMMYFUNCTION("""COMPUTED_VALUE"""),"Amazonia")</f>
        <v>Amazonia</v>
      </c>
    </row>
    <row r="53">
      <c r="A53" s="3" t="str">
        <f>IFERROR(__xludf.DUMMYFUNCTION("""COMPUTED_VALUE"""),"Suzano S.A.")</f>
        <v>Suzano S.A.</v>
      </c>
      <c r="B53" s="3" t="str">
        <f>IFERROR(__xludf.DUMMYFUNCTION("""COMPUTED_VALUE"""),"Cerrado")</f>
        <v>Cerrado</v>
      </c>
    </row>
    <row r="54">
      <c r="A54" s="3" t="str">
        <f>IFERROR(__xludf.DUMMYFUNCTION("""COMPUTED_VALUE"""),"Banco da Amazônia S.A. (BASA)")</f>
        <v>Banco da Amazônia S.A. (BASA)</v>
      </c>
      <c r="B54" s="3" t="str">
        <f>IFERROR(__xludf.DUMMYFUNCTION("""COMPUTED_VALUE"""),"Amazonia")</f>
        <v>Amazonia</v>
      </c>
    </row>
    <row r="55">
      <c r="A55" s="3" t="str">
        <f>IFERROR(__xludf.DUMMYFUNCTION("""COMPUTED_VALUE"""),"Instituto de Conservação e Desenvolvimento Sustentável da Amazônia (IDESAM)")</f>
        <v>Instituto de Conservação e Desenvolvimento Sustentável da Amazônia (IDESAM)</v>
      </c>
      <c r="B55" s="3" t="str">
        <f>IFERROR(__xludf.DUMMYFUNCTION("""COMPUTED_VALUE"""),"Amazonia")</f>
        <v>Amazonia</v>
      </c>
    </row>
    <row r="56">
      <c r="A56" s="3" t="str">
        <f>IFERROR(__xludf.DUMMYFUNCTION("""COMPUTED_VALUE"""),"Instituto Conexões Sustentáveis (Conexsus)")</f>
        <v>Instituto Conexões Sustentáveis (Conexsus)</v>
      </c>
      <c r="B56" s="3" t="str">
        <f>IFERROR(__xludf.DUMMYFUNCTION("""COMPUTED_VALUE"""),"Amazonia")</f>
        <v>Amazonia</v>
      </c>
    </row>
    <row r="57">
      <c r="A57" s="3" t="str">
        <f>IFERROR(__xludf.DUMMYFUNCTION("""COMPUTED_VALUE"""),"Instituto Conexões Sustentáveis (Conexsus)")</f>
        <v>Instituto Conexões Sustentáveis (Conexsus)</v>
      </c>
      <c r="B57" s="3" t="str">
        <f>IFERROR(__xludf.DUMMYFUNCTION("""COMPUTED_VALUE"""),"Caatinga")</f>
        <v>Caatinga</v>
      </c>
    </row>
    <row r="58">
      <c r="A58" s="3" t="str">
        <f>IFERROR(__xludf.DUMMYFUNCTION("""COMPUTED_VALUE"""),"Instituto Conexões Sustentáveis (Conexsus)")</f>
        <v>Instituto Conexões Sustentáveis (Conexsus)</v>
      </c>
      <c r="B58" s="3" t="str">
        <f>IFERROR(__xludf.DUMMYFUNCTION("""COMPUTED_VALUE"""),"Cerrado")</f>
        <v>Cerrado</v>
      </c>
    </row>
    <row r="59">
      <c r="A59" s="3" t="str">
        <f>IFERROR(__xludf.DUMMYFUNCTION("""COMPUTED_VALUE"""),"Fundação Grupo Boticário de Proteção à Natureza")</f>
        <v>Fundação Grupo Boticário de Proteção à Natureza</v>
      </c>
      <c r="B59" s="3" t="str">
        <f>IFERROR(__xludf.DUMMYFUNCTION("""COMPUTED_VALUE"""),"Cerrado")</f>
        <v>Cerrado</v>
      </c>
    </row>
    <row r="60">
      <c r="A60" s="3" t="str">
        <f>IFERROR(__xludf.DUMMYFUNCTION("""COMPUTED_VALUE"""),"Natura")</f>
        <v>Natura</v>
      </c>
      <c r="B60" s="3" t="str">
        <f>IFERROR(__xludf.DUMMYFUNCTION("""COMPUTED_VALUE"""),"Amazonia")</f>
        <v>Amazonia</v>
      </c>
    </row>
    <row r="61">
      <c r="A61" s="3" t="str">
        <f>IFERROR(__xludf.DUMMYFUNCTION("""COMPUTED_VALUE"""),"Natura")</f>
        <v>Natura</v>
      </c>
      <c r="B61" s="3" t="str">
        <f>IFERROR(__xludf.DUMMYFUNCTION("""COMPUTED_VALUE"""),"Cerrado")</f>
        <v>Cerrado</v>
      </c>
    </row>
    <row r="62">
      <c r="A62" s="3" t="str">
        <f>IFERROR(__xludf.DUMMYFUNCTION("""COMPUTED_VALUE"""),"Centro de Empreendedorismo da Amazônia (CEA)")</f>
        <v>Centro de Empreendedorismo da Amazônia (CEA)</v>
      </c>
      <c r="B62" s="3" t="str">
        <f>IFERROR(__xludf.DUMMYFUNCTION("""COMPUTED_VALUE"""),"Amazonia")</f>
        <v>Amazonia</v>
      </c>
    </row>
    <row r="63">
      <c r="A63" s="3" t="str">
        <f>IFERROR(__xludf.DUMMYFUNCTION("""COMPUTED_VALUE"""),"Manioca")</f>
        <v>Manioca</v>
      </c>
      <c r="B63" s="3" t="str">
        <f>IFERROR(__xludf.DUMMYFUNCTION("""COMPUTED_VALUE"""),"Amazonia")</f>
        <v>Amazonia</v>
      </c>
    </row>
    <row r="64">
      <c r="A64" s="3" t="str">
        <f>IFERROR(__xludf.DUMMYFUNCTION("""COMPUTED_VALUE"""),"De Mendes")</f>
        <v>De Mendes</v>
      </c>
      <c r="B64" s="3" t="str">
        <f>IFERROR(__xludf.DUMMYFUNCTION("""COMPUTED_VALUE"""),"Amazonia")</f>
        <v>Amazonia</v>
      </c>
    </row>
    <row r="65">
      <c r="A65" s="3" t="str">
        <f>IFERROR(__xludf.DUMMYFUNCTION("""COMPUTED_VALUE"""),"Climate and Land Use Alliance (CLUA)")</f>
        <v>Climate and Land Use Alliance (CLUA)</v>
      </c>
      <c r="B65" s="3" t="str">
        <f>IFERROR(__xludf.DUMMYFUNCTION("""COMPUTED_VALUE"""),"Amazonia")</f>
        <v>Amazonia</v>
      </c>
    </row>
    <row r="66">
      <c r="A66" s="3" t="str">
        <f>IFERROR(__xludf.DUMMYFUNCTION("""COMPUTED_VALUE"""),"Climate and Land Use Alliance (CLUA)")</f>
        <v>Climate and Land Use Alliance (CLUA)</v>
      </c>
      <c r="B66" s="3" t="str">
        <f>IFERROR(__xludf.DUMMYFUNCTION("""COMPUTED_VALUE"""),"Cerrado")</f>
        <v>Cerrado</v>
      </c>
    </row>
    <row r="67">
      <c r="A67" s="3" t="str">
        <f>IFERROR(__xludf.DUMMYFUNCTION("""COMPUTED_VALUE"""),"AMAZ")</f>
        <v>AMAZ</v>
      </c>
      <c r="B67" s="3" t="str">
        <f>IFERROR(__xludf.DUMMYFUNCTION("""COMPUTED_VALUE"""),"Amazonia")</f>
        <v>Amazonia</v>
      </c>
    </row>
    <row r="68">
      <c r="A68" s="3" t="str">
        <f>IFERROR(__xludf.DUMMYFUNCTION("""COMPUTED_VALUE"""),"CocoaAction Brasil")</f>
        <v>CocoaAction Brasil</v>
      </c>
      <c r="B68" s="3" t="str">
        <f>IFERROR(__xludf.DUMMYFUNCTION("""COMPUTED_VALUE"""),"Amazonia")</f>
        <v>Amazonia</v>
      </c>
    </row>
    <row r="69">
      <c r="A69" s="3" t="str">
        <f>IFERROR(__xludf.DUMMYFUNCTION("""COMPUTED_VALUE"""),"Instituto de Pesquisas Ecológicas (IPÊ)")</f>
        <v>Instituto de Pesquisas Ecológicas (IPÊ)</v>
      </c>
      <c r="B69" s="3" t="str">
        <f>IFERROR(__xludf.DUMMYFUNCTION("""COMPUTED_VALUE"""),"Amazonia")</f>
        <v>Amazonia</v>
      </c>
    </row>
    <row r="70">
      <c r="A70" s="3" t="str">
        <f>IFERROR(__xludf.DUMMYFUNCTION("""COMPUTED_VALUE"""),"Fundação Nacional dos Povos Indígenas (FUNAI)")</f>
        <v>Fundação Nacional dos Povos Indígenas (FUNAI)</v>
      </c>
      <c r="B70" s="3" t="str">
        <f>IFERROR(__xludf.DUMMYFUNCTION("""COMPUTED_VALUE"""),"Amazonia")</f>
        <v>Amazonia</v>
      </c>
    </row>
    <row r="71">
      <c r="A71" s="3" t="str">
        <f>IFERROR(__xludf.DUMMYFUNCTION("""COMPUTED_VALUE"""),"Fundação Nacional dos Povos Indígenas (FUNAI)")</f>
        <v>Fundação Nacional dos Povos Indígenas (FUNAI)</v>
      </c>
      <c r="B71" s="3" t="str">
        <f>IFERROR(__xludf.DUMMYFUNCTION("""COMPUTED_VALUE"""),"Caatinga")</f>
        <v>Caatinga</v>
      </c>
    </row>
    <row r="72">
      <c r="A72" s="3" t="str">
        <f>IFERROR(__xludf.DUMMYFUNCTION("""COMPUTED_VALUE"""),"Fundação Nacional dos Povos Indígenas (FUNAI)")</f>
        <v>Fundação Nacional dos Povos Indígenas (FUNAI)</v>
      </c>
      <c r="B72" s="3" t="str">
        <f>IFERROR(__xludf.DUMMYFUNCTION("""COMPUTED_VALUE"""),"Cerrado")</f>
        <v>Cerrado</v>
      </c>
    </row>
    <row r="73">
      <c r="A73" s="3" t="str">
        <f>IFERROR(__xludf.DUMMYFUNCTION("""COMPUTED_VALUE"""),"Gordon and Betty Moore Foundation")</f>
        <v>Gordon and Betty Moore Foundation</v>
      </c>
      <c r="B73" s="3" t="str">
        <f>IFERROR(__xludf.DUMMYFUNCTION("""COMPUTED_VALUE"""),"Amazonia")</f>
        <v>Amazonia</v>
      </c>
    </row>
    <row r="74">
      <c r="A74" s="3" t="str">
        <f>IFERROR(__xludf.DUMMYFUNCTION("""COMPUTED_VALUE"""),"Instituto de Energia e Meio Ambiente (IEMA)")</f>
        <v>Instituto de Energia e Meio Ambiente (IEMA)</v>
      </c>
      <c r="B74" s="3" t="str">
        <f>IFERROR(__xludf.DUMMYFUNCTION("""COMPUTED_VALUE"""),"Amazonia")</f>
        <v>Amazonia</v>
      </c>
    </row>
    <row r="75">
      <c r="A75" s="3" t="str">
        <f>IFERROR(__xludf.DUMMYFUNCTION("""COMPUTED_VALUE"""),"Instituto de Energia e Meio Ambiente (IEMA)")</f>
        <v>Instituto de Energia e Meio Ambiente (IEMA)</v>
      </c>
      <c r="B75" s="3" t="str">
        <f>IFERROR(__xludf.DUMMYFUNCTION("""COMPUTED_VALUE"""),"Caatinga")</f>
        <v>Caatinga</v>
      </c>
    </row>
    <row r="76">
      <c r="A76" s="3" t="str">
        <f>IFERROR(__xludf.DUMMYFUNCTION("""COMPUTED_VALUE"""),"Instituto de Energia e Meio Ambiente (IEMA)")</f>
        <v>Instituto de Energia e Meio Ambiente (IEMA)</v>
      </c>
      <c r="B76" s="3" t="str">
        <f>IFERROR(__xludf.DUMMYFUNCTION("""COMPUTED_VALUE"""),"Cerrado")</f>
        <v>Cerrado</v>
      </c>
    </row>
    <row r="77">
      <c r="A77" s="3" t="str">
        <f>IFERROR(__xludf.DUMMYFUNCTION("""COMPUTED_VALUE"""),"Instituto E+ Transição Energética (E+)")</f>
        <v>Instituto E+ Transição Energética (E+)</v>
      </c>
      <c r="B77" s="3" t="str">
        <f>IFERROR(__xludf.DUMMYFUNCTION("""COMPUTED_VALUE"""),"Amazonia")</f>
        <v>Amazonia</v>
      </c>
    </row>
    <row r="78">
      <c r="A78" s="3" t="str">
        <f>IFERROR(__xludf.DUMMYFUNCTION("""COMPUTED_VALUE"""),"Instituto E+ Transição Energética (E+)")</f>
        <v>Instituto E+ Transição Energética (E+)</v>
      </c>
      <c r="B78" s="3" t="str">
        <f>IFERROR(__xludf.DUMMYFUNCTION("""COMPUTED_VALUE"""),"Caatinga")</f>
        <v>Caatinga</v>
      </c>
    </row>
    <row r="79">
      <c r="A79" s="3" t="str">
        <f>IFERROR(__xludf.DUMMYFUNCTION("""COMPUTED_VALUE"""),"Agroicone")</f>
        <v>Agroicone</v>
      </c>
      <c r="B79" s="3" t="str">
        <f>IFERROR(__xludf.DUMMYFUNCTION("""COMPUTED_VALUE"""),"Amazonia")</f>
        <v>Amazonia</v>
      </c>
    </row>
    <row r="80">
      <c r="A80" s="3" t="str">
        <f>IFERROR(__xludf.DUMMYFUNCTION("""COMPUTED_VALUE"""),"Agroicone")</f>
        <v>Agroicone</v>
      </c>
      <c r="B80" s="3" t="str">
        <f>IFERROR(__xludf.DUMMYFUNCTION("""COMPUTED_VALUE"""),"Cerrado")</f>
        <v>Cerrado</v>
      </c>
    </row>
    <row r="81">
      <c r="A81" s="3" t="str">
        <f>IFERROR(__xludf.DUMMYFUNCTION("""COMPUTED_VALUE"""),"JBS")</f>
        <v>JBS</v>
      </c>
      <c r="B81" s="3" t="str">
        <f>IFERROR(__xludf.DUMMYFUNCTION("""COMPUTED_VALUE"""),"Amazonia")</f>
        <v>Amazonia</v>
      </c>
    </row>
    <row r="82">
      <c r="A82" s="3" t="str">
        <f>IFERROR(__xludf.DUMMYFUNCTION("""COMPUTED_VALUE"""),"JBS")</f>
        <v>JBS</v>
      </c>
      <c r="B82" s="3" t="str">
        <f>IFERROR(__xludf.DUMMYFUNCTION("""COMPUTED_VALUE"""),"Cerrado")</f>
        <v>Cerrado</v>
      </c>
    </row>
    <row r="83">
      <c r="A83" s="3" t="str">
        <f>IFERROR(__xludf.DUMMYFUNCTION("""COMPUTED_VALUE"""),"Marfrig")</f>
        <v>Marfrig</v>
      </c>
      <c r="B83" s="3" t="str">
        <f>IFERROR(__xludf.DUMMYFUNCTION("""COMPUTED_VALUE"""),"Amazonia")</f>
        <v>Amazonia</v>
      </c>
    </row>
    <row r="84">
      <c r="A84" s="3" t="str">
        <f>IFERROR(__xludf.DUMMYFUNCTION("""COMPUTED_VALUE"""),"Marfrig")</f>
        <v>Marfrig</v>
      </c>
      <c r="B84" s="3" t="str">
        <f>IFERROR(__xludf.DUMMYFUNCTION("""COMPUTED_VALUE"""),"Cerrado")</f>
        <v>Cerrado</v>
      </c>
    </row>
    <row r="85">
      <c r="A85" s="3" t="str">
        <f>IFERROR(__xludf.DUMMYFUNCTION("""COMPUTED_VALUE"""),"Amaggi")</f>
        <v>Amaggi</v>
      </c>
      <c r="B85" s="3" t="str">
        <f>IFERROR(__xludf.DUMMYFUNCTION("""COMPUTED_VALUE"""),"Amazonia")</f>
        <v>Amazonia</v>
      </c>
    </row>
    <row r="86">
      <c r="A86" s="3" t="str">
        <f>IFERROR(__xludf.DUMMYFUNCTION("""COMPUTED_VALUE"""),"Amaggi")</f>
        <v>Amaggi</v>
      </c>
      <c r="B86" s="3" t="str">
        <f>IFERROR(__xludf.DUMMYFUNCTION("""COMPUTED_VALUE"""),"Cerrado")</f>
        <v>Cerrado</v>
      </c>
    </row>
    <row r="87">
      <c r="A87" s="3" t="str">
        <f>IFERROR(__xludf.DUMMYFUNCTION("""COMPUTED_VALUE"""),"SLC Agrícola")</f>
        <v>SLC Agrícola</v>
      </c>
      <c r="B87" s="3" t="str">
        <f>IFERROR(__xludf.DUMMYFUNCTION("""COMPUTED_VALUE"""),"Amazonia")</f>
        <v>Amazonia</v>
      </c>
    </row>
    <row r="88">
      <c r="A88" s="3" t="str">
        <f>IFERROR(__xludf.DUMMYFUNCTION("""COMPUTED_VALUE"""),"SLC Agrícola")</f>
        <v>SLC Agrícola</v>
      </c>
      <c r="B88" s="3" t="str">
        <f>IFERROR(__xludf.DUMMYFUNCTION("""COMPUTED_VALUE"""),"Cerrado")</f>
        <v>Cerrado</v>
      </c>
    </row>
    <row r="89">
      <c r="A89" s="3" t="str">
        <f>IFERROR(__xludf.DUMMYFUNCTION("""COMPUTED_VALUE"""),"Instituto de Pesquisa Ambiental da Amazônia (IPAM)")</f>
        <v>Instituto de Pesquisa Ambiental da Amazônia (IPAM)</v>
      </c>
      <c r="B89" s="3" t="str">
        <f>IFERROR(__xludf.DUMMYFUNCTION("""COMPUTED_VALUE"""),"Amazonia")</f>
        <v>Amazonia</v>
      </c>
    </row>
    <row r="90">
      <c r="A90" s="3" t="str">
        <f>IFERROR(__xludf.DUMMYFUNCTION("""COMPUTED_VALUE"""),"Instituto de Pesquisa Ambiental da Amazônia (IPAM)")</f>
        <v>Instituto de Pesquisa Ambiental da Amazônia (IPAM)</v>
      </c>
      <c r="B90" s="3" t="str">
        <f>IFERROR(__xludf.DUMMYFUNCTION("""COMPUTED_VALUE"""),"Cerrado")</f>
        <v>Cerrado</v>
      </c>
    </row>
    <row r="91">
      <c r="A91" s="3" t="str">
        <f>IFERROR(__xludf.DUMMYFUNCTION("""COMPUTED_VALUE"""),"Global Canopy")</f>
        <v>Global Canopy</v>
      </c>
      <c r="B91" s="3" t="str">
        <f>IFERROR(__xludf.DUMMYFUNCTION("""COMPUTED_VALUE"""),"Amazonia")</f>
        <v>Amazonia</v>
      </c>
    </row>
    <row r="92">
      <c r="A92" s="3" t="str">
        <f>IFERROR(__xludf.DUMMYFUNCTION("""COMPUTED_VALUE"""),"Global Canopy")</f>
        <v>Global Canopy</v>
      </c>
      <c r="B92" s="3" t="str">
        <f>IFERROR(__xludf.DUMMYFUNCTION("""COMPUTED_VALUE"""),"Cerrado")</f>
        <v>Cerrado</v>
      </c>
    </row>
    <row r="93">
      <c r="A93" s="3" t="str">
        <f>IFERROR(__xludf.DUMMYFUNCTION("""COMPUTED_VALUE"""),"Good Energies Foundation")</f>
        <v>Good Energies Foundation</v>
      </c>
      <c r="B93" s="3" t="str">
        <f>IFERROR(__xludf.DUMMYFUNCTION("""COMPUTED_VALUE"""),"Amazonia")</f>
        <v>Amazonia</v>
      </c>
    </row>
    <row r="94">
      <c r="A94" s="3" t="str">
        <f>IFERROR(__xludf.DUMMYFUNCTION("""COMPUTED_VALUE"""),"Carrefour Brasil")</f>
        <v>Carrefour Brasil</v>
      </c>
      <c r="B94" s="3" t="str">
        <f>IFERROR(__xludf.DUMMYFUNCTION("""COMPUTED_VALUE"""),"Amazonia")</f>
        <v>Amazonia</v>
      </c>
    </row>
    <row r="95">
      <c r="A95" s="3" t="str">
        <f>IFERROR(__xludf.DUMMYFUNCTION("""COMPUTED_VALUE"""),"Carrefour Brasil")</f>
        <v>Carrefour Brasil</v>
      </c>
      <c r="B95" s="3" t="str">
        <f>IFERROR(__xludf.DUMMYFUNCTION("""COMPUTED_VALUE"""),"Cerrado")</f>
        <v>Cerrado</v>
      </c>
    </row>
    <row r="96">
      <c r="A96" s="3" t="str">
        <f>IFERROR(__xludf.DUMMYFUNCTION("""COMPUTED_VALUE"""),"Nestlé Brasil")</f>
        <v>Nestlé Brasil</v>
      </c>
      <c r="B96" s="3" t="str">
        <f>IFERROR(__xludf.DUMMYFUNCTION("""COMPUTED_VALUE"""),"Cerrado")</f>
        <v>Cerrado</v>
      </c>
    </row>
    <row r="97">
      <c r="A97" s="3" t="str">
        <f>IFERROR(__xludf.DUMMYFUNCTION("""COMPUTED_VALUE"""),"Serviço Florestal Brasileiro (SFB)")</f>
        <v>Serviço Florestal Brasileiro (SFB)</v>
      </c>
      <c r="B97" s="3" t="str">
        <f>IFERROR(__xludf.DUMMYFUNCTION("""COMPUTED_VALUE"""),"Amazonia")</f>
        <v>Amazonia</v>
      </c>
    </row>
    <row r="98">
      <c r="A98" s="3" t="str">
        <f>IFERROR(__xludf.DUMMYFUNCTION("""COMPUTED_VALUE"""),"Serviço Florestal Brasileiro (SFB)")</f>
        <v>Serviço Florestal Brasileiro (SFB)</v>
      </c>
      <c r="B98" s="3" t="str">
        <f>IFERROR(__xludf.DUMMYFUNCTION("""COMPUTED_VALUE"""),"Cerrado")</f>
        <v>Cerrado</v>
      </c>
    </row>
    <row r="99">
      <c r="A99" s="3" t="str">
        <f>IFERROR(__xludf.DUMMYFUNCTION("""COMPUTED_VALUE"""),"Klabin")</f>
        <v>Klabin</v>
      </c>
      <c r="B99" s="3" t="str">
        <f>IFERROR(__xludf.DUMMYFUNCTION("""COMPUTED_VALUE"""),"Cerrado")</f>
        <v>Cerrado</v>
      </c>
    </row>
    <row r="100">
      <c r="A100" s="3" t="str">
        <f>IFERROR(__xludf.DUMMYFUNCTION("""COMPUTED_VALUE"""),"Bracell")</f>
        <v>Bracell</v>
      </c>
      <c r="B100" s="3" t="str">
        <f>IFERROR(__xludf.DUMMYFUNCTION("""COMPUTED_VALUE"""),"Cerrado")</f>
        <v>Cerrado</v>
      </c>
    </row>
    <row r="101">
      <c r="A101" s="3" t="str">
        <f>IFERROR(__xludf.DUMMYFUNCTION("""COMPUTED_VALUE"""),"Rainforest Alliance")</f>
        <v>Rainforest Alliance</v>
      </c>
      <c r="B101" s="3" t="str">
        <f>IFERROR(__xludf.DUMMYFUNCTION("""COMPUTED_VALUE"""),"Amazonia")</f>
        <v>Amazonia</v>
      </c>
    </row>
    <row r="102">
      <c r="A102" s="3" t="str">
        <f>IFERROR(__xludf.DUMMYFUNCTION("""COMPUTED_VALUE"""),"Rainforest Alliance")</f>
        <v>Rainforest Alliance</v>
      </c>
      <c r="B102" s="3" t="str">
        <f>IFERROR(__xludf.DUMMYFUNCTION("""COMPUTED_VALUE"""),"Cerrado")</f>
        <v>Cerrado</v>
      </c>
    </row>
    <row r="103">
      <c r="A103" s="3" t="str">
        <f>IFERROR(__xludf.DUMMYFUNCTION("""COMPUTED_VALUE"""),"Forest Trends")</f>
        <v>Forest Trends</v>
      </c>
      <c r="B103" s="3" t="str">
        <f>IFERROR(__xludf.DUMMYFUNCTION("""COMPUTED_VALUE"""),"Amazonia")</f>
        <v>Amazonia</v>
      </c>
    </row>
    <row r="104">
      <c r="A104" s="3" t="str">
        <f>IFERROR(__xludf.DUMMYFUNCTION("""COMPUTED_VALUE"""),"Forest Trends")</f>
        <v>Forest Trends</v>
      </c>
      <c r="B104" s="3" t="str">
        <f>IFERROR(__xludf.DUMMYFUNCTION("""COMPUTED_VALUE"""),"Cerrado")</f>
        <v>Cerrado</v>
      </c>
    </row>
    <row r="105">
      <c r="A105" s="3" t="str">
        <f>IFERROR(__xludf.DUMMYFUNCTION("""COMPUTED_VALUE"""),"Earth Innovation Institute")</f>
        <v>Earth Innovation Institute</v>
      </c>
      <c r="B105" s="3" t="str">
        <f>IFERROR(__xludf.DUMMYFUNCTION("""COMPUTED_VALUE"""),"Amazonia")</f>
        <v>Amazonia</v>
      </c>
    </row>
    <row r="106">
      <c r="A106" s="3" t="str">
        <f>IFERROR(__xludf.DUMMYFUNCTION("""COMPUTED_VALUE"""),"Earth Innovation Institute")</f>
        <v>Earth Innovation Institute</v>
      </c>
      <c r="B106" s="3" t="str">
        <f>IFERROR(__xludf.DUMMYFUNCTION("""COMPUTED_VALUE"""),"Cerrado")</f>
        <v>Cerrado</v>
      </c>
    </row>
    <row r="107">
      <c r="A107" s="3" t="str">
        <f>IFERROR(__xludf.DUMMYFUNCTION("""COMPUTED_VALUE"""),"Consórcio Nordeste")</f>
        <v>Consórcio Nordeste</v>
      </c>
      <c r="B107" s="3" t="str">
        <f>IFERROR(__xludf.DUMMYFUNCTION("""COMPUTED_VALUE"""),"Caatinga")</f>
        <v>Caatinga</v>
      </c>
    </row>
    <row r="108">
      <c r="A108" s="3" t="str">
        <f>IFERROR(__xludf.DUMMYFUNCTION("""COMPUTED_VALUE"""),"Consórcio Nordeste")</f>
        <v>Consórcio Nordeste</v>
      </c>
      <c r="B108" s="3" t="str">
        <f>IFERROR(__xludf.DUMMYFUNCTION("""COMPUTED_VALUE"""),"Cerrado")</f>
        <v>Cerrado</v>
      </c>
    </row>
    <row r="109">
      <c r="A109" s="3" t="str">
        <f>IFERROR(__xludf.DUMMYFUNCTION("""COMPUTED_VALUE"""),"Climate Policy Initiative (CPI)")</f>
        <v>Climate Policy Initiative (CPI)</v>
      </c>
      <c r="B109" s="3" t="str">
        <f>IFERROR(__xludf.DUMMYFUNCTION("""COMPUTED_VALUE"""),"Amazonia")</f>
        <v>Amazonia</v>
      </c>
    </row>
    <row r="110">
      <c r="A110" s="3" t="str">
        <f>IFERROR(__xludf.DUMMYFUNCTION("""COMPUTED_VALUE"""),"Climate Policy Initiative (CPI)")</f>
        <v>Climate Policy Initiative (CPI)</v>
      </c>
      <c r="B110" s="3" t="str">
        <f>IFERROR(__xludf.DUMMYFUNCTION("""COMPUTED_VALUE"""),"Caatinga")</f>
        <v>Caatinga</v>
      </c>
    </row>
    <row r="111">
      <c r="A111" s="3" t="str">
        <f>IFERROR(__xludf.DUMMYFUNCTION("""COMPUTED_VALUE"""),"Climate Policy Initiative (CPI)")</f>
        <v>Climate Policy Initiative (CPI)</v>
      </c>
      <c r="B111" s="3" t="str">
        <f>IFERROR(__xludf.DUMMYFUNCTION("""COMPUTED_VALUE"""),"Cerrado")</f>
        <v>Cerrado</v>
      </c>
    </row>
    <row r="112">
      <c r="A112" s="3" t="str">
        <f>IFERROR(__xludf.DUMMYFUNCTION("""COMPUTED_VALUE"""),"Associação Brasileira de Energia Eólica (ABEEólica)")</f>
        <v>Associação Brasileira de Energia Eólica (ABEEólica)</v>
      </c>
      <c r="B112" s="3" t="str">
        <f>IFERROR(__xludf.DUMMYFUNCTION("""COMPUTED_VALUE"""),"Caatinga")</f>
        <v>Caatinga</v>
      </c>
    </row>
    <row r="113">
      <c r="A113" s="3" t="str">
        <f>IFERROR(__xludf.DUMMYFUNCTION("""COMPUTED_VALUE"""),"Associação Brasileira de Energia Solar Fotovoltaica (ABSolar)")</f>
        <v>Associação Brasileira de Energia Solar Fotovoltaica (ABSolar)</v>
      </c>
      <c r="B113" s="3" t="str">
        <f>IFERROR(__xludf.DUMMYFUNCTION("""COMPUTED_VALUE"""),"Caatinga")</f>
        <v>Caatinga</v>
      </c>
    </row>
    <row r="114">
      <c r="A114" s="3" t="str">
        <f>IFERROR(__xludf.DUMMYFUNCTION("""COMPUTED_VALUE"""),"Associação Brasileira de Energia Solar Fotovoltaica (ABSolar)")</f>
        <v>Associação Brasileira de Energia Solar Fotovoltaica (ABSolar)</v>
      </c>
      <c r="B114" s="3" t="str">
        <f>IFERROR(__xludf.DUMMYFUNCTION("""COMPUTED_VALUE"""),"Cerrado")</f>
        <v>Cerrado</v>
      </c>
    </row>
    <row r="115">
      <c r="A115" s="3" t="str">
        <f>IFERROR(__xludf.DUMMYFUNCTION("""COMPUTED_VALUE"""),"Superintendência do Desenvolvimento do Nordeste (SUDENE)")</f>
        <v>Superintendência do Desenvolvimento do Nordeste (SUDENE)</v>
      </c>
      <c r="B115" s="3" t="str">
        <f>IFERROR(__xludf.DUMMYFUNCTION("""COMPUTED_VALUE"""),"Caatinga")</f>
        <v>Caatinga</v>
      </c>
    </row>
    <row r="116">
      <c r="A116" s="3" t="str">
        <f>IFERROR(__xludf.DUMMYFUNCTION("""COMPUTED_VALUE"""),"Casa dos Ventos")</f>
        <v>Casa dos Ventos</v>
      </c>
      <c r="B116" s="3" t="str">
        <f>IFERROR(__xludf.DUMMYFUNCTION("""COMPUTED_VALUE"""),"Caatinga")</f>
        <v>Caatinga</v>
      </c>
    </row>
    <row r="117">
      <c r="A117" s="3" t="str">
        <f>IFERROR(__xludf.DUMMYFUNCTION("""COMPUTED_VALUE"""),"Voltalia Energia do Brasil (Voltalia)")</f>
        <v>Voltalia Energia do Brasil (Voltalia)</v>
      </c>
      <c r="B117" s="3" t="str">
        <f>IFERROR(__xludf.DUMMYFUNCTION("""COMPUTED_VALUE"""),"Caatinga")</f>
        <v>Caatinga</v>
      </c>
    </row>
    <row r="118">
      <c r="A118" s="3" t="str">
        <f>IFERROR(__xludf.DUMMYFUNCTION("""COMPUTED_VALUE"""),"Câmara Setorial de Energias Renováveis do Ceará (CS Renováveis/CE)")</f>
        <v>Câmara Setorial de Energias Renováveis do Ceará (CS Renováveis/CE)</v>
      </c>
      <c r="B118" s="3" t="str">
        <f>IFERROR(__xludf.DUMMYFUNCTION("""COMPUTED_VALUE"""),"Caatinga")</f>
        <v>Caatinga</v>
      </c>
    </row>
    <row r="119">
      <c r="A119" s="3" t="str">
        <f>IFERROR(__xludf.DUMMYFUNCTION("""COMPUTED_VALUE"""),"AS-PTA – Agricultura Familiar e Agroecologia (AS-PTA)")</f>
        <v>AS-PTA – Agricultura Familiar e Agroecologia (AS-PTA)</v>
      </c>
      <c r="B119" s="3" t="str">
        <f>IFERROR(__xludf.DUMMYFUNCTION("""COMPUTED_VALUE"""),"Caatinga")</f>
        <v>Caatinga</v>
      </c>
    </row>
    <row r="120">
      <c r="A120" s="3" t="str">
        <f>IFERROR(__xludf.DUMMYFUNCTION("""COMPUTED_VALUE"""),"Instituto Nacional de Pesquisas Espaciais (INPE)")</f>
        <v>Instituto Nacional de Pesquisas Espaciais (INPE)</v>
      </c>
      <c r="B120" s="3" t="str">
        <f>IFERROR(__xludf.DUMMYFUNCTION("""COMPUTED_VALUE"""),"Amazonia")</f>
        <v>Amazonia</v>
      </c>
    </row>
    <row r="121">
      <c r="A121" s="3" t="str">
        <f>IFERROR(__xludf.DUMMYFUNCTION("""COMPUTED_VALUE"""),"Instituto Nacional de Pesquisas Espaciais (INPE)")</f>
        <v>Instituto Nacional de Pesquisas Espaciais (INPE)</v>
      </c>
      <c r="B121" s="3" t="str">
        <f>IFERROR(__xludf.DUMMYFUNCTION("""COMPUTED_VALUE"""),"Cerrado")</f>
        <v>Cerrado</v>
      </c>
    </row>
    <row r="122">
      <c r="A122" s="3" t="str">
        <f>IFERROR(__xludf.DUMMYFUNCTION("""COMPUTED_VALUE"""),"Coalizão Brasil Clima, Florestas e Agricultura")</f>
        <v>Coalizão Brasil Clima, Florestas e Agricultura</v>
      </c>
      <c r="B122" s="3" t="str">
        <f>IFERROR(__xludf.DUMMYFUNCTION("""COMPUTED_VALUE"""),"Amazonia")</f>
        <v>Amazonia</v>
      </c>
    </row>
    <row r="123">
      <c r="A123" s="3" t="str">
        <f>IFERROR(__xludf.DUMMYFUNCTION("""COMPUTED_VALUE"""),"Coalizão Brasil Clima, Florestas e Agricultura")</f>
        <v>Coalizão Brasil Clima, Florestas e Agricultura</v>
      </c>
      <c r="B123" s="3" t="str">
        <f>IFERROR(__xludf.DUMMYFUNCTION("""COMPUTED_VALUE"""),"Cerrado")</f>
        <v>Cerrado</v>
      </c>
    </row>
    <row r="124">
      <c r="A124" s="3" t="str">
        <f>IFERROR(__xludf.DUMMYFUNCTION("""COMPUTED_VALUE"""),"Centro Internacional de Pesquisa Florestal e Agroflorestal (CIFOR-ICRAF)")</f>
        <v>Centro Internacional de Pesquisa Florestal e Agroflorestal (CIFOR-ICRAF)</v>
      </c>
      <c r="B124" s="3" t="str">
        <f>IFERROR(__xludf.DUMMYFUNCTION("""COMPUTED_VALUE"""),"Amazonia")</f>
        <v>Amazonia</v>
      </c>
    </row>
    <row r="125">
      <c r="A125" s="3" t="str">
        <f>IFERROR(__xludf.DUMMYFUNCTION("""COMPUTED_VALUE"""),"Centro Internacional de Pesquisa Florestal e Agroflorestal (CIFOR-ICRAF)")</f>
        <v>Centro Internacional de Pesquisa Florestal e Agroflorestal (CIFOR-ICRAF)</v>
      </c>
      <c r="B125" s="3" t="str">
        <f>IFERROR(__xludf.DUMMYFUNCTION("""COMPUTED_VALUE"""),"Cerrado")</f>
        <v>Cerrado</v>
      </c>
    </row>
    <row r="126">
      <c r="A126" s="3" t="str">
        <f>IFERROR(__xludf.DUMMYFUNCTION("""COMPUTED_VALUE"""),"Associação Caatinga")</f>
        <v>Associação Caatinga</v>
      </c>
      <c r="B126" s="3" t="str">
        <f>IFERROR(__xludf.DUMMYFUNCTION("""COMPUTED_VALUE"""),"Caatinga")</f>
        <v>Caatinga</v>
      </c>
    </row>
    <row r="127">
      <c r="A127" s="3" t="str">
        <f>IFERROR(__xludf.DUMMYFUNCTION("""COMPUTED_VALUE"""),"Fundo Constitucional de Financiamento do Nordeste (FNE)")</f>
        <v>Fundo Constitucional de Financiamento do Nordeste (FNE)</v>
      </c>
      <c r="B127" s="3" t="str">
        <f>IFERROR(__xludf.DUMMYFUNCTION("""COMPUTED_VALUE"""),"Caatinga")</f>
        <v>Caatinga</v>
      </c>
    </row>
    <row r="128">
      <c r="A128" s="3" t="str">
        <f>IFERROR(__xludf.DUMMYFUNCTION("""COMPUTED_VALUE"""),"Fundo Constitucional de Financiamento do Nordeste (FNE)")</f>
        <v>Fundo Constitucional de Financiamento do Nordeste (FNE)</v>
      </c>
      <c r="B128" s="3" t="str">
        <f>IFERROR(__xludf.DUMMYFUNCTION("""COMPUTED_VALUE"""),"Cerrado")</f>
        <v>Cerrado</v>
      </c>
    </row>
    <row r="129">
      <c r="A129" s="3" t="str">
        <f>IFERROR(__xludf.DUMMYFUNCTION("""COMPUTED_VALUE"""),"Articulação Semiárido Brasileiro (ASA Brasil)")</f>
        <v>Articulação Semiárido Brasileiro (ASA Brasil)</v>
      </c>
      <c r="B129" s="3" t="str">
        <f>IFERROR(__xludf.DUMMYFUNCTION("""COMPUTED_VALUE"""),"Caatinga")</f>
        <v>Caatinga</v>
      </c>
    </row>
    <row r="130">
      <c r="A130" s="3" t="str">
        <f>IFERROR(__xludf.DUMMYFUNCTION("""COMPUTED_VALUE"""),"Fundação Araripe")</f>
        <v>Fundação Araripe</v>
      </c>
      <c r="B130" s="3" t="str">
        <f>IFERROR(__xludf.DUMMYFUNCTION("""COMPUTED_VALUE"""),"Caatinga")</f>
        <v>Caatinga</v>
      </c>
    </row>
    <row r="131">
      <c r="A131" s="3" t="str">
        <f>IFERROR(__xludf.DUMMYFUNCTION("""COMPUTED_VALUE"""),"Centro de Manejo de Fauna da Caatinga (CEMAFauna)")</f>
        <v>Centro de Manejo de Fauna da Caatinga (CEMAFauna)</v>
      </c>
      <c r="B131" s="3" t="str">
        <f>IFERROR(__xludf.DUMMYFUNCTION("""COMPUTED_VALUE"""),"Caatinga")</f>
        <v>Caatinga</v>
      </c>
    </row>
    <row r="132">
      <c r="A132" s="3" t="str">
        <f>IFERROR(__xludf.DUMMYFUNCTION("""COMPUTED_VALUE"""),"Instituto Regional da Pequena Agropecuária Apropriada (IRPAA)")</f>
        <v>Instituto Regional da Pequena Agropecuária Apropriada (IRPAA)</v>
      </c>
      <c r="B132" s="3" t="str">
        <f>IFERROR(__xludf.DUMMYFUNCTION("""COMPUTED_VALUE"""),"Caatinga")</f>
        <v>Caatinga</v>
      </c>
    </row>
    <row r="133">
      <c r="A133" s="3" t="str">
        <f>IFERROR(__xludf.DUMMYFUNCTION("""COMPUTED_VALUE"""),"Banco do Nordeste (BNB)")</f>
        <v>Banco do Nordeste (BNB)</v>
      </c>
      <c r="B133" s="3" t="str">
        <f>IFERROR(__xludf.DUMMYFUNCTION("""COMPUTED_VALUE"""),"Caatinga")</f>
        <v>Caatinga</v>
      </c>
    </row>
    <row r="134">
      <c r="A134" s="3" t="str">
        <f>IFERROR(__xludf.DUMMYFUNCTION("""COMPUTED_VALUE"""),"MapBiomas (MapBiomas)")</f>
        <v>MapBiomas (MapBiomas)</v>
      </c>
      <c r="B134" s="3" t="str">
        <f>IFERROR(__xludf.DUMMYFUNCTION("""COMPUTED_VALUE"""),"Amazonia")</f>
        <v>Amazonia</v>
      </c>
    </row>
    <row r="135">
      <c r="A135" s="3" t="str">
        <f>IFERROR(__xludf.DUMMYFUNCTION("""COMPUTED_VALUE"""),"MapBiomas (MapBiomas)")</f>
        <v>MapBiomas (MapBiomas)</v>
      </c>
      <c r="B135" s="3" t="str">
        <f>IFERROR(__xludf.DUMMYFUNCTION("""COMPUTED_VALUE"""),"Caatinga")</f>
        <v>Caatinga</v>
      </c>
    </row>
    <row r="136">
      <c r="A136" s="3" t="str">
        <f>IFERROR(__xludf.DUMMYFUNCTION("""COMPUTED_VALUE"""),"MapBiomas (MapBiomas)")</f>
        <v>MapBiomas (MapBiomas)</v>
      </c>
      <c r="B136" s="3" t="str">
        <f>IFERROR(__xludf.DUMMYFUNCTION("""COMPUTED_VALUE"""),"Cerrado")</f>
        <v>Cerrado</v>
      </c>
    </row>
    <row r="137">
      <c r="A137" s="3" t="str">
        <f>IFERROR(__xludf.DUMMYFUNCTION("""COMPUTED_VALUE"""),"Instituto Nacional do Semiárido (INSA)")</f>
        <v>Instituto Nacional do Semiárido (INSA)</v>
      </c>
      <c r="B137" s="3" t="str">
        <f>IFERROR(__xludf.DUMMYFUNCTION("""COMPUTED_VALUE"""),"Caatinga")</f>
        <v>Caatinga</v>
      </c>
    </row>
    <row r="138">
      <c r="A138" s="3" t="str">
        <f>IFERROR(__xludf.DUMMYFUNCTION("""COMPUTED_VALUE"""),"Instituto de Desenvolvimento Sustentável Mamirauá (IDSM)")</f>
        <v>Instituto de Desenvolvimento Sustentável Mamirauá (IDSM)</v>
      </c>
      <c r="B138" s="3" t="str">
        <f>IFERROR(__xludf.DUMMYFUNCTION("""COMPUTED_VALUE"""),"Amazonia")</f>
        <v>Amazonia</v>
      </c>
    </row>
    <row r="139">
      <c r="A139" s="3" t="str">
        <f>IFERROR(__xludf.DUMMYFUNCTION("""COMPUTED_VALUE"""),"Instituto Centro de Vida (ICV)")</f>
        <v>Instituto Centro de Vida (ICV)</v>
      </c>
      <c r="B139" s="3" t="str">
        <f>IFERROR(__xludf.DUMMYFUNCTION("""COMPUTED_VALUE"""),"Amazonia")</f>
        <v>Amazonia</v>
      </c>
    </row>
    <row r="140">
      <c r="A140" s="3" t="str">
        <f>IFERROR(__xludf.DUMMYFUNCTION("""COMPUTED_VALUE"""),"Instituto Centro de Vida (ICV)")</f>
        <v>Instituto Centro de Vida (ICV)</v>
      </c>
      <c r="B140" s="3" t="str">
        <f>IFERROR(__xludf.DUMMYFUNCTION("""COMPUTED_VALUE"""),"Cerrado")</f>
        <v>Cerrado</v>
      </c>
    </row>
    <row r="141">
      <c r="A141" s="3" t="str">
        <f>IFERROR(__xludf.DUMMYFUNCTION("""COMPUTED_VALUE"""),"Instituto Internacional de Educação do Brasil (IEB)")</f>
        <v>Instituto Internacional de Educação do Brasil (IEB)</v>
      </c>
      <c r="B141" s="3" t="str">
        <f>IFERROR(__xludf.DUMMYFUNCTION("""COMPUTED_VALUE"""),"Amazonia")</f>
        <v>Amazonia</v>
      </c>
    </row>
    <row r="142">
      <c r="A142" s="3" t="str">
        <f>IFERROR(__xludf.DUMMYFUNCTION("""COMPUTED_VALUE"""),"Instituto Internacional de Educação do Brasil (IEB)")</f>
        <v>Instituto Internacional de Educação do Brasil (IEB)</v>
      </c>
      <c r="B142" s="3" t="str">
        <f>IFERROR(__xludf.DUMMYFUNCTION("""COMPUTED_VALUE"""),"Cerrado")</f>
        <v>Cerrado</v>
      </c>
    </row>
    <row r="143">
      <c r="A143" s="3" t="str">
        <f>IFERROR(__xludf.DUMMYFUNCTION("""COMPUTED_VALUE"""),"Fundação Vitória Amazônica (FVA)")</f>
        <v>Fundação Vitória Amazônica (FVA)</v>
      </c>
      <c r="B143" s="3" t="str">
        <f>IFERROR(__xludf.DUMMYFUNCTION("""COMPUTED_VALUE"""),"Amazonia")</f>
        <v>Amazonia</v>
      </c>
    </row>
    <row r="144">
      <c r="A144" s="3" t="str">
        <f>IFERROR(__xludf.DUMMYFUNCTION("""COMPUTED_VALUE"""),"Instituto Ouro Verde (IOV)")</f>
        <v>Instituto Ouro Verde (IOV)</v>
      </c>
      <c r="B144" s="3" t="str">
        <f>IFERROR(__xludf.DUMMYFUNCTION("""COMPUTED_VALUE"""),"Amazonia")</f>
        <v>Amazonia</v>
      </c>
    </row>
    <row r="145">
      <c r="A145" s="3" t="str">
        <f>IFERROR(__xludf.DUMMYFUNCTION("""COMPUTED_VALUE"""),"Instituto Ouro Verde (IOV)")</f>
        <v>Instituto Ouro Verde (IOV)</v>
      </c>
      <c r="B145" s="3" t="str">
        <f>IFERROR(__xludf.DUMMYFUNCTION("""COMPUTED_VALUE"""),"Cerrado")</f>
        <v>Cerrado</v>
      </c>
    </row>
    <row r="146">
      <c r="A146" s="3" t="str">
        <f>IFERROR(__xludf.DUMMYFUNCTION("""COMPUTED_VALUE"""),"Instituto Sociedade, População e Natureza (ISPN)")</f>
        <v>Instituto Sociedade, População e Natureza (ISPN)</v>
      </c>
      <c r="B146" s="3" t="str">
        <f>IFERROR(__xludf.DUMMYFUNCTION("""COMPUTED_VALUE"""),"Cerrado")</f>
        <v>Cerrado</v>
      </c>
    </row>
    <row r="147">
      <c r="A147" s="3" t="str">
        <f>IFERROR(__xludf.DUMMYFUNCTION("""COMPUTED_VALUE"""),"Rede Cerrado (Rede Cerrado)")</f>
        <v>Rede Cerrado (Rede Cerrado)</v>
      </c>
      <c r="B147" s="3" t="str">
        <f>IFERROR(__xludf.DUMMYFUNCTION("""COMPUTED_VALUE"""),"Cerrado")</f>
        <v>Cerrado</v>
      </c>
    </row>
    <row r="148">
      <c r="A148" s="3" t="str">
        <f>IFERROR(__xludf.DUMMYFUNCTION("""COMPUTED_VALUE"""),"União Nacional de Cooperativas da Agricultura Familiar e Economia Solidária (Unicafes)")</f>
        <v>União Nacional de Cooperativas da Agricultura Familiar e Economia Solidária (Unicafes)</v>
      </c>
      <c r="B148" s="3" t="str">
        <f>IFERROR(__xludf.DUMMYFUNCTION("""COMPUTED_VALUE"""),"Amazonia")</f>
        <v>Amazonia</v>
      </c>
    </row>
    <row r="149">
      <c r="A149" s="3" t="str">
        <f>IFERROR(__xludf.DUMMYFUNCTION("""COMPUTED_VALUE"""),"União Nacional de Cooperativas da Agricultura Familiar e Economia Solidária (Unicafes)")</f>
        <v>União Nacional de Cooperativas da Agricultura Familiar e Economia Solidária (Unicafes)</v>
      </c>
      <c r="B149" s="3" t="str">
        <f>IFERROR(__xludf.DUMMYFUNCTION("""COMPUTED_VALUE"""),"Caatinga")</f>
        <v>Caatinga</v>
      </c>
    </row>
    <row r="150">
      <c r="A150" s="3" t="str">
        <f>IFERROR(__xludf.DUMMYFUNCTION("""COMPUTED_VALUE"""),"União Nacional de Cooperativas da Agricultura Familiar e Economia Solidária (Unicafes)")</f>
        <v>União Nacional de Cooperativas da Agricultura Familiar e Economia Solidária (Unicafes)</v>
      </c>
      <c r="B150" s="3" t="str">
        <f>IFERROR(__xludf.DUMMYFUNCTION("""COMPUTED_VALUE"""),"Cerrado")</f>
        <v>Cerrado</v>
      </c>
    </row>
    <row r="151">
      <c r="A151" s="3" t="str">
        <f>IFERROR(__xludf.DUMMYFUNCTION("""COMPUTED_VALUE"""),"Greenpeace Brasil")</f>
        <v>Greenpeace Brasil</v>
      </c>
      <c r="B151" s="3" t="str">
        <f>IFERROR(__xludf.DUMMYFUNCTION("""COMPUTED_VALUE"""),"Amazonia")</f>
        <v>Amazonia</v>
      </c>
    </row>
    <row r="152">
      <c r="A152" s="3" t="str">
        <f>IFERROR(__xludf.DUMMYFUNCTION("""COMPUTED_VALUE"""),"Greenpeace Brasil")</f>
        <v>Greenpeace Brasil</v>
      </c>
      <c r="B152" s="3" t="str">
        <f>IFERROR(__xludf.DUMMYFUNCTION("""COMPUTED_VALUE"""),"Cerrado")</f>
        <v>Cerrado</v>
      </c>
    </row>
    <row r="153">
      <c r="A153" s="3" t="str">
        <f>IFERROR(__xludf.DUMMYFUNCTION("""COMPUTED_VALUE"""),"Fundação Pró-Natureza (Funatura)")</f>
        <v>Fundação Pró-Natureza (Funatura)</v>
      </c>
      <c r="B153" s="3" t="str">
        <f>IFERROR(__xludf.DUMMYFUNCTION("""COMPUTED_VALUE"""),"Amazonia")</f>
        <v>Amazonia</v>
      </c>
    </row>
    <row r="154">
      <c r="A154" s="3" t="str">
        <f>IFERROR(__xludf.DUMMYFUNCTION("""COMPUTED_VALUE"""),"Fundação Pró-Natureza (Funatura)")</f>
        <v>Fundação Pró-Natureza (Funatura)</v>
      </c>
      <c r="B154" s="3" t="str">
        <f>IFERROR(__xludf.DUMMYFUNCTION("""COMPUTED_VALUE"""),"Cerrado")</f>
        <v>Cerrado</v>
      </c>
    </row>
    <row r="155">
      <c r="A155" s="3" t="str">
        <f>IFERROR(__xludf.DUMMYFUNCTION("""COMPUTED_VALUE"""),"Instituto Cerrados (IC)")</f>
        <v>Instituto Cerrados (IC)</v>
      </c>
      <c r="B155" s="3" t="str">
        <f>IFERROR(__xludf.DUMMYFUNCTION("""COMPUTED_VALUE"""),"Cerrado")</f>
        <v>Cerrado</v>
      </c>
    </row>
    <row r="156">
      <c r="A156" s="3" t="str">
        <f>IFERROR(__xludf.DUMMYFUNCTION("""COMPUTED_VALUE"""),"Operação Amazônia Nativa (OPAN)")</f>
        <v>Operação Amazônia Nativa (OPAN)</v>
      </c>
      <c r="B156" s="3" t="str">
        <f>IFERROR(__xludf.DUMMYFUNCTION("""COMPUTED_VALUE"""),"Amazonia")</f>
        <v>Amazonia</v>
      </c>
    </row>
    <row r="157">
      <c r="A157" s="3" t="str">
        <f>IFERROR(__xludf.DUMMYFUNCTION("""COMPUTED_VALUE"""),"Instituto Peabiru")</f>
        <v>Instituto Peabiru</v>
      </c>
      <c r="B157" s="3" t="str">
        <f>IFERROR(__xludf.DUMMYFUNCTION("""COMPUTED_VALUE"""),"Amazonia")</f>
        <v>Amazonia</v>
      </c>
    </row>
    <row r="158">
      <c r="A158" s="3" t="str">
        <f>IFERROR(__xludf.DUMMYFUNCTION("""COMPUTED_VALUE"""),"Projeto Saúde e Alegria (PSA)")</f>
        <v>Projeto Saúde e Alegria (PSA)</v>
      </c>
      <c r="B158" s="3" t="str">
        <f>IFERROR(__xludf.DUMMYFUNCTION("""COMPUTED_VALUE"""),"Amazonia")</f>
        <v>Amazonia</v>
      </c>
    </row>
    <row r="159">
      <c r="A159" s="3" t="str">
        <f>IFERROR(__xludf.DUMMYFUNCTION("""COMPUTED_VALUE"""),"Articulação dos Povos Indígenas do Brasil (APIB)")</f>
        <v>Articulação dos Povos Indígenas do Brasil (APIB)</v>
      </c>
      <c r="B159" s="3" t="str">
        <f>IFERROR(__xludf.DUMMYFUNCTION("""COMPUTED_VALUE"""),"Amazonia")</f>
        <v>Amazonia</v>
      </c>
    </row>
    <row r="160">
      <c r="A160" s="3" t="str">
        <f>IFERROR(__xludf.DUMMYFUNCTION("""COMPUTED_VALUE"""),"Articulação dos Povos Indígenas do Brasil (APIB)")</f>
        <v>Articulação dos Povos Indígenas do Brasil (APIB)</v>
      </c>
      <c r="B160" s="3" t="str">
        <f>IFERROR(__xludf.DUMMYFUNCTION("""COMPUTED_VALUE"""),"Caatinga")</f>
        <v>Caatinga</v>
      </c>
    </row>
    <row r="161">
      <c r="A161" s="3" t="str">
        <f>IFERROR(__xludf.DUMMYFUNCTION("""COMPUTED_VALUE"""),"Articulação dos Povos Indígenas do Brasil (APIB)")</f>
        <v>Articulação dos Povos Indígenas do Brasil (APIB)</v>
      </c>
      <c r="B161" s="3" t="str">
        <f>IFERROR(__xludf.DUMMYFUNCTION("""COMPUTED_VALUE"""),"Cerrado")</f>
        <v>Cerrado</v>
      </c>
    </row>
    <row r="162">
      <c r="A162" s="3" t="str">
        <f>IFERROR(__xludf.DUMMYFUNCTION("""COMPUTED_VALUE"""),"Coordenação das Organizações Indígenas da Amazônia Brasileira (COIAB)")</f>
        <v>Coordenação das Organizações Indígenas da Amazônia Brasileira (COIAB)</v>
      </c>
      <c r="B162" s="3" t="str">
        <f>IFERROR(__xludf.DUMMYFUNCTION("""COMPUTED_VALUE"""),"Amazonia")</f>
        <v>Amazonia</v>
      </c>
    </row>
    <row r="163">
      <c r="A163" s="3" t="str">
        <f>IFERROR(__xludf.DUMMYFUNCTION("""COMPUTED_VALUE"""),"Conselho Indigenista Missionário (CIMI)")</f>
        <v>Conselho Indigenista Missionário (CIMI)</v>
      </c>
      <c r="B163" s="3" t="str">
        <f>IFERROR(__xludf.DUMMYFUNCTION("""COMPUTED_VALUE"""),"Amazonia")</f>
        <v>Amazonia</v>
      </c>
    </row>
    <row r="164">
      <c r="A164" s="3" t="str">
        <f>IFERROR(__xludf.DUMMYFUNCTION("""COMPUTED_VALUE"""),"Conselho Indigenista Missionário (CIMI)")</f>
        <v>Conselho Indigenista Missionário (CIMI)</v>
      </c>
      <c r="B164" s="3" t="str">
        <f>IFERROR(__xludf.DUMMYFUNCTION("""COMPUTED_VALUE"""),"Caatinga")</f>
        <v>Caatinga</v>
      </c>
    </row>
    <row r="165">
      <c r="A165" s="3" t="str">
        <f>IFERROR(__xludf.DUMMYFUNCTION("""COMPUTED_VALUE"""),"Conselho Indigenista Missionário (CIMI)")</f>
        <v>Conselho Indigenista Missionário (CIMI)</v>
      </c>
      <c r="B165" s="3" t="str">
        <f>IFERROR(__xludf.DUMMYFUNCTION("""COMPUTED_VALUE"""),"Cerrado")</f>
        <v>Cerrado</v>
      </c>
    </row>
    <row r="166">
      <c r="A166" s="3" t="str">
        <f>IFERROR(__xludf.DUMMYFUNCTION("""COMPUTED_VALUE"""),"Comissão Pastoral da Terra (CPT)")</f>
        <v>Comissão Pastoral da Terra (CPT)</v>
      </c>
      <c r="B166" s="3" t="str">
        <f>IFERROR(__xludf.DUMMYFUNCTION("""COMPUTED_VALUE"""),"Amazonia")</f>
        <v>Amazonia</v>
      </c>
    </row>
    <row r="167">
      <c r="A167" s="3" t="str">
        <f>IFERROR(__xludf.DUMMYFUNCTION("""COMPUTED_VALUE"""),"Comissão Pastoral da Terra (CPT)")</f>
        <v>Comissão Pastoral da Terra (CPT)</v>
      </c>
      <c r="B167" s="3" t="str">
        <f>IFERROR(__xludf.DUMMYFUNCTION("""COMPUTED_VALUE"""),"Caatinga")</f>
        <v>Caatinga</v>
      </c>
    </row>
    <row r="168">
      <c r="A168" s="3" t="str">
        <f>IFERROR(__xludf.DUMMYFUNCTION("""COMPUTED_VALUE"""),"Comissão Pastoral da Terra (CPT)")</f>
        <v>Comissão Pastoral da Terra (CPT)</v>
      </c>
      <c r="B168" s="3" t="str">
        <f>IFERROR(__xludf.DUMMYFUNCTION("""COMPUTED_VALUE"""),"Cerrado")</f>
        <v>Cerrado</v>
      </c>
    </row>
    <row r="169">
      <c r="A169" s="3" t="str">
        <f>IFERROR(__xludf.DUMMYFUNCTION("""COMPUTED_VALUE"""),"Conselho Nacional das Populações Extrativistas (CNS)")</f>
        <v>Conselho Nacional das Populações Extrativistas (CNS)</v>
      </c>
      <c r="B169" s="3" t="str">
        <f>IFERROR(__xludf.DUMMYFUNCTION("""COMPUTED_VALUE"""),"Amazonia")</f>
        <v>Amazonia</v>
      </c>
    </row>
    <row r="170">
      <c r="A170" s="3" t="str">
        <f>IFERROR(__xludf.DUMMYFUNCTION("""COMPUTED_VALUE"""),"Conselho Nacional das Populações Extrativistas (CNS)")</f>
        <v>Conselho Nacional das Populações Extrativistas (CNS)</v>
      </c>
      <c r="B170" s="3" t="str">
        <f>IFERROR(__xludf.DUMMYFUNCTION("""COMPUTED_VALUE"""),"Caatinga")</f>
        <v>Caatinga</v>
      </c>
    </row>
    <row r="171">
      <c r="A171" s="3" t="str">
        <f>IFERROR(__xludf.DUMMYFUNCTION("""COMPUTED_VALUE"""),"Conselho Nacional das Populações Extrativistas (CNS)")</f>
        <v>Conselho Nacional das Populações Extrativistas (CNS)</v>
      </c>
      <c r="B171" s="3" t="str">
        <f>IFERROR(__xludf.DUMMYFUNCTION("""COMPUTED_VALUE"""),"Cerrado")</f>
        <v>Cerrado</v>
      </c>
    </row>
    <row r="172">
      <c r="A172" s="3" t="str">
        <f>IFERROR(__xludf.DUMMYFUNCTION("""COMPUTED_VALUE"""),"Articulação Nacional de Agroecologia (ANA)")</f>
        <v>Articulação Nacional de Agroecologia (ANA)</v>
      </c>
      <c r="B172" s="3" t="str">
        <f>IFERROR(__xludf.DUMMYFUNCTION("""COMPUTED_VALUE"""),"Amazonia")</f>
        <v>Amazonia</v>
      </c>
    </row>
    <row r="173">
      <c r="A173" s="3" t="str">
        <f>IFERROR(__xludf.DUMMYFUNCTION("""COMPUTED_VALUE"""),"Articulação Nacional de Agroecologia (ANA)")</f>
        <v>Articulação Nacional de Agroecologia (ANA)</v>
      </c>
      <c r="B173" s="3" t="str">
        <f>IFERROR(__xludf.DUMMYFUNCTION("""COMPUTED_VALUE"""),"Caatinga")</f>
        <v>Caatinga</v>
      </c>
    </row>
    <row r="174">
      <c r="A174" s="3" t="str">
        <f>IFERROR(__xludf.DUMMYFUNCTION("""COMPUTED_VALUE"""),"Articulação Nacional de Agroecologia (ANA)")</f>
        <v>Articulação Nacional de Agroecologia (ANA)</v>
      </c>
      <c r="B174" s="3" t="str">
        <f>IFERROR(__xludf.DUMMYFUNCTION("""COMPUTED_VALUE"""),"Cerrado")</f>
        <v>Cerrado</v>
      </c>
    </row>
    <row r="175">
      <c r="A175" s="3" t="str">
        <f>IFERROR(__xludf.DUMMYFUNCTION("""COMPUTED_VALUE"""),"Diaconia")</f>
        <v>Diaconia</v>
      </c>
      <c r="B175" s="3" t="str">
        <f>IFERROR(__xludf.DUMMYFUNCTION("""COMPUTED_VALUE"""),"Caatinga")</f>
        <v>Caatinga</v>
      </c>
    </row>
    <row r="176">
      <c r="A176" s="3" t="str">
        <f>IFERROR(__xludf.DUMMYFUNCTION("""COMPUTED_VALUE"""),"Cáritas Brasileira")</f>
        <v>Cáritas Brasileira</v>
      </c>
      <c r="B176" s="3" t="str">
        <f>IFERROR(__xludf.DUMMYFUNCTION("""COMPUTED_VALUE"""),"Amazonia")</f>
        <v>Amazonia</v>
      </c>
    </row>
    <row r="177">
      <c r="A177" s="3" t="str">
        <f>IFERROR(__xludf.DUMMYFUNCTION("""COMPUTED_VALUE"""),"Cáritas Brasileira")</f>
        <v>Cáritas Brasileira</v>
      </c>
      <c r="B177" s="3" t="str">
        <f>IFERROR(__xludf.DUMMYFUNCTION("""COMPUTED_VALUE"""),"Caatinga")</f>
        <v>Caatinga</v>
      </c>
    </row>
    <row r="178">
      <c r="A178" s="3" t="str">
        <f>IFERROR(__xludf.DUMMYFUNCTION("""COMPUTED_VALUE"""),"Cáritas Brasileira")</f>
        <v>Cáritas Brasileira</v>
      </c>
      <c r="B178" s="3" t="str">
        <f>IFERROR(__xludf.DUMMYFUNCTION("""COMPUTED_VALUE"""),"Cerrado")</f>
        <v>Cerrado</v>
      </c>
    </row>
    <row r="179">
      <c r="A179" s="3" t="str">
        <f>IFERROR(__xludf.DUMMYFUNCTION("""COMPUTED_VALUE"""),"Centro de Estudos do Trabalho e de Assessoria ao Trabalhador e à Trabalhadora (CETRA)")</f>
        <v>Centro de Estudos do Trabalho e de Assessoria ao Trabalhador e à Trabalhadora (CETRA)</v>
      </c>
      <c r="B179" s="3" t="str">
        <f>IFERROR(__xludf.DUMMYFUNCTION("""COMPUTED_VALUE"""),"Caatinga")</f>
        <v>Caatinga</v>
      </c>
    </row>
    <row r="180">
      <c r="A180" s="3" t="str">
        <f>IFERROR(__xludf.DUMMYFUNCTION("""COMPUTED_VALUE"""),"Centro de Desenvolvimento Agroecológico Sabiá (Centro Sabiá)")</f>
        <v>Centro de Desenvolvimento Agroecológico Sabiá (Centro Sabiá)</v>
      </c>
      <c r="B180" s="3" t="str">
        <f>IFERROR(__xludf.DUMMYFUNCTION("""COMPUTED_VALUE"""),"Caatinga")</f>
        <v>Caatinga</v>
      </c>
    </row>
    <row r="181">
      <c r="A181" s="3" t="str">
        <f>IFERROR(__xludf.DUMMYFUNCTION("""COMPUTED_VALUE"""),"Programa de Aplicação de Tecnologias Apropriadas às Comunidades (PATAC)")</f>
        <v>Programa de Aplicação de Tecnologias Apropriadas às Comunidades (PATAC)</v>
      </c>
      <c r="B181" s="3" t="str">
        <f>IFERROR(__xludf.DUMMYFUNCTION("""COMPUTED_VALUE"""),"Caatinga")</f>
        <v>Caatinga</v>
      </c>
    </row>
    <row r="182">
      <c r="A182" s="3" t="str">
        <f>IFERROR(__xludf.DUMMYFUNCTION("""COMPUTED_VALUE"""),"Deutsche Gesellschaft für Internationale Zusammenarbeit (GIZ)")</f>
        <v>Deutsche Gesellschaft für Internationale Zusammenarbeit (GIZ)</v>
      </c>
      <c r="B182" s="3" t="str">
        <f>IFERROR(__xludf.DUMMYFUNCTION("""COMPUTED_VALUE"""),"Amazonia")</f>
        <v>Amazonia</v>
      </c>
    </row>
    <row r="183">
      <c r="A183" s="3" t="str">
        <f>IFERROR(__xludf.DUMMYFUNCTION("""COMPUTED_VALUE"""),"Deutsche Gesellschaft für Internationale Zusammenarbeit (GIZ)")</f>
        <v>Deutsche Gesellschaft für Internationale Zusammenarbeit (GIZ)</v>
      </c>
      <c r="B183" s="3" t="str">
        <f>IFERROR(__xludf.DUMMYFUNCTION("""COMPUTED_VALUE"""),"Cerrado")</f>
        <v>Cerrado</v>
      </c>
    </row>
    <row r="184">
      <c r="A184" s="3" t="str">
        <f>IFERROR(__xludf.DUMMYFUNCTION("""COMPUTED_VALUE"""),"Kreditanstalt für Wiederaufbau (KfW)")</f>
        <v>Kreditanstalt für Wiederaufbau (KfW)</v>
      </c>
      <c r="B184" s="3" t="str">
        <f>IFERROR(__xludf.DUMMYFUNCTION("""COMPUTED_VALUE"""),"Amazonia")</f>
        <v>Amazonia</v>
      </c>
    </row>
    <row r="185">
      <c r="A185" s="3" t="str">
        <f>IFERROR(__xludf.DUMMYFUNCTION("""COMPUTED_VALUE"""),"Agência Norueguesa de Cooperação para o Desenvolvimento (Norad)")</f>
        <v>Agência Norueguesa de Cooperação para o Desenvolvimento (Norad)</v>
      </c>
      <c r="B185" s="3" t="str">
        <f>IFERROR(__xludf.DUMMYFUNCTION("""COMPUTED_VALUE"""),"Amazonia")</f>
        <v>Amazonia</v>
      </c>
    </row>
    <row r="186">
      <c r="A186" s="3" t="str">
        <f>IFERROR(__xludf.DUMMYFUNCTION("""COMPUTED_VALUE"""),"Agência Norueguesa de Cooperação para o Desenvolvimento (Norad)")</f>
        <v>Agência Norueguesa de Cooperação para o Desenvolvimento (Norad)</v>
      </c>
      <c r="B186" s="3" t="str">
        <f>IFERROR(__xludf.DUMMYFUNCTION("""COMPUTED_VALUE"""),"Cerrado")</f>
        <v>Cerrado</v>
      </c>
    </row>
    <row r="187">
      <c r="A187" s="3" t="str">
        <f>IFERROR(__xludf.DUMMYFUNCTION("""COMPUTED_VALUE"""),"Iniciativa Internacional de Clima e Florestas da Noruega (NICFI)")</f>
        <v>Iniciativa Internacional de Clima e Florestas da Noruega (NICFI)</v>
      </c>
      <c r="B187" s="3" t="str">
        <f>IFERROR(__xludf.DUMMYFUNCTION("""COMPUTED_VALUE"""),"Amazonia")</f>
        <v>Amazonia</v>
      </c>
    </row>
    <row r="188">
      <c r="A188" s="3" t="str">
        <f>IFERROR(__xludf.DUMMYFUNCTION("""COMPUTED_VALUE"""),"Iniciativa Internacional de Clima e Florestas da Noruega (NICFI)")</f>
        <v>Iniciativa Internacional de Clima e Florestas da Noruega (NICFI)</v>
      </c>
      <c r="B188" s="3" t="str">
        <f>IFERROR(__xludf.DUMMYFUNCTION("""COMPUTED_VALUE"""),"Cerrado")</f>
        <v>Cerrado</v>
      </c>
    </row>
    <row r="189">
      <c r="A189" s="3" t="str">
        <f>IFERROR(__xludf.DUMMYFUNCTION("""COMPUTED_VALUE"""),"Misereor (Misereor)")</f>
        <v>Misereor (Misereor)</v>
      </c>
      <c r="B189" s="3" t="str">
        <f>IFERROR(__xludf.DUMMYFUNCTION("""COMPUTED_VALUE"""),"Amazonia")</f>
        <v>Amazonia</v>
      </c>
    </row>
    <row r="190">
      <c r="A190" s="3" t="str">
        <f>IFERROR(__xludf.DUMMYFUNCTION("""COMPUTED_VALUE"""),"Misereor (Misereor)")</f>
        <v>Misereor (Misereor)</v>
      </c>
      <c r="B190" s="3" t="str">
        <f>IFERROR(__xludf.DUMMYFUNCTION("""COMPUTED_VALUE"""),"Cerrado")</f>
        <v>Cerrado</v>
      </c>
    </row>
    <row r="191">
      <c r="A191" s="3" t="str">
        <f>IFERROR(__xludf.DUMMYFUNCTION("""COMPUTED_VALUE"""),"Trias (Trias vzw)")</f>
        <v>Trias (Trias vzw)</v>
      </c>
      <c r="B191" s="3" t="str">
        <f>IFERROR(__xludf.DUMMYFUNCTION("""COMPUTED_VALUE"""),"Amazonia")</f>
        <v>Amazonia</v>
      </c>
    </row>
    <row r="192">
      <c r="A192" s="3" t="str">
        <f>IFERROR(__xludf.DUMMYFUNCTION("""COMPUTED_VALUE"""),"Trias (Trias vzw)")</f>
        <v>Trias (Trias vzw)</v>
      </c>
      <c r="B192" s="3" t="str">
        <f>IFERROR(__xludf.DUMMYFUNCTION("""COMPUTED_VALUE"""),"Caatinga")</f>
        <v>Caatinga</v>
      </c>
    </row>
    <row r="193">
      <c r="A193" s="3" t="str">
        <f>IFERROR(__xludf.DUMMYFUNCTION("""COMPUTED_VALUE"""),"Trias (Trias vzw)")</f>
        <v>Trias (Trias vzw)</v>
      </c>
      <c r="B193" s="3" t="str">
        <f>IFERROR(__xludf.DUMMYFUNCTION("""COMPUTED_VALUE"""),"Cerrado")</f>
        <v>Cerrado</v>
      </c>
    </row>
    <row r="194">
      <c r="A194" s="3" t="str">
        <f>IFERROR(__xludf.DUMMYFUNCTION("""COMPUTED_VALUE"""),"Brot für die Welt (Brot für die Welt)")</f>
        <v>Brot für die Welt (Brot für die Welt)</v>
      </c>
      <c r="B194" s="3" t="str">
        <f>IFERROR(__xludf.DUMMYFUNCTION("""COMPUTED_VALUE"""),"Amazonia")</f>
        <v>Amazonia</v>
      </c>
    </row>
    <row r="195">
      <c r="A195" s="3" t="str">
        <f>IFERROR(__xludf.DUMMYFUNCTION("""COMPUTED_VALUE"""),"Brot für die Welt (Brot für die Welt)")</f>
        <v>Brot für die Welt (Brot für die Welt)</v>
      </c>
      <c r="B195" s="3" t="str">
        <f>IFERROR(__xludf.DUMMYFUNCTION("""COMPUTED_VALUE"""),"Cerrado")</f>
        <v>Cerrado</v>
      </c>
    </row>
    <row r="196">
      <c r="A196" s="3" t="str">
        <f>IFERROR(__xludf.DUMMYFUNCTION("""COMPUTED_VALUE"""),"Movimento dos Trabalhadores Rurais Sem Terra (MST)")</f>
        <v>Movimento dos Trabalhadores Rurais Sem Terra (MST)</v>
      </c>
      <c r="B196" s="3" t="str">
        <f>IFERROR(__xludf.DUMMYFUNCTION("""COMPUTED_VALUE"""),"Amazonia")</f>
        <v>Amazonia</v>
      </c>
    </row>
    <row r="197">
      <c r="A197" s="3" t="str">
        <f>IFERROR(__xludf.DUMMYFUNCTION("""COMPUTED_VALUE"""),"Movimento dos Trabalhadores Rurais Sem Terra (MST)")</f>
        <v>Movimento dos Trabalhadores Rurais Sem Terra (MST)</v>
      </c>
      <c r="B197" s="3" t="str">
        <f>IFERROR(__xludf.DUMMYFUNCTION("""COMPUTED_VALUE"""),"Caatinga")</f>
        <v>Caatinga</v>
      </c>
    </row>
    <row r="198">
      <c r="A198" s="3" t="str">
        <f>IFERROR(__xludf.DUMMYFUNCTION("""COMPUTED_VALUE"""),"Movimento dos Trabalhadores Rurais Sem Terra (MST)")</f>
        <v>Movimento dos Trabalhadores Rurais Sem Terra (MST)</v>
      </c>
      <c r="B198" s="3" t="str">
        <f>IFERROR(__xludf.DUMMYFUNCTION("""COMPUTED_VALUE"""),"Cerrado")</f>
        <v>Cerrado</v>
      </c>
    </row>
    <row r="199">
      <c r="A199" s="3" t="str">
        <f>IFERROR(__xludf.DUMMYFUNCTION("""COMPUTED_VALUE"""),"Movimento dos Atingidos por Barragens (MAB)")</f>
        <v>Movimento dos Atingidos por Barragens (MAB)</v>
      </c>
      <c r="B199" s="3" t="str">
        <f>IFERROR(__xludf.DUMMYFUNCTION("""COMPUTED_VALUE"""),"Amazonia")</f>
        <v>Amazonia</v>
      </c>
    </row>
    <row r="200">
      <c r="A200" s="3" t="str">
        <f>IFERROR(__xludf.DUMMYFUNCTION("""COMPUTED_VALUE"""),"Movimento dos Atingidos por Barragens (MAB)")</f>
        <v>Movimento dos Atingidos por Barragens (MAB)</v>
      </c>
      <c r="B200" s="3" t="str">
        <f>IFERROR(__xludf.DUMMYFUNCTION("""COMPUTED_VALUE"""),"Caatinga")</f>
        <v>Caatinga</v>
      </c>
    </row>
    <row r="201">
      <c r="A201" s="3" t="str">
        <f>IFERROR(__xludf.DUMMYFUNCTION("""COMPUTED_VALUE"""),"Movimento dos Atingidos por Barragens (MAB)")</f>
        <v>Movimento dos Atingidos por Barragens (MAB)</v>
      </c>
      <c r="B201" s="3" t="str">
        <f>IFERROR(__xludf.DUMMYFUNCTION("""COMPUTED_VALUE"""),"Cerrado")</f>
        <v>Cerrado</v>
      </c>
    </row>
    <row r="202">
      <c r="A202" s="3" t="str">
        <f>IFERROR(__xludf.DUMMYFUNCTION("""COMPUTED_VALUE"""),"Movimento dos Pequenos Agricultores (MPA)")</f>
        <v>Movimento dos Pequenos Agricultores (MPA)</v>
      </c>
      <c r="B202" s="3" t="str">
        <f>IFERROR(__xludf.DUMMYFUNCTION("""COMPUTED_VALUE"""),"Amazonia")</f>
        <v>Amazonia</v>
      </c>
    </row>
    <row r="203">
      <c r="A203" s="3" t="str">
        <f>IFERROR(__xludf.DUMMYFUNCTION("""COMPUTED_VALUE"""),"Movimento dos Pequenos Agricultores (MPA)")</f>
        <v>Movimento dos Pequenos Agricultores (MPA)</v>
      </c>
      <c r="B203" s="3" t="str">
        <f>IFERROR(__xludf.DUMMYFUNCTION("""COMPUTED_VALUE"""),"Caatinga")</f>
        <v>Caatinga</v>
      </c>
    </row>
    <row r="204">
      <c r="A204" s="3" t="str">
        <f>IFERROR(__xludf.DUMMYFUNCTION("""COMPUTED_VALUE"""),"Movimento dos Pequenos Agricultores (MPA)")</f>
        <v>Movimento dos Pequenos Agricultores (MPA)</v>
      </c>
      <c r="B204" s="3" t="str">
        <f>IFERROR(__xludf.DUMMYFUNCTION("""COMPUTED_VALUE"""),"Cerrado")</f>
        <v>Cerrado</v>
      </c>
    </row>
    <row r="205">
      <c r="A205" s="3" t="str">
        <f>IFERROR(__xludf.DUMMYFUNCTION("""COMPUTED_VALUE"""),"Movimento pela Soberania Popular na Mineração (MAM)")</f>
        <v>Movimento pela Soberania Popular na Mineração (MAM)</v>
      </c>
      <c r="B205" s="3" t="str">
        <f>IFERROR(__xludf.DUMMYFUNCTION("""COMPUTED_VALUE"""),"Amazonia")</f>
        <v>Amazonia</v>
      </c>
    </row>
    <row r="206">
      <c r="A206" s="3" t="str">
        <f>IFERROR(__xludf.DUMMYFUNCTION("""COMPUTED_VALUE"""),"Movimento pela Soberania Popular na Mineração (MAM)")</f>
        <v>Movimento pela Soberania Popular na Mineração (MAM)</v>
      </c>
      <c r="B206" s="3" t="str">
        <f>IFERROR(__xludf.DUMMYFUNCTION("""COMPUTED_VALUE"""),"Cerrado")</f>
        <v>Cerrado</v>
      </c>
    </row>
    <row r="207">
      <c r="A207" s="3" t="str">
        <f>IFERROR(__xludf.DUMMYFUNCTION("""COMPUTED_VALUE"""),"Confederação Nacional dos Trabalhadores Rurais Agricultores e Agricultoras Familiares (CONTAG)")</f>
        <v>Confederação Nacional dos Trabalhadores Rurais Agricultores e Agricultoras Familiares (CONTAG)</v>
      </c>
      <c r="B207" s="3" t="str">
        <f>IFERROR(__xludf.DUMMYFUNCTION("""COMPUTED_VALUE"""),"Amazonia")</f>
        <v>Amazonia</v>
      </c>
    </row>
    <row r="208">
      <c r="A208" s="3" t="str">
        <f>IFERROR(__xludf.DUMMYFUNCTION("""COMPUTED_VALUE"""),"Confederação Nacional dos Trabalhadores Rurais Agricultores e Agricultoras Familiares (CONTAG)")</f>
        <v>Confederação Nacional dos Trabalhadores Rurais Agricultores e Agricultoras Familiares (CONTAG)</v>
      </c>
      <c r="B208" s="3" t="str">
        <f>IFERROR(__xludf.DUMMYFUNCTION("""COMPUTED_VALUE"""),"Caatinga")</f>
        <v>Caatinga</v>
      </c>
    </row>
    <row r="209">
      <c r="A209" s="3" t="str">
        <f>IFERROR(__xludf.DUMMYFUNCTION("""COMPUTED_VALUE"""),"Confederação Nacional dos Trabalhadores Rurais Agricultores e Agricultoras Familiares (CONTAG)")</f>
        <v>Confederação Nacional dos Trabalhadores Rurais Agricultores e Agricultoras Familiares (CONTAG)</v>
      </c>
      <c r="B209" s="3" t="str">
        <f>IFERROR(__xludf.DUMMYFUNCTION("""COMPUTED_VALUE"""),"Cerrado")</f>
        <v>Cerrado</v>
      </c>
    </row>
    <row r="210">
      <c r="A210" s="3" t="str">
        <f>IFERROR(__xludf.DUMMYFUNCTION("""COMPUTED_VALUE"""),"Coordenação Nacional de Articulação das Comunidades Negras Rurais Quilombolas (CONAQ)")</f>
        <v>Coordenação Nacional de Articulação das Comunidades Negras Rurais Quilombolas (CONAQ)</v>
      </c>
      <c r="B210" s="3" t="str">
        <f>IFERROR(__xludf.DUMMYFUNCTION("""COMPUTED_VALUE"""),"Amazonia")</f>
        <v>Amazonia</v>
      </c>
    </row>
    <row r="211">
      <c r="A211" s="3" t="str">
        <f>IFERROR(__xludf.DUMMYFUNCTION("""COMPUTED_VALUE"""),"Coordenação Nacional de Articulação das Comunidades Negras Rurais Quilombolas (CONAQ)")</f>
        <v>Coordenação Nacional de Articulação das Comunidades Negras Rurais Quilombolas (CONAQ)</v>
      </c>
      <c r="B211" s="3" t="str">
        <f>IFERROR(__xludf.DUMMYFUNCTION("""COMPUTED_VALUE"""),"Caatinga")</f>
        <v>Caatinga</v>
      </c>
    </row>
    <row r="212">
      <c r="A212" s="3" t="str">
        <f>IFERROR(__xludf.DUMMYFUNCTION("""COMPUTED_VALUE"""),"Coordenação Nacional de Articulação das Comunidades Negras Rurais Quilombolas (CONAQ)")</f>
        <v>Coordenação Nacional de Articulação das Comunidades Negras Rurais Quilombolas (CONAQ)</v>
      </c>
      <c r="B212" s="3" t="str">
        <f>IFERROR(__xludf.DUMMYFUNCTION("""COMPUTED_VALUE"""),"Cerrado")</f>
        <v>Cerrado</v>
      </c>
    </row>
    <row r="213">
      <c r="A213" s="3" t="str">
        <f>IFERROR(__xludf.DUMMYFUNCTION("""COMPUTED_VALUE"""),"Movimento de Mulheres Camponesas (MMC)")</f>
        <v>Movimento de Mulheres Camponesas (MMC)</v>
      </c>
      <c r="B213" s="3" t="str">
        <f>IFERROR(__xludf.DUMMYFUNCTION("""COMPUTED_VALUE"""),"Amazonia")</f>
        <v>Amazonia</v>
      </c>
    </row>
    <row r="214">
      <c r="A214" s="3" t="str">
        <f>IFERROR(__xludf.DUMMYFUNCTION("""COMPUTED_VALUE"""),"Movimento de Mulheres Camponesas (MMC)")</f>
        <v>Movimento de Mulheres Camponesas (MMC)</v>
      </c>
      <c r="B214" s="3" t="str">
        <f>IFERROR(__xludf.DUMMYFUNCTION("""COMPUTED_VALUE"""),"Caatinga")</f>
        <v>Caatinga</v>
      </c>
    </row>
    <row r="215">
      <c r="A215" s="3" t="str">
        <f>IFERROR(__xludf.DUMMYFUNCTION("""COMPUTED_VALUE"""),"Movimento de Mulheres Camponesas (MMC)")</f>
        <v>Movimento de Mulheres Camponesas (MMC)</v>
      </c>
      <c r="B215" s="3" t="str">
        <f>IFERROR(__xludf.DUMMYFUNCTION("""COMPUTED_VALUE"""),"Cerrado")</f>
        <v>Cerrado</v>
      </c>
    </row>
    <row r="216">
      <c r="A216" s="3" t="str">
        <f>IFERROR(__xludf.DUMMYFUNCTION("""COMPUTED_VALUE"""),"Movimento Interestadual das Quebradeiras de Coco Babaçu (MIQCB)")</f>
        <v>Movimento Interestadual das Quebradeiras de Coco Babaçu (MIQCB)</v>
      </c>
      <c r="B216" s="3" t="str">
        <f>IFERROR(__xludf.DUMMYFUNCTION("""COMPUTED_VALUE"""),"Amazonia")</f>
        <v>Amazonia</v>
      </c>
    </row>
    <row r="217">
      <c r="A217" s="3" t="str">
        <f>IFERROR(__xludf.DUMMYFUNCTION("""COMPUTED_VALUE"""),"Movimento Interestadual das Quebradeiras de Coco Babaçu (MIQCB)")</f>
        <v>Movimento Interestadual das Quebradeiras de Coco Babaçu (MIQCB)</v>
      </c>
      <c r="B217" s="3" t="str">
        <f>IFERROR(__xludf.DUMMYFUNCTION("""COMPUTED_VALUE"""),"Cerrado")</f>
        <v>Cerrado</v>
      </c>
    </row>
    <row r="218">
      <c r="A218" s="3" t="str">
        <f>IFERROR(__xludf.DUMMYFUNCTION("""COMPUTED_VALUE"""),"Conselho Pastoral dos Pescadores (CPP)")</f>
        <v>Conselho Pastoral dos Pescadores (CPP)</v>
      </c>
      <c r="B218" s="3" t="str">
        <f>IFERROR(__xludf.DUMMYFUNCTION("""COMPUTED_VALUE"""),"Amazonia")</f>
        <v>Amazonia</v>
      </c>
    </row>
    <row r="219">
      <c r="A219" s="3" t="str">
        <f>IFERROR(__xludf.DUMMYFUNCTION("""COMPUTED_VALUE"""),"Articulação dos Povos Indígenas do Nordeste, Minas Gerais e Espírito Santo (APOINME)")</f>
        <v>Articulação dos Povos Indígenas do Nordeste, Minas Gerais e Espírito Santo (APOINME)</v>
      </c>
      <c r="B219" s="3" t="str">
        <f>IFERROR(__xludf.DUMMYFUNCTION("""COMPUTED_VALUE"""),"Caatinga")</f>
        <v>Caatinga</v>
      </c>
    </row>
    <row r="220">
      <c r="A220" s="3" t="str">
        <f>IFERROR(__xludf.DUMMYFUNCTION("""COMPUTED_VALUE"""),"Federação das Organizações Indígenas do Rio Negro (FOIRN)")</f>
        <v>Federação das Organizações Indígenas do Rio Negro (FOIRN)</v>
      </c>
      <c r="B220" s="3" t="str">
        <f>IFERROR(__xludf.DUMMYFUNCTION("""COMPUTED_VALUE"""),"Amazonia")</f>
        <v>Amazonia</v>
      </c>
    </row>
    <row r="221">
      <c r="A221" s="3" t="str">
        <f>IFERROR(__xludf.DUMMYFUNCTION("""COMPUTED_VALUE"""),"Conselho Indígena de Roraima (CIR)")</f>
        <v>Conselho Indígena de Roraima (CIR)</v>
      </c>
      <c r="B221" s="3" t="str">
        <f>IFERROR(__xludf.DUMMYFUNCTION("""COMPUTED_VALUE"""),"Amazonia")</f>
        <v>Amazonia</v>
      </c>
    </row>
    <row r="222">
      <c r="A222" s="3" t="str">
        <f>IFERROR(__xludf.DUMMYFUNCTION("""COMPUTED_VALUE"""),"Conselho Indígena de Roraima (CIR)")</f>
        <v>Conselho Indígena de Roraima (CIR)</v>
      </c>
      <c r="B222" s="3" t="str">
        <f>IFERROR(__xludf.DUMMYFUNCTION("""COMPUTED_VALUE"""),"Cerrado")</f>
        <v>Cerrado</v>
      </c>
    </row>
    <row r="223">
      <c r="A223" s="3" t="str">
        <f>IFERROR(__xludf.DUMMYFUNCTION("""COMPUTED_VALUE"""),"Hutukara Associação Yanomami (HAY)")</f>
        <v>Hutukara Associação Yanomami (HAY)</v>
      </c>
      <c r="B223" s="3" t="str">
        <f>IFERROR(__xludf.DUMMYFUNCTION("""COMPUTED_VALUE"""),"Amazonia")</f>
        <v>Amazonia</v>
      </c>
    </row>
    <row r="224">
      <c r="A224" s="3" t="str">
        <f>IFERROR(__xludf.DUMMYFUNCTION("""COMPUTED_VALUE"""),"Movimento Xingu Vivo para Sempre")</f>
        <v>Movimento Xingu Vivo para Sempre</v>
      </c>
      <c r="B224" s="3" t="str">
        <f>IFERROR(__xludf.DUMMYFUNCTION("""COMPUTED_VALUE"""),"Amazonia")</f>
        <v>Amazonia</v>
      </c>
    </row>
    <row r="225">
      <c r="A225" s="3" t="str">
        <f>IFERROR(__xludf.DUMMYFUNCTION("""COMPUTED_VALUE"""),"Movimento Xingu Vivo para Sempre")</f>
        <v>Movimento Xingu Vivo para Sempre</v>
      </c>
      <c r="B225" s="3" t="str">
        <f>IFERROR(__xludf.DUMMYFUNCTION("""COMPUTED_VALUE"""),"Cerrado")</f>
        <v>Cerrado</v>
      </c>
    </row>
    <row r="226">
      <c r="A226" s="3" t="str">
        <f>IFERROR(__xludf.DUMMYFUNCTION("""COMPUTED_VALUE"""),"Rede Xingu+ (Rede Xingu+)")</f>
        <v>Rede Xingu+ (Rede Xingu+)</v>
      </c>
      <c r="B226" s="3" t="str">
        <f>IFERROR(__xludf.DUMMYFUNCTION("""COMPUTED_VALUE"""),"Amazonia")</f>
        <v>Amazonia</v>
      </c>
    </row>
    <row r="227">
      <c r="A227" s="3" t="str">
        <f>IFERROR(__xludf.DUMMYFUNCTION("""COMPUTED_VALUE"""),"Rede Xingu+ (Rede Xingu+)")</f>
        <v>Rede Xingu+ (Rede Xingu+)</v>
      </c>
      <c r="B227" s="3" t="str">
        <f>IFERROR(__xludf.DUMMYFUNCTION("""COMPUTED_VALUE"""),"Cerrado")</f>
        <v>Cerrado</v>
      </c>
    </row>
    <row r="228">
      <c r="A228" s="3" t="str">
        <f>IFERROR(__xludf.DUMMYFUNCTION("""COMPUTED_VALUE"""),"Movimento Tapajós Vivo")</f>
        <v>Movimento Tapajós Vivo</v>
      </c>
      <c r="B228" s="3" t="str">
        <f>IFERROR(__xludf.DUMMYFUNCTION("""COMPUTED_VALUE"""),"Amazonia")</f>
        <v>Amazonia</v>
      </c>
    </row>
    <row r="229">
      <c r="A229" s="3" t="str">
        <f>IFERROR(__xludf.DUMMYFUNCTION("""COMPUTED_VALUE"""),"Movimento Atingidos pelas Renováveis (MAR)")</f>
        <v>Movimento Atingidos pelas Renováveis (MAR)</v>
      </c>
      <c r="B229" s="3" t="str">
        <f>IFERROR(__xludf.DUMMYFUNCTION("""COMPUTED_VALUE"""),"Caatinga")</f>
        <v>Caatinga</v>
      </c>
    </row>
    <row r="230">
      <c r="A230" s="3" t="str">
        <f>IFERROR(__xludf.DUMMYFUNCTION("""COMPUTED_VALUE"""),"Movimento Atingidos pelas Renováveis (MAR)")</f>
        <v>Movimento Atingidos pelas Renováveis (MAR)</v>
      </c>
      <c r="B230" s="3" t="str">
        <f>IFERROR(__xludf.DUMMYFUNCTION("""COMPUTED_VALUE"""),"Cerrado")</f>
        <v>Cerrado</v>
      </c>
    </row>
    <row r="231">
      <c r="A231" s="3" t="str">
        <f>IFERROR(__xludf.DUMMYFUNCTION("""COMPUTED_VALUE"""),"Seridó Vivo (Seridó Vivo)")</f>
        <v>Seridó Vivo (Seridó Vivo)</v>
      </c>
      <c r="B231" s="3" t="str">
        <f>IFERROR(__xludf.DUMMYFUNCTION("""COMPUTED_VALUE"""),"Caatinga")</f>
        <v>Caatinga</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74.63"/>
    <col customWidth="1" min="2" max="2" width="22.25"/>
  </cols>
  <sheetData>
    <row r="1">
      <c r="A1" s="3" t="str">
        <f>IFERROR(__xludf.DUMMYFUNCTION("ARRAYFORMULA(QUERY(SUBSTITUTE(SPLIT(FLATTEN(Data_Looker!B1:B339 &amp; ""|"" &amp; SPLIT(SUBSTITUTE(Data_Looker!I1:I339, ""Land, Food and Forest"", ""PROTEGER1""), "", "", FALSE)), ""|""), ""PROTEGER1"", ""Land, Food and Forest""), ""where Col2 &lt;&gt; ''""))"),"Stakeholder ")</f>
        <v>Stakeholder </v>
      </c>
      <c r="B1" s="3" t="str">
        <f>IFERROR(__xludf.DUMMYFUNCTION("""COMPUTED_VALUE"""),"Secondary Territory lens
(Biome) ")</f>
        <v>Secondary Territory lens
(Biome) </v>
      </c>
    </row>
    <row r="2">
      <c r="A2" s="3" t="str">
        <f>IFERROR(__xludf.DUMMYFUNCTION("""COMPUTED_VALUE"""),"Fundo Brasileiro para a Biodiversidade (FUNBIO)")</f>
        <v>Fundo Brasileiro para a Biodiversidade (FUNBIO)</v>
      </c>
      <c r="B2" s="3" t="str">
        <f>IFERROR(__xludf.DUMMYFUNCTION("""COMPUTED_VALUE"""),"Mata&amp;Atlântica")</f>
        <v>Mata&amp;Atlântica</v>
      </c>
    </row>
    <row r="3">
      <c r="A3" s="3" t="str">
        <f>IFERROR(__xludf.DUMMYFUNCTION("""COMPUTED_VALUE"""),"Fundo Brasileiro para a Biodiversidade (FUNBIO)")</f>
        <v>Fundo Brasileiro para a Biodiversidade (FUNBIO)</v>
      </c>
      <c r="B3" s="3" t="str">
        <f>IFERROR(__xludf.DUMMYFUNCTION("""COMPUTED_VALUE"""),"Pantanal")</f>
        <v>Pantanal</v>
      </c>
    </row>
    <row r="4">
      <c r="A4" s="3" t="str">
        <f>IFERROR(__xludf.DUMMYFUNCTION("""COMPUTED_VALUE"""),"Fundo Brasileiro para a Biodiversidade (FUNBIO)")</f>
        <v>Fundo Brasileiro para a Biodiversidade (FUNBIO)</v>
      </c>
      <c r="B4" s="3" t="str">
        <f>IFERROR(__xludf.DUMMYFUNCTION("""COMPUTED_VALUE"""),"Pampa")</f>
        <v>Pampa</v>
      </c>
    </row>
    <row r="5">
      <c r="A5" s="3" t="str">
        <f>IFERROR(__xludf.DUMMYFUNCTION("""COMPUTED_VALUE"""),"Fundo Brasileiro para a Biodiversidade (FUNBIO)")</f>
        <v>Fundo Brasileiro para a Biodiversidade (FUNBIO)</v>
      </c>
      <c r="B5" s="3" t="str">
        <f>IFERROR(__xludf.DUMMYFUNCTION("""COMPUTED_VALUE"""),"Coastal&amp;maritime")</f>
        <v>Coastal&amp;maritime</v>
      </c>
    </row>
    <row r="6">
      <c r="A6" s="3" t="str">
        <f>IFERROR(__xludf.DUMMYFUNCTION("""COMPUTED_VALUE"""),"Instituto Clima e Sociedade (iCS)")</f>
        <v>Instituto Clima e Sociedade (iCS)</v>
      </c>
      <c r="B6" s="3" t="str">
        <f>IFERROR(__xludf.DUMMYFUNCTION("""COMPUTED_VALUE"""),"Mata&amp;Atlântica")</f>
        <v>Mata&amp;Atlântica</v>
      </c>
    </row>
    <row r="7">
      <c r="A7" s="3" t="str">
        <f>IFERROR(__xludf.DUMMYFUNCTION("""COMPUTED_VALUE"""),"Instituto Clima e Sociedade (iCS)")</f>
        <v>Instituto Clima e Sociedade (iCS)</v>
      </c>
      <c r="B7" s="3" t="str">
        <f>IFERROR(__xludf.DUMMYFUNCTION("""COMPUTED_VALUE"""),"Pantanal")</f>
        <v>Pantanal</v>
      </c>
    </row>
    <row r="8">
      <c r="A8" s="3" t="str">
        <f>IFERROR(__xludf.DUMMYFUNCTION("""COMPUTED_VALUE"""),"Instituto Clima e Sociedade (iCS)")</f>
        <v>Instituto Clima e Sociedade (iCS)</v>
      </c>
      <c r="B8" s="3" t="str">
        <f>IFERROR(__xludf.DUMMYFUNCTION("""COMPUTED_VALUE"""),"Pampa")</f>
        <v>Pampa</v>
      </c>
    </row>
    <row r="9">
      <c r="A9" s="3" t="str">
        <f>IFERROR(__xludf.DUMMYFUNCTION("""COMPUTED_VALUE"""),"Instituto Clima e Sociedade (iCS)")</f>
        <v>Instituto Clima e Sociedade (iCS)</v>
      </c>
      <c r="B9" s="3" t="str">
        <f>IFERROR(__xludf.DUMMYFUNCTION("""COMPUTED_VALUE"""),"Coastal&amp;maritime")</f>
        <v>Coastal&amp;maritime</v>
      </c>
    </row>
    <row r="10">
      <c r="A10" s="3" t="str">
        <f>IFERROR(__xludf.DUMMYFUNCTION("""COMPUTED_VALUE"""),"Instituto Ethos")</f>
        <v>Instituto Ethos</v>
      </c>
      <c r="B10" s="3" t="str">
        <f>IFERROR(__xludf.DUMMYFUNCTION("""COMPUTED_VALUE"""),"Mata&amp;Atlântica")</f>
        <v>Mata&amp;Atlântica</v>
      </c>
    </row>
    <row r="11">
      <c r="A11" s="3" t="str">
        <f>IFERROR(__xludf.DUMMYFUNCTION("""COMPUTED_VALUE"""),"Instituto Ethos")</f>
        <v>Instituto Ethos</v>
      </c>
      <c r="B11" s="3" t="str">
        <f>IFERROR(__xludf.DUMMYFUNCTION("""COMPUTED_VALUE"""),"Pantanal")</f>
        <v>Pantanal</v>
      </c>
    </row>
    <row r="12">
      <c r="A12" s="3" t="str">
        <f>IFERROR(__xludf.DUMMYFUNCTION("""COMPUTED_VALUE"""),"Instituto Ethos")</f>
        <v>Instituto Ethos</v>
      </c>
      <c r="B12" s="3" t="str">
        <f>IFERROR(__xludf.DUMMYFUNCTION("""COMPUTED_VALUE"""),"Pampa")</f>
        <v>Pampa</v>
      </c>
    </row>
    <row r="13">
      <c r="A13" s="3" t="str">
        <f>IFERROR(__xludf.DUMMYFUNCTION("""COMPUTED_VALUE"""),"Instituto Ethos")</f>
        <v>Instituto Ethos</v>
      </c>
      <c r="B13" s="3" t="str">
        <f>IFERROR(__xludf.DUMMYFUNCTION("""COMPUTED_VALUE"""),"Coastal&amp;maritime")</f>
        <v>Coastal&amp;maritime</v>
      </c>
    </row>
    <row r="14">
      <c r="A14" s="3" t="str">
        <f>IFERROR(__xludf.DUMMYFUNCTION("""COMPUTED_VALUE"""),"Instituto Climate Ventures Brasil (Climate Ventures)")</f>
        <v>Instituto Climate Ventures Brasil (Climate Ventures)</v>
      </c>
      <c r="B14" s="3" t="str">
        <f>IFERROR(__xludf.DUMMYFUNCTION("""COMPUTED_VALUE"""),"Mata&amp;Atlântica")</f>
        <v>Mata&amp;Atlântica</v>
      </c>
    </row>
    <row r="15">
      <c r="A15" s="3" t="str">
        <f>IFERROR(__xludf.DUMMYFUNCTION("""COMPUTED_VALUE"""),"Instituto Climate Ventures Brasil (Climate Ventures)")</f>
        <v>Instituto Climate Ventures Brasil (Climate Ventures)</v>
      </c>
      <c r="B15" s="3" t="str">
        <f>IFERROR(__xludf.DUMMYFUNCTION("""COMPUTED_VALUE"""),"Pantanal")</f>
        <v>Pantanal</v>
      </c>
    </row>
    <row r="16">
      <c r="A16" s="3" t="str">
        <f>IFERROR(__xludf.DUMMYFUNCTION("""COMPUTED_VALUE"""),"Instituto Climate Ventures Brasil (Climate Ventures)")</f>
        <v>Instituto Climate Ventures Brasil (Climate Ventures)</v>
      </c>
      <c r="B16" s="3" t="str">
        <f>IFERROR(__xludf.DUMMYFUNCTION("""COMPUTED_VALUE"""),"Pampa")</f>
        <v>Pampa</v>
      </c>
    </row>
    <row r="17">
      <c r="A17" s="3" t="str">
        <f>IFERROR(__xludf.DUMMYFUNCTION("""COMPUTED_VALUE"""),"Instituto Climate Ventures Brasil (Climate Ventures)")</f>
        <v>Instituto Climate Ventures Brasil (Climate Ventures)</v>
      </c>
      <c r="B17" s="3" t="str">
        <f>IFERROR(__xludf.DUMMYFUNCTION("""COMPUTED_VALUE"""),"Coastal&amp;maritime")</f>
        <v>Coastal&amp;maritime</v>
      </c>
    </row>
    <row r="18">
      <c r="A18" s="3" t="str">
        <f>IFERROR(__xludf.DUMMYFUNCTION("""COMPUTED_VALUE"""),"Fundação Tide Setúbal")</f>
        <v>Fundação Tide Setúbal</v>
      </c>
      <c r="B18" s="3" t="str">
        <f>IFERROR(__xludf.DUMMYFUNCTION("""COMPUTED_VALUE"""),"Mata&amp;Atlântica")</f>
        <v>Mata&amp;Atlântica</v>
      </c>
    </row>
    <row r="19">
      <c r="A19" s="3" t="str">
        <f>IFERROR(__xludf.DUMMYFUNCTION("""COMPUTED_VALUE"""),"Instituto Talanoa")</f>
        <v>Instituto Talanoa</v>
      </c>
      <c r="B19" s="3" t="str">
        <f>IFERROR(__xludf.DUMMYFUNCTION("""COMPUTED_VALUE"""),"Mata&amp;Atlântica")</f>
        <v>Mata&amp;Atlântica</v>
      </c>
    </row>
    <row r="20">
      <c r="A20" s="3" t="str">
        <f>IFERROR(__xludf.DUMMYFUNCTION("""COMPUTED_VALUE"""),"Instituto Talanoa")</f>
        <v>Instituto Talanoa</v>
      </c>
      <c r="B20" s="3" t="str">
        <f>IFERROR(__xludf.DUMMYFUNCTION("""COMPUTED_VALUE"""),"Pantanal")</f>
        <v>Pantanal</v>
      </c>
    </row>
    <row r="21">
      <c r="A21" s="3" t="str">
        <f>IFERROR(__xludf.DUMMYFUNCTION("""COMPUTED_VALUE"""),"Instituto Talanoa")</f>
        <v>Instituto Talanoa</v>
      </c>
      <c r="B21" s="3" t="str">
        <f>IFERROR(__xludf.DUMMYFUNCTION("""COMPUTED_VALUE"""),"Pampa")</f>
        <v>Pampa</v>
      </c>
    </row>
    <row r="22">
      <c r="A22" s="3" t="str">
        <f>IFERROR(__xludf.DUMMYFUNCTION("""COMPUTED_VALUE"""),"Instituto Talanoa")</f>
        <v>Instituto Talanoa</v>
      </c>
      <c r="B22" s="3" t="str">
        <f>IFERROR(__xludf.DUMMYFUNCTION("""COMPUTED_VALUE"""),"Coastal&amp;maritime")</f>
        <v>Coastal&amp;maritime</v>
      </c>
    </row>
    <row r="23">
      <c r="A23" s="3" t="str">
        <f>IFERROR(__xludf.DUMMYFUNCTION("""COMPUTED_VALUE"""),"Instituto Alana")</f>
        <v>Instituto Alana</v>
      </c>
      <c r="B23" s="3" t="str">
        <f>IFERROR(__xludf.DUMMYFUNCTION("""COMPUTED_VALUE"""),"Mata&amp;Atlântica")</f>
        <v>Mata&amp;Atlântica</v>
      </c>
    </row>
    <row r="24">
      <c r="A24" s="3" t="str">
        <f>IFERROR(__xludf.DUMMYFUNCTION("""COMPUTED_VALUE"""),"Instituto Arapyaú")</f>
        <v>Instituto Arapyaú</v>
      </c>
      <c r="B24" s="3" t="str">
        <f>IFERROR(__xludf.DUMMYFUNCTION("""COMPUTED_VALUE"""),"Mata&amp;Atlântica")</f>
        <v>Mata&amp;Atlântica</v>
      </c>
    </row>
    <row r="25">
      <c r="A25" s="3" t="str">
        <f>IFERROR(__xludf.DUMMYFUNCTION("""COMPUTED_VALUE"""),"Instituto Semeia")</f>
        <v>Instituto Semeia</v>
      </c>
      <c r="B25" s="3" t="str">
        <f>IFERROR(__xludf.DUMMYFUNCTION("""COMPUTED_VALUE"""),"Mata&amp;Atlântica")</f>
        <v>Mata&amp;Atlântica</v>
      </c>
    </row>
    <row r="26">
      <c r="A26" s="3" t="str">
        <f>IFERROR(__xludf.DUMMYFUNCTION("""COMPUTED_VALUE"""),"Instituto Semeia")</f>
        <v>Instituto Semeia</v>
      </c>
      <c r="B26" s="3" t="str">
        <f>IFERROR(__xludf.DUMMYFUNCTION("""COMPUTED_VALUE"""),"Pantanal")</f>
        <v>Pantanal</v>
      </c>
    </row>
    <row r="27">
      <c r="A27" s="3" t="str">
        <f>IFERROR(__xludf.DUMMYFUNCTION("""COMPUTED_VALUE"""),"Instituto Semeia")</f>
        <v>Instituto Semeia</v>
      </c>
      <c r="B27" s="3" t="str">
        <f>IFERROR(__xludf.DUMMYFUNCTION("""COMPUTED_VALUE"""),"Pampa")</f>
        <v>Pampa</v>
      </c>
    </row>
    <row r="28">
      <c r="A28" s="3" t="str">
        <f>IFERROR(__xludf.DUMMYFUNCTION("""COMPUTED_VALUE"""),"Instituto Semeia")</f>
        <v>Instituto Semeia</v>
      </c>
      <c r="B28" s="3" t="str">
        <f>IFERROR(__xludf.DUMMYFUNCTION("""COMPUTED_VALUE"""),"Coastal&amp;maritime")</f>
        <v>Coastal&amp;maritime</v>
      </c>
    </row>
    <row r="29">
      <c r="A29" s="3" t="str">
        <f>IFERROR(__xludf.DUMMYFUNCTION("""COMPUTED_VALUE"""),"Alcoa")</f>
        <v>Alcoa</v>
      </c>
      <c r="B29" s="3" t="str">
        <f>IFERROR(__xludf.DUMMYFUNCTION("""COMPUTED_VALUE"""),"Coastal&amp;maritime")</f>
        <v>Coastal&amp;maritime</v>
      </c>
    </row>
    <row r="30">
      <c r="A30" s="3" t="str">
        <f>IFERROR(__xludf.DUMMYFUNCTION("""COMPUTED_VALUE"""),"Norsk Hydro ASA (Hydro)")</f>
        <v>Norsk Hydro ASA (Hydro)</v>
      </c>
      <c r="B30" s="3" t="str">
        <f>IFERROR(__xludf.DUMMYFUNCTION("""COMPUTED_VALUE"""),"Coastal&amp;maritime")</f>
        <v>Coastal&amp;maritime</v>
      </c>
    </row>
    <row r="31">
      <c r="A31" s="3" t="str">
        <f>IFERROR(__xludf.DUMMYFUNCTION("""COMPUTED_VALUE"""),"Instituto Socioambiental (ISA)")</f>
        <v>Instituto Socioambiental (ISA)</v>
      </c>
      <c r="B31" s="3" t="str">
        <f>IFERROR(__xludf.DUMMYFUNCTION("""COMPUTED_VALUE"""),"Mata&amp;Atlântica")</f>
        <v>Mata&amp;Atlântica</v>
      </c>
    </row>
    <row r="32">
      <c r="A32" s="3" t="str">
        <f>IFERROR(__xludf.DUMMYFUNCTION("""COMPUTED_VALUE"""),"The Nature Conservancy Brasil (TNC Brasil)")</f>
        <v>The Nature Conservancy Brasil (TNC Brasil)</v>
      </c>
      <c r="B32" s="3" t="str">
        <f>IFERROR(__xludf.DUMMYFUNCTION("""COMPUTED_VALUE"""),"Mata&amp;Atlântica")</f>
        <v>Mata&amp;Atlântica</v>
      </c>
    </row>
    <row r="33">
      <c r="A33" s="3" t="str">
        <f>IFERROR(__xludf.DUMMYFUNCTION("""COMPUTED_VALUE"""),"The Nature Conservancy Brasil (TNC Brasil)")</f>
        <v>The Nature Conservancy Brasil (TNC Brasil)</v>
      </c>
      <c r="B33" s="3" t="str">
        <f>IFERROR(__xludf.DUMMYFUNCTION("""COMPUTED_VALUE"""),"Coastal&amp;maritime")</f>
        <v>Coastal&amp;maritime</v>
      </c>
    </row>
    <row r="34">
      <c r="A34" s="3" t="str">
        <f>IFERROR(__xludf.DUMMYFUNCTION("""COMPUTED_VALUE"""),"Conservação Internacional Brasil (CI-Brasil)")</f>
        <v>Conservação Internacional Brasil (CI-Brasil)</v>
      </c>
      <c r="B34" s="3" t="str">
        <f>IFERROR(__xludf.DUMMYFUNCTION("""COMPUTED_VALUE"""),"Mata&amp;Atlântica")</f>
        <v>Mata&amp;Atlântica</v>
      </c>
    </row>
    <row r="35">
      <c r="A35" s="3" t="str">
        <f>IFERROR(__xludf.DUMMYFUNCTION("""COMPUTED_VALUE"""),"Conservação Internacional Brasil (CI-Brasil)")</f>
        <v>Conservação Internacional Brasil (CI-Brasil)</v>
      </c>
      <c r="B35" s="3" t="str">
        <f>IFERROR(__xludf.DUMMYFUNCTION("""COMPUTED_VALUE"""),"Coastal&amp;maritime")</f>
        <v>Coastal&amp;maritime</v>
      </c>
    </row>
    <row r="36">
      <c r="A36" s="3" t="str">
        <f>IFERROR(__xludf.DUMMYFUNCTION("""COMPUTED_VALUE"""),"WWF-Brasil")</f>
        <v>WWF-Brasil</v>
      </c>
      <c r="B36" s="3" t="str">
        <f>IFERROR(__xludf.DUMMYFUNCTION("""COMPUTED_VALUE"""),"Pantanal")</f>
        <v>Pantanal</v>
      </c>
    </row>
    <row r="37">
      <c r="A37" s="3" t="str">
        <f>IFERROR(__xludf.DUMMYFUNCTION("""COMPUTED_VALUE"""),"WWF-Brasil")</f>
        <v>WWF-Brasil</v>
      </c>
      <c r="B37" s="3" t="str">
        <f>IFERROR(__xludf.DUMMYFUNCTION("""COMPUTED_VALUE"""),"Mata&amp;Atlântica")</f>
        <v>Mata&amp;Atlântica</v>
      </c>
    </row>
    <row r="38">
      <c r="A38" s="3" t="str">
        <f>IFERROR(__xludf.DUMMYFUNCTION("""COMPUTED_VALUE"""),"WRI Brasil")</f>
        <v>WRI Brasil</v>
      </c>
      <c r="B38" s="3" t="str">
        <f>IFERROR(__xludf.DUMMYFUNCTION("""COMPUTED_VALUE"""),"Mata&amp;Atlântica")</f>
        <v>Mata&amp;Atlântica</v>
      </c>
    </row>
    <row r="39">
      <c r="A39" s="3" t="str">
        <f>IFERROR(__xludf.DUMMYFUNCTION("""COMPUTED_VALUE"""),"Fundação SOS Mata Atlântica")</f>
        <v>Fundação SOS Mata Atlântica</v>
      </c>
      <c r="B39" s="3" t="str">
        <f>IFERROR(__xludf.DUMMYFUNCTION("""COMPUTED_VALUE"""),"Mata&amp;Atlântica")</f>
        <v>Mata&amp;Atlântica</v>
      </c>
    </row>
    <row r="40">
      <c r="A40" s="3" t="str">
        <f>IFERROR(__xludf.DUMMYFUNCTION("""COMPUTED_VALUE"""),"Empresa Brasileira de Pesquisa Agropecuária (Embrapa)")</f>
        <v>Empresa Brasileira de Pesquisa Agropecuária (Embrapa)</v>
      </c>
      <c r="B40" s="3" t="str">
        <f>IFERROR(__xludf.DUMMYFUNCTION("""COMPUTED_VALUE"""),"Mata&amp;Atlântica")</f>
        <v>Mata&amp;Atlântica</v>
      </c>
    </row>
    <row r="41">
      <c r="A41" s="3" t="str">
        <f>IFERROR(__xludf.DUMMYFUNCTION("""COMPUTED_VALUE"""),"Empresa Brasileira de Pesquisa Agropecuária (Embrapa)")</f>
        <v>Empresa Brasileira de Pesquisa Agropecuária (Embrapa)</v>
      </c>
      <c r="B41" s="3" t="str">
        <f>IFERROR(__xludf.DUMMYFUNCTION("""COMPUTED_VALUE"""),"Pantanal")</f>
        <v>Pantanal</v>
      </c>
    </row>
    <row r="42">
      <c r="A42" s="3" t="str">
        <f>IFERROR(__xludf.DUMMYFUNCTION("""COMPUTED_VALUE"""),"Empresa Brasileira de Pesquisa Agropecuária (Embrapa)")</f>
        <v>Empresa Brasileira de Pesquisa Agropecuária (Embrapa)</v>
      </c>
      <c r="B42" s="3" t="str">
        <f>IFERROR(__xludf.DUMMYFUNCTION("""COMPUTED_VALUE"""),"Pampa")</f>
        <v>Pampa</v>
      </c>
    </row>
    <row r="43">
      <c r="A43" s="3" t="str">
        <f>IFERROR(__xludf.DUMMYFUNCTION("""COMPUTED_VALUE"""),"Empresa Brasileira de Pesquisa Agropecuária (Embrapa)")</f>
        <v>Empresa Brasileira de Pesquisa Agropecuária (Embrapa)</v>
      </c>
      <c r="B43" s="3" t="str">
        <f>IFERROR(__xludf.DUMMYFUNCTION("""COMPUTED_VALUE"""),"Coastal&amp;maritime")</f>
        <v>Coastal&amp;maritime</v>
      </c>
    </row>
    <row r="44">
      <c r="A44" s="3" t="str">
        <f>IFERROR(__xludf.DUMMYFUNCTION("""COMPUTED_VALUE"""),"Instituto Brasileiro do Meio Ambiente e dos Recursos Naturais Renováveis (Ibama)")</f>
        <v>Instituto Brasileiro do Meio Ambiente e dos Recursos Naturais Renováveis (Ibama)</v>
      </c>
      <c r="B44" s="3" t="str">
        <f>IFERROR(__xludf.DUMMYFUNCTION("""COMPUTED_VALUE"""),"Mata&amp;Atlântica")</f>
        <v>Mata&amp;Atlântica</v>
      </c>
    </row>
    <row r="45">
      <c r="A45" s="3" t="str">
        <f>IFERROR(__xludf.DUMMYFUNCTION("""COMPUTED_VALUE"""),"Instituto Brasileiro do Meio Ambiente e dos Recursos Naturais Renováveis (Ibama)")</f>
        <v>Instituto Brasileiro do Meio Ambiente e dos Recursos Naturais Renováveis (Ibama)</v>
      </c>
      <c r="B45" s="3" t="str">
        <f>IFERROR(__xludf.DUMMYFUNCTION("""COMPUTED_VALUE"""),"Pantanal")</f>
        <v>Pantanal</v>
      </c>
    </row>
    <row r="46">
      <c r="A46" s="3" t="str">
        <f>IFERROR(__xludf.DUMMYFUNCTION("""COMPUTED_VALUE"""),"Instituto Brasileiro do Meio Ambiente e dos Recursos Naturais Renováveis (Ibama)")</f>
        <v>Instituto Brasileiro do Meio Ambiente e dos Recursos Naturais Renováveis (Ibama)</v>
      </c>
      <c r="B46" s="3" t="str">
        <f>IFERROR(__xludf.DUMMYFUNCTION("""COMPUTED_VALUE"""),"Pampa")</f>
        <v>Pampa</v>
      </c>
    </row>
    <row r="47">
      <c r="A47" s="3" t="str">
        <f>IFERROR(__xludf.DUMMYFUNCTION("""COMPUTED_VALUE"""),"Instituto Brasileiro do Meio Ambiente e dos Recursos Naturais Renováveis (Ibama)")</f>
        <v>Instituto Brasileiro do Meio Ambiente e dos Recursos Naturais Renováveis (Ibama)</v>
      </c>
      <c r="B47" s="3" t="str">
        <f>IFERROR(__xludf.DUMMYFUNCTION("""COMPUTED_VALUE"""),"Coastal&amp;maritime")</f>
        <v>Coastal&amp;maritime</v>
      </c>
    </row>
    <row r="48">
      <c r="A48" s="3" t="str">
        <f>IFERROR(__xludf.DUMMYFUNCTION("""COMPUTED_VALUE"""),"Instituto Chico Mendes de Conservação da Biodiversidade (ICMBio)")</f>
        <v>Instituto Chico Mendes de Conservação da Biodiversidade (ICMBio)</v>
      </c>
      <c r="B48" s="3" t="str">
        <f>IFERROR(__xludf.DUMMYFUNCTION("""COMPUTED_VALUE"""),"Mata&amp;Atlântica")</f>
        <v>Mata&amp;Atlântica</v>
      </c>
    </row>
    <row r="49">
      <c r="A49" s="3" t="str">
        <f>IFERROR(__xludf.DUMMYFUNCTION("""COMPUTED_VALUE"""),"Instituto Chico Mendes de Conservação da Biodiversidade (ICMBio)")</f>
        <v>Instituto Chico Mendes de Conservação da Biodiversidade (ICMBio)</v>
      </c>
      <c r="B49" s="3" t="str">
        <f>IFERROR(__xludf.DUMMYFUNCTION("""COMPUTED_VALUE"""),"Pantanal")</f>
        <v>Pantanal</v>
      </c>
    </row>
    <row r="50">
      <c r="A50" s="3" t="str">
        <f>IFERROR(__xludf.DUMMYFUNCTION("""COMPUTED_VALUE"""),"Instituto Chico Mendes de Conservação da Biodiversidade (ICMBio)")</f>
        <v>Instituto Chico Mendes de Conservação da Biodiversidade (ICMBio)</v>
      </c>
      <c r="B50" s="3" t="str">
        <f>IFERROR(__xludf.DUMMYFUNCTION("""COMPUTED_VALUE"""),"Pampa")</f>
        <v>Pampa</v>
      </c>
    </row>
    <row r="51">
      <c r="A51" s="3" t="str">
        <f>IFERROR(__xludf.DUMMYFUNCTION("""COMPUTED_VALUE"""),"Instituto Chico Mendes de Conservação da Biodiversidade (ICMBio)")</f>
        <v>Instituto Chico Mendes de Conservação da Biodiversidade (ICMBio)</v>
      </c>
      <c r="B51" s="3" t="str">
        <f>IFERROR(__xludf.DUMMYFUNCTION("""COMPUTED_VALUE"""),"Coastal&amp;maritime")</f>
        <v>Coastal&amp;maritime</v>
      </c>
    </row>
    <row r="52">
      <c r="A52" s="3" t="str">
        <f>IFERROR(__xludf.DUMMYFUNCTION("""COMPUTED_VALUE"""),"Instituto de Manejo e Certificação Florestal e Agrícola (Imaflora)")</f>
        <v>Instituto de Manejo e Certificação Florestal e Agrícola (Imaflora)</v>
      </c>
      <c r="B52" s="3" t="str">
        <f>IFERROR(__xludf.DUMMYFUNCTION("""COMPUTED_VALUE"""),"Mata&amp;Atlântica")</f>
        <v>Mata&amp;Atlântica</v>
      </c>
    </row>
    <row r="53">
      <c r="A53" s="3" t="str">
        <f>IFERROR(__xludf.DUMMYFUNCTION("""COMPUTED_VALUE"""),"Instituto de Manejo e Certificação Florestal e Agrícola (Imaflora)")</f>
        <v>Instituto de Manejo e Certificação Florestal e Agrícola (Imaflora)</v>
      </c>
      <c r="B53" s="3" t="str">
        <f>IFERROR(__xludf.DUMMYFUNCTION("""COMPUTED_VALUE"""),"Pampa")</f>
        <v>Pampa</v>
      </c>
    </row>
    <row r="54">
      <c r="A54" s="3" t="str">
        <f>IFERROR(__xludf.DUMMYFUNCTION("""COMPUTED_VALUE"""),"Vale S.A.")</f>
        <v>Vale S.A.</v>
      </c>
      <c r="B54" s="3" t="str">
        <f>IFERROR(__xludf.DUMMYFUNCTION("""COMPUTED_VALUE"""),"Mata&amp;Atlântica")</f>
        <v>Mata&amp;Atlântica</v>
      </c>
    </row>
    <row r="55">
      <c r="A55" s="3" t="str">
        <f>IFERROR(__xludf.DUMMYFUNCTION("""COMPUTED_VALUE"""),"Suzano S.A.")</f>
        <v>Suzano S.A.</v>
      </c>
      <c r="B55" s="3" t="str">
        <f>IFERROR(__xludf.DUMMYFUNCTION("""COMPUTED_VALUE"""),"Mata&amp;Atlântica")</f>
        <v>Mata&amp;Atlântica</v>
      </c>
    </row>
    <row r="56">
      <c r="A56" s="3" t="str">
        <f>IFERROR(__xludf.DUMMYFUNCTION("""COMPUTED_VALUE"""),"Instituto Conexões Sustentáveis (Conexsus)")</f>
        <v>Instituto Conexões Sustentáveis (Conexsus)</v>
      </c>
      <c r="B56" s="3" t="str">
        <f>IFERROR(__xludf.DUMMYFUNCTION("""COMPUTED_VALUE"""),"Mata&amp;Atlântica")</f>
        <v>Mata&amp;Atlântica</v>
      </c>
    </row>
    <row r="57">
      <c r="A57" s="3" t="str">
        <f>IFERROR(__xludf.DUMMYFUNCTION("""COMPUTED_VALUE"""),"Instituto Conexões Sustentáveis (Conexsus)")</f>
        <v>Instituto Conexões Sustentáveis (Conexsus)</v>
      </c>
      <c r="B57" s="3" t="str">
        <f>IFERROR(__xludf.DUMMYFUNCTION("""COMPUTED_VALUE"""),"Pampa")</f>
        <v>Pampa</v>
      </c>
    </row>
    <row r="58">
      <c r="A58" s="3" t="str">
        <f>IFERROR(__xludf.DUMMYFUNCTION("""COMPUTED_VALUE"""),"Fundação Grupo Boticário de Proteção à Natureza")</f>
        <v>Fundação Grupo Boticário de Proteção à Natureza</v>
      </c>
      <c r="B58" s="3" t="str">
        <f>IFERROR(__xludf.DUMMYFUNCTION("""COMPUTED_VALUE"""),"Mata&amp;Atlântica")</f>
        <v>Mata&amp;Atlântica</v>
      </c>
    </row>
    <row r="59">
      <c r="A59" s="3" t="str">
        <f>IFERROR(__xludf.DUMMYFUNCTION("""COMPUTED_VALUE"""),"Natura")</f>
        <v>Natura</v>
      </c>
      <c r="B59" s="3" t="str">
        <f>IFERROR(__xludf.DUMMYFUNCTION("""COMPUTED_VALUE"""),"Mata&amp;Atlântica")</f>
        <v>Mata&amp;Atlântica</v>
      </c>
    </row>
    <row r="60">
      <c r="A60" s="3" t="str">
        <f>IFERROR(__xludf.DUMMYFUNCTION("""COMPUTED_VALUE"""),"Natura")</f>
        <v>Natura</v>
      </c>
      <c r="B60" s="3" t="str">
        <f>IFERROR(__xludf.DUMMYFUNCTION("""COMPUTED_VALUE"""),"Pampa")</f>
        <v>Pampa</v>
      </c>
    </row>
    <row r="61">
      <c r="A61" s="3" t="str">
        <f>IFERROR(__xludf.DUMMYFUNCTION("""COMPUTED_VALUE"""),"Natura")</f>
        <v>Natura</v>
      </c>
      <c r="B61" s="3" t="str">
        <f>IFERROR(__xludf.DUMMYFUNCTION("""COMPUTED_VALUE"""),"Pantanal")</f>
        <v>Pantanal</v>
      </c>
    </row>
    <row r="62">
      <c r="A62" s="3" t="str">
        <f>IFERROR(__xludf.DUMMYFUNCTION("""COMPUTED_VALUE"""),"CocoaAction Brasil")</f>
        <v>CocoaAction Brasil</v>
      </c>
      <c r="B62" s="3" t="str">
        <f>IFERROR(__xludf.DUMMYFUNCTION("""COMPUTED_VALUE"""),"Mata&amp;Atlântica")</f>
        <v>Mata&amp;Atlântica</v>
      </c>
    </row>
    <row r="63">
      <c r="A63" s="3" t="str">
        <f>IFERROR(__xludf.DUMMYFUNCTION("""COMPUTED_VALUE"""),"Instituto de Pesquisas Ecológicas (IPÊ)")</f>
        <v>Instituto de Pesquisas Ecológicas (IPÊ)</v>
      </c>
      <c r="B63" s="3" t="str">
        <f>IFERROR(__xludf.DUMMYFUNCTION("""COMPUTED_VALUE"""),"Mata&amp;Atlântica")</f>
        <v>Mata&amp;Atlântica</v>
      </c>
    </row>
    <row r="64">
      <c r="A64" s="3" t="str">
        <f>IFERROR(__xludf.DUMMYFUNCTION("""COMPUTED_VALUE"""),"Instituto de Pesquisas Ecológicas (IPÊ)")</f>
        <v>Instituto de Pesquisas Ecológicas (IPÊ)</v>
      </c>
      <c r="B64" s="3" t="str">
        <f>IFERROR(__xludf.DUMMYFUNCTION("""COMPUTED_VALUE"""),"Pantanal")</f>
        <v>Pantanal</v>
      </c>
    </row>
    <row r="65">
      <c r="A65" s="3" t="str">
        <f>IFERROR(__xludf.DUMMYFUNCTION("""COMPUTED_VALUE"""),"Fundação Nacional dos Povos Indígenas (FUNAI)")</f>
        <v>Fundação Nacional dos Povos Indígenas (FUNAI)</v>
      </c>
      <c r="B65" s="3" t="str">
        <f>IFERROR(__xludf.DUMMYFUNCTION("""COMPUTED_VALUE"""),"Mata&amp;Atlântica")</f>
        <v>Mata&amp;Atlântica</v>
      </c>
    </row>
    <row r="66">
      <c r="A66" s="3" t="str">
        <f>IFERROR(__xludf.DUMMYFUNCTION("""COMPUTED_VALUE"""),"Fundação Nacional dos Povos Indígenas (FUNAI)")</f>
        <v>Fundação Nacional dos Povos Indígenas (FUNAI)</v>
      </c>
      <c r="B66" s="3" t="str">
        <f>IFERROR(__xludf.DUMMYFUNCTION("""COMPUTED_VALUE"""),"Pantanal")</f>
        <v>Pantanal</v>
      </c>
    </row>
    <row r="67">
      <c r="A67" s="3" t="str">
        <f>IFERROR(__xludf.DUMMYFUNCTION("""COMPUTED_VALUE"""),"Fundação Nacional dos Povos Indígenas (FUNAI)")</f>
        <v>Fundação Nacional dos Povos Indígenas (FUNAI)</v>
      </c>
      <c r="B67" s="3" t="str">
        <f>IFERROR(__xludf.DUMMYFUNCTION("""COMPUTED_VALUE"""),"Pampa")</f>
        <v>Pampa</v>
      </c>
    </row>
    <row r="68">
      <c r="A68" s="3" t="str">
        <f>IFERROR(__xludf.DUMMYFUNCTION("""COMPUTED_VALUE"""),"Fundação Nacional dos Povos Indígenas (FUNAI)")</f>
        <v>Fundação Nacional dos Povos Indígenas (FUNAI)</v>
      </c>
      <c r="B68" s="3" t="str">
        <f>IFERROR(__xludf.DUMMYFUNCTION("""COMPUTED_VALUE"""),"Coastal&amp;maritime")</f>
        <v>Coastal&amp;maritime</v>
      </c>
    </row>
    <row r="69">
      <c r="A69" s="3" t="str">
        <f>IFERROR(__xludf.DUMMYFUNCTION("""COMPUTED_VALUE"""),"Instituto de Energia e Meio Ambiente (IEMA)")</f>
        <v>Instituto de Energia e Meio Ambiente (IEMA)</v>
      </c>
      <c r="B69" s="3" t="str">
        <f>IFERROR(__xludf.DUMMYFUNCTION("""COMPUTED_VALUE"""),"Mata&amp;Atlântica")</f>
        <v>Mata&amp;Atlântica</v>
      </c>
    </row>
    <row r="70">
      <c r="A70" s="3" t="str">
        <f>IFERROR(__xludf.DUMMYFUNCTION("""COMPUTED_VALUE"""),"Instituto de Energia e Meio Ambiente (IEMA)")</f>
        <v>Instituto de Energia e Meio Ambiente (IEMA)</v>
      </c>
      <c r="B70" s="3" t="str">
        <f>IFERROR(__xludf.DUMMYFUNCTION("""COMPUTED_VALUE"""),"Pantanal")</f>
        <v>Pantanal</v>
      </c>
    </row>
    <row r="71">
      <c r="A71" s="3" t="str">
        <f>IFERROR(__xludf.DUMMYFUNCTION("""COMPUTED_VALUE"""),"Instituto E+ Transição Energética (E+)")</f>
        <v>Instituto E+ Transição Energética (E+)</v>
      </c>
      <c r="B71" s="3" t="str">
        <f>IFERROR(__xludf.DUMMYFUNCTION("""COMPUTED_VALUE"""),"Mata&amp;Atlântica")</f>
        <v>Mata&amp;Atlântica</v>
      </c>
    </row>
    <row r="72">
      <c r="A72" s="3" t="str">
        <f>IFERROR(__xludf.DUMMYFUNCTION("""COMPUTED_VALUE"""),"JBS")</f>
        <v>JBS</v>
      </c>
      <c r="B72" s="3" t="str">
        <f>IFERROR(__xludf.DUMMYFUNCTION("""COMPUTED_VALUE"""),"Pantanal")</f>
        <v>Pantanal</v>
      </c>
    </row>
    <row r="73">
      <c r="A73" s="3" t="str">
        <f>IFERROR(__xludf.DUMMYFUNCTION("""COMPUTED_VALUE"""),"Marfrig")</f>
        <v>Marfrig</v>
      </c>
      <c r="B73" s="3" t="str">
        <f>IFERROR(__xludf.DUMMYFUNCTION("""COMPUTED_VALUE"""),"Pantanal")</f>
        <v>Pantanal</v>
      </c>
    </row>
    <row r="74">
      <c r="A74" s="3" t="str">
        <f>IFERROR(__xludf.DUMMYFUNCTION("""COMPUTED_VALUE"""),"Amaggi")</f>
        <v>Amaggi</v>
      </c>
      <c r="B74" s="3" t="str">
        <f>IFERROR(__xludf.DUMMYFUNCTION("""COMPUTED_VALUE"""),"Pantanal")</f>
        <v>Pantanal</v>
      </c>
    </row>
    <row r="75">
      <c r="A75" s="3" t="str">
        <f>IFERROR(__xludf.DUMMYFUNCTION("""COMPUTED_VALUE"""),"SLC Agrícola")</f>
        <v>SLC Agrícola</v>
      </c>
      <c r="B75" s="3" t="str">
        <f>IFERROR(__xludf.DUMMYFUNCTION("""COMPUTED_VALUE"""),"Pantanal")</f>
        <v>Pantanal</v>
      </c>
    </row>
    <row r="76">
      <c r="A76" s="3" t="str">
        <f>IFERROR(__xludf.DUMMYFUNCTION("""COMPUTED_VALUE"""),"Good Energies Foundation")</f>
        <v>Good Energies Foundation</v>
      </c>
      <c r="B76" s="3" t="str">
        <f>IFERROR(__xludf.DUMMYFUNCTION("""COMPUTED_VALUE"""),"Mata&amp;Atlântica")</f>
        <v>Mata&amp;Atlântica</v>
      </c>
    </row>
    <row r="77">
      <c r="A77" s="3" t="str">
        <f>IFERROR(__xludf.DUMMYFUNCTION("""COMPUTED_VALUE"""),"Nestlé Brasil")</f>
        <v>Nestlé Brasil</v>
      </c>
      <c r="B77" s="3" t="str">
        <f>IFERROR(__xludf.DUMMYFUNCTION("""COMPUTED_VALUE"""),"Mata&amp;Atlântica")</f>
        <v>Mata&amp;Atlântica</v>
      </c>
    </row>
    <row r="78">
      <c r="A78" s="3" t="str">
        <f>IFERROR(__xludf.DUMMYFUNCTION("""COMPUTED_VALUE"""),"Serviço Florestal Brasileiro (SFB)")</f>
        <v>Serviço Florestal Brasileiro (SFB)</v>
      </c>
      <c r="B78" s="3" t="str">
        <f>IFERROR(__xludf.DUMMYFUNCTION("""COMPUTED_VALUE"""),"Mata&amp;Atlântica")</f>
        <v>Mata&amp;Atlântica</v>
      </c>
    </row>
    <row r="79">
      <c r="A79" s="3" t="str">
        <f>IFERROR(__xludf.DUMMYFUNCTION("""COMPUTED_VALUE"""),"Klabin")</f>
        <v>Klabin</v>
      </c>
      <c r="B79" s="3" t="str">
        <f>IFERROR(__xludf.DUMMYFUNCTION("""COMPUTED_VALUE"""),"Mata&amp;Atlântica")</f>
        <v>Mata&amp;Atlântica</v>
      </c>
    </row>
    <row r="80">
      <c r="A80" s="3" t="str">
        <f>IFERROR(__xludf.DUMMYFUNCTION("""COMPUTED_VALUE"""),"Rainforest Alliance")</f>
        <v>Rainforest Alliance</v>
      </c>
      <c r="B80" s="3" t="str">
        <f>IFERROR(__xludf.DUMMYFUNCTION("""COMPUTED_VALUE"""),"Mata&amp;Atlântica")</f>
        <v>Mata&amp;Atlântica</v>
      </c>
    </row>
    <row r="81">
      <c r="A81" s="3" t="str">
        <f>IFERROR(__xludf.DUMMYFUNCTION("""COMPUTED_VALUE"""),"Consórcio Nordeste")</f>
        <v>Consórcio Nordeste</v>
      </c>
      <c r="B81" s="3" t="str">
        <f>IFERROR(__xludf.DUMMYFUNCTION("""COMPUTED_VALUE"""),"Coastal&amp;maritime")</f>
        <v>Coastal&amp;maritime</v>
      </c>
    </row>
    <row r="82">
      <c r="A82" s="3" t="str">
        <f>IFERROR(__xludf.DUMMYFUNCTION("""COMPUTED_VALUE"""),"Consórcio Nordeste")</f>
        <v>Consórcio Nordeste</v>
      </c>
      <c r="B82" s="3" t="str">
        <f>IFERROR(__xludf.DUMMYFUNCTION("""COMPUTED_VALUE"""),"Mata&amp;Atlântica")</f>
        <v>Mata&amp;Atlântica</v>
      </c>
    </row>
    <row r="83">
      <c r="A83" s="3" t="str">
        <f>IFERROR(__xludf.DUMMYFUNCTION("""COMPUTED_VALUE"""),"Associação Brasileira de Energia Eólica (ABEEólica)")</f>
        <v>Associação Brasileira de Energia Eólica (ABEEólica)</v>
      </c>
      <c r="B83" s="3" t="str">
        <f>IFERROR(__xludf.DUMMYFUNCTION("""COMPUTED_VALUE"""),"Coastal&amp;maritime")</f>
        <v>Coastal&amp;maritime</v>
      </c>
    </row>
    <row r="84">
      <c r="A84" s="3" t="str">
        <f>IFERROR(__xludf.DUMMYFUNCTION("""COMPUTED_VALUE"""),"Superintendência do Desenvolvimento do Nordeste (SUDENE)")</f>
        <v>Superintendência do Desenvolvimento do Nordeste (SUDENE)</v>
      </c>
      <c r="B84" s="3" t="str">
        <f>IFERROR(__xludf.DUMMYFUNCTION("""COMPUTED_VALUE"""),"Coastal&amp;maritime")</f>
        <v>Coastal&amp;maritime</v>
      </c>
    </row>
    <row r="85">
      <c r="A85" s="3" t="str">
        <f>IFERROR(__xludf.DUMMYFUNCTION("""COMPUTED_VALUE"""),"Superintendência do Desenvolvimento do Nordeste (SUDENE)")</f>
        <v>Superintendência do Desenvolvimento do Nordeste (SUDENE)</v>
      </c>
      <c r="B85" s="3" t="str">
        <f>IFERROR(__xludf.DUMMYFUNCTION("""COMPUTED_VALUE"""),"Mata&amp;Atlântica")</f>
        <v>Mata&amp;Atlântica</v>
      </c>
    </row>
    <row r="86">
      <c r="A86" s="3" t="str">
        <f>IFERROR(__xludf.DUMMYFUNCTION("""COMPUTED_VALUE"""),"Casa dos Ventos")</f>
        <v>Casa dos Ventos</v>
      </c>
      <c r="B86" s="3" t="str">
        <f>IFERROR(__xludf.DUMMYFUNCTION("""COMPUTED_VALUE"""),"Coastal&amp;maritime")</f>
        <v>Coastal&amp;maritime</v>
      </c>
    </row>
    <row r="87">
      <c r="A87" s="3" t="str">
        <f>IFERROR(__xludf.DUMMYFUNCTION("""COMPUTED_VALUE"""),"Voltalia Energia do Brasil (Voltalia)")</f>
        <v>Voltalia Energia do Brasil (Voltalia)</v>
      </c>
      <c r="B87" s="3" t="str">
        <f>IFERROR(__xludf.DUMMYFUNCTION("""COMPUTED_VALUE"""),"Coastal&amp;maritime")</f>
        <v>Coastal&amp;maritime</v>
      </c>
    </row>
    <row r="88">
      <c r="A88" s="3" t="str">
        <f>IFERROR(__xludf.DUMMYFUNCTION("""COMPUTED_VALUE"""),"Complexo Industrial Portuário de Suape (Suape)")</f>
        <v>Complexo Industrial Portuário de Suape (Suape)</v>
      </c>
      <c r="B88" s="3" t="str">
        <f>IFERROR(__xludf.DUMMYFUNCTION("""COMPUTED_VALUE"""),"Coastal&amp;maritime")</f>
        <v>Coastal&amp;maritime</v>
      </c>
    </row>
    <row r="89">
      <c r="A89" s="3" t="str">
        <f>IFERROR(__xludf.DUMMYFUNCTION("""COMPUTED_VALUE"""),"Complexo do Pecém (CIPP S.A.)")</f>
        <v>Complexo do Pecém (CIPP S.A.)</v>
      </c>
      <c r="B89" s="3" t="str">
        <f>IFERROR(__xludf.DUMMYFUNCTION("""COMPUTED_VALUE"""),"Coastal&amp;maritime")</f>
        <v>Coastal&amp;maritime</v>
      </c>
    </row>
    <row r="90">
      <c r="A90" s="3" t="str">
        <f>IFERROR(__xludf.DUMMYFUNCTION("""COMPUTED_VALUE"""),"Câmara Setorial de Energias Renováveis do Ceará (CS Renováveis/CE)")</f>
        <v>Câmara Setorial de Energias Renováveis do Ceará (CS Renováveis/CE)</v>
      </c>
      <c r="B90" s="3" t="str">
        <f>IFERROR(__xludf.DUMMYFUNCTION("""COMPUTED_VALUE"""),"Coastal&amp;maritime")</f>
        <v>Coastal&amp;maritime</v>
      </c>
    </row>
    <row r="91">
      <c r="A91" s="3" t="str">
        <f>IFERROR(__xludf.DUMMYFUNCTION("""COMPUTED_VALUE"""),"AS-PTA – Agricultura Familiar e Agroecologia (AS-PTA)")</f>
        <v>AS-PTA – Agricultura Familiar e Agroecologia (AS-PTA)</v>
      </c>
      <c r="B91" s="3" t="str">
        <f>IFERROR(__xludf.DUMMYFUNCTION("""COMPUTED_VALUE"""),"Mata&amp;Atlântica")</f>
        <v>Mata&amp;Atlântica</v>
      </c>
    </row>
    <row r="92">
      <c r="A92" s="3" t="str">
        <f>IFERROR(__xludf.DUMMYFUNCTION("""COMPUTED_VALUE"""),"Instituto Nacional de Pesquisas Espaciais (INPE)")</f>
        <v>Instituto Nacional de Pesquisas Espaciais (INPE)</v>
      </c>
      <c r="B92" s="3" t="str">
        <f>IFERROR(__xludf.DUMMYFUNCTION("""COMPUTED_VALUE"""),"Mata&amp;Atlântica")</f>
        <v>Mata&amp;Atlântica</v>
      </c>
    </row>
    <row r="93">
      <c r="A93" s="3" t="str">
        <f>IFERROR(__xludf.DUMMYFUNCTION("""COMPUTED_VALUE"""),"Instituto Nacional de Pesquisas Espaciais (INPE)")</f>
        <v>Instituto Nacional de Pesquisas Espaciais (INPE)</v>
      </c>
      <c r="B93" s="3" t="str">
        <f>IFERROR(__xludf.DUMMYFUNCTION("""COMPUTED_VALUE"""),"Pantanal")</f>
        <v>Pantanal</v>
      </c>
    </row>
    <row r="94">
      <c r="A94" s="3" t="str">
        <f>IFERROR(__xludf.DUMMYFUNCTION("""COMPUTED_VALUE"""),"Instituto Nacional de Pesquisas Espaciais (INPE)")</f>
        <v>Instituto Nacional de Pesquisas Espaciais (INPE)</v>
      </c>
      <c r="B94" s="3" t="str">
        <f>IFERROR(__xludf.DUMMYFUNCTION("""COMPUTED_VALUE"""),"Pampa")</f>
        <v>Pampa</v>
      </c>
    </row>
    <row r="95">
      <c r="A95" s="3" t="str">
        <f>IFERROR(__xludf.DUMMYFUNCTION("""COMPUTED_VALUE"""),"Instituto Nacional de Pesquisas Espaciais (INPE)")</f>
        <v>Instituto Nacional de Pesquisas Espaciais (INPE)</v>
      </c>
      <c r="B95" s="3" t="str">
        <f>IFERROR(__xludf.DUMMYFUNCTION("""COMPUTED_VALUE"""),"Coastal&amp;maritime")</f>
        <v>Coastal&amp;maritime</v>
      </c>
    </row>
    <row r="96">
      <c r="A96" s="3" t="str">
        <f>IFERROR(__xludf.DUMMYFUNCTION("""COMPUTED_VALUE"""),"Coalizão Brasil Clima, Florestas e Agricultura")</f>
        <v>Coalizão Brasil Clima, Florestas e Agricultura</v>
      </c>
      <c r="B96" s="3" t="str">
        <f>IFERROR(__xludf.DUMMYFUNCTION("""COMPUTED_VALUE"""),"Mata&amp;Atlântica")</f>
        <v>Mata&amp;Atlântica</v>
      </c>
    </row>
    <row r="97">
      <c r="A97" s="3" t="str">
        <f>IFERROR(__xludf.DUMMYFUNCTION("""COMPUTED_VALUE"""),"Coalizão Brasil Clima, Florestas e Agricultura")</f>
        <v>Coalizão Brasil Clima, Florestas e Agricultura</v>
      </c>
      <c r="B97" s="3" t="str">
        <f>IFERROR(__xludf.DUMMYFUNCTION("""COMPUTED_VALUE"""),"Pantanal")</f>
        <v>Pantanal</v>
      </c>
    </row>
    <row r="98">
      <c r="A98" s="3" t="str">
        <f>IFERROR(__xludf.DUMMYFUNCTION("""COMPUTED_VALUE"""),"Centro Internacional de Pesquisa Florestal e Agroflorestal (CIFOR-ICRAF)")</f>
        <v>Centro Internacional de Pesquisa Florestal e Agroflorestal (CIFOR-ICRAF)</v>
      </c>
      <c r="B98" s="3" t="str">
        <f>IFERROR(__xludf.DUMMYFUNCTION("""COMPUTED_VALUE"""),"Mata&amp;Atlântica")</f>
        <v>Mata&amp;Atlântica</v>
      </c>
    </row>
    <row r="99">
      <c r="A99" s="3" t="str">
        <f>IFERROR(__xludf.DUMMYFUNCTION("""COMPUTED_VALUE"""),"Fundo Constitucional de Financiamento do Nordeste (FNE)")</f>
        <v>Fundo Constitucional de Financiamento do Nordeste (FNE)</v>
      </c>
      <c r="B99" s="3" t="str">
        <f>IFERROR(__xludf.DUMMYFUNCTION("""COMPUTED_VALUE"""),"Coastal&amp;maritime")</f>
        <v>Coastal&amp;maritime</v>
      </c>
    </row>
    <row r="100">
      <c r="A100" s="3" t="str">
        <f>IFERROR(__xludf.DUMMYFUNCTION("""COMPUTED_VALUE"""),"Banco do Nordeste (BNB)")</f>
        <v>Banco do Nordeste (BNB)</v>
      </c>
      <c r="B100" s="3" t="str">
        <f>IFERROR(__xludf.DUMMYFUNCTION("""COMPUTED_VALUE"""),"Coastal&amp;maritime")</f>
        <v>Coastal&amp;maritime</v>
      </c>
    </row>
    <row r="101">
      <c r="A101" s="3" t="str">
        <f>IFERROR(__xludf.DUMMYFUNCTION("""COMPUTED_VALUE"""),"MapBiomas (MapBiomas)")</f>
        <v>MapBiomas (MapBiomas)</v>
      </c>
      <c r="B101" s="3" t="str">
        <f>IFERROR(__xludf.DUMMYFUNCTION("""COMPUTED_VALUE"""),"Mata&amp;Atlântica")</f>
        <v>Mata&amp;Atlântica</v>
      </c>
    </row>
    <row r="102">
      <c r="A102" s="3" t="str">
        <f>IFERROR(__xludf.DUMMYFUNCTION("""COMPUTED_VALUE"""),"MapBiomas (MapBiomas)")</f>
        <v>MapBiomas (MapBiomas)</v>
      </c>
      <c r="B102" s="3" t="str">
        <f>IFERROR(__xludf.DUMMYFUNCTION("""COMPUTED_VALUE"""),"Pantanal")</f>
        <v>Pantanal</v>
      </c>
    </row>
    <row r="103">
      <c r="A103" s="3" t="str">
        <f>IFERROR(__xludf.DUMMYFUNCTION("""COMPUTED_VALUE"""),"MapBiomas (MapBiomas)")</f>
        <v>MapBiomas (MapBiomas)</v>
      </c>
      <c r="B103" s="3" t="str">
        <f>IFERROR(__xludf.DUMMYFUNCTION("""COMPUTED_VALUE"""),"Pampa")</f>
        <v>Pampa</v>
      </c>
    </row>
    <row r="104">
      <c r="A104" s="3" t="str">
        <f>IFERROR(__xludf.DUMMYFUNCTION("""COMPUTED_VALUE"""),"MapBiomas (MapBiomas)")</f>
        <v>MapBiomas (MapBiomas)</v>
      </c>
      <c r="B104" s="3" t="str">
        <f>IFERROR(__xludf.DUMMYFUNCTION("""COMPUTED_VALUE"""),"Coastal&amp;maritime")</f>
        <v>Coastal&amp;maritime</v>
      </c>
    </row>
    <row r="105">
      <c r="A105" s="3" t="str">
        <f>IFERROR(__xludf.DUMMYFUNCTION("""COMPUTED_VALUE"""),"União Nacional de Cooperativas da Agricultura Familiar e Economia Solidária (Unicafes)")</f>
        <v>União Nacional de Cooperativas da Agricultura Familiar e Economia Solidária (Unicafes)</v>
      </c>
      <c r="B105" s="3" t="str">
        <f>IFERROR(__xludf.DUMMYFUNCTION("""COMPUTED_VALUE"""),"Mata&amp;Atlântica")</f>
        <v>Mata&amp;Atlântica</v>
      </c>
    </row>
    <row r="106">
      <c r="A106" s="3" t="str">
        <f>IFERROR(__xludf.DUMMYFUNCTION("""COMPUTED_VALUE"""),"União Nacional de Cooperativas da Agricultura Familiar e Economia Solidária (Unicafes)")</f>
        <v>União Nacional de Cooperativas da Agricultura Familiar e Economia Solidária (Unicafes)</v>
      </c>
      <c r="B106" s="3" t="str">
        <f>IFERROR(__xludf.DUMMYFUNCTION("""COMPUTED_VALUE"""),"Pantanal")</f>
        <v>Pantanal</v>
      </c>
    </row>
    <row r="107">
      <c r="A107" s="3" t="str">
        <f>IFERROR(__xludf.DUMMYFUNCTION("""COMPUTED_VALUE"""),"União Nacional de Cooperativas da Agricultura Familiar e Economia Solidária (Unicafes)")</f>
        <v>União Nacional de Cooperativas da Agricultura Familiar e Economia Solidária (Unicafes)</v>
      </c>
      <c r="B107" s="3" t="str">
        <f>IFERROR(__xludf.DUMMYFUNCTION("""COMPUTED_VALUE"""),"Pampa")</f>
        <v>Pampa</v>
      </c>
    </row>
    <row r="108">
      <c r="A108" s="3" t="str">
        <f>IFERROR(__xludf.DUMMYFUNCTION("""COMPUTED_VALUE"""),"Rede Nossa São Paulo")</f>
        <v>Rede Nossa São Paulo</v>
      </c>
      <c r="B108" s="3" t="str">
        <f>IFERROR(__xludf.DUMMYFUNCTION("""COMPUTED_VALUE"""),"Mata&amp;Atlântica")</f>
        <v>Mata&amp;Atlântica</v>
      </c>
    </row>
    <row r="109">
      <c r="A109" s="3" t="str">
        <f>IFERROR(__xludf.DUMMYFUNCTION("""COMPUTED_VALUE"""),"Greenpeace Brasil")</f>
        <v>Greenpeace Brasil</v>
      </c>
      <c r="B109" s="3" t="str">
        <f>IFERROR(__xludf.DUMMYFUNCTION("""COMPUTED_VALUE"""),"Mata&amp;Atlântica")</f>
        <v>Mata&amp;Atlântica</v>
      </c>
    </row>
    <row r="110">
      <c r="A110" s="3" t="str">
        <f>IFERROR(__xludf.DUMMYFUNCTION("""COMPUTED_VALUE"""),"Greenpeace Brasil")</f>
        <v>Greenpeace Brasil</v>
      </c>
      <c r="B110" s="3" t="str">
        <f>IFERROR(__xludf.DUMMYFUNCTION("""COMPUTED_VALUE"""),"Pantanal")</f>
        <v>Pantanal</v>
      </c>
    </row>
    <row r="111">
      <c r="A111" s="3" t="str">
        <f>IFERROR(__xludf.DUMMYFUNCTION("""COMPUTED_VALUE"""),"Articulação dos Povos Indígenas do Brasil (APIB)")</f>
        <v>Articulação dos Povos Indígenas do Brasil (APIB)</v>
      </c>
      <c r="B111" s="3" t="str">
        <f>IFERROR(__xludf.DUMMYFUNCTION("""COMPUTED_VALUE"""),"Mata&amp;Atlântica")</f>
        <v>Mata&amp;Atlântica</v>
      </c>
    </row>
    <row r="112">
      <c r="A112" s="3" t="str">
        <f>IFERROR(__xludf.DUMMYFUNCTION("""COMPUTED_VALUE"""),"Conselho Indigenista Missionário (CIMI)")</f>
        <v>Conselho Indigenista Missionário (CIMI)</v>
      </c>
      <c r="B112" s="3" t="str">
        <f>IFERROR(__xludf.DUMMYFUNCTION("""COMPUTED_VALUE"""),"Mata&amp;Atlântica")</f>
        <v>Mata&amp;Atlântica</v>
      </c>
    </row>
    <row r="113">
      <c r="A113" s="3" t="str">
        <f>IFERROR(__xludf.DUMMYFUNCTION("""COMPUTED_VALUE"""),"Comissão Pastoral da Terra (CPT)")</f>
        <v>Comissão Pastoral da Terra (CPT)</v>
      </c>
      <c r="B113" s="3" t="str">
        <f>IFERROR(__xludf.DUMMYFUNCTION("""COMPUTED_VALUE"""),"Mata&amp;Atlântica")</f>
        <v>Mata&amp;Atlântica</v>
      </c>
    </row>
    <row r="114">
      <c r="A114" s="3" t="str">
        <f>IFERROR(__xludf.DUMMYFUNCTION("""COMPUTED_VALUE"""),"Conselho Nacional das Populações Extrativistas (CNS)")</f>
        <v>Conselho Nacional das Populações Extrativistas (CNS)</v>
      </c>
      <c r="B114" s="3" t="str">
        <f>IFERROR(__xludf.DUMMYFUNCTION("""COMPUTED_VALUE"""),"Mata&amp;Atlântica")</f>
        <v>Mata&amp;Atlântica</v>
      </c>
    </row>
    <row r="115">
      <c r="A115" s="3" t="str">
        <f>IFERROR(__xludf.DUMMYFUNCTION("""COMPUTED_VALUE"""),"Articulação Nacional de Agroecologia (ANA)")</f>
        <v>Articulação Nacional de Agroecologia (ANA)</v>
      </c>
      <c r="B115" s="3" t="str">
        <f>IFERROR(__xludf.DUMMYFUNCTION("""COMPUTED_VALUE"""),"Mata&amp;Atlântica")</f>
        <v>Mata&amp;Atlântica</v>
      </c>
    </row>
    <row r="116">
      <c r="A116" s="3" t="str">
        <f>IFERROR(__xludf.DUMMYFUNCTION("""COMPUTED_VALUE"""),"Diaconia")</f>
        <v>Diaconia</v>
      </c>
      <c r="B116" s="3" t="str">
        <f>IFERROR(__xludf.DUMMYFUNCTION("""COMPUTED_VALUE"""),"Coastal&amp;maritime")</f>
        <v>Coastal&amp;maritime</v>
      </c>
    </row>
    <row r="117">
      <c r="A117" s="3" t="str">
        <f>IFERROR(__xludf.DUMMYFUNCTION("""COMPUTED_VALUE"""),"Cáritas Brasileira")</f>
        <v>Cáritas Brasileira</v>
      </c>
      <c r="B117" s="3" t="str">
        <f>IFERROR(__xludf.DUMMYFUNCTION("""COMPUTED_VALUE"""),"Mata&amp;Atlântica")</f>
        <v>Mata&amp;Atlântica</v>
      </c>
    </row>
    <row r="118">
      <c r="A118" s="3" t="str">
        <f>IFERROR(__xludf.DUMMYFUNCTION("""COMPUTED_VALUE"""),"Centro de Desenvolvimento Agroecológico Sabiá (Centro Sabiá)")</f>
        <v>Centro de Desenvolvimento Agroecológico Sabiá (Centro Sabiá)</v>
      </c>
      <c r="B118" s="3" t="str">
        <f>IFERROR(__xludf.DUMMYFUNCTION("""COMPUTED_VALUE"""),"Mata&amp;Atlântica")</f>
        <v>Mata&amp;Atlântica</v>
      </c>
    </row>
    <row r="119">
      <c r="A119" s="3" t="str">
        <f>IFERROR(__xludf.DUMMYFUNCTION("""COMPUTED_VALUE"""),"Kreditanstalt für Wiederaufbau (KfW)")</f>
        <v>Kreditanstalt für Wiederaufbau (KfW)</v>
      </c>
      <c r="B119" s="3" t="str">
        <f>IFERROR(__xludf.DUMMYFUNCTION("""COMPUTED_VALUE"""),"Mata&amp;Atlântica")</f>
        <v>Mata&amp;Atlântica</v>
      </c>
    </row>
    <row r="120">
      <c r="A120" s="3" t="str">
        <f>IFERROR(__xludf.DUMMYFUNCTION("""COMPUTED_VALUE"""),"Movimento dos Trabalhadores Rurais Sem Terra (MST)")</f>
        <v>Movimento dos Trabalhadores Rurais Sem Terra (MST)</v>
      </c>
      <c r="B120" s="3" t="str">
        <f>IFERROR(__xludf.DUMMYFUNCTION("""COMPUTED_VALUE"""),"Mata&amp;Atlântica")</f>
        <v>Mata&amp;Atlântica</v>
      </c>
    </row>
    <row r="121">
      <c r="A121" s="3" t="str">
        <f>IFERROR(__xludf.DUMMYFUNCTION("""COMPUTED_VALUE"""),"Movimento dos Trabalhadores Rurais Sem Terra (MST)")</f>
        <v>Movimento dos Trabalhadores Rurais Sem Terra (MST)</v>
      </c>
      <c r="B121" s="3" t="str">
        <f>IFERROR(__xludf.DUMMYFUNCTION("""COMPUTED_VALUE"""),"Pantanal")</f>
        <v>Pantanal</v>
      </c>
    </row>
    <row r="122">
      <c r="A122" s="3" t="str">
        <f>IFERROR(__xludf.DUMMYFUNCTION("""COMPUTED_VALUE"""),"Movimento dos Trabalhadores Rurais Sem Terra (MST)")</f>
        <v>Movimento dos Trabalhadores Rurais Sem Terra (MST)</v>
      </c>
      <c r="B122" s="3" t="str">
        <f>IFERROR(__xludf.DUMMYFUNCTION("""COMPUTED_VALUE"""),"Pampa")</f>
        <v>Pampa</v>
      </c>
    </row>
    <row r="123">
      <c r="A123" s="3" t="str">
        <f>IFERROR(__xludf.DUMMYFUNCTION("""COMPUTED_VALUE"""),"Movimento dos Atingidos por Barragens (MAB)")</f>
        <v>Movimento dos Atingidos por Barragens (MAB)</v>
      </c>
      <c r="B123" s="3" t="str">
        <f>IFERROR(__xludf.DUMMYFUNCTION("""COMPUTED_VALUE"""),"Mata&amp;Atlântica")</f>
        <v>Mata&amp;Atlântica</v>
      </c>
    </row>
    <row r="124">
      <c r="A124" s="3" t="str">
        <f>IFERROR(__xludf.DUMMYFUNCTION("""COMPUTED_VALUE"""),"Movimento dos Pequenos Agricultores (MPA)")</f>
        <v>Movimento dos Pequenos Agricultores (MPA)</v>
      </c>
      <c r="B124" s="3" t="str">
        <f>IFERROR(__xludf.DUMMYFUNCTION("""COMPUTED_VALUE"""),"Mata&amp;Atlântica")</f>
        <v>Mata&amp;Atlântica</v>
      </c>
    </row>
    <row r="125">
      <c r="A125" s="3" t="str">
        <f>IFERROR(__xludf.DUMMYFUNCTION("""COMPUTED_VALUE"""),"Movimento pela Soberania Popular na Mineração (MAM)")</f>
        <v>Movimento pela Soberania Popular na Mineração (MAM)</v>
      </c>
      <c r="B125" s="3" t="str">
        <f>IFERROR(__xludf.DUMMYFUNCTION("""COMPUTED_VALUE"""),"Mata&amp;Atlântica")</f>
        <v>Mata&amp;Atlântica</v>
      </c>
    </row>
    <row r="126">
      <c r="A126" s="3" t="str">
        <f>IFERROR(__xludf.DUMMYFUNCTION("""COMPUTED_VALUE"""),"Confederação Nacional dos Trabalhadores Rurais Agricultores e Agricultoras Familiares (CONTAG)")</f>
        <v>Confederação Nacional dos Trabalhadores Rurais Agricultores e Agricultoras Familiares (CONTAG)</v>
      </c>
      <c r="B126" s="3" t="str">
        <f>IFERROR(__xludf.DUMMYFUNCTION("""COMPUTED_VALUE"""),"Mata&amp;Atlântica")</f>
        <v>Mata&amp;Atlântica</v>
      </c>
    </row>
    <row r="127">
      <c r="A127" s="3" t="str">
        <f>IFERROR(__xludf.DUMMYFUNCTION("""COMPUTED_VALUE"""),"Confederação Nacional dos Trabalhadores Rurais Agricultores e Agricultoras Familiares (CONTAG)")</f>
        <v>Confederação Nacional dos Trabalhadores Rurais Agricultores e Agricultoras Familiares (CONTAG)</v>
      </c>
      <c r="B127" s="3" t="str">
        <f>IFERROR(__xludf.DUMMYFUNCTION("""COMPUTED_VALUE"""),"Pantanal")</f>
        <v>Pantanal</v>
      </c>
    </row>
    <row r="128">
      <c r="A128" s="3" t="str">
        <f>IFERROR(__xludf.DUMMYFUNCTION("""COMPUTED_VALUE"""),"Confederação Nacional dos Trabalhadores Rurais Agricultores e Agricultoras Familiares (CONTAG)")</f>
        <v>Confederação Nacional dos Trabalhadores Rurais Agricultores e Agricultoras Familiares (CONTAG)</v>
      </c>
      <c r="B128" s="3" t="str">
        <f>IFERROR(__xludf.DUMMYFUNCTION("""COMPUTED_VALUE"""),"Pampa")</f>
        <v>Pampa</v>
      </c>
    </row>
    <row r="129">
      <c r="A129" s="3" t="str">
        <f>IFERROR(__xludf.DUMMYFUNCTION("""COMPUTED_VALUE"""),"Coordenação Nacional de Articulação das Comunidades Negras Rurais Quilombolas (CONAQ)")</f>
        <v>Coordenação Nacional de Articulação das Comunidades Negras Rurais Quilombolas (CONAQ)</v>
      </c>
      <c r="B129" s="3" t="str">
        <f>IFERROR(__xludf.DUMMYFUNCTION("""COMPUTED_VALUE"""),"Mata&amp;Atlântica")</f>
        <v>Mata&amp;Atlântica</v>
      </c>
    </row>
    <row r="130">
      <c r="A130" s="3" t="str">
        <f>IFERROR(__xludf.DUMMYFUNCTION("""COMPUTED_VALUE"""),"Coordenação Nacional de Articulação das Comunidades Negras Rurais Quilombolas (CONAQ)")</f>
        <v>Coordenação Nacional de Articulação das Comunidades Negras Rurais Quilombolas (CONAQ)</v>
      </c>
      <c r="B130" s="3" t="str">
        <f>IFERROR(__xludf.DUMMYFUNCTION("""COMPUTED_VALUE"""),"Pantanal")</f>
        <v>Pantanal</v>
      </c>
    </row>
    <row r="131">
      <c r="A131" s="3" t="str">
        <f>IFERROR(__xludf.DUMMYFUNCTION("""COMPUTED_VALUE"""),"Coordenação Nacional de Articulação das Comunidades Negras Rurais Quilombolas (CONAQ)")</f>
        <v>Coordenação Nacional de Articulação das Comunidades Negras Rurais Quilombolas (CONAQ)</v>
      </c>
      <c r="B131" s="3" t="str">
        <f>IFERROR(__xludf.DUMMYFUNCTION("""COMPUTED_VALUE"""),"Pampa")</f>
        <v>Pampa</v>
      </c>
    </row>
    <row r="132">
      <c r="A132" s="3" t="str">
        <f>IFERROR(__xludf.DUMMYFUNCTION("""COMPUTED_VALUE"""),"Movimento de Mulheres Camponesas (MMC)")</f>
        <v>Movimento de Mulheres Camponesas (MMC)</v>
      </c>
      <c r="B132" s="3" t="str">
        <f>IFERROR(__xludf.DUMMYFUNCTION("""COMPUTED_VALUE"""),"Mata&amp;Atlântica")</f>
        <v>Mata&amp;Atlântica</v>
      </c>
    </row>
    <row r="133">
      <c r="A133" s="3" t="str">
        <f>IFERROR(__xludf.DUMMYFUNCTION("""COMPUTED_VALUE"""),"Movimento de Mulheres Camponesas (MMC)")</f>
        <v>Movimento de Mulheres Camponesas (MMC)</v>
      </c>
      <c r="B133" s="3" t="str">
        <f>IFERROR(__xludf.DUMMYFUNCTION("""COMPUTED_VALUE"""),"Pantanal")</f>
        <v>Pantanal</v>
      </c>
    </row>
    <row r="134">
      <c r="A134" s="3" t="str">
        <f>IFERROR(__xludf.DUMMYFUNCTION("""COMPUTED_VALUE"""),"Movimento de Mulheres Camponesas (MMC)")</f>
        <v>Movimento de Mulheres Camponesas (MMC)</v>
      </c>
      <c r="B134" s="3" t="str">
        <f>IFERROR(__xludf.DUMMYFUNCTION("""COMPUTED_VALUE"""),"Pampa")</f>
        <v>Pampa</v>
      </c>
    </row>
    <row r="135">
      <c r="A135" s="3" t="str">
        <f>IFERROR(__xludf.DUMMYFUNCTION("""COMPUTED_VALUE"""),"Conselho Pastoral dos Pescadores (CPP)")</f>
        <v>Conselho Pastoral dos Pescadores (CPP)</v>
      </c>
      <c r="B135" s="3" t="str">
        <f>IFERROR(__xludf.DUMMYFUNCTION("""COMPUTED_VALUE"""),"Coastal&amp;maritime")</f>
        <v>Coastal&amp;maritime</v>
      </c>
    </row>
    <row r="136">
      <c r="A136" s="3" t="str">
        <f>IFERROR(__xludf.DUMMYFUNCTION("""COMPUTED_VALUE"""),"Conselho Pastoral dos Pescadores (CPP)")</f>
        <v>Conselho Pastoral dos Pescadores (CPP)</v>
      </c>
      <c r="B136" s="3" t="str">
        <f>IFERROR(__xludf.DUMMYFUNCTION("""COMPUTED_VALUE"""),"Mata&amp;Atlântica")</f>
        <v>Mata&amp;Atlântica</v>
      </c>
    </row>
    <row r="137">
      <c r="A137" s="3" t="str">
        <f>IFERROR(__xludf.DUMMYFUNCTION("""COMPUTED_VALUE"""),"Articulação dos Povos Indígenas do Nordeste, Minas Gerais e Espírito Santo (APOINME)")</f>
        <v>Articulação dos Povos Indígenas do Nordeste, Minas Gerais e Espírito Santo (APOINME)</v>
      </c>
      <c r="B137" s="3" t="str">
        <f>IFERROR(__xludf.DUMMYFUNCTION("""COMPUTED_VALUE"""),"Mata&amp;Atlântica")</f>
        <v>Mata&amp;Atlântica</v>
      </c>
    </row>
  </sheetData>
  <autoFilter ref="$A$1:$B$137"/>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74.63"/>
    <col customWidth="1" min="2" max="2" width="15.13"/>
  </cols>
  <sheetData>
    <row r="1">
      <c r="A1" s="77" t="s">
        <v>1555</v>
      </c>
      <c r="B1" s="77" t="s">
        <v>72</v>
      </c>
    </row>
    <row r="2">
      <c r="A2" s="3" t="str">
        <f>IFERROR(__xludf.DUMMYFUNCTION("ARRAYFORMULA(
  QUERY(
    SPLIT(
      FLATTEN(
        Data_Looker!B2:B340 &amp; ""♦"" &amp;
        TRIM(
          SPLIT(
            REGEXREPLACE(Data_Looker!K2:K340, ""\s*(,|;|\n)\s*"", ""♣""),
            ""♣""
          )
        )
      ),
      ""♦""
  "&amp;"  ),
    ""where Col2 is not null and Col2 &lt;&gt; ''"",
    0
  )
)
"),"Instituto Ibirapitanga")</f>
        <v>Instituto Ibirapitanga</v>
      </c>
      <c r="B2" s="3" t="str">
        <f>IFERROR(__xludf.DUMMYFUNCTION("""COMPUTED_VALUE"""),"Funder")</f>
        <v>Funder</v>
      </c>
    </row>
    <row r="3">
      <c r="A3" s="3" t="str">
        <f>IFERROR(__xludf.DUMMYFUNCTION("""COMPUTED_VALUE"""),"Instituto Ibirapitanga")</f>
        <v>Instituto Ibirapitanga</v>
      </c>
      <c r="B3" s="3" t="str">
        <f>IFERROR(__xludf.DUMMYFUNCTION("""COMPUTED_VALUE"""),"Strategic partner")</f>
        <v>Strategic partner</v>
      </c>
    </row>
    <row r="4">
      <c r="A4" s="3" t="str">
        <f>IFERROR(__xludf.DUMMYFUNCTION("""COMPUTED_VALUE"""),"Instituto Serrapilheira")</f>
        <v>Instituto Serrapilheira</v>
      </c>
      <c r="B4" s="3" t="str">
        <f>IFERROR(__xludf.DUMMYFUNCTION("""COMPUTED_VALUE"""),"Funder")</f>
        <v>Funder</v>
      </c>
    </row>
    <row r="5">
      <c r="A5" s="3" t="str">
        <f>IFERROR(__xludf.DUMMYFUNCTION("""COMPUTED_VALUE"""),"Instituto Serrapilheira")</f>
        <v>Instituto Serrapilheira</v>
      </c>
      <c r="B5" s="3" t="str">
        <f>IFERROR(__xludf.DUMMYFUNCTION("""COMPUTED_VALUE"""),"Technical assistance / research")</f>
        <v>Technical assistance / research</v>
      </c>
    </row>
    <row r="6">
      <c r="A6" s="3" t="str">
        <f>IFERROR(__xludf.DUMMYFUNCTION("""COMPUTED_VALUE"""),"Instituto Serrapilheira")</f>
        <v>Instituto Serrapilheira</v>
      </c>
      <c r="B6" s="3" t="str">
        <f>IFERROR(__xludf.DUMMYFUNCTION("""COMPUTED_VALUE"""),"Strategic partner")</f>
        <v>Strategic partner</v>
      </c>
    </row>
    <row r="7">
      <c r="A7" s="3" t="str">
        <f>IFERROR(__xludf.DUMMYFUNCTION("""COMPUTED_VALUE"""),"Fundo Brasileiro para a Biodiversidade (FUNBIO)")</f>
        <v>Fundo Brasileiro para a Biodiversidade (FUNBIO)</v>
      </c>
      <c r="B7" s="3" t="str">
        <f>IFERROR(__xludf.DUMMYFUNCTION("""COMPUTED_VALUE"""),"Funder")</f>
        <v>Funder</v>
      </c>
    </row>
    <row r="8">
      <c r="A8" s="3" t="str">
        <f>IFERROR(__xludf.DUMMYFUNCTION("""COMPUTED_VALUE"""),"Fundo Brasileiro para a Biodiversidade (FUNBIO)")</f>
        <v>Fundo Brasileiro para a Biodiversidade (FUNBIO)</v>
      </c>
      <c r="B8" s="3" t="str">
        <f>IFERROR(__xludf.DUMMYFUNCTION("""COMPUTED_VALUE"""),"Capital provider / Financial intermediary")</f>
        <v>Capital provider / Financial intermediary</v>
      </c>
    </row>
    <row r="9">
      <c r="A9" s="3" t="str">
        <f>IFERROR(__xludf.DUMMYFUNCTION("""COMPUTED_VALUE"""),"Instituto Clima e Sociedade (iCS)")</f>
        <v>Instituto Clima e Sociedade (iCS)</v>
      </c>
      <c r="B9" s="3" t="str">
        <f>IFERROR(__xludf.DUMMYFUNCTION("""COMPUTED_VALUE"""),"Funder")</f>
        <v>Funder</v>
      </c>
    </row>
    <row r="10">
      <c r="A10" s="3" t="str">
        <f>IFERROR(__xludf.DUMMYFUNCTION("""COMPUTED_VALUE"""),"Instituto Clima e Sociedade (iCS)")</f>
        <v>Instituto Clima e Sociedade (iCS)</v>
      </c>
      <c r="B10" s="3" t="str">
        <f>IFERROR(__xludf.DUMMYFUNCTION("""COMPUTED_VALUE"""),"Strategic partner")</f>
        <v>Strategic partner</v>
      </c>
    </row>
    <row r="11">
      <c r="A11" s="3" t="str">
        <f>IFERROR(__xludf.DUMMYFUNCTION("""COMPUTED_VALUE"""),"Instituto Clima e Sociedade (iCS)")</f>
        <v>Instituto Clima e Sociedade (iCS)</v>
      </c>
      <c r="B11" s="3" t="str">
        <f>IFERROR(__xludf.DUMMYFUNCTION("""COMPUTED_VALUE"""),"Convenor/enablers")</f>
        <v>Convenor/enablers</v>
      </c>
    </row>
    <row r="12">
      <c r="A12" s="3" t="str">
        <f>IFERROR(__xludf.DUMMYFUNCTION("""COMPUTED_VALUE"""),"Instituto Clima e Sociedade (iCS)")</f>
        <v>Instituto Clima e Sociedade (iCS)</v>
      </c>
      <c r="B12" s="3" t="str">
        <f>IFERROR(__xludf.DUMMYFUNCTION("""COMPUTED_VALUE"""),"Capital provider / Financial intermediary")</f>
        <v>Capital provider / Financial intermediary</v>
      </c>
    </row>
    <row r="13">
      <c r="A13" s="3" t="str">
        <f>IFERROR(__xludf.DUMMYFUNCTION("""COMPUTED_VALUE"""),"Instituto Cultura, Comunicação e Incidência (ICCI)")</f>
        <v>Instituto Cultura, Comunicação e Incidência (ICCI)</v>
      </c>
      <c r="B13" s="3" t="str">
        <f>IFERROR(__xludf.DUMMYFUNCTION("""COMPUTED_VALUE"""),"Project developer / Implementer")</f>
        <v>Project developer / Implementer</v>
      </c>
    </row>
    <row r="14">
      <c r="A14" s="3" t="str">
        <f>IFERROR(__xludf.DUMMYFUNCTION("""COMPUTED_VALUE"""),"Instituto Cultura, Comunicação e Incidência (ICCI)")</f>
        <v>Instituto Cultura, Comunicação e Incidência (ICCI)</v>
      </c>
      <c r="B14" s="3" t="str">
        <f>IFERROR(__xludf.DUMMYFUNCTION("""COMPUTED_VALUE"""),"Policy influence / regulation")</f>
        <v>Policy influence / regulation</v>
      </c>
    </row>
    <row r="15">
      <c r="A15" s="3" t="str">
        <f>IFERROR(__xludf.DUMMYFUNCTION("""COMPUTED_VALUE"""),"Grupo de Institutos, Fundações e Empresas (GIFE)")</f>
        <v>Grupo de Institutos, Fundações e Empresas (GIFE)</v>
      </c>
      <c r="B15" s="3" t="str">
        <f>IFERROR(__xludf.DUMMYFUNCTION("""COMPUTED_VALUE"""),"Convenor/enablers")</f>
        <v>Convenor/enablers</v>
      </c>
    </row>
    <row r="16">
      <c r="A16" s="3" t="str">
        <f>IFERROR(__xludf.DUMMYFUNCTION("""COMPUTED_VALUE"""),"Movimento Bem Maior (MBM)")</f>
        <v>Movimento Bem Maior (MBM)</v>
      </c>
      <c r="B16" s="3" t="str">
        <f>IFERROR(__xludf.DUMMYFUNCTION("""COMPUTED_VALUE"""),"Funder")</f>
        <v>Funder</v>
      </c>
    </row>
    <row r="17">
      <c r="A17" s="3" t="str">
        <f>IFERROR(__xludf.DUMMYFUNCTION("""COMPUTED_VALUE"""),"Movimento Bem Maior (MBM)")</f>
        <v>Movimento Bem Maior (MBM)</v>
      </c>
      <c r="B17" s="3" t="str">
        <f>IFERROR(__xludf.DUMMYFUNCTION("""COMPUTED_VALUE"""),"Convenor/enablers")</f>
        <v>Convenor/enablers</v>
      </c>
    </row>
    <row r="18">
      <c r="A18" s="3" t="str">
        <f>IFERROR(__xludf.DUMMYFUNCTION("""COMPUTED_VALUE"""),"Instituto Beija ")</f>
        <v>Instituto Beija </v>
      </c>
      <c r="B18" s="3" t="str">
        <f>IFERROR(__xludf.DUMMYFUNCTION("""COMPUTED_VALUE"""),"Funder")</f>
        <v>Funder</v>
      </c>
    </row>
    <row r="19">
      <c r="A19" s="3" t="str">
        <f>IFERROR(__xludf.DUMMYFUNCTION("""COMPUTED_VALUE"""),"Instituto Beija ")</f>
        <v>Instituto Beija </v>
      </c>
      <c r="B19" s="3" t="str">
        <f>IFERROR(__xludf.DUMMYFUNCTION("""COMPUTED_VALUE"""),"Convenor/enablers")</f>
        <v>Convenor/enablers</v>
      </c>
    </row>
    <row r="20">
      <c r="A20" s="3" t="str">
        <f>IFERROR(__xludf.DUMMYFUNCTION("""COMPUTED_VALUE"""),"Open Society Foundations")</f>
        <v>Open Society Foundations</v>
      </c>
      <c r="B20" s="3" t="str">
        <f>IFERROR(__xludf.DUMMYFUNCTION("""COMPUTED_VALUE"""),"Funder")</f>
        <v>Funder</v>
      </c>
    </row>
    <row r="21">
      <c r="A21" s="3" t="str">
        <f>IFERROR(__xludf.DUMMYFUNCTION("""COMPUTED_VALUE"""),"Open Society Foundations")</f>
        <v>Open Society Foundations</v>
      </c>
      <c r="B21" s="3" t="str">
        <f>IFERROR(__xludf.DUMMYFUNCTION("""COMPUTED_VALUE"""),"Strategic partner")</f>
        <v>Strategic partner</v>
      </c>
    </row>
    <row r="22">
      <c r="A22" s="3" t="str">
        <f>IFERROR(__xludf.DUMMYFUNCTION("""COMPUTED_VALUE"""),"Instituto Ethos")</f>
        <v>Instituto Ethos</v>
      </c>
      <c r="B22" s="3" t="str">
        <f>IFERROR(__xludf.DUMMYFUNCTION("""COMPUTED_VALUE"""),"Convenor/enablers")</f>
        <v>Convenor/enablers</v>
      </c>
    </row>
    <row r="23">
      <c r="A23" s="3" t="str">
        <f>IFERROR(__xludf.DUMMYFUNCTION("""COMPUTED_VALUE"""),"Instituto Ethos")</f>
        <v>Instituto Ethos</v>
      </c>
      <c r="B23" s="3" t="str">
        <f>IFERROR(__xludf.DUMMYFUNCTION("""COMPUTED_VALUE"""),"Policy influence / regulation")</f>
        <v>Policy influence / regulation</v>
      </c>
    </row>
    <row r="24">
      <c r="A24" s="3" t="str">
        <f>IFERROR(__xludf.DUMMYFUNCTION("""COMPUTED_VALUE"""),"Instituto para o Desenvolvimento do Investimento Social (IDIS)")</f>
        <v>Instituto para o Desenvolvimento do Investimento Social (IDIS)</v>
      </c>
      <c r="B24" s="3" t="str">
        <f>IFERROR(__xludf.DUMMYFUNCTION("""COMPUTED_VALUE"""),"Technical assistance / research")</f>
        <v>Technical assistance / research</v>
      </c>
    </row>
    <row r="25">
      <c r="A25" s="3" t="str">
        <f>IFERROR(__xludf.DUMMYFUNCTION("""COMPUTED_VALUE"""),"Instituto para o Desenvolvimento do Investimento Social (IDIS)")</f>
        <v>Instituto para o Desenvolvimento do Investimento Social (IDIS)</v>
      </c>
      <c r="B25" s="3" t="str">
        <f>IFERROR(__xludf.DUMMYFUNCTION("""COMPUTED_VALUE"""),"Convenor/enablers")</f>
        <v>Convenor/enablers</v>
      </c>
    </row>
    <row r="26">
      <c r="A26" s="3" t="str">
        <f>IFERROR(__xludf.DUMMYFUNCTION("""COMPUTED_VALUE"""),"Instituto Climate Ventures Brasil (Climate Ventures)")</f>
        <v>Instituto Climate Ventures Brasil (Climate Ventures)</v>
      </c>
      <c r="B26" s="3" t="str">
        <f>IFERROR(__xludf.DUMMYFUNCTION("""COMPUTED_VALUE"""),"Convenor/enablers")</f>
        <v>Convenor/enablers</v>
      </c>
    </row>
    <row r="27">
      <c r="A27" s="3" t="str">
        <f>IFERROR(__xludf.DUMMYFUNCTION("""COMPUTED_VALUE"""),"Instituto Climate Ventures Brasil (Climate Ventures)")</f>
        <v>Instituto Climate Ventures Brasil (Climate Ventures)</v>
      </c>
      <c r="B27" s="3" t="str">
        <f>IFERROR(__xludf.DUMMYFUNCTION("""COMPUTED_VALUE"""),"Project developer / Implementer")</f>
        <v>Project developer / Implementer</v>
      </c>
    </row>
    <row r="28">
      <c r="A28" s="3" t="str">
        <f>IFERROR(__xludf.DUMMYFUNCTION("""COMPUTED_VALUE"""),"The Climate Group")</f>
        <v>The Climate Group</v>
      </c>
      <c r="B28" s="3" t="str">
        <f>IFERROR(__xludf.DUMMYFUNCTION("""COMPUTED_VALUE"""),"Convenor/enablers")</f>
        <v>Convenor/enablers</v>
      </c>
    </row>
    <row r="29">
      <c r="A29" s="3" t="str">
        <f>IFERROR(__xludf.DUMMYFUNCTION("""COMPUTED_VALUE"""),"The Climate Group")</f>
        <v>The Climate Group</v>
      </c>
      <c r="B29" s="3" t="str">
        <f>IFERROR(__xludf.DUMMYFUNCTION("""COMPUTED_VALUE"""),"Strategic partner")</f>
        <v>Strategic partner</v>
      </c>
    </row>
    <row r="30">
      <c r="A30" s="3" t="str">
        <f>IFERROR(__xludf.DUMMYFUNCTION("""COMPUTED_VALUE"""),"Fundação Maria Cecilia Souto Vidigal")</f>
        <v>Fundação Maria Cecilia Souto Vidigal</v>
      </c>
      <c r="B30" s="3" t="str">
        <f>IFERROR(__xludf.DUMMYFUNCTION("""COMPUTED_VALUE"""),"Funder")</f>
        <v>Funder</v>
      </c>
    </row>
    <row r="31">
      <c r="A31" s="3" t="str">
        <f>IFERROR(__xludf.DUMMYFUNCTION("""COMPUTED_VALUE"""),"Fundação Maria Cecilia Souto Vidigal")</f>
        <v>Fundação Maria Cecilia Souto Vidigal</v>
      </c>
      <c r="B31" s="3" t="str">
        <f>IFERROR(__xludf.DUMMYFUNCTION("""COMPUTED_VALUE"""),"Strategic partner")</f>
        <v>Strategic partner</v>
      </c>
    </row>
    <row r="32">
      <c r="A32" s="3" t="str">
        <f>IFERROR(__xludf.DUMMYFUNCTION("""COMPUTED_VALUE"""),"Fundação Tide Setúbal")</f>
        <v>Fundação Tide Setúbal</v>
      </c>
      <c r="B32" s="3" t="str">
        <f>IFERROR(__xludf.DUMMYFUNCTION("""COMPUTED_VALUE"""),"Funder")</f>
        <v>Funder</v>
      </c>
    </row>
    <row r="33">
      <c r="A33" s="3" t="str">
        <f>IFERROR(__xludf.DUMMYFUNCTION("""COMPUTED_VALUE"""),"Fundação Tide Setúbal")</f>
        <v>Fundação Tide Setúbal</v>
      </c>
      <c r="B33" s="3" t="str">
        <f>IFERROR(__xludf.DUMMYFUNCTION("""COMPUTED_VALUE"""),"Territorial anchor")</f>
        <v>Territorial anchor</v>
      </c>
    </row>
    <row r="34">
      <c r="A34" s="3" t="str">
        <f>IFERROR(__xludf.DUMMYFUNCTION("""COMPUTED_VALUE"""),"Fundação Arymax")</f>
        <v>Fundação Arymax</v>
      </c>
      <c r="B34" s="3" t="str">
        <f>IFERROR(__xludf.DUMMYFUNCTION("""COMPUTED_VALUE"""),"Funder")</f>
        <v>Funder</v>
      </c>
    </row>
    <row r="35">
      <c r="A35" s="3" t="str">
        <f>IFERROR(__xludf.DUMMYFUNCTION("""COMPUTED_VALUE"""),"Fundação Arymax")</f>
        <v>Fundação Arymax</v>
      </c>
      <c r="B35" s="3" t="str">
        <f>IFERROR(__xludf.DUMMYFUNCTION("""COMPUTED_VALUE"""),"Strategic partner")</f>
        <v>Strategic partner</v>
      </c>
    </row>
    <row r="36">
      <c r="A36" s="3" t="str">
        <f>IFERROR(__xludf.DUMMYFUNCTION("""COMPUTED_VALUE"""),"Instituto Talanoa")</f>
        <v>Instituto Talanoa</v>
      </c>
      <c r="B36" s="3" t="str">
        <f>IFERROR(__xludf.DUMMYFUNCTION("""COMPUTED_VALUE"""),"Technical assistance / research")</f>
        <v>Technical assistance / research</v>
      </c>
    </row>
    <row r="37">
      <c r="A37" s="3" t="str">
        <f>IFERROR(__xludf.DUMMYFUNCTION("""COMPUTED_VALUE"""),"Instituto Talanoa")</f>
        <v>Instituto Talanoa</v>
      </c>
      <c r="B37" s="3" t="str">
        <f>IFERROR(__xludf.DUMMYFUNCTION("""COMPUTED_VALUE"""),"Policy influence / regulation")</f>
        <v>Policy influence / regulation</v>
      </c>
    </row>
    <row r="38">
      <c r="A38" s="3" t="str">
        <f>IFERROR(__xludf.DUMMYFUNCTION("""COMPUTED_VALUE"""),"Instituto Alana")</f>
        <v>Instituto Alana</v>
      </c>
      <c r="B38" s="3" t="str">
        <f>IFERROR(__xludf.DUMMYFUNCTION("""COMPUTED_VALUE"""),"Funder")</f>
        <v>Funder</v>
      </c>
    </row>
    <row r="39">
      <c r="A39" s="3" t="str">
        <f>IFERROR(__xludf.DUMMYFUNCTION("""COMPUTED_VALUE"""),"Instituto Alana")</f>
        <v>Instituto Alana</v>
      </c>
      <c r="B39" s="3" t="str">
        <f>IFERROR(__xludf.DUMMYFUNCTION("""COMPUTED_VALUE"""),"Policy influence / regulation")</f>
        <v>Policy influence / regulation</v>
      </c>
    </row>
    <row r="40">
      <c r="A40" s="3" t="str">
        <f>IFERROR(__xludf.DUMMYFUNCTION("""COMPUTED_VALUE"""),"Instituto Alana")</f>
        <v>Instituto Alana</v>
      </c>
      <c r="B40" s="3" t="str">
        <f>IFERROR(__xludf.DUMMYFUNCTION("""COMPUTED_VALUE"""),"Strategic partner")</f>
        <v>Strategic partner</v>
      </c>
    </row>
    <row r="41">
      <c r="A41" s="3" t="str">
        <f>IFERROR(__xludf.DUMMYFUNCTION("""COMPUTED_VALUE"""),"Instituto Alana")</f>
        <v>Instituto Alana</v>
      </c>
      <c r="B41" s="3" t="str">
        <f>IFERROR(__xludf.DUMMYFUNCTION("""COMPUTED_VALUE"""),"Community legitimacy / proximate leadership")</f>
        <v>Community legitimacy / proximate leadership</v>
      </c>
    </row>
    <row r="42">
      <c r="A42" s="3" t="str">
        <f>IFERROR(__xludf.DUMMYFUNCTION("""COMPUTED_VALUE"""),"Itaúsa (Itaúsa S.A.)")</f>
        <v>Itaúsa (Itaúsa S.A.)</v>
      </c>
      <c r="B42" s="3" t="str">
        <f>IFERROR(__xludf.DUMMYFUNCTION("""COMPUTED_VALUE"""),"Strategic partner")</f>
        <v>Strategic partner</v>
      </c>
    </row>
    <row r="43">
      <c r="A43" s="3" t="str">
        <f>IFERROR(__xludf.DUMMYFUNCTION("""COMPUTED_VALUE"""),"Itaúsa (Itaúsa S.A.)")</f>
        <v>Itaúsa (Itaúsa S.A.)</v>
      </c>
      <c r="B43" s="3" t="str">
        <f>IFERROR(__xludf.DUMMYFUNCTION("""COMPUTED_VALUE"""),"Capital provider / Financial intermediary")</f>
        <v>Capital provider / Financial intermediary</v>
      </c>
    </row>
    <row r="44">
      <c r="A44" s="3" t="str">
        <f>IFERROR(__xludf.DUMMYFUNCTION("""COMPUTED_VALUE"""),"Instituto Arapyaú")</f>
        <v>Instituto Arapyaú</v>
      </c>
      <c r="B44" s="3" t="str">
        <f>IFERROR(__xludf.DUMMYFUNCTION("""COMPUTED_VALUE"""),"Funder")</f>
        <v>Funder</v>
      </c>
    </row>
    <row r="45">
      <c r="A45" s="3" t="str">
        <f>IFERROR(__xludf.DUMMYFUNCTION("""COMPUTED_VALUE"""),"Instituto Arapyaú")</f>
        <v>Instituto Arapyaú</v>
      </c>
      <c r="B45" s="3" t="str">
        <f>IFERROR(__xludf.DUMMYFUNCTION("""COMPUTED_VALUE"""),"Strategic partner")</f>
        <v>Strategic partner</v>
      </c>
    </row>
    <row r="46">
      <c r="A46" s="3" t="str">
        <f>IFERROR(__xludf.DUMMYFUNCTION("""COMPUTED_VALUE"""),"Instituto Arapyaú")</f>
        <v>Instituto Arapyaú</v>
      </c>
      <c r="B46" s="3" t="str">
        <f>IFERROR(__xludf.DUMMYFUNCTION("""COMPUTED_VALUE"""),"Territorial anchor")</f>
        <v>Territorial anchor</v>
      </c>
    </row>
    <row r="47">
      <c r="A47" s="3" t="str">
        <f>IFERROR(__xludf.DUMMYFUNCTION("""COMPUTED_VALUE"""),"Instituto Semeia")</f>
        <v>Instituto Semeia</v>
      </c>
      <c r="B47" s="3" t="str">
        <f>IFERROR(__xludf.DUMMYFUNCTION("""COMPUTED_VALUE"""),"Technical assistance / research")</f>
        <v>Technical assistance / research</v>
      </c>
    </row>
    <row r="48">
      <c r="A48" s="3" t="str">
        <f>IFERROR(__xludf.DUMMYFUNCTION("""COMPUTED_VALUE"""),"Instituto Semeia")</f>
        <v>Instituto Semeia</v>
      </c>
      <c r="B48" s="3" t="str">
        <f>IFERROR(__xludf.DUMMYFUNCTION("""COMPUTED_VALUE"""),"Project developer / Implementer")</f>
        <v>Project developer / Implementer</v>
      </c>
    </row>
    <row r="49">
      <c r="A49" s="3" t="str">
        <f>IFERROR(__xludf.DUMMYFUNCTION("""COMPUTED_VALUE"""),"Instituto Semeia")</f>
        <v>Instituto Semeia</v>
      </c>
      <c r="B49" s="3" t="str">
        <f>IFERROR(__xludf.DUMMYFUNCTION("""COMPUTED_VALUE"""),"Funder")</f>
        <v>Funder</v>
      </c>
    </row>
    <row r="50">
      <c r="A50" s="3" t="str">
        <f>IFERROR(__xludf.DUMMYFUNCTION("""COMPUTED_VALUE"""),"The David and Lucile Packard Foundation")</f>
        <v>The David and Lucile Packard Foundation</v>
      </c>
      <c r="B50" s="3" t="str">
        <f>IFERROR(__xludf.DUMMYFUNCTION("""COMPUTED_VALUE"""),"Funder")</f>
        <v>Funder</v>
      </c>
    </row>
    <row r="51">
      <c r="A51" s="3" t="str">
        <f>IFERROR(__xludf.DUMMYFUNCTION("""COMPUTED_VALUE"""),"The David and Lucile Packard Foundation")</f>
        <v>The David and Lucile Packard Foundation</v>
      </c>
      <c r="B51" s="3" t="str">
        <f>IFERROR(__xludf.DUMMYFUNCTION("""COMPUTED_VALUE"""),"Strategic partner")</f>
        <v>Strategic partner</v>
      </c>
    </row>
    <row r="52">
      <c r="A52" s="3" t="str">
        <f>IFERROR(__xludf.DUMMYFUNCTION("""COMPUTED_VALUE"""),"Alcoa")</f>
        <v>Alcoa</v>
      </c>
      <c r="B52" s="3" t="str">
        <f>IFERROR(__xludf.DUMMYFUNCTION("""COMPUTED_VALUE"""),"Strategic partner")</f>
        <v>Strategic partner</v>
      </c>
    </row>
    <row r="53">
      <c r="A53" s="3" t="str">
        <f>IFERROR(__xludf.DUMMYFUNCTION("""COMPUTED_VALUE"""),"Alcoa")</f>
        <v>Alcoa</v>
      </c>
      <c r="B53" s="3" t="str">
        <f>IFERROR(__xludf.DUMMYFUNCTION("""COMPUTED_VALUE"""),"Implementation capacity (delivery)")</f>
        <v>Implementation capacity (delivery)</v>
      </c>
    </row>
    <row r="54">
      <c r="A54" s="3" t="str">
        <f>IFERROR(__xludf.DUMMYFUNCTION("""COMPUTED_VALUE"""),"Norsk Hydro ASA (Hydro)")</f>
        <v>Norsk Hydro ASA (Hydro)</v>
      </c>
      <c r="B54" s="3" t="str">
        <f>IFERROR(__xludf.DUMMYFUNCTION("""COMPUTED_VALUE"""),"Strategic partner")</f>
        <v>Strategic partner</v>
      </c>
    </row>
    <row r="55">
      <c r="A55" s="3" t="str">
        <f>IFERROR(__xludf.DUMMYFUNCTION("""COMPUTED_VALUE"""),"Norsk Hydro ASA (Hydro)")</f>
        <v>Norsk Hydro ASA (Hydro)</v>
      </c>
      <c r="B55" s="3" t="str">
        <f>IFERROR(__xludf.DUMMYFUNCTION("""COMPUTED_VALUE"""),"Implementation capacity (delivery)")</f>
        <v>Implementation capacity (delivery)</v>
      </c>
    </row>
    <row r="56">
      <c r="A56" s="3" t="str">
        <f>IFERROR(__xludf.DUMMYFUNCTION("""COMPUTED_VALUE"""),"Instituto Socioambiental (ISA)")</f>
        <v>Instituto Socioambiental (ISA)</v>
      </c>
      <c r="B56" s="3" t="str">
        <f>IFERROR(__xludf.DUMMYFUNCTION("""COMPUTED_VALUE"""),"Project developer / Implementer")</f>
        <v>Project developer / Implementer</v>
      </c>
    </row>
    <row r="57">
      <c r="A57" s="3" t="str">
        <f>IFERROR(__xludf.DUMMYFUNCTION("""COMPUTED_VALUE"""),"Instituto Socioambiental (ISA)")</f>
        <v>Instituto Socioambiental (ISA)</v>
      </c>
      <c r="B57" s="3" t="str">
        <f>IFERROR(__xludf.DUMMYFUNCTION("""COMPUTED_VALUE"""),"Community legitimacy / proximate leadership")</f>
        <v>Community legitimacy / proximate leadership</v>
      </c>
    </row>
    <row r="58">
      <c r="A58" s="3" t="str">
        <f>IFERROR(__xludf.DUMMYFUNCTION("""COMPUTED_VALUE"""),"The Nature Conservancy Brasil (TNC Brasil)")</f>
        <v>The Nature Conservancy Brasil (TNC Brasil)</v>
      </c>
      <c r="B58" s="3" t="str">
        <f>IFERROR(__xludf.DUMMYFUNCTION("""COMPUTED_VALUE"""),"Strategic partner")</f>
        <v>Strategic partner</v>
      </c>
    </row>
    <row r="59">
      <c r="A59" s="3" t="str">
        <f>IFERROR(__xludf.DUMMYFUNCTION("""COMPUTED_VALUE"""),"The Nature Conservancy Brasil (TNC Brasil)")</f>
        <v>The Nature Conservancy Brasil (TNC Brasil)</v>
      </c>
      <c r="B59" s="3" t="str">
        <f>IFERROR(__xludf.DUMMYFUNCTION("""COMPUTED_VALUE"""),"Project developer / Implementer")</f>
        <v>Project developer / Implementer</v>
      </c>
    </row>
    <row r="60">
      <c r="A60" s="3" t="str">
        <f>IFERROR(__xludf.DUMMYFUNCTION("""COMPUTED_VALUE"""),"Conservação Internacional Brasil (CI-Brasil)")</f>
        <v>Conservação Internacional Brasil (CI-Brasil)</v>
      </c>
      <c r="B60" s="3" t="str">
        <f>IFERROR(__xludf.DUMMYFUNCTION("""COMPUTED_VALUE"""),"Strategic partner")</f>
        <v>Strategic partner</v>
      </c>
    </row>
    <row r="61">
      <c r="A61" s="3" t="str">
        <f>IFERROR(__xludf.DUMMYFUNCTION("""COMPUTED_VALUE"""),"Conservação Internacional Brasil (CI-Brasil)")</f>
        <v>Conservação Internacional Brasil (CI-Brasil)</v>
      </c>
      <c r="B61" s="3" t="str">
        <f>IFERROR(__xludf.DUMMYFUNCTION("""COMPUTED_VALUE"""),"Project developer / Implementer")</f>
        <v>Project developer / Implementer</v>
      </c>
    </row>
    <row r="62">
      <c r="A62" s="3" t="str">
        <f>IFERROR(__xludf.DUMMYFUNCTION("""COMPUTED_VALUE"""),"WWF-Brasil")</f>
        <v>WWF-Brasil</v>
      </c>
      <c r="B62" s="3" t="str">
        <f>IFERROR(__xludf.DUMMYFUNCTION("""COMPUTED_VALUE"""),"Strategic partner")</f>
        <v>Strategic partner</v>
      </c>
    </row>
    <row r="63">
      <c r="A63" s="3" t="str">
        <f>IFERROR(__xludf.DUMMYFUNCTION("""COMPUTED_VALUE"""),"WWF-Brasil")</f>
        <v>WWF-Brasil</v>
      </c>
      <c r="B63" s="3" t="str">
        <f>IFERROR(__xludf.DUMMYFUNCTION("""COMPUTED_VALUE"""),"Project developer / Implementer")</f>
        <v>Project developer / Implementer</v>
      </c>
    </row>
    <row r="64">
      <c r="A64" s="3" t="str">
        <f>IFERROR(__xludf.DUMMYFUNCTION("""COMPUTED_VALUE"""),"WWF-Brasil")</f>
        <v>WWF-Brasil</v>
      </c>
      <c r="B64" s="3" t="str">
        <f>IFERROR(__xludf.DUMMYFUNCTION("""COMPUTED_VALUE"""),"Policy influence / regulation")</f>
        <v>Policy influence / regulation</v>
      </c>
    </row>
    <row r="65">
      <c r="A65" s="3" t="str">
        <f>IFERROR(__xludf.DUMMYFUNCTION("""COMPUTED_VALUE"""),"WRI Brasil")</f>
        <v>WRI Brasil</v>
      </c>
      <c r="B65" s="3" t="str">
        <f>IFERROR(__xludf.DUMMYFUNCTION("""COMPUTED_VALUE"""),"Strategic partner")</f>
        <v>Strategic partner</v>
      </c>
    </row>
    <row r="66">
      <c r="A66" s="3" t="str">
        <f>IFERROR(__xludf.DUMMYFUNCTION("""COMPUTED_VALUE"""),"WRI Brasil")</f>
        <v>WRI Brasil</v>
      </c>
      <c r="B66" s="3" t="str">
        <f>IFERROR(__xludf.DUMMYFUNCTION("""COMPUTED_VALUE"""),"Technical assistance / research")</f>
        <v>Technical assistance / research</v>
      </c>
    </row>
    <row r="67">
      <c r="A67" s="3" t="str">
        <f>IFERROR(__xludf.DUMMYFUNCTION("""COMPUTED_VALUE"""),"WRI Brasil")</f>
        <v>WRI Brasil</v>
      </c>
      <c r="B67" s="3" t="str">
        <f>IFERROR(__xludf.DUMMYFUNCTION("""COMPUTED_VALUE"""),"Policy influence / regulation")</f>
        <v>Policy influence / regulation</v>
      </c>
    </row>
    <row r="68">
      <c r="A68" s="3" t="str">
        <f>IFERROR(__xludf.DUMMYFUNCTION("""COMPUTED_VALUE"""),"Fundação SOS Mata Atlântica")</f>
        <v>Fundação SOS Mata Atlântica</v>
      </c>
      <c r="B68" s="3" t="str">
        <f>IFERROR(__xludf.DUMMYFUNCTION("""COMPUTED_VALUE"""),"Policy influence / regulation")</f>
        <v>Policy influence / regulation</v>
      </c>
    </row>
    <row r="69">
      <c r="A69" s="3" t="str">
        <f>IFERROR(__xludf.DUMMYFUNCTION("""COMPUTED_VALUE"""),"Fundação SOS Mata Atlântica")</f>
        <v>Fundação SOS Mata Atlântica</v>
      </c>
      <c r="B69" s="3" t="str">
        <f>IFERROR(__xludf.DUMMYFUNCTION("""COMPUTED_VALUE"""),"Implementation capacity (delivery)")</f>
        <v>Implementation capacity (delivery)</v>
      </c>
    </row>
    <row r="70">
      <c r="A70" s="3" t="str">
        <f>IFERROR(__xludf.DUMMYFUNCTION("""COMPUTED_VALUE"""),"Empresa Brasileira de Pesquisa Agropecuária (Embrapa)")</f>
        <v>Empresa Brasileira de Pesquisa Agropecuária (Embrapa)</v>
      </c>
      <c r="B70" s="3" t="str">
        <f>IFERROR(__xludf.DUMMYFUNCTION("""COMPUTED_VALUE"""),"Technical assistance / research")</f>
        <v>Technical assistance / research</v>
      </c>
    </row>
    <row r="71">
      <c r="A71" s="3" t="str">
        <f>IFERROR(__xludf.DUMMYFUNCTION("""COMPUTED_VALUE"""),"Empresa Brasileira de Pesquisa Agropecuária (Embrapa)")</f>
        <v>Empresa Brasileira de Pesquisa Agropecuária (Embrapa)</v>
      </c>
      <c r="B71" s="3" t="str">
        <f>IFERROR(__xludf.DUMMYFUNCTION("""COMPUTED_VALUE"""),"Territorial anchor")</f>
        <v>Territorial anchor</v>
      </c>
    </row>
    <row r="72">
      <c r="A72" s="3" t="str">
        <f>IFERROR(__xludf.DUMMYFUNCTION("""COMPUTED_VALUE"""),"Sistema S")</f>
        <v>Sistema S</v>
      </c>
      <c r="B72" s="3" t="str">
        <f>IFERROR(__xludf.DUMMYFUNCTION("""COMPUTED_VALUE"""),"Implementation capacity (delivery)")</f>
        <v>Implementation capacity (delivery)</v>
      </c>
    </row>
    <row r="73">
      <c r="A73" s="3" t="str">
        <f>IFERROR(__xludf.DUMMYFUNCTION("""COMPUTED_VALUE"""),"Sistema S")</f>
        <v>Sistema S</v>
      </c>
      <c r="B73" s="3" t="str">
        <f>IFERROR(__xludf.DUMMYFUNCTION("""COMPUTED_VALUE"""),"Technical assistance / research")</f>
        <v>Technical assistance / research</v>
      </c>
    </row>
    <row r="74">
      <c r="A74" s="3" t="str">
        <f>IFERROR(__xludf.DUMMYFUNCTION("""COMPUTED_VALUE"""),"Instituto Brasileiro do Meio Ambiente e dos Recursos Naturais Renováveis (Ibama)")</f>
        <v>Instituto Brasileiro do Meio Ambiente e dos Recursos Naturais Renováveis (Ibama)</v>
      </c>
      <c r="B74" s="3" t="str">
        <f>IFERROR(__xludf.DUMMYFUNCTION("""COMPUTED_VALUE"""),"Policy influence / regulation")</f>
        <v>Policy influence / regulation</v>
      </c>
    </row>
    <row r="75">
      <c r="A75" s="3" t="str">
        <f>IFERROR(__xludf.DUMMYFUNCTION("""COMPUTED_VALUE"""),"Instituto Brasileiro do Meio Ambiente e dos Recursos Naturais Renováveis (Ibama)")</f>
        <v>Instituto Brasileiro do Meio Ambiente e dos Recursos Naturais Renováveis (Ibama)</v>
      </c>
      <c r="B75" s="3" t="str">
        <f>IFERROR(__xludf.DUMMYFUNCTION("""COMPUTED_VALUE"""),"Territorial anchor")</f>
        <v>Territorial anchor</v>
      </c>
    </row>
    <row r="76">
      <c r="A76" s="3" t="str">
        <f>IFERROR(__xludf.DUMMYFUNCTION("""COMPUTED_VALUE"""),"Instituto Chico Mendes de Conservação da Biodiversidade (ICMBio)")</f>
        <v>Instituto Chico Mendes de Conservação da Biodiversidade (ICMBio)</v>
      </c>
      <c r="B76" s="3" t="str">
        <f>IFERROR(__xludf.DUMMYFUNCTION("""COMPUTED_VALUE"""),"Policy influence / regulation")</f>
        <v>Policy influence / regulation</v>
      </c>
    </row>
    <row r="77">
      <c r="A77" s="3" t="str">
        <f>IFERROR(__xludf.DUMMYFUNCTION("""COMPUTED_VALUE"""),"Instituto Chico Mendes de Conservação da Biodiversidade (ICMBio)")</f>
        <v>Instituto Chico Mendes de Conservação da Biodiversidade (ICMBio)</v>
      </c>
      <c r="B77" s="3" t="str">
        <f>IFERROR(__xludf.DUMMYFUNCTION("""COMPUTED_VALUE"""),"Territorial anchor")</f>
        <v>Territorial anchor</v>
      </c>
    </row>
    <row r="78">
      <c r="A78" s="3" t="str">
        <f>IFERROR(__xludf.DUMMYFUNCTION("""COMPUTED_VALUE"""),"Instituto do Homem e Meio Ambiente da Amazônia (Imazon)")</f>
        <v>Instituto do Homem e Meio Ambiente da Amazônia (Imazon)</v>
      </c>
      <c r="B78" s="3" t="str">
        <f>IFERROR(__xludf.DUMMYFUNCTION("""COMPUTED_VALUE"""),"Technical assistance / research")</f>
        <v>Technical assistance / research</v>
      </c>
    </row>
    <row r="79">
      <c r="A79" s="3" t="str">
        <f>IFERROR(__xludf.DUMMYFUNCTION("""COMPUTED_VALUE"""),"Instituto do Homem e Meio Ambiente da Amazônia (Imazon)")</f>
        <v>Instituto do Homem e Meio Ambiente da Amazônia (Imazon)</v>
      </c>
      <c r="B79" s="3" t="str">
        <f>IFERROR(__xludf.DUMMYFUNCTION("""COMPUTED_VALUE"""),"Data / MRV / platforms")</f>
        <v>Data / MRV / platforms</v>
      </c>
    </row>
    <row r="80">
      <c r="A80" s="3" t="str">
        <f>IFERROR(__xludf.DUMMYFUNCTION("""COMPUTED_VALUE"""),"Fundação Amazonas Sustentável (FAS)")</f>
        <v>Fundação Amazonas Sustentável (FAS)</v>
      </c>
      <c r="B80" s="3" t="str">
        <f>IFERROR(__xludf.DUMMYFUNCTION("""COMPUTED_VALUE"""),"Project developer / Implementer")</f>
        <v>Project developer / Implementer</v>
      </c>
    </row>
    <row r="81">
      <c r="A81" s="3" t="str">
        <f>IFERROR(__xludf.DUMMYFUNCTION("""COMPUTED_VALUE"""),"Fundação Amazonas Sustentável (FAS)")</f>
        <v>Fundação Amazonas Sustentável (FAS)</v>
      </c>
      <c r="B81" s="3" t="str">
        <f>IFERROR(__xludf.DUMMYFUNCTION("""COMPUTED_VALUE"""),"Territorial anchor")</f>
        <v>Territorial anchor</v>
      </c>
    </row>
    <row r="82">
      <c r="A82" s="3" t="str">
        <f>IFERROR(__xludf.DUMMYFUNCTION("""COMPUTED_VALUE"""),"Instituto de Manejo e Certificação Florestal e Agrícola (Imaflora)")</f>
        <v>Instituto de Manejo e Certificação Florestal e Agrícola (Imaflora)</v>
      </c>
      <c r="B82" s="3" t="str">
        <f>IFERROR(__xludf.DUMMYFUNCTION("""COMPUTED_VALUE"""),"Technical assistance / research")</f>
        <v>Technical assistance / research</v>
      </c>
    </row>
    <row r="83">
      <c r="A83" s="3" t="str">
        <f>IFERROR(__xludf.DUMMYFUNCTION("""COMPUTED_VALUE"""),"Instituto de Manejo e Certificação Florestal e Agrícola (Imaflora)")</f>
        <v>Instituto de Manejo e Certificação Florestal e Agrícola (Imaflora)</v>
      </c>
      <c r="B83" s="3" t="str">
        <f>IFERROR(__xludf.DUMMYFUNCTION("""COMPUTED_VALUE"""),"Data / MRV / platforms")</f>
        <v>Data / MRV / platforms</v>
      </c>
    </row>
    <row r="84">
      <c r="A84" s="3" t="str">
        <f>IFERROR(__xludf.DUMMYFUNCTION("""COMPUTED_VALUE"""),"Fundação Roberto Marinho")</f>
        <v>Fundação Roberto Marinho</v>
      </c>
      <c r="B84" s="3" t="str">
        <f>IFERROR(__xludf.DUMMYFUNCTION("""COMPUTED_VALUE"""),"Convenor/enablers")</f>
        <v>Convenor/enablers</v>
      </c>
    </row>
    <row r="85">
      <c r="A85" s="3" t="str">
        <f>IFERROR(__xludf.DUMMYFUNCTION("""COMPUTED_VALUE"""),"Fundação Roberto Marinho")</f>
        <v>Fundação Roberto Marinho</v>
      </c>
      <c r="B85" s="3" t="str">
        <f>IFERROR(__xludf.DUMMYFUNCTION("""COMPUTED_VALUE"""),"Implementation capacity (delivery)")</f>
        <v>Implementation capacity (delivery)</v>
      </c>
    </row>
    <row r="86">
      <c r="A86" s="3" t="str">
        <f>IFERROR(__xludf.DUMMYFUNCTION("""COMPUTED_VALUE"""),"Instituto de Pesquisa Econômica Aplicada (Ipea)")</f>
        <v>Instituto de Pesquisa Econômica Aplicada (Ipea)</v>
      </c>
      <c r="B86" s="3" t="str">
        <f>IFERROR(__xludf.DUMMYFUNCTION("""COMPUTED_VALUE"""),"Technical assistance / research")</f>
        <v>Technical assistance / research</v>
      </c>
    </row>
    <row r="87">
      <c r="A87" s="3" t="str">
        <f>IFERROR(__xludf.DUMMYFUNCTION("""COMPUTED_VALUE"""),"Instituto de Pesquisa Econômica Aplicada (Ipea)")</f>
        <v>Instituto de Pesquisa Econômica Aplicada (Ipea)</v>
      </c>
      <c r="B87" s="3" t="str">
        <f>IFERROR(__xludf.DUMMYFUNCTION("""COMPUTED_VALUE"""),"Policy influence / regulation")</f>
        <v>Policy influence / regulation</v>
      </c>
    </row>
    <row r="88">
      <c r="A88" s="3" t="str">
        <f>IFERROR(__xludf.DUMMYFUNCTION("""COMPUTED_VALUE"""),"Escola Nacional de Administração Pública (ENAP)")</f>
        <v>Escola Nacional de Administração Pública (ENAP)</v>
      </c>
      <c r="B88" s="3" t="str">
        <f>IFERROR(__xludf.DUMMYFUNCTION("""COMPUTED_VALUE"""),"Technical assistance / research")</f>
        <v>Technical assistance / research</v>
      </c>
    </row>
    <row r="89">
      <c r="A89" s="3" t="str">
        <f>IFERROR(__xludf.DUMMYFUNCTION("""COMPUTED_VALUE"""),"Escola Nacional de Administração Pública (ENAP)")</f>
        <v>Escola Nacional de Administração Pública (ENAP)</v>
      </c>
      <c r="B89" s="3" t="str">
        <f>IFERROR(__xludf.DUMMYFUNCTION("""COMPUTED_VALUE"""),"Policy influence / regulation")</f>
        <v>Policy influence / regulation</v>
      </c>
    </row>
    <row r="90">
      <c r="A90" s="3" t="str">
        <f>IFERROR(__xludf.DUMMYFUNCTION("""COMPUTED_VALUE"""),"Instituto Serzedello Corrêa (ISC/TCU)")</f>
        <v>Instituto Serzedello Corrêa (ISC/TCU)</v>
      </c>
      <c r="B90" s="3" t="str">
        <f>IFERROR(__xludf.DUMMYFUNCTION("""COMPUTED_VALUE"""),"Technical assistance / research")</f>
        <v>Technical assistance / research</v>
      </c>
    </row>
    <row r="91">
      <c r="A91" s="3" t="str">
        <f>IFERROR(__xludf.DUMMYFUNCTION("""COMPUTED_VALUE"""),"Instituto Serzedello Corrêa (ISC/TCU)")</f>
        <v>Instituto Serzedello Corrêa (ISC/TCU)</v>
      </c>
      <c r="B91" s="3" t="str">
        <f>IFERROR(__xludf.DUMMYFUNCTION("""COMPUTED_VALUE"""),"Policy influence / regulation")</f>
        <v>Policy influence / regulation</v>
      </c>
    </row>
    <row r="92">
      <c r="A92" s="3" t="str">
        <f>IFERROR(__xludf.DUMMYFUNCTION("""COMPUTED_VALUE"""),"Vale S.A.")</f>
        <v>Vale S.A.</v>
      </c>
      <c r="B92" s="3" t="str">
        <f>IFERROR(__xludf.DUMMYFUNCTION("""COMPUTED_VALUE"""),"Strategic partner")</f>
        <v>Strategic partner</v>
      </c>
    </row>
    <row r="93">
      <c r="A93" s="3" t="str">
        <f>IFERROR(__xludf.DUMMYFUNCTION("""COMPUTED_VALUE"""),"Vale S.A.")</f>
        <v>Vale S.A.</v>
      </c>
      <c r="B93" s="3" t="str">
        <f>IFERROR(__xludf.DUMMYFUNCTION("""COMPUTED_VALUE"""),"Implementation capacity (delivery)")</f>
        <v>Implementation capacity (delivery)</v>
      </c>
    </row>
    <row r="94">
      <c r="A94" s="3" t="str">
        <f>IFERROR(__xludf.DUMMYFUNCTION("""COMPUTED_VALUE"""),"Suzano S.A.")</f>
        <v>Suzano S.A.</v>
      </c>
      <c r="B94" s="3" t="str">
        <f>IFERROR(__xludf.DUMMYFUNCTION("""COMPUTED_VALUE"""),"Strategic partner")</f>
        <v>Strategic partner</v>
      </c>
    </row>
    <row r="95">
      <c r="A95" s="3" t="str">
        <f>IFERROR(__xludf.DUMMYFUNCTION("""COMPUTED_VALUE"""),"Suzano S.A.")</f>
        <v>Suzano S.A.</v>
      </c>
      <c r="B95" s="3" t="str">
        <f>IFERROR(__xludf.DUMMYFUNCTION("""COMPUTED_VALUE"""),"Implementation capacity (delivery)")</f>
        <v>Implementation capacity (delivery)</v>
      </c>
    </row>
    <row r="96">
      <c r="A96" s="3" t="str">
        <f>IFERROR(__xludf.DUMMYFUNCTION("""COMPUTED_VALUE"""),"Banco da Amazônia S.A. (BASA)")</f>
        <v>Banco da Amazônia S.A. (BASA)</v>
      </c>
      <c r="B96" s="3" t="str">
        <f>IFERROR(__xludf.DUMMYFUNCTION("""COMPUTED_VALUE"""),"Capital provider / Financial intermediary")</f>
        <v>Capital provider / Financial intermediary</v>
      </c>
    </row>
    <row r="97">
      <c r="A97" s="3" t="str">
        <f>IFERROR(__xludf.DUMMYFUNCTION("""COMPUTED_VALUE"""),"Banco da Amazônia S.A. (BASA)")</f>
        <v>Banco da Amazônia S.A. (BASA)</v>
      </c>
      <c r="B97" s="3" t="str">
        <f>IFERROR(__xludf.DUMMYFUNCTION("""COMPUTED_VALUE"""),"Territorial anchor")</f>
        <v>Territorial anchor</v>
      </c>
    </row>
    <row r="98">
      <c r="A98" s="3" t="str">
        <f>IFERROR(__xludf.DUMMYFUNCTION("""COMPUTED_VALUE"""),"Instituto de Conservação e Desenvolvimento Sustentável da Amazônia (IDESAM)")</f>
        <v>Instituto de Conservação e Desenvolvimento Sustentável da Amazônia (IDESAM)</v>
      </c>
      <c r="B98" s="3" t="str">
        <f>IFERROR(__xludf.DUMMYFUNCTION("""COMPUTED_VALUE"""),"Project developer / Implementer")</f>
        <v>Project developer / Implementer</v>
      </c>
    </row>
    <row r="99">
      <c r="A99" s="3" t="str">
        <f>IFERROR(__xludf.DUMMYFUNCTION("""COMPUTED_VALUE"""),"Instituto de Conservação e Desenvolvimento Sustentável da Amazônia (IDESAM)")</f>
        <v>Instituto de Conservação e Desenvolvimento Sustentável da Amazônia (IDESAM)</v>
      </c>
      <c r="B99" s="3" t="str">
        <f>IFERROR(__xludf.DUMMYFUNCTION("""COMPUTED_VALUE"""),"Technical assistance / research")</f>
        <v>Technical assistance / research</v>
      </c>
    </row>
    <row r="100">
      <c r="A100" s="3" t="str">
        <f>IFERROR(__xludf.DUMMYFUNCTION("""COMPUTED_VALUE"""),"Sitawi Finanças do Bem")</f>
        <v>Sitawi Finanças do Bem</v>
      </c>
      <c r="B100" s="3" t="str">
        <f>IFERROR(__xludf.DUMMYFUNCTION("""COMPUTED_VALUE"""),"Capital provider / Financial intermediary")</f>
        <v>Capital provider / Financial intermediary</v>
      </c>
    </row>
    <row r="101">
      <c r="A101" s="3" t="str">
        <f>IFERROR(__xludf.DUMMYFUNCTION("""COMPUTED_VALUE"""),"Sitawi Finanças do Bem")</f>
        <v>Sitawi Finanças do Bem</v>
      </c>
      <c r="B101" s="3" t="str">
        <f>IFERROR(__xludf.DUMMYFUNCTION("""COMPUTED_VALUE"""),"Project developer / Implementer")</f>
        <v>Project developer / Implementer</v>
      </c>
    </row>
    <row r="102">
      <c r="A102" s="3" t="str">
        <f>IFERROR(__xludf.DUMMYFUNCTION("""COMPUTED_VALUE"""),"Din4mo")</f>
        <v>Din4mo</v>
      </c>
      <c r="B102" s="3" t="str">
        <f>IFERROR(__xludf.DUMMYFUNCTION("""COMPUTED_VALUE"""),"Capital provider / Financial intermediary")</f>
        <v>Capital provider / Financial intermediary</v>
      </c>
    </row>
    <row r="103">
      <c r="A103" s="3" t="str">
        <f>IFERROR(__xludf.DUMMYFUNCTION("""COMPUTED_VALUE"""),"Artemisia")</f>
        <v>Artemisia</v>
      </c>
      <c r="B103" s="3" t="str">
        <f>IFERROR(__xludf.DUMMYFUNCTION("""COMPUTED_VALUE"""),"Convenor/enablers")</f>
        <v>Convenor/enablers</v>
      </c>
    </row>
    <row r="104">
      <c r="A104" s="3" t="str">
        <f>IFERROR(__xludf.DUMMYFUNCTION("""COMPUTED_VALUE"""),"Artemisia")</f>
        <v>Artemisia</v>
      </c>
      <c r="B104" s="3" t="str">
        <f>IFERROR(__xludf.DUMMYFUNCTION("""COMPUTED_VALUE"""),"Implementation capacity (delivery)")</f>
        <v>Implementation capacity (delivery)</v>
      </c>
    </row>
    <row r="105">
      <c r="A105" s="3" t="str">
        <f>IFERROR(__xludf.DUMMYFUNCTION("""COMPUTED_VALUE"""),"Instituto de Cidadania Empresarial (ICE)")</f>
        <v>Instituto de Cidadania Empresarial (ICE)</v>
      </c>
      <c r="B105" s="3" t="str">
        <f>IFERROR(__xludf.DUMMYFUNCTION("""COMPUTED_VALUE"""),"Convenor/enablers")</f>
        <v>Convenor/enablers</v>
      </c>
    </row>
    <row r="106">
      <c r="A106" s="3" t="str">
        <f>IFERROR(__xludf.DUMMYFUNCTION("""COMPUTED_VALUE"""),"Instituto de Cidadania Empresarial (ICE)")</f>
        <v>Instituto de Cidadania Empresarial (ICE)</v>
      </c>
      <c r="B106" s="3" t="str">
        <f>IFERROR(__xludf.DUMMYFUNCTION("""COMPUTED_VALUE"""),"Technical assistance / research")</f>
        <v>Technical assistance / research</v>
      </c>
    </row>
    <row r="107">
      <c r="A107" s="3" t="str">
        <f>IFERROR(__xludf.DUMMYFUNCTION("""COMPUTED_VALUE"""),"Impact Hub Network")</f>
        <v>Impact Hub Network</v>
      </c>
      <c r="B107" s="3" t="str">
        <f>IFERROR(__xludf.DUMMYFUNCTION("""COMPUTED_VALUE"""),"Convenor/enablers")</f>
        <v>Convenor/enablers</v>
      </c>
    </row>
    <row r="108">
      <c r="A108" s="3" t="str">
        <f>IFERROR(__xludf.DUMMYFUNCTION("""COMPUTED_VALUE"""),"Impact Hub Network")</f>
        <v>Impact Hub Network</v>
      </c>
      <c r="B108" s="3" t="str">
        <f>IFERROR(__xludf.DUMMYFUNCTION("""COMPUTED_VALUE"""),"Implementation capacity (delivery)")</f>
        <v>Implementation capacity (delivery)</v>
      </c>
    </row>
    <row r="109">
      <c r="A109" s="3" t="str">
        <f>IFERROR(__xludf.DUMMYFUNCTION("""COMPUTED_VALUE"""),"Instituto Conexões Sustentáveis (Conexsus)")</f>
        <v>Instituto Conexões Sustentáveis (Conexsus)</v>
      </c>
      <c r="B109" s="3" t="str">
        <f>IFERROR(__xludf.DUMMYFUNCTION("""COMPUTED_VALUE"""),"Capital provider / Financial intermediary")</f>
        <v>Capital provider / Financial intermediary</v>
      </c>
    </row>
    <row r="110">
      <c r="A110" s="3" t="str">
        <f>IFERROR(__xludf.DUMMYFUNCTION("""COMPUTED_VALUE"""),"Instituto Conexões Sustentáveis (Conexsus)")</f>
        <v>Instituto Conexões Sustentáveis (Conexsus)</v>
      </c>
      <c r="B110" s="3" t="str">
        <f>IFERROR(__xludf.DUMMYFUNCTION("""COMPUTED_VALUE"""),"Implementation capacity (delivery)")</f>
        <v>Implementation capacity (delivery)</v>
      </c>
    </row>
    <row r="111">
      <c r="A111" s="3" t="str">
        <f>IFERROR(__xludf.DUMMYFUNCTION("""COMPUTED_VALUE"""),"Pipe.Social")</f>
        <v>Pipe.Social</v>
      </c>
      <c r="B111" s="3" t="str">
        <f>IFERROR(__xludf.DUMMYFUNCTION("""COMPUTED_VALUE"""),"Data / MRV / platforms")</f>
        <v>Data / MRV / platforms</v>
      </c>
    </row>
    <row r="112">
      <c r="A112" s="3" t="str">
        <f>IFERROR(__xludf.DUMMYFUNCTION("""COMPUTED_VALUE"""),"Pipe.Social")</f>
        <v>Pipe.Social</v>
      </c>
      <c r="B112" s="3" t="str">
        <f>IFERROR(__xludf.DUMMYFUNCTION("""COMPUTED_VALUE"""),"Convenor/enablers")</f>
        <v>Convenor/enablers</v>
      </c>
    </row>
    <row r="113">
      <c r="A113" s="3" t="str">
        <f>IFERROR(__xludf.DUMMYFUNCTION("""COMPUTED_VALUE"""),"Yunus Negócios Sociais (Brasil)")</f>
        <v>Yunus Negócios Sociais (Brasil)</v>
      </c>
      <c r="B113" s="3" t="str">
        <f>IFERROR(__xludf.DUMMYFUNCTION("""COMPUTED_VALUE"""),"Capital provider / Financial intermediary")</f>
        <v>Capital provider / Financial intermediary</v>
      </c>
    </row>
    <row r="114">
      <c r="A114" s="3" t="str">
        <f>IFERROR(__xludf.DUMMYFUNCTION("""COMPUTED_VALUE"""),"Yunus Negócios Sociais (Brasil)")</f>
        <v>Yunus Negócios Sociais (Brasil)</v>
      </c>
      <c r="B114" s="3" t="str">
        <f>IFERROR(__xludf.DUMMYFUNCTION("""COMPUTED_VALUE"""),"Implementation capacity (delivery)")</f>
        <v>Implementation capacity (delivery)</v>
      </c>
    </row>
    <row r="115">
      <c r="A115" s="3" t="str">
        <f>IFERROR(__xludf.DUMMYFUNCTION("""COMPUTED_VALUE"""),"Instituto C&amp;A")</f>
        <v>Instituto C&amp;A</v>
      </c>
      <c r="B115" s="3" t="str">
        <f>IFERROR(__xludf.DUMMYFUNCTION("""COMPUTED_VALUE"""),"Funder")</f>
        <v>Funder</v>
      </c>
    </row>
    <row r="116">
      <c r="A116" s="3" t="str">
        <f>IFERROR(__xludf.DUMMYFUNCTION("""COMPUTED_VALUE"""),"Instituto C&amp;A")</f>
        <v>Instituto C&amp;A</v>
      </c>
      <c r="B116" s="3" t="str">
        <f>IFERROR(__xludf.DUMMYFUNCTION("""COMPUTED_VALUE"""),"Strategic partner")</f>
        <v>Strategic partner</v>
      </c>
    </row>
    <row r="117">
      <c r="A117" s="3" t="str">
        <f>IFERROR(__xludf.DUMMYFUNCTION("""COMPUTED_VALUE"""),"Lundin Foundation")</f>
        <v>Lundin Foundation</v>
      </c>
      <c r="B117" s="3" t="str">
        <f>IFERROR(__xludf.DUMMYFUNCTION("""COMPUTED_VALUE"""),"Funder")</f>
        <v>Funder</v>
      </c>
    </row>
    <row r="118">
      <c r="A118" s="3" t="str">
        <f>IFERROR(__xludf.DUMMYFUNCTION("""COMPUTED_VALUE"""),"Lundin Foundation")</f>
        <v>Lundin Foundation</v>
      </c>
      <c r="B118" s="3" t="str">
        <f>IFERROR(__xludf.DUMMYFUNCTION("""COMPUTED_VALUE"""),"Strategic partner")</f>
        <v>Strategic partner</v>
      </c>
    </row>
    <row r="119">
      <c r="A119" s="3" t="str">
        <f>IFERROR(__xludf.DUMMYFUNCTION("""COMPUTED_VALUE"""),"Aliança Empreendedora")</f>
        <v>Aliança Empreendedora</v>
      </c>
      <c r="B119" s="3" t="str">
        <f>IFERROR(__xludf.DUMMYFUNCTION("""COMPUTED_VALUE"""),"Implementation capacity (delivery)")</f>
        <v>Implementation capacity (delivery)</v>
      </c>
    </row>
    <row r="120">
      <c r="A120" s="3" t="str">
        <f>IFERROR(__xludf.DUMMYFUNCTION("""COMPUTED_VALUE"""),"Omidyar Network")</f>
        <v>Omidyar Network</v>
      </c>
      <c r="B120" s="3" t="str">
        <f>IFERROR(__xludf.DUMMYFUNCTION("""COMPUTED_VALUE"""),"Funder")</f>
        <v>Funder</v>
      </c>
    </row>
    <row r="121">
      <c r="A121" s="3" t="str">
        <f>IFERROR(__xludf.DUMMYFUNCTION("""COMPUTED_VALUE"""),"Omidyar Network")</f>
        <v>Omidyar Network</v>
      </c>
      <c r="B121" s="3" t="str">
        <f>IFERROR(__xludf.DUMMYFUNCTION("""COMPUTED_VALUE"""),"Strategic partner")</f>
        <v>Strategic partner</v>
      </c>
    </row>
    <row r="122">
      <c r="A122" s="3" t="str">
        <f>IFERROR(__xludf.DUMMYFUNCTION("""COMPUTED_VALUE"""),"Fundação Grupo Boticário de Proteção à Natureza")</f>
        <v>Fundação Grupo Boticário de Proteção à Natureza</v>
      </c>
      <c r="B122" s="3" t="str">
        <f>IFERROR(__xludf.DUMMYFUNCTION("""COMPUTED_VALUE"""),"Funder")</f>
        <v>Funder</v>
      </c>
    </row>
    <row r="123">
      <c r="A123" s="3" t="str">
        <f>IFERROR(__xludf.DUMMYFUNCTION("""COMPUTED_VALUE"""),"Fundação Grupo Boticário de Proteção à Natureza")</f>
        <v>Fundação Grupo Boticário de Proteção à Natureza</v>
      </c>
      <c r="B123" s="3" t="str">
        <f>IFERROR(__xludf.DUMMYFUNCTION("""COMPUTED_VALUE"""),"Project developer / Implementer")</f>
        <v>Project developer / Implementer</v>
      </c>
    </row>
    <row r="124">
      <c r="A124" s="3" t="str">
        <f>IFERROR(__xludf.DUMMYFUNCTION("""COMPUTED_VALUE"""),"Natura")</f>
        <v>Natura</v>
      </c>
      <c r="B124" s="3" t="str">
        <f>IFERROR(__xludf.DUMMYFUNCTION("""COMPUTED_VALUE"""),"Strategic partner")</f>
        <v>Strategic partner</v>
      </c>
    </row>
    <row r="125">
      <c r="A125" s="3" t="str">
        <f>IFERROR(__xludf.DUMMYFUNCTION("""COMPUTED_VALUE"""),"Natura")</f>
        <v>Natura</v>
      </c>
      <c r="B125" s="3" t="str">
        <f>IFERROR(__xludf.DUMMYFUNCTION("""COMPUTED_VALUE"""),"Implementation capacity (delivery)")</f>
        <v>Implementation capacity (delivery)</v>
      </c>
    </row>
    <row r="126">
      <c r="A126" s="3" t="str">
        <f>IFERROR(__xludf.DUMMYFUNCTION("""COMPUTED_VALUE"""),"Programa das Nações Unidas para o Desenvolvimento (PNUD)")</f>
        <v>Programa das Nações Unidas para o Desenvolvimento (PNUD)</v>
      </c>
      <c r="B126" s="3" t="str">
        <f>IFERROR(__xludf.DUMMYFUNCTION("""COMPUTED_VALUE"""),"Strategic partner")</f>
        <v>Strategic partner</v>
      </c>
    </row>
    <row r="127">
      <c r="A127" s="3" t="str">
        <f>IFERROR(__xludf.DUMMYFUNCTION("""COMPUTED_VALUE"""),"Programa das Nações Unidas para o Desenvolvimento (PNUD)")</f>
        <v>Programa das Nações Unidas para o Desenvolvimento (PNUD)</v>
      </c>
      <c r="B127" s="3" t="str">
        <f>IFERROR(__xludf.DUMMYFUNCTION("""COMPUTED_VALUE"""),"Convenor/enablers")</f>
        <v>Convenor/enablers</v>
      </c>
    </row>
    <row r="128">
      <c r="A128" s="3" t="str">
        <f>IFERROR(__xludf.DUMMYFUNCTION("""COMPUTED_VALUE"""),"Programa das Nações Unidas para o Desenvolvimento (PNUD)")</f>
        <v>Programa das Nações Unidas para o Desenvolvimento (PNUD)</v>
      </c>
      <c r="B128" s="3" t="str">
        <f>IFERROR(__xludf.DUMMYFUNCTION("""COMPUTED_VALUE"""),"Project developer / Implementer")</f>
        <v>Project developer / Implementer</v>
      </c>
    </row>
    <row r="129">
      <c r="A129" s="3" t="str">
        <f>IFERROR(__xludf.DUMMYFUNCTION("""COMPUTED_VALUE"""),"Centro de Empreendedorismo da Amazônia (CEA)")</f>
        <v>Centro de Empreendedorismo da Amazônia (CEA)</v>
      </c>
      <c r="B129" s="3" t="str">
        <f>IFERROR(__xludf.DUMMYFUNCTION("""COMPUTED_VALUE"""),"Technical assistance / research")</f>
        <v>Technical assistance / research</v>
      </c>
    </row>
    <row r="130">
      <c r="A130" s="3" t="str">
        <f>IFERROR(__xludf.DUMMYFUNCTION("""COMPUTED_VALUE"""),"Centro de Empreendedorismo da Amazônia (CEA)")</f>
        <v>Centro de Empreendedorismo da Amazônia (CEA)</v>
      </c>
      <c r="B130" s="3" t="str">
        <f>IFERROR(__xludf.DUMMYFUNCTION("""COMPUTED_VALUE"""),"Implementation capacity (delivery)")</f>
        <v>Implementation capacity (delivery)</v>
      </c>
    </row>
    <row r="131">
      <c r="A131" s="3" t="str">
        <f>IFERROR(__xludf.DUMMYFUNCTION("""COMPUTED_VALUE"""),"Manioca")</f>
        <v>Manioca</v>
      </c>
      <c r="B131" s="3" t="str">
        <f>IFERROR(__xludf.DUMMYFUNCTION("""COMPUTED_VALUE"""),"Implementation capacity (delivery)")</f>
        <v>Implementation capacity (delivery)</v>
      </c>
    </row>
    <row r="132">
      <c r="A132" s="3" t="str">
        <f>IFERROR(__xludf.DUMMYFUNCTION("""COMPUTED_VALUE"""),"Instituto Votorantim")</f>
        <v>Instituto Votorantim</v>
      </c>
      <c r="B132" s="3" t="str">
        <f>IFERROR(__xludf.DUMMYFUNCTION("""COMPUTED_VALUE"""),"Funder")</f>
        <v>Funder</v>
      </c>
    </row>
    <row r="133">
      <c r="A133" s="3" t="str">
        <f>IFERROR(__xludf.DUMMYFUNCTION("""COMPUTED_VALUE"""),"Instituto Votorantim")</f>
        <v>Instituto Votorantim</v>
      </c>
      <c r="B133" s="3" t="str">
        <f>IFERROR(__xludf.DUMMYFUNCTION("""COMPUTED_VALUE"""),"Strategic partner")</f>
        <v>Strategic partner</v>
      </c>
    </row>
    <row r="134">
      <c r="A134" s="3" t="str">
        <f>IFERROR(__xludf.DUMMYFUNCTION("""COMPUTED_VALUE"""),"Quintessa")</f>
        <v>Quintessa</v>
      </c>
      <c r="B134" s="3" t="str">
        <f>IFERROR(__xludf.DUMMYFUNCTION("""COMPUTED_VALUE"""),"Implementation capacity (delivery)")</f>
        <v>Implementation capacity (delivery)</v>
      </c>
    </row>
    <row r="135">
      <c r="A135" s="3" t="str">
        <f>IFERROR(__xludf.DUMMYFUNCTION("""COMPUTED_VALUE"""),"Quintessa")</f>
        <v>Quintessa</v>
      </c>
      <c r="B135" s="3" t="str">
        <f>IFERROR(__xludf.DUMMYFUNCTION("""COMPUTED_VALUE"""),"Convenor/enablers")</f>
        <v>Convenor/enablers</v>
      </c>
    </row>
    <row r="136">
      <c r="A136" s="3" t="str">
        <f>IFERROR(__xludf.DUMMYFUNCTION("""COMPUTED_VALUE"""),"De Mendes")</f>
        <v>De Mendes</v>
      </c>
      <c r="B136" s="3" t="str">
        <f>IFERROR(__xludf.DUMMYFUNCTION("""COMPUTED_VALUE"""),"Implementation capacity (delivery)")</f>
        <v>Implementation capacity (delivery)</v>
      </c>
    </row>
    <row r="137">
      <c r="A137" s="3" t="str">
        <f>IFERROR(__xludf.DUMMYFUNCTION("""COMPUTED_VALUE"""),"Endeva")</f>
        <v>Endeva</v>
      </c>
      <c r="B137" s="3" t="str">
        <f>IFERROR(__xludf.DUMMYFUNCTION("""COMPUTED_VALUE"""),"Technical assistance / research")</f>
        <v>Technical assistance / research</v>
      </c>
    </row>
    <row r="138">
      <c r="A138" s="3" t="str">
        <f>IFERROR(__xludf.DUMMYFUNCTION("""COMPUTED_VALUE"""),"Insper")</f>
        <v>Insper</v>
      </c>
      <c r="B138" s="3" t="str">
        <f>IFERROR(__xludf.DUMMYFUNCTION("""COMPUTED_VALUE"""),"Technical assistance / research")</f>
        <v>Technical assistance / research</v>
      </c>
    </row>
    <row r="139">
      <c r="A139" s="3" t="str">
        <f>IFERROR(__xludf.DUMMYFUNCTION("""COMPUTED_VALUE"""),"Positive Ventures")</f>
        <v>Positive Ventures</v>
      </c>
      <c r="B139" s="3" t="str">
        <f>IFERROR(__xludf.DUMMYFUNCTION("""COMPUTED_VALUE"""),"Capital provider / Financial intermediary")</f>
        <v>Capital provider / Financial intermediary</v>
      </c>
    </row>
    <row r="140">
      <c r="A140" s="3" t="str">
        <f>IFERROR(__xludf.DUMMYFUNCTION("""COMPUTED_VALUE"""),"BMW Foundation Herbert Quandt")</f>
        <v>BMW Foundation Herbert Quandt</v>
      </c>
      <c r="B140" s="3" t="str">
        <f>IFERROR(__xludf.DUMMYFUNCTION("""COMPUTED_VALUE"""),"Funder")</f>
        <v>Funder</v>
      </c>
    </row>
    <row r="141">
      <c r="A141" s="3" t="str">
        <f>IFERROR(__xludf.DUMMYFUNCTION("""COMPUTED_VALUE"""),"BMW Foundation Herbert Quandt")</f>
        <v>BMW Foundation Herbert Quandt</v>
      </c>
      <c r="B141" s="3" t="str">
        <f>IFERROR(__xludf.DUMMYFUNCTION("""COMPUTED_VALUE"""),"Convenor/enablers")</f>
        <v>Convenor/enablers</v>
      </c>
    </row>
    <row r="142">
      <c r="A142" s="3" t="str">
        <f>IFERROR(__xludf.DUMMYFUNCTION("""COMPUTED_VALUE"""),"Ford Foundation")</f>
        <v>Ford Foundation</v>
      </c>
      <c r="B142" s="3" t="str">
        <f>IFERROR(__xludf.DUMMYFUNCTION("""COMPUTED_VALUE"""),"Funder")</f>
        <v>Funder</v>
      </c>
    </row>
    <row r="143">
      <c r="A143" s="3" t="str">
        <f>IFERROR(__xludf.DUMMYFUNCTION("""COMPUTED_VALUE"""),"Ford Foundation")</f>
        <v>Ford Foundation</v>
      </c>
      <c r="B143" s="3" t="str">
        <f>IFERROR(__xludf.DUMMYFUNCTION("""COMPUTED_VALUE"""),"Strategic partner")</f>
        <v>Strategic partner</v>
      </c>
    </row>
    <row r="144">
      <c r="A144" s="3" t="str">
        <f>IFERROR(__xludf.DUMMYFUNCTION("""COMPUTED_VALUE"""),"Instituto Sabin")</f>
        <v>Instituto Sabin</v>
      </c>
      <c r="B144" s="3" t="str">
        <f>IFERROR(__xludf.DUMMYFUNCTION("""COMPUTED_VALUE"""),"Funder")</f>
        <v>Funder</v>
      </c>
    </row>
    <row r="145">
      <c r="A145" s="3" t="str">
        <f>IFERROR(__xludf.DUMMYFUNCTION("""COMPUTED_VALUE"""),"Instituto Sabin")</f>
        <v>Instituto Sabin</v>
      </c>
      <c r="B145" s="3" t="str">
        <f>IFERROR(__xludf.DUMMYFUNCTION("""COMPUTED_VALUE"""),"Territorial anchor")</f>
        <v>Territorial anchor</v>
      </c>
    </row>
    <row r="146">
      <c r="A146" s="3" t="str">
        <f>IFERROR(__xludf.DUMMYFUNCTION("""COMPUTED_VALUE"""),"Instituto Phi")</f>
        <v>Instituto Phi</v>
      </c>
      <c r="B146" s="3" t="str">
        <f>IFERROR(__xludf.DUMMYFUNCTION("""COMPUTED_VALUE"""),"Project developer / Implementer")</f>
        <v>Project developer / Implementer</v>
      </c>
    </row>
    <row r="147">
      <c r="A147" s="3" t="str">
        <f>IFERROR(__xludf.DUMMYFUNCTION("""COMPUTED_VALUE"""),"Instituto Phi")</f>
        <v>Instituto Phi</v>
      </c>
      <c r="B147" s="3" t="str">
        <f>IFERROR(__xludf.DUMMYFUNCTION("""COMPUTED_VALUE"""),"Convenor/enablers")</f>
        <v>Convenor/enablers</v>
      </c>
    </row>
    <row r="148">
      <c r="A148" s="3" t="str">
        <f>IFERROR(__xludf.DUMMYFUNCTION("""COMPUTED_VALUE"""),"Instituto Phi")</f>
        <v>Instituto Phi</v>
      </c>
      <c r="B148" s="3" t="str">
        <f>IFERROR(__xludf.DUMMYFUNCTION("""COMPUTED_VALUE"""),"Implementation capacity (delivery)")</f>
        <v>Implementation capacity (delivery)</v>
      </c>
    </row>
    <row r="149">
      <c r="A149" s="3" t="str">
        <f>IFERROR(__xludf.DUMMYFUNCTION("""COMPUTED_VALUE"""),"Deloitte")</f>
        <v>Deloitte</v>
      </c>
      <c r="B149" s="3" t="str">
        <f>IFERROR(__xludf.DUMMYFUNCTION("""COMPUTED_VALUE"""),"Technical assistance / research")</f>
        <v>Technical assistance / research</v>
      </c>
    </row>
    <row r="150">
      <c r="A150" s="3" t="str">
        <f>IFERROR(__xludf.DUMMYFUNCTION("""COMPUTED_VALUE"""),"Deloitte")</f>
        <v>Deloitte</v>
      </c>
      <c r="B150" s="3" t="str">
        <f>IFERROR(__xludf.DUMMYFUNCTION("""COMPUTED_VALUE"""),"Data / MRV / platforms")</f>
        <v>Data / MRV / platforms</v>
      </c>
    </row>
    <row r="151">
      <c r="A151" s="3" t="str">
        <f>IFERROR(__xludf.DUMMYFUNCTION("""COMPUTED_VALUE"""),"Centro de Estudos em Sustentabilidade da FGV (FGVces)")</f>
        <v>Centro de Estudos em Sustentabilidade da FGV (FGVces)</v>
      </c>
      <c r="B151" s="3" t="str">
        <f>IFERROR(__xludf.DUMMYFUNCTION("""COMPUTED_VALUE"""),"Technical assistance / research")</f>
        <v>Technical assistance / research</v>
      </c>
    </row>
    <row r="152">
      <c r="A152" s="3" t="str">
        <f>IFERROR(__xludf.DUMMYFUNCTION("""COMPUTED_VALUE"""),"Centro de Estudos em Sustentabilidade da FGV (FGVces)")</f>
        <v>Centro de Estudos em Sustentabilidade da FGV (FGVces)</v>
      </c>
      <c r="B152" s="3" t="str">
        <f>IFERROR(__xludf.DUMMYFUNCTION("""COMPUTED_VALUE"""),"Data / MRV / platforms")</f>
        <v>Data / MRV / platforms</v>
      </c>
    </row>
    <row r="153">
      <c r="A153" s="3" t="str">
        <f>IFERROR(__xludf.DUMMYFUNCTION("""COMPUTED_VALUE"""),"Fundação Dom Cabral (FDC)")</f>
        <v>Fundação Dom Cabral (FDC)</v>
      </c>
      <c r="B153" s="3" t="str">
        <f>IFERROR(__xludf.DUMMYFUNCTION("""COMPUTED_VALUE"""),"Technical assistance / research")</f>
        <v>Technical assistance / research</v>
      </c>
    </row>
    <row r="154">
      <c r="A154" s="3" t="str">
        <f>IFERROR(__xludf.DUMMYFUNCTION("""COMPUTED_VALUE"""),"Instituto Brasileiro de Governança Corporativa (IBGC)")</f>
        <v>Instituto Brasileiro de Governança Corporativa (IBGC)</v>
      </c>
      <c r="B154" s="3" t="str">
        <f>IFERROR(__xludf.DUMMYFUNCTION("""COMPUTED_VALUE"""),"Policy influence / regulation")</f>
        <v>Policy influence / regulation</v>
      </c>
    </row>
    <row r="155">
      <c r="A155" s="3" t="str">
        <f>IFERROR(__xludf.DUMMYFUNCTION("""COMPUTED_VALUE"""),"Instituto Brasileiro de Governança Corporativa (IBGC)")</f>
        <v>Instituto Brasileiro de Governança Corporativa (IBGC)</v>
      </c>
      <c r="B155" s="3" t="str">
        <f>IFERROR(__xludf.DUMMYFUNCTION("""COMPUTED_VALUE"""),"Convenor/enablers")</f>
        <v>Convenor/enablers</v>
      </c>
    </row>
    <row r="156">
      <c r="A156" s="3" t="str">
        <f>IFERROR(__xludf.DUMMYFUNCTION("""COMPUTED_VALUE"""),"Escola Superior de Agricultura Luiz de Queiroz da USP (ESALQ/USP)")</f>
        <v>Escola Superior de Agricultura Luiz de Queiroz da USP (ESALQ/USP)</v>
      </c>
      <c r="B156" s="3" t="str">
        <f>IFERROR(__xludf.DUMMYFUNCTION("""COMPUTED_VALUE"""),"Technical assistance / research")</f>
        <v>Technical assistance / research</v>
      </c>
    </row>
    <row r="157">
      <c r="A157" s="3" t="str">
        <f>IFERROR(__xludf.DUMMYFUNCTION("""COMPUTED_VALUE"""),"Bemtevi")</f>
        <v>Bemtevi</v>
      </c>
      <c r="B157" s="3" t="str">
        <f>IFERROR(__xludf.DUMMYFUNCTION("""COMPUTED_VALUE"""),"Capital provider / Financial intermediary")</f>
        <v>Capital provider / Financial intermediary</v>
      </c>
    </row>
    <row r="158">
      <c r="A158" s="3" t="str">
        <f>IFERROR(__xludf.DUMMYFUNCTION("""COMPUTED_VALUE"""),"Climate and Land Use Alliance (CLUA)")</f>
        <v>Climate and Land Use Alliance (CLUA)</v>
      </c>
      <c r="B158" s="3" t="str">
        <f>IFERROR(__xludf.DUMMYFUNCTION("""COMPUTED_VALUE"""),"Funder")</f>
        <v>Funder</v>
      </c>
    </row>
    <row r="159">
      <c r="A159" s="3" t="str">
        <f>IFERROR(__xludf.DUMMYFUNCTION("""COMPUTED_VALUE"""),"Climate and Land Use Alliance (CLUA)")</f>
        <v>Climate and Land Use Alliance (CLUA)</v>
      </c>
      <c r="B159" s="3" t="str">
        <f>IFERROR(__xludf.DUMMYFUNCTION("""COMPUTED_VALUE"""),"Strategic partner")</f>
        <v>Strategic partner</v>
      </c>
    </row>
    <row r="160">
      <c r="A160" s="3" t="str">
        <f>IFERROR(__xludf.DUMMYFUNCTION("""COMPUTED_VALUE"""),"AMAZ")</f>
        <v>AMAZ</v>
      </c>
      <c r="B160" s="3" t="str">
        <f>IFERROR(__xludf.DUMMYFUNCTION("""COMPUTED_VALUE"""),"Capital provider / Financial intermediary")</f>
        <v>Capital provider / Financial intermediary</v>
      </c>
    </row>
    <row r="161">
      <c r="A161" s="3" t="str">
        <f>IFERROR(__xludf.DUMMYFUNCTION("""COMPUTED_VALUE"""),"Mercado Livre")</f>
        <v>Mercado Livre</v>
      </c>
      <c r="B161" s="3" t="str">
        <f>IFERROR(__xludf.DUMMYFUNCTION("""COMPUTED_VALUE"""),"Strategic partner")</f>
        <v>Strategic partner</v>
      </c>
    </row>
    <row r="162">
      <c r="A162" s="3" t="str">
        <f>IFERROR(__xludf.DUMMYFUNCTION("""COMPUTED_VALUE"""),"Mercado Livre")</f>
        <v>Mercado Livre</v>
      </c>
      <c r="B162" s="3" t="str">
        <f>IFERROR(__xludf.DUMMYFUNCTION("""COMPUTED_VALUE"""),"Implementation capacity (delivery)")</f>
        <v>Implementation capacity (delivery)</v>
      </c>
    </row>
    <row r="163">
      <c r="A163" s="3" t="str">
        <f>IFERROR(__xludf.DUMMYFUNCTION("""COMPUTED_VALUE"""),"Amazon")</f>
        <v>Amazon</v>
      </c>
      <c r="B163" s="3" t="str">
        <f>IFERROR(__xludf.DUMMYFUNCTION("""COMPUTED_VALUE"""),"Strategic partner")</f>
        <v>Strategic partner</v>
      </c>
    </row>
    <row r="164">
      <c r="A164" s="3" t="str">
        <f>IFERROR(__xludf.DUMMYFUNCTION("""COMPUTED_VALUE"""),"Amazon")</f>
        <v>Amazon</v>
      </c>
      <c r="B164" s="3" t="str">
        <f>IFERROR(__xludf.DUMMYFUNCTION("""COMPUTED_VALUE"""),"Implementation capacity (delivery)")</f>
        <v>Implementation capacity (delivery)</v>
      </c>
    </row>
    <row r="165">
      <c r="A165" s="3" t="str">
        <f>IFERROR(__xludf.DUMMYFUNCTION("""COMPUTED_VALUE"""),"CocoaAction Brasil")</f>
        <v>CocoaAction Brasil</v>
      </c>
      <c r="B165" s="3" t="str">
        <f>IFERROR(__xludf.DUMMYFUNCTION("""COMPUTED_VALUE"""),"Convenor/enablers")</f>
        <v>Convenor/enablers</v>
      </c>
    </row>
    <row r="166">
      <c r="A166" s="3" t="str">
        <f>IFERROR(__xludf.DUMMYFUNCTION("""COMPUTED_VALUE"""),"CocoaAction Brasil")</f>
        <v>CocoaAction Brasil</v>
      </c>
      <c r="B166" s="3" t="str">
        <f>IFERROR(__xludf.DUMMYFUNCTION("""COMPUTED_VALUE"""),"Project developer / Implementer")</f>
        <v>Project developer / Implementer</v>
      </c>
    </row>
    <row r="167">
      <c r="A167" s="3" t="str">
        <f>IFERROR(__xludf.DUMMYFUNCTION("""COMPUTED_VALUE"""),"Instituto de Pesquisas Ecológicas (IPÊ)")</f>
        <v>Instituto de Pesquisas Ecológicas (IPÊ)</v>
      </c>
      <c r="B167" s="3" t="str">
        <f>IFERROR(__xludf.DUMMYFUNCTION("""COMPUTED_VALUE"""),"Technical assistance / research")</f>
        <v>Technical assistance / research</v>
      </c>
    </row>
    <row r="168">
      <c r="A168" s="3" t="str">
        <f>IFERROR(__xludf.DUMMYFUNCTION("""COMPUTED_VALUE"""),"Instituto de Pesquisas Ecológicas (IPÊ)")</f>
        <v>Instituto de Pesquisas Ecológicas (IPÊ)</v>
      </c>
      <c r="B168" s="3" t="str">
        <f>IFERROR(__xludf.DUMMYFUNCTION("""COMPUTED_VALUE"""),"Project developer / Implementer")</f>
        <v>Project developer / Implementer</v>
      </c>
    </row>
    <row r="169">
      <c r="A169" s="3" t="str">
        <f>IFERROR(__xludf.DUMMYFUNCTION("""COMPUTED_VALUE"""),"Comunitas")</f>
        <v>Comunitas</v>
      </c>
      <c r="B169" s="3" t="str">
        <f>IFERROR(__xludf.DUMMYFUNCTION("""COMPUTED_VALUE"""),"Convenor/enablers")</f>
        <v>Convenor/enablers</v>
      </c>
    </row>
    <row r="170">
      <c r="A170" s="3" t="str">
        <f>IFERROR(__xludf.DUMMYFUNCTION("""COMPUTED_VALUE"""),"Comunitas")</f>
        <v>Comunitas</v>
      </c>
      <c r="B170" s="3" t="str">
        <f>IFERROR(__xludf.DUMMYFUNCTION("""COMPUTED_VALUE"""),"Policy influence / regulation")</f>
        <v>Policy influence / regulation</v>
      </c>
    </row>
    <row r="171">
      <c r="A171" s="3" t="str">
        <f>IFERROR(__xludf.DUMMYFUNCTION("""COMPUTED_VALUE"""),"Fundação Oswaldo Cruz (Fiocruz)")</f>
        <v>Fundação Oswaldo Cruz (Fiocruz)</v>
      </c>
      <c r="B171" s="3" t="str">
        <f>IFERROR(__xludf.DUMMYFUNCTION("""COMPUTED_VALUE"""),"Technical assistance / research")</f>
        <v>Technical assistance / research</v>
      </c>
    </row>
    <row r="172">
      <c r="A172" s="3" t="str">
        <f>IFERROR(__xludf.DUMMYFUNCTION("""COMPUTED_VALUE"""),"Fundação Oswaldo Cruz (Fiocruz)")</f>
        <v>Fundação Oswaldo Cruz (Fiocruz)</v>
      </c>
      <c r="B172" s="3" t="str">
        <f>IFERROR(__xludf.DUMMYFUNCTION("""COMPUTED_VALUE"""),"Territorial anchor")</f>
        <v>Territorial anchor</v>
      </c>
    </row>
    <row r="173">
      <c r="A173" s="3" t="str">
        <f>IFERROR(__xludf.DUMMYFUNCTION("""COMPUTED_VALUE"""),"Universidade de Brasília (UnB)")</f>
        <v>Universidade de Brasília (UnB)</v>
      </c>
      <c r="B173" s="3" t="str">
        <f>IFERROR(__xludf.DUMMYFUNCTION("""COMPUTED_VALUE"""),"Technical assistance / research")</f>
        <v>Technical assistance / research</v>
      </c>
    </row>
    <row r="174">
      <c r="A174" s="3" t="str">
        <f>IFERROR(__xludf.DUMMYFUNCTION("""COMPUTED_VALUE"""),"Universidade Federal do Pará (UFPA)")</f>
        <v>Universidade Federal do Pará (UFPA)</v>
      </c>
      <c r="B174" s="3" t="str">
        <f>IFERROR(__xludf.DUMMYFUNCTION("""COMPUTED_VALUE"""),"Technical assistance / research")</f>
        <v>Technical assistance / research</v>
      </c>
    </row>
    <row r="175">
      <c r="A175" s="3" t="str">
        <f>IFERROR(__xludf.DUMMYFUNCTION("""COMPUTED_VALUE"""),"Universidade Federal do Pará (UFPA)")</f>
        <v>Universidade Federal do Pará (UFPA)</v>
      </c>
      <c r="B175" s="3" t="str">
        <f>IFERROR(__xludf.DUMMYFUNCTION("""COMPUTED_VALUE"""),"Territorial anchor")</f>
        <v>Territorial anchor</v>
      </c>
    </row>
    <row r="176">
      <c r="A176" s="3" t="str">
        <f>IFERROR(__xludf.DUMMYFUNCTION("""COMPUTED_VALUE"""),"Universidade de São Paulo (USP)")</f>
        <v>Universidade de São Paulo (USP)</v>
      </c>
      <c r="B176" s="3" t="str">
        <f>IFERROR(__xludf.DUMMYFUNCTION("""COMPUTED_VALUE"""),"Technical assistance / research")</f>
        <v>Technical assistance / research</v>
      </c>
    </row>
    <row r="177">
      <c r="A177" s="3" t="str">
        <f>IFERROR(__xludf.DUMMYFUNCTION("""COMPUTED_VALUE"""),"Fundação Nacional dos Povos Indígenas (FUNAI)")</f>
        <v>Fundação Nacional dos Povos Indígenas (FUNAI)</v>
      </c>
      <c r="B177" s="3" t="str">
        <f>IFERROR(__xludf.DUMMYFUNCTION("""COMPUTED_VALUE"""),"Policy influence / regulation")</f>
        <v>Policy influence / regulation</v>
      </c>
    </row>
    <row r="178">
      <c r="A178" s="3" t="str">
        <f>IFERROR(__xludf.DUMMYFUNCTION("""COMPUTED_VALUE"""),"Fundação Nacional dos Povos Indígenas (FUNAI)")</f>
        <v>Fundação Nacional dos Povos Indígenas (FUNAI)</v>
      </c>
      <c r="B178" s="3" t="str">
        <f>IFERROR(__xludf.DUMMYFUNCTION("""COMPUTED_VALUE"""),"Territorial anchor")</f>
        <v>Territorial anchor</v>
      </c>
    </row>
    <row r="179">
      <c r="A179" s="3" t="str">
        <f>IFERROR(__xludf.DUMMYFUNCTION("""COMPUTED_VALUE"""),"Fundação Brasileira para o Desenvolvimento Sustentável (FBDS)")</f>
        <v>Fundação Brasileira para o Desenvolvimento Sustentável (FBDS)</v>
      </c>
      <c r="B179" s="3" t="str">
        <f>IFERROR(__xludf.DUMMYFUNCTION("""COMPUTED_VALUE"""),"Technical assistance / research")</f>
        <v>Technical assistance / research</v>
      </c>
    </row>
    <row r="180">
      <c r="A180" s="3" t="str">
        <f>IFERROR(__xludf.DUMMYFUNCTION("""COMPUTED_VALUE"""),"Fundação Brasileira para o Desenvolvimento Sustentável (FBDS)")</f>
        <v>Fundação Brasileira para o Desenvolvimento Sustentável (FBDS)</v>
      </c>
      <c r="B180" s="3" t="str">
        <f>IFERROR(__xludf.DUMMYFUNCTION("""COMPUTED_VALUE"""),"Strategic partner")</f>
        <v>Strategic partner</v>
      </c>
    </row>
    <row r="181">
      <c r="A181" s="3" t="str">
        <f>IFERROR(__xludf.DUMMYFUNCTION("""COMPUTED_VALUE"""),"Grupo Terra Nova")</f>
        <v>Grupo Terra Nova</v>
      </c>
      <c r="B181" s="3" t="str">
        <f>IFERROR(__xludf.DUMMYFUNCTION("""COMPUTED_VALUE"""),"Implementation capacity (delivery)")</f>
        <v>Implementation capacity (delivery)</v>
      </c>
    </row>
    <row r="182">
      <c r="A182" s="3" t="str">
        <f>IFERROR(__xludf.DUMMYFUNCTION("""COMPUTED_VALUE"""),"Grupo Aterpa")</f>
        <v>Grupo Aterpa</v>
      </c>
      <c r="B182" s="3" t="str">
        <f>IFERROR(__xludf.DUMMYFUNCTION("""COMPUTED_VALUE"""),"Implementation capacity (delivery)")</f>
        <v>Implementation capacity (delivery)</v>
      </c>
    </row>
    <row r="183">
      <c r="A183" s="3" t="str">
        <f>IFERROR(__xludf.DUMMYFUNCTION("""COMPUTED_VALUE"""),"Observatório do Clima")</f>
        <v>Observatório do Clima</v>
      </c>
      <c r="B183" s="3" t="str">
        <f>IFERROR(__xludf.DUMMYFUNCTION("""COMPUTED_VALUE"""),"Policy influence / regulation")</f>
        <v>Policy influence / regulation</v>
      </c>
    </row>
    <row r="184">
      <c r="A184" s="3" t="str">
        <f>IFERROR(__xludf.DUMMYFUNCTION("""COMPUTED_VALUE"""),"Observatório do Clima")</f>
        <v>Observatório do Clima</v>
      </c>
      <c r="B184" s="3" t="str">
        <f>IFERROR(__xludf.DUMMYFUNCTION("""COMPUTED_VALUE"""),"Convenor/enablers")</f>
        <v>Convenor/enablers</v>
      </c>
    </row>
    <row r="185">
      <c r="A185" s="3" t="str">
        <f>IFERROR(__xludf.DUMMYFUNCTION("""COMPUTED_VALUE"""),"United States Agency for International Development (USAID)")</f>
        <v>United States Agency for International Development (USAID)</v>
      </c>
      <c r="B185" s="3" t="str">
        <f>IFERROR(__xludf.DUMMYFUNCTION("""COMPUTED_VALUE"""),"Funder")</f>
        <v>Funder</v>
      </c>
    </row>
    <row r="186">
      <c r="A186" s="3" t="str">
        <f>IFERROR(__xludf.DUMMYFUNCTION("""COMPUTED_VALUE"""),"United States Agency for International Development (USAID)")</f>
        <v>United States Agency for International Development (USAID)</v>
      </c>
      <c r="B186" s="3" t="str">
        <f>IFERROR(__xludf.DUMMYFUNCTION("""COMPUTED_VALUE"""),"Strategic partner")</f>
        <v>Strategic partner</v>
      </c>
    </row>
    <row r="187">
      <c r="A187" s="3" t="str">
        <f>IFERROR(__xludf.DUMMYFUNCTION("""COMPUTED_VALUE"""),"Gordon and Betty Moore Foundation")</f>
        <v>Gordon and Betty Moore Foundation</v>
      </c>
      <c r="B187" s="3" t="str">
        <f>IFERROR(__xludf.DUMMYFUNCTION("""COMPUTED_VALUE"""),"Funder")</f>
        <v>Funder</v>
      </c>
    </row>
    <row r="188">
      <c r="A188" s="3" t="str">
        <f>IFERROR(__xludf.DUMMYFUNCTION("""COMPUTED_VALUE"""),"Gordon and Betty Moore Foundation")</f>
        <v>Gordon and Betty Moore Foundation</v>
      </c>
      <c r="B188" s="3" t="str">
        <f>IFERROR(__xludf.DUMMYFUNCTION("""COMPUTED_VALUE"""),"Strategic partner")</f>
        <v>Strategic partner</v>
      </c>
    </row>
    <row r="189">
      <c r="A189" s="3" t="str">
        <f>IFERROR(__xludf.DUMMYFUNCTION("""COMPUTED_VALUE"""),"Fundação Avina")</f>
        <v>Fundação Avina</v>
      </c>
      <c r="B189" s="3" t="str">
        <f>IFERROR(__xludf.DUMMYFUNCTION("""COMPUTED_VALUE"""),"Funder")</f>
        <v>Funder</v>
      </c>
    </row>
    <row r="190">
      <c r="A190" s="3" t="str">
        <f>IFERROR(__xludf.DUMMYFUNCTION("""COMPUTED_VALUE"""),"Fundação Avina")</f>
        <v>Fundação Avina</v>
      </c>
      <c r="B190" s="3" t="str">
        <f>IFERROR(__xludf.DUMMYFUNCTION("""COMPUTED_VALUE"""),"Strategic partner")</f>
        <v>Strategic partner</v>
      </c>
    </row>
    <row r="191">
      <c r="A191" s="3" t="str">
        <f>IFERROR(__xludf.DUMMYFUNCTION("""COMPUTED_VALUE"""),"Fundação Avina")</f>
        <v>Fundação Avina</v>
      </c>
      <c r="B191" s="3" t="str">
        <f>IFERROR(__xludf.DUMMYFUNCTION("""COMPUTED_VALUE"""),"Convenor/enablers")</f>
        <v>Convenor/enablers</v>
      </c>
    </row>
    <row r="192">
      <c r="A192" s="3" t="str">
        <f>IFERROR(__xludf.DUMMYFUNCTION("""COMPUTED_VALUE"""),"William and Flora Hewlett Foundation")</f>
        <v>William and Flora Hewlett Foundation</v>
      </c>
      <c r="B192" s="3" t="str">
        <f>IFERROR(__xludf.DUMMYFUNCTION("""COMPUTED_VALUE"""),"Funder")</f>
        <v>Funder</v>
      </c>
    </row>
    <row r="193">
      <c r="A193" s="3" t="str">
        <f>IFERROR(__xludf.DUMMYFUNCTION("""COMPUTED_VALUE"""),"William and Flora Hewlett Foundation")</f>
        <v>William and Flora Hewlett Foundation</v>
      </c>
      <c r="B193" s="3" t="str">
        <f>IFERROR(__xludf.DUMMYFUNCTION("""COMPUTED_VALUE"""),"Strategic partner")</f>
        <v>Strategic partner</v>
      </c>
    </row>
    <row r="194">
      <c r="A194" s="3" t="str">
        <f>IFERROR(__xludf.DUMMYFUNCTION("""COMPUTED_VALUE"""),"ClimateWorks Foundation")</f>
        <v>ClimateWorks Foundation</v>
      </c>
      <c r="B194" s="3" t="str">
        <f>IFERROR(__xludf.DUMMYFUNCTION("""COMPUTED_VALUE"""),"Funder")</f>
        <v>Funder</v>
      </c>
    </row>
    <row r="195">
      <c r="A195" s="3" t="str">
        <f>IFERROR(__xludf.DUMMYFUNCTION("""COMPUTED_VALUE"""),"ClimateWorks Foundation")</f>
        <v>ClimateWorks Foundation</v>
      </c>
      <c r="B195" s="3" t="str">
        <f>IFERROR(__xludf.DUMMYFUNCTION("""COMPUTED_VALUE"""),"Strategic partner")</f>
        <v>Strategic partner</v>
      </c>
    </row>
    <row r="196">
      <c r="A196" s="3" t="str">
        <f>IFERROR(__xludf.DUMMYFUNCTION("""COMPUTED_VALUE"""),"ClimateWorks Foundation")</f>
        <v>ClimateWorks Foundation</v>
      </c>
      <c r="B196" s="3" t="str">
        <f>IFERROR(__xludf.DUMMYFUNCTION("""COMPUTED_VALUE"""),"Technical assistance / research")</f>
        <v>Technical assistance / research</v>
      </c>
    </row>
    <row r="197">
      <c r="A197" s="3" t="str">
        <f>IFERROR(__xludf.DUMMYFUNCTION("""COMPUTED_VALUE"""),"Children’s Investment Fund Foundation (CIFF)")</f>
        <v>Children’s Investment Fund Foundation (CIFF)</v>
      </c>
      <c r="B197" s="3" t="str">
        <f>IFERROR(__xludf.DUMMYFUNCTION("""COMPUTED_VALUE"""),"Funder")</f>
        <v>Funder</v>
      </c>
    </row>
    <row r="198">
      <c r="A198" s="3" t="str">
        <f>IFERROR(__xludf.DUMMYFUNCTION("""COMPUTED_VALUE"""),"Children’s Investment Fund Foundation (CIFF)")</f>
        <v>Children’s Investment Fund Foundation (CIFF)</v>
      </c>
      <c r="B198" s="3" t="str">
        <f>IFERROR(__xludf.DUMMYFUNCTION("""COMPUTED_VALUE"""),"Strategic partner")</f>
        <v>Strategic partner</v>
      </c>
    </row>
    <row r="199">
      <c r="A199" s="3" t="str">
        <f>IFERROR(__xludf.DUMMYFUNCTION("""COMPUTED_VALUE"""),"Oak Foundation")</f>
        <v>Oak Foundation</v>
      </c>
      <c r="B199" s="3" t="str">
        <f>IFERROR(__xludf.DUMMYFUNCTION("""COMPUTED_VALUE"""),"Funder")</f>
        <v>Funder</v>
      </c>
    </row>
    <row r="200">
      <c r="A200" s="3" t="str">
        <f>IFERROR(__xludf.DUMMYFUNCTION("""COMPUTED_VALUE"""),"Oak Foundation")</f>
        <v>Oak Foundation</v>
      </c>
      <c r="B200" s="3" t="str">
        <f>IFERROR(__xludf.DUMMYFUNCTION("""COMPUTED_VALUE"""),"Strategic partner")</f>
        <v>Strategic partner</v>
      </c>
    </row>
    <row r="201">
      <c r="A201" s="3" t="str">
        <f>IFERROR(__xludf.DUMMYFUNCTION("""COMPUTED_VALUE"""),"Ministério de Minas e Energia (MME)")</f>
        <v>Ministério de Minas e Energia (MME)</v>
      </c>
      <c r="B201" s="3" t="str">
        <f>IFERROR(__xludf.DUMMYFUNCTION("""COMPUTED_VALUE"""),"Policy influence / regulation")</f>
        <v>Policy influence / regulation</v>
      </c>
    </row>
    <row r="202">
      <c r="A202" s="3" t="str">
        <f>IFERROR(__xludf.DUMMYFUNCTION("""COMPUTED_VALUE"""),"Empresa de Pesquisa Energética (EPE)")</f>
        <v>Empresa de Pesquisa Energética (EPE)</v>
      </c>
      <c r="B202" s="3" t="str">
        <f>IFERROR(__xludf.DUMMYFUNCTION("""COMPUTED_VALUE"""),"Technical assistance / research")</f>
        <v>Technical assistance / research</v>
      </c>
    </row>
    <row r="203">
      <c r="A203" s="3" t="str">
        <f>IFERROR(__xludf.DUMMYFUNCTION("""COMPUTED_VALUE"""),"Empresa de Pesquisa Energética (EPE)")</f>
        <v>Empresa de Pesquisa Energética (EPE)</v>
      </c>
      <c r="B203" s="3" t="str">
        <f>IFERROR(__xludf.DUMMYFUNCTION("""COMPUTED_VALUE"""),"Policy influence / regulation")</f>
        <v>Policy influence / regulation</v>
      </c>
    </row>
    <row r="204">
      <c r="A204" s="3" t="str">
        <f>IFERROR(__xludf.DUMMYFUNCTION("""COMPUTED_VALUE"""),"Agência Nacional de Energia Elétrica (ANEEL)")</f>
        <v>Agência Nacional de Energia Elétrica (ANEEL)</v>
      </c>
      <c r="B204" s="3" t="str">
        <f>IFERROR(__xludf.DUMMYFUNCTION("""COMPUTED_VALUE"""),"Policy influence / regulation")</f>
        <v>Policy influence / regulation</v>
      </c>
    </row>
    <row r="205">
      <c r="A205" s="3" t="str">
        <f>IFERROR(__xludf.DUMMYFUNCTION("""COMPUTED_VALUE"""),"Operador Nacional do Sistema Elétrico (ONS)")</f>
        <v>Operador Nacional do Sistema Elétrico (ONS)</v>
      </c>
      <c r="B205" s="3" t="str">
        <f>IFERROR(__xludf.DUMMYFUNCTION("""COMPUTED_VALUE"""),"Policy influence / regulation")</f>
        <v>Policy influence / regulation</v>
      </c>
    </row>
    <row r="206">
      <c r="A206" s="3" t="str">
        <f>IFERROR(__xludf.DUMMYFUNCTION("""COMPUTED_VALUE"""),"Operador Nacional do Sistema Elétrico (ONS)")</f>
        <v>Operador Nacional do Sistema Elétrico (ONS)</v>
      </c>
      <c r="B206" s="3" t="str">
        <f>IFERROR(__xludf.DUMMYFUNCTION("""COMPUTED_VALUE"""),"Data / MRV / platforms")</f>
        <v>Data / MRV / platforms</v>
      </c>
    </row>
    <row r="207">
      <c r="A207" s="3" t="str">
        <f>IFERROR(__xludf.DUMMYFUNCTION("""COMPUTED_VALUE"""),"Neoenergia")</f>
        <v>Neoenergia</v>
      </c>
      <c r="B207" s="3" t="str">
        <f>IFERROR(__xludf.DUMMYFUNCTION("""COMPUTED_VALUE"""),"Strategic partner")</f>
        <v>Strategic partner</v>
      </c>
    </row>
    <row r="208">
      <c r="A208" s="3" t="str">
        <f>IFERROR(__xludf.DUMMYFUNCTION("""COMPUTED_VALUE"""),"Neoenergia")</f>
        <v>Neoenergia</v>
      </c>
      <c r="B208" s="3" t="str">
        <f>IFERROR(__xludf.DUMMYFUNCTION("""COMPUTED_VALUE"""),"Implementation capacity (delivery)")</f>
        <v>Implementation capacity (delivery)</v>
      </c>
    </row>
    <row r="209">
      <c r="A209" s="3" t="str">
        <f>IFERROR(__xludf.DUMMYFUNCTION("""COMPUTED_VALUE"""),"CPFL Energia")</f>
        <v>CPFL Energia</v>
      </c>
      <c r="B209" s="3" t="str">
        <f>IFERROR(__xludf.DUMMYFUNCTION("""COMPUTED_VALUE"""),"Strategic partner")</f>
        <v>Strategic partner</v>
      </c>
    </row>
    <row r="210">
      <c r="A210" s="3" t="str">
        <f>IFERROR(__xludf.DUMMYFUNCTION("""COMPUTED_VALUE"""),"CPFL Energia")</f>
        <v>CPFL Energia</v>
      </c>
      <c r="B210" s="3" t="str">
        <f>IFERROR(__xludf.DUMMYFUNCTION("""COMPUTED_VALUE"""),"Implementation capacity (delivery)")</f>
        <v>Implementation capacity (delivery)</v>
      </c>
    </row>
    <row r="211">
      <c r="A211" s="3" t="str">
        <f>IFERROR(__xludf.DUMMYFUNCTION("""COMPUTED_VALUE"""),"Engie Brasil")</f>
        <v>Engie Brasil</v>
      </c>
      <c r="B211" s="3" t="str">
        <f>IFERROR(__xludf.DUMMYFUNCTION("""COMPUTED_VALUE"""),"Strategic partner")</f>
        <v>Strategic partner</v>
      </c>
    </row>
    <row r="212">
      <c r="A212" s="3" t="str">
        <f>IFERROR(__xludf.DUMMYFUNCTION("""COMPUTED_VALUE"""),"Engie Brasil")</f>
        <v>Engie Brasil</v>
      </c>
      <c r="B212" s="3" t="str">
        <f>IFERROR(__xludf.DUMMYFUNCTION("""COMPUTED_VALUE"""),"Implementation capacity (delivery)")</f>
        <v>Implementation capacity (delivery)</v>
      </c>
    </row>
    <row r="213">
      <c r="A213" s="3" t="str">
        <f>IFERROR(__xludf.DUMMYFUNCTION("""COMPUTED_VALUE"""),"EDP Brasil")</f>
        <v>EDP Brasil</v>
      </c>
      <c r="B213" s="3" t="str">
        <f>IFERROR(__xludf.DUMMYFUNCTION("""COMPUTED_VALUE"""),"Strategic partner")</f>
        <v>Strategic partner</v>
      </c>
    </row>
    <row r="214">
      <c r="A214" s="3" t="str">
        <f>IFERROR(__xludf.DUMMYFUNCTION("""COMPUTED_VALUE"""),"EDP Brasil")</f>
        <v>EDP Brasil</v>
      </c>
      <c r="B214" s="3" t="str">
        <f>IFERROR(__xludf.DUMMYFUNCTION("""COMPUTED_VALUE"""),"Implementation capacity (delivery)")</f>
        <v>Implementation capacity (delivery)</v>
      </c>
    </row>
    <row r="215">
      <c r="A215" s="3" t="str">
        <f>IFERROR(__xludf.DUMMYFUNCTION("""COMPUTED_VALUE"""),"Enel Brasil")</f>
        <v>Enel Brasil</v>
      </c>
      <c r="B215" s="3" t="str">
        <f>IFERROR(__xludf.DUMMYFUNCTION("""COMPUTED_VALUE"""),"Strategic partner")</f>
        <v>Strategic partner</v>
      </c>
    </row>
    <row r="216">
      <c r="A216" s="3" t="str">
        <f>IFERROR(__xludf.DUMMYFUNCTION("""COMPUTED_VALUE"""),"Enel Brasil")</f>
        <v>Enel Brasil</v>
      </c>
      <c r="B216" s="3" t="str">
        <f>IFERROR(__xludf.DUMMYFUNCTION("""COMPUTED_VALUE"""),"Implementation capacity (delivery)")</f>
        <v>Implementation capacity (delivery)</v>
      </c>
    </row>
    <row r="217">
      <c r="A217" s="3" t="str">
        <f>IFERROR(__xludf.DUMMYFUNCTION("""COMPUTED_VALUE"""),"Eletrobras")</f>
        <v>Eletrobras</v>
      </c>
      <c r="B217" s="3" t="str">
        <f>IFERROR(__xludf.DUMMYFUNCTION("""COMPUTED_VALUE"""),"Strategic partner")</f>
        <v>Strategic partner</v>
      </c>
    </row>
    <row r="218">
      <c r="A218" s="3" t="str">
        <f>IFERROR(__xludf.DUMMYFUNCTION("""COMPUTED_VALUE"""),"Eletrobras")</f>
        <v>Eletrobras</v>
      </c>
      <c r="B218" s="3" t="str">
        <f>IFERROR(__xludf.DUMMYFUNCTION("""COMPUTED_VALUE"""),"Implementation capacity (delivery)")</f>
        <v>Implementation capacity (delivery)</v>
      </c>
    </row>
    <row r="219">
      <c r="A219" s="3" t="str">
        <f>IFERROR(__xludf.DUMMYFUNCTION("""COMPUTED_VALUE"""),"Instituto de Energia e Meio Ambiente (IEMA)")</f>
        <v>Instituto de Energia e Meio Ambiente (IEMA)</v>
      </c>
      <c r="B219" s="3" t="str">
        <f>IFERROR(__xludf.DUMMYFUNCTION("""COMPUTED_VALUE"""),"Technical assistance / research")</f>
        <v>Technical assistance / research</v>
      </c>
    </row>
    <row r="220">
      <c r="A220" s="3" t="str">
        <f>IFERROR(__xludf.DUMMYFUNCTION("""COMPUTED_VALUE"""),"Instituto de Energia e Meio Ambiente (IEMA)")</f>
        <v>Instituto de Energia e Meio Ambiente (IEMA)</v>
      </c>
      <c r="B220" s="3" t="str">
        <f>IFERROR(__xludf.DUMMYFUNCTION("""COMPUTED_VALUE"""),"Policy influence / regulation")</f>
        <v>Policy influence / regulation</v>
      </c>
    </row>
    <row r="221">
      <c r="A221" s="3" t="str">
        <f>IFERROR(__xludf.DUMMYFUNCTION("""COMPUTED_VALUE"""),"Instituto E+ Transição Energética (E+)")</f>
        <v>Instituto E+ Transição Energética (E+)</v>
      </c>
      <c r="B221" s="3" t="str">
        <f>IFERROR(__xludf.DUMMYFUNCTION("""COMPUTED_VALUE"""),"Technical assistance / research")</f>
        <v>Technical assistance / research</v>
      </c>
    </row>
    <row r="222">
      <c r="A222" s="3" t="str">
        <f>IFERROR(__xludf.DUMMYFUNCTION("""COMPUTED_VALUE"""),"Instituto E+ Transição Energética (E+)")</f>
        <v>Instituto E+ Transição Energética (E+)</v>
      </c>
      <c r="B222" s="3" t="str">
        <f>IFERROR(__xludf.DUMMYFUNCTION("""COMPUTED_VALUE"""),"Policy influence / regulation")</f>
        <v>Policy influence / regulation</v>
      </c>
    </row>
    <row r="223">
      <c r="A223" s="3" t="str">
        <f>IFERROR(__xludf.DUMMYFUNCTION("""COMPUTED_VALUE"""),"European Climate Foundation (ECF)")</f>
        <v>European Climate Foundation (ECF)</v>
      </c>
      <c r="B223" s="3" t="str">
        <f>IFERROR(__xludf.DUMMYFUNCTION("""COMPUTED_VALUE"""),"Funder")</f>
        <v>Funder</v>
      </c>
    </row>
    <row r="224">
      <c r="A224" s="3" t="str">
        <f>IFERROR(__xludf.DUMMYFUNCTION("""COMPUTED_VALUE"""),"European Climate Foundation (ECF)")</f>
        <v>European Climate Foundation (ECF)</v>
      </c>
      <c r="B224" s="3" t="str">
        <f>IFERROR(__xludf.DUMMYFUNCTION("""COMPUTED_VALUE"""),"Strategic partner")</f>
        <v>Strategic partner</v>
      </c>
    </row>
    <row r="225">
      <c r="A225" s="3" t="str">
        <f>IFERROR(__xludf.DUMMYFUNCTION("""COMPUTED_VALUE"""),"Quadrature Climate Foundation")</f>
        <v>Quadrature Climate Foundation</v>
      </c>
      <c r="B225" s="3" t="str">
        <f>IFERROR(__xludf.DUMMYFUNCTION("""COMPUTED_VALUE"""),"Funder")</f>
        <v>Funder</v>
      </c>
    </row>
    <row r="226">
      <c r="A226" s="3" t="str">
        <f>IFERROR(__xludf.DUMMYFUNCTION("""COMPUTED_VALUE"""),"Quadrature Climate Foundation")</f>
        <v>Quadrature Climate Foundation</v>
      </c>
      <c r="B226" s="3" t="str">
        <f>IFERROR(__xludf.DUMMYFUNCTION("""COMPUTED_VALUE"""),"Strategic partner")</f>
        <v>Strategic partner</v>
      </c>
    </row>
    <row r="227">
      <c r="A227" s="3" t="str">
        <f>IFERROR(__xludf.DUMMYFUNCTION("""COMPUTED_VALUE"""),"Ministério das Cidades")</f>
        <v>Ministério das Cidades</v>
      </c>
      <c r="B227" s="3" t="str">
        <f>IFERROR(__xludf.DUMMYFUNCTION("""COMPUTED_VALUE"""),"Policy influence / regulation")</f>
        <v>Policy influence / regulation</v>
      </c>
    </row>
    <row r="228">
      <c r="A228" s="3" t="str">
        <f>IFERROR(__xludf.DUMMYFUNCTION("""COMPUTED_VALUE"""),"Ministério das Cidades")</f>
        <v>Ministério das Cidades</v>
      </c>
      <c r="B228" s="3" t="str">
        <f>IFERROR(__xludf.DUMMYFUNCTION("""COMPUTED_VALUE"""),"Territorial anchor")</f>
        <v>Territorial anchor</v>
      </c>
    </row>
    <row r="229">
      <c r="A229" s="3" t="str">
        <f>IFERROR(__xludf.DUMMYFUNCTION("""COMPUTED_VALUE"""),"Agência Nacional de Transportes Terrestres (ANTT)")</f>
        <v>Agência Nacional de Transportes Terrestres (ANTT)</v>
      </c>
      <c r="B229" s="3" t="str">
        <f>IFERROR(__xludf.DUMMYFUNCTION("""COMPUTED_VALUE"""),"Policy influence / regulation")</f>
        <v>Policy influence / regulation</v>
      </c>
    </row>
    <row r="230">
      <c r="A230" s="3" t="str">
        <f>IFERROR(__xludf.DUMMYFUNCTION("""COMPUTED_VALUE"""),"Agência Nacional de Transportes Aquaviários (ANTAQ)")</f>
        <v>Agência Nacional de Transportes Aquaviários (ANTAQ)</v>
      </c>
      <c r="B230" s="3" t="str">
        <f>IFERROR(__xludf.DUMMYFUNCTION("""COMPUTED_VALUE"""),"Policy influence / regulation")</f>
        <v>Policy influence / regulation</v>
      </c>
    </row>
    <row r="231">
      <c r="A231" s="3" t="str">
        <f>IFERROR(__xludf.DUMMYFUNCTION("""COMPUTED_VALUE"""),"CCR S.A. (Grupo CCR)")</f>
        <v>CCR S.A. (Grupo CCR)</v>
      </c>
      <c r="B231" s="3" t="str">
        <f>IFERROR(__xludf.DUMMYFUNCTION("""COMPUTED_VALUE"""),"Strategic partner")</f>
        <v>Strategic partner</v>
      </c>
    </row>
    <row r="232">
      <c r="A232" s="3" t="str">
        <f>IFERROR(__xludf.DUMMYFUNCTION("""COMPUTED_VALUE"""),"CCR S.A. (Grupo CCR)")</f>
        <v>CCR S.A. (Grupo CCR)</v>
      </c>
      <c r="B232" s="3" t="str">
        <f>IFERROR(__xludf.DUMMYFUNCTION("""COMPUTED_VALUE"""),"Implementation capacity (delivery)")</f>
        <v>Implementation capacity (delivery)</v>
      </c>
    </row>
    <row r="233">
      <c r="A233" s="3" t="str">
        <f>IFERROR(__xludf.DUMMYFUNCTION("""COMPUTED_VALUE"""),"EcoRodovias")</f>
        <v>EcoRodovias</v>
      </c>
      <c r="B233" s="3" t="str">
        <f>IFERROR(__xludf.DUMMYFUNCTION("""COMPUTED_VALUE"""),"Strategic partner")</f>
        <v>Strategic partner</v>
      </c>
    </row>
    <row r="234">
      <c r="A234" s="3" t="str">
        <f>IFERROR(__xludf.DUMMYFUNCTION("""COMPUTED_VALUE"""),"EcoRodovias")</f>
        <v>EcoRodovias</v>
      </c>
      <c r="B234" s="3" t="str">
        <f>IFERROR(__xludf.DUMMYFUNCTION("""COMPUTED_VALUE"""),"Implementation capacity (delivery)")</f>
        <v>Implementation capacity (delivery)</v>
      </c>
    </row>
    <row r="235">
      <c r="A235" s="3" t="str">
        <f>IFERROR(__xludf.DUMMYFUNCTION("""COMPUTED_VALUE"""),"BYD Brasil")</f>
        <v>BYD Brasil</v>
      </c>
      <c r="B235" s="3" t="str">
        <f>IFERROR(__xludf.DUMMYFUNCTION("""COMPUTED_VALUE"""),"Strategic partner")</f>
        <v>Strategic partner</v>
      </c>
    </row>
    <row r="236">
      <c r="A236" s="3" t="str">
        <f>IFERROR(__xludf.DUMMYFUNCTION("""COMPUTED_VALUE"""),"BYD Brasil")</f>
        <v>BYD Brasil</v>
      </c>
      <c r="B236" s="3" t="str">
        <f>IFERROR(__xludf.DUMMYFUNCTION("""COMPUTED_VALUE"""),"Implementation capacity (delivery)")</f>
        <v>Implementation capacity (delivery)</v>
      </c>
    </row>
    <row r="237">
      <c r="A237" s="3" t="str">
        <f>IFERROR(__xludf.DUMMYFUNCTION("""COMPUTED_VALUE"""),"Volvo Buses Latin America")</f>
        <v>Volvo Buses Latin America</v>
      </c>
      <c r="B237" s="3" t="str">
        <f>IFERROR(__xludf.DUMMYFUNCTION("""COMPUTED_VALUE"""),"Strategic partner")</f>
        <v>Strategic partner</v>
      </c>
    </row>
    <row r="238">
      <c r="A238" s="3" t="str">
        <f>IFERROR(__xludf.DUMMYFUNCTION("""COMPUTED_VALUE"""),"Volvo Buses Latin America")</f>
        <v>Volvo Buses Latin America</v>
      </c>
      <c r="B238" s="3" t="str">
        <f>IFERROR(__xludf.DUMMYFUNCTION("""COMPUTED_VALUE"""),"Implementation capacity (delivery)")</f>
        <v>Implementation capacity (delivery)</v>
      </c>
    </row>
    <row r="239">
      <c r="A239" s="3" t="str">
        <f>IFERROR(__xludf.DUMMYFUNCTION("""COMPUTED_VALUE"""),"Mercedes-Benz Brasil")</f>
        <v>Mercedes-Benz Brasil</v>
      </c>
      <c r="B239" s="3" t="str">
        <f>IFERROR(__xludf.DUMMYFUNCTION("""COMPUTED_VALUE"""),"Strategic partner")</f>
        <v>Strategic partner</v>
      </c>
    </row>
    <row r="240">
      <c r="A240" s="3" t="str">
        <f>IFERROR(__xludf.DUMMYFUNCTION("""COMPUTED_VALUE"""),"Mercedes-Benz Brasil")</f>
        <v>Mercedes-Benz Brasil</v>
      </c>
      <c r="B240" s="3" t="str">
        <f>IFERROR(__xludf.DUMMYFUNCTION("""COMPUTED_VALUE"""),"Implementation capacity (delivery)")</f>
        <v>Implementation capacity (delivery)</v>
      </c>
    </row>
    <row r="241">
      <c r="A241" s="3" t="str">
        <f>IFERROR(__xludf.DUMMYFUNCTION("""COMPUTED_VALUE"""),"Instituto de Políticas de Transporte e Desenvolvimento (ITDP Brasil)")</f>
        <v>Instituto de Políticas de Transporte e Desenvolvimento (ITDP Brasil)</v>
      </c>
      <c r="B241" s="3" t="str">
        <f>IFERROR(__xludf.DUMMYFUNCTION("""COMPUTED_VALUE"""),"Technical assistance / research")</f>
        <v>Technical assistance / research</v>
      </c>
    </row>
    <row r="242">
      <c r="A242" s="3" t="str">
        <f>IFERROR(__xludf.DUMMYFUNCTION("""COMPUTED_VALUE"""),"Instituto de Políticas de Transporte e Desenvolvimento (ITDP Brasil)")</f>
        <v>Instituto de Políticas de Transporte e Desenvolvimento (ITDP Brasil)</v>
      </c>
      <c r="B242" s="3" t="str">
        <f>IFERROR(__xludf.DUMMYFUNCTION("""COMPUTED_VALUE"""),"Policy influence / regulation")</f>
        <v>Policy influence / regulation</v>
      </c>
    </row>
    <row r="243">
      <c r="A243" s="3" t="str">
        <f>IFERROR(__xludf.DUMMYFUNCTION("""COMPUTED_VALUE"""),"Caixa Econômica Federal")</f>
        <v>Caixa Econômica Federal</v>
      </c>
      <c r="B243" s="3" t="str">
        <f>IFERROR(__xludf.DUMMYFUNCTION("""COMPUTED_VALUE"""),"Capital provider / Financial intermediary")</f>
        <v>Capital provider / Financial intermediary</v>
      </c>
    </row>
    <row r="244">
      <c r="A244" s="3" t="str">
        <f>IFERROR(__xludf.DUMMYFUNCTION("""COMPUTED_VALUE"""),"Caixa Econômica Federal")</f>
        <v>Caixa Econômica Federal</v>
      </c>
      <c r="B244" s="3" t="str">
        <f>IFERROR(__xludf.DUMMYFUNCTION("""COMPUTED_VALUE"""),"Territorial anchor")</f>
        <v>Territorial anchor</v>
      </c>
    </row>
    <row r="245">
      <c r="A245" s="3" t="str">
        <f>IFERROR(__xludf.DUMMYFUNCTION("""COMPUTED_VALUE"""),"MRV")</f>
        <v>MRV</v>
      </c>
      <c r="B245" s="3" t="str">
        <f>IFERROR(__xludf.DUMMYFUNCTION("""COMPUTED_VALUE"""),"Implementation capacity (delivery)")</f>
        <v>Implementation capacity (delivery)</v>
      </c>
    </row>
    <row r="246">
      <c r="A246" s="3" t="str">
        <f>IFERROR(__xludf.DUMMYFUNCTION("""COMPUTED_VALUE"""),"Tenda")</f>
        <v>Tenda</v>
      </c>
      <c r="B246" s="3" t="str">
        <f>IFERROR(__xludf.DUMMYFUNCTION("""COMPUTED_VALUE"""),"Implementation capacity (delivery)")</f>
        <v>Implementation capacity (delivery)</v>
      </c>
    </row>
    <row r="247">
      <c r="A247" s="3" t="str">
        <f>IFERROR(__xludf.DUMMYFUNCTION("""COMPUTED_VALUE"""),"Cyrela")</f>
        <v>Cyrela</v>
      </c>
      <c r="B247" s="3" t="str">
        <f>IFERROR(__xludf.DUMMYFUNCTION("""COMPUTED_VALUE"""),"Implementation capacity (delivery)")</f>
        <v>Implementation capacity (delivery)</v>
      </c>
    </row>
    <row r="248">
      <c r="A248" s="3" t="str">
        <f>IFERROR(__xludf.DUMMYFUNCTION("""COMPUTED_VALUE"""),"Votorantim Cimentos")</f>
        <v>Votorantim Cimentos</v>
      </c>
      <c r="B248" s="3" t="str">
        <f>IFERROR(__xludf.DUMMYFUNCTION("""COMPUTED_VALUE"""),"Implementation capacity (delivery)")</f>
        <v>Implementation capacity (delivery)</v>
      </c>
    </row>
    <row r="249">
      <c r="A249" s="3" t="str">
        <f>IFERROR(__xludf.DUMMYFUNCTION("""COMPUTED_VALUE"""),"InterCement")</f>
        <v>InterCement</v>
      </c>
      <c r="B249" s="3" t="str">
        <f>IFERROR(__xludf.DUMMYFUNCTION("""COMPUTED_VALUE"""),"Implementation capacity (delivery)")</f>
        <v>Implementation capacity (delivery)</v>
      </c>
    </row>
    <row r="250">
      <c r="A250" s="3" t="str">
        <f>IFERROR(__xludf.DUMMYFUNCTION("""COMPUTED_VALUE"""),"Green Building Council Brasil (GBC Brasil)")</f>
        <v>Green Building Council Brasil (GBC Brasil)</v>
      </c>
      <c r="B250" s="3" t="str">
        <f>IFERROR(__xludf.DUMMYFUNCTION("""COMPUTED_VALUE"""),"Technical assistance / research")</f>
        <v>Technical assistance / research</v>
      </c>
    </row>
    <row r="251">
      <c r="A251" s="3" t="str">
        <f>IFERROR(__xludf.DUMMYFUNCTION("""COMPUTED_VALUE"""),"Green Building Council Brasil (GBC Brasil)")</f>
        <v>Green Building Council Brasil (GBC Brasil)</v>
      </c>
      <c r="B251" s="3" t="str">
        <f>IFERROR(__xludf.DUMMYFUNCTION("""COMPUTED_VALUE"""),"Convenor/enablers")</f>
        <v>Convenor/enablers</v>
      </c>
    </row>
    <row r="252">
      <c r="A252" s="3" t="str">
        <f>IFERROR(__xludf.DUMMYFUNCTION("""COMPUTED_VALUE"""),"Ministério da Agricultura e Pecuária (MAPA)")</f>
        <v>Ministério da Agricultura e Pecuária (MAPA)</v>
      </c>
      <c r="B252" s="3" t="str">
        <f>IFERROR(__xludf.DUMMYFUNCTION("""COMPUTED_VALUE"""),"Policy influence / regulation")</f>
        <v>Policy influence / regulation</v>
      </c>
    </row>
    <row r="253">
      <c r="A253" s="3" t="str">
        <f>IFERROR(__xludf.DUMMYFUNCTION("""COMPUTED_VALUE"""),"Instituto Nacional de Colonização e Reforma Agrária (INCRA)")</f>
        <v>Instituto Nacional de Colonização e Reforma Agrária (INCRA)</v>
      </c>
      <c r="B253" s="3" t="str">
        <f>IFERROR(__xludf.DUMMYFUNCTION("""COMPUTED_VALUE"""),"Policy influence / regulation")</f>
        <v>Policy influence / regulation</v>
      </c>
    </row>
    <row r="254">
      <c r="A254" s="3" t="str">
        <f>IFERROR(__xludf.DUMMYFUNCTION("""COMPUTED_VALUE"""),"Instituto Nacional de Colonização e Reforma Agrária (INCRA)")</f>
        <v>Instituto Nacional de Colonização e Reforma Agrária (INCRA)</v>
      </c>
      <c r="B254" s="3" t="str">
        <f>IFERROR(__xludf.DUMMYFUNCTION("""COMPUTED_VALUE"""),"Territorial anchor")</f>
        <v>Territorial anchor</v>
      </c>
    </row>
    <row r="255">
      <c r="A255" s="3" t="str">
        <f>IFERROR(__xludf.DUMMYFUNCTION("""COMPUTED_VALUE"""),"Agroicone")</f>
        <v>Agroicone</v>
      </c>
      <c r="B255" s="3" t="str">
        <f>IFERROR(__xludf.DUMMYFUNCTION("""COMPUTED_VALUE"""),"Technical assistance / research")</f>
        <v>Technical assistance / research</v>
      </c>
    </row>
    <row r="256">
      <c r="A256" s="3" t="str">
        <f>IFERROR(__xludf.DUMMYFUNCTION("""COMPUTED_VALUE"""),"Agroicone")</f>
        <v>Agroicone</v>
      </c>
      <c r="B256" s="3" t="str">
        <f>IFERROR(__xludf.DUMMYFUNCTION("""COMPUTED_VALUE"""),"Policy influence / regulation")</f>
        <v>Policy influence / regulation</v>
      </c>
    </row>
    <row r="257">
      <c r="A257" s="3" t="str">
        <f>IFERROR(__xludf.DUMMYFUNCTION("""COMPUTED_VALUE"""),"JBS")</f>
        <v>JBS</v>
      </c>
      <c r="B257" s="3" t="str">
        <f>IFERROR(__xludf.DUMMYFUNCTION("""COMPUTED_VALUE"""),"Strategic partner")</f>
        <v>Strategic partner</v>
      </c>
    </row>
    <row r="258">
      <c r="A258" s="3" t="str">
        <f>IFERROR(__xludf.DUMMYFUNCTION("""COMPUTED_VALUE"""),"JBS")</f>
        <v>JBS</v>
      </c>
      <c r="B258" s="3" t="str">
        <f>IFERROR(__xludf.DUMMYFUNCTION("""COMPUTED_VALUE"""),"Implementation capacity (delivery)")</f>
        <v>Implementation capacity (delivery)</v>
      </c>
    </row>
    <row r="259">
      <c r="A259" s="3" t="str">
        <f>IFERROR(__xludf.DUMMYFUNCTION("""COMPUTED_VALUE"""),"Marfrig")</f>
        <v>Marfrig</v>
      </c>
      <c r="B259" s="3" t="str">
        <f>IFERROR(__xludf.DUMMYFUNCTION("""COMPUTED_VALUE"""),"Strategic partner")</f>
        <v>Strategic partner</v>
      </c>
    </row>
    <row r="260">
      <c r="A260" s="3" t="str">
        <f>IFERROR(__xludf.DUMMYFUNCTION("""COMPUTED_VALUE"""),"Marfrig")</f>
        <v>Marfrig</v>
      </c>
      <c r="B260" s="3" t="str">
        <f>IFERROR(__xludf.DUMMYFUNCTION("""COMPUTED_VALUE"""),"Implementation capacity (delivery)")</f>
        <v>Implementation capacity (delivery)</v>
      </c>
    </row>
    <row r="261">
      <c r="A261" s="3" t="str">
        <f>IFERROR(__xludf.DUMMYFUNCTION("""COMPUTED_VALUE"""),"Amaggi")</f>
        <v>Amaggi</v>
      </c>
      <c r="B261" s="3" t="str">
        <f>IFERROR(__xludf.DUMMYFUNCTION("""COMPUTED_VALUE"""),"Strategic partner")</f>
        <v>Strategic partner</v>
      </c>
    </row>
    <row r="262">
      <c r="A262" s="3" t="str">
        <f>IFERROR(__xludf.DUMMYFUNCTION("""COMPUTED_VALUE"""),"Amaggi")</f>
        <v>Amaggi</v>
      </c>
      <c r="B262" s="3" t="str">
        <f>IFERROR(__xludf.DUMMYFUNCTION("""COMPUTED_VALUE"""),"Implementation capacity (delivery)")</f>
        <v>Implementation capacity (delivery)</v>
      </c>
    </row>
    <row r="263">
      <c r="A263" s="3" t="str">
        <f>IFERROR(__xludf.DUMMYFUNCTION("""COMPUTED_VALUE"""),"SLC Agrícola")</f>
        <v>SLC Agrícola</v>
      </c>
      <c r="B263" s="3" t="str">
        <f>IFERROR(__xludf.DUMMYFUNCTION("""COMPUTED_VALUE"""),"Implementation capacity (delivery)")</f>
        <v>Implementation capacity (delivery)</v>
      </c>
    </row>
    <row r="264">
      <c r="A264" s="3" t="str">
        <f>IFERROR(__xludf.DUMMYFUNCTION("""COMPUTED_VALUE"""),"Instituto de Pesquisa Ambiental da Amazônia (IPAM)")</f>
        <v>Instituto de Pesquisa Ambiental da Amazônia (IPAM)</v>
      </c>
      <c r="B264" s="3" t="str">
        <f>IFERROR(__xludf.DUMMYFUNCTION("""COMPUTED_VALUE"""),"Technical assistance / research")</f>
        <v>Technical assistance / research</v>
      </c>
    </row>
    <row r="265">
      <c r="A265" s="3" t="str">
        <f>IFERROR(__xludf.DUMMYFUNCTION("""COMPUTED_VALUE"""),"Instituto de Pesquisa Ambiental da Amazônia (IPAM)")</f>
        <v>Instituto de Pesquisa Ambiental da Amazônia (IPAM)</v>
      </c>
      <c r="B265" s="3" t="str">
        <f>IFERROR(__xludf.DUMMYFUNCTION("""COMPUTED_VALUE"""),"Policy influence / regulation")</f>
        <v>Policy influence / regulation</v>
      </c>
    </row>
    <row r="266">
      <c r="A266" s="3" t="str">
        <f>IFERROR(__xludf.DUMMYFUNCTION("""COMPUTED_VALUE"""),"Global Canopy")</f>
        <v>Global Canopy</v>
      </c>
      <c r="B266" s="3" t="str">
        <f>IFERROR(__xludf.DUMMYFUNCTION("""COMPUTED_VALUE"""),"Data / MRV / platforms")</f>
        <v>Data / MRV / platforms</v>
      </c>
    </row>
    <row r="267">
      <c r="A267" s="3" t="str">
        <f>IFERROR(__xludf.DUMMYFUNCTION("""COMPUTED_VALUE"""),"Global Canopy")</f>
        <v>Global Canopy</v>
      </c>
      <c r="B267" s="3" t="str">
        <f>IFERROR(__xludf.DUMMYFUNCTION("""COMPUTED_VALUE"""),"Policy influence / regulation")</f>
        <v>Policy influence / regulation</v>
      </c>
    </row>
    <row r="268">
      <c r="A268" s="3" t="str">
        <f>IFERROR(__xludf.DUMMYFUNCTION("""COMPUTED_VALUE"""),"Good Energies Foundation")</f>
        <v>Good Energies Foundation</v>
      </c>
      <c r="B268" s="3" t="str">
        <f>IFERROR(__xludf.DUMMYFUNCTION("""COMPUTED_VALUE"""),"Funder")</f>
        <v>Funder</v>
      </c>
    </row>
    <row r="269">
      <c r="A269" s="3" t="str">
        <f>IFERROR(__xludf.DUMMYFUNCTION("""COMPUTED_VALUE"""),"Good Energies Foundation")</f>
        <v>Good Energies Foundation</v>
      </c>
      <c r="B269" s="3" t="str">
        <f>IFERROR(__xludf.DUMMYFUNCTION("""COMPUTED_VALUE"""),"Strategic partner")</f>
        <v>Strategic partner</v>
      </c>
    </row>
    <row r="270">
      <c r="A270" s="3" t="str">
        <f>IFERROR(__xludf.DUMMYFUNCTION("""COMPUTED_VALUE"""),"Ministério do Desenvolvimento e Assistência Social, Família e Combate à Fome (MDS)")</f>
        <v>Ministério do Desenvolvimento e Assistência Social, Família e Combate à Fome (MDS)</v>
      </c>
      <c r="B270" s="3" t="str">
        <f>IFERROR(__xludf.DUMMYFUNCTION("""COMPUTED_VALUE"""),"Policy influence / regulation")</f>
        <v>Policy influence / regulation</v>
      </c>
    </row>
    <row r="271">
      <c r="A271" s="3" t="str">
        <f>IFERROR(__xludf.DUMMYFUNCTION("""COMPUTED_VALUE"""),"Ministério do Desenvolvimento e Assistência Social, Família e Combate à Fome (MDS)")</f>
        <v>Ministério do Desenvolvimento e Assistência Social, Família e Combate à Fome (MDS)</v>
      </c>
      <c r="B271" s="3" t="str">
        <f>IFERROR(__xludf.DUMMYFUNCTION("""COMPUTED_VALUE"""),"Territorial anchor")</f>
        <v>Territorial anchor</v>
      </c>
    </row>
    <row r="272">
      <c r="A272" s="3" t="str">
        <f>IFERROR(__xludf.DUMMYFUNCTION("""COMPUTED_VALUE"""),"Ministério da Saúde")</f>
        <v>Ministério da Saúde</v>
      </c>
      <c r="B272" s="3" t="str">
        <f>IFERROR(__xludf.DUMMYFUNCTION("""COMPUTED_VALUE"""),"Policy influence / regulation")</f>
        <v>Policy influence / regulation</v>
      </c>
    </row>
    <row r="273">
      <c r="A273" s="3" t="str">
        <f>IFERROR(__xludf.DUMMYFUNCTION("""COMPUTED_VALUE"""),"Conselho Nacional de Segurança Alimentar e Nutricional (CONSEA)")</f>
        <v>Conselho Nacional de Segurança Alimentar e Nutricional (CONSEA)</v>
      </c>
      <c r="B273" s="3" t="str">
        <f>IFERROR(__xludf.DUMMYFUNCTION("""COMPUTED_VALUE"""),"Policy influence / regulation")</f>
        <v>Policy influence / regulation</v>
      </c>
    </row>
    <row r="274">
      <c r="A274" s="3" t="str">
        <f>IFERROR(__xludf.DUMMYFUNCTION("""COMPUTED_VALUE"""),"Conselho Nacional de Segurança Alimentar e Nutricional (CONSEA)")</f>
        <v>Conselho Nacional de Segurança Alimentar e Nutricional (CONSEA)</v>
      </c>
      <c r="B274" s="3" t="str">
        <f>IFERROR(__xludf.DUMMYFUNCTION("""COMPUTED_VALUE"""),"Community legitimacy / proximate leadership")</f>
        <v>Community legitimacy / proximate leadership</v>
      </c>
    </row>
    <row r="275">
      <c r="A275" s="3" t="str">
        <f>IFERROR(__xludf.DUMMYFUNCTION("""COMPUTED_VALUE"""),"Grupo Pão de Açúcar (GPA)")</f>
        <v>Grupo Pão de Açúcar (GPA)</v>
      </c>
      <c r="B275" s="3" t="str">
        <f>IFERROR(__xludf.DUMMYFUNCTION("""COMPUTED_VALUE"""),"Strategic partner")</f>
        <v>Strategic partner</v>
      </c>
    </row>
    <row r="276">
      <c r="A276" s="3" t="str">
        <f>IFERROR(__xludf.DUMMYFUNCTION("""COMPUTED_VALUE"""),"Grupo Pão de Açúcar (GPA)")</f>
        <v>Grupo Pão de Açúcar (GPA)</v>
      </c>
      <c r="B276" s="3" t="str">
        <f>IFERROR(__xludf.DUMMYFUNCTION("""COMPUTED_VALUE"""),"Implementation capacity (delivery)")</f>
        <v>Implementation capacity (delivery)</v>
      </c>
    </row>
    <row r="277">
      <c r="A277" s="3" t="str">
        <f>IFERROR(__xludf.DUMMYFUNCTION("""COMPUTED_VALUE"""),"Assaí Atacadista")</f>
        <v>Assaí Atacadista</v>
      </c>
      <c r="B277" s="3" t="str">
        <f>IFERROR(__xludf.DUMMYFUNCTION("""COMPUTED_VALUE"""),"Strategic partner")</f>
        <v>Strategic partner</v>
      </c>
    </row>
    <row r="278">
      <c r="A278" s="3" t="str">
        <f>IFERROR(__xludf.DUMMYFUNCTION("""COMPUTED_VALUE"""),"Assaí Atacadista")</f>
        <v>Assaí Atacadista</v>
      </c>
      <c r="B278" s="3" t="str">
        <f>IFERROR(__xludf.DUMMYFUNCTION("""COMPUTED_VALUE"""),"Implementation capacity (delivery)")</f>
        <v>Implementation capacity (delivery)</v>
      </c>
    </row>
    <row r="279">
      <c r="A279" s="3" t="str">
        <f>IFERROR(__xludf.DUMMYFUNCTION("""COMPUTED_VALUE"""),"Carrefour Brasil")</f>
        <v>Carrefour Brasil</v>
      </c>
      <c r="B279" s="3" t="str">
        <f>IFERROR(__xludf.DUMMYFUNCTION("""COMPUTED_VALUE"""),"Strategic partner")</f>
        <v>Strategic partner</v>
      </c>
    </row>
    <row r="280">
      <c r="A280" s="3" t="str">
        <f>IFERROR(__xludf.DUMMYFUNCTION("""COMPUTED_VALUE"""),"Carrefour Brasil")</f>
        <v>Carrefour Brasil</v>
      </c>
      <c r="B280" s="3" t="str">
        <f>IFERROR(__xludf.DUMMYFUNCTION("""COMPUTED_VALUE"""),"Implementation capacity (delivery)")</f>
        <v>Implementation capacity (delivery)</v>
      </c>
    </row>
    <row r="281">
      <c r="A281" s="3" t="str">
        <f>IFERROR(__xludf.DUMMYFUNCTION("""COMPUTED_VALUE"""),"Nestlé Brasil")</f>
        <v>Nestlé Brasil</v>
      </c>
      <c r="B281" s="3" t="str">
        <f>IFERROR(__xludf.DUMMYFUNCTION("""COMPUTED_VALUE"""),"Strategic partner")</f>
        <v>Strategic partner</v>
      </c>
    </row>
    <row r="282">
      <c r="A282" s="3" t="str">
        <f>IFERROR(__xludf.DUMMYFUNCTION("""COMPUTED_VALUE"""),"Nestlé Brasil")</f>
        <v>Nestlé Brasil</v>
      </c>
      <c r="B282" s="3" t="str">
        <f>IFERROR(__xludf.DUMMYFUNCTION("""COMPUTED_VALUE"""),"Implementation capacity (delivery)")</f>
        <v>Implementation capacity (delivery)</v>
      </c>
    </row>
    <row r="283">
      <c r="A283" s="3" t="str">
        <f>IFERROR(__xludf.DUMMYFUNCTION("""COMPUTED_VALUE"""),"Unilever Brasil")</f>
        <v>Unilever Brasil</v>
      </c>
      <c r="B283" s="3" t="str">
        <f>IFERROR(__xludf.DUMMYFUNCTION("""COMPUTED_VALUE"""),"Strategic partner")</f>
        <v>Strategic partner</v>
      </c>
    </row>
    <row r="284">
      <c r="A284" s="3" t="str">
        <f>IFERROR(__xludf.DUMMYFUNCTION("""COMPUTED_VALUE"""),"Unilever Brasil")</f>
        <v>Unilever Brasil</v>
      </c>
      <c r="B284" s="3" t="str">
        <f>IFERROR(__xludf.DUMMYFUNCTION("""COMPUTED_VALUE"""),"Implementation capacity (delivery)")</f>
        <v>Implementation capacity (delivery)</v>
      </c>
    </row>
    <row r="285">
      <c r="A285" s="3" t="str">
        <f>IFERROR(__xludf.DUMMYFUNCTION("""COMPUTED_VALUE"""),"Danone Brasil")</f>
        <v>Danone Brasil</v>
      </c>
      <c r="B285" s="3" t="str">
        <f>IFERROR(__xludf.DUMMYFUNCTION("""COMPUTED_VALUE"""),"Strategic partner")</f>
        <v>Strategic partner</v>
      </c>
    </row>
    <row r="286">
      <c r="A286" s="3" t="str">
        <f>IFERROR(__xludf.DUMMYFUNCTION("""COMPUTED_VALUE"""),"Danone Brasil")</f>
        <v>Danone Brasil</v>
      </c>
      <c r="B286" s="3" t="str">
        <f>IFERROR(__xludf.DUMMYFUNCTION("""COMPUTED_VALUE"""),"Implementation capacity (delivery)")</f>
        <v>Implementation capacity (delivery)</v>
      </c>
    </row>
    <row r="287">
      <c r="A287" s="3" t="str">
        <f>IFERROR(__xludf.DUMMYFUNCTION("""COMPUTED_VALUE"""),"Rede PENSSAN")</f>
        <v>Rede PENSSAN</v>
      </c>
      <c r="B287" s="3" t="str">
        <f>IFERROR(__xludf.DUMMYFUNCTION("""COMPUTED_VALUE"""),"Technical assistance / research")</f>
        <v>Technical assistance / research</v>
      </c>
    </row>
    <row r="288">
      <c r="A288" s="3" t="str">
        <f>IFERROR(__xludf.DUMMYFUNCTION("""COMPUTED_VALUE"""),"Rede PENSSAN")</f>
        <v>Rede PENSSAN</v>
      </c>
      <c r="B288" s="3" t="str">
        <f>IFERROR(__xludf.DUMMYFUNCTION("""COMPUTED_VALUE"""),"Data / MRV / platforms")</f>
        <v>Data / MRV / platforms</v>
      </c>
    </row>
    <row r="289">
      <c r="A289" s="3" t="str">
        <f>IFERROR(__xludf.DUMMYFUNCTION("""COMPUTED_VALUE"""),"Instituto Comida do Amanhã")</f>
        <v>Instituto Comida do Amanhã</v>
      </c>
      <c r="B289" s="3" t="str">
        <f>IFERROR(__xludf.DUMMYFUNCTION("""COMPUTED_VALUE"""),"Project developer / Implementer")</f>
        <v>Project developer / Implementer</v>
      </c>
    </row>
    <row r="290">
      <c r="A290" s="3" t="str">
        <f>IFERROR(__xludf.DUMMYFUNCTION("""COMPUTED_VALUE"""),"Instituto Comida do Amanhã")</f>
        <v>Instituto Comida do Amanhã</v>
      </c>
      <c r="B290" s="3" t="str">
        <f>IFERROR(__xludf.DUMMYFUNCTION("""COMPUTED_VALUE"""),"Policy influence / regulation")</f>
        <v>Policy influence / regulation</v>
      </c>
    </row>
    <row r="291">
      <c r="A291" s="3" t="str">
        <f>IFERROR(__xludf.DUMMYFUNCTION("""COMPUTED_VALUE"""),"EAT Foundation")</f>
        <v>EAT Foundation</v>
      </c>
      <c r="B291" s="3" t="str">
        <f>IFERROR(__xludf.DUMMYFUNCTION("""COMPUTED_VALUE"""),"Technical assistance / research")</f>
        <v>Technical assistance / research</v>
      </c>
    </row>
    <row r="292">
      <c r="A292" s="3" t="str">
        <f>IFERROR(__xludf.DUMMYFUNCTION("""COMPUTED_VALUE"""),"EAT Foundation")</f>
        <v>EAT Foundation</v>
      </c>
      <c r="B292" s="3" t="str">
        <f>IFERROR(__xludf.DUMMYFUNCTION("""COMPUTED_VALUE"""),"Strategic partner")</f>
        <v>Strategic partner</v>
      </c>
    </row>
    <row r="293">
      <c r="A293" s="3" t="str">
        <f>IFERROR(__xludf.DUMMYFUNCTION("""COMPUTED_VALUE"""),"Programa de Sistemas Alimentares da FAO no Brasil (FAO – Food Systems Programme)")</f>
        <v>Programa de Sistemas Alimentares da FAO no Brasil (FAO – Food Systems Programme)</v>
      </c>
      <c r="B293" s="3" t="str">
        <f>IFERROR(__xludf.DUMMYFUNCTION("""COMPUTED_VALUE"""),"Strategic partner")</f>
        <v>Strategic partner</v>
      </c>
    </row>
    <row r="294">
      <c r="A294" s="3" t="str">
        <f>IFERROR(__xludf.DUMMYFUNCTION("""COMPUTED_VALUE"""),"Programa de Sistemas Alimentares da FAO no Brasil (FAO – Food Systems Programme)")</f>
        <v>Programa de Sistemas Alimentares da FAO no Brasil (FAO – Food Systems Programme)</v>
      </c>
      <c r="B294" s="3" t="str">
        <f>IFERROR(__xludf.DUMMYFUNCTION("""COMPUTED_VALUE"""),"Convenor/enablers")</f>
        <v>Convenor/enablers</v>
      </c>
    </row>
    <row r="295">
      <c r="A295" s="3" t="str">
        <f>IFERROR(__xludf.DUMMYFUNCTION("""COMPUTED_VALUE"""),"Programa de Sistemas Alimentares da FAO no Brasil (FAO – Food Systems Programme)")</f>
        <v>Programa de Sistemas Alimentares da FAO no Brasil (FAO – Food Systems Programme)</v>
      </c>
      <c r="B295" s="3" t="str">
        <f>IFERROR(__xludf.DUMMYFUNCTION("""COMPUTED_VALUE"""),"Technical assistance / research")</f>
        <v>Technical assistance / research</v>
      </c>
    </row>
    <row r="296">
      <c r="A296" s="3" t="str">
        <f>IFERROR(__xludf.DUMMYFUNCTION("""COMPUTED_VALUE"""),"Serviço Florestal Brasileiro (SFB)")</f>
        <v>Serviço Florestal Brasileiro (SFB)</v>
      </c>
      <c r="B296" s="3" t="str">
        <f>IFERROR(__xludf.DUMMYFUNCTION("""COMPUTED_VALUE"""),"Policy influence / regulation")</f>
        <v>Policy influence / regulation</v>
      </c>
    </row>
    <row r="297">
      <c r="A297" s="3" t="str">
        <f>IFERROR(__xludf.DUMMYFUNCTION("""COMPUTED_VALUE"""),"Serviço Florestal Brasileiro (SFB)")</f>
        <v>Serviço Florestal Brasileiro (SFB)</v>
      </c>
      <c r="B297" s="3" t="str">
        <f>IFERROR(__xludf.DUMMYFUNCTION("""COMPUTED_VALUE"""),"Data / MRV / platforms")</f>
        <v>Data / MRV / platforms</v>
      </c>
    </row>
    <row r="298">
      <c r="A298" s="3" t="str">
        <f>IFERROR(__xludf.DUMMYFUNCTION("""COMPUTED_VALUE"""),"Klabin")</f>
        <v>Klabin</v>
      </c>
      <c r="B298" s="3" t="str">
        <f>IFERROR(__xludf.DUMMYFUNCTION("""COMPUTED_VALUE"""),"Strategic partner")</f>
        <v>Strategic partner</v>
      </c>
    </row>
    <row r="299">
      <c r="A299" s="3" t="str">
        <f>IFERROR(__xludf.DUMMYFUNCTION("""COMPUTED_VALUE"""),"Klabin")</f>
        <v>Klabin</v>
      </c>
      <c r="B299" s="3" t="str">
        <f>IFERROR(__xludf.DUMMYFUNCTION("""COMPUTED_VALUE"""),"Implementation capacity (delivery)")</f>
        <v>Implementation capacity (delivery)</v>
      </c>
    </row>
    <row r="300">
      <c r="A300" s="3" t="str">
        <f>IFERROR(__xludf.DUMMYFUNCTION("""COMPUTED_VALUE"""),"Bracell")</f>
        <v>Bracell</v>
      </c>
      <c r="B300" s="3" t="str">
        <f>IFERROR(__xludf.DUMMYFUNCTION("""COMPUTED_VALUE"""),"Implementation capacity (delivery)")</f>
        <v>Implementation capacity (delivery)</v>
      </c>
    </row>
    <row r="301">
      <c r="A301" s="3" t="str">
        <f>IFERROR(__xludf.DUMMYFUNCTION("""COMPUTED_VALUE"""),"Dexco")</f>
        <v>Dexco</v>
      </c>
      <c r="B301" s="3" t="str">
        <f>IFERROR(__xludf.DUMMYFUNCTION("""COMPUTED_VALUE"""),"Implementation capacity (delivery)")</f>
        <v>Implementation capacity (delivery)</v>
      </c>
    </row>
    <row r="302">
      <c r="A302" s="3" t="str">
        <f>IFERROR(__xludf.DUMMYFUNCTION("""COMPUTED_VALUE"""),"Suzano Ventures")</f>
        <v>Suzano Ventures</v>
      </c>
      <c r="B302" s="3" t="str">
        <f>IFERROR(__xludf.DUMMYFUNCTION("""COMPUTED_VALUE"""),"Capital provider / Financial intermediary")</f>
        <v>Capital provider / Financial intermediary</v>
      </c>
    </row>
    <row r="303">
      <c r="A303" s="3" t="str">
        <f>IFERROR(__xludf.DUMMYFUNCTION("""COMPUTED_VALUE"""),"Rainforest Alliance")</f>
        <v>Rainforest Alliance</v>
      </c>
      <c r="B303" s="3" t="str">
        <f>IFERROR(__xludf.DUMMYFUNCTION("""COMPUTED_VALUE"""),"Technical assistance / research")</f>
        <v>Technical assistance / research</v>
      </c>
    </row>
    <row r="304">
      <c r="A304" s="3" t="str">
        <f>IFERROR(__xludf.DUMMYFUNCTION("""COMPUTED_VALUE"""),"Rainforest Alliance")</f>
        <v>Rainforest Alliance</v>
      </c>
      <c r="B304" s="3" t="str">
        <f>IFERROR(__xludf.DUMMYFUNCTION("""COMPUTED_VALUE"""),"Project developer / Implementer")</f>
        <v>Project developer / Implementer</v>
      </c>
    </row>
    <row r="305">
      <c r="A305" s="3" t="str">
        <f>IFERROR(__xludf.DUMMYFUNCTION("""COMPUTED_VALUE"""),"Forest Trends")</f>
        <v>Forest Trends</v>
      </c>
      <c r="B305" s="3" t="str">
        <f>IFERROR(__xludf.DUMMYFUNCTION("""COMPUTED_VALUE"""),"Technical assistance / research")</f>
        <v>Technical assistance / research</v>
      </c>
    </row>
    <row r="306">
      <c r="A306" s="3" t="str">
        <f>IFERROR(__xludf.DUMMYFUNCTION("""COMPUTED_VALUE"""),"Forest Trends")</f>
        <v>Forest Trends</v>
      </c>
      <c r="B306" s="3" t="str">
        <f>IFERROR(__xludf.DUMMYFUNCTION("""COMPUTED_VALUE"""),"Policy influence / regulation")</f>
        <v>Policy influence / regulation</v>
      </c>
    </row>
    <row r="307">
      <c r="A307" s="3" t="str">
        <f>IFERROR(__xludf.DUMMYFUNCTION("""COMPUTED_VALUE"""),"Earth Innovation Institute")</f>
        <v>Earth Innovation Institute</v>
      </c>
      <c r="B307" s="3" t="str">
        <f>IFERROR(__xludf.DUMMYFUNCTION("""COMPUTED_VALUE"""),"Technical assistance / research")</f>
        <v>Technical assistance / research</v>
      </c>
    </row>
    <row r="308">
      <c r="A308" s="3" t="str">
        <f>IFERROR(__xludf.DUMMYFUNCTION("""COMPUTED_VALUE"""),"Earth Innovation Institute")</f>
        <v>Earth Innovation Institute</v>
      </c>
      <c r="B308" s="3" t="str">
        <f>IFERROR(__xludf.DUMMYFUNCTION("""COMPUTED_VALUE"""),"Policy influence / regulation")</f>
        <v>Policy influence / regulation</v>
      </c>
    </row>
    <row r="309">
      <c r="A309" s="3" t="str">
        <f>IFERROR(__xludf.DUMMYFUNCTION("""COMPUTED_VALUE"""),"Bezos Earth Fund")</f>
        <v>Bezos Earth Fund</v>
      </c>
      <c r="B309" s="3" t="str">
        <f>IFERROR(__xludf.DUMMYFUNCTION("""COMPUTED_VALUE"""),"Funder")</f>
        <v>Funder</v>
      </c>
    </row>
    <row r="310">
      <c r="A310" s="3" t="str">
        <f>IFERROR(__xludf.DUMMYFUNCTION("""COMPUTED_VALUE"""),"Bezos Earth Fund")</f>
        <v>Bezos Earth Fund</v>
      </c>
      <c r="B310" s="3" t="str">
        <f>IFERROR(__xludf.DUMMYFUNCTION("""COMPUTED_VALUE"""),"Strategic partner")</f>
        <v>Strategic partner</v>
      </c>
    </row>
    <row r="311">
      <c r="A311" s="3" t="str">
        <f>IFERROR(__xludf.DUMMYFUNCTION("""COMPUTED_VALUE"""),"Bloomberg Philanthropies")</f>
        <v>Bloomberg Philanthropies</v>
      </c>
      <c r="B311" s="3" t="str">
        <f>IFERROR(__xludf.DUMMYFUNCTION("""COMPUTED_VALUE"""),"Funder")</f>
        <v>Funder</v>
      </c>
    </row>
    <row r="312">
      <c r="A312" s="3" t="str">
        <f>IFERROR(__xludf.DUMMYFUNCTION("""COMPUTED_VALUE"""),"Bloomberg Philanthropies")</f>
        <v>Bloomberg Philanthropies</v>
      </c>
      <c r="B312" s="3" t="str">
        <f>IFERROR(__xludf.DUMMYFUNCTION("""COMPUTED_VALUE"""),"Strategic partner")</f>
        <v>Strategic partner</v>
      </c>
    </row>
    <row r="313">
      <c r="A313" s="3" t="str">
        <f>IFERROR(__xludf.DUMMYFUNCTION("""COMPUTED_VALUE"""),"Laudes Foundation")</f>
        <v>Laudes Foundation</v>
      </c>
      <c r="B313" s="3" t="str">
        <f>IFERROR(__xludf.DUMMYFUNCTION("""COMPUTED_VALUE"""),"Funder")</f>
        <v>Funder</v>
      </c>
    </row>
    <row r="314">
      <c r="A314" s="3" t="str">
        <f>IFERROR(__xludf.DUMMYFUNCTION("""COMPUTED_VALUE"""),"Laudes Foundation")</f>
        <v>Laudes Foundation</v>
      </c>
      <c r="B314" s="3" t="str">
        <f>IFERROR(__xludf.DUMMYFUNCTION("""COMPUTED_VALUE"""),"Strategic partner")</f>
        <v>Strategic partner</v>
      </c>
    </row>
    <row r="315">
      <c r="A315" s="3" t="str">
        <f>IFERROR(__xludf.DUMMYFUNCTION("""COMPUTED_VALUE"""),"Skoll Foundation")</f>
        <v>Skoll Foundation</v>
      </c>
      <c r="B315" s="3" t="str">
        <f>IFERROR(__xludf.DUMMYFUNCTION("""COMPUTED_VALUE"""),"Funder")</f>
        <v>Funder</v>
      </c>
    </row>
    <row r="316">
      <c r="A316" s="3" t="str">
        <f>IFERROR(__xludf.DUMMYFUNCTION("""COMPUTED_VALUE"""),"Skoll Foundation")</f>
        <v>Skoll Foundation</v>
      </c>
      <c r="B316" s="3" t="str">
        <f>IFERROR(__xludf.DUMMYFUNCTION("""COMPUTED_VALUE"""),"Strategic partner")</f>
        <v>Strategic partner</v>
      </c>
    </row>
    <row r="317">
      <c r="A317" s="3" t="str">
        <f>IFERROR(__xludf.DUMMYFUNCTION("""COMPUTED_VALUE"""),"Walton Family Foundation")</f>
        <v>Walton Family Foundation</v>
      </c>
      <c r="B317" s="3" t="str">
        <f>IFERROR(__xludf.DUMMYFUNCTION("""COMPUTED_VALUE"""),"Funder")</f>
        <v>Funder</v>
      </c>
    </row>
    <row r="318">
      <c r="A318" s="3" t="str">
        <f>IFERROR(__xludf.DUMMYFUNCTION("""COMPUTED_VALUE"""),"Walton Family Foundation")</f>
        <v>Walton Family Foundation</v>
      </c>
      <c r="B318" s="3" t="str">
        <f>IFERROR(__xludf.DUMMYFUNCTION("""COMPUTED_VALUE"""),"Strategic partner")</f>
        <v>Strategic partner</v>
      </c>
    </row>
    <row r="319">
      <c r="A319" s="3" t="str">
        <f>IFERROR(__xludf.DUMMYFUNCTION("""COMPUTED_VALUE"""),"Blue Moon Fund")</f>
        <v>Blue Moon Fund</v>
      </c>
      <c r="B319" s="3" t="str">
        <f>IFERROR(__xludf.DUMMYFUNCTION("""COMPUTED_VALUE"""),"Funder")</f>
        <v>Funder</v>
      </c>
    </row>
    <row r="320">
      <c r="A320" s="3" t="str">
        <f>IFERROR(__xludf.DUMMYFUNCTION("""COMPUTED_VALUE"""),"Rainforest Trust")</f>
        <v>Rainforest Trust</v>
      </c>
      <c r="B320" s="3" t="str">
        <f>IFERROR(__xludf.DUMMYFUNCTION("""COMPUTED_VALUE"""),"Funder")</f>
        <v>Funder</v>
      </c>
    </row>
    <row r="321">
      <c r="A321" s="3" t="str">
        <f>IFERROR(__xludf.DUMMYFUNCTION("""COMPUTED_VALUE"""),"Rainforest Trust")</f>
        <v>Rainforest Trust</v>
      </c>
      <c r="B321" s="3" t="str">
        <f>IFERROR(__xludf.DUMMYFUNCTION("""COMPUTED_VALUE"""),"Project developer / Implementer")</f>
        <v>Project developer / Implementer</v>
      </c>
    </row>
    <row r="322">
      <c r="A322" s="3" t="str">
        <f>IFERROR(__xludf.DUMMYFUNCTION("""COMPUTED_VALUE"""),"John D. and Catherine T. MacArthur Foundation (MacArthur Foundation)")</f>
        <v>John D. and Catherine T. MacArthur Foundation (MacArthur Foundation)</v>
      </c>
      <c r="B322" s="3" t="str">
        <f>IFERROR(__xludf.DUMMYFUNCTION("""COMPUTED_VALUE"""),"Funder")</f>
        <v>Funder</v>
      </c>
    </row>
    <row r="323">
      <c r="A323" s="3" t="str">
        <f>IFERROR(__xludf.DUMMYFUNCTION("""COMPUTED_VALUE"""),"John D. and Catherine T. MacArthur Foundation (MacArthur Foundation)")</f>
        <v>John D. and Catherine T. MacArthur Foundation (MacArthur Foundation)</v>
      </c>
      <c r="B323" s="3" t="str">
        <f>IFERROR(__xludf.DUMMYFUNCTION("""COMPUTED_VALUE"""),"Strategic partner")</f>
        <v>Strategic partner</v>
      </c>
    </row>
    <row r="324">
      <c r="A324" s="3" t="str">
        <f>IFERROR(__xludf.DUMMYFUNCTION("""COMPUTED_VALUE"""),"Rockefeller Brothers Fund")</f>
        <v>Rockefeller Brothers Fund</v>
      </c>
      <c r="B324" s="3" t="str">
        <f>IFERROR(__xludf.DUMMYFUNCTION("""COMPUTED_VALUE"""),"Funder")</f>
        <v>Funder</v>
      </c>
    </row>
    <row r="325">
      <c r="A325" s="3" t="str">
        <f>IFERROR(__xludf.DUMMYFUNCTION("""COMPUTED_VALUE"""),"Rockefeller Brothers Fund")</f>
        <v>Rockefeller Brothers Fund</v>
      </c>
      <c r="B325" s="3" t="str">
        <f>IFERROR(__xludf.DUMMYFUNCTION("""COMPUTED_VALUE"""),"Strategic partner")</f>
        <v>Strategic partner</v>
      </c>
    </row>
    <row r="326">
      <c r="A326" s="3" t="str">
        <f>IFERROR(__xludf.DUMMYFUNCTION("""COMPUTED_VALUE"""),"Consórcio Nordeste")</f>
        <v>Consórcio Nordeste</v>
      </c>
      <c r="B326" s="3" t="str">
        <f>IFERROR(__xludf.DUMMYFUNCTION("""COMPUTED_VALUE"""),"Territorial anchor")</f>
        <v>Territorial anchor</v>
      </c>
    </row>
    <row r="327">
      <c r="A327" s="3" t="str">
        <f>IFERROR(__xludf.DUMMYFUNCTION("""COMPUTED_VALUE"""),"Consórcio Nordeste")</f>
        <v>Consórcio Nordeste</v>
      </c>
      <c r="B327" s="3" t="str">
        <f>IFERROR(__xludf.DUMMYFUNCTION("""COMPUTED_VALUE"""),"Policy influence / regulation")</f>
        <v>Policy influence / regulation</v>
      </c>
    </row>
    <row r="328">
      <c r="A328" s="3" t="str">
        <f>IFERROR(__xludf.DUMMYFUNCTION("""COMPUTED_VALUE"""),"Laboratório de Inovação Financeira (LAB/CVM)")</f>
        <v>Laboratório de Inovação Financeira (LAB/CVM)</v>
      </c>
      <c r="B328" s="3" t="str">
        <f>IFERROR(__xludf.DUMMYFUNCTION("""COMPUTED_VALUE"""),"Convenor/enablers")</f>
        <v>Convenor/enablers</v>
      </c>
    </row>
    <row r="329">
      <c r="A329" s="3" t="str">
        <f>IFERROR(__xludf.DUMMYFUNCTION("""COMPUTED_VALUE"""),"Laboratório de Inovação Financeira (LAB/CVM)")</f>
        <v>Laboratório de Inovação Financeira (LAB/CVM)</v>
      </c>
      <c r="B329" s="3" t="str">
        <f>IFERROR(__xludf.DUMMYFUNCTION("""COMPUTED_VALUE"""),"Policy influence / regulation")</f>
        <v>Policy influence / regulation</v>
      </c>
    </row>
    <row r="330">
      <c r="A330" s="3" t="str">
        <f>IFERROR(__xludf.DUMMYFUNCTION("""COMPUTED_VALUE"""),"Conselho Empresarial Brasileiro para o Desenvolvimento Sustentável (CEBDS)")</f>
        <v>Conselho Empresarial Brasileiro para o Desenvolvimento Sustentável (CEBDS)</v>
      </c>
      <c r="B330" s="3" t="str">
        <f>IFERROR(__xludf.DUMMYFUNCTION("""COMPUTED_VALUE"""),"Convenor/enablers")</f>
        <v>Convenor/enablers</v>
      </c>
    </row>
    <row r="331">
      <c r="A331" s="3" t="str">
        <f>IFERROR(__xludf.DUMMYFUNCTION("""COMPUTED_VALUE"""),"Conselho Empresarial Brasileiro para o Desenvolvimento Sustentável (CEBDS)")</f>
        <v>Conselho Empresarial Brasileiro para o Desenvolvimento Sustentável (CEBDS)</v>
      </c>
      <c r="B331" s="3" t="str">
        <f>IFERROR(__xludf.DUMMYFUNCTION("""COMPUTED_VALUE"""),"Policy influence / regulation")</f>
        <v>Policy influence / regulation</v>
      </c>
    </row>
    <row r="332">
      <c r="A332" s="3" t="str">
        <f>IFERROR(__xludf.DUMMYFUNCTION("""COMPUTED_VALUE"""),"Associação Brasileira de Desenvolvimento (ABDE)")</f>
        <v>Associação Brasileira de Desenvolvimento (ABDE)</v>
      </c>
      <c r="B332" s="3" t="str">
        <f>IFERROR(__xludf.DUMMYFUNCTION("""COMPUTED_VALUE"""),"Convenor/enablers")</f>
        <v>Convenor/enablers</v>
      </c>
    </row>
    <row r="333">
      <c r="A333" s="3" t="str">
        <f>IFERROR(__xludf.DUMMYFUNCTION("""COMPUTED_VALUE"""),"Associação Brasileira de Desenvolvimento (ABDE)")</f>
        <v>Associação Brasileira de Desenvolvimento (ABDE)</v>
      </c>
      <c r="B333" s="3" t="str">
        <f>IFERROR(__xludf.DUMMYFUNCTION("""COMPUTED_VALUE"""),"Capital provider / Financial intermediary")</f>
        <v>Capital provider / Financial intermediary</v>
      </c>
    </row>
    <row r="334">
      <c r="A334" s="3" t="str">
        <f>IFERROR(__xludf.DUMMYFUNCTION("""COMPUTED_VALUE"""),"Climate Policy Initiative (CPI)")</f>
        <v>Climate Policy Initiative (CPI)</v>
      </c>
      <c r="B334" s="3" t="str">
        <f>IFERROR(__xludf.DUMMYFUNCTION("""COMPUTED_VALUE"""),"Technical assistance / research")</f>
        <v>Technical assistance / research</v>
      </c>
    </row>
    <row r="335">
      <c r="A335" s="3" t="str">
        <f>IFERROR(__xludf.DUMMYFUNCTION("""COMPUTED_VALUE"""),"Climate Policy Initiative (CPI)")</f>
        <v>Climate Policy Initiative (CPI)</v>
      </c>
      <c r="B335" s="3" t="str">
        <f>IFERROR(__xludf.DUMMYFUNCTION("""COMPUTED_VALUE"""),"Policy influence / regulation")</f>
        <v>Policy influence / regulation</v>
      </c>
    </row>
    <row r="336">
      <c r="A336" s="3" t="str">
        <f>IFERROR(__xludf.DUMMYFUNCTION("""COMPUTED_VALUE"""),"Climate Finance Hub Brasil")</f>
        <v>Climate Finance Hub Brasil</v>
      </c>
      <c r="B336" s="3" t="str">
        <f>IFERROR(__xludf.DUMMYFUNCTION("""COMPUTED_VALUE"""),"Technical assistance / research")</f>
        <v>Technical assistance / research</v>
      </c>
    </row>
    <row r="337">
      <c r="A337" s="3" t="str">
        <f>IFERROR(__xludf.DUMMYFUNCTION("""COMPUTED_VALUE"""),"Climate Finance Hub Brasil")</f>
        <v>Climate Finance Hub Brasil</v>
      </c>
      <c r="B337" s="3" t="str">
        <f>IFERROR(__xludf.DUMMYFUNCTION("""COMPUTED_VALUE"""),"Convenor/enablers")</f>
        <v>Convenor/enablers</v>
      </c>
    </row>
    <row r="338">
      <c r="A338" s="3" t="str">
        <f>IFERROR(__xludf.DUMMYFUNCTION("""COMPUTED_VALUE"""),"Associação Brasileira de Energia Eólica (ABEEólica)")</f>
        <v>Associação Brasileira de Energia Eólica (ABEEólica)</v>
      </c>
      <c r="B338" s="3" t="str">
        <f>IFERROR(__xludf.DUMMYFUNCTION("""COMPUTED_VALUE"""),"Policy influence / regulation")</f>
        <v>Policy influence / regulation</v>
      </c>
    </row>
    <row r="339">
      <c r="A339" s="3" t="str">
        <f>IFERROR(__xludf.DUMMYFUNCTION("""COMPUTED_VALUE"""),"Associação Brasileira de Energia Eólica (ABEEólica)")</f>
        <v>Associação Brasileira de Energia Eólica (ABEEólica)</v>
      </c>
      <c r="B339" s="3" t="str">
        <f>IFERROR(__xludf.DUMMYFUNCTION("""COMPUTED_VALUE"""),"Convenor/enablers")</f>
        <v>Convenor/enablers</v>
      </c>
    </row>
    <row r="340">
      <c r="A340" s="3" t="str">
        <f>IFERROR(__xludf.DUMMYFUNCTION("""COMPUTED_VALUE"""),"Associação Brasileira de Energia Solar Fotovoltaica (ABSolar)")</f>
        <v>Associação Brasileira de Energia Solar Fotovoltaica (ABSolar)</v>
      </c>
      <c r="B340" s="3" t="str">
        <f>IFERROR(__xludf.DUMMYFUNCTION("""COMPUTED_VALUE"""),"Policy influence / regulation")</f>
        <v>Policy influence / regulation</v>
      </c>
    </row>
    <row r="341">
      <c r="A341" s="3" t="str">
        <f>IFERROR(__xludf.DUMMYFUNCTION("""COMPUTED_VALUE"""),"Associação Brasileira de Energia Solar Fotovoltaica (ABSolar)")</f>
        <v>Associação Brasileira de Energia Solar Fotovoltaica (ABSolar)</v>
      </c>
      <c r="B341" s="3" t="str">
        <f>IFERROR(__xludf.DUMMYFUNCTION("""COMPUTED_VALUE"""),"Convenor/enablers")</f>
        <v>Convenor/enablers</v>
      </c>
    </row>
    <row r="342">
      <c r="A342" s="3" t="str">
        <f>IFERROR(__xludf.DUMMYFUNCTION("""COMPUTED_VALUE"""),"Associação Brasileira do Biogás (ABiogás)")</f>
        <v>Associação Brasileira do Biogás (ABiogás)</v>
      </c>
      <c r="B342" s="3" t="str">
        <f>IFERROR(__xludf.DUMMYFUNCTION("""COMPUTED_VALUE"""),"Policy influence / regulation")</f>
        <v>Policy influence / regulation</v>
      </c>
    </row>
    <row r="343">
      <c r="A343" s="3" t="str">
        <f>IFERROR(__xludf.DUMMYFUNCTION("""COMPUTED_VALUE"""),"Associação Brasileira do Biogás (ABiogás)")</f>
        <v>Associação Brasileira do Biogás (ABiogás)</v>
      </c>
      <c r="B343" s="3" t="str">
        <f>IFERROR(__xludf.DUMMYFUNCTION("""COMPUTED_VALUE"""),"Convenor/enablers")</f>
        <v>Convenor/enablers</v>
      </c>
    </row>
    <row r="344">
      <c r="A344" s="3" t="str">
        <f>IFERROR(__xludf.DUMMYFUNCTION("""COMPUTED_VALUE"""),"Associação Brasileira do Hidrogênio (ABH2)")</f>
        <v>Associação Brasileira do Hidrogênio (ABH2)</v>
      </c>
      <c r="B344" s="3" t="str">
        <f>IFERROR(__xludf.DUMMYFUNCTION("""COMPUTED_VALUE"""),"Policy influence / regulation")</f>
        <v>Policy influence / regulation</v>
      </c>
    </row>
    <row r="345">
      <c r="A345" s="3" t="str">
        <f>IFERROR(__xludf.DUMMYFUNCTION("""COMPUTED_VALUE"""),"Associação Brasileira do Hidrogênio (ABH2)")</f>
        <v>Associação Brasileira do Hidrogênio (ABH2)</v>
      </c>
      <c r="B345" s="3" t="str">
        <f>IFERROR(__xludf.DUMMYFUNCTION("""COMPUTED_VALUE"""),"Convenor/enablers")</f>
        <v>Convenor/enablers</v>
      </c>
    </row>
    <row r="346">
      <c r="A346" s="3" t="str">
        <f>IFERROR(__xludf.DUMMYFUNCTION("""COMPUTED_VALUE"""),"Instituto Nacional de Eficiência Energética (INEE)")</f>
        <v>Instituto Nacional de Eficiência Energética (INEE)</v>
      </c>
      <c r="B346" s="3" t="str">
        <f>IFERROR(__xludf.DUMMYFUNCTION("""COMPUTED_VALUE"""),"Technical assistance / research")</f>
        <v>Technical assistance / research</v>
      </c>
    </row>
    <row r="347">
      <c r="A347" s="3" t="str">
        <f>IFERROR(__xludf.DUMMYFUNCTION("""COMPUTED_VALUE"""),"Superintendência do Desenvolvimento do Nordeste (SUDENE)")</f>
        <v>Superintendência do Desenvolvimento do Nordeste (SUDENE)</v>
      </c>
      <c r="B347" s="3" t="str">
        <f>IFERROR(__xludf.DUMMYFUNCTION("""COMPUTED_VALUE"""),"Territorial anchor")</f>
        <v>Territorial anchor</v>
      </c>
    </row>
    <row r="348">
      <c r="A348" s="3" t="str">
        <f>IFERROR(__xludf.DUMMYFUNCTION("""COMPUTED_VALUE"""),"Superintendência do Desenvolvimento do Nordeste (SUDENE)")</f>
        <v>Superintendência do Desenvolvimento do Nordeste (SUDENE)</v>
      </c>
      <c r="B348" s="3" t="str">
        <f>IFERROR(__xludf.DUMMYFUNCTION("""COMPUTED_VALUE"""),"Policy influence / regulation")</f>
        <v>Policy influence / regulation</v>
      </c>
    </row>
    <row r="349">
      <c r="A349" s="3" t="str">
        <f>IFERROR(__xludf.DUMMYFUNCTION("""COMPUTED_VALUE"""),"Associação Brasileira de Grandes Consumidores Industriais de Energia e de Consumidores Livres (ABRACE)")</f>
        <v>Associação Brasileira de Grandes Consumidores Industriais de Energia e de Consumidores Livres (ABRACE)</v>
      </c>
      <c r="B349" s="3" t="str">
        <f>IFERROR(__xludf.DUMMYFUNCTION("""COMPUTED_VALUE"""),"Policy influence / regulation")</f>
        <v>Policy influence / regulation</v>
      </c>
    </row>
    <row r="350">
      <c r="A350" s="3" t="str">
        <f>IFERROR(__xludf.DUMMYFUNCTION("""COMPUTED_VALUE"""),"Associação Brasileira de Grandes Consumidores Industriais de Energia e de Consumidores Livres (ABRACE)")</f>
        <v>Associação Brasileira de Grandes Consumidores Industriais de Energia e de Consumidores Livres (ABRACE)</v>
      </c>
      <c r="B350" s="3" t="str">
        <f>IFERROR(__xludf.DUMMYFUNCTION("""COMPUTED_VALUE"""),"Convenor/enablers")</f>
        <v>Convenor/enablers</v>
      </c>
    </row>
    <row r="351">
      <c r="A351" s="3" t="str">
        <f>IFERROR(__xludf.DUMMYFUNCTION("""COMPUTED_VALUE"""),"Casa dos Ventos")</f>
        <v>Casa dos Ventos</v>
      </c>
      <c r="B351" s="3" t="str">
        <f>IFERROR(__xludf.DUMMYFUNCTION("""COMPUTED_VALUE"""),"Implementation capacity (delivery)")</f>
        <v>Implementation capacity (delivery)</v>
      </c>
    </row>
    <row r="352">
      <c r="A352" s="3" t="str">
        <f>IFERROR(__xludf.DUMMYFUNCTION("""COMPUTED_VALUE"""),"Voltalia Energia do Brasil (Voltalia)")</f>
        <v>Voltalia Energia do Brasil (Voltalia)</v>
      </c>
      <c r="B352" s="3" t="str">
        <f>IFERROR(__xludf.DUMMYFUNCTION("""COMPUTED_VALUE"""),"Implementation capacity (delivery)")</f>
        <v>Implementation capacity (delivery)</v>
      </c>
    </row>
    <row r="353">
      <c r="A353" s="3" t="str">
        <f>IFERROR(__xludf.DUMMYFUNCTION("""COMPUTED_VALUE"""),"Brava Energia")</f>
        <v>Brava Energia</v>
      </c>
      <c r="B353" s="3" t="str">
        <f>IFERROR(__xludf.DUMMYFUNCTION("""COMPUTED_VALUE"""),"Implementation capacity (delivery)")</f>
        <v>Implementation capacity (delivery)</v>
      </c>
    </row>
    <row r="354">
      <c r="A354" s="3" t="str">
        <f>IFERROR(__xludf.DUMMYFUNCTION("""COMPUTED_VALUE"""),"Grupo Stellantis (Stellantis)")</f>
        <v>Grupo Stellantis (Stellantis)</v>
      </c>
      <c r="B354" s="3" t="str">
        <f>IFERROR(__xludf.DUMMYFUNCTION("""COMPUTED_VALUE"""),"Strategic partner")</f>
        <v>Strategic partner</v>
      </c>
    </row>
    <row r="355">
      <c r="A355" s="3" t="str">
        <f>IFERROR(__xludf.DUMMYFUNCTION("""COMPUTED_VALUE"""),"Grupo Stellantis (Stellantis)")</f>
        <v>Grupo Stellantis (Stellantis)</v>
      </c>
      <c r="B355" s="3" t="str">
        <f>IFERROR(__xludf.DUMMYFUNCTION("""COMPUTED_VALUE"""),"Implementation capacity (delivery)")</f>
        <v>Implementation capacity (delivery)</v>
      </c>
    </row>
    <row r="356">
      <c r="A356" s="3" t="str">
        <f>IFERROR(__xludf.DUMMYFUNCTION("""COMPUTED_VALUE"""),"Agência Brasileira de Promoção de Exportações e Investimentos (ApexBrasil)")</f>
        <v>Agência Brasileira de Promoção de Exportações e Investimentos (ApexBrasil)</v>
      </c>
      <c r="B356" s="3" t="str">
        <f>IFERROR(__xludf.DUMMYFUNCTION("""COMPUTED_VALUE"""),"Convenor/enablers")</f>
        <v>Convenor/enablers</v>
      </c>
    </row>
    <row r="357">
      <c r="A357" s="3" t="str">
        <f>IFERROR(__xludf.DUMMYFUNCTION("""COMPUTED_VALUE"""),"Agência Brasileira de Promoção de Exportações e Investimentos (ApexBrasil)")</f>
        <v>Agência Brasileira de Promoção de Exportações e Investimentos (ApexBrasil)</v>
      </c>
      <c r="B357" s="3" t="str">
        <f>IFERROR(__xludf.DUMMYFUNCTION("""COMPUTED_VALUE"""),"Policy influence / regulation")</f>
        <v>Policy influence / regulation</v>
      </c>
    </row>
    <row r="358">
      <c r="A358" s="3" t="str">
        <f>IFERROR(__xludf.DUMMYFUNCTION("""COMPUTED_VALUE"""),"Complexo Industrial Portuário de Suape (Suape)")</f>
        <v>Complexo Industrial Portuário de Suape (Suape)</v>
      </c>
      <c r="B358" s="3" t="str">
        <f>IFERROR(__xludf.DUMMYFUNCTION("""COMPUTED_VALUE"""),"Territorial anchor")</f>
        <v>Territorial anchor</v>
      </c>
    </row>
    <row r="359">
      <c r="A359" s="3" t="str">
        <f>IFERROR(__xludf.DUMMYFUNCTION("""COMPUTED_VALUE"""),"Complexo Industrial Portuário de Suape (Suape)")</f>
        <v>Complexo Industrial Portuário de Suape (Suape)</v>
      </c>
      <c r="B359" s="3" t="str">
        <f>IFERROR(__xludf.DUMMYFUNCTION("""COMPUTED_VALUE"""),"Implementation capacity (delivery)")</f>
        <v>Implementation capacity (delivery)</v>
      </c>
    </row>
    <row r="360">
      <c r="A360" s="3" t="str">
        <f>IFERROR(__xludf.DUMMYFUNCTION("""COMPUTED_VALUE"""),"Complexo do Pecém (CIPP S.A.)")</f>
        <v>Complexo do Pecém (CIPP S.A.)</v>
      </c>
      <c r="B360" s="3" t="str">
        <f>IFERROR(__xludf.DUMMYFUNCTION("""COMPUTED_VALUE"""),"Territorial anchor")</f>
        <v>Territorial anchor</v>
      </c>
    </row>
    <row r="361">
      <c r="A361" s="3" t="str">
        <f>IFERROR(__xludf.DUMMYFUNCTION("""COMPUTED_VALUE"""),"Complexo do Pecém (CIPP S.A.)")</f>
        <v>Complexo do Pecém (CIPP S.A.)</v>
      </c>
      <c r="B361" s="3" t="str">
        <f>IFERROR(__xludf.DUMMYFUNCTION("""COMPUTED_VALUE"""),"Implementation capacity (delivery)")</f>
        <v>Implementation capacity (delivery)</v>
      </c>
    </row>
    <row r="362">
      <c r="A362" s="3" t="str">
        <f>IFERROR(__xludf.DUMMYFUNCTION("""COMPUTED_VALUE"""),"Hydrogen Council")</f>
        <v>Hydrogen Council</v>
      </c>
      <c r="B362" s="3" t="str">
        <f>IFERROR(__xludf.DUMMYFUNCTION("""COMPUTED_VALUE"""),"Convenor/enablers")</f>
        <v>Convenor/enablers</v>
      </c>
    </row>
    <row r="363">
      <c r="A363" s="3" t="str">
        <f>IFERROR(__xludf.DUMMYFUNCTION("""COMPUTED_VALUE"""),"Hydrogen Council")</f>
        <v>Hydrogen Council</v>
      </c>
      <c r="B363" s="3" t="str">
        <f>IFERROR(__xludf.DUMMYFUNCTION("""COMPUTED_VALUE"""),"Policy influence / regulation")</f>
        <v>Policy influence / regulation</v>
      </c>
    </row>
    <row r="364">
      <c r="A364" s="3" t="str">
        <f>IFERROR(__xludf.DUMMYFUNCTION("""COMPUTED_VALUE"""),"World Energy Council")</f>
        <v>World Energy Council</v>
      </c>
      <c r="B364" s="3" t="str">
        <f>IFERROR(__xludf.DUMMYFUNCTION("""COMPUTED_VALUE"""),"Convenor/enablers")</f>
        <v>Convenor/enablers</v>
      </c>
    </row>
    <row r="365">
      <c r="A365" s="3" t="str">
        <f>IFERROR(__xludf.DUMMYFUNCTION("""COMPUTED_VALUE"""),"World Energy Council")</f>
        <v>World Energy Council</v>
      </c>
      <c r="B365" s="3" t="str">
        <f>IFERROR(__xludf.DUMMYFUNCTION("""COMPUTED_VALUE"""),"Technical assistance / research")</f>
        <v>Technical assistance / research</v>
      </c>
    </row>
    <row r="366">
      <c r="A366" s="3" t="str">
        <f>IFERROR(__xludf.DUMMYFUNCTION("""COMPUTED_VALUE"""),"Câmara Setorial de Energias Renováveis do Ceará (CS Renováveis/CE)")</f>
        <v>Câmara Setorial de Energias Renováveis do Ceará (CS Renováveis/CE)</v>
      </c>
      <c r="B366" s="3" t="str">
        <f>IFERROR(__xludf.DUMMYFUNCTION("""COMPUTED_VALUE"""),"Territorial anchor")</f>
        <v>Territorial anchor</v>
      </c>
    </row>
    <row r="367">
      <c r="A367" s="3" t="str">
        <f>IFERROR(__xludf.DUMMYFUNCTION("""COMPUTED_VALUE"""),"Câmara Setorial de Energias Renováveis do Ceará (CS Renováveis/CE)")</f>
        <v>Câmara Setorial de Energias Renováveis do Ceará (CS Renováveis/CE)</v>
      </c>
      <c r="B367" s="3" t="str">
        <f>IFERROR(__xludf.DUMMYFUNCTION("""COMPUTED_VALUE"""),"Convenor/enablers")</f>
        <v>Convenor/enablers</v>
      </c>
    </row>
    <row r="368">
      <c r="A368" s="3" t="str">
        <f>IFERROR(__xludf.DUMMYFUNCTION("""COMPUTED_VALUE"""),"Glasgow Financial Alliance for Net Zero (GFANZ)")</f>
        <v>Glasgow Financial Alliance for Net Zero (GFANZ)</v>
      </c>
      <c r="B368" s="3" t="str">
        <f>IFERROR(__xludf.DUMMYFUNCTION("""COMPUTED_VALUE"""),"Convenor/enablers")</f>
        <v>Convenor/enablers</v>
      </c>
    </row>
    <row r="369">
      <c r="A369" s="3" t="str">
        <f>IFERROR(__xludf.DUMMYFUNCTION("""COMPUTED_VALUE"""),"Glasgow Financial Alliance for Net Zero (GFANZ)")</f>
        <v>Glasgow Financial Alliance for Net Zero (GFANZ)</v>
      </c>
      <c r="B369" s="3" t="str">
        <f>IFERROR(__xludf.DUMMYFUNCTION("""COMPUTED_VALUE"""),"Capital provider / Financial intermediary")</f>
        <v>Capital provider / Financial intermediary</v>
      </c>
    </row>
    <row r="370">
      <c r="A370" s="3" t="str">
        <f>IFERROR(__xludf.DUMMYFUNCTION("""COMPUTED_VALUE"""),"Centro Brasileiro de Relações Internacionais (CEBRI)")</f>
        <v>Centro Brasileiro de Relações Internacionais (CEBRI)</v>
      </c>
      <c r="B370" s="3" t="str">
        <f>IFERROR(__xludf.DUMMYFUNCTION("""COMPUTED_VALUE"""),"Technical assistance / research")</f>
        <v>Technical assistance / research</v>
      </c>
    </row>
    <row r="371">
      <c r="A371" s="3" t="str">
        <f>IFERROR(__xludf.DUMMYFUNCTION("""COMPUTED_VALUE"""),"Centro Brasileiro de Relações Internacionais (CEBRI)")</f>
        <v>Centro Brasileiro de Relações Internacionais (CEBRI)</v>
      </c>
      <c r="B371" s="3" t="str">
        <f>IFERROR(__xludf.DUMMYFUNCTION("""COMPUTED_VALUE"""),"Policy influence / regulation")</f>
        <v>Policy influence / regulation</v>
      </c>
    </row>
    <row r="372">
      <c r="A372" s="3" t="str">
        <f>IFERROR(__xludf.DUMMYFUNCTION("""COMPUTED_VALUE"""),"Future Climate")</f>
        <v>Future Climate</v>
      </c>
      <c r="B372" s="3" t="str">
        <f>IFERROR(__xludf.DUMMYFUNCTION("""COMPUTED_VALUE"""),"Technical assistance / research")</f>
        <v>Technical assistance / research</v>
      </c>
    </row>
    <row r="373">
      <c r="A373" s="3" t="str">
        <f>IFERROR(__xludf.DUMMYFUNCTION("""COMPUTED_VALUE"""),"AS-PTA – Agricultura Familiar e Agroecologia (AS-PTA)")</f>
        <v>AS-PTA – Agricultura Familiar e Agroecologia (AS-PTA)</v>
      </c>
      <c r="B373" s="3" t="str">
        <f>IFERROR(__xludf.DUMMYFUNCTION("""COMPUTED_VALUE"""),"Project developer / Implementer")</f>
        <v>Project developer / Implementer</v>
      </c>
    </row>
    <row r="374">
      <c r="A374" s="3" t="str">
        <f>IFERROR(__xludf.DUMMYFUNCTION("""COMPUTED_VALUE"""),"AS-PTA – Agricultura Familiar e Agroecologia (AS-PTA)")</f>
        <v>AS-PTA – Agricultura Familiar e Agroecologia (AS-PTA)</v>
      </c>
      <c r="B374" s="3" t="str">
        <f>IFERROR(__xludf.DUMMYFUNCTION("""COMPUTED_VALUE"""),"Community legitimacy / proximate leadership")</f>
        <v>Community legitimacy / proximate leadership</v>
      </c>
    </row>
    <row r="375">
      <c r="A375" s="3" t="str">
        <f>IFERROR(__xludf.DUMMYFUNCTION("""COMPUTED_VALUE"""),"Associação Brasileira das Entidades dos Mercados Financeiro e de Capitais (ANBIMA)")</f>
        <v>Associação Brasileira das Entidades dos Mercados Financeiro e de Capitais (ANBIMA)</v>
      </c>
      <c r="B375" s="3" t="str">
        <f>IFERROR(__xludf.DUMMYFUNCTION("""COMPUTED_VALUE"""),"Policy influence / regulation")</f>
        <v>Policy influence / regulation</v>
      </c>
    </row>
    <row r="376">
      <c r="A376" s="3" t="str">
        <f>IFERROR(__xludf.DUMMYFUNCTION("""COMPUTED_VALUE"""),"Associação Brasileira das Entidades dos Mercados Financeiro e de Capitais (ANBIMA)")</f>
        <v>Associação Brasileira das Entidades dos Mercados Financeiro e de Capitais (ANBIMA)</v>
      </c>
      <c r="B376" s="3" t="str">
        <f>IFERROR(__xludf.DUMMYFUNCTION("""COMPUTED_VALUE"""),"Convenor/enablers")</f>
        <v>Convenor/enablers</v>
      </c>
    </row>
    <row r="377">
      <c r="A377" s="3" t="str">
        <f>IFERROR(__xludf.DUMMYFUNCTION("""COMPUTED_VALUE"""),"C40 Cities (C40)")</f>
        <v>C40 Cities (C40)</v>
      </c>
      <c r="B377" s="3" t="str">
        <f>IFERROR(__xludf.DUMMYFUNCTION("""COMPUTED_VALUE"""),"Strategic partner")</f>
        <v>Strategic partner</v>
      </c>
    </row>
    <row r="378">
      <c r="A378" s="3" t="str">
        <f>IFERROR(__xludf.DUMMYFUNCTION("""COMPUTED_VALUE"""),"C40 Cities (C40)")</f>
        <v>C40 Cities (C40)</v>
      </c>
      <c r="B378" s="3" t="str">
        <f>IFERROR(__xludf.DUMMYFUNCTION("""COMPUTED_VALUE"""),"Convenor/enablers")</f>
        <v>Convenor/enablers</v>
      </c>
    </row>
    <row r="379">
      <c r="A379" s="3" t="str">
        <f>IFERROR(__xludf.DUMMYFUNCTION("""COMPUTED_VALUE"""),"C40 Cities (C40)")</f>
        <v>C40 Cities (C40)</v>
      </c>
      <c r="B379" s="3" t="str">
        <f>IFERROR(__xludf.DUMMYFUNCTION("""COMPUTED_VALUE"""),"Territorial anchor")</f>
        <v>Territorial anchor</v>
      </c>
    </row>
    <row r="380">
      <c r="A380" s="3" t="str">
        <f>IFERROR(__xludf.DUMMYFUNCTION("""COMPUTED_VALUE"""),"Programa das Nações Unidas para os Assentamentos Humanos (ONU-Habitat)")</f>
        <v>Programa das Nações Unidas para os Assentamentos Humanos (ONU-Habitat)</v>
      </c>
      <c r="B380" s="3" t="str">
        <f>IFERROR(__xludf.DUMMYFUNCTION("""COMPUTED_VALUE"""),"Strategic partner")</f>
        <v>Strategic partner</v>
      </c>
    </row>
    <row r="381">
      <c r="A381" s="3" t="str">
        <f>IFERROR(__xludf.DUMMYFUNCTION("""COMPUTED_VALUE"""),"Programa das Nações Unidas para os Assentamentos Humanos (ONU-Habitat)")</f>
        <v>Programa das Nações Unidas para os Assentamentos Humanos (ONU-Habitat)</v>
      </c>
      <c r="B381" s="3" t="str">
        <f>IFERROR(__xludf.DUMMYFUNCTION("""COMPUTED_VALUE"""),"Project developer / Implementer")</f>
        <v>Project developer / Implementer</v>
      </c>
    </row>
    <row r="382">
      <c r="A382" s="3" t="str">
        <f>IFERROR(__xludf.DUMMYFUNCTION("""COMPUTED_VALUE"""),"Programa das Nações Unidas para os Assentamentos Humanos (ONU-Habitat)")</f>
        <v>Programa das Nações Unidas para os Assentamentos Humanos (ONU-Habitat)</v>
      </c>
      <c r="B382" s="3" t="str">
        <f>IFERROR(__xludf.DUMMYFUNCTION("""COMPUTED_VALUE"""),"Technical assistance / research")</f>
        <v>Technical assistance / research</v>
      </c>
    </row>
    <row r="383">
      <c r="A383" s="3" t="str">
        <f>IFERROR(__xludf.DUMMYFUNCTION("""COMPUTED_VALUE"""),"Associação Nacional de Transportes Públicos (ANTP)")</f>
        <v>Associação Nacional de Transportes Públicos (ANTP)</v>
      </c>
      <c r="B383" s="3" t="str">
        <f>IFERROR(__xludf.DUMMYFUNCTION("""COMPUTED_VALUE"""),"Technical assistance / research")</f>
        <v>Technical assistance / research</v>
      </c>
    </row>
    <row r="384">
      <c r="A384" s="3" t="str">
        <f>IFERROR(__xludf.DUMMYFUNCTION("""COMPUTED_VALUE"""),"Associação Nacional de Transportes Públicos (ANTP)")</f>
        <v>Associação Nacional de Transportes Públicos (ANTP)</v>
      </c>
      <c r="B384" s="3" t="str">
        <f>IFERROR(__xludf.DUMMYFUNCTION("""COMPUTED_VALUE"""),"Convenor/enablers")</f>
        <v>Convenor/enablers</v>
      </c>
    </row>
    <row r="385">
      <c r="A385" s="3" t="str">
        <f>IFERROR(__xludf.DUMMYFUNCTION("""COMPUTED_VALUE"""),"Governos Locais pela Sustentabilidade (ICLEI)")</f>
        <v>Governos Locais pela Sustentabilidade (ICLEI)</v>
      </c>
      <c r="B385" s="3" t="str">
        <f>IFERROR(__xludf.DUMMYFUNCTION("""COMPUTED_VALUE"""),"Strategic partner")</f>
        <v>Strategic partner</v>
      </c>
    </row>
    <row r="386">
      <c r="A386" s="3" t="str">
        <f>IFERROR(__xludf.DUMMYFUNCTION("""COMPUTED_VALUE"""),"Governos Locais pela Sustentabilidade (ICLEI)")</f>
        <v>Governos Locais pela Sustentabilidade (ICLEI)</v>
      </c>
      <c r="B386" s="3" t="str">
        <f>IFERROR(__xludf.DUMMYFUNCTION("""COMPUTED_VALUE"""),"Convenor/enablers")</f>
        <v>Convenor/enablers</v>
      </c>
    </row>
    <row r="387">
      <c r="A387" s="3" t="str">
        <f>IFERROR(__xludf.DUMMYFUNCTION("""COMPUTED_VALUE"""),"Governos Locais pela Sustentabilidade (ICLEI)")</f>
        <v>Governos Locais pela Sustentabilidade (ICLEI)</v>
      </c>
      <c r="B387" s="3" t="str">
        <f>IFERROR(__xludf.DUMMYFUNCTION("""COMPUTED_VALUE"""),"Territorial anchor")</f>
        <v>Territorial anchor</v>
      </c>
    </row>
    <row r="388">
      <c r="A388" s="3" t="str">
        <f>IFERROR(__xludf.DUMMYFUNCTION("""COMPUTED_VALUE"""),"Programa das Nações Unidas para o Meio Ambiente (PNUMA)")</f>
        <v>Programa das Nações Unidas para o Meio Ambiente (PNUMA)</v>
      </c>
      <c r="B388" s="3" t="str">
        <f>IFERROR(__xludf.DUMMYFUNCTION("""COMPUTED_VALUE"""),"Strategic partner")</f>
        <v>Strategic partner</v>
      </c>
    </row>
    <row r="389">
      <c r="A389" s="3" t="str">
        <f>IFERROR(__xludf.DUMMYFUNCTION("""COMPUTED_VALUE"""),"Programa das Nações Unidas para o Meio Ambiente (PNUMA)")</f>
        <v>Programa das Nações Unidas para o Meio Ambiente (PNUMA)</v>
      </c>
      <c r="B389" s="3" t="str">
        <f>IFERROR(__xludf.DUMMYFUNCTION("""COMPUTED_VALUE"""),"Policy influence / regulation")</f>
        <v>Policy influence / regulation</v>
      </c>
    </row>
    <row r="390">
      <c r="A390" s="3" t="str">
        <f>IFERROR(__xludf.DUMMYFUNCTION("""COMPUTED_VALUE"""),"Programa das Nações Unidas para o Meio Ambiente (PNUMA)")</f>
        <v>Programa das Nações Unidas para o Meio Ambiente (PNUMA)</v>
      </c>
      <c r="B390" s="3" t="str">
        <f>IFERROR(__xludf.DUMMYFUNCTION("""COMPUTED_VALUE"""),"Convenor/enablers")</f>
        <v>Convenor/enablers</v>
      </c>
    </row>
    <row r="391">
      <c r="A391" s="3" t="str">
        <f>IFERROR(__xludf.DUMMYFUNCTION("""COMPUTED_VALUE"""),"Associação Brasileira das Empresas de Serviços de Conservação de Energia (ABESCO)")</f>
        <v>Associação Brasileira das Empresas de Serviços de Conservação de Energia (ABESCO)</v>
      </c>
      <c r="B391" s="3" t="str">
        <f>IFERROR(__xludf.DUMMYFUNCTION("""COMPUTED_VALUE"""),"Convenor/enablers")</f>
        <v>Convenor/enablers</v>
      </c>
    </row>
    <row r="392">
      <c r="A392" s="3" t="str">
        <f>IFERROR(__xludf.DUMMYFUNCTION("""COMPUTED_VALUE"""),"Associação Brasileira das Empresas de Serviços de Conservação de Energia (ABESCO)")</f>
        <v>Associação Brasileira das Empresas de Serviços de Conservação de Energia (ABESCO)</v>
      </c>
      <c r="B392" s="3" t="str">
        <f>IFERROR(__xludf.DUMMYFUNCTION("""COMPUTED_VALUE"""),"Implementation capacity (delivery)")</f>
        <v>Implementation capacity (delivery)</v>
      </c>
    </row>
    <row r="393">
      <c r="A393" s="3" t="str">
        <f>IFERROR(__xludf.DUMMYFUNCTION("""COMPUTED_VALUE"""),"Associação Nacional das Empresas de Transportes Urbanos (NTU)")</f>
        <v>Associação Nacional das Empresas de Transportes Urbanos (NTU)</v>
      </c>
      <c r="B393" s="3" t="str">
        <f>IFERROR(__xludf.DUMMYFUNCTION("""COMPUTED_VALUE"""),"Policy influence / regulation")</f>
        <v>Policy influence / regulation</v>
      </c>
    </row>
    <row r="394">
      <c r="A394" s="3" t="str">
        <f>IFERROR(__xludf.DUMMYFUNCTION("""COMPUTED_VALUE"""),"Associação Nacional das Empresas de Transportes Urbanos (NTU)")</f>
        <v>Associação Nacional das Empresas de Transportes Urbanos (NTU)</v>
      </c>
      <c r="B394" s="3" t="str">
        <f>IFERROR(__xludf.DUMMYFUNCTION("""COMPUTED_VALUE"""),"Convenor/enablers")</f>
        <v>Convenor/enablers</v>
      </c>
    </row>
    <row r="395">
      <c r="A395" s="3" t="str">
        <f>IFERROR(__xludf.DUMMYFUNCTION("""COMPUTED_VALUE"""),"Instituto Nacional de Pesquisas Espaciais (INPE)")</f>
        <v>Instituto Nacional de Pesquisas Espaciais (INPE)</v>
      </c>
      <c r="B395" s="3" t="str">
        <f>IFERROR(__xludf.DUMMYFUNCTION("""COMPUTED_VALUE"""),"Technical assistance / research")</f>
        <v>Technical assistance / research</v>
      </c>
    </row>
    <row r="396">
      <c r="A396" s="3" t="str">
        <f>IFERROR(__xludf.DUMMYFUNCTION("""COMPUTED_VALUE"""),"Instituto Nacional de Pesquisas Espaciais (INPE)")</f>
        <v>Instituto Nacional de Pesquisas Espaciais (INPE)</v>
      </c>
      <c r="B396" s="3" t="str">
        <f>IFERROR(__xludf.DUMMYFUNCTION("""COMPUTED_VALUE"""),"Data / MRV / platforms")</f>
        <v>Data / MRV / platforms</v>
      </c>
    </row>
    <row r="397">
      <c r="A397" s="3" t="str">
        <f>IFERROR(__xludf.DUMMYFUNCTION("""COMPUTED_VALUE"""),"Coalizão Brasil Clima, Florestas e Agricultura")</f>
        <v>Coalizão Brasil Clima, Florestas e Agricultura</v>
      </c>
      <c r="B397" s="3" t="str">
        <f>IFERROR(__xludf.DUMMYFUNCTION("""COMPUTED_VALUE"""),"Convenor/enablers")</f>
        <v>Convenor/enablers</v>
      </c>
    </row>
    <row r="398">
      <c r="A398" s="3" t="str">
        <f>IFERROR(__xludf.DUMMYFUNCTION("""COMPUTED_VALUE"""),"Coalizão Brasil Clima, Florestas e Agricultura")</f>
        <v>Coalizão Brasil Clima, Florestas e Agricultura</v>
      </c>
      <c r="B398" s="3" t="str">
        <f>IFERROR(__xludf.DUMMYFUNCTION("""COMPUTED_VALUE"""),"Policy influence / regulation")</f>
        <v>Policy influence / regulation</v>
      </c>
    </row>
    <row r="399">
      <c r="A399" s="3" t="str">
        <f>IFERROR(__xludf.DUMMYFUNCTION("""COMPUTED_VALUE"""),"Sustainable Energy for All (SEforALL)")</f>
        <v>Sustainable Energy for All (SEforALL)</v>
      </c>
      <c r="B399" s="3" t="str">
        <f>IFERROR(__xludf.DUMMYFUNCTION("""COMPUTED_VALUE"""),"Strategic partner")</f>
        <v>Strategic partner</v>
      </c>
    </row>
    <row r="400">
      <c r="A400" s="3" t="str">
        <f>IFERROR(__xludf.DUMMYFUNCTION("""COMPUTED_VALUE"""),"Sustainable Energy for All (SEforALL)")</f>
        <v>Sustainable Energy for All (SEforALL)</v>
      </c>
      <c r="B400" s="3" t="str">
        <f>IFERROR(__xludf.DUMMYFUNCTION("""COMPUTED_VALUE"""),"Convenor/enablers")</f>
        <v>Convenor/enablers</v>
      </c>
    </row>
    <row r="401">
      <c r="A401" s="3" t="str">
        <f>IFERROR(__xludf.DUMMYFUNCTION("""COMPUTED_VALUE"""),"Global Covenant of Mayors for Climate &amp; Energy")</f>
        <v>Global Covenant of Mayors for Climate &amp; Energy</v>
      </c>
      <c r="B401" s="3" t="str">
        <f>IFERROR(__xludf.DUMMYFUNCTION("""COMPUTED_VALUE"""),"Convenor/enablers")</f>
        <v>Convenor/enablers</v>
      </c>
    </row>
    <row r="402">
      <c r="A402" s="3" t="str">
        <f>IFERROR(__xludf.DUMMYFUNCTION("""COMPUTED_VALUE"""),"Global Covenant of Mayors for Climate &amp; Energy")</f>
        <v>Global Covenant of Mayors for Climate &amp; Energy</v>
      </c>
      <c r="B402" s="3" t="str">
        <f>IFERROR(__xludf.DUMMYFUNCTION("""COMPUTED_VALUE"""),"Territorial anchor")</f>
        <v>Territorial anchor</v>
      </c>
    </row>
    <row r="403">
      <c r="A403" s="3" t="str">
        <f>IFERROR(__xludf.DUMMYFUNCTION("""COMPUTED_VALUE"""),"Organização para a Cooperação e Desenvolvimento Econômico (OECD)")</f>
        <v>Organização para a Cooperação e Desenvolvimento Econômico (OECD)</v>
      </c>
      <c r="B403" s="3" t="str">
        <f>IFERROR(__xludf.DUMMYFUNCTION("""COMPUTED_VALUE"""),"Policy influence / regulation")</f>
        <v>Policy influence / regulation</v>
      </c>
    </row>
    <row r="404">
      <c r="A404" s="3" t="str">
        <f>IFERROR(__xludf.DUMMYFUNCTION("""COMPUTED_VALUE"""),"Organização para a Cooperação e Desenvolvimento Econômico (OECD)")</f>
        <v>Organização para a Cooperação e Desenvolvimento Econômico (OECD)</v>
      </c>
      <c r="B404" s="3" t="str">
        <f>IFERROR(__xludf.DUMMYFUNCTION("""COMPUTED_VALUE"""),"Technical assistance / research")</f>
        <v>Technical assistance / research</v>
      </c>
    </row>
    <row r="405">
      <c r="A405" s="3" t="str">
        <f>IFERROR(__xludf.DUMMYFUNCTION("""COMPUTED_VALUE"""),"Centro Internacional de Pesquisa Florestal e Agroflorestal (CIFOR-ICRAF)")</f>
        <v>Centro Internacional de Pesquisa Florestal e Agroflorestal (CIFOR-ICRAF)</v>
      </c>
      <c r="B405" s="3" t="str">
        <f>IFERROR(__xludf.DUMMYFUNCTION("""COMPUTED_VALUE"""),"Technical assistance / research")</f>
        <v>Technical assistance / research</v>
      </c>
    </row>
    <row r="406">
      <c r="A406" s="3" t="str">
        <f>IFERROR(__xludf.DUMMYFUNCTION("""COMPUTED_VALUE"""),"Centro Internacional de Pesquisa Florestal e Agroflorestal (CIFOR-ICRAF)")</f>
        <v>Centro Internacional de Pesquisa Florestal e Agroflorestal (CIFOR-ICRAF)</v>
      </c>
      <c r="B406" s="3" t="str">
        <f>IFERROR(__xludf.DUMMYFUNCTION("""COMPUTED_VALUE"""),"Project developer / Implementer")</f>
        <v>Project developer / Implementer</v>
      </c>
    </row>
    <row r="407">
      <c r="A407" s="3" t="str">
        <f>IFERROR(__xludf.DUMMYFUNCTION("""COMPUTED_VALUE"""),"Organização das Cooperativas Brasileiras (OCB)")</f>
        <v>Organização das Cooperativas Brasileiras (OCB)</v>
      </c>
      <c r="B407" s="3" t="str">
        <f>IFERROR(__xludf.DUMMYFUNCTION("""COMPUTED_VALUE"""),"Convenor/enablers")</f>
        <v>Convenor/enablers</v>
      </c>
    </row>
    <row r="408">
      <c r="A408" s="3" t="str">
        <f>IFERROR(__xludf.DUMMYFUNCTION("""COMPUTED_VALUE"""),"Organização das Cooperativas Brasileiras (OCB)")</f>
        <v>Organização das Cooperativas Brasileiras (OCB)</v>
      </c>
      <c r="B408" s="3" t="str">
        <f>IFERROR(__xludf.DUMMYFUNCTION("""COMPUTED_VALUE"""),"Community legitimacy / proximate leadership")</f>
        <v>Community legitimacy / proximate leadership</v>
      </c>
    </row>
    <row r="409">
      <c r="A409" s="3" t="str">
        <f>IFERROR(__xludf.DUMMYFUNCTION("""COMPUTED_VALUE"""),"Fundo Internacional de Desenvolvimento Agrícola (IFAD)")</f>
        <v>Fundo Internacional de Desenvolvimento Agrícola (IFAD)</v>
      </c>
      <c r="B409" s="3" t="str">
        <f>IFERROR(__xludf.DUMMYFUNCTION("""COMPUTED_VALUE"""),"Funder")</f>
        <v>Funder</v>
      </c>
    </row>
    <row r="410">
      <c r="A410" s="3" t="str">
        <f>IFERROR(__xludf.DUMMYFUNCTION("""COMPUTED_VALUE"""),"Fundo Internacional de Desenvolvimento Agrícola (IFAD)")</f>
        <v>Fundo Internacional de Desenvolvimento Agrícola (IFAD)</v>
      </c>
      <c r="B410" s="3" t="str">
        <f>IFERROR(__xludf.DUMMYFUNCTION("""COMPUTED_VALUE"""),"Capital provider / Financial intermediary")</f>
        <v>Capital provider / Financial intermediary</v>
      </c>
    </row>
    <row r="411">
      <c r="A411" s="3" t="str">
        <f>IFERROR(__xludf.DUMMYFUNCTION("""COMPUTED_VALUE"""),"Fundo Internacional de Desenvolvimento Agrícola (IFAD)")</f>
        <v>Fundo Internacional de Desenvolvimento Agrícola (IFAD)</v>
      </c>
      <c r="B411" s="3" t="str">
        <f>IFERROR(__xludf.DUMMYFUNCTION("""COMPUTED_VALUE"""),"Strategic partner")</f>
        <v>Strategic partner</v>
      </c>
    </row>
    <row r="412">
      <c r="A412" s="3" t="str">
        <f>IFERROR(__xludf.DUMMYFUNCTION("""COMPUTED_VALUE"""),"Wellcome Trust")</f>
        <v>Wellcome Trust</v>
      </c>
      <c r="B412" s="3" t="str">
        <f>IFERROR(__xludf.DUMMYFUNCTION("""COMPUTED_VALUE"""),"Funder")</f>
        <v>Funder</v>
      </c>
    </row>
    <row r="413">
      <c r="A413" s="3" t="str">
        <f>IFERROR(__xludf.DUMMYFUNCTION("""COMPUTED_VALUE"""),"Wellcome Trust")</f>
        <v>Wellcome Trust</v>
      </c>
      <c r="B413" s="3" t="str">
        <f>IFERROR(__xludf.DUMMYFUNCTION("""COMPUTED_VALUE"""),"Technical assistance / research")</f>
        <v>Technical assistance / research</v>
      </c>
    </row>
    <row r="414">
      <c r="A414" s="3" t="str">
        <f>IFERROR(__xludf.DUMMYFUNCTION("""COMPUTED_VALUE"""),"Associação Caatinga")</f>
        <v>Associação Caatinga</v>
      </c>
      <c r="B414" s="3" t="str">
        <f>IFERROR(__xludf.DUMMYFUNCTION("""COMPUTED_VALUE"""),"Project developer / Implementer")</f>
        <v>Project developer / Implementer</v>
      </c>
    </row>
    <row r="415">
      <c r="A415" s="3" t="str">
        <f>IFERROR(__xludf.DUMMYFUNCTION("""COMPUTED_VALUE"""),"Associação Caatinga")</f>
        <v>Associação Caatinga</v>
      </c>
      <c r="B415" s="3" t="str">
        <f>IFERROR(__xludf.DUMMYFUNCTION("""COMPUTED_VALUE"""),"Territorial anchor")</f>
        <v>Territorial anchor</v>
      </c>
    </row>
    <row r="416">
      <c r="A416" s="3" t="str">
        <f>IFERROR(__xludf.DUMMYFUNCTION("""COMPUTED_VALUE"""),"Fundo Constitucional de Financiamento do Nordeste (FNE)")</f>
        <v>Fundo Constitucional de Financiamento do Nordeste (FNE)</v>
      </c>
      <c r="B416" s="3" t="str">
        <f>IFERROR(__xludf.DUMMYFUNCTION("""COMPUTED_VALUE"""),"Capital provider / Financial intermediary")</f>
        <v>Capital provider / Financial intermediary</v>
      </c>
    </row>
    <row r="417">
      <c r="A417" s="3" t="str">
        <f>IFERROR(__xludf.DUMMYFUNCTION("""COMPUTED_VALUE"""),"Articulação Semiárido Brasileiro (ASA Brasil)")</f>
        <v>Articulação Semiárido Brasileiro (ASA Brasil)</v>
      </c>
      <c r="B417" s="3" t="str">
        <f>IFERROR(__xludf.DUMMYFUNCTION("""COMPUTED_VALUE"""),"Community legitimacy / proximate leadership")</f>
        <v>Community legitimacy / proximate leadership</v>
      </c>
    </row>
    <row r="418">
      <c r="A418" s="3" t="str">
        <f>IFERROR(__xludf.DUMMYFUNCTION("""COMPUTED_VALUE"""),"Articulação Semiárido Brasileiro (ASA Brasil)")</f>
        <v>Articulação Semiárido Brasileiro (ASA Brasil)</v>
      </c>
      <c r="B418" s="3" t="str">
        <f>IFERROR(__xludf.DUMMYFUNCTION("""COMPUTED_VALUE"""),"Implementation capacity (delivery)")</f>
        <v>Implementation capacity (delivery)</v>
      </c>
    </row>
    <row r="419">
      <c r="A419" s="3" t="str">
        <f>IFERROR(__xludf.DUMMYFUNCTION("""COMPUTED_VALUE"""),"Fundação Araripe")</f>
        <v>Fundação Araripe</v>
      </c>
      <c r="B419" s="3" t="str">
        <f>IFERROR(__xludf.DUMMYFUNCTION("""COMPUTED_VALUE"""),"Project developer / Implementer")</f>
        <v>Project developer / Implementer</v>
      </c>
    </row>
    <row r="420">
      <c r="A420" s="3" t="str">
        <f>IFERROR(__xludf.DUMMYFUNCTION("""COMPUTED_VALUE"""),"Fundação Araripe")</f>
        <v>Fundação Araripe</v>
      </c>
      <c r="B420" s="3" t="str">
        <f>IFERROR(__xludf.DUMMYFUNCTION("""COMPUTED_VALUE"""),"Technical assistance / research")</f>
        <v>Technical assistance / research</v>
      </c>
    </row>
    <row r="421">
      <c r="A421" s="3" t="str">
        <f>IFERROR(__xludf.DUMMYFUNCTION("""COMPUTED_VALUE"""),"Centro de Manejo de Fauna da Caatinga (CEMAFauna)")</f>
        <v>Centro de Manejo de Fauna da Caatinga (CEMAFauna)</v>
      </c>
      <c r="B421" s="3" t="str">
        <f>IFERROR(__xludf.DUMMYFUNCTION("""COMPUTED_VALUE"""),"Technical assistance / research")</f>
        <v>Technical assistance / research</v>
      </c>
    </row>
    <row r="422">
      <c r="A422" s="3" t="str">
        <f>IFERROR(__xludf.DUMMYFUNCTION("""COMPUTED_VALUE"""),"Instituto Regional da Pequena Agropecuária Apropriada (IRPAA)")</f>
        <v>Instituto Regional da Pequena Agropecuária Apropriada (IRPAA)</v>
      </c>
      <c r="B422" s="3" t="str">
        <f>IFERROR(__xludf.DUMMYFUNCTION("""COMPUTED_VALUE"""),"Project developer / Implementer")</f>
        <v>Project developer / Implementer</v>
      </c>
    </row>
    <row r="423">
      <c r="A423" s="3" t="str">
        <f>IFERROR(__xludf.DUMMYFUNCTION("""COMPUTED_VALUE"""),"Instituto Regional da Pequena Agropecuária Apropriada (IRPAA)")</f>
        <v>Instituto Regional da Pequena Agropecuária Apropriada (IRPAA)</v>
      </c>
      <c r="B423" s="3" t="str">
        <f>IFERROR(__xludf.DUMMYFUNCTION("""COMPUTED_VALUE"""),"Community legitimacy / proximate leadership")</f>
        <v>Community legitimacy / proximate leadership</v>
      </c>
    </row>
    <row r="424">
      <c r="A424" s="3" t="str">
        <f>IFERROR(__xludf.DUMMYFUNCTION("""COMPUTED_VALUE"""),"Global Energy Alliance for People and Planet (GEAPP)")</f>
        <v>Global Energy Alliance for People and Planet (GEAPP)</v>
      </c>
      <c r="B424" s="3" t="str">
        <f>IFERROR(__xludf.DUMMYFUNCTION("""COMPUTED_VALUE"""),"Strategic partner")</f>
        <v>Strategic partner</v>
      </c>
    </row>
    <row r="425">
      <c r="A425" s="3" t="str">
        <f>IFERROR(__xludf.DUMMYFUNCTION("""COMPUTED_VALUE"""),"Global Energy Alliance for People and Planet (GEAPP)")</f>
        <v>Global Energy Alliance for People and Planet (GEAPP)</v>
      </c>
      <c r="B425" s="3" t="str">
        <f>IFERROR(__xludf.DUMMYFUNCTION("""COMPUTED_VALUE"""),"Funder")</f>
        <v>Funder</v>
      </c>
    </row>
    <row r="426">
      <c r="A426" s="3" t="str">
        <f>IFERROR(__xludf.DUMMYFUNCTION("""COMPUTED_VALUE"""),"Global Energy Alliance for People and Planet (GEAPP)")</f>
        <v>Global Energy Alliance for People and Planet (GEAPP)</v>
      </c>
      <c r="B426" s="3" t="str">
        <f>IFERROR(__xludf.DUMMYFUNCTION("""COMPUTED_VALUE"""),"Convenor/enablers")</f>
        <v>Convenor/enablers</v>
      </c>
    </row>
    <row r="427">
      <c r="A427" s="3" t="str">
        <f>IFERROR(__xludf.DUMMYFUNCTION("""COMPUTED_VALUE"""),"Banco Nacional de Desenvolvimento Econômico e Social (BNDES)")</f>
        <v>Banco Nacional de Desenvolvimento Econômico e Social (BNDES)</v>
      </c>
      <c r="B427" s="3" t="str">
        <f>IFERROR(__xludf.DUMMYFUNCTION("""COMPUTED_VALUE"""),"Capital provider / Financial intermediary")</f>
        <v>Capital provider / Financial intermediary</v>
      </c>
    </row>
    <row r="428">
      <c r="A428" s="3" t="str">
        <f>IFERROR(__xludf.DUMMYFUNCTION("""COMPUTED_VALUE"""),"Banco Nacional de Desenvolvimento Econômico e Social (BNDES)")</f>
        <v>Banco Nacional de Desenvolvimento Econômico e Social (BNDES)</v>
      </c>
      <c r="B428" s="3" t="str">
        <f>IFERROR(__xludf.DUMMYFUNCTION("""COMPUTED_VALUE"""),"Territorial anchor")</f>
        <v>Territorial anchor</v>
      </c>
    </row>
    <row r="429">
      <c r="A429" s="3" t="str">
        <f>IFERROR(__xludf.DUMMYFUNCTION("""COMPUTED_VALUE"""),"Banco Nacional de Desenvolvimento Econômico e Social (BNDES)")</f>
        <v>Banco Nacional de Desenvolvimento Econômico e Social (BNDES)</v>
      </c>
      <c r="B429" s="3" t="str">
        <f>IFERROR(__xludf.DUMMYFUNCTION("""COMPUTED_VALUE"""),"Funder")</f>
        <v>Funder</v>
      </c>
    </row>
    <row r="430">
      <c r="A430" s="3" t="str">
        <f>IFERROR(__xludf.DUMMYFUNCTION("""COMPUTED_VALUE"""),"Banco do Nordeste (BNB)")</f>
        <v>Banco do Nordeste (BNB)</v>
      </c>
      <c r="B430" s="3" t="str">
        <f>IFERROR(__xludf.DUMMYFUNCTION("""COMPUTED_VALUE"""),"Capital provider / Financial intermediary")</f>
        <v>Capital provider / Financial intermediary</v>
      </c>
    </row>
    <row r="431">
      <c r="A431" s="3" t="str">
        <f>IFERROR(__xludf.DUMMYFUNCTION("""COMPUTED_VALUE"""),"Banco do Nordeste (BNB)")</f>
        <v>Banco do Nordeste (BNB)</v>
      </c>
      <c r="B431" s="3" t="str">
        <f>IFERROR(__xludf.DUMMYFUNCTION("""COMPUTED_VALUE"""),"Territorial anchor")</f>
        <v>Territorial anchor</v>
      </c>
    </row>
    <row r="432">
      <c r="A432" s="3" t="str">
        <f>IFERROR(__xludf.DUMMYFUNCTION("""COMPUTED_VALUE"""),"Banco do Brasil (BB)")</f>
        <v>Banco do Brasil (BB)</v>
      </c>
      <c r="B432" s="3" t="str">
        <f>IFERROR(__xludf.DUMMYFUNCTION("""COMPUTED_VALUE"""),"Capital provider / Financial intermediary")</f>
        <v>Capital provider / Financial intermediary</v>
      </c>
    </row>
    <row r="433">
      <c r="A433" s="3" t="str">
        <f>IFERROR(__xludf.DUMMYFUNCTION("""COMPUTED_VALUE"""),"Banco do Brasil (BB)")</f>
        <v>Banco do Brasil (BB)</v>
      </c>
      <c r="B433" s="3" t="str">
        <f>IFERROR(__xludf.DUMMYFUNCTION("""COMPUTED_VALUE"""),"Territorial anchor")</f>
        <v>Territorial anchor</v>
      </c>
    </row>
    <row r="434">
      <c r="A434" s="3" t="str">
        <f>IFERROR(__xludf.DUMMYFUNCTION("""COMPUTED_VALUE"""),"Federação Brasileira de Bancos (Febraban)")</f>
        <v>Federação Brasileira de Bancos (Febraban)</v>
      </c>
      <c r="B434" s="3" t="str">
        <f>IFERROR(__xludf.DUMMYFUNCTION("""COMPUTED_VALUE"""),"Convenor/enablers")</f>
        <v>Convenor/enablers</v>
      </c>
    </row>
    <row r="435">
      <c r="A435" s="3" t="str">
        <f>IFERROR(__xludf.DUMMYFUNCTION("""COMPUTED_VALUE"""),"Federação Brasileira de Bancos (Febraban)")</f>
        <v>Federação Brasileira de Bancos (Febraban)</v>
      </c>
      <c r="B435" s="3" t="str">
        <f>IFERROR(__xludf.DUMMYFUNCTION("""COMPUTED_VALUE"""),"Policy influence / regulation")</f>
        <v>Policy influence / regulation</v>
      </c>
    </row>
    <row r="436">
      <c r="A436" s="3" t="str">
        <f>IFERROR(__xludf.DUMMYFUNCTION("""COMPUTED_VALUE"""),"B3 – Brasil, Bolsa, Balcão (B3)")</f>
        <v>B3 – Brasil, Bolsa, Balcão (B3)</v>
      </c>
      <c r="B436" s="3" t="str">
        <f>IFERROR(__xludf.DUMMYFUNCTION("""COMPUTED_VALUE"""),"Data / MRV / platforms")</f>
        <v>Data / MRV / platforms</v>
      </c>
    </row>
    <row r="437">
      <c r="A437" s="3" t="str">
        <f>IFERROR(__xludf.DUMMYFUNCTION("""COMPUTED_VALUE"""),"B3 – Brasil, Bolsa, Balcão (B3)")</f>
        <v>B3 – Brasil, Bolsa, Balcão (B3)</v>
      </c>
      <c r="B437" s="3" t="str">
        <f>IFERROR(__xludf.DUMMYFUNCTION("""COMPUTED_VALUE"""),"Convenor/enablers")</f>
        <v>Convenor/enablers</v>
      </c>
    </row>
    <row r="438">
      <c r="A438" s="3" t="str">
        <f>IFERROR(__xludf.DUMMYFUNCTION("""COMPUTED_VALUE"""),"Câmara de Comercialização de Energia Elétrica (CCEE)")</f>
        <v>Câmara de Comercialização de Energia Elétrica (CCEE)</v>
      </c>
      <c r="B438" s="3" t="str">
        <f>IFERROR(__xludf.DUMMYFUNCTION("""COMPUTED_VALUE"""),"Policy influence / regulation")</f>
        <v>Policy influence / regulation</v>
      </c>
    </row>
    <row r="439">
      <c r="A439" s="3" t="str">
        <f>IFERROR(__xludf.DUMMYFUNCTION("""COMPUTED_VALUE"""),"Câmara de Comercialização de Energia Elétrica (CCEE)")</f>
        <v>Câmara de Comercialização de Energia Elétrica (CCEE)</v>
      </c>
      <c r="B439" s="3" t="str">
        <f>IFERROR(__xludf.DUMMYFUNCTION("""COMPUTED_VALUE"""),"Data / MRV / platforms")</f>
        <v>Data / MRV / platforms</v>
      </c>
    </row>
    <row r="440">
      <c r="A440" s="3" t="str">
        <f>IFERROR(__xludf.DUMMYFUNCTION("""COMPUTED_VALUE"""),"Agência Nacional do Petróleo, Gás Natural e Biocombustíveis (ANP)")</f>
        <v>Agência Nacional do Petróleo, Gás Natural e Biocombustíveis (ANP)</v>
      </c>
      <c r="B440" s="3" t="str">
        <f>IFERROR(__xludf.DUMMYFUNCTION("""COMPUTED_VALUE"""),"Policy influence / regulation")</f>
        <v>Policy influence / regulation</v>
      </c>
    </row>
    <row r="441">
      <c r="A441" s="3" t="str">
        <f>IFERROR(__xludf.DUMMYFUNCTION("""COMPUTED_VALUE"""),"Agência Nacional de Águas e Saneamento Básico (ANA)")</f>
        <v>Agência Nacional de Águas e Saneamento Básico (ANA)</v>
      </c>
      <c r="B441" s="3" t="str">
        <f>IFERROR(__xludf.DUMMYFUNCTION("""COMPUTED_VALUE"""),"Policy influence / regulation")</f>
        <v>Policy influence / regulation</v>
      </c>
    </row>
    <row r="442">
      <c r="A442" s="3" t="str">
        <f>IFERROR(__xludf.DUMMYFUNCTION("""COMPUTED_VALUE"""),"Agência Nacional de Águas e Saneamento Básico (ANA)")</f>
        <v>Agência Nacional de Águas e Saneamento Básico (ANA)</v>
      </c>
      <c r="B442" s="3" t="str">
        <f>IFERROR(__xludf.DUMMYFUNCTION("""COMPUTED_VALUE"""),"Territorial anchor")</f>
        <v>Territorial anchor</v>
      </c>
    </row>
    <row r="443">
      <c r="A443" s="3" t="str">
        <f>IFERROR(__xludf.DUMMYFUNCTION("""COMPUTED_VALUE"""),"MapBiomas (MapBiomas)")</f>
        <v>MapBiomas (MapBiomas)</v>
      </c>
      <c r="B443" s="3" t="str">
        <f>IFERROR(__xludf.DUMMYFUNCTION("""COMPUTED_VALUE"""),"Data / MRV / platforms")</f>
        <v>Data / MRV / platforms</v>
      </c>
    </row>
    <row r="444">
      <c r="A444" s="3" t="str">
        <f>IFERROR(__xludf.DUMMYFUNCTION("""COMPUTED_VALUE"""),"MapBiomas (MapBiomas)")</f>
        <v>MapBiomas (MapBiomas)</v>
      </c>
      <c r="B444" s="3" t="str">
        <f>IFERROR(__xludf.DUMMYFUNCTION("""COMPUTED_VALUE"""),"Technical assistance / research")</f>
        <v>Technical assistance / research</v>
      </c>
    </row>
    <row r="445">
      <c r="A445" s="3" t="str">
        <f>IFERROR(__xludf.DUMMYFUNCTION("""COMPUTED_VALUE"""),"Instituto Nacional do Semiárido (INSA)")</f>
        <v>Instituto Nacional do Semiárido (INSA)</v>
      </c>
      <c r="B445" s="3" t="str">
        <f>IFERROR(__xludf.DUMMYFUNCTION("""COMPUTED_VALUE"""),"Technical assistance / research")</f>
        <v>Technical assistance / research</v>
      </c>
    </row>
    <row r="446">
      <c r="A446" s="3" t="str">
        <f>IFERROR(__xludf.DUMMYFUNCTION("""COMPUTED_VALUE"""),"Instituto Nacional do Semiárido (INSA)")</f>
        <v>Instituto Nacional do Semiárido (INSA)</v>
      </c>
      <c r="B446" s="3" t="str">
        <f>IFERROR(__xludf.DUMMYFUNCTION("""COMPUTED_VALUE"""),"Territorial anchor")</f>
        <v>Territorial anchor</v>
      </c>
    </row>
    <row r="447">
      <c r="A447" s="3" t="str">
        <f>IFERROR(__xludf.DUMMYFUNCTION("""COMPUTED_VALUE"""),"Instituto de Desenvolvimento Sustentável Mamirauá (IDSM)")</f>
        <v>Instituto de Desenvolvimento Sustentável Mamirauá (IDSM)</v>
      </c>
      <c r="B447" s="3" t="str">
        <f>IFERROR(__xludf.DUMMYFUNCTION("""COMPUTED_VALUE"""),"Technical assistance / research")</f>
        <v>Technical assistance / research</v>
      </c>
    </row>
    <row r="448">
      <c r="A448" s="3" t="str">
        <f>IFERROR(__xludf.DUMMYFUNCTION("""COMPUTED_VALUE"""),"Instituto de Desenvolvimento Sustentável Mamirauá (IDSM)")</f>
        <v>Instituto de Desenvolvimento Sustentável Mamirauá (IDSM)</v>
      </c>
      <c r="B448" s="3" t="str">
        <f>IFERROR(__xludf.DUMMYFUNCTION("""COMPUTED_VALUE"""),"Project developer / Implementer")</f>
        <v>Project developer / Implementer</v>
      </c>
    </row>
    <row r="449">
      <c r="A449" s="3" t="str">
        <f>IFERROR(__xludf.DUMMYFUNCTION("""COMPUTED_VALUE"""),"Instituto Centro de Vida (ICV)")</f>
        <v>Instituto Centro de Vida (ICV)</v>
      </c>
      <c r="B449" s="3" t="str">
        <f>IFERROR(__xludf.DUMMYFUNCTION("""COMPUTED_VALUE"""),"Project developer / Implementer")</f>
        <v>Project developer / Implementer</v>
      </c>
    </row>
    <row r="450">
      <c r="A450" s="3" t="str">
        <f>IFERROR(__xludf.DUMMYFUNCTION("""COMPUTED_VALUE"""),"Instituto Centro de Vida (ICV)")</f>
        <v>Instituto Centro de Vida (ICV)</v>
      </c>
      <c r="B450" s="3" t="str">
        <f>IFERROR(__xludf.DUMMYFUNCTION("""COMPUTED_VALUE"""),"Data / MRV / platforms")</f>
        <v>Data / MRV / platforms</v>
      </c>
    </row>
    <row r="451">
      <c r="A451" s="3" t="str">
        <f>IFERROR(__xludf.DUMMYFUNCTION("""COMPUTED_VALUE"""),"Instituto Internacional de Educação do Brasil (IEB)")</f>
        <v>Instituto Internacional de Educação do Brasil (IEB)</v>
      </c>
      <c r="B451" s="3" t="str">
        <f>IFERROR(__xludf.DUMMYFUNCTION("""COMPUTED_VALUE"""),"Project developer / Implementer")</f>
        <v>Project developer / Implementer</v>
      </c>
    </row>
    <row r="452">
      <c r="A452" s="3" t="str">
        <f>IFERROR(__xludf.DUMMYFUNCTION("""COMPUTED_VALUE"""),"Instituto Internacional de Educação do Brasil (IEB)")</f>
        <v>Instituto Internacional de Educação do Brasil (IEB)</v>
      </c>
      <c r="B452" s="3" t="str">
        <f>IFERROR(__xludf.DUMMYFUNCTION("""COMPUTED_VALUE"""),"Technical assistance / research")</f>
        <v>Technical assistance / research</v>
      </c>
    </row>
    <row r="453">
      <c r="A453" s="3" t="str">
        <f>IFERROR(__xludf.DUMMYFUNCTION("""COMPUTED_VALUE"""),"Fundação Vitória Amazônica (FVA)")</f>
        <v>Fundação Vitória Amazônica (FVA)</v>
      </c>
      <c r="B453" s="3" t="str">
        <f>IFERROR(__xludf.DUMMYFUNCTION("""COMPUTED_VALUE"""),"Project developer / Implementer")</f>
        <v>Project developer / Implementer</v>
      </c>
    </row>
    <row r="454">
      <c r="A454" s="3" t="str">
        <f>IFERROR(__xludf.DUMMYFUNCTION("""COMPUTED_VALUE"""),"Fundação Vitória Amazônica (FVA)")</f>
        <v>Fundação Vitória Amazônica (FVA)</v>
      </c>
      <c r="B454" s="3" t="str">
        <f>IFERROR(__xludf.DUMMYFUNCTION("""COMPUTED_VALUE"""),"Territorial anchor")</f>
        <v>Territorial anchor</v>
      </c>
    </row>
    <row r="455">
      <c r="A455" s="3" t="str">
        <f>IFERROR(__xludf.DUMMYFUNCTION("""COMPUTED_VALUE"""),"Instituto Ouro Verde (IOV)")</f>
        <v>Instituto Ouro Verde (IOV)</v>
      </c>
      <c r="B455" s="3" t="str">
        <f>IFERROR(__xludf.DUMMYFUNCTION("""COMPUTED_VALUE"""),"Project developer / Implementer")</f>
        <v>Project developer / Implementer</v>
      </c>
    </row>
    <row r="456">
      <c r="A456" s="3" t="str">
        <f>IFERROR(__xludf.DUMMYFUNCTION("""COMPUTED_VALUE"""),"Instituto Ouro Verde (IOV)")</f>
        <v>Instituto Ouro Verde (IOV)</v>
      </c>
      <c r="B456" s="3" t="str">
        <f>IFERROR(__xludf.DUMMYFUNCTION("""COMPUTED_VALUE"""),"Implementation capacity (delivery)")</f>
        <v>Implementation capacity (delivery)</v>
      </c>
    </row>
    <row r="457">
      <c r="A457" s="3" t="str">
        <f>IFERROR(__xludf.DUMMYFUNCTION("""COMPUTED_VALUE"""),"Instituto Sociedade, População e Natureza (ISPN)")</f>
        <v>Instituto Sociedade, População e Natureza (ISPN)</v>
      </c>
      <c r="B457" s="3" t="str">
        <f>IFERROR(__xludf.DUMMYFUNCTION("""COMPUTED_VALUE"""),"Funder")</f>
        <v>Funder</v>
      </c>
    </row>
    <row r="458">
      <c r="A458" s="3" t="str">
        <f>IFERROR(__xludf.DUMMYFUNCTION("""COMPUTED_VALUE"""),"Instituto Sociedade, População e Natureza (ISPN)")</f>
        <v>Instituto Sociedade, População e Natureza (ISPN)</v>
      </c>
      <c r="B458" s="3" t="str">
        <f>IFERROR(__xludf.DUMMYFUNCTION("""COMPUTED_VALUE"""),"Project developer / Implementer")</f>
        <v>Project developer / Implementer</v>
      </c>
    </row>
    <row r="459">
      <c r="A459" s="3" t="str">
        <f>IFERROR(__xludf.DUMMYFUNCTION("""COMPUTED_VALUE"""),"Rede Cerrado (Rede Cerrado)")</f>
        <v>Rede Cerrado (Rede Cerrado)</v>
      </c>
      <c r="B459" s="3" t="str">
        <f>IFERROR(__xludf.DUMMYFUNCTION("""COMPUTED_VALUE"""),"Community legitimacy / proximate leadership")</f>
        <v>Community legitimacy / proximate leadership</v>
      </c>
    </row>
    <row r="460">
      <c r="A460" s="3" t="str">
        <f>IFERROR(__xludf.DUMMYFUNCTION("""COMPUTED_VALUE"""),"Rede Cerrado (Rede Cerrado)")</f>
        <v>Rede Cerrado (Rede Cerrado)</v>
      </c>
      <c r="B460" s="3" t="str">
        <f>IFERROR(__xludf.DUMMYFUNCTION("""COMPUTED_VALUE"""),"Convenor/enablers")</f>
        <v>Convenor/enablers</v>
      </c>
    </row>
    <row r="461">
      <c r="A461" s="3" t="str">
        <f>IFERROR(__xludf.DUMMYFUNCTION("""COMPUTED_VALUE"""),"Associação Brasileira de Geração Distribuída (ABGD)")</f>
        <v>Associação Brasileira de Geração Distribuída (ABGD)</v>
      </c>
      <c r="B461" s="3" t="str">
        <f>IFERROR(__xludf.DUMMYFUNCTION("""COMPUTED_VALUE"""),"Policy influence / regulation")</f>
        <v>Policy influence / regulation</v>
      </c>
    </row>
    <row r="462">
      <c r="A462" s="3" t="str">
        <f>IFERROR(__xludf.DUMMYFUNCTION("""COMPUTED_VALUE"""),"Associação Brasileira de Geração Distribuída (ABGD)")</f>
        <v>Associação Brasileira de Geração Distribuída (ABGD)</v>
      </c>
      <c r="B462" s="3" t="str">
        <f>IFERROR(__xludf.DUMMYFUNCTION("""COMPUTED_VALUE"""),"Convenor/enablers")</f>
        <v>Convenor/enablers</v>
      </c>
    </row>
    <row r="463">
      <c r="A463" s="3" t="str">
        <f>IFERROR(__xludf.DUMMYFUNCTION("""COMPUTED_VALUE"""),"Associação Brasileira do Veículo Elétrico (ABVE)")</f>
        <v>Associação Brasileira do Veículo Elétrico (ABVE)</v>
      </c>
      <c r="B463" s="3" t="str">
        <f>IFERROR(__xludf.DUMMYFUNCTION("""COMPUTED_VALUE"""),"Policy influence / regulation")</f>
        <v>Policy influence / regulation</v>
      </c>
    </row>
    <row r="464">
      <c r="A464" s="3" t="str">
        <f>IFERROR(__xludf.DUMMYFUNCTION("""COMPUTED_VALUE"""),"Associação Brasileira do Veículo Elétrico (ABVE)")</f>
        <v>Associação Brasileira do Veículo Elétrico (ABVE)</v>
      </c>
      <c r="B464" s="3" t="str">
        <f>IFERROR(__xludf.DUMMYFUNCTION("""COMPUTED_VALUE"""),"Convenor/enablers")</f>
        <v>Convenor/enablers</v>
      </c>
    </row>
    <row r="465">
      <c r="A465" s="3" t="str">
        <f>IFERROR(__xludf.DUMMYFUNCTION("""COMPUTED_VALUE"""),"Confederação Nacional do Transporte (CNT)")</f>
        <v>Confederação Nacional do Transporte (CNT)</v>
      </c>
      <c r="B465" s="3" t="str">
        <f>IFERROR(__xludf.DUMMYFUNCTION("""COMPUTED_VALUE"""),"Policy influence / regulation")</f>
        <v>Policy influence / regulation</v>
      </c>
    </row>
    <row r="466">
      <c r="A466" s="3" t="str">
        <f>IFERROR(__xludf.DUMMYFUNCTION("""COMPUTED_VALUE"""),"Confederação Nacional do Transporte (CNT)")</f>
        <v>Confederação Nacional do Transporte (CNT)</v>
      </c>
      <c r="B466" s="3" t="str">
        <f>IFERROR(__xludf.DUMMYFUNCTION("""COMPUTED_VALUE"""),"Convenor/enablers")</f>
        <v>Convenor/enablers</v>
      </c>
    </row>
    <row r="467">
      <c r="A467" s="3" t="str">
        <f>IFERROR(__xludf.DUMMYFUNCTION("""COMPUTED_VALUE"""),"Departamento Nacional de Infraestrutura de Transportes (DNIT)")</f>
        <v>Departamento Nacional de Infraestrutura de Transportes (DNIT)</v>
      </c>
      <c r="B467" s="3" t="str">
        <f>IFERROR(__xludf.DUMMYFUNCTION("""COMPUTED_VALUE"""),"Policy influence / regulation")</f>
        <v>Policy influence / regulation</v>
      </c>
    </row>
    <row r="468">
      <c r="A468" s="3" t="str">
        <f>IFERROR(__xludf.DUMMYFUNCTION("""COMPUTED_VALUE"""),"Departamento Nacional de Infraestrutura de Transportes (DNIT)")</f>
        <v>Departamento Nacional de Infraestrutura de Transportes (DNIT)</v>
      </c>
      <c r="B468" s="3" t="str">
        <f>IFERROR(__xludf.DUMMYFUNCTION("""COMPUTED_VALUE"""),"Territorial anchor")</f>
        <v>Territorial anchor</v>
      </c>
    </row>
    <row r="469">
      <c r="A469" s="3" t="str">
        <f>IFERROR(__xludf.DUMMYFUNCTION("""COMPUTED_VALUE"""),"Agência Nacional de Aviação Civil (ANAC)")</f>
        <v>Agência Nacional de Aviação Civil (ANAC)</v>
      </c>
      <c r="B469" s="3" t="str">
        <f>IFERROR(__xludf.DUMMYFUNCTION("""COMPUTED_VALUE"""),"Policy influence / regulation")</f>
        <v>Policy influence / regulation</v>
      </c>
    </row>
    <row r="470">
      <c r="A470" s="3" t="str">
        <f>IFERROR(__xludf.DUMMYFUNCTION("""COMPUTED_VALUE"""),"Associação Brasileira de Normas Técnicas (ABNT)")</f>
        <v>Associação Brasileira de Normas Técnicas (ABNT)</v>
      </c>
      <c r="B470" s="3" t="str">
        <f>IFERROR(__xludf.DUMMYFUNCTION("""COMPUTED_VALUE"""),"Technical assistance / research")</f>
        <v>Technical assistance / research</v>
      </c>
    </row>
    <row r="471">
      <c r="A471" s="3" t="str">
        <f>IFERROR(__xludf.DUMMYFUNCTION("""COMPUTED_VALUE"""),"Associação Brasileira de Normas Técnicas (ABNT)")</f>
        <v>Associação Brasileira de Normas Técnicas (ABNT)</v>
      </c>
      <c r="B471" s="3" t="str">
        <f>IFERROR(__xludf.DUMMYFUNCTION("""COMPUTED_VALUE"""),"Policy influence / regulation")</f>
        <v>Policy influence / regulation</v>
      </c>
    </row>
    <row r="472">
      <c r="A472" s="3" t="str">
        <f>IFERROR(__xludf.DUMMYFUNCTION("""COMPUTED_VALUE"""),"Câmara Brasileira da Indústria da Construção (CBIC)")</f>
        <v>Câmara Brasileira da Indústria da Construção (CBIC)</v>
      </c>
      <c r="B472" s="3" t="str">
        <f>IFERROR(__xludf.DUMMYFUNCTION("""COMPUTED_VALUE"""),"Convenor/enablers")</f>
        <v>Convenor/enablers</v>
      </c>
    </row>
    <row r="473">
      <c r="A473" s="3" t="str">
        <f>IFERROR(__xludf.DUMMYFUNCTION("""COMPUTED_VALUE"""),"Câmara Brasileira da Indústria da Construção (CBIC)")</f>
        <v>Câmara Brasileira da Indústria da Construção (CBIC)</v>
      </c>
      <c r="B473" s="3" t="str">
        <f>IFERROR(__xludf.DUMMYFUNCTION("""COMPUTED_VALUE"""),"Policy influence / regulation")</f>
        <v>Policy influence / regulation</v>
      </c>
    </row>
    <row r="474">
      <c r="A474" s="3" t="str">
        <f>IFERROR(__xludf.DUMMYFUNCTION("""COMPUTED_VALUE"""),"Conselho de Arquitetura e Urbanismo do Brasil (CAU/BR)")</f>
        <v>Conselho de Arquitetura e Urbanismo do Brasil (CAU/BR)</v>
      </c>
      <c r="B474" s="3" t="str">
        <f>IFERROR(__xludf.DUMMYFUNCTION("""COMPUTED_VALUE"""),"Policy influence / regulation")</f>
        <v>Policy influence / regulation</v>
      </c>
    </row>
    <row r="475">
      <c r="A475" s="3" t="str">
        <f>IFERROR(__xludf.DUMMYFUNCTION("""COMPUTED_VALUE"""),"Conselho de Arquitetura e Urbanismo do Brasil (CAU/BR)")</f>
        <v>Conselho de Arquitetura e Urbanismo do Brasil (CAU/BR)</v>
      </c>
      <c r="B475" s="3" t="str">
        <f>IFERROR(__xludf.DUMMYFUNCTION("""COMPUTED_VALUE"""),"Technical assistance / research")</f>
        <v>Technical assistance / research</v>
      </c>
    </row>
    <row r="476">
      <c r="A476" s="3" t="str">
        <f>IFERROR(__xludf.DUMMYFUNCTION("""COMPUTED_VALUE"""),"Conselho Federal de Engenharia e Agronomia (Confea)")</f>
        <v>Conselho Federal de Engenharia e Agronomia (Confea)</v>
      </c>
      <c r="B476" s="3" t="str">
        <f>IFERROR(__xludf.DUMMYFUNCTION("""COMPUTED_VALUE"""),"Policy influence / regulation")</f>
        <v>Policy influence / regulation</v>
      </c>
    </row>
    <row r="477">
      <c r="A477" s="3" t="str">
        <f>IFERROR(__xludf.DUMMYFUNCTION("""COMPUTED_VALUE"""),"Instituto Nacional de Metrologia, Qualidade e Tecnologia (Inmetro)")</f>
        <v>Instituto Nacional de Metrologia, Qualidade e Tecnologia (Inmetro)</v>
      </c>
      <c r="B477" s="3" t="str">
        <f>IFERROR(__xludf.DUMMYFUNCTION("""COMPUTED_VALUE"""),"Policy influence / regulation")</f>
        <v>Policy influence / regulation</v>
      </c>
    </row>
    <row r="478">
      <c r="A478" s="3" t="str">
        <f>IFERROR(__xludf.DUMMYFUNCTION("""COMPUTED_VALUE"""),"Instituto Nacional de Metrologia, Qualidade e Tecnologia (Inmetro)")</f>
        <v>Instituto Nacional de Metrologia, Qualidade e Tecnologia (Inmetro)</v>
      </c>
      <c r="B478" s="3" t="str">
        <f>IFERROR(__xludf.DUMMYFUNCTION("""COMPUTED_VALUE"""),"Data / MRV / platforms")</f>
        <v>Data / MRV / platforms</v>
      </c>
    </row>
    <row r="479">
      <c r="A479" s="3" t="str">
        <f>IFERROR(__xludf.DUMMYFUNCTION("""COMPUTED_VALUE"""),"Serviço Brasileiro de Apoio às Micro e Pequenas Empresas (SEBRAE)")</f>
        <v>Serviço Brasileiro de Apoio às Micro e Pequenas Empresas (SEBRAE)</v>
      </c>
      <c r="B479" s="3" t="str">
        <f>IFERROR(__xludf.DUMMYFUNCTION("""COMPUTED_VALUE"""),"Implementation capacity (delivery)")</f>
        <v>Implementation capacity (delivery)</v>
      </c>
    </row>
    <row r="480">
      <c r="A480" s="3" t="str">
        <f>IFERROR(__xludf.DUMMYFUNCTION("""COMPUTED_VALUE"""),"Serviço Brasileiro de Apoio às Micro e Pequenas Empresas (SEBRAE)")</f>
        <v>Serviço Brasileiro de Apoio às Micro e Pequenas Empresas (SEBRAE)</v>
      </c>
      <c r="B480" s="3" t="str">
        <f>IFERROR(__xludf.DUMMYFUNCTION("""COMPUTED_VALUE"""),"Technical assistance / research")</f>
        <v>Technical assistance / research</v>
      </c>
    </row>
    <row r="481">
      <c r="A481" s="3" t="str">
        <f>IFERROR(__xludf.DUMMYFUNCTION("""COMPUTED_VALUE"""),"União Nacional de Cooperativas da Agricultura Familiar e Economia Solidária (Unicafes)")</f>
        <v>União Nacional de Cooperativas da Agricultura Familiar e Economia Solidária (Unicafes)</v>
      </c>
      <c r="B481" s="3" t="str">
        <f>IFERROR(__xludf.DUMMYFUNCTION("""COMPUTED_VALUE"""),"Community legitimacy / proximate leadership")</f>
        <v>Community legitimacy / proximate leadership</v>
      </c>
    </row>
    <row r="482">
      <c r="A482" s="3" t="str">
        <f>IFERROR(__xludf.DUMMYFUNCTION("""COMPUTED_VALUE"""),"União Nacional de Cooperativas da Agricultura Familiar e Economia Solidária (Unicafes)")</f>
        <v>União Nacional de Cooperativas da Agricultura Familiar e Economia Solidária (Unicafes)</v>
      </c>
      <c r="B482" s="3" t="str">
        <f>IFERROR(__xludf.DUMMYFUNCTION("""COMPUTED_VALUE"""),"Convenor/enablers")</f>
        <v>Convenor/enablers</v>
      </c>
    </row>
    <row r="483">
      <c r="A483" s="3" t="str">
        <f>IFERROR(__xludf.DUMMYFUNCTION("""COMPUTED_VALUE"""),"Infocos Agri-Agency")</f>
        <v>Infocos Agri-Agency</v>
      </c>
      <c r="B483" s="3" t="str">
        <f>IFERROR(__xludf.DUMMYFUNCTION("""COMPUTED_VALUE"""),"Technical assistance / research")</f>
        <v>Technical assistance / research</v>
      </c>
    </row>
    <row r="484">
      <c r="A484" s="3" t="str">
        <f>IFERROR(__xludf.DUMMYFUNCTION("""COMPUTED_VALUE"""),"Instituto Democracia e Sustentabilidade (IDS)")</f>
        <v>Instituto Democracia e Sustentabilidade (IDS)</v>
      </c>
      <c r="B484" s="3" t="str">
        <f>IFERROR(__xludf.DUMMYFUNCTION("""COMPUTED_VALUE"""),"Policy influence / regulation")</f>
        <v>Policy influence / regulation</v>
      </c>
    </row>
    <row r="485">
      <c r="A485" s="3" t="str">
        <f>IFERROR(__xludf.DUMMYFUNCTION("""COMPUTED_VALUE"""),"Instituto Democracia e Sustentabilidade (IDS)")</f>
        <v>Instituto Democracia e Sustentabilidade (IDS)</v>
      </c>
      <c r="B485" s="3" t="str">
        <f>IFERROR(__xludf.DUMMYFUNCTION("""COMPUTED_VALUE"""),"Technical assistance / research")</f>
        <v>Technical assistance / research</v>
      </c>
    </row>
    <row r="486">
      <c r="A486" s="3" t="str">
        <f>IFERROR(__xludf.DUMMYFUNCTION("""COMPUTED_VALUE"""),"Instituto Cidades Sustentáveis")</f>
        <v>Instituto Cidades Sustentáveis</v>
      </c>
      <c r="B486" s="3" t="str">
        <f>IFERROR(__xludf.DUMMYFUNCTION("""COMPUTED_VALUE"""),"Project developer / Implementer")</f>
        <v>Project developer / Implementer</v>
      </c>
    </row>
    <row r="487">
      <c r="A487" s="3" t="str">
        <f>IFERROR(__xludf.DUMMYFUNCTION("""COMPUTED_VALUE"""),"Instituto Cidades Sustentáveis")</f>
        <v>Instituto Cidades Sustentáveis</v>
      </c>
      <c r="B487" s="3" t="str">
        <f>IFERROR(__xludf.DUMMYFUNCTION("""COMPUTED_VALUE"""),"Data / MRV / platforms")</f>
        <v>Data / MRV / platforms</v>
      </c>
    </row>
    <row r="488">
      <c r="A488" s="3" t="str">
        <f>IFERROR(__xludf.DUMMYFUNCTION("""COMPUTED_VALUE"""),"Rede Nossa São Paulo")</f>
        <v>Rede Nossa São Paulo</v>
      </c>
      <c r="B488" s="3" t="str">
        <f>IFERROR(__xludf.DUMMYFUNCTION("""COMPUTED_VALUE"""),"Policy influence / regulation")</f>
        <v>Policy influence / regulation</v>
      </c>
    </row>
    <row r="489">
      <c r="A489" s="3" t="str">
        <f>IFERROR(__xludf.DUMMYFUNCTION("""COMPUTED_VALUE"""),"Rede Nossa São Paulo")</f>
        <v>Rede Nossa São Paulo</v>
      </c>
      <c r="B489" s="3" t="str">
        <f>IFERROR(__xludf.DUMMYFUNCTION("""COMPUTED_VALUE"""),"Community legitimacy / proximate leadership")</f>
        <v>Community legitimacy / proximate leadership</v>
      </c>
    </row>
    <row r="490">
      <c r="A490" s="3" t="str">
        <f>IFERROR(__xludf.DUMMYFUNCTION("""COMPUTED_VALUE"""),"Instituto Pólis")</f>
        <v>Instituto Pólis</v>
      </c>
      <c r="B490" s="3" t="str">
        <f>IFERROR(__xludf.DUMMYFUNCTION("""COMPUTED_VALUE"""),"Technical assistance / research")</f>
        <v>Technical assistance / research</v>
      </c>
    </row>
    <row r="491">
      <c r="A491" s="3" t="str">
        <f>IFERROR(__xludf.DUMMYFUNCTION("""COMPUTED_VALUE"""),"Instituto Pólis")</f>
        <v>Instituto Pólis</v>
      </c>
      <c r="B491" s="3" t="str">
        <f>IFERROR(__xludf.DUMMYFUNCTION("""COMPUTED_VALUE"""),"Policy influence / regulation")</f>
        <v>Policy influence / regulation</v>
      </c>
    </row>
    <row r="492">
      <c r="A492" s="3" t="str">
        <f>IFERROR(__xludf.DUMMYFUNCTION("""COMPUTED_VALUE"""),"Instituto Escolhas")</f>
        <v>Instituto Escolhas</v>
      </c>
      <c r="B492" s="3" t="str">
        <f>IFERROR(__xludf.DUMMYFUNCTION("""COMPUTED_VALUE"""),"Technical assistance / research")</f>
        <v>Technical assistance / research</v>
      </c>
    </row>
    <row r="493">
      <c r="A493" s="3" t="str">
        <f>IFERROR(__xludf.DUMMYFUNCTION("""COMPUTED_VALUE"""),"Instituto Escolhas")</f>
        <v>Instituto Escolhas</v>
      </c>
      <c r="B493" s="3" t="str">
        <f>IFERROR(__xludf.DUMMYFUNCTION("""COMPUTED_VALUE"""),"Policy influence / regulation")</f>
        <v>Policy influence / regulation</v>
      </c>
    </row>
    <row r="494">
      <c r="A494" s="3" t="str">
        <f>IFERROR(__xludf.DUMMYFUNCTION("""COMPUTED_VALUE"""),"Instituto de Estudos Socioeconômicos (INESC)")</f>
        <v>Instituto de Estudos Socioeconômicos (INESC)</v>
      </c>
      <c r="B494" s="3" t="str">
        <f>IFERROR(__xludf.DUMMYFUNCTION("""COMPUTED_VALUE"""),"Policy influence / regulation")</f>
        <v>Policy influence / regulation</v>
      </c>
    </row>
    <row r="495">
      <c r="A495" s="3" t="str">
        <f>IFERROR(__xludf.DUMMYFUNCTION("""COMPUTED_VALUE"""),"Instituto de Estudos Socioeconômicos (INESC)")</f>
        <v>Instituto de Estudos Socioeconômicos (INESC)</v>
      </c>
      <c r="B495" s="3" t="str">
        <f>IFERROR(__xludf.DUMMYFUNCTION("""COMPUTED_VALUE"""),"Technical assistance / research")</f>
        <v>Technical assistance / research</v>
      </c>
    </row>
    <row r="496">
      <c r="A496" s="3" t="str">
        <f>IFERROR(__xludf.DUMMYFUNCTION("""COMPUTED_VALUE"""),"Instituto Brasileiro de Defesa do Consumidor (Idec)")</f>
        <v>Instituto Brasileiro de Defesa do Consumidor (Idec)</v>
      </c>
      <c r="B496" s="3" t="str">
        <f>IFERROR(__xludf.DUMMYFUNCTION("""COMPUTED_VALUE"""),"Policy influence / regulation")</f>
        <v>Policy influence / regulation</v>
      </c>
    </row>
    <row r="497">
      <c r="A497" s="3" t="str">
        <f>IFERROR(__xludf.DUMMYFUNCTION("""COMPUTED_VALUE"""),"Instituto Brasileiro de Defesa do Consumidor (Idec)")</f>
        <v>Instituto Brasileiro de Defesa do Consumidor (Idec)</v>
      </c>
      <c r="B497" s="3" t="str">
        <f>IFERROR(__xludf.DUMMYFUNCTION("""COMPUTED_VALUE"""),"Community legitimacy / proximate leadership")</f>
        <v>Community legitimacy / proximate leadership</v>
      </c>
    </row>
    <row r="498">
      <c r="A498" s="3" t="str">
        <f>IFERROR(__xludf.DUMMYFUNCTION("""COMPUTED_VALUE"""),"Greenpeace Brasil")</f>
        <v>Greenpeace Brasil</v>
      </c>
      <c r="B498" s="3" t="str">
        <f>IFERROR(__xludf.DUMMYFUNCTION("""COMPUTED_VALUE"""),"Policy influence / regulation")</f>
        <v>Policy influence / regulation</v>
      </c>
    </row>
    <row r="499">
      <c r="A499" s="3" t="str">
        <f>IFERROR(__xludf.DUMMYFUNCTION("""COMPUTED_VALUE"""),"Greenpeace Brasil")</f>
        <v>Greenpeace Brasil</v>
      </c>
      <c r="B499" s="3" t="str">
        <f>IFERROR(__xludf.DUMMYFUNCTION("""COMPUTED_VALUE"""),"Project developer / Implementer")</f>
        <v>Project developer / Implementer</v>
      </c>
    </row>
    <row r="500">
      <c r="A500" s="3" t="str">
        <f>IFERROR(__xludf.DUMMYFUNCTION("""COMPUTED_VALUE"""),"Instituto Internacional Arayara (Arayara)")</f>
        <v>Instituto Internacional Arayara (Arayara)</v>
      </c>
      <c r="B500" s="3" t="str">
        <f>IFERROR(__xludf.DUMMYFUNCTION("""COMPUTED_VALUE"""),"Policy influence / regulation")</f>
        <v>Policy influence / regulation</v>
      </c>
    </row>
    <row r="501">
      <c r="A501" s="3" t="str">
        <f>IFERROR(__xludf.DUMMYFUNCTION("""COMPUTED_VALUE"""),"Instituto Internacional Arayara (Arayara)")</f>
        <v>Instituto Internacional Arayara (Arayara)</v>
      </c>
      <c r="B501" s="3" t="str">
        <f>IFERROR(__xludf.DUMMYFUNCTION("""COMPUTED_VALUE"""),"Technical assistance / research")</f>
        <v>Technical assistance / research</v>
      </c>
    </row>
    <row r="502">
      <c r="A502" s="3" t="str">
        <f>IFERROR(__xludf.DUMMYFUNCTION("""COMPUTED_VALUE"""),"Rede Brasileira de Justiça Ambiental (RBJA)")</f>
        <v>Rede Brasileira de Justiça Ambiental (RBJA)</v>
      </c>
      <c r="B502" s="3" t="str">
        <f>IFERROR(__xludf.DUMMYFUNCTION("""COMPUTED_VALUE"""),"Policy influence / regulation")</f>
        <v>Policy influence / regulation</v>
      </c>
    </row>
    <row r="503">
      <c r="A503" s="3" t="str">
        <f>IFERROR(__xludf.DUMMYFUNCTION("""COMPUTED_VALUE"""),"Rede Brasileira de Justiça Ambiental (RBJA)")</f>
        <v>Rede Brasileira de Justiça Ambiental (RBJA)</v>
      </c>
      <c r="B503" s="3" t="str">
        <f>IFERROR(__xludf.DUMMYFUNCTION("""COMPUTED_VALUE"""),"Community legitimacy / proximate leadership")</f>
        <v>Community legitimacy / proximate leadership</v>
      </c>
    </row>
    <row r="504">
      <c r="A504" s="3" t="str">
        <f>IFERROR(__xludf.DUMMYFUNCTION("""COMPUTED_VALUE"""),"Fundação Pró-Natureza (Funatura)")</f>
        <v>Fundação Pró-Natureza (Funatura)</v>
      </c>
      <c r="B504" s="3" t="str">
        <f>IFERROR(__xludf.DUMMYFUNCTION("""COMPUTED_VALUE"""),"Project developer / Implementer")</f>
        <v>Project developer / Implementer</v>
      </c>
    </row>
    <row r="505">
      <c r="A505" s="3" t="str">
        <f>IFERROR(__xludf.DUMMYFUNCTION("""COMPUTED_VALUE"""),"Instituto Cerrados (IC)")</f>
        <v>Instituto Cerrados (IC)</v>
      </c>
      <c r="B505" s="3" t="str">
        <f>IFERROR(__xludf.DUMMYFUNCTION("""COMPUTED_VALUE"""),"Project developer / Implementer")</f>
        <v>Project developer / Implementer</v>
      </c>
    </row>
    <row r="506">
      <c r="A506" s="3" t="str">
        <f>IFERROR(__xludf.DUMMYFUNCTION("""COMPUTED_VALUE"""),"Instituto Cerrados (IC)")</f>
        <v>Instituto Cerrados (IC)</v>
      </c>
      <c r="B506" s="3" t="str">
        <f>IFERROR(__xludf.DUMMYFUNCTION("""COMPUTED_VALUE"""),"Data / MRV / platforms")</f>
        <v>Data / MRV / platforms</v>
      </c>
    </row>
    <row r="507">
      <c r="A507" s="3" t="str">
        <f>IFERROR(__xludf.DUMMYFUNCTION("""COMPUTED_VALUE"""),"Operação Amazônia Nativa (OPAN)")</f>
        <v>Operação Amazônia Nativa (OPAN)</v>
      </c>
      <c r="B507" s="3" t="str">
        <f>IFERROR(__xludf.DUMMYFUNCTION("""COMPUTED_VALUE"""),"Project developer / Implementer")</f>
        <v>Project developer / Implementer</v>
      </c>
    </row>
    <row r="508">
      <c r="A508" s="3" t="str">
        <f>IFERROR(__xludf.DUMMYFUNCTION("""COMPUTED_VALUE"""),"Operação Amazônia Nativa (OPAN)")</f>
        <v>Operação Amazônia Nativa (OPAN)</v>
      </c>
      <c r="B508" s="3" t="str">
        <f>IFERROR(__xludf.DUMMYFUNCTION("""COMPUTED_VALUE"""),"Community legitimacy / proximate leadership")</f>
        <v>Community legitimacy / proximate leadership</v>
      </c>
    </row>
    <row r="509">
      <c r="A509" s="3" t="str">
        <f>IFERROR(__xludf.DUMMYFUNCTION("""COMPUTED_VALUE"""),"Instituto Peabiru")</f>
        <v>Instituto Peabiru</v>
      </c>
      <c r="B509" s="3" t="str">
        <f>IFERROR(__xludf.DUMMYFUNCTION("""COMPUTED_VALUE"""),"Project developer / Implementer")</f>
        <v>Project developer / Implementer</v>
      </c>
    </row>
    <row r="510">
      <c r="A510" s="3" t="str">
        <f>IFERROR(__xludf.DUMMYFUNCTION("""COMPUTED_VALUE"""),"Instituto Peabiru")</f>
        <v>Instituto Peabiru</v>
      </c>
      <c r="B510" s="3" t="str">
        <f>IFERROR(__xludf.DUMMYFUNCTION("""COMPUTED_VALUE"""),"Territorial anchor")</f>
        <v>Territorial anchor</v>
      </c>
    </row>
    <row r="511">
      <c r="A511" s="3" t="str">
        <f>IFERROR(__xludf.DUMMYFUNCTION("""COMPUTED_VALUE"""),"Projeto Saúde e Alegria (PSA)")</f>
        <v>Projeto Saúde e Alegria (PSA)</v>
      </c>
      <c r="B511" s="3" t="str">
        <f>IFERROR(__xludf.DUMMYFUNCTION("""COMPUTED_VALUE"""),"Project developer / Implementer")</f>
        <v>Project developer / Implementer</v>
      </c>
    </row>
    <row r="512">
      <c r="A512" s="3" t="str">
        <f>IFERROR(__xludf.DUMMYFUNCTION("""COMPUTED_VALUE"""),"Projeto Saúde e Alegria (PSA)")</f>
        <v>Projeto Saúde e Alegria (PSA)</v>
      </c>
      <c r="B512" s="3" t="str">
        <f>IFERROR(__xludf.DUMMYFUNCTION("""COMPUTED_VALUE"""),"Community legitimacy / proximate leadership")</f>
        <v>Community legitimacy / proximate leadership</v>
      </c>
    </row>
    <row r="513">
      <c r="A513" s="3" t="str">
        <f>IFERROR(__xludf.DUMMYFUNCTION("""COMPUTED_VALUE"""),"Articulação dos Povos Indígenas do Brasil (APIB)")</f>
        <v>Articulação dos Povos Indígenas do Brasil (APIB)</v>
      </c>
      <c r="B513" s="3" t="str">
        <f>IFERROR(__xludf.DUMMYFUNCTION("""COMPUTED_VALUE"""),"Community legitimacy / proximate leadership")</f>
        <v>Community legitimacy / proximate leadership</v>
      </c>
    </row>
    <row r="514">
      <c r="A514" s="3" t="str">
        <f>IFERROR(__xludf.DUMMYFUNCTION("""COMPUTED_VALUE"""),"Articulação dos Povos Indígenas do Brasil (APIB)")</f>
        <v>Articulação dos Povos Indígenas do Brasil (APIB)</v>
      </c>
      <c r="B514" s="3" t="str">
        <f>IFERROR(__xludf.DUMMYFUNCTION("""COMPUTED_VALUE"""),"Policy influence / regulation")</f>
        <v>Policy influence / regulation</v>
      </c>
    </row>
    <row r="515">
      <c r="A515" s="3" t="str">
        <f>IFERROR(__xludf.DUMMYFUNCTION("""COMPUTED_VALUE"""),"Coordenação das Organizações Indígenas da Amazônia Brasileira (COIAB)")</f>
        <v>Coordenação das Organizações Indígenas da Amazônia Brasileira (COIAB)</v>
      </c>
      <c r="B515" s="3" t="str">
        <f>IFERROR(__xludf.DUMMYFUNCTION("""COMPUTED_VALUE"""),"Community legitimacy / proximate leadership")</f>
        <v>Community legitimacy / proximate leadership</v>
      </c>
    </row>
    <row r="516">
      <c r="A516" s="3" t="str">
        <f>IFERROR(__xludf.DUMMYFUNCTION("""COMPUTED_VALUE"""),"Coordenação das Organizações Indígenas da Amazônia Brasileira (COIAB)")</f>
        <v>Coordenação das Organizações Indígenas da Amazônia Brasileira (COIAB)</v>
      </c>
      <c r="B516" s="3" t="str">
        <f>IFERROR(__xludf.DUMMYFUNCTION("""COMPUTED_VALUE"""),"Territorial anchor")</f>
        <v>Territorial anchor</v>
      </c>
    </row>
    <row r="517">
      <c r="A517" s="3" t="str">
        <f>IFERROR(__xludf.DUMMYFUNCTION("""COMPUTED_VALUE"""),"Conselho Indigenista Missionário (CIMI)")</f>
        <v>Conselho Indigenista Missionário (CIMI)</v>
      </c>
      <c r="B517" s="3" t="str">
        <f>IFERROR(__xludf.DUMMYFUNCTION("""COMPUTED_VALUE"""),"Community legitimacy / proximate leadership")</f>
        <v>Community legitimacy / proximate leadership</v>
      </c>
    </row>
    <row r="518">
      <c r="A518" s="3" t="str">
        <f>IFERROR(__xludf.DUMMYFUNCTION("""COMPUTED_VALUE"""),"Conselho Indigenista Missionário (CIMI)")</f>
        <v>Conselho Indigenista Missionário (CIMI)</v>
      </c>
      <c r="B518" s="3" t="str">
        <f>IFERROR(__xludf.DUMMYFUNCTION("""COMPUTED_VALUE"""),"Policy influence / regulation")</f>
        <v>Policy influence / regulation</v>
      </c>
    </row>
    <row r="519">
      <c r="A519" s="3" t="str">
        <f>IFERROR(__xludf.DUMMYFUNCTION("""COMPUTED_VALUE"""),"Comissão Pastoral da Terra (CPT)")</f>
        <v>Comissão Pastoral da Terra (CPT)</v>
      </c>
      <c r="B519" s="3" t="str">
        <f>IFERROR(__xludf.DUMMYFUNCTION("""COMPUTED_VALUE"""),"Community legitimacy / proximate leadership")</f>
        <v>Community legitimacy / proximate leadership</v>
      </c>
    </row>
    <row r="520">
      <c r="A520" s="3" t="str">
        <f>IFERROR(__xludf.DUMMYFUNCTION("""COMPUTED_VALUE"""),"Comissão Pastoral da Terra (CPT)")</f>
        <v>Comissão Pastoral da Terra (CPT)</v>
      </c>
      <c r="B520" s="3" t="str">
        <f>IFERROR(__xludf.DUMMYFUNCTION("""COMPUTED_VALUE"""),"Policy influence / regulation")</f>
        <v>Policy influence / regulation</v>
      </c>
    </row>
    <row r="521">
      <c r="A521" s="3" t="str">
        <f>IFERROR(__xludf.DUMMYFUNCTION("""COMPUTED_VALUE"""),"Conselho Nacional das Populações Extrativistas (CNS)")</f>
        <v>Conselho Nacional das Populações Extrativistas (CNS)</v>
      </c>
      <c r="B521" s="3" t="str">
        <f>IFERROR(__xludf.DUMMYFUNCTION("""COMPUTED_VALUE"""),"Community legitimacy / proximate leadership")</f>
        <v>Community legitimacy / proximate leadership</v>
      </c>
    </row>
    <row r="522">
      <c r="A522" s="3" t="str">
        <f>IFERROR(__xludf.DUMMYFUNCTION("""COMPUTED_VALUE"""),"Conselho Nacional das Populações Extrativistas (CNS)")</f>
        <v>Conselho Nacional das Populações Extrativistas (CNS)</v>
      </c>
      <c r="B522" s="3" t="str">
        <f>IFERROR(__xludf.DUMMYFUNCTION("""COMPUTED_VALUE"""),"Policy influence / regulation")</f>
        <v>Policy influence / regulation</v>
      </c>
    </row>
    <row r="523">
      <c r="A523" s="3" t="str">
        <f>IFERROR(__xludf.DUMMYFUNCTION("""COMPUTED_VALUE"""),"Articulação Nacional de Agroecologia (ANA)")</f>
        <v>Articulação Nacional de Agroecologia (ANA)</v>
      </c>
      <c r="B523" s="3" t="str">
        <f>IFERROR(__xludf.DUMMYFUNCTION("""COMPUTED_VALUE"""),"Convenor/enablers")</f>
        <v>Convenor/enablers</v>
      </c>
    </row>
    <row r="524">
      <c r="A524" s="3" t="str">
        <f>IFERROR(__xludf.DUMMYFUNCTION("""COMPUTED_VALUE"""),"Articulação Nacional de Agroecologia (ANA)")</f>
        <v>Articulação Nacional de Agroecologia (ANA)</v>
      </c>
      <c r="B524" s="3" t="str">
        <f>IFERROR(__xludf.DUMMYFUNCTION("""COMPUTED_VALUE"""),"Community legitimacy / proximate leadership")</f>
        <v>Community legitimacy / proximate leadership</v>
      </c>
    </row>
    <row r="525">
      <c r="A525" s="3" t="str">
        <f>IFERROR(__xludf.DUMMYFUNCTION("""COMPUTED_VALUE"""),"Diaconia")</f>
        <v>Diaconia</v>
      </c>
      <c r="B525" s="3" t="str">
        <f>IFERROR(__xludf.DUMMYFUNCTION("""COMPUTED_VALUE"""),"Project developer / Implementer")</f>
        <v>Project developer / Implementer</v>
      </c>
    </row>
    <row r="526">
      <c r="A526" s="3" t="str">
        <f>IFERROR(__xludf.DUMMYFUNCTION("""COMPUTED_VALUE"""),"Diaconia")</f>
        <v>Diaconia</v>
      </c>
      <c r="B526" s="3" t="str">
        <f>IFERROR(__xludf.DUMMYFUNCTION("""COMPUTED_VALUE"""),"Implementation capacity (delivery)")</f>
        <v>Implementation capacity (delivery)</v>
      </c>
    </row>
    <row r="527">
      <c r="A527" s="3" t="str">
        <f>IFERROR(__xludf.DUMMYFUNCTION("""COMPUTED_VALUE"""),"Cáritas Brasileira")</f>
        <v>Cáritas Brasileira</v>
      </c>
      <c r="B527" s="3" t="str">
        <f>IFERROR(__xludf.DUMMYFUNCTION("""COMPUTED_VALUE"""),"Project developer / Implementer")</f>
        <v>Project developer / Implementer</v>
      </c>
    </row>
    <row r="528">
      <c r="A528" s="3" t="str">
        <f>IFERROR(__xludf.DUMMYFUNCTION("""COMPUTED_VALUE"""),"Cáritas Brasileira")</f>
        <v>Cáritas Brasileira</v>
      </c>
      <c r="B528" s="3" t="str">
        <f>IFERROR(__xludf.DUMMYFUNCTION("""COMPUTED_VALUE"""),"Implementation capacity (delivery)")</f>
        <v>Implementation capacity (delivery)</v>
      </c>
    </row>
    <row r="529">
      <c r="A529" s="3" t="str">
        <f>IFERROR(__xludf.DUMMYFUNCTION("""COMPUTED_VALUE"""),"Federação de Órgãos para Assistência Social e Educacional (FASE)")</f>
        <v>Federação de Órgãos para Assistência Social e Educacional (FASE)</v>
      </c>
      <c r="B529" s="3" t="str">
        <f>IFERROR(__xludf.DUMMYFUNCTION("""COMPUTED_VALUE"""),"Project developer / Implementer")</f>
        <v>Project developer / Implementer</v>
      </c>
    </row>
    <row r="530">
      <c r="A530" s="3" t="str">
        <f>IFERROR(__xludf.DUMMYFUNCTION("""COMPUTED_VALUE"""),"Federação de Órgãos para Assistência Social e Educacional (FASE)")</f>
        <v>Federação de Órgãos para Assistência Social e Educacional (FASE)</v>
      </c>
      <c r="B530" s="3" t="str">
        <f>IFERROR(__xludf.DUMMYFUNCTION("""COMPUTED_VALUE"""),"Policy influence / regulation")</f>
        <v>Policy influence / regulation</v>
      </c>
    </row>
    <row r="531">
      <c r="A531" s="3" t="str">
        <f>IFERROR(__xludf.DUMMYFUNCTION("""COMPUTED_VALUE"""),"Centro de Estudos do Trabalho e de Assessoria ao Trabalhador e à Trabalhadora (CETRA)")</f>
        <v>Centro de Estudos do Trabalho e de Assessoria ao Trabalhador e à Trabalhadora (CETRA)</v>
      </c>
      <c r="B531" s="3" t="str">
        <f>IFERROR(__xludf.DUMMYFUNCTION("""COMPUTED_VALUE"""),"Project developer / Implementer")</f>
        <v>Project developer / Implementer</v>
      </c>
    </row>
    <row r="532">
      <c r="A532" s="3" t="str">
        <f>IFERROR(__xludf.DUMMYFUNCTION("""COMPUTED_VALUE"""),"Centro de Estudos do Trabalho e de Assessoria ao Trabalhador e à Trabalhadora (CETRA)")</f>
        <v>Centro de Estudos do Trabalho e de Assessoria ao Trabalhador e à Trabalhadora (CETRA)</v>
      </c>
      <c r="B532" s="3" t="str">
        <f>IFERROR(__xludf.DUMMYFUNCTION("""COMPUTED_VALUE"""),"Implementation capacity (delivery)")</f>
        <v>Implementation capacity (delivery)</v>
      </c>
    </row>
    <row r="533">
      <c r="A533" s="3" t="str">
        <f>IFERROR(__xludf.DUMMYFUNCTION("""COMPUTED_VALUE"""),"Centro de Desenvolvimento Agroecológico Sabiá (Centro Sabiá)")</f>
        <v>Centro de Desenvolvimento Agroecológico Sabiá (Centro Sabiá)</v>
      </c>
      <c r="B533" s="3" t="str">
        <f>IFERROR(__xludf.DUMMYFUNCTION("""COMPUTED_VALUE"""),"Project developer / Implementer")</f>
        <v>Project developer / Implementer</v>
      </c>
    </row>
    <row r="534">
      <c r="A534" s="3" t="str">
        <f>IFERROR(__xludf.DUMMYFUNCTION("""COMPUTED_VALUE"""),"Centro de Desenvolvimento Agroecológico Sabiá (Centro Sabiá)")</f>
        <v>Centro de Desenvolvimento Agroecológico Sabiá (Centro Sabiá)</v>
      </c>
      <c r="B534" s="3" t="str">
        <f>IFERROR(__xludf.DUMMYFUNCTION("""COMPUTED_VALUE"""),"Implementation capacity (delivery)")</f>
        <v>Implementation capacity (delivery)</v>
      </c>
    </row>
    <row r="535">
      <c r="A535" s="3" t="str">
        <f>IFERROR(__xludf.DUMMYFUNCTION("""COMPUTED_VALUE"""),"Programa de Aplicação de Tecnologias Apropriadas às Comunidades (PATAC)")</f>
        <v>Programa de Aplicação de Tecnologias Apropriadas às Comunidades (PATAC)</v>
      </c>
      <c r="B535" s="3" t="str">
        <f>IFERROR(__xludf.DUMMYFUNCTION("""COMPUTED_VALUE"""),"Project developer / Implementer")</f>
        <v>Project developer / Implementer</v>
      </c>
    </row>
    <row r="536">
      <c r="A536" s="3" t="str">
        <f>IFERROR(__xludf.DUMMYFUNCTION("""COMPUTED_VALUE"""),"Programa de Aplicação de Tecnologias Apropriadas às Comunidades (PATAC)")</f>
        <v>Programa de Aplicação de Tecnologias Apropriadas às Comunidades (PATAC)</v>
      </c>
      <c r="B536" s="3" t="str">
        <f>IFERROR(__xludf.DUMMYFUNCTION("""COMPUTED_VALUE"""),"Implementation capacity (delivery)")</f>
        <v>Implementation capacity (delivery)</v>
      </c>
    </row>
    <row r="537">
      <c r="A537" s="3" t="str">
        <f>IFERROR(__xludf.DUMMYFUNCTION("""COMPUTED_VALUE"""),"Instituto de Arquitetos do Brasil (IAB)")</f>
        <v>Instituto de Arquitetos do Brasil (IAB)</v>
      </c>
      <c r="B537" s="3" t="str">
        <f>IFERROR(__xludf.DUMMYFUNCTION("""COMPUTED_VALUE"""),"Technical assistance / research")</f>
        <v>Technical assistance / research</v>
      </c>
    </row>
    <row r="538">
      <c r="A538" s="3" t="str">
        <f>IFERROR(__xludf.DUMMYFUNCTION("""COMPUTED_VALUE"""),"Instituto de Arquitetos do Brasil (IAB)")</f>
        <v>Instituto de Arquitetos do Brasil (IAB)</v>
      </c>
      <c r="B538" s="3" t="str">
        <f>IFERROR(__xludf.DUMMYFUNCTION("""COMPUTED_VALUE"""),"Policy influence / regulation")</f>
        <v>Policy influence / regulation</v>
      </c>
    </row>
    <row r="539">
      <c r="A539" s="3" t="str">
        <f>IFERROR(__xludf.DUMMYFUNCTION("""COMPUTED_VALUE"""),"Deutsche Gesellschaft für Internationale Zusammenarbeit (GIZ)")</f>
        <v>Deutsche Gesellschaft für Internationale Zusammenarbeit (GIZ)</v>
      </c>
      <c r="B539" s="3" t="str">
        <f>IFERROR(__xludf.DUMMYFUNCTION("""COMPUTED_VALUE"""),"Strategic partner")</f>
        <v>Strategic partner</v>
      </c>
    </row>
    <row r="540">
      <c r="A540" s="3" t="str">
        <f>IFERROR(__xludf.DUMMYFUNCTION("""COMPUTED_VALUE"""),"Deutsche Gesellschaft für Internationale Zusammenarbeit (GIZ)")</f>
        <v>Deutsche Gesellschaft für Internationale Zusammenarbeit (GIZ)</v>
      </c>
      <c r="B540" s="3" t="str">
        <f>IFERROR(__xludf.DUMMYFUNCTION("""COMPUTED_VALUE"""),"Technical assistance / research")</f>
        <v>Technical assistance / research</v>
      </c>
    </row>
    <row r="541">
      <c r="A541" s="3" t="str">
        <f>IFERROR(__xludf.DUMMYFUNCTION("""COMPUTED_VALUE"""),"Deutsche Gesellschaft für Internationale Zusammenarbeit (GIZ)")</f>
        <v>Deutsche Gesellschaft für Internationale Zusammenarbeit (GIZ)</v>
      </c>
      <c r="B541" s="3" t="str">
        <f>IFERROR(__xludf.DUMMYFUNCTION("""COMPUTED_VALUE"""),"Funder")</f>
        <v>Funder</v>
      </c>
    </row>
    <row r="542">
      <c r="A542" s="3" t="str">
        <f>IFERROR(__xludf.DUMMYFUNCTION("""COMPUTED_VALUE"""),"Kreditanstalt für Wiederaufbau (KfW)")</f>
        <v>Kreditanstalt für Wiederaufbau (KfW)</v>
      </c>
      <c r="B542" s="3" t="str">
        <f>IFERROR(__xludf.DUMMYFUNCTION("""COMPUTED_VALUE"""),"Capital provider / Financial intermediary")</f>
        <v>Capital provider / Financial intermediary</v>
      </c>
    </row>
    <row r="543">
      <c r="A543" s="3" t="str">
        <f>IFERROR(__xludf.DUMMYFUNCTION("""COMPUTED_VALUE"""),"Kreditanstalt für Wiederaufbau (KfW)")</f>
        <v>Kreditanstalt für Wiederaufbau (KfW)</v>
      </c>
      <c r="B543" s="3" t="str">
        <f>IFERROR(__xludf.DUMMYFUNCTION("""COMPUTED_VALUE"""),"Strategic partner")</f>
        <v>Strategic partner</v>
      </c>
    </row>
    <row r="544">
      <c r="A544" s="3" t="str">
        <f>IFERROR(__xludf.DUMMYFUNCTION("""COMPUTED_VALUE"""),"Deutsche Investitions- und Entwicklungsgesellschaft (DEG)")</f>
        <v>Deutsche Investitions- und Entwicklungsgesellschaft (DEG)</v>
      </c>
      <c r="B544" s="3" t="str">
        <f>IFERROR(__xludf.DUMMYFUNCTION("""COMPUTED_VALUE"""),"Capital provider / Financial intermediary")</f>
        <v>Capital provider / Financial intermediary</v>
      </c>
    </row>
    <row r="545">
      <c r="A545" s="3" t="str">
        <f>IFERROR(__xludf.DUMMYFUNCTION("""COMPUTED_VALUE"""),"Agência Francesa de Desenvolvimento (AFD)")</f>
        <v>Agência Francesa de Desenvolvimento (AFD)</v>
      </c>
      <c r="B545" s="3" t="str">
        <f>IFERROR(__xludf.DUMMYFUNCTION("""COMPUTED_VALUE"""),"Capital provider / Financial intermediary")</f>
        <v>Capital provider / Financial intermediary</v>
      </c>
    </row>
    <row r="546">
      <c r="A546" s="3" t="str">
        <f>IFERROR(__xludf.DUMMYFUNCTION("""COMPUTED_VALUE"""),"Agência Francesa de Desenvolvimento (AFD)")</f>
        <v>Agência Francesa de Desenvolvimento (AFD)</v>
      </c>
      <c r="B546" s="3" t="str">
        <f>IFERROR(__xludf.DUMMYFUNCTION("""COMPUTED_VALUE"""),"Strategic partner")</f>
        <v>Strategic partner</v>
      </c>
    </row>
    <row r="547">
      <c r="A547" s="3" t="str">
        <f>IFERROR(__xludf.DUMMYFUNCTION("""COMPUTED_VALUE"""),"Proparco")</f>
        <v>Proparco</v>
      </c>
      <c r="B547" s="3" t="str">
        <f>IFERROR(__xludf.DUMMYFUNCTION("""COMPUTED_VALUE"""),"Capital provider / Financial intermediary")</f>
        <v>Capital provider / Financial intermediary</v>
      </c>
    </row>
    <row r="548">
      <c r="A548" s="3" t="str">
        <f>IFERROR(__xludf.DUMMYFUNCTION("""COMPUTED_VALUE"""),"Expertise France")</f>
        <v>Expertise France</v>
      </c>
      <c r="B548" s="3" t="str">
        <f>IFERROR(__xludf.DUMMYFUNCTION("""COMPUTED_VALUE"""),"Technical assistance / research")</f>
        <v>Technical assistance / research</v>
      </c>
    </row>
    <row r="549">
      <c r="A549" s="3" t="str">
        <f>IFERROR(__xludf.DUMMYFUNCTION("""COMPUTED_VALUE"""),"Expertise France")</f>
        <v>Expertise France</v>
      </c>
      <c r="B549" s="3" t="str">
        <f>IFERROR(__xludf.DUMMYFUNCTION("""COMPUTED_VALUE"""),"Project developer / Implementer")</f>
        <v>Project developer / Implementer</v>
      </c>
    </row>
    <row r="550">
      <c r="A550" s="3" t="str">
        <f>IFERROR(__xludf.DUMMYFUNCTION("""COMPUTED_VALUE"""),"Agência de Cooperação Internacional do Japão (JICA)")</f>
        <v>Agência de Cooperação Internacional do Japão (JICA)</v>
      </c>
      <c r="B550" s="3" t="str">
        <f>IFERROR(__xludf.DUMMYFUNCTION("""COMPUTED_VALUE"""),"Capital provider / Financial intermediary")</f>
        <v>Capital provider / Financial intermediary</v>
      </c>
    </row>
    <row r="551">
      <c r="A551" s="3" t="str">
        <f>IFERROR(__xludf.DUMMYFUNCTION("""COMPUTED_VALUE"""),"Agência de Cooperação Internacional do Japão (JICA)")</f>
        <v>Agência de Cooperação Internacional do Japão (JICA)</v>
      </c>
      <c r="B551" s="3" t="str">
        <f>IFERROR(__xludf.DUMMYFUNCTION("""COMPUTED_VALUE"""),"Strategic partner")</f>
        <v>Strategic partner</v>
      </c>
    </row>
    <row r="552">
      <c r="A552" s="3" t="str">
        <f>IFERROR(__xludf.DUMMYFUNCTION("""COMPUTED_VALUE"""),"Agência de Cooperação Internacional da Coreia (KOICA)")</f>
        <v>Agência de Cooperação Internacional da Coreia (KOICA)</v>
      </c>
      <c r="B552" s="3" t="str">
        <f>IFERROR(__xludf.DUMMYFUNCTION("""COMPUTED_VALUE"""),"Funder")</f>
        <v>Funder</v>
      </c>
    </row>
    <row r="553">
      <c r="A553" s="3" t="str">
        <f>IFERROR(__xludf.DUMMYFUNCTION("""COMPUTED_VALUE"""),"Agência de Cooperação Internacional da Coreia (KOICA)")</f>
        <v>Agência de Cooperação Internacional da Coreia (KOICA)</v>
      </c>
      <c r="B553" s="3" t="str">
        <f>IFERROR(__xludf.DUMMYFUNCTION("""COMPUTED_VALUE"""),"Project developer / Implementer")</f>
        <v>Project developer / Implementer</v>
      </c>
    </row>
    <row r="554">
      <c r="A554" s="3" t="str">
        <f>IFERROR(__xludf.DUMMYFUNCTION("""COMPUTED_VALUE"""),"Agência Espanhola de Cooperação Internacional para o Desenvolvimento (AECID)")</f>
        <v>Agência Espanhola de Cooperação Internacional para o Desenvolvimento (AECID)</v>
      </c>
      <c r="B554" s="3" t="str">
        <f>IFERROR(__xludf.DUMMYFUNCTION("""COMPUTED_VALUE"""),"Funder")</f>
        <v>Funder</v>
      </c>
    </row>
    <row r="555">
      <c r="A555" s="3" t="str">
        <f>IFERROR(__xludf.DUMMYFUNCTION("""COMPUTED_VALUE"""),"Agência Espanhola de Cooperação Internacional para o Desenvolvimento (AECID)")</f>
        <v>Agência Espanhola de Cooperação Internacional para o Desenvolvimento (AECID)</v>
      </c>
      <c r="B555" s="3" t="str">
        <f>IFERROR(__xludf.DUMMYFUNCTION("""COMPUTED_VALUE"""),"Project developer / Implementer")</f>
        <v>Project developer / Implementer</v>
      </c>
    </row>
    <row r="556">
      <c r="A556" s="3" t="str">
        <f>IFERROR(__xludf.DUMMYFUNCTION("""COMPUTED_VALUE"""),"Agência Italiana de Cooperação para o Desenvolvimento (AICS)")</f>
        <v>Agência Italiana de Cooperação para o Desenvolvimento (AICS)</v>
      </c>
      <c r="B556" s="3" t="str">
        <f>IFERROR(__xludf.DUMMYFUNCTION("""COMPUTED_VALUE"""),"Funder")</f>
        <v>Funder</v>
      </c>
    </row>
    <row r="557">
      <c r="A557" s="3" t="str">
        <f>IFERROR(__xludf.DUMMYFUNCTION("""COMPUTED_VALUE"""),"Agência Italiana de Cooperação para o Desenvolvimento (AICS)")</f>
        <v>Agência Italiana de Cooperação para o Desenvolvimento (AICS)</v>
      </c>
      <c r="B557" s="3" t="str">
        <f>IFERROR(__xludf.DUMMYFUNCTION("""COMPUTED_VALUE"""),"Project developer / Implementer")</f>
        <v>Project developer / Implementer</v>
      </c>
    </row>
    <row r="558">
      <c r="A558" s="3" t="str">
        <f>IFERROR(__xludf.DUMMYFUNCTION("""COMPUTED_VALUE"""),"Agência Suíça para o Desenvolvimento e Cooperação (COSUDE)")</f>
        <v>Agência Suíça para o Desenvolvimento e Cooperação (COSUDE)</v>
      </c>
      <c r="B558" s="3" t="str">
        <f>IFERROR(__xludf.DUMMYFUNCTION("""COMPUTED_VALUE"""),"Funder")</f>
        <v>Funder</v>
      </c>
    </row>
    <row r="559">
      <c r="A559" s="3" t="str">
        <f>IFERROR(__xludf.DUMMYFUNCTION("""COMPUTED_VALUE"""),"Agência Suíça para o Desenvolvimento e Cooperação (COSUDE)")</f>
        <v>Agência Suíça para o Desenvolvimento e Cooperação (COSUDE)</v>
      </c>
      <c r="B559" s="3" t="str">
        <f>IFERROR(__xludf.DUMMYFUNCTION("""COMPUTED_VALUE"""),"Strategic partner")</f>
        <v>Strategic partner</v>
      </c>
    </row>
    <row r="560">
      <c r="A560" s="3" t="str">
        <f>IFERROR(__xludf.DUMMYFUNCTION("""COMPUTED_VALUE"""),"Agência Sueca de Cooperação para o Desenvolvimento Internacional (Sida)")</f>
        <v>Agência Sueca de Cooperação para o Desenvolvimento Internacional (Sida)</v>
      </c>
      <c r="B560" s="3" t="str">
        <f>IFERROR(__xludf.DUMMYFUNCTION("""COMPUTED_VALUE"""),"Funder")</f>
        <v>Funder</v>
      </c>
    </row>
    <row r="561">
      <c r="A561" s="3" t="str">
        <f>IFERROR(__xludf.DUMMYFUNCTION("""COMPUTED_VALUE"""),"Agência Sueca de Cooperação para o Desenvolvimento Internacional (Sida)")</f>
        <v>Agência Sueca de Cooperação para o Desenvolvimento Internacional (Sida)</v>
      </c>
      <c r="B561" s="3" t="str">
        <f>IFERROR(__xludf.DUMMYFUNCTION("""COMPUTED_VALUE"""),"Strategic partner")</f>
        <v>Strategic partner</v>
      </c>
    </row>
    <row r="562">
      <c r="A562" s="3" t="str">
        <f>IFERROR(__xludf.DUMMYFUNCTION("""COMPUTED_VALUE"""),"Agência Dinamarquesa para o Desenvolvimento Internacional (DANIDA)")</f>
        <v>Agência Dinamarquesa para o Desenvolvimento Internacional (DANIDA)</v>
      </c>
      <c r="B562" s="3" t="str">
        <f>IFERROR(__xludf.DUMMYFUNCTION("""COMPUTED_VALUE"""),"Funder")</f>
        <v>Funder</v>
      </c>
    </row>
    <row r="563">
      <c r="A563" s="3" t="str">
        <f>IFERROR(__xludf.DUMMYFUNCTION("""COMPUTED_VALUE"""),"Agência Dinamarquesa para o Desenvolvimento Internacional (DANIDA)")</f>
        <v>Agência Dinamarquesa para o Desenvolvimento Internacional (DANIDA)</v>
      </c>
      <c r="B563" s="3" t="str">
        <f>IFERROR(__xludf.DUMMYFUNCTION("""COMPUTED_VALUE"""),"Strategic partner")</f>
        <v>Strategic partner</v>
      </c>
    </row>
    <row r="564">
      <c r="A564" s="3" t="str">
        <f>IFERROR(__xludf.DUMMYFUNCTION("""COMPUTED_VALUE"""),"Agência Norueguesa de Cooperação para o Desenvolvimento (Norad)")</f>
        <v>Agência Norueguesa de Cooperação para o Desenvolvimento (Norad)</v>
      </c>
      <c r="B564" s="3" t="str">
        <f>IFERROR(__xludf.DUMMYFUNCTION("""COMPUTED_VALUE"""),"Funder")</f>
        <v>Funder</v>
      </c>
    </row>
    <row r="565">
      <c r="A565" s="3" t="str">
        <f>IFERROR(__xludf.DUMMYFUNCTION("""COMPUTED_VALUE"""),"Agência Norueguesa de Cooperação para o Desenvolvimento (Norad)")</f>
        <v>Agência Norueguesa de Cooperação para o Desenvolvimento (Norad)</v>
      </c>
      <c r="B565" s="3" t="str">
        <f>IFERROR(__xludf.DUMMYFUNCTION("""COMPUTED_VALUE"""),"Strategic partner")</f>
        <v>Strategic partner</v>
      </c>
    </row>
    <row r="566">
      <c r="A566" s="3" t="str">
        <f>IFERROR(__xludf.DUMMYFUNCTION("""COMPUTED_VALUE"""),"Iniciativa Internacional de Clima e Florestas da Noruega (NICFI)")</f>
        <v>Iniciativa Internacional de Clima e Florestas da Noruega (NICFI)</v>
      </c>
      <c r="B566" s="3" t="str">
        <f>IFERROR(__xludf.DUMMYFUNCTION("""COMPUTED_VALUE"""),"Funder")</f>
        <v>Funder</v>
      </c>
    </row>
    <row r="567">
      <c r="A567" s="3" t="str">
        <f>IFERROR(__xludf.DUMMYFUNCTION("""COMPUTED_VALUE"""),"Iniciativa Internacional de Clima e Florestas da Noruega (NICFI)")</f>
        <v>Iniciativa Internacional de Clima e Florestas da Noruega (NICFI)</v>
      </c>
      <c r="B567" s="3" t="str">
        <f>IFERROR(__xludf.DUMMYFUNCTION("""COMPUTED_VALUE"""),"Strategic partner")</f>
        <v>Strategic partner</v>
      </c>
    </row>
    <row r="568">
      <c r="A568" s="3" t="str">
        <f>IFERROR(__xludf.DUMMYFUNCTION("""COMPUTED_VALUE"""),"Ministério das Relações Exteriores, Commonwealth e Desenvolvimento do Reino Unido (FCDO)")</f>
        <v>Ministério das Relações Exteriores, Commonwealth e Desenvolvimento do Reino Unido (FCDO)</v>
      </c>
      <c r="B568" s="3" t="str">
        <f>IFERROR(__xludf.DUMMYFUNCTION("""COMPUTED_VALUE"""),"Funder")</f>
        <v>Funder</v>
      </c>
    </row>
    <row r="569">
      <c r="A569" s="3" t="str">
        <f>IFERROR(__xludf.DUMMYFUNCTION("""COMPUTED_VALUE"""),"Ministério das Relações Exteriores, Commonwealth e Desenvolvimento do Reino Unido (FCDO)")</f>
        <v>Ministério das Relações Exteriores, Commonwealth e Desenvolvimento do Reino Unido (FCDO)</v>
      </c>
      <c r="B569" s="3" t="str">
        <f>IFERROR(__xludf.DUMMYFUNCTION("""COMPUTED_VALUE"""),"Strategic partner")</f>
        <v>Strategic partner</v>
      </c>
    </row>
    <row r="570">
      <c r="A570" s="3" t="str">
        <f>IFERROR(__xludf.DUMMYFUNCTION("""COMPUTED_VALUE"""),"UK PACT")</f>
        <v>UK PACT</v>
      </c>
      <c r="B570" s="3" t="str">
        <f>IFERROR(__xludf.DUMMYFUNCTION("""COMPUTED_VALUE"""),"Funder")</f>
        <v>Funder</v>
      </c>
    </row>
    <row r="571">
      <c r="A571" s="3" t="str">
        <f>IFERROR(__xludf.DUMMYFUNCTION("""COMPUTED_VALUE"""),"UK PACT")</f>
        <v>UK PACT</v>
      </c>
      <c r="B571" s="3" t="str">
        <f>IFERROR(__xludf.DUMMYFUNCTION("""COMPUTED_VALUE"""),"Technical assistance / research")</f>
        <v>Technical assistance / research</v>
      </c>
    </row>
    <row r="572">
      <c r="A572" s="3" t="str">
        <f>IFERROR(__xludf.DUMMYFUNCTION("""COMPUTED_VALUE"""),"Delegação da União Europeia no Brasil (UE)")</f>
        <v>Delegação da União Europeia no Brasil (UE)</v>
      </c>
      <c r="B572" s="3" t="str">
        <f>IFERROR(__xludf.DUMMYFUNCTION("""COMPUTED_VALUE"""),"Policy influence / regulation")</f>
        <v>Policy influence / regulation</v>
      </c>
    </row>
    <row r="573">
      <c r="A573" s="3" t="str">
        <f>IFERROR(__xludf.DUMMYFUNCTION("""COMPUTED_VALUE"""),"Delegação da União Europeia no Brasil (UE)")</f>
        <v>Delegação da União Europeia no Brasil (UE)</v>
      </c>
      <c r="B573" s="3" t="str">
        <f>IFERROR(__xludf.DUMMYFUNCTION("""COMPUTED_VALUE"""),"Funder")</f>
        <v>Funder</v>
      </c>
    </row>
    <row r="574">
      <c r="A574" s="3" t="str">
        <f>IFERROR(__xludf.DUMMYFUNCTION("""COMPUTED_VALUE"""),"Delegação da União Europeia no Brasil (UE)")</f>
        <v>Delegação da União Europeia no Brasil (UE)</v>
      </c>
      <c r="B574" s="3" t="str">
        <f>IFERROR(__xludf.DUMMYFUNCTION("""COMPUTED_VALUE"""),"Strategic partner")</f>
        <v>Strategic partner</v>
      </c>
    </row>
    <row r="575">
      <c r="A575" s="3" t="str">
        <f>IFERROR(__xludf.DUMMYFUNCTION("""COMPUTED_VALUE"""),"Banco Europeu de Investimento (BEI)")</f>
        <v>Banco Europeu de Investimento (BEI)</v>
      </c>
      <c r="B575" s="3" t="str">
        <f>IFERROR(__xludf.DUMMYFUNCTION("""COMPUTED_VALUE"""),"Capital provider / Financial intermediary")</f>
        <v>Capital provider / Financial intermediary</v>
      </c>
    </row>
    <row r="576">
      <c r="A576" s="3" t="str">
        <f>IFERROR(__xludf.DUMMYFUNCTION("""COMPUTED_VALUE"""),"Banco Europeu de Investimento (BEI)")</f>
        <v>Banco Europeu de Investimento (BEI)</v>
      </c>
      <c r="B576" s="3" t="str">
        <f>IFERROR(__xludf.DUMMYFUNCTION("""COMPUTED_VALUE"""),"Strategic partner")</f>
        <v>Strategic partner</v>
      </c>
    </row>
    <row r="577">
      <c r="A577" s="3" t="str">
        <f>IFERROR(__xludf.DUMMYFUNCTION("""COMPUTED_VALUE"""),"Lux-Development (LuxDev)")</f>
        <v>Lux-Development (LuxDev)</v>
      </c>
      <c r="B577" s="3" t="str">
        <f>IFERROR(__xludf.DUMMYFUNCTION("""COMPUTED_VALUE"""),"Project developer / Implementer")</f>
        <v>Project developer / Implementer</v>
      </c>
    </row>
    <row r="578">
      <c r="A578" s="3" t="str">
        <f>IFERROR(__xludf.DUMMYFUNCTION("""COMPUTED_VALUE"""),"Irish Aid (Irish Aid)")</f>
        <v>Irish Aid (Irish Aid)</v>
      </c>
      <c r="B578" s="3" t="str">
        <f>IFERROR(__xludf.DUMMYFUNCTION("""COMPUTED_VALUE"""),"Funder")</f>
        <v>Funder</v>
      </c>
    </row>
    <row r="579">
      <c r="A579" s="3" t="str">
        <f>IFERROR(__xludf.DUMMYFUNCTION("""COMPUTED_VALUE"""),"Agência Austríaca de Desenvolvimento (ADA)")</f>
        <v>Agência Austríaca de Desenvolvimento (ADA)</v>
      </c>
      <c r="B579" s="3" t="str">
        <f>IFERROR(__xludf.DUMMYFUNCTION("""COMPUTED_VALUE"""),"Funder")</f>
        <v>Funder</v>
      </c>
    </row>
    <row r="580">
      <c r="A580" s="3" t="str">
        <f>IFERROR(__xludf.DUMMYFUNCTION("""COMPUTED_VALUE"""),"Camões – Instituto da Cooperação e da Língua (Camões, I.P.)")</f>
        <v>Camões – Instituto da Cooperação e da Língua (Camões, I.P.)</v>
      </c>
      <c r="B580" s="3" t="str">
        <f>IFERROR(__xludf.DUMMYFUNCTION("""COMPUTED_VALUE"""),"Funder")</f>
        <v>Funder</v>
      </c>
    </row>
    <row r="581">
      <c r="A581" s="3" t="str">
        <f>IFERROR(__xludf.DUMMYFUNCTION("""COMPUTED_VALUE"""),"Camões – Instituto da Cooperação e da Língua (Camões, I.P.)")</f>
        <v>Camões – Instituto da Cooperação e da Língua (Camões, I.P.)</v>
      </c>
      <c r="B581" s="3" t="str">
        <f>IFERROR(__xludf.DUMMYFUNCTION("""COMPUTED_VALUE"""),"Strategic partner")</f>
        <v>Strategic partner</v>
      </c>
    </row>
    <row r="582">
      <c r="A582" s="3" t="str">
        <f>IFERROR(__xludf.DUMMYFUNCTION("""COMPUTED_VALUE"""),"Misereor (Misereor)")</f>
        <v>Misereor (Misereor)</v>
      </c>
      <c r="B582" s="3" t="str">
        <f>IFERROR(__xludf.DUMMYFUNCTION("""COMPUTED_VALUE"""),"Funder")</f>
        <v>Funder</v>
      </c>
    </row>
    <row r="583">
      <c r="A583" s="3" t="str">
        <f>IFERROR(__xludf.DUMMYFUNCTION("""COMPUTED_VALUE"""),"Misereor (Misereor)")</f>
        <v>Misereor (Misereor)</v>
      </c>
      <c r="B583" s="3" t="str">
        <f>IFERROR(__xludf.DUMMYFUNCTION("""COMPUTED_VALUE"""),"Strategic partner")</f>
        <v>Strategic partner</v>
      </c>
    </row>
    <row r="584">
      <c r="A584" s="3" t="str">
        <f>IFERROR(__xludf.DUMMYFUNCTION("""COMPUTED_VALUE"""),"Trias (Trias vzw)")</f>
        <v>Trias (Trias vzw)</v>
      </c>
      <c r="B584" s="3" t="str">
        <f>IFERROR(__xludf.DUMMYFUNCTION("""COMPUTED_VALUE"""),"Project developer / Implementer")</f>
        <v>Project developer / Implementer</v>
      </c>
    </row>
    <row r="585">
      <c r="A585" s="3" t="str">
        <f>IFERROR(__xludf.DUMMYFUNCTION("""COMPUTED_VALUE"""),"Trias (Trias vzw)")</f>
        <v>Trias (Trias vzw)</v>
      </c>
      <c r="B585" s="3" t="str">
        <f>IFERROR(__xludf.DUMMYFUNCTION("""COMPUTED_VALUE"""),"Implementation capacity (delivery)")</f>
        <v>Implementation capacity (delivery)</v>
      </c>
    </row>
    <row r="586">
      <c r="A586" s="3" t="str">
        <f>IFERROR(__xludf.DUMMYFUNCTION("""COMPUTED_VALUE"""),"Brot für die Welt (Brot für die Welt)")</f>
        <v>Brot für die Welt (Brot für die Welt)</v>
      </c>
      <c r="B586" s="3" t="str">
        <f>IFERROR(__xludf.DUMMYFUNCTION("""COMPUTED_VALUE"""),"Funder")</f>
        <v>Funder</v>
      </c>
    </row>
    <row r="587">
      <c r="A587" s="3" t="str">
        <f>IFERROR(__xludf.DUMMYFUNCTION("""COMPUTED_VALUE"""),"Brot für die Welt (Brot für die Welt)")</f>
        <v>Brot für die Welt (Brot für die Welt)</v>
      </c>
      <c r="B587" s="3" t="str">
        <f>IFERROR(__xludf.DUMMYFUNCTION("""COMPUTED_VALUE"""),"Strategic partner")</f>
        <v>Strategic partner</v>
      </c>
    </row>
    <row r="588">
      <c r="A588" s="3" t="str">
        <f>IFERROR(__xludf.DUMMYFUNCTION("""COMPUTED_VALUE"""),"Catholic Agency for Overseas Development (CAFOD)")</f>
        <v>Catholic Agency for Overseas Development (CAFOD)</v>
      </c>
      <c r="B588" s="3" t="str">
        <f>IFERROR(__xludf.DUMMYFUNCTION("""COMPUTED_VALUE"""),"Funder")</f>
        <v>Funder</v>
      </c>
    </row>
    <row r="589">
      <c r="A589" s="3" t="str">
        <f>IFERROR(__xludf.DUMMYFUNCTION("""COMPUTED_VALUE"""),"Catholic Agency for Overseas Development (CAFOD)")</f>
        <v>Catholic Agency for Overseas Development (CAFOD)</v>
      </c>
      <c r="B589" s="3" t="str">
        <f>IFERROR(__xludf.DUMMYFUNCTION("""COMPUTED_VALUE"""),"Strategic partner")</f>
        <v>Strategic partner</v>
      </c>
    </row>
    <row r="590">
      <c r="A590" s="3" t="str">
        <f>IFERROR(__xludf.DUMMYFUNCTION("""COMPUTED_VALUE"""),"Fundação Heinrich Böll (Heinrich Böll Stiftung)")</f>
        <v>Fundação Heinrich Böll (Heinrich Böll Stiftung)</v>
      </c>
      <c r="B590" s="3" t="str">
        <f>IFERROR(__xludf.DUMMYFUNCTION("""COMPUTED_VALUE"""),"Funder")</f>
        <v>Funder</v>
      </c>
    </row>
    <row r="591">
      <c r="A591" s="3" t="str">
        <f>IFERROR(__xludf.DUMMYFUNCTION("""COMPUTED_VALUE"""),"Fundação Heinrich Böll (Heinrich Böll Stiftung)")</f>
        <v>Fundação Heinrich Böll (Heinrich Böll Stiftung)</v>
      </c>
      <c r="B591" s="3" t="str">
        <f>IFERROR(__xludf.DUMMYFUNCTION("""COMPUTED_VALUE"""),"Technical assistance / research")</f>
        <v>Technical assistance / research</v>
      </c>
    </row>
    <row r="592">
      <c r="A592" s="3" t="str">
        <f>IFERROR(__xludf.DUMMYFUNCTION("""COMPUTED_VALUE"""),"Fundação Heinrich Böll (Heinrich Böll Stiftung)")</f>
        <v>Fundação Heinrich Böll (Heinrich Böll Stiftung)</v>
      </c>
      <c r="B592" s="3" t="str">
        <f>IFERROR(__xludf.DUMMYFUNCTION("""COMPUTED_VALUE"""),"Policy influence / regulation")</f>
        <v>Policy influence / regulation</v>
      </c>
    </row>
    <row r="593">
      <c r="A593" s="3" t="str">
        <f>IFERROR(__xludf.DUMMYFUNCTION("""COMPUTED_VALUE"""),"Fundação Friedrich Ebert (Friedrich-Ebert-Stiftung)")</f>
        <v>Fundação Friedrich Ebert (Friedrich-Ebert-Stiftung)</v>
      </c>
      <c r="B593" s="3" t="str">
        <f>IFERROR(__xludf.DUMMYFUNCTION("""COMPUTED_VALUE"""),"Funder")</f>
        <v>Funder</v>
      </c>
    </row>
    <row r="594">
      <c r="A594" s="3" t="str">
        <f>IFERROR(__xludf.DUMMYFUNCTION("""COMPUTED_VALUE"""),"Fundação Friedrich Ebert (Friedrich-Ebert-Stiftung)")</f>
        <v>Fundação Friedrich Ebert (Friedrich-Ebert-Stiftung)</v>
      </c>
      <c r="B594" s="3" t="str">
        <f>IFERROR(__xludf.DUMMYFUNCTION("""COMPUTED_VALUE"""),"Technical assistance / research")</f>
        <v>Technical assistance / research</v>
      </c>
    </row>
    <row r="595">
      <c r="A595" s="3" t="str">
        <f>IFERROR(__xludf.DUMMYFUNCTION("""COMPUTED_VALUE"""),"Fundação Friedrich Ebert (Friedrich-Ebert-Stiftung)")</f>
        <v>Fundação Friedrich Ebert (Friedrich-Ebert-Stiftung)</v>
      </c>
      <c r="B595" s="3" t="str">
        <f>IFERROR(__xludf.DUMMYFUNCTION("""COMPUTED_VALUE"""),"Policy influence / regulation")</f>
        <v>Policy influence / regulation</v>
      </c>
    </row>
    <row r="596">
      <c r="A596" s="3" t="str">
        <f>IFERROR(__xludf.DUMMYFUNCTION("""COMPUTED_VALUE"""),"Fundação Konrad Adenauer (Konrad-Adenauer-Stiftung)")</f>
        <v>Fundação Konrad Adenauer (Konrad-Adenauer-Stiftung)</v>
      </c>
      <c r="B596" s="3" t="str">
        <f>IFERROR(__xludf.DUMMYFUNCTION("""COMPUTED_VALUE"""),"Funder")</f>
        <v>Funder</v>
      </c>
    </row>
    <row r="597">
      <c r="A597" s="3" t="str">
        <f>IFERROR(__xludf.DUMMYFUNCTION("""COMPUTED_VALUE"""),"Fundação Konrad Adenauer (Konrad-Adenauer-Stiftung)")</f>
        <v>Fundação Konrad Adenauer (Konrad-Adenauer-Stiftung)</v>
      </c>
      <c r="B597" s="3" t="str">
        <f>IFERROR(__xludf.DUMMYFUNCTION("""COMPUTED_VALUE"""),"Technical assistance / research")</f>
        <v>Technical assistance / research</v>
      </c>
    </row>
    <row r="598">
      <c r="A598" s="3" t="str">
        <f>IFERROR(__xludf.DUMMYFUNCTION("""COMPUTED_VALUE"""),"Fundação Konrad Adenauer (Konrad-Adenauer-Stiftung)")</f>
        <v>Fundação Konrad Adenauer (Konrad-Adenauer-Stiftung)</v>
      </c>
      <c r="B598" s="3" t="str">
        <f>IFERROR(__xludf.DUMMYFUNCTION("""COMPUTED_VALUE"""),"Policy influence / regulation")</f>
        <v>Policy influence / regulation</v>
      </c>
    </row>
    <row r="599">
      <c r="A599" s="3" t="str">
        <f>IFERROR(__xludf.DUMMYFUNCTION("""COMPUTED_VALUE"""),"Fundação Rosa Luxemburgo (Rosa-Luxemburg-Stiftung)")</f>
        <v>Fundação Rosa Luxemburgo (Rosa-Luxemburg-Stiftung)</v>
      </c>
      <c r="B599" s="3" t="str">
        <f>IFERROR(__xludf.DUMMYFUNCTION("""COMPUTED_VALUE"""),"Funder")</f>
        <v>Funder</v>
      </c>
    </row>
    <row r="600">
      <c r="A600" s="3" t="str">
        <f>IFERROR(__xludf.DUMMYFUNCTION("""COMPUTED_VALUE"""),"Fundação Rosa Luxemburgo (Rosa-Luxemburg-Stiftung)")</f>
        <v>Fundação Rosa Luxemburgo (Rosa-Luxemburg-Stiftung)</v>
      </c>
      <c r="B600" s="3" t="str">
        <f>IFERROR(__xludf.DUMMYFUNCTION("""COMPUTED_VALUE"""),"Technical assistance / research")</f>
        <v>Technical assistance / research</v>
      </c>
    </row>
    <row r="601">
      <c r="A601" s="3" t="str">
        <f>IFERROR(__xludf.DUMMYFUNCTION("""COMPUTED_VALUE"""),"Fundação Rosa Luxemburgo (Rosa-Luxemburg-Stiftung)")</f>
        <v>Fundação Rosa Luxemburgo (Rosa-Luxemburg-Stiftung)</v>
      </c>
      <c r="B601" s="3" t="str">
        <f>IFERROR(__xludf.DUMMYFUNCTION("""COMPUTED_VALUE"""),"Policy influence / regulation")</f>
        <v>Policy influence / regulation</v>
      </c>
    </row>
    <row r="602">
      <c r="A602" s="3" t="str">
        <f>IFERROR(__xludf.DUMMYFUNCTION("""COMPUTED_VALUE"""),"Plan International Brasil (Plan International)")</f>
        <v>Plan International Brasil (Plan International)</v>
      </c>
      <c r="B602" s="3" t="str">
        <f>IFERROR(__xludf.DUMMYFUNCTION("""COMPUTED_VALUE"""),"Project developer / Implementer")</f>
        <v>Project developer / Implementer</v>
      </c>
    </row>
    <row r="603">
      <c r="A603" s="3" t="str">
        <f>IFERROR(__xludf.DUMMYFUNCTION("""COMPUTED_VALUE"""),"Plan International Brasil (Plan International)")</f>
        <v>Plan International Brasil (Plan International)</v>
      </c>
      <c r="B603" s="3" t="str">
        <f>IFERROR(__xludf.DUMMYFUNCTION("""COMPUTED_VALUE"""),"Implementation capacity (delivery)")</f>
        <v>Implementation capacity (delivery)</v>
      </c>
    </row>
    <row r="604">
      <c r="A604" s="3" t="str">
        <f>IFERROR(__xludf.DUMMYFUNCTION("""COMPUTED_VALUE"""),"Save the Children Brasil (Save the Children)")</f>
        <v>Save the Children Brasil (Save the Children)</v>
      </c>
      <c r="B604" s="3" t="str">
        <f>IFERROR(__xludf.DUMMYFUNCTION("""COMPUTED_VALUE"""),"Project developer / Implementer")</f>
        <v>Project developer / Implementer</v>
      </c>
    </row>
    <row r="605">
      <c r="A605" s="3" t="str">
        <f>IFERROR(__xludf.DUMMYFUNCTION("""COMPUTED_VALUE"""),"Save the Children Brasil (Save the Children)")</f>
        <v>Save the Children Brasil (Save the Children)</v>
      </c>
      <c r="B605" s="3" t="str">
        <f>IFERROR(__xludf.DUMMYFUNCTION("""COMPUTED_VALUE"""),"Implementation capacity (delivery)")</f>
        <v>Implementation capacity (delivery)</v>
      </c>
    </row>
    <row r="606">
      <c r="A606" s="3" t="str">
        <f>IFERROR(__xludf.DUMMYFUNCTION("""COMPUTED_VALUE"""),"Visão Mundial (Visão Mundial)")</f>
        <v>Visão Mundial (Visão Mundial)</v>
      </c>
      <c r="B606" s="3" t="str">
        <f>IFERROR(__xludf.DUMMYFUNCTION("""COMPUTED_VALUE"""),"Project developer / Implementer")</f>
        <v>Project developer / Implementer</v>
      </c>
    </row>
    <row r="607">
      <c r="A607" s="3" t="str">
        <f>IFERROR(__xludf.DUMMYFUNCTION("""COMPUTED_VALUE"""),"Visão Mundial (Visão Mundial)")</f>
        <v>Visão Mundial (Visão Mundial)</v>
      </c>
      <c r="B607" s="3" t="str">
        <f>IFERROR(__xludf.DUMMYFUNCTION("""COMPUTED_VALUE"""),"Implementation capacity (delivery)")</f>
        <v>Implementation capacity (delivery)</v>
      </c>
    </row>
    <row r="608">
      <c r="A608" s="3" t="str">
        <f>IFERROR(__xludf.DUMMYFUNCTION("""COMPUTED_VALUE"""),"Movimento dos Trabalhadores Rurais Sem Terra (MST)")</f>
        <v>Movimento dos Trabalhadores Rurais Sem Terra (MST)</v>
      </c>
      <c r="B608" s="3" t="str">
        <f>IFERROR(__xludf.DUMMYFUNCTION("""COMPUTED_VALUE"""),"Community legitimacy / proximate leadership")</f>
        <v>Community legitimacy / proximate leadership</v>
      </c>
    </row>
    <row r="609">
      <c r="A609" s="3" t="str">
        <f>IFERROR(__xludf.DUMMYFUNCTION("""COMPUTED_VALUE"""),"Movimento dos Trabalhadores Rurais Sem Terra (MST)")</f>
        <v>Movimento dos Trabalhadores Rurais Sem Terra (MST)</v>
      </c>
      <c r="B609" s="3" t="str">
        <f>IFERROR(__xludf.DUMMYFUNCTION("""COMPUTED_VALUE"""),"Implementation capacity (delivery)")</f>
        <v>Implementation capacity (delivery)</v>
      </c>
    </row>
    <row r="610">
      <c r="A610" s="3" t="str">
        <f>IFERROR(__xludf.DUMMYFUNCTION("""COMPUTED_VALUE"""),"Movimento dos Trabalhadores Sem Teto (MTST)")</f>
        <v>Movimento dos Trabalhadores Sem Teto (MTST)</v>
      </c>
      <c r="B610" s="3" t="str">
        <f>IFERROR(__xludf.DUMMYFUNCTION("""COMPUTED_VALUE"""),"Community legitimacy / proximate leadership")</f>
        <v>Community legitimacy / proximate leadership</v>
      </c>
    </row>
    <row r="611">
      <c r="A611" s="3" t="str">
        <f>IFERROR(__xludf.DUMMYFUNCTION("""COMPUTED_VALUE"""),"Movimento dos Trabalhadores Sem Teto (MTST)")</f>
        <v>Movimento dos Trabalhadores Sem Teto (MTST)</v>
      </c>
      <c r="B611" s="3" t="str">
        <f>IFERROR(__xludf.DUMMYFUNCTION("""COMPUTED_VALUE"""),"Policy influence / regulation")</f>
        <v>Policy influence / regulation</v>
      </c>
    </row>
    <row r="612">
      <c r="A612" s="3" t="str">
        <f>IFERROR(__xludf.DUMMYFUNCTION("""COMPUTED_VALUE"""),"Movimento dos Atingidos por Barragens (MAB)")</f>
        <v>Movimento dos Atingidos por Barragens (MAB)</v>
      </c>
      <c r="B612" s="3" t="str">
        <f>IFERROR(__xludf.DUMMYFUNCTION("""COMPUTED_VALUE"""),"Community legitimacy / proximate leadership")</f>
        <v>Community legitimacy / proximate leadership</v>
      </c>
    </row>
    <row r="613">
      <c r="A613" s="3" t="str">
        <f>IFERROR(__xludf.DUMMYFUNCTION("""COMPUTED_VALUE"""),"Movimento dos Atingidos por Barragens (MAB)")</f>
        <v>Movimento dos Atingidos por Barragens (MAB)</v>
      </c>
      <c r="B613" s="3" t="str">
        <f>IFERROR(__xludf.DUMMYFUNCTION("""COMPUTED_VALUE"""),"Policy influence / regulation")</f>
        <v>Policy influence / regulation</v>
      </c>
    </row>
    <row r="614">
      <c r="A614" s="3" t="str">
        <f>IFERROR(__xludf.DUMMYFUNCTION("""COMPUTED_VALUE"""),"Movimento dos Pequenos Agricultores (MPA)")</f>
        <v>Movimento dos Pequenos Agricultores (MPA)</v>
      </c>
      <c r="B614" s="3" t="str">
        <f>IFERROR(__xludf.DUMMYFUNCTION("""COMPUTED_VALUE"""),"Community legitimacy / proximate leadership")</f>
        <v>Community legitimacy / proximate leadership</v>
      </c>
    </row>
    <row r="615">
      <c r="A615" s="3" t="str">
        <f>IFERROR(__xludf.DUMMYFUNCTION("""COMPUTED_VALUE"""),"Movimento dos Pequenos Agricultores (MPA)")</f>
        <v>Movimento dos Pequenos Agricultores (MPA)</v>
      </c>
      <c r="B615" s="3" t="str">
        <f>IFERROR(__xludf.DUMMYFUNCTION("""COMPUTED_VALUE"""),"Implementation capacity (delivery)")</f>
        <v>Implementation capacity (delivery)</v>
      </c>
    </row>
    <row r="616">
      <c r="A616" s="3" t="str">
        <f>IFERROR(__xludf.DUMMYFUNCTION("""COMPUTED_VALUE"""),"Movimento pela Soberania Popular na Mineração (MAM)")</f>
        <v>Movimento pela Soberania Popular na Mineração (MAM)</v>
      </c>
      <c r="B616" s="3" t="str">
        <f>IFERROR(__xludf.DUMMYFUNCTION("""COMPUTED_VALUE"""),"Community legitimacy / proximate leadership")</f>
        <v>Community legitimacy / proximate leadership</v>
      </c>
    </row>
    <row r="617">
      <c r="A617" s="3" t="str">
        <f>IFERROR(__xludf.DUMMYFUNCTION("""COMPUTED_VALUE"""),"Movimento pela Soberania Popular na Mineração (MAM)")</f>
        <v>Movimento pela Soberania Popular na Mineração (MAM)</v>
      </c>
      <c r="B617" s="3" t="str">
        <f>IFERROR(__xludf.DUMMYFUNCTION("""COMPUTED_VALUE"""),"Policy influence / regulation")</f>
        <v>Policy influence / regulation</v>
      </c>
    </row>
    <row r="618">
      <c r="A618" s="3" t="str">
        <f>IFERROR(__xludf.DUMMYFUNCTION("""COMPUTED_VALUE"""),"Confederação Nacional dos Trabalhadores Rurais Agricultores e Agricultoras Familiares (CONTAG)")</f>
        <v>Confederação Nacional dos Trabalhadores Rurais Agricultores e Agricultoras Familiares (CONTAG)</v>
      </c>
      <c r="B618" s="3" t="str">
        <f>IFERROR(__xludf.DUMMYFUNCTION("""COMPUTED_VALUE"""),"Community legitimacy / proximate leadership")</f>
        <v>Community legitimacy / proximate leadership</v>
      </c>
    </row>
    <row r="619">
      <c r="A619" s="3" t="str">
        <f>IFERROR(__xludf.DUMMYFUNCTION("""COMPUTED_VALUE"""),"Confederação Nacional dos Trabalhadores Rurais Agricultores e Agricultoras Familiares (CONTAG)")</f>
        <v>Confederação Nacional dos Trabalhadores Rurais Agricultores e Agricultoras Familiares (CONTAG)</v>
      </c>
      <c r="B619" s="3" t="str">
        <f>IFERROR(__xludf.DUMMYFUNCTION("""COMPUTED_VALUE"""),"Convenor/enablers")</f>
        <v>Convenor/enablers</v>
      </c>
    </row>
    <row r="620">
      <c r="A620" s="3" t="str">
        <f>IFERROR(__xludf.DUMMYFUNCTION("""COMPUTED_VALUE"""),"Coordenação Nacional de Articulação das Comunidades Negras Rurais Quilombolas (CONAQ)")</f>
        <v>Coordenação Nacional de Articulação das Comunidades Negras Rurais Quilombolas (CONAQ)</v>
      </c>
      <c r="B620" s="3" t="str">
        <f>IFERROR(__xludf.DUMMYFUNCTION("""COMPUTED_VALUE"""),"Community legitimacy / proximate leadership")</f>
        <v>Community legitimacy / proximate leadership</v>
      </c>
    </row>
    <row r="621">
      <c r="A621" s="3" t="str">
        <f>IFERROR(__xludf.DUMMYFUNCTION("""COMPUTED_VALUE"""),"Coordenação Nacional de Articulação das Comunidades Negras Rurais Quilombolas (CONAQ)")</f>
        <v>Coordenação Nacional de Articulação das Comunidades Negras Rurais Quilombolas (CONAQ)</v>
      </c>
      <c r="B621" s="3" t="str">
        <f>IFERROR(__xludf.DUMMYFUNCTION("""COMPUTED_VALUE"""),"Policy influence / regulation")</f>
        <v>Policy influence / regulation</v>
      </c>
    </row>
    <row r="622">
      <c r="A622" s="3" t="str">
        <f>IFERROR(__xludf.DUMMYFUNCTION("""COMPUTED_VALUE"""),"Movimento Negro Unificado (MNU)")</f>
        <v>Movimento Negro Unificado (MNU)</v>
      </c>
      <c r="B622" s="3" t="str">
        <f>IFERROR(__xludf.DUMMYFUNCTION("""COMPUTED_VALUE"""),"Community legitimacy / proximate leadership")</f>
        <v>Community legitimacy / proximate leadership</v>
      </c>
    </row>
    <row r="623">
      <c r="A623" s="3" t="str">
        <f>IFERROR(__xludf.DUMMYFUNCTION("""COMPUTED_VALUE"""),"Movimento Negro Unificado (MNU)")</f>
        <v>Movimento Negro Unificado (MNU)</v>
      </c>
      <c r="B623" s="3" t="str">
        <f>IFERROR(__xludf.DUMMYFUNCTION("""COMPUTED_VALUE"""),"Policy influence / regulation")</f>
        <v>Policy influence / regulation</v>
      </c>
    </row>
    <row r="624">
      <c r="A624" s="3" t="str">
        <f>IFERROR(__xludf.DUMMYFUNCTION("""COMPUTED_VALUE"""),"Movimento de Mulheres Camponesas (MMC)")</f>
        <v>Movimento de Mulheres Camponesas (MMC)</v>
      </c>
      <c r="B624" s="3" t="str">
        <f>IFERROR(__xludf.DUMMYFUNCTION("""COMPUTED_VALUE"""),"Community legitimacy / proximate leadership")</f>
        <v>Community legitimacy / proximate leadership</v>
      </c>
    </row>
    <row r="625">
      <c r="A625" s="3" t="str">
        <f>IFERROR(__xludf.DUMMYFUNCTION("""COMPUTED_VALUE"""),"Movimento Interestadual das Quebradeiras de Coco Babaçu (MIQCB)")</f>
        <v>Movimento Interestadual das Quebradeiras de Coco Babaçu (MIQCB)</v>
      </c>
      <c r="B625" s="3" t="str">
        <f>IFERROR(__xludf.DUMMYFUNCTION("""COMPUTED_VALUE"""),"Community legitimacy / proximate leadership")</f>
        <v>Community legitimacy / proximate leadership</v>
      </c>
    </row>
    <row r="626">
      <c r="A626" s="3" t="str">
        <f>IFERROR(__xludf.DUMMYFUNCTION("""COMPUTED_VALUE"""),"Movimento Interestadual das Quebradeiras de Coco Babaçu (MIQCB)")</f>
        <v>Movimento Interestadual das Quebradeiras de Coco Babaçu (MIQCB)</v>
      </c>
      <c r="B626" s="3" t="str">
        <f>IFERROR(__xludf.DUMMYFUNCTION("""COMPUTED_VALUE"""),"Territorial anchor")</f>
        <v>Territorial anchor</v>
      </c>
    </row>
    <row r="627">
      <c r="A627" s="3" t="str">
        <f>IFERROR(__xludf.DUMMYFUNCTION("""COMPUTED_VALUE"""),"Conselho Pastoral dos Pescadores (CPP)")</f>
        <v>Conselho Pastoral dos Pescadores (CPP)</v>
      </c>
      <c r="B627" s="3" t="str">
        <f>IFERROR(__xludf.DUMMYFUNCTION("""COMPUTED_VALUE"""),"Community legitimacy / proximate leadership")</f>
        <v>Community legitimacy / proximate leadership</v>
      </c>
    </row>
    <row r="628">
      <c r="A628" s="3" t="str">
        <f>IFERROR(__xludf.DUMMYFUNCTION("""COMPUTED_VALUE"""),"Movimento Nacional de Catadores de Materiais Recicláveis (MNCR)")</f>
        <v>Movimento Nacional de Catadores de Materiais Recicláveis (MNCR)</v>
      </c>
      <c r="B628" s="3" t="str">
        <f>IFERROR(__xludf.DUMMYFUNCTION("""COMPUTED_VALUE"""),"Community legitimacy / proximate leadership")</f>
        <v>Community legitimacy / proximate leadership</v>
      </c>
    </row>
    <row r="629">
      <c r="A629" s="3" t="str">
        <f>IFERROR(__xludf.DUMMYFUNCTION("""COMPUTED_VALUE"""),"Movimento Nacional de Catadores de Materiais Recicláveis (MNCR)")</f>
        <v>Movimento Nacional de Catadores de Materiais Recicláveis (MNCR)</v>
      </c>
      <c r="B629" s="3" t="str">
        <f>IFERROR(__xludf.DUMMYFUNCTION("""COMPUTED_VALUE"""),"Implementation capacity (delivery)")</f>
        <v>Implementation capacity (delivery)</v>
      </c>
    </row>
    <row r="630">
      <c r="A630" s="3" t="str">
        <f>IFERROR(__xludf.DUMMYFUNCTION("""COMPUTED_VALUE"""),"Central de Movimentos Populares (CMP)")</f>
        <v>Central de Movimentos Populares (CMP)</v>
      </c>
      <c r="B630" s="3" t="str">
        <f>IFERROR(__xludf.DUMMYFUNCTION("""COMPUTED_VALUE"""),"Community legitimacy / proximate leadership")</f>
        <v>Community legitimacy / proximate leadership</v>
      </c>
    </row>
    <row r="631">
      <c r="A631" s="3" t="str">
        <f>IFERROR(__xludf.DUMMYFUNCTION("""COMPUTED_VALUE"""),"Central de Movimentos Populares (CMP)")</f>
        <v>Central de Movimentos Populares (CMP)</v>
      </c>
      <c r="B631" s="3" t="str">
        <f>IFERROR(__xludf.DUMMYFUNCTION("""COMPUTED_VALUE"""),"Policy influence / regulation")</f>
        <v>Policy influence / regulation</v>
      </c>
    </row>
    <row r="632">
      <c r="A632" s="3" t="str">
        <f>IFERROR(__xludf.DUMMYFUNCTION("""COMPUTED_VALUE"""),"Articulação dos Povos Indígenas do Nordeste, Minas Gerais e Espírito Santo (APOINME)")</f>
        <v>Articulação dos Povos Indígenas do Nordeste, Minas Gerais e Espírito Santo (APOINME)</v>
      </c>
      <c r="B632" s="3" t="str">
        <f>IFERROR(__xludf.DUMMYFUNCTION("""COMPUTED_VALUE"""),"Community legitimacy / proximate leadership")</f>
        <v>Community legitimacy / proximate leadership</v>
      </c>
    </row>
    <row r="633">
      <c r="A633" s="3" t="str">
        <f>IFERROR(__xludf.DUMMYFUNCTION("""COMPUTED_VALUE"""),"Articulação dos Povos Indígenas do Nordeste, Minas Gerais e Espírito Santo (APOINME)")</f>
        <v>Articulação dos Povos Indígenas do Nordeste, Minas Gerais e Espírito Santo (APOINME)</v>
      </c>
      <c r="B633" s="3" t="str">
        <f>IFERROR(__xludf.DUMMYFUNCTION("""COMPUTED_VALUE"""),"Territorial anchor")</f>
        <v>Territorial anchor</v>
      </c>
    </row>
    <row r="634">
      <c r="A634" s="3" t="str">
        <f>IFERROR(__xludf.DUMMYFUNCTION("""COMPUTED_VALUE"""),"Federação das Organizações Indígenas do Rio Negro (FOIRN)")</f>
        <v>Federação das Organizações Indígenas do Rio Negro (FOIRN)</v>
      </c>
      <c r="B634" s="3" t="str">
        <f>IFERROR(__xludf.DUMMYFUNCTION("""COMPUTED_VALUE"""),"Community legitimacy / proximate leadership")</f>
        <v>Community legitimacy / proximate leadership</v>
      </c>
    </row>
    <row r="635">
      <c r="A635" s="3" t="str">
        <f>IFERROR(__xludf.DUMMYFUNCTION("""COMPUTED_VALUE"""),"Federação das Organizações Indígenas do Rio Negro (FOIRN)")</f>
        <v>Federação das Organizações Indígenas do Rio Negro (FOIRN)</v>
      </c>
      <c r="B635" s="3" t="str">
        <f>IFERROR(__xludf.DUMMYFUNCTION("""COMPUTED_VALUE"""),"Territorial anchor")</f>
        <v>Territorial anchor</v>
      </c>
    </row>
    <row r="636">
      <c r="A636" s="3" t="str">
        <f>IFERROR(__xludf.DUMMYFUNCTION("""COMPUTED_VALUE"""),"Conselho Indígena de Roraima (CIR)")</f>
        <v>Conselho Indígena de Roraima (CIR)</v>
      </c>
      <c r="B636" s="3" t="str">
        <f>IFERROR(__xludf.DUMMYFUNCTION("""COMPUTED_VALUE"""),"Community legitimacy / proximate leadership")</f>
        <v>Community legitimacy / proximate leadership</v>
      </c>
    </row>
    <row r="637">
      <c r="A637" s="3" t="str">
        <f>IFERROR(__xludf.DUMMYFUNCTION("""COMPUTED_VALUE"""),"Conselho Indígena de Roraima (CIR)")</f>
        <v>Conselho Indígena de Roraima (CIR)</v>
      </c>
      <c r="B637" s="3" t="str">
        <f>IFERROR(__xludf.DUMMYFUNCTION("""COMPUTED_VALUE"""),"Territorial anchor")</f>
        <v>Territorial anchor</v>
      </c>
    </row>
    <row r="638">
      <c r="A638" s="3" t="str">
        <f>IFERROR(__xludf.DUMMYFUNCTION("""COMPUTED_VALUE"""),"Hutukara Associação Yanomami (HAY)")</f>
        <v>Hutukara Associação Yanomami (HAY)</v>
      </c>
      <c r="B638" s="3" t="str">
        <f>IFERROR(__xludf.DUMMYFUNCTION("""COMPUTED_VALUE"""),"Community legitimacy / proximate leadership")</f>
        <v>Community legitimacy / proximate leadership</v>
      </c>
    </row>
    <row r="639">
      <c r="A639" s="3" t="str">
        <f>IFERROR(__xludf.DUMMYFUNCTION("""COMPUTED_VALUE"""),"Hutukara Associação Yanomami (HAY)")</f>
        <v>Hutukara Associação Yanomami (HAY)</v>
      </c>
      <c r="B639" s="3" t="str">
        <f>IFERROR(__xludf.DUMMYFUNCTION("""COMPUTED_VALUE"""),"Territorial anchor")</f>
        <v>Territorial anchor</v>
      </c>
    </row>
    <row r="640">
      <c r="A640" s="3" t="str">
        <f>IFERROR(__xludf.DUMMYFUNCTION("""COMPUTED_VALUE"""),"Movimento Xingu Vivo para Sempre")</f>
        <v>Movimento Xingu Vivo para Sempre</v>
      </c>
      <c r="B640" s="3" t="str">
        <f>IFERROR(__xludf.DUMMYFUNCTION("""COMPUTED_VALUE"""),"Community legitimacy / proximate leadership")</f>
        <v>Community legitimacy / proximate leadership</v>
      </c>
    </row>
    <row r="641">
      <c r="A641" s="3" t="str">
        <f>IFERROR(__xludf.DUMMYFUNCTION("""COMPUTED_VALUE"""),"Movimento Xingu Vivo para Sempre")</f>
        <v>Movimento Xingu Vivo para Sempre</v>
      </c>
      <c r="B641" s="3" t="str">
        <f>IFERROR(__xludf.DUMMYFUNCTION("""COMPUTED_VALUE"""),"Policy influence / regulation")</f>
        <v>Policy influence / regulation</v>
      </c>
    </row>
    <row r="642">
      <c r="A642" s="3" t="str">
        <f>IFERROR(__xludf.DUMMYFUNCTION("""COMPUTED_VALUE"""),"Rede Xingu+ (Rede Xingu+)")</f>
        <v>Rede Xingu+ (Rede Xingu+)</v>
      </c>
      <c r="B642" s="3" t="str">
        <f>IFERROR(__xludf.DUMMYFUNCTION("""COMPUTED_VALUE"""),"Convenor/enablers")</f>
        <v>Convenor/enablers</v>
      </c>
    </row>
    <row r="643">
      <c r="A643" s="3" t="str">
        <f>IFERROR(__xludf.DUMMYFUNCTION("""COMPUTED_VALUE"""),"Rede Xingu+ (Rede Xingu+)")</f>
        <v>Rede Xingu+ (Rede Xingu+)</v>
      </c>
      <c r="B643" s="3" t="str">
        <f>IFERROR(__xludf.DUMMYFUNCTION("""COMPUTED_VALUE"""),"Community legitimacy / proximate leadership")</f>
        <v>Community legitimacy / proximate leadership</v>
      </c>
    </row>
    <row r="644">
      <c r="A644" s="3" t="str">
        <f>IFERROR(__xludf.DUMMYFUNCTION("""COMPUTED_VALUE"""),"Movimento Tapajós Vivo")</f>
        <v>Movimento Tapajós Vivo</v>
      </c>
      <c r="B644" s="3" t="str">
        <f>IFERROR(__xludf.DUMMYFUNCTION("""COMPUTED_VALUE"""),"Community legitimacy / proximate leadership")</f>
        <v>Community legitimacy / proximate leadership</v>
      </c>
    </row>
    <row r="645">
      <c r="A645" s="3" t="str">
        <f>IFERROR(__xludf.DUMMYFUNCTION("""COMPUTED_VALUE"""),"Articulação Nacional de Economia Solidária (FBES)")</f>
        <v>Articulação Nacional de Economia Solidária (FBES)</v>
      </c>
      <c r="B645" s="3" t="str">
        <f>IFERROR(__xludf.DUMMYFUNCTION("""COMPUTED_VALUE"""),"Convenor/enablers")</f>
        <v>Convenor/enablers</v>
      </c>
    </row>
    <row r="646">
      <c r="A646" s="3" t="str">
        <f>IFERROR(__xludf.DUMMYFUNCTION("""COMPUTED_VALUE"""),"Articulação Nacional de Economia Solidária (FBES)")</f>
        <v>Articulação Nacional de Economia Solidária (FBES)</v>
      </c>
      <c r="B646" s="3" t="str">
        <f>IFERROR(__xludf.DUMMYFUNCTION("""COMPUTED_VALUE"""),"Implementation capacity (delivery)")</f>
        <v>Implementation capacity (delivery)</v>
      </c>
    </row>
    <row r="647">
      <c r="A647" s="3" t="str">
        <f>IFERROR(__xludf.DUMMYFUNCTION("""COMPUTED_VALUE"""),"Movimento Atingidos pelas Renováveis (MAR)")</f>
        <v>Movimento Atingidos pelas Renováveis (MAR)</v>
      </c>
      <c r="B647" s="3" t="str">
        <f>IFERROR(__xludf.DUMMYFUNCTION("""COMPUTED_VALUE"""),"Community legitimacy / proximate leadership")</f>
        <v>Community legitimacy / proximate leadership</v>
      </c>
    </row>
    <row r="648">
      <c r="A648" s="3" t="str">
        <f>IFERROR(__xludf.DUMMYFUNCTION("""COMPUTED_VALUE"""),"Movimento Atingidos pelas Renováveis (MAR)")</f>
        <v>Movimento Atingidos pelas Renováveis (MAR)</v>
      </c>
      <c r="B648" s="3" t="str">
        <f>IFERROR(__xludf.DUMMYFUNCTION("""COMPUTED_VALUE"""),"Policy influence / regulation")</f>
        <v>Policy influence / regulation</v>
      </c>
    </row>
    <row r="649">
      <c r="A649" s="3" t="str">
        <f>IFERROR(__xludf.DUMMYFUNCTION("""COMPUTED_VALUE"""),"Seridó Vivo (Seridó Vivo)")</f>
        <v>Seridó Vivo (Seridó Vivo)</v>
      </c>
      <c r="B649" s="3" t="str">
        <f>IFERROR(__xludf.DUMMYFUNCTION("""COMPUTED_VALUE"""),"Community legitimacy / proximate leadership")</f>
        <v>Community legitimacy / proximate leadership</v>
      </c>
    </row>
    <row r="650">
      <c r="A650" s="3" t="str">
        <f>IFERROR(__xludf.DUMMYFUNCTION("""COMPUTED_VALUE"""),"Seridó Vivo (Seridó Vivo)")</f>
        <v>Seridó Vivo (Seridó Vivo)</v>
      </c>
      <c r="B650" s="3" t="str">
        <f>IFERROR(__xludf.DUMMYFUNCTION("""COMPUTED_VALUE"""),"Territorial anchor")</f>
        <v>Territorial anchor</v>
      </c>
    </row>
    <row r="651">
      <c r="A651" s="3" t="str">
        <f>IFERROR(__xludf.DUMMYFUNCTION("""COMPUTED_VALUE"""),"Coalizão Energia Limpa (Coalizão Energia Limpa)")</f>
        <v>Coalizão Energia Limpa (Coalizão Energia Limpa)</v>
      </c>
      <c r="B651" s="3" t="str">
        <f>IFERROR(__xludf.DUMMYFUNCTION("""COMPUTED_VALUE"""),"Policy influence / regulation")</f>
        <v>Policy influence / regulation</v>
      </c>
    </row>
    <row r="652">
      <c r="A652" s="3" t="str">
        <f>IFERROR(__xludf.DUMMYFUNCTION("""COMPUTED_VALUE"""),"Coalizão Energia Limpa (Coalizão Energia Limpa)")</f>
        <v>Coalizão Energia Limpa (Coalizão Energia Limpa)</v>
      </c>
      <c r="B652" s="3" t="str">
        <f>IFERROR(__xludf.DUMMYFUNCTION("""COMPUTED_VALUE"""),"Convenor/enablers")</f>
        <v>Convenor/enablers</v>
      </c>
    </row>
    <row r="653">
      <c r="A653" s="3" t="str">
        <f>IFERROR(__xludf.DUMMYFUNCTION("""COMPUTED_VALUE"""),"União Nacional de Catadoras e Catadores (Unicatadores)")</f>
        <v>União Nacional de Catadoras e Catadores (Unicatadores)</v>
      </c>
      <c r="B653" s="3" t="str">
        <f>IFERROR(__xludf.DUMMYFUNCTION("""COMPUTED_VALUE"""),"Implementation capacity (delivery)")</f>
        <v>Implementation capacity (delivery)</v>
      </c>
    </row>
    <row r="654">
      <c r="A654" s="3" t="str">
        <f>IFERROR(__xludf.DUMMYFUNCTION("""COMPUTED_VALUE"""),"União Nacional de Catadoras e Catadores (Unicatadores)")</f>
        <v>União Nacional de Catadoras e Catadores (Unicatadores)</v>
      </c>
      <c r="B654" s="3" t="str">
        <f>IFERROR(__xludf.DUMMYFUNCTION("""COMPUTED_VALUE"""),"Community legitimacy / proximate leadership")</f>
        <v>Community legitimacy / proximate leadership</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
    <col customWidth="1" min="2" max="2" width="48.13"/>
    <col customWidth="1" min="3" max="3" width="117.63"/>
  </cols>
  <sheetData>
    <row r="1" ht="7.5" customHeight="1">
      <c r="A1" s="79"/>
      <c r="B1" s="79"/>
      <c r="C1" s="79"/>
      <c r="D1" s="79"/>
      <c r="E1" s="79"/>
      <c r="F1" s="79"/>
      <c r="G1" s="79"/>
      <c r="H1" s="79"/>
      <c r="I1" s="79"/>
      <c r="J1" s="79"/>
      <c r="K1" s="79"/>
      <c r="L1" s="79"/>
      <c r="M1" s="79"/>
      <c r="N1" s="79"/>
      <c r="O1" s="79"/>
      <c r="P1" s="79"/>
      <c r="Q1" s="79"/>
      <c r="R1" s="79"/>
      <c r="S1" s="79"/>
      <c r="T1" s="79"/>
      <c r="U1" s="79"/>
      <c r="V1" s="79"/>
      <c r="W1" s="79"/>
      <c r="X1" s="79"/>
      <c r="Y1" s="79"/>
      <c r="Z1" s="79"/>
    </row>
    <row r="2">
      <c r="A2" s="79"/>
      <c r="B2" s="80" t="s">
        <v>0</v>
      </c>
      <c r="C2" s="80" t="s">
        <v>1561</v>
      </c>
      <c r="D2" s="79"/>
      <c r="E2" s="79"/>
      <c r="F2" s="79"/>
      <c r="G2" s="79"/>
      <c r="H2" s="79"/>
      <c r="I2" s="79"/>
      <c r="J2" s="79"/>
      <c r="K2" s="79"/>
      <c r="L2" s="79"/>
      <c r="M2" s="79"/>
      <c r="N2" s="79"/>
      <c r="O2" s="79"/>
      <c r="P2" s="79"/>
      <c r="Q2" s="79"/>
      <c r="R2" s="79"/>
      <c r="S2" s="79"/>
      <c r="T2" s="79"/>
      <c r="U2" s="79"/>
      <c r="V2" s="79"/>
      <c r="W2" s="79"/>
      <c r="X2" s="79"/>
      <c r="Y2" s="79"/>
      <c r="Z2" s="79"/>
    </row>
    <row r="3">
      <c r="A3" s="79"/>
      <c r="B3" s="81" t="s">
        <v>9</v>
      </c>
      <c r="C3" s="82" t="s">
        <v>1562</v>
      </c>
      <c r="D3" s="79"/>
      <c r="E3" s="79"/>
      <c r="F3" s="79"/>
      <c r="G3" s="79"/>
      <c r="H3" s="79"/>
      <c r="I3" s="79"/>
      <c r="J3" s="79"/>
      <c r="K3" s="79"/>
      <c r="L3" s="79"/>
      <c r="M3" s="79"/>
      <c r="N3" s="79"/>
      <c r="O3" s="79"/>
      <c r="P3" s="79"/>
      <c r="Q3" s="79"/>
      <c r="R3" s="79"/>
      <c r="S3" s="79"/>
      <c r="T3" s="79"/>
      <c r="U3" s="79"/>
      <c r="V3" s="79"/>
      <c r="W3" s="79"/>
      <c r="X3" s="79"/>
      <c r="Y3" s="79"/>
      <c r="Z3" s="79"/>
    </row>
    <row r="4">
      <c r="A4" s="79"/>
      <c r="B4" s="81" t="s">
        <v>11</v>
      </c>
      <c r="C4" s="82" t="s">
        <v>1563</v>
      </c>
      <c r="D4" s="79"/>
      <c r="E4" s="79"/>
      <c r="F4" s="79"/>
      <c r="G4" s="79"/>
      <c r="H4" s="79"/>
      <c r="I4" s="79"/>
      <c r="J4" s="79"/>
      <c r="K4" s="79"/>
      <c r="L4" s="79"/>
      <c r="M4" s="79"/>
      <c r="N4" s="79"/>
      <c r="O4" s="79"/>
      <c r="P4" s="79"/>
      <c r="Q4" s="79"/>
      <c r="R4" s="79"/>
      <c r="S4" s="79"/>
      <c r="T4" s="79"/>
      <c r="U4" s="79"/>
      <c r="V4" s="79"/>
      <c r="W4" s="79"/>
      <c r="X4" s="79"/>
      <c r="Y4" s="79"/>
      <c r="Z4" s="79"/>
    </row>
    <row r="5">
      <c r="A5" s="79"/>
      <c r="B5" s="81" t="s">
        <v>1564</v>
      </c>
      <c r="C5" s="82" t="s">
        <v>1565</v>
      </c>
      <c r="D5" s="79"/>
      <c r="E5" s="79"/>
      <c r="F5" s="79"/>
      <c r="G5" s="79"/>
      <c r="H5" s="79"/>
      <c r="I5" s="79"/>
      <c r="J5" s="79"/>
      <c r="K5" s="79"/>
      <c r="L5" s="79"/>
      <c r="M5" s="79"/>
      <c r="N5" s="79"/>
      <c r="O5" s="79"/>
      <c r="P5" s="79"/>
      <c r="Q5" s="79"/>
      <c r="R5" s="79"/>
      <c r="S5" s="79"/>
      <c r="T5" s="79"/>
      <c r="U5" s="79"/>
      <c r="V5" s="79"/>
      <c r="W5" s="79"/>
      <c r="X5" s="79"/>
      <c r="Y5" s="79"/>
      <c r="Z5" s="79"/>
    </row>
    <row r="6">
      <c r="A6" s="79"/>
      <c r="B6" s="81" t="s">
        <v>7</v>
      </c>
      <c r="C6" s="82" t="s">
        <v>1566</v>
      </c>
      <c r="D6" s="79"/>
      <c r="E6" s="79"/>
      <c r="F6" s="79"/>
      <c r="G6" s="79"/>
      <c r="H6" s="79"/>
      <c r="I6" s="79"/>
      <c r="J6" s="79"/>
      <c r="K6" s="79"/>
      <c r="L6" s="79"/>
      <c r="M6" s="79"/>
      <c r="N6" s="79"/>
      <c r="O6" s="79"/>
      <c r="P6" s="79"/>
      <c r="Q6" s="79"/>
      <c r="R6" s="79"/>
      <c r="S6" s="79"/>
      <c r="T6" s="79"/>
      <c r="U6" s="79"/>
      <c r="V6" s="79"/>
      <c r="W6" s="79"/>
      <c r="X6" s="79"/>
      <c r="Y6" s="79"/>
      <c r="Z6" s="79"/>
    </row>
    <row r="7">
      <c r="A7" s="79"/>
      <c r="B7" s="80" t="s">
        <v>30</v>
      </c>
      <c r="C7" s="80" t="s">
        <v>1561</v>
      </c>
      <c r="D7" s="79"/>
      <c r="E7" s="79"/>
      <c r="F7" s="79"/>
      <c r="G7" s="79"/>
      <c r="H7" s="79"/>
      <c r="I7" s="79"/>
      <c r="J7" s="79"/>
      <c r="K7" s="79"/>
      <c r="L7" s="79"/>
      <c r="M7" s="79"/>
      <c r="N7" s="79"/>
      <c r="O7" s="79"/>
      <c r="P7" s="79"/>
      <c r="Q7" s="79"/>
      <c r="R7" s="79"/>
      <c r="S7" s="79"/>
      <c r="T7" s="79"/>
      <c r="U7" s="79"/>
      <c r="V7" s="79"/>
      <c r="W7" s="79"/>
      <c r="X7" s="79"/>
      <c r="Y7" s="79"/>
      <c r="Z7" s="79"/>
    </row>
    <row r="8">
      <c r="A8" s="79"/>
      <c r="B8" s="81" t="s">
        <v>43</v>
      </c>
      <c r="C8" s="82" t="s">
        <v>1567</v>
      </c>
      <c r="D8" s="79"/>
      <c r="E8" s="79"/>
      <c r="F8" s="79"/>
      <c r="G8" s="79"/>
      <c r="H8" s="79"/>
      <c r="I8" s="79"/>
      <c r="J8" s="79"/>
      <c r="K8" s="79"/>
      <c r="L8" s="79"/>
      <c r="M8" s="79"/>
      <c r="N8" s="79"/>
      <c r="O8" s="79"/>
      <c r="P8" s="79"/>
      <c r="Q8" s="79"/>
      <c r="R8" s="79"/>
      <c r="S8" s="79"/>
      <c r="T8" s="79"/>
      <c r="U8" s="79"/>
      <c r="V8" s="79"/>
      <c r="W8" s="79"/>
      <c r="X8" s="79"/>
      <c r="Y8" s="79"/>
      <c r="Z8" s="79"/>
    </row>
    <row r="9">
      <c r="A9" s="79"/>
      <c r="B9" s="81" t="s">
        <v>57</v>
      </c>
      <c r="C9" s="82" t="s">
        <v>1568</v>
      </c>
      <c r="D9" s="79"/>
      <c r="E9" s="79"/>
      <c r="F9" s="79"/>
      <c r="G9" s="79"/>
      <c r="H9" s="79"/>
      <c r="I9" s="79"/>
      <c r="J9" s="79"/>
      <c r="K9" s="79"/>
      <c r="L9" s="79"/>
      <c r="M9" s="79"/>
      <c r="N9" s="79"/>
      <c r="O9" s="79"/>
      <c r="P9" s="79"/>
      <c r="Q9" s="79"/>
      <c r="R9" s="79"/>
      <c r="S9" s="79"/>
      <c r="T9" s="79"/>
      <c r="U9" s="79"/>
      <c r="V9" s="79"/>
      <c r="W9" s="79"/>
      <c r="X9" s="79"/>
      <c r="Y9" s="79"/>
      <c r="Z9" s="79"/>
    </row>
    <row r="10">
      <c r="A10" s="79"/>
      <c r="B10" s="81" t="s">
        <v>58</v>
      </c>
      <c r="C10" s="82" t="s">
        <v>1569</v>
      </c>
      <c r="D10" s="79"/>
      <c r="E10" s="79"/>
      <c r="F10" s="79"/>
      <c r="G10" s="79"/>
      <c r="H10" s="79"/>
      <c r="I10" s="79"/>
      <c r="J10" s="79"/>
      <c r="K10" s="79"/>
      <c r="L10" s="79"/>
      <c r="M10" s="79"/>
      <c r="N10" s="79"/>
      <c r="O10" s="79"/>
      <c r="P10" s="79"/>
      <c r="Q10" s="79"/>
      <c r="R10" s="79"/>
      <c r="S10" s="79"/>
      <c r="T10" s="79"/>
      <c r="U10" s="79"/>
      <c r="V10" s="79"/>
      <c r="W10" s="79"/>
      <c r="X10" s="79"/>
      <c r="Y10" s="79"/>
      <c r="Z10" s="79"/>
    </row>
    <row r="11">
      <c r="A11" s="79"/>
      <c r="B11" s="81" t="s">
        <v>1570</v>
      </c>
      <c r="C11" s="82" t="s">
        <v>1571</v>
      </c>
      <c r="D11" s="79"/>
      <c r="E11" s="79"/>
      <c r="F11" s="79"/>
      <c r="G11" s="79"/>
      <c r="H11" s="79"/>
      <c r="I11" s="79"/>
      <c r="J11" s="79"/>
      <c r="K11" s="79"/>
      <c r="L11" s="79"/>
      <c r="M11" s="79"/>
      <c r="N11" s="79"/>
      <c r="O11" s="79"/>
      <c r="P11" s="79"/>
      <c r="Q11" s="79"/>
      <c r="R11" s="79"/>
      <c r="S11" s="79"/>
      <c r="T11" s="79"/>
      <c r="U11" s="79"/>
      <c r="V11" s="79"/>
      <c r="W11" s="79"/>
      <c r="X11" s="79"/>
      <c r="Y11" s="79"/>
      <c r="Z11" s="79"/>
    </row>
    <row r="12">
      <c r="A12" s="79"/>
      <c r="B12" s="81" t="s">
        <v>63</v>
      </c>
      <c r="C12" s="82" t="s">
        <v>1572</v>
      </c>
      <c r="D12" s="79"/>
      <c r="E12" s="79"/>
      <c r="F12" s="79"/>
      <c r="G12" s="79"/>
      <c r="H12" s="79"/>
      <c r="I12" s="79"/>
      <c r="J12" s="79"/>
      <c r="K12" s="79"/>
      <c r="L12" s="79"/>
      <c r="M12" s="79"/>
      <c r="N12" s="79"/>
      <c r="O12" s="79"/>
      <c r="P12" s="79"/>
      <c r="Q12" s="79"/>
      <c r="R12" s="79"/>
      <c r="S12" s="79"/>
      <c r="T12" s="79"/>
      <c r="U12" s="79"/>
      <c r="V12" s="79"/>
      <c r="W12" s="79"/>
      <c r="X12" s="79"/>
      <c r="Y12" s="79"/>
      <c r="Z12" s="79"/>
    </row>
    <row r="13">
      <c r="A13" s="79"/>
      <c r="B13" s="81" t="s">
        <v>1573</v>
      </c>
      <c r="C13" s="82" t="s">
        <v>1574</v>
      </c>
      <c r="D13" s="79"/>
      <c r="E13" s="79"/>
      <c r="F13" s="79"/>
      <c r="G13" s="79"/>
      <c r="H13" s="79"/>
      <c r="I13" s="79"/>
      <c r="J13" s="79"/>
      <c r="K13" s="79"/>
      <c r="L13" s="79"/>
      <c r="M13" s="79"/>
      <c r="N13" s="79"/>
      <c r="O13" s="79"/>
      <c r="P13" s="79"/>
      <c r="Q13" s="79"/>
      <c r="R13" s="79"/>
      <c r="S13" s="79"/>
      <c r="T13" s="79"/>
      <c r="U13" s="79"/>
      <c r="V13" s="79"/>
      <c r="W13" s="79"/>
      <c r="X13" s="79"/>
      <c r="Y13" s="79"/>
      <c r="Z13" s="79"/>
    </row>
    <row r="14">
      <c r="A14" s="79"/>
      <c r="B14" s="81" t="s">
        <v>1575</v>
      </c>
      <c r="C14" s="82" t="s">
        <v>1576</v>
      </c>
      <c r="D14" s="79"/>
      <c r="E14" s="79"/>
      <c r="F14" s="79"/>
      <c r="G14" s="79"/>
      <c r="H14" s="79"/>
      <c r="I14" s="79"/>
      <c r="J14" s="79"/>
      <c r="K14" s="79"/>
      <c r="L14" s="79"/>
      <c r="M14" s="79"/>
      <c r="N14" s="79"/>
      <c r="O14" s="79"/>
      <c r="P14" s="79"/>
      <c r="Q14" s="79"/>
      <c r="R14" s="79"/>
      <c r="S14" s="79"/>
      <c r="T14" s="79"/>
      <c r="U14" s="79"/>
      <c r="V14" s="79"/>
      <c r="W14" s="79"/>
      <c r="X14" s="79"/>
      <c r="Y14" s="79"/>
      <c r="Z14" s="79"/>
    </row>
    <row r="15">
      <c r="A15" s="79"/>
      <c r="B15" s="81" t="s">
        <v>48</v>
      </c>
      <c r="C15" s="82" t="s">
        <v>1577</v>
      </c>
      <c r="D15" s="79"/>
      <c r="E15" s="79"/>
      <c r="F15" s="79"/>
      <c r="G15" s="79"/>
      <c r="H15" s="79"/>
      <c r="I15" s="79"/>
      <c r="J15" s="79"/>
      <c r="K15" s="79"/>
      <c r="L15" s="79"/>
      <c r="M15" s="79"/>
      <c r="N15" s="79"/>
      <c r="O15" s="79"/>
      <c r="P15" s="79"/>
      <c r="Q15" s="79"/>
      <c r="R15" s="79"/>
      <c r="S15" s="79"/>
      <c r="T15" s="79"/>
      <c r="U15" s="79"/>
      <c r="V15" s="79"/>
      <c r="W15" s="79"/>
      <c r="X15" s="79"/>
      <c r="Y15" s="79"/>
      <c r="Z15" s="79"/>
    </row>
    <row r="16">
      <c r="A16" s="79"/>
      <c r="B16" s="81" t="s">
        <v>56</v>
      </c>
      <c r="C16" s="82" t="s">
        <v>1578</v>
      </c>
      <c r="D16" s="79"/>
      <c r="E16" s="79"/>
      <c r="F16" s="79"/>
      <c r="G16" s="79"/>
      <c r="H16" s="79"/>
      <c r="I16" s="79"/>
      <c r="J16" s="79"/>
      <c r="K16" s="79"/>
      <c r="L16" s="79"/>
      <c r="M16" s="79"/>
      <c r="N16" s="79"/>
      <c r="O16" s="79"/>
      <c r="P16" s="79"/>
      <c r="Q16" s="79"/>
      <c r="R16" s="79"/>
      <c r="S16" s="79"/>
      <c r="T16" s="79"/>
      <c r="U16" s="79"/>
      <c r="V16" s="79"/>
      <c r="W16" s="79"/>
      <c r="X16" s="79"/>
      <c r="Y16" s="79"/>
      <c r="Z16" s="79"/>
    </row>
    <row r="17">
      <c r="A17" s="79"/>
      <c r="B17" s="81" t="s">
        <v>31</v>
      </c>
      <c r="C17" s="82" t="s">
        <v>1579</v>
      </c>
      <c r="D17" s="79"/>
      <c r="E17" s="79"/>
      <c r="F17" s="79"/>
      <c r="G17" s="79"/>
      <c r="H17" s="79"/>
      <c r="I17" s="79"/>
      <c r="J17" s="79"/>
      <c r="K17" s="79"/>
      <c r="L17" s="79"/>
      <c r="M17" s="79"/>
      <c r="N17" s="79"/>
      <c r="O17" s="79"/>
      <c r="P17" s="79"/>
      <c r="Q17" s="79"/>
      <c r="R17" s="79"/>
      <c r="S17" s="79"/>
      <c r="T17" s="79"/>
      <c r="U17" s="79"/>
      <c r="V17" s="79"/>
      <c r="W17" s="79"/>
      <c r="X17" s="79"/>
      <c r="Y17" s="79"/>
      <c r="Z17" s="79"/>
    </row>
    <row r="18">
      <c r="A18" s="79"/>
      <c r="B18" s="81" t="s">
        <v>60</v>
      </c>
      <c r="C18" s="82" t="s">
        <v>1580</v>
      </c>
      <c r="D18" s="79"/>
      <c r="E18" s="79"/>
      <c r="F18" s="79"/>
      <c r="G18" s="79"/>
      <c r="H18" s="79"/>
      <c r="I18" s="79"/>
      <c r="J18" s="79"/>
      <c r="K18" s="79"/>
      <c r="L18" s="79"/>
      <c r="M18" s="79"/>
      <c r="N18" s="79"/>
      <c r="O18" s="79"/>
      <c r="P18" s="79"/>
      <c r="Q18" s="79"/>
      <c r="R18" s="79"/>
      <c r="S18" s="79"/>
      <c r="T18" s="79"/>
      <c r="U18" s="79"/>
      <c r="V18" s="79"/>
      <c r="W18" s="79"/>
      <c r="X18" s="79"/>
      <c r="Y18" s="79"/>
      <c r="Z18" s="79"/>
    </row>
    <row r="19">
      <c r="A19" s="79"/>
      <c r="B19" s="81" t="s">
        <v>53</v>
      </c>
      <c r="C19" s="82" t="s">
        <v>1581</v>
      </c>
      <c r="D19" s="79"/>
      <c r="E19" s="79"/>
      <c r="F19" s="79"/>
      <c r="G19" s="79"/>
      <c r="H19" s="79"/>
      <c r="I19" s="79"/>
      <c r="J19" s="79"/>
      <c r="K19" s="79"/>
      <c r="L19" s="79"/>
      <c r="M19" s="79"/>
      <c r="N19" s="79"/>
      <c r="O19" s="79"/>
      <c r="P19" s="79"/>
      <c r="Q19" s="79"/>
      <c r="R19" s="79"/>
      <c r="S19" s="79"/>
      <c r="T19" s="79"/>
      <c r="U19" s="79"/>
      <c r="V19" s="79"/>
      <c r="W19" s="79"/>
      <c r="X19" s="79"/>
      <c r="Y19" s="79"/>
      <c r="Z19" s="79"/>
    </row>
    <row r="20">
      <c r="A20" s="79"/>
      <c r="B20" s="81" t="s">
        <v>49</v>
      </c>
      <c r="C20" s="82" t="s">
        <v>1582</v>
      </c>
      <c r="D20" s="79"/>
      <c r="E20" s="79"/>
      <c r="F20" s="79"/>
      <c r="G20" s="79"/>
      <c r="H20" s="79"/>
      <c r="I20" s="79"/>
      <c r="J20" s="79"/>
      <c r="K20" s="79"/>
      <c r="L20" s="79"/>
      <c r="M20" s="79"/>
      <c r="N20" s="79"/>
      <c r="O20" s="79"/>
      <c r="P20" s="79"/>
      <c r="Q20" s="79"/>
      <c r="R20" s="79"/>
      <c r="S20" s="79"/>
      <c r="T20" s="79"/>
      <c r="U20" s="79"/>
      <c r="V20" s="79"/>
      <c r="W20" s="79"/>
      <c r="X20" s="79"/>
      <c r="Y20" s="79"/>
      <c r="Z20" s="79"/>
    </row>
    <row r="21">
      <c r="A21" s="79"/>
      <c r="B21" s="81" t="s">
        <v>33</v>
      </c>
      <c r="C21" s="82" t="s">
        <v>1583</v>
      </c>
      <c r="D21" s="79"/>
      <c r="E21" s="79"/>
      <c r="F21" s="79"/>
      <c r="G21" s="79"/>
      <c r="H21" s="79"/>
      <c r="I21" s="79"/>
      <c r="J21" s="79"/>
      <c r="K21" s="79"/>
      <c r="L21" s="79"/>
      <c r="M21" s="79"/>
      <c r="N21" s="79"/>
      <c r="O21" s="79"/>
      <c r="P21" s="79"/>
      <c r="Q21" s="79"/>
      <c r="R21" s="79"/>
      <c r="S21" s="79"/>
      <c r="T21" s="79"/>
      <c r="U21" s="79"/>
      <c r="V21" s="79"/>
      <c r="W21" s="79"/>
      <c r="X21" s="79"/>
      <c r="Y21" s="79"/>
      <c r="Z21" s="79"/>
    </row>
    <row r="22">
      <c r="A22" s="79"/>
      <c r="B22" s="81" t="s">
        <v>59</v>
      </c>
      <c r="C22" s="82" t="s">
        <v>1584</v>
      </c>
      <c r="D22" s="79"/>
      <c r="E22" s="79"/>
      <c r="F22" s="79"/>
      <c r="G22" s="79"/>
      <c r="H22" s="79"/>
      <c r="I22" s="79"/>
      <c r="J22" s="79"/>
      <c r="K22" s="79"/>
      <c r="L22" s="79"/>
      <c r="M22" s="79"/>
      <c r="N22" s="79"/>
      <c r="O22" s="79"/>
      <c r="P22" s="79"/>
      <c r="Q22" s="79"/>
      <c r="R22" s="79"/>
      <c r="S22" s="79"/>
      <c r="T22" s="79"/>
      <c r="U22" s="79"/>
      <c r="V22" s="79"/>
      <c r="W22" s="79"/>
      <c r="X22" s="79"/>
      <c r="Y22" s="79"/>
      <c r="Z22" s="79"/>
    </row>
    <row r="23">
      <c r="A23" s="79"/>
      <c r="B23" s="81" t="s">
        <v>47</v>
      </c>
      <c r="C23" s="82" t="s">
        <v>1585</v>
      </c>
      <c r="D23" s="79"/>
      <c r="E23" s="79"/>
      <c r="F23" s="79"/>
      <c r="G23" s="79"/>
      <c r="H23" s="79"/>
      <c r="I23" s="79"/>
      <c r="J23" s="79"/>
      <c r="K23" s="79"/>
      <c r="L23" s="79"/>
      <c r="M23" s="79"/>
      <c r="N23" s="79"/>
      <c r="O23" s="79"/>
      <c r="P23" s="79"/>
      <c r="Q23" s="79"/>
      <c r="R23" s="79"/>
      <c r="S23" s="79"/>
      <c r="T23" s="79"/>
      <c r="U23" s="79"/>
      <c r="V23" s="79"/>
      <c r="W23" s="79"/>
      <c r="X23" s="79"/>
      <c r="Y23" s="79"/>
      <c r="Z23" s="79"/>
    </row>
    <row r="24">
      <c r="A24" s="79"/>
      <c r="B24" s="81" t="s">
        <v>39</v>
      </c>
      <c r="C24" s="82" t="s">
        <v>1586</v>
      </c>
      <c r="D24" s="79"/>
      <c r="E24" s="79"/>
      <c r="F24" s="79"/>
      <c r="G24" s="79"/>
      <c r="H24" s="79"/>
      <c r="I24" s="79"/>
      <c r="J24" s="79"/>
      <c r="K24" s="79"/>
      <c r="L24" s="79"/>
      <c r="M24" s="79"/>
      <c r="N24" s="79"/>
      <c r="O24" s="79"/>
      <c r="P24" s="79"/>
      <c r="Q24" s="79"/>
      <c r="R24" s="79"/>
      <c r="S24" s="79"/>
      <c r="T24" s="79"/>
      <c r="U24" s="79"/>
      <c r="V24" s="79"/>
      <c r="W24" s="79"/>
      <c r="X24" s="79"/>
      <c r="Y24" s="79"/>
      <c r="Z24" s="79"/>
    </row>
    <row r="25">
      <c r="A25" s="79"/>
      <c r="B25" s="81" t="s">
        <v>41</v>
      </c>
      <c r="C25" s="82" t="s">
        <v>1587</v>
      </c>
      <c r="D25" s="79"/>
      <c r="E25" s="79"/>
      <c r="F25" s="79"/>
      <c r="G25" s="79"/>
      <c r="H25" s="79"/>
      <c r="I25" s="79"/>
      <c r="J25" s="79"/>
      <c r="K25" s="79"/>
      <c r="L25" s="79"/>
      <c r="M25" s="79"/>
      <c r="N25" s="79"/>
      <c r="O25" s="79"/>
      <c r="P25" s="79"/>
      <c r="Q25" s="79"/>
      <c r="R25" s="79"/>
      <c r="S25" s="79"/>
      <c r="T25" s="79"/>
      <c r="U25" s="79"/>
      <c r="V25" s="79"/>
      <c r="W25" s="79"/>
      <c r="X25" s="79"/>
      <c r="Y25" s="79"/>
      <c r="Z25" s="79"/>
    </row>
    <row r="26">
      <c r="A26" s="79"/>
      <c r="B26" s="81" t="s">
        <v>54</v>
      </c>
      <c r="C26" s="82" t="s">
        <v>1588</v>
      </c>
      <c r="D26" s="79"/>
      <c r="E26" s="79"/>
      <c r="F26" s="79"/>
      <c r="G26" s="79"/>
      <c r="H26" s="79"/>
      <c r="I26" s="79"/>
      <c r="J26" s="79"/>
      <c r="K26" s="79"/>
      <c r="L26" s="79"/>
      <c r="M26" s="79"/>
      <c r="N26" s="79"/>
      <c r="O26" s="79"/>
      <c r="P26" s="79"/>
      <c r="Q26" s="79"/>
      <c r="R26" s="79"/>
      <c r="S26" s="79"/>
      <c r="T26" s="79"/>
      <c r="U26" s="79"/>
      <c r="V26" s="79"/>
      <c r="W26" s="79"/>
      <c r="X26" s="79"/>
      <c r="Y26" s="79"/>
      <c r="Z26" s="79"/>
    </row>
    <row r="27">
      <c r="A27" s="79"/>
      <c r="B27" s="81" t="s">
        <v>46</v>
      </c>
      <c r="C27" s="82" t="s">
        <v>1589</v>
      </c>
      <c r="D27" s="79"/>
      <c r="E27" s="79"/>
      <c r="F27" s="79"/>
      <c r="G27" s="79"/>
      <c r="H27" s="79"/>
      <c r="I27" s="79"/>
      <c r="J27" s="79"/>
      <c r="K27" s="79"/>
      <c r="L27" s="79"/>
      <c r="M27" s="79"/>
      <c r="N27" s="79"/>
      <c r="O27" s="79"/>
      <c r="P27" s="79"/>
      <c r="Q27" s="79"/>
      <c r="R27" s="79"/>
      <c r="S27" s="79"/>
      <c r="T27" s="79"/>
      <c r="U27" s="79"/>
      <c r="V27" s="79"/>
      <c r="W27" s="79"/>
      <c r="X27" s="79"/>
      <c r="Y27" s="79"/>
      <c r="Z27" s="79"/>
    </row>
    <row r="28">
      <c r="A28" s="79"/>
      <c r="B28" s="81" t="s">
        <v>37</v>
      </c>
      <c r="C28" s="82" t="s">
        <v>1590</v>
      </c>
      <c r="D28" s="79"/>
      <c r="E28" s="79"/>
      <c r="F28" s="79"/>
      <c r="G28" s="79"/>
      <c r="H28" s="79"/>
      <c r="I28" s="79"/>
      <c r="J28" s="79"/>
      <c r="K28" s="79"/>
      <c r="L28" s="79"/>
      <c r="M28" s="79"/>
      <c r="N28" s="79"/>
      <c r="O28" s="79"/>
      <c r="P28" s="79"/>
      <c r="Q28" s="79"/>
      <c r="R28" s="79"/>
      <c r="S28" s="79"/>
      <c r="T28" s="79"/>
      <c r="U28" s="79"/>
      <c r="V28" s="79"/>
      <c r="W28" s="79"/>
      <c r="X28" s="79"/>
      <c r="Y28" s="79"/>
      <c r="Z28" s="79"/>
    </row>
    <row r="29">
      <c r="A29" s="79"/>
      <c r="B29" s="81" t="s">
        <v>45</v>
      </c>
      <c r="C29" s="82" t="s">
        <v>1591</v>
      </c>
      <c r="D29" s="79"/>
      <c r="E29" s="79"/>
      <c r="F29" s="79"/>
      <c r="G29" s="79"/>
      <c r="H29" s="79"/>
      <c r="I29" s="79"/>
      <c r="J29" s="79"/>
      <c r="K29" s="79"/>
      <c r="L29" s="79"/>
      <c r="M29" s="79"/>
      <c r="N29" s="79"/>
      <c r="O29" s="79"/>
      <c r="P29" s="79"/>
      <c r="Q29" s="79"/>
      <c r="R29" s="79"/>
      <c r="S29" s="79"/>
      <c r="T29" s="79"/>
      <c r="U29" s="79"/>
      <c r="V29" s="79"/>
      <c r="W29" s="79"/>
      <c r="X29" s="79"/>
      <c r="Y29" s="79"/>
      <c r="Z29" s="79"/>
    </row>
    <row r="30">
      <c r="A30" s="79"/>
      <c r="B30" s="81" t="s">
        <v>55</v>
      </c>
      <c r="C30" s="82" t="s">
        <v>1592</v>
      </c>
      <c r="D30" s="79"/>
      <c r="E30" s="79"/>
      <c r="F30" s="79"/>
      <c r="G30" s="79"/>
      <c r="H30" s="79"/>
      <c r="I30" s="79"/>
      <c r="J30" s="79"/>
      <c r="K30" s="79"/>
      <c r="L30" s="79"/>
      <c r="M30" s="79"/>
      <c r="N30" s="79"/>
      <c r="O30" s="79"/>
      <c r="P30" s="79"/>
      <c r="Q30" s="79"/>
      <c r="R30" s="79"/>
      <c r="S30" s="79"/>
      <c r="T30" s="79"/>
      <c r="U30" s="79"/>
      <c r="V30" s="79"/>
      <c r="W30" s="79"/>
      <c r="X30" s="79"/>
      <c r="Y30" s="79"/>
      <c r="Z30" s="79"/>
    </row>
    <row r="31">
      <c r="A31" s="79"/>
      <c r="B31" s="80" t="s">
        <v>1593</v>
      </c>
      <c r="C31" s="80" t="s">
        <v>1561</v>
      </c>
      <c r="D31" s="79"/>
      <c r="E31" s="79"/>
      <c r="F31" s="79"/>
      <c r="G31" s="79"/>
      <c r="H31" s="79"/>
      <c r="I31" s="79"/>
      <c r="J31" s="79"/>
      <c r="K31" s="79"/>
      <c r="L31" s="79"/>
      <c r="M31" s="79"/>
      <c r="N31" s="79"/>
      <c r="O31" s="79"/>
      <c r="P31" s="79"/>
      <c r="Q31" s="79"/>
      <c r="R31" s="79"/>
      <c r="S31" s="79"/>
      <c r="T31" s="79"/>
      <c r="U31" s="79"/>
      <c r="V31" s="79"/>
      <c r="W31" s="79"/>
      <c r="X31" s="79"/>
      <c r="Y31" s="79"/>
      <c r="Z31" s="79"/>
    </row>
    <row r="32">
      <c r="A32" s="79"/>
      <c r="B32" s="81" t="s">
        <v>1594</v>
      </c>
      <c r="C32" s="82" t="s">
        <v>1595</v>
      </c>
      <c r="D32" s="79"/>
      <c r="E32" s="79"/>
      <c r="F32" s="79"/>
      <c r="G32" s="79"/>
      <c r="H32" s="79"/>
      <c r="I32" s="79"/>
      <c r="J32" s="79"/>
      <c r="K32" s="79"/>
      <c r="L32" s="79"/>
      <c r="M32" s="79"/>
      <c r="N32" s="79"/>
      <c r="O32" s="79"/>
      <c r="P32" s="79"/>
      <c r="Q32" s="79"/>
      <c r="R32" s="79"/>
      <c r="S32" s="79"/>
      <c r="T32" s="79"/>
      <c r="U32" s="79"/>
      <c r="V32" s="79"/>
      <c r="W32" s="79"/>
      <c r="X32" s="79"/>
      <c r="Y32" s="79"/>
      <c r="Z32" s="79"/>
    </row>
    <row r="33">
      <c r="A33" s="79"/>
      <c r="B33" s="81" t="s">
        <v>1596</v>
      </c>
      <c r="C33" s="82" t="s">
        <v>1597</v>
      </c>
      <c r="D33" s="79"/>
      <c r="E33" s="79"/>
      <c r="F33" s="79"/>
      <c r="G33" s="79"/>
      <c r="H33" s="79"/>
      <c r="I33" s="79"/>
      <c r="J33" s="79"/>
      <c r="K33" s="79"/>
      <c r="L33" s="79"/>
      <c r="M33" s="79"/>
      <c r="N33" s="79"/>
      <c r="O33" s="79"/>
      <c r="P33" s="79"/>
      <c r="Q33" s="79"/>
      <c r="R33" s="79"/>
      <c r="S33" s="79"/>
      <c r="T33" s="79"/>
      <c r="U33" s="79"/>
      <c r="V33" s="79"/>
      <c r="W33" s="79"/>
      <c r="X33" s="79"/>
      <c r="Y33" s="79"/>
      <c r="Z33" s="79"/>
    </row>
    <row r="34">
      <c r="A34" s="79"/>
      <c r="B34" s="81" t="s">
        <v>1598</v>
      </c>
      <c r="C34" s="82" t="s">
        <v>1599</v>
      </c>
      <c r="D34" s="79"/>
      <c r="E34" s="79"/>
      <c r="F34" s="79"/>
      <c r="G34" s="79"/>
      <c r="H34" s="79"/>
      <c r="I34" s="79"/>
      <c r="J34" s="79"/>
      <c r="K34" s="79"/>
      <c r="L34" s="79"/>
      <c r="M34" s="79"/>
      <c r="N34" s="79"/>
      <c r="O34" s="79"/>
      <c r="P34" s="79"/>
      <c r="Q34" s="79"/>
      <c r="R34" s="79"/>
      <c r="S34" s="79"/>
      <c r="T34" s="79"/>
      <c r="U34" s="79"/>
      <c r="V34" s="79"/>
      <c r="W34" s="79"/>
      <c r="X34" s="79"/>
      <c r="Y34" s="79"/>
      <c r="Z34" s="79"/>
    </row>
    <row r="35">
      <c r="A35" s="79"/>
      <c r="B35" s="81" t="s">
        <v>1600</v>
      </c>
      <c r="C35" s="82" t="s">
        <v>1601</v>
      </c>
      <c r="D35" s="79"/>
      <c r="E35" s="79"/>
      <c r="F35" s="79"/>
      <c r="G35" s="79"/>
      <c r="H35" s="79"/>
      <c r="I35" s="79"/>
      <c r="J35" s="79"/>
      <c r="K35" s="79"/>
      <c r="L35" s="79"/>
      <c r="M35" s="79"/>
      <c r="N35" s="79"/>
      <c r="O35" s="79"/>
      <c r="P35" s="79"/>
      <c r="Q35" s="79"/>
      <c r="R35" s="79"/>
      <c r="S35" s="79"/>
      <c r="T35" s="79"/>
      <c r="U35" s="79"/>
      <c r="V35" s="79"/>
      <c r="W35" s="79"/>
      <c r="X35" s="79"/>
      <c r="Y35" s="79"/>
      <c r="Z35" s="79"/>
    </row>
    <row r="36">
      <c r="A36" s="79"/>
      <c r="B36" s="83" t="s">
        <v>1602</v>
      </c>
      <c r="C36" s="80" t="s">
        <v>1561</v>
      </c>
      <c r="D36" s="79"/>
      <c r="E36" s="79"/>
      <c r="F36" s="79"/>
      <c r="G36" s="79"/>
      <c r="H36" s="79"/>
      <c r="I36" s="79"/>
      <c r="J36" s="79"/>
      <c r="K36" s="79"/>
      <c r="L36" s="79"/>
      <c r="M36" s="79"/>
      <c r="N36" s="79"/>
      <c r="O36" s="79"/>
      <c r="P36" s="79"/>
      <c r="Q36" s="79"/>
      <c r="R36" s="79"/>
      <c r="S36" s="79"/>
      <c r="T36" s="79"/>
      <c r="U36" s="79"/>
      <c r="V36" s="79"/>
      <c r="W36" s="79"/>
      <c r="X36" s="79"/>
      <c r="Y36" s="79"/>
      <c r="Z36" s="79"/>
    </row>
    <row r="37">
      <c r="A37" s="79"/>
      <c r="B37" s="81" t="s">
        <v>1603</v>
      </c>
      <c r="C37" s="82" t="s">
        <v>1604</v>
      </c>
      <c r="D37" s="79"/>
      <c r="E37" s="79"/>
      <c r="F37" s="79"/>
      <c r="G37" s="79"/>
      <c r="H37" s="79"/>
      <c r="I37" s="79"/>
      <c r="J37" s="79"/>
      <c r="K37" s="79"/>
      <c r="L37" s="79"/>
      <c r="M37" s="79"/>
      <c r="N37" s="79"/>
      <c r="O37" s="79"/>
      <c r="P37" s="79"/>
      <c r="Q37" s="79"/>
      <c r="R37" s="79"/>
      <c r="S37" s="79"/>
      <c r="T37" s="79"/>
      <c r="U37" s="79"/>
      <c r="V37" s="79"/>
      <c r="W37" s="79"/>
      <c r="X37" s="79"/>
      <c r="Y37" s="79"/>
      <c r="Z37" s="79"/>
    </row>
    <row r="38">
      <c r="A38" s="79"/>
      <c r="B38" s="81" t="s">
        <v>1605</v>
      </c>
      <c r="C38" s="82" t="s">
        <v>1606</v>
      </c>
      <c r="D38" s="79"/>
      <c r="E38" s="79"/>
      <c r="F38" s="79"/>
      <c r="G38" s="79"/>
      <c r="H38" s="79"/>
      <c r="I38" s="79"/>
      <c r="J38" s="79"/>
      <c r="K38" s="79"/>
      <c r="L38" s="79"/>
      <c r="M38" s="79"/>
      <c r="N38" s="79"/>
      <c r="O38" s="79"/>
      <c r="P38" s="79"/>
      <c r="Q38" s="79"/>
      <c r="R38" s="79"/>
      <c r="S38" s="79"/>
      <c r="T38" s="79"/>
      <c r="U38" s="79"/>
      <c r="V38" s="79"/>
      <c r="W38" s="79"/>
      <c r="X38" s="79"/>
      <c r="Y38" s="79"/>
      <c r="Z38" s="79"/>
    </row>
    <row r="39">
      <c r="A39" s="79"/>
      <c r="B39" s="81" t="s">
        <v>1607</v>
      </c>
      <c r="C39" s="82" t="s">
        <v>1608</v>
      </c>
      <c r="D39" s="79"/>
      <c r="E39" s="79"/>
      <c r="F39" s="79"/>
      <c r="G39" s="79"/>
      <c r="H39" s="79"/>
      <c r="I39" s="79"/>
      <c r="J39" s="79"/>
      <c r="K39" s="79"/>
      <c r="L39" s="79"/>
      <c r="M39" s="79"/>
      <c r="N39" s="79"/>
      <c r="O39" s="79"/>
      <c r="P39" s="79"/>
      <c r="Q39" s="79"/>
      <c r="R39" s="79"/>
      <c r="S39" s="79"/>
      <c r="T39" s="79"/>
      <c r="U39" s="79"/>
      <c r="V39" s="79"/>
      <c r="W39" s="79"/>
      <c r="X39" s="79"/>
      <c r="Y39" s="79"/>
      <c r="Z39" s="79"/>
    </row>
    <row r="40">
      <c r="A40" s="79"/>
      <c r="B40" s="81" t="s">
        <v>1609</v>
      </c>
      <c r="C40" s="82" t="s">
        <v>1610</v>
      </c>
      <c r="D40" s="79"/>
      <c r="E40" s="79"/>
      <c r="F40" s="79"/>
      <c r="G40" s="79"/>
      <c r="H40" s="79"/>
      <c r="I40" s="79"/>
      <c r="J40" s="79"/>
      <c r="K40" s="79"/>
      <c r="L40" s="79"/>
      <c r="M40" s="79"/>
      <c r="N40" s="79"/>
      <c r="O40" s="79"/>
      <c r="P40" s="79"/>
      <c r="Q40" s="79"/>
      <c r="R40" s="79"/>
      <c r="S40" s="79"/>
      <c r="T40" s="79"/>
      <c r="U40" s="79"/>
      <c r="V40" s="79"/>
      <c r="W40" s="79"/>
      <c r="X40" s="79"/>
      <c r="Y40" s="79"/>
      <c r="Z40" s="79"/>
    </row>
    <row r="41">
      <c r="A41" s="79"/>
      <c r="B41" s="81" t="s">
        <v>1611</v>
      </c>
      <c r="C41" s="82" t="s">
        <v>1612</v>
      </c>
      <c r="D41" s="79"/>
      <c r="E41" s="79"/>
      <c r="F41" s="79"/>
      <c r="G41" s="79"/>
      <c r="H41" s="79"/>
      <c r="I41" s="79"/>
      <c r="J41" s="79"/>
      <c r="K41" s="79"/>
      <c r="L41" s="79"/>
      <c r="M41" s="79"/>
      <c r="N41" s="79"/>
      <c r="O41" s="79"/>
      <c r="P41" s="79"/>
      <c r="Q41" s="79"/>
      <c r="R41" s="79"/>
      <c r="S41" s="79"/>
      <c r="T41" s="79"/>
      <c r="U41" s="79"/>
      <c r="V41" s="79"/>
      <c r="W41" s="79"/>
      <c r="X41" s="79"/>
      <c r="Y41" s="79"/>
      <c r="Z41" s="79"/>
    </row>
    <row r="42">
      <c r="A42" s="79"/>
      <c r="B42" s="81" t="s">
        <v>1613</v>
      </c>
      <c r="C42" s="82" t="s">
        <v>1614</v>
      </c>
      <c r="D42" s="79"/>
      <c r="E42" s="79"/>
      <c r="F42" s="79"/>
      <c r="G42" s="79"/>
      <c r="H42" s="79"/>
      <c r="I42" s="79"/>
      <c r="J42" s="79"/>
      <c r="K42" s="79"/>
      <c r="L42" s="79"/>
      <c r="M42" s="79"/>
      <c r="N42" s="79"/>
      <c r="O42" s="79"/>
      <c r="P42" s="79"/>
      <c r="Q42" s="79"/>
      <c r="R42" s="79"/>
      <c r="S42" s="79"/>
      <c r="T42" s="79"/>
      <c r="U42" s="79"/>
      <c r="V42" s="79"/>
      <c r="W42" s="79"/>
      <c r="X42" s="79"/>
      <c r="Y42" s="79"/>
      <c r="Z42" s="79"/>
    </row>
    <row r="43">
      <c r="A43" s="79"/>
      <c r="B43" s="81" t="s">
        <v>1615</v>
      </c>
      <c r="C43" s="82" t="s">
        <v>1616</v>
      </c>
      <c r="D43" s="79"/>
      <c r="E43" s="79"/>
      <c r="F43" s="79"/>
      <c r="G43" s="79"/>
      <c r="H43" s="79"/>
      <c r="I43" s="79"/>
      <c r="J43" s="79"/>
      <c r="K43" s="79"/>
      <c r="L43" s="79"/>
      <c r="M43" s="79"/>
      <c r="N43" s="79"/>
      <c r="O43" s="79"/>
      <c r="P43" s="79"/>
      <c r="Q43" s="79"/>
      <c r="R43" s="79"/>
      <c r="S43" s="79"/>
      <c r="T43" s="79"/>
      <c r="U43" s="79"/>
      <c r="V43" s="79"/>
      <c r="W43" s="79"/>
      <c r="X43" s="79"/>
      <c r="Y43" s="79"/>
      <c r="Z43" s="79"/>
    </row>
    <row r="44">
      <c r="A44" s="79"/>
      <c r="B44" s="81" t="s">
        <v>1617</v>
      </c>
      <c r="C44" s="82" t="s">
        <v>1618</v>
      </c>
      <c r="D44" s="79"/>
      <c r="E44" s="79"/>
      <c r="F44" s="79"/>
      <c r="G44" s="79"/>
      <c r="H44" s="79"/>
      <c r="I44" s="79"/>
      <c r="J44" s="79"/>
      <c r="K44" s="79"/>
      <c r="L44" s="79"/>
      <c r="M44" s="79"/>
      <c r="N44" s="79"/>
      <c r="O44" s="79"/>
      <c r="P44" s="79"/>
      <c r="Q44" s="79"/>
      <c r="R44" s="79"/>
      <c r="S44" s="79"/>
      <c r="T44" s="79"/>
      <c r="U44" s="79"/>
      <c r="V44" s="79"/>
      <c r="W44" s="79"/>
      <c r="X44" s="79"/>
      <c r="Y44" s="79"/>
      <c r="Z44" s="79"/>
    </row>
    <row r="45">
      <c r="A45" s="79"/>
      <c r="B45" s="83" t="s">
        <v>72</v>
      </c>
      <c r="C45" s="80" t="s">
        <v>1561</v>
      </c>
      <c r="D45" s="79"/>
      <c r="E45" s="79"/>
      <c r="F45" s="79"/>
      <c r="G45" s="79"/>
      <c r="H45" s="79"/>
      <c r="I45" s="79"/>
      <c r="J45" s="79"/>
      <c r="K45" s="79"/>
      <c r="L45" s="79"/>
      <c r="M45" s="79"/>
      <c r="N45" s="79"/>
      <c r="O45" s="79"/>
      <c r="P45" s="79"/>
      <c r="Q45" s="79"/>
      <c r="R45" s="79"/>
      <c r="S45" s="79"/>
      <c r="T45" s="79"/>
      <c r="U45" s="79"/>
      <c r="V45" s="79"/>
      <c r="W45" s="79"/>
      <c r="X45" s="79"/>
      <c r="Y45" s="79"/>
      <c r="Z45" s="79"/>
    </row>
    <row r="46">
      <c r="A46" s="79"/>
      <c r="B46" s="81" t="s">
        <v>877</v>
      </c>
      <c r="C46" s="82" t="s">
        <v>1619</v>
      </c>
      <c r="D46" s="79"/>
      <c r="E46" s="79"/>
      <c r="F46" s="79"/>
      <c r="G46" s="79"/>
      <c r="H46" s="79"/>
      <c r="I46" s="79"/>
      <c r="J46" s="79"/>
      <c r="K46" s="79"/>
      <c r="L46" s="79"/>
      <c r="M46" s="79"/>
      <c r="N46" s="79"/>
      <c r="O46" s="79"/>
      <c r="P46" s="79"/>
      <c r="Q46" s="79"/>
      <c r="R46" s="79"/>
      <c r="S46" s="79"/>
      <c r="T46" s="79"/>
      <c r="U46" s="79"/>
      <c r="V46" s="79"/>
      <c r="W46" s="79"/>
      <c r="X46" s="79"/>
      <c r="Y46" s="79"/>
      <c r="Z46" s="79"/>
    </row>
    <row r="47">
      <c r="A47" s="79"/>
      <c r="B47" s="81" t="s">
        <v>1620</v>
      </c>
      <c r="C47" s="82" t="s">
        <v>1621</v>
      </c>
      <c r="D47" s="79"/>
      <c r="E47" s="79"/>
      <c r="F47" s="79"/>
      <c r="G47" s="79"/>
      <c r="H47" s="79"/>
      <c r="I47" s="79"/>
      <c r="J47" s="79"/>
      <c r="K47" s="79"/>
      <c r="L47" s="79"/>
      <c r="M47" s="79"/>
      <c r="N47" s="79"/>
      <c r="O47" s="79"/>
      <c r="P47" s="79"/>
      <c r="Q47" s="79"/>
      <c r="R47" s="79"/>
      <c r="S47" s="79"/>
      <c r="T47" s="79"/>
      <c r="U47" s="79"/>
      <c r="V47" s="79"/>
      <c r="W47" s="79"/>
      <c r="X47" s="79"/>
      <c r="Y47" s="79"/>
      <c r="Z47" s="79"/>
    </row>
    <row r="48">
      <c r="A48" s="79"/>
      <c r="B48" s="81" t="s">
        <v>130</v>
      </c>
      <c r="C48" s="82" t="s">
        <v>1622</v>
      </c>
      <c r="D48" s="79"/>
      <c r="E48" s="79"/>
      <c r="F48" s="79"/>
      <c r="G48" s="79"/>
      <c r="H48" s="79"/>
      <c r="I48" s="79"/>
      <c r="J48" s="79"/>
      <c r="K48" s="79"/>
      <c r="L48" s="79"/>
      <c r="M48" s="79"/>
      <c r="N48" s="79"/>
      <c r="O48" s="79"/>
      <c r="P48" s="79"/>
      <c r="Q48" s="79"/>
      <c r="R48" s="79"/>
      <c r="S48" s="79"/>
      <c r="T48" s="79"/>
      <c r="U48" s="79"/>
      <c r="V48" s="79"/>
      <c r="W48" s="79"/>
      <c r="X48" s="79"/>
      <c r="Y48" s="79"/>
      <c r="Z48" s="79"/>
    </row>
    <row r="49">
      <c r="A49" s="79"/>
      <c r="B49" s="81" t="s">
        <v>1623</v>
      </c>
      <c r="C49" s="82" t="s">
        <v>1624</v>
      </c>
      <c r="D49" s="79"/>
      <c r="E49" s="79"/>
      <c r="F49" s="79"/>
      <c r="G49" s="79"/>
      <c r="H49" s="79"/>
      <c r="I49" s="79"/>
      <c r="J49" s="79"/>
      <c r="K49" s="79"/>
      <c r="L49" s="79"/>
      <c r="M49" s="79"/>
      <c r="N49" s="79"/>
      <c r="O49" s="79"/>
      <c r="P49" s="79"/>
      <c r="Q49" s="79"/>
      <c r="R49" s="79"/>
      <c r="S49" s="79"/>
      <c r="T49" s="79"/>
      <c r="U49" s="79"/>
      <c r="V49" s="79"/>
      <c r="W49" s="79"/>
      <c r="X49" s="79"/>
      <c r="Y49" s="79"/>
      <c r="Z49" s="79"/>
    </row>
    <row r="50">
      <c r="A50" s="79"/>
      <c r="B50" s="81" t="s">
        <v>642</v>
      </c>
      <c r="C50" s="82" t="s">
        <v>1625</v>
      </c>
      <c r="D50" s="79"/>
      <c r="E50" s="79"/>
      <c r="F50" s="79"/>
      <c r="G50" s="79"/>
      <c r="H50" s="79"/>
      <c r="I50" s="79"/>
      <c r="J50" s="79"/>
      <c r="K50" s="79"/>
      <c r="L50" s="79"/>
      <c r="M50" s="79"/>
      <c r="N50" s="79"/>
      <c r="O50" s="79"/>
      <c r="P50" s="79"/>
      <c r="Q50" s="79"/>
      <c r="R50" s="79"/>
      <c r="S50" s="79"/>
      <c r="T50" s="79"/>
      <c r="U50" s="79"/>
      <c r="V50" s="79"/>
      <c r="W50" s="79"/>
      <c r="X50" s="79"/>
      <c r="Y50" s="79"/>
      <c r="Z50" s="79"/>
    </row>
    <row r="51">
      <c r="A51" s="79"/>
      <c r="B51" s="81" t="s">
        <v>1626</v>
      </c>
      <c r="C51" s="82" t="s">
        <v>1627</v>
      </c>
      <c r="D51" s="79"/>
      <c r="E51" s="79"/>
      <c r="F51" s="79"/>
      <c r="G51" s="79"/>
      <c r="H51" s="79"/>
      <c r="I51" s="79"/>
      <c r="J51" s="79"/>
      <c r="K51" s="79"/>
      <c r="L51" s="79"/>
      <c r="M51" s="79"/>
      <c r="N51" s="79"/>
      <c r="O51" s="79"/>
      <c r="P51" s="79"/>
      <c r="Q51" s="79"/>
      <c r="R51" s="79"/>
      <c r="S51" s="79"/>
      <c r="T51" s="79"/>
      <c r="U51" s="79"/>
      <c r="V51" s="79"/>
      <c r="W51" s="79"/>
      <c r="X51" s="79"/>
      <c r="Y51" s="79"/>
      <c r="Z51" s="79"/>
    </row>
    <row r="52">
      <c r="A52" s="79"/>
      <c r="B52" s="81" t="s">
        <v>480</v>
      </c>
      <c r="C52" s="82" t="s">
        <v>1628</v>
      </c>
      <c r="D52" s="79"/>
      <c r="E52" s="79"/>
      <c r="F52" s="79"/>
      <c r="G52" s="79"/>
      <c r="H52" s="79"/>
      <c r="I52" s="79"/>
      <c r="J52" s="79"/>
      <c r="K52" s="79"/>
      <c r="L52" s="79"/>
      <c r="M52" s="79"/>
      <c r="N52" s="79"/>
      <c r="O52" s="79"/>
      <c r="P52" s="79"/>
      <c r="Q52" s="79"/>
      <c r="R52" s="79"/>
      <c r="S52" s="79"/>
      <c r="T52" s="79"/>
      <c r="U52" s="79"/>
      <c r="V52" s="79"/>
      <c r="W52" s="79"/>
      <c r="X52" s="79"/>
      <c r="Y52" s="79"/>
      <c r="Z52" s="79"/>
    </row>
    <row r="53">
      <c r="A53" s="79"/>
      <c r="B53" s="81" t="s">
        <v>417</v>
      </c>
      <c r="C53" s="82" t="s">
        <v>1629</v>
      </c>
      <c r="D53" s="79"/>
      <c r="E53" s="79"/>
      <c r="F53" s="79"/>
      <c r="G53" s="79"/>
      <c r="H53" s="79"/>
      <c r="I53" s="79"/>
      <c r="J53" s="79"/>
      <c r="K53" s="79"/>
      <c r="L53" s="79"/>
      <c r="M53" s="79"/>
      <c r="N53" s="79"/>
      <c r="O53" s="79"/>
      <c r="P53" s="79"/>
      <c r="Q53" s="79"/>
      <c r="R53" s="79"/>
      <c r="S53" s="79"/>
      <c r="T53" s="79"/>
      <c r="U53" s="79"/>
      <c r="V53" s="79"/>
      <c r="W53" s="79"/>
      <c r="X53" s="79"/>
      <c r="Y53" s="79"/>
      <c r="Z53" s="79"/>
    </row>
    <row r="54">
      <c r="A54" s="79"/>
      <c r="B54" s="81" t="s">
        <v>1630</v>
      </c>
      <c r="C54" s="82" t="s">
        <v>1631</v>
      </c>
      <c r="D54" s="79"/>
      <c r="E54" s="79"/>
      <c r="F54" s="79"/>
      <c r="G54" s="79"/>
      <c r="H54" s="79"/>
      <c r="I54" s="79"/>
      <c r="J54" s="79"/>
      <c r="K54" s="79"/>
      <c r="L54" s="79"/>
      <c r="M54" s="79"/>
      <c r="N54" s="79"/>
      <c r="O54" s="79"/>
      <c r="P54" s="79"/>
      <c r="Q54" s="79"/>
      <c r="R54" s="79"/>
      <c r="S54" s="79"/>
      <c r="T54" s="79"/>
      <c r="U54" s="79"/>
      <c r="V54" s="79"/>
      <c r="W54" s="79"/>
      <c r="X54" s="79"/>
      <c r="Y54" s="79"/>
      <c r="Z54" s="79"/>
    </row>
    <row r="55">
      <c r="A55" s="79"/>
      <c r="B55" s="81" t="s">
        <v>1420</v>
      </c>
      <c r="C55" s="82" t="s">
        <v>1632</v>
      </c>
      <c r="D55" s="79"/>
      <c r="E55" s="79"/>
      <c r="F55" s="79"/>
      <c r="G55" s="79"/>
      <c r="H55" s="79"/>
      <c r="I55" s="79"/>
      <c r="J55" s="79"/>
      <c r="K55" s="79"/>
      <c r="L55" s="79"/>
      <c r="M55" s="79"/>
      <c r="N55" s="79"/>
      <c r="O55" s="79"/>
      <c r="P55" s="79"/>
      <c r="Q55" s="79"/>
      <c r="R55" s="79"/>
      <c r="S55" s="79"/>
      <c r="T55" s="79"/>
      <c r="U55" s="79"/>
      <c r="V55" s="79"/>
      <c r="W55" s="79"/>
      <c r="X55" s="79"/>
      <c r="Y55" s="79"/>
      <c r="Z55" s="79"/>
    </row>
    <row r="56">
      <c r="A56" s="79"/>
      <c r="B56" s="81" t="s">
        <v>1633</v>
      </c>
      <c r="C56" s="82" t="s">
        <v>1634</v>
      </c>
      <c r="D56" s="79"/>
      <c r="E56" s="79"/>
      <c r="F56" s="79"/>
      <c r="G56" s="79"/>
      <c r="H56" s="79"/>
      <c r="I56" s="79"/>
      <c r="J56" s="79"/>
      <c r="K56" s="79"/>
      <c r="L56" s="79"/>
      <c r="M56" s="79"/>
      <c r="N56" s="79"/>
      <c r="O56" s="79"/>
      <c r="P56" s="79"/>
      <c r="Q56" s="79"/>
      <c r="R56" s="79"/>
      <c r="S56" s="79"/>
      <c r="T56" s="79"/>
      <c r="U56" s="79"/>
      <c r="V56" s="79"/>
      <c r="W56" s="79"/>
      <c r="X56" s="79"/>
      <c r="Y56" s="79"/>
      <c r="Z56" s="79"/>
    </row>
    <row r="57">
      <c r="A57" s="79"/>
      <c r="B57" s="83" t="s">
        <v>73</v>
      </c>
      <c r="C57" s="80" t="s">
        <v>1561</v>
      </c>
      <c r="D57" s="79"/>
      <c r="E57" s="79"/>
      <c r="F57" s="79"/>
      <c r="G57" s="79"/>
      <c r="H57" s="79"/>
      <c r="I57" s="79"/>
      <c r="J57" s="79"/>
      <c r="K57" s="79"/>
      <c r="L57" s="79"/>
      <c r="M57" s="79"/>
      <c r="N57" s="79"/>
      <c r="O57" s="79"/>
      <c r="P57" s="79"/>
      <c r="Q57" s="79"/>
      <c r="R57" s="79"/>
      <c r="S57" s="79"/>
      <c r="T57" s="79"/>
      <c r="U57" s="79"/>
      <c r="V57" s="79"/>
      <c r="W57" s="79"/>
      <c r="X57" s="79"/>
      <c r="Y57" s="79"/>
      <c r="Z57" s="79"/>
    </row>
    <row r="58">
      <c r="A58" s="79"/>
      <c r="B58" s="81" t="s">
        <v>1635</v>
      </c>
      <c r="C58" s="82" t="s">
        <v>1636</v>
      </c>
      <c r="D58" s="79"/>
      <c r="E58" s="79"/>
      <c r="F58" s="79"/>
      <c r="G58" s="79"/>
      <c r="H58" s="79"/>
      <c r="I58" s="79"/>
      <c r="J58" s="79"/>
      <c r="K58" s="79"/>
      <c r="L58" s="79"/>
      <c r="M58" s="79"/>
      <c r="N58" s="79"/>
      <c r="O58" s="79"/>
      <c r="P58" s="79"/>
      <c r="Q58" s="79"/>
      <c r="R58" s="79"/>
      <c r="S58" s="79"/>
      <c r="T58" s="79"/>
      <c r="U58" s="79"/>
      <c r="V58" s="79"/>
      <c r="W58" s="79"/>
      <c r="X58" s="79"/>
      <c r="Y58" s="79"/>
      <c r="Z58" s="79"/>
    </row>
    <row r="59">
      <c r="A59" s="79"/>
      <c r="B59" s="81" t="s">
        <v>1637</v>
      </c>
      <c r="C59" s="82" t="s">
        <v>1638</v>
      </c>
      <c r="D59" s="79"/>
      <c r="E59" s="79"/>
      <c r="F59" s="79"/>
      <c r="G59" s="79"/>
      <c r="H59" s="79"/>
      <c r="I59" s="79"/>
      <c r="J59" s="79"/>
      <c r="K59" s="79"/>
      <c r="L59" s="79"/>
      <c r="M59" s="79"/>
      <c r="N59" s="79"/>
      <c r="O59" s="79"/>
      <c r="P59" s="79"/>
      <c r="Q59" s="79"/>
      <c r="R59" s="79"/>
      <c r="S59" s="79"/>
      <c r="T59" s="79"/>
      <c r="U59" s="79"/>
      <c r="V59" s="79"/>
      <c r="W59" s="79"/>
      <c r="X59" s="79"/>
      <c r="Y59" s="79"/>
      <c r="Z59" s="79"/>
    </row>
    <row r="60">
      <c r="A60" s="79"/>
      <c r="B60" s="81" t="s">
        <v>1639</v>
      </c>
      <c r="C60" s="82" t="s">
        <v>1640</v>
      </c>
      <c r="D60" s="79"/>
      <c r="E60" s="79"/>
      <c r="F60" s="79"/>
      <c r="G60" s="79"/>
      <c r="H60" s="79"/>
      <c r="I60" s="79"/>
      <c r="J60" s="79"/>
      <c r="K60" s="79"/>
      <c r="L60" s="79"/>
      <c r="M60" s="79"/>
      <c r="N60" s="79"/>
      <c r="O60" s="79"/>
      <c r="P60" s="79"/>
      <c r="Q60" s="79"/>
      <c r="R60" s="79"/>
      <c r="S60" s="79"/>
      <c r="T60" s="79"/>
      <c r="U60" s="79"/>
      <c r="V60" s="79"/>
      <c r="W60" s="79"/>
      <c r="X60" s="79"/>
      <c r="Y60" s="79"/>
      <c r="Z60" s="79"/>
    </row>
    <row r="61">
      <c r="A61" s="79"/>
      <c r="B61" s="83" t="s">
        <v>74</v>
      </c>
      <c r="C61" s="80" t="s">
        <v>1561</v>
      </c>
      <c r="D61" s="79"/>
      <c r="E61" s="79"/>
      <c r="F61" s="79"/>
      <c r="G61" s="79"/>
      <c r="H61" s="79"/>
      <c r="I61" s="79"/>
      <c r="J61" s="79"/>
      <c r="K61" s="79"/>
      <c r="L61" s="79"/>
      <c r="M61" s="79"/>
      <c r="N61" s="79"/>
      <c r="O61" s="79"/>
      <c r="P61" s="79"/>
      <c r="Q61" s="79"/>
      <c r="R61" s="79"/>
      <c r="S61" s="79"/>
      <c r="T61" s="79"/>
      <c r="U61" s="79"/>
      <c r="V61" s="79"/>
      <c r="W61" s="79"/>
      <c r="X61" s="79"/>
      <c r="Y61" s="79"/>
      <c r="Z61" s="79"/>
    </row>
    <row r="62">
      <c r="A62" s="79"/>
      <c r="B62" s="81" t="s">
        <v>1626</v>
      </c>
      <c r="C62" s="82" t="s">
        <v>1641</v>
      </c>
      <c r="D62" s="79"/>
      <c r="E62" s="79"/>
      <c r="F62" s="79"/>
      <c r="G62" s="79"/>
      <c r="H62" s="79"/>
      <c r="I62" s="79"/>
      <c r="J62" s="79"/>
      <c r="K62" s="79"/>
      <c r="L62" s="79"/>
      <c r="M62" s="79"/>
      <c r="N62" s="79"/>
      <c r="O62" s="79"/>
      <c r="P62" s="79"/>
      <c r="Q62" s="79"/>
      <c r="R62" s="79"/>
      <c r="S62" s="79"/>
      <c r="T62" s="79"/>
      <c r="U62" s="79"/>
      <c r="V62" s="79"/>
      <c r="W62" s="79"/>
      <c r="X62" s="79"/>
      <c r="Y62" s="79"/>
      <c r="Z62" s="79"/>
    </row>
    <row r="63">
      <c r="A63" s="79"/>
      <c r="B63" s="81" t="s">
        <v>1642</v>
      </c>
      <c r="C63" s="82" t="s">
        <v>1643</v>
      </c>
      <c r="D63" s="79"/>
      <c r="E63" s="79"/>
      <c r="F63" s="79"/>
      <c r="G63" s="79"/>
      <c r="H63" s="79"/>
      <c r="I63" s="79"/>
      <c r="J63" s="79"/>
      <c r="K63" s="79"/>
      <c r="L63" s="79"/>
      <c r="M63" s="79"/>
      <c r="N63" s="79"/>
      <c r="O63" s="79"/>
      <c r="P63" s="79"/>
      <c r="Q63" s="79"/>
      <c r="R63" s="79"/>
      <c r="S63" s="79"/>
      <c r="T63" s="79"/>
      <c r="U63" s="79"/>
      <c r="V63" s="79"/>
      <c r="W63" s="79"/>
      <c r="X63" s="79"/>
      <c r="Y63" s="79"/>
      <c r="Z63" s="79"/>
    </row>
    <row r="64">
      <c r="A64" s="79"/>
      <c r="B64" s="81" t="s">
        <v>1644</v>
      </c>
      <c r="C64" s="82" t="s">
        <v>1645</v>
      </c>
      <c r="D64" s="79"/>
      <c r="E64" s="79"/>
      <c r="F64" s="79"/>
      <c r="G64" s="79"/>
      <c r="H64" s="79"/>
      <c r="I64" s="79"/>
      <c r="J64" s="79"/>
      <c r="K64" s="79"/>
      <c r="L64" s="79"/>
      <c r="M64" s="79"/>
      <c r="N64" s="79"/>
      <c r="O64" s="79"/>
      <c r="P64" s="79"/>
      <c r="Q64" s="79"/>
      <c r="R64" s="79"/>
      <c r="S64" s="79"/>
      <c r="T64" s="79"/>
      <c r="U64" s="79"/>
      <c r="V64" s="79"/>
      <c r="W64" s="79"/>
      <c r="X64" s="79"/>
      <c r="Y64" s="79"/>
      <c r="Z64" s="79"/>
    </row>
    <row r="65">
      <c r="A65" s="79"/>
      <c r="B65" s="81" t="s">
        <v>1646</v>
      </c>
      <c r="C65" s="82" t="s">
        <v>1647</v>
      </c>
      <c r="D65" s="79"/>
      <c r="E65" s="79"/>
      <c r="F65" s="79"/>
      <c r="G65" s="79"/>
      <c r="H65" s="79"/>
      <c r="I65" s="79"/>
      <c r="J65" s="79"/>
      <c r="K65" s="79"/>
      <c r="L65" s="79"/>
      <c r="M65" s="79"/>
      <c r="N65" s="79"/>
      <c r="O65" s="79"/>
      <c r="P65" s="79"/>
      <c r="Q65" s="79"/>
      <c r="R65" s="79"/>
      <c r="S65" s="79"/>
      <c r="T65" s="79"/>
      <c r="U65" s="79"/>
      <c r="V65" s="79"/>
      <c r="W65" s="79"/>
      <c r="X65" s="79"/>
      <c r="Y65" s="79"/>
      <c r="Z65" s="79"/>
    </row>
    <row r="66">
      <c r="A66" s="79"/>
      <c r="B66" s="81" t="s">
        <v>1648</v>
      </c>
      <c r="C66" s="82" t="s">
        <v>1649</v>
      </c>
      <c r="D66" s="79"/>
      <c r="E66" s="79"/>
      <c r="F66" s="79"/>
      <c r="G66" s="79"/>
      <c r="H66" s="79"/>
      <c r="I66" s="79"/>
      <c r="J66" s="79"/>
      <c r="K66" s="79"/>
      <c r="L66" s="79"/>
      <c r="M66" s="79"/>
      <c r="N66" s="79"/>
      <c r="O66" s="79"/>
      <c r="P66" s="79"/>
      <c r="Q66" s="79"/>
      <c r="R66" s="79"/>
      <c r="S66" s="79"/>
      <c r="T66" s="79"/>
      <c r="U66" s="79"/>
      <c r="V66" s="79"/>
      <c r="W66" s="79"/>
      <c r="X66" s="79"/>
      <c r="Y66" s="79"/>
      <c r="Z66" s="79"/>
    </row>
    <row r="67">
      <c r="A67" s="79"/>
      <c r="B67" s="81" t="s">
        <v>1650</v>
      </c>
      <c r="C67" s="82" t="s">
        <v>1651</v>
      </c>
      <c r="D67" s="79"/>
      <c r="E67" s="79"/>
      <c r="F67" s="79"/>
      <c r="G67" s="79"/>
      <c r="H67" s="79"/>
      <c r="I67" s="79"/>
      <c r="J67" s="79"/>
      <c r="K67" s="79"/>
      <c r="L67" s="79"/>
      <c r="M67" s="79"/>
      <c r="N67" s="79"/>
      <c r="O67" s="79"/>
      <c r="P67" s="79"/>
      <c r="Q67" s="79"/>
      <c r="R67" s="79"/>
      <c r="S67" s="79"/>
      <c r="T67" s="79"/>
      <c r="U67" s="79"/>
      <c r="V67" s="79"/>
      <c r="W67" s="79"/>
      <c r="X67" s="79"/>
      <c r="Y67" s="79"/>
      <c r="Z67" s="79"/>
    </row>
    <row r="68">
      <c r="A68" s="79"/>
      <c r="B68" s="81" t="s">
        <v>1386</v>
      </c>
      <c r="C68" s="82" t="s">
        <v>1652</v>
      </c>
      <c r="D68" s="79"/>
      <c r="E68" s="79"/>
      <c r="F68" s="79"/>
      <c r="G68" s="79"/>
      <c r="H68" s="79"/>
      <c r="I68" s="79"/>
      <c r="J68" s="79"/>
      <c r="K68" s="79"/>
      <c r="L68" s="79"/>
      <c r="M68" s="79"/>
      <c r="N68" s="79"/>
      <c r="O68" s="79"/>
      <c r="P68" s="79"/>
      <c r="Q68" s="79"/>
      <c r="R68" s="79"/>
      <c r="S68" s="79"/>
      <c r="T68" s="79"/>
      <c r="U68" s="79"/>
      <c r="V68" s="79"/>
      <c r="W68" s="79"/>
      <c r="X68" s="79"/>
      <c r="Y68" s="79"/>
      <c r="Z68" s="79"/>
    </row>
    <row r="69">
      <c r="A69" s="79"/>
      <c r="B69" s="81" t="s">
        <v>1653</v>
      </c>
      <c r="C69" s="82" t="s">
        <v>1654</v>
      </c>
      <c r="D69" s="79"/>
      <c r="E69" s="79"/>
      <c r="F69" s="79"/>
      <c r="G69" s="79"/>
      <c r="H69" s="79"/>
      <c r="I69" s="79"/>
      <c r="J69" s="79"/>
      <c r="K69" s="79"/>
      <c r="L69" s="79"/>
      <c r="M69" s="79"/>
      <c r="N69" s="79"/>
      <c r="O69" s="79"/>
      <c r="P69" s="79"/>
      <c r="Q69" s="79"/>
      <c r="R69" s="79"/>
      <c r="S69" s="79"/>
      <c r="T69" s="79"/>
      <c r="U69" s="79"/>
      <c r="V69" s="79"/>
      <c r="W69" s="79"/>
      <c r="X69" s="79"/>
      <c r="Y69" s="79"/>
      <c r="Z69" s="79"/>
    </row>
    <row r="70">
      <c r="A70" s="79"/>
      <c r="B70" s="81" t="s">
        <v>1655</v>
      </c>
      <c r="C70" s="82" t="s">
        <v>1656</v>
      </c>
      <c r="D70" s="79"/>
      <c r="E70" s="79"/>
      <c r="F70" s="79"/>
      <c r="G70" s="79"/>
      <c r="H70" s="79"/>
      <c r="I70" s="79"/>
      <c r="J70" s="79"/>
      <c r="K70" s="79"/>
      <c r="L70" s="79"/>
      <c r="M70" s="79"/>
      <c r="N70" s="79"/>
      <c r="O70" s="79"/>
      <c r="P70" s="79"/>
      <c r="Q70" s="79"/>
      <c r="R70" s="79"/>
      <c r="S70" s="79"/>
      <c r="T70" s="79"/>
      <c r="U70" s="79"/>
      <c r="V70" s="79"/>
      <c r="W70" s="79"/>
      <c r="X70" s="79"/>
      <c r="Y70" s="79"/>
      <c r="Z70" s="79"/>
    </row>
    <row r="71">
      <c r="A71" s="79"/>
      <c r="B71" s="81" t="s">
        <v>1657</v>
      </c>
      <c r="C71" s="82" t="s">
        <v>1658</v>
      </c>
      <c r="D71" s="79"/>
      <c r="E71" s="79"/>
      <c r="F71" s="79"/>
      <c r="G71" s="79"/>
      <c r="H71" s="79"/>
      <c r="I71" s="79"/>
      <c r="J71" s="79"/>
      <c r="K71" s="79"/>
      <c r="L71" s="79"/>
      <c r="M71" s="79"/>
      <c r="N71" s="79"/>
      <c r="O71" s="79"/>
      <c r="P71" s="79"/>
      <c r="Q71" s="79"/>
      <c r="R71" s="79"/>
      <c r="S71" s="79"/>
      <c r="T71" s="79"/>
      <c r="U71" s="79"/>
      <c r="V71" s="79"/>
      <c r="W71" s="79"/>
      <c r="X71" s="79"/>
      <c r="Y71" s="79"/>
      <c r="Z71" s="79"/>
    </row>
    <row r="72">
      <c r="A72" s="79"/>
      <c r="B72" s="79"/>
      <c r="C72" s="79"/>
      <c r="D72" s="79"/>
      <c r="E72" s="79"/>
      <c r="F72" s="79"/>
      <c r="G72" s="79"/>
      <c r="H72" s="79"/>
      <c r="I72" s="79"/>
      <c r="J72" s="79"/>
      <c r="K72" s="79"/>
      <c r="L72" s="79"/>
      <c r="M72" s="79"/>
      <c r="N72" s="79"/>
      <c r="O72" s="79"/>
      <c r="P72" s="79"/>
      <c r="Q72" s="79"/>
      <c r="R72" s="79"/>
      <c r="S72" s="79"/>
      <c r="T72" s="79"/>
      <c r="U72" s="79"/>
      <c r="V72" s="79"/>
      <c r="W72" s="79"/>
      <c r="X72" s="79"/>
      <c r="Y72" s="79"/>
      <c r="Z72" s="79"/>
    </row>
    <row r="73">
      <c r="A73" s="79"/>
      <c r="B73" s="79"/>
      <c r="C73" s="79"/>
      <c r="D73" s="79"/>
      <c r="E73" s="79"/>
      <c r="F73" s="79"/>
      <c r="G73" s="79"/>
      <c r="H73" s="79"/>
      <c r="I73" s="79"/>
      <c r="J73" s="79"/>
      <c r="K73" s="79"/>
      <c r="L73" s="79"/>
      <c r="M73" s="79"/>
      <c r="N73" s="79"/>
      <c r="O73" s="79"/>
      <c r="P73" s="79"/>
      <c r="Q73" s="79"/>
      <c r="R73" s="79"/>
      <c r="S73" s="79"/>
      <c r="T73" s="79"/>
      <c r="U73" s="79"/>
      <c r="V73" s="79"/>
      <c r="W73" s="79"/>
      <c r="X73" s="79"/>
      <c r="Y73" s="79"/>
      <c r="Z73" s="79"/>
    </row>
    <row r="74">
      <c r="A74" s="79"/>
      <c r="B74" s="79"/>
      <c r="C74" s="79"/>
      <c r="D74" s="79"/>
      <c r="E74" s="79"/>
      <c r="F74" s="79"/>
      <c r="G74" s="79"/>
      <c r="H74" s="79"/>
      <c r="I74" s="79"/>
      <c r="J74" s="79"/>
      <c r="K74" s="79"/>
      <c r="L74" s="79"/>
      <c r="M74" s="79"/>
      <c r="N74" s="79"/>
      <c r="O74" s="79"/>
      <c r="P74" s="79"/>
      <c r="Q74" s="79"/>
      <c r="R74" s="79"/>
      <c r="S74" s="79"/>
      <c r="T74" s="79"/>
      <c r="U74" s="79"/>
      <c r="V74" s="79"/>
      <c r="W74" s="79"/>
      <c r="X74" s="79"/>
      <c r="Y74" s="79"/>
      <c r="Z74" s="79"/>
    </row>
    <row r="75">
      <c r="A75" s="79"/>
      <c r="B75" s="79"/>
      <c r="C75" s="79"/>
      <c r="D75" s="79"/>
      <c r="E75" s="79"/>
      <c r="F75" s="79"/>
      <c r="G75" s="79"/>
      <c r="H75" s="79"/>
      <c r="I75" s="79"/>
      <c r="J75" s="79"/>
      <c r="K75" s="79"/>
      <c r="L75" s="79"/>
      <c r="M75" s="79"/>
      <c r="N75" s="79"/>
      <c r="O75" s="79"/>
      <c r="P75" s="79"/>
      <c r="Q75" s="79"/>
      <c r="R75" s="79"/>
      <c r="S75" s="79"/>
      <c r="T75" s="79"/>
      <c r="U75" s="79"/>
      <c r="V75" s="79"/>
      <c r="W75" s="79"/>
      <c r="X75" s="79"/>
      <c r="Y75" s="79"/>
      <c r="Z75" s="79"/>
    </row>
    <row r="76">
      <c r="A76" s="79"/>
      <c r="B76" s="79"/>
      <c r="C76" s="79"/>
      <c r="D76" s="79"/>
      <c r="E76" s="79"/>
      <c r="F76" s="79"/>
      <c r="G76" s="79"/>
      <c r="H76" s="79"/>
      <c r="I76" s="79"/>
      <c r="J76" s="79"/>
      <c r="K76" s="79"/>
      <c r="L76" s="79"/>
      <c r="M76" s="79"/>
      <c r="N76" s="79"/>
      <c r="O76" s="79"/>
      <c r="P76" s="79"/>
      <c r="Q76" s="79"/>
      <c r="R76" s="79"/>
      <c r="S76" s="79"/>
      <c r="T76" s="79"/>
      <c r="U76" s="79"/>
      <c r="V76" s="79"/>
      <c r="W76" s="79"/>
      <c r="X76" s="79"/>
      <c r="Y76" s="79"/>
      <c r="Z76" s="79"/>
    </row>
    <row r="77">
      <c r="A77" s="79"/>
      <c r="B77" s="79"/>
      <c r="C77" s="79"/>
      <c r="D77" s="79"/>
      <c r="E77" s="79"/>
      <c r="F77" s="79"/>
      <c r="G77" s="79"/>
      <c r="H77" s="79"/>
      <c r="I77" s="79"/>
      <c r="J77" s="79"/>
      <c r="K77" s="79"/>
      <c r="L77" s="79"/>
      <c r="M77" s="79"/>
      <c r="N77" s="79"/>
      <c r="O77" s="79"/>
      <c r="P77" s="79"/>
      <c r="Q77" s="79"/>
      <c r="R77" s="79"/>
      <c r="S77" s="79"/>
      <c r="T77" s="79"/>
      <c r="U77" s="79"/>
      <c r="V77" s="79"/>
      <c r="W77" s="79"/>
      <c r="X77" s="79"/>
      <c r="Y77" s="79"/>
      <c r="Z77" s="79"/>
    </row>
    <row r="78">
      <c r="A78" s="79"/>
      <c r="B78" s="79"/>
      <c r="C78" s="79"/>
      <c r="D78" s="79"/>
      <c r="E78" s="79"/>
      <c r="F78" s="79"/>
      <c r="G78" s="79"/>
      <c r="H78" s="79"/>
      <c r="I78" s="79"/>
      <c r="J78" s="79"/>
      <c r="K78" s="79"/>
      <c r="L78" s="79"/>
      <c r="M78" s="79"/>
      <c r="N78" s="79"/>
      <c r="O78" s="79"/>
      <c r="P78" s="79"/>
      <c r="Q78" s="79"/>
      <c r="R78" s="79"/>
      <c r="S78" s="79"/>
      <c r="T78" s="79"/>
      <c r="U78" s="79"/>
      <c r="V78" s="79"/>
      <c r="W78" s="79"/>
      <c r="X78" s="79"/>
      <c r="Y78" s="79"/>
      <c r="Z78" s="79"/>
    </row>
    <row r="79">
      <c r="A79" s="79"/>
      <c r="B79" s="79"/>
      <c r="C79" s="79"/>
      <c r="D79" s="79"/>
      <c r="E79" s="79"/>
      <c r="F79" s="79"/>
      <c r="G79" s="79"/>
      <c r="H79" s="79"/>
      <c r="I79" s="79"/>
      <c r="J79" s="79"/>
      <c r="K79" s="79"/>
      <c r="L79" s="79"/>
      <c r="M79" s="79"/>
      <c r="N79" s="79"/>
      <c r="O79" s="79"/>
      <c r="P79" s="79"/>
      <c r="Q79" s="79"/>
      <c r="R79" s="79"/>
      <c r="S79" s="79"/>
      <c r="T79" s="79"/>
      <c r="U79" s="79"/>
      <c r="V79" s="79"/>
      <c r="W79" s="79"/>
      <c r="X79" s="79"/>
      <c r="Y79" s="79"/>
      <c r="Z79" s="79"/>
    </row>
    <row r="80">
      <c r="A80" s="79"/>
      <c r="B80" s="79"/>
      <c r="C80" s="79"/>
      <c r="D80" s="79"/>
      <c r="E80" s="79"/>
      <c r="F80" s="79"/>
      <c r="G80" s="79"/>
      <c r="H80" s="79"/>
      <c r="I80" s="79"/>
      <c r="J80" s="79"/>
      <c r="K80" s="79"/>
      <c r="L80" s="79"/>
      <c r="M80" s="79"/>
      <c r="N80" s="79"/>
      <c r="O80" s="79"/>
      <c r="P80" s="79"/>
      <c r="Q80" s="79"/>
      <c r="R80" s="79"/>
      <c r="S80" s="79"/>
      <c r="T80" s="79"/>
      <c r="U80" s="79"/>
      <c r="V80" s="79"/>
      <c r="W80" s="79"/>
      <c r="X80" s="79"/>
      <c r="Y80" s="79"/>
      <c r="Z80" s="79"/>
    </row>
    <row r="81">
      <c r="A81" s="79"/>
      <c r="B81" s="79"/>
      <c r="C81" s="79"/>
      <c r="D81" s="79"/>
      <c r="E81" s="79"/>
      <c r="F81" s="79"/>
      <c r="G81" s="79"/>
      <c r="H81" s="79"/>
      <c r="I81" s="79"/>
      <c r="J81" s="79"/>
      <c r="K81" s="79"/>
      <c r="L81" s="79"/>
      <c r="M81" s="79"/>
      <c r="N81" s="79"/>
      <c r="O81" s="79"/>
      <c r="P81" s="79"/>
      <c r="Q81" s="79"/>
      <c r="R81" s="79"/>
      <c r="S81" s="79"/>
      <c r="T81" s="79"/>
      <c r="U81" s="79"/>
      <c r="V81" s="79"/>
      <c r="W81" s="79"/>
      <c r="X81" s="79"/>
      <c r="Y81" s="79"/>
      <c r="Z81" s="79"/>
    </row>
    <row r="82">
      <c r="A82" s="79"/>
      <c r="B82" s="79"/>
      <c r="C82" s="79"/>
      <c r="D82" s="79"/>
      <c r="E82" s="79"/>
      <c r="F82" s="79"/>
      <c r="G82" s="79"/>
      <c r="H82" s="79"/>
      <c r="I82" s="79"/>
      <c r="J82" s="79"/>
      <c r="K82" s="79"/>
      <c r="L82" s="79"/>
      <c r="M82" s="79"/>
      <c r="N82" s="79"/>
      <c r="O82" s="79"/>
      <c r="P82" s="79"/>
      <c r="Q82" s="79"/>
      <c r="R82" s="79"/>
      <c r="S82" s="79"/>
      <c r="T82" s="79"/>
      <c r="U82" s="79"/>
      <c r="V82" s="79"/>
      <c r="W82" s="79"/>
      <c r="X82" s="79"/>
      <c r="Y82" s="79"/>
      <c r="Z82" s="79"/>
    </row>
    <row r="83">
      <c r="A83" s="79"/>
      <c r="B83" s="79"/>
      <c r="C83" s="79"/>
      <c r="D83" s="79"/>
      <c r="E83" s="79"/>
      <c r="F83" s="79"/>
      <c r="G83" s="79"/>
      <c r="H83" s="79"/>
      <c r="I83" s="79"/>
      <c r="J83" s="79"/>
      <c r="K83" s="79"/>
      <c r="L83" s="79"/>
      <c r="M83" s="79"/>
      <c r="N83" s="79"/>
      <c r="O83" s="79"/>
      <c r="P83" s="79"/>
      <c r="Q83" s="79"/>
      <c r="R83" s="79"/>
      <c r="S83" s="79"/>
      <c r="T83" s="79"/>
      <c r="U83" s="79"/>
      <c r="V83" s="79"/>
      <c r="W83" s="79"/>
      <c r="X83" s="79"/>
      <c r="Y83" s="79"/>
      <c r="Z83" s="79"/>
    </row>
    <row r="84">
      <c r="A84" s="79"/>
      <c r="B84" s="79"/>
      <c r="C84" s="79"/>
      <c r="D84" s="79"/>
      <c r="E84" s="79"/>
      <c r="F84" s="79"/>
      <c r="G84" s="79"/>
      <c r="H84" s="79"/>
      <c r="I84" s="79"/>
      <c r="J84" s="79"/>
      <c r="K84" s="79"/>
      <c r="L84" s="79"/>
      <c r="M84" s="79"/>
      <c r="N84" s="79"/>
      <c r="O84" s="79"/>
      <c r="P84" s="79"/>
      <c r="Q84" s="79"/>
      <c r="R84" s="79"/>
      <c r="S84" s="79"/>
      <c r="T84" s="79"/>
      <c r="U84" s="79"/>
      <c r="V84" s="79"/>
      <c r="W84" s="79"/>
      <c r="X84" s="79"/>
      <c r="Y84" s="79"/>
      <c r="Z84" s="79"/>
    </row>
    <row r="85">
      <c r="A85" s="79"/>
      <c r="B85" s="79"/>
      <c r="C85" s="79"/>
      <c r="D85" s="79"/>
      <c r="E85" s="79"/>
      <c r="F85" s="79"/>
      <c r="G85" s="79"/>
      <c r="H85" s="79"/>
      <c r="I85" s="79"/>
      <c r="J85" s="79"/>
      <c r="K85" s="79"/>
      <c r="L85" s="79"/>
      <c r="M85" s="79"/>
      <c r="N85" s="79"/>
      <c r="O85" s="79"/>
      <c r="P85" s="79"/>
      <c r="Q85" s="79"/>
      <c r="R85" s="79"/>
      <c r="S85" s="79"/>
      <c r="T85" s="79"/>
      <c r="U85" s="79"/>
      <c r="V85" s="79"/>
      <c r="W85" s="79"/>
      <c r="X85" s="79"/>
      <c r="Y85" s="79"/>
      <c r="Z85" s="79"/>
    </row>
    <row r="86">
      <c r="A86" s="79"/>
      <c r="B86" s="79"/>
      <c r="C86" s="79"/>
      <c r="D86" s="79"/>
      <c r="E86" s="79"/>
      <c r="F86" s="79"/>
      <c r="G86" s="79"/>
      <c r="H86" s="79"/>
      <c r="I86" s="79"/>
      <c r="J86" s="79"/>
      <c r="K86" s="79"/>
      <c r="L86" s="79"/>
      <c r="M86" s="79"/>
      <c r="N86" s="79"/>
      <c r="O86" s="79"/>
      <c r="P86" s="79"/>
      <c r="Q86" s="79"/>
      <c r="R86" s="79"/>
      <c r="S86" s="79"/>
      <c r="T86" s="79"/>
      <c r="U86" s="79"/>
      <c r="V86" s="79"/>
      <c r="W86" s="79"/>
      <c r="X86" s="79"/>
      <c r="Y86" s="79"/>
      <c r="Z86" s="79"/>
    </row>
    <row r="87">
      <c r="A87" s="79"/>
      <c r="B87" s="79"/>
      <c r="C87" s="79"/>
      <c r="D87" s="79"/>
      <c r="E87" s="79"/>
      <c r="F87" s="79"/>
      <c r="G87" s="79"/>
      <c r="H87" s="79"/>
      <c r="I87" s="79"/>
      <c r="J87" s="79"/>
      <c r="K87" s="79"/>
      <c r="L87" s="79"/>
      <c r="M87" s="79"/>
      <c r="N87" s="79"/>
      <c r="O87" s="79"/>
      <c r="P87" s="79"/>
      <c r="Q87" s="79"/>
      <c r="R87" s="79"/>
      <c r="S87" s="79"/>
      <c r="T87" s="79"/>
      <c r="U87" s="79"/>
      <c r="V87" s="79"/>
      <c r="W87" s="79"/>
      <c r="X87" s="79"/>
      <c r="Y87" s="79"/>
      <c r="Z87" s="79"/>
    </row>
    <row r="88">
      <c r="A88" s="79"/>
      <c r="B88" s="79"/>
      <c r="C88" s="79"/>
      <c r="D88" s="79"/>
      <c r="E88" s="79"/>
      <c r="F88" s="79"/>
      <c r="G88" s="79"/>
      <c r="H88" s="79"/>
      <c r="I88" s="79"/>
      <c r="J88" s="79"/>
      <c r="K88" s="79"/>
      <c r="L88" s="79"/>
      <c r="M88" s="79"/>
      <c r="N88" s="79"/>
      <c r="O88" s="79"/>
      <c r="P88" s="79"/>
      <c r="Q88" s="79"/>
      <c r="R88" s="79"/>
      <c r="S88" s="79"/>
      <c r="T88" s="79"/>
      <c r="U88" s="79"/>
      <c r="V88" s="79"/>
      <c r="W88" s="79"/>
      <c r="X88" s="79"/>
      <c r="Y88" s="79"/>
      <c r="Z88" s="79"/>
    </row>
    <row r="89">
      <c r="A89" s="79"/>
      <c r="B89" s="79"/>
      <c r="C89" s="79"/>
      <c r="D89" s="79"/>
      <c r="E89" s="79"/>
      <c r="F89" s="79"/>
      <c r="G89" s="79"/>
      <c r="H89" s="79"/>
      <c r="I89" s="79"/>
      <c r="J89" s="79"/>
      <c r="K89" s="79"/>
      <c r="L89" s="79"/>
      <c r="M89" s="79"/>
      <c r="N89" s="79"/>
      <c r="O89" s="79"/>
      <c r="P89" s="79"/>
      <c r="Q89" s="79"/>
      <c r="R89" s="79"/>
      <c r="S89" s="79"/>
      <c r="T89" s="79"/>
      <c r="U89" s="79"/>
      <c r="V89" s="79"/>
      <c r="W89" s="79"/>
      <c r="X89" s="79"/>
      <c r="Y89" s="79"/>
      <c r="Z89" s="79"/>
    </row>
    <row r="90">
      <c r="A90" s="79"/>
      <c r="B90" s="79"/>
      <c r="C90" s="79"/>
      <c r="D90" s="79"/>
      <c r="E90" s="79"/>
      <c r="F90" s="79"/>
      <c r="G90" s="79"/>
      <c r="H90" s="79"/>
      <c r="I90" s="79"/>
      <c r="J90" s="79"/>
      <c r="K90" s="79"/>
      <c r="L90" s="79"/>
      <c r="M90" s="79"/>
      <c r="N90" s="79"/>
      <c r="O90" s="79"/>
      <c r="P90" s="79"/>
      <c r="Q90" s="79"/>
      <c r="R90" s="79"/>
      <c r="S90" s="79"/>
      <c r="T90" s="79"/>
      <c r="U90" s="79"/>
      <c r="V90" s="79"/>
      <c r="W90" s="79"/>
      <c r="X90" s="79"/>
      <c r="Y90" s="79"/>
      <c r="Z90" s="79"/>
    </row>
    <row r="91">
      <c r="A91" s="79"/>
      <c r="B91" s="79"/>
      <c r="C91" s="79"/>
      <c r="D91" s="79"/>
      <c r="E91" s="79"/>
      <c r="F91" s="79"/>
      <c r="G91" s="79"/>
      <c r="H91" s="79"/>
      <c r="I91" s="79"/>
      <c r="J91" s="79"/>
      <c r="K91" s="79"/>
      <c r="L91" s="79"/>
      <c r="M91" s="79"/>
      <c r="N91" s="79"/>
      <c r="O91" s="79"/>
      <c r="P91" s="79"/>
      <c r="Q91" s="79"/>
      <c r="R91" s="79"/>
      <c r="S91" s="79"/>
      <c r="T91" s="79"/>
      <c r="U91" s="79"/>
      <c r="V91" s="79"/>
      <c r="W91" s="79"/>
      <c r="X91" s="79"/>
      <c r="Y91" s="79"/>
      <c r="Z91" s="79"/>
    </row>
    <row r="92">
      <c r="A92" s="79"/>
      <c r="B92" s="79"/>
      <c r="C92" s="79"/>
      <c r="D92" s="79"/>
      <c r="E92" s="79"/>
      <c r="F92" s="79"/>
      <c r="G92" s="79"/>
      <c r="H92" s="79"/>
      <c r="I92" s="79"/>
      <c r="J92" s="79"/>
      <c r="K92" s="79"/>
      <c r="L92" s="79"/>
      <c r="M92" s="79"/>
      <c r="N92" s="79"/>
      <c r="O92" s="79"/>
      <c r="P92" s="79"/>
      <c r="Q92" s="79"/>
      <c r="R92" s="79"/>
      <c r="S92" s="79"/>
      <c r="T92" s="79"/>
      <c r="U92" s="79"/>
      <c r="V92" s="79"/>
      <c r="W92" s="79"/>
      <c r="X92" s="79"/>
      <c r="Y92" s="79"/>
      <c r="Z92" s="79"/>
    </row>
    <row r="93">
      <c r="A93" s="79"/>
      <c r="B93" s="79"/>
      <c r="C93" s="79"/>
      <c r="D93" s="79"/>
      <c r="E93" s="79"/>
      <c r="F93" s="79"/>
      <c r="G93" s="79"/>
      <c r="H93" s="79"/>
      <c r="I93" s="79"/>
      <c r="J93" s="79"/>
      <c r="K93" s="79"/>
      <c r="L93" s="79"/>
      <c r="M93" s="79"/>
      <c r="N93" s="79"/>
      <c r="O93" s="79"/>
      <c r="P93" s="79"/>
      <c r="Q93" s="79"/>
      <c r="R93" s="79"/>
      <c r="S93" s="79"/>
      <c r="T93" s="79"/>
      <c r="U93" s="79"/>
      <c r="V93" s="79"/>
      <c r="W93" s="79"/>
      <c r="X93" s="79"/>
      <c r="Y93" s="79"/>
      <c r="Z93" s="79"/>
    </row>
    <row r="94">
      <c r="A94" s="79"/>
      <c r="B94" s="79"/>
      <c r="C94" s="79"/>
      <c r="D94" s="79"/>
      <c r="E94" s="79"/>
      <c r="F94" s="79"/>
      <c r="G94" s="79"/>
      <c r="H94" s="79"/>
      <c r="I94" s="79"/>
      <c r="J94" s="79"/>
      <c r="K94" s="79"/>
      <c r="L94" s="79"/>
      <c r="M94" s="79"/>
      <c r="N94" s="79"/>
      <c r="O94" s="79"/>
      <c r="P94" s="79"/>
      <c r="Q94" s="79"/>
      <c r="R94" s="79"/>
      <c r="S94" s="79"/>
      <c r="T94" s="79"/>
      <c r="U94" s="79"/>
      <c r="V94" s="79"/>
      <c r="W94" s="79"/>
      <c r="X94" s="79"/>
      <c r="Y94" s="79"/>
      <c r="Z94" s="79"/>
    </row>
    <row r="95">
      <c r="A95" s="79"/>
      <c r="B95" s="79"/>
      <c r="C95" s="79"/>
      <c r="D95" s="79"/>
      <c r="E95" s="79"/>
      <c r="F95" s="79"/>
      <c r="G95" s="79"/>
      <c r="H95" s="79"/>
      <c r="I95" s="79"/>
      <c r="J95" s="79"/>
      <c r="K95" s="79"/>
      <c r="L95" s="79"/>
      <c r="M95" s="79"/>
      <c r="N95" s="79"/>
      <c r="O95" s="79"/>
      <c r="P95" s="79"/>
      <c r="Q95" s="79"/>
      <c r="R95" s="79"/>
      <c r="S95" s="79"/>
      <c r="T95" s="79"/>
      <c r="U95" s="79"/>
      <c r="V95" s="79"/>
      <c r="W95" s="79"/>
      <c r="X95" s="79"/>
      <c r="Y95" s="79"/>
      <c r="Z95" s="79"/>
    </row>
    <row r="96">
      <c r="A96" s="79"/>
      <c r="B96" s="79"/>
      <c r="C96" s="79"/>
      <c r="D96" s="79"/>
      <c r="E96" s="79"/>
      <c r="F96" s="79"/>
      <c r="G96" s="79"/>
      <c r="H96" s="79"/>
      <c r="I96" s="79"/>
      <c r="J96" s="79"/>
      <c r="K96" s="79"/>
      <c r="L96" s="79"/>
      <c r="M96" s="79"/>
      <c r="N96" s="79"/>
      <c r="O96" s="79"/>
      <c r="P96" s="79"/>
      <c r="Q96" s="79"/>
      <c r="R96" s="79"/>
      <c r="S96" s="79"/>
      <c r="T96" s="79"/>
      <c r="U96" s="79"/>
      <c r="V96" s="79"/>
      <c r="W96" s="79"/>
      <c r="X96" s="79"/>
      <c r="Y96" s="79"/>
      <c r="Z96" s="79"/>
    </row>
    <row r="97">
      <c r="A97" s="79"/>
      <c r="B97" s="79"/>
      <c r="C97" s="79"/>
      <c r="D97" s="79"/>
      <c r="E97" s="79"/>
      <c r="F97" s="79"/>
      <c r="G97" s="79"/>
      <c r="H97" s="79"/>
      <c r="I97" s="79"/>
      <c r="J97" s="79"/>
      <c r="K97" s="79"/>
      <c r="L97" s="79"/>
      <c r="M97" s="79"/>
      <c r="N97" s="79"/>
      <c r="O97" s="79"/>
      <c r="P97" s="79"/>
      <c r="Q97" s="79"/>
      <c r="R97" s="79"/>
      <c r="S97" s="79"/>
      <c r="T97" s="79"/>
      <c r="U97" s="79"/>
      <c r="V97" s="79"/>
      <c r="W97" s="79"/>
      <c r="X97" s="79"/>
      <c r="Y97" s="79"/>
      <c r="Z97" s="79"/>
    </row>
    <row r="98">
      <c r="A98" s="79"/>
      <c r="B98" s="79"/>
      <c r="C98" s="79"/>
      <c r="D98" s="79"/>
      <c r="E98" s="79"/>
      <c r="F98" s="79"/>
      <c r="G98" s="79"/>
      <c r="H98" s="79"/>
      <c r="I98" s="79"/>
      <c r="J98" s="79"/>
      <c r="K98" s="79"/>
      <c r="L98" s="79"/>
      <c r="M98" s="79"/>
      <c r="N98" s="79"/>
      <c r="O98" s="79"/>
      <c r="P98" s="79"/>
      <c r="Q98" s="79"/>
      <c r="R98" s="79"/>
      <c r="S98" s="79"/>
      <c r="T98" s="79"/>
      <c r="U98" s="79"/>
      <c r="V98" s="79"/>
      <c r="W98" s="79"/>
      <c r="X98" s="79"/>
      <c r="Y98" s="79"/>
      <c r="Z98" s="79"/>
    </row>
    <row r="99">
      <c r="A99" s="79"/>
      <c r="B99" s="79"/>
      <c r="C99" s="79"/>
      <c r="D99" s="79"/>
      <c r="E99" s="79"/>
      <c r="F99" s="79"/>
      <c r="G99" s="79"/>
      <c r="H99" s="79"/>
      <c r="I99" s="79"/>
      <c r="J99" s="79"/>
      <c r="K99" s="79"/>
      <c r="L99" s="79"/>
      <c r="M99" s="79"/>
      <c r="N99" s="79"/>
      <c r="O99" s="79"/>
      <c r="P99" s="79"/>
      <c r="Q99" s="79"/>
      <c r="R99" s="79"/>
      <c r="S99" s="79"/>
      <c r="T99" s="79"/>
      <c r="U99" s="79"/>
      <c r="V99" s="79"/>
      <c r="W99" s="79"/>
      <c r="X99" s="79"/>
      <c r="Y99" s="79"/>
      <c r="Z99" s="79"/>
    </row>
    <row r="100">
      <c r="A100" s="79"/>
      <c r="B100" s="79"/>
      <c r="C100" s="79"/>
      <c r="D100" s="79"/>
      <c r="E100" s="79"/>
      <c r="F100" s="79"/>
      <c r="G100" s="79"/>
      <c r="H100" s="79"/>
      <c r="I100" s="79"/>
      <c r="J100" s="79"/>
      <c r="K100" s="79"/>
      <c r="L100" s="79"/>
      <c r="M100" s="79"/>
      <c r="N100" s="79"/>
      <c r="O100" s="79"/>
      <c r="P100" s="79"/>
      <c r="Q100" s="79"/>
      <c r="R100" s="79"/>
      <c r="S100" s="79"/>
      <c r="T100" s="79"/>
      <c r="U100" s="79"/>
      <c r="V100" s="79"/>
      <c r="W100" s="79"/>
      <c r="X100" s="79"/>
      <c r="Y100" s="79"/>
      <c r="Z100" s="79"/>
    </row>
    <row r="101">
      <c r="A101" s="79"/>
      <c r="B101" s="79"/>
      <c r="C101" s="79"/>
      <c r="D101" s="79"/>
      <c r="E101" s="79"/>
      <c r="F101" s="79"/>
      <c r="G101" s="79"/>
      <c r="H101" s="79"/>
      <c r="I101" s="79"/>
      <c r="J101" s="79"/>
      <c r="K101" s="79"/>
      <c r="L101" s="79"/>
      <c r="M101" s="79"/>
      <c r="N101" s="79"/>
      <c r="O101" s="79"/>
      <c r="P101" s="79"/>
      <c r="Q101" s="79"/>
      <c r="R101" s="79"/>
      <c r="S101" s="79"/>
      <c r="T101" s="79"/>
      <c r="U101" s="79"/>
      <c r="V101" s="79"/>
      <c r="W101" s="79"/>
      <c r="X101" s="79"/>
      <c r="Y101" s="79"/>
      <c r="Z101" s="79"/>
    </row>
    <row r="102">
      <c r="A102" s="79"/>
      <c r="B102" s="79"/>
      <c r="C102" s="79"/>
      <c r="D102" s="79"/>
      <c r="E102" s="79"/>
      <c r="F102" s="79"/>
      <c r="G102" s="79"/>
      <c r="H102" s="79"/>
      <c r="I102" s="79"/>
      <c r="J102" s="79"/>
      <c r="K102" s="79"/>
      <c r="L102" s="79"/>
      <c r="M102" s="79"/>
      <c r="N102" s="79"/>
      <c r="O102" s="79"/>
      <c r="P102" s="79"/>
      <c r="Q102" s="79"/>
      <c r="R102" s="79"/>
      <c r="S102" s="79"/>
      <c r="T102" s="79"/>
      <c r="U102" s="79"/>
      <c r="V102" s="79"/>
      <c r="W102" s="79"/>
      <c r="X102" s="79"/>
      <c r="Y102" s="79"/>
      <c r="Z102" s="79"/>
    </row>
    <row r="103">
      <c r="A103" s="79"/>
      <c r="B103" s="79"/>
      <c r="C103" s="79"/>
      <c r="D103" s="79"/>
      <c r="E103" s="79"/>
      <c r="F103" s="79"/>
      <c r="G103" s="79"/>
      <c r="H103" s="79"/>
      <c r="I103" s="79"/>
      <c r="J103" s="79"/>
      <c r="K103" s="79"/>
      <c r="L103" s="79"/>
      <c r="M103" s="79"/>
      <c r="N103" s="79"/>
      <c r="O103" s="79"/>
      <c r="P103" s="79"/>
      <c r="Q103" s="79"/>
      <c r="R103" s="79"/>
      <c r="S103" s="79"/>
      <c r="T103" s="79"/>
      <c r="U103" s="79"/>
      <c r="V103" s="79"/>
      <c r="W103" s="79"/>
      <c r="X103" s="79"/>
      <c r="Y103" s="79"/>
      <c r="Z103" s="79"/>
    </row>
    <row r="104">
      <c r="A104" s="79"/>
      <c r="B104" s="79"/>
      <c r="C104" s="79"/>
      <c r="D104" s="79"/>
      <c r="E104" s="79"/>
      <c r="F104" s="79"/>
      <c r="G104" s="79"/>
      <c r="H104" s="79"/>
      <c r="I104" s="79"/>
      <c r="J104" s="79"/>
      <c r="K104" s="79"/>
      <c r="L104" s="79"/>
      <c r="M104" s="79"/>
      <c r="N104" s="79"/>
      <c r="O104" s="79"/>
      <c r="P104" s="79"/>
      <c r="Q104" s="79"/>
      <c r="R104" s="79"/>
      <c r="S104" s="79"/>
      <c r="T104" s="79"/>
      <c r="U104" s="79"/>
      <c r="V104" s="79"/>
      <c r="W104" s="79"/>
      <c r="X104" s="79"/>
      <c r="Y104" s="79"/>
      <c r="Z104" s="79"/>
    </row>
    <row r="105">
      <c r="A105" s="79"/>
      <c r="B105" s="79"/>
      <c r="C105" s="79"/>
      <c r="D105" s="79"/>
      <c r="E105" s="79"/>
      <c r="F105" s="79"/>
      <c r="G105" s="79"/>
      <c r="H105" s="79"/>
      <c r="I105" s="79"/>
      <c r="J105" s="79"/>
      <c r="K105" s="79"/>
      <c r="L105" s="79"/>
      <c r="M105" s="79"/>
      <c r="N105" s="79"/>
      <c r="O105" s="79"/>
      <c r="P105" s="79"/>
      <c r="Q105" s="79"/>
      <c r="R105" s="79"/>
      <c r="S105" s="79"/>
      <c r="T105" s="79"/>
      <c r="U105" s="79"/>
      <c r="V105" s="79"/>
      <c r="W105" s="79"/>
      <c r="X105" s="79"/>
      <c r="Y105" s="79"/>
      <c r="Z105" s="79"/>
    </row>
    <row r="106">
      <c r="A106" s="79"/>
      <c r="B106" s="79"/>
      <c r="C106" s="79"/>
      <c r="D106" s="79"/>
      <c r="E106" s="79"/>
      <c r="F106" s="79"/>
      <c r="G106" s="79"/>
      <c r="H106" s="79"/>
      <c r="I106" s="79"/>
      <c r="J106" s="79"/>
      <c r="K106" s="79"/>
      <c r="L106" s="79"/>
      <c r="M106" s="79"/>
      <c r="N106" s="79"/>
      <c r="O106" s="79"/>
      <c r="P106" s="79"/>
      <c r="Q106" s="79"/>
      <c r="R106" s="79"/>
      <c r="S106" s="79"/>
      <c r="T106" s="79"/>
      <c r="U106" s="79"/>
      <c r="V106" s="79"/>
      <c r="W106" s="79"/>
      <c r="X106" s="79"/>
      <c r="Y106" s="79"/>
      <c r="Z106" s="79"/>
    </row>
    <row r="107">
      <c r="A107" s="79"/>
      <c r="B107" s="79"/>
      <c r="C107" s="79"/>
      <c r="D107" s="79"/>
      <c r="E107" s="79"/>
      <c r="F107" s="79"/>
      <c r="G107" s="79"/>
      <c r="H107" s="79"/>
      <c r="I107" s="79"/>
      <c r="J107" s="79"/>
      <c r="K107" s="79"/>
      <c r="L107" s="79"/>
      <c r="M107" s="79"/>
      <c r="N107" s="79"/>
      <c r="O107" s="79"/>
      <c r="P107" s="79"/>
      <c r="Q107" s="79"/>
      <c r="R107" s="79"/>
      <c r="S107" s="79"/>
      <c r="T107" s="79"/>
      <c r="U107" s="79"/>
      <c r="V107" s="79"/>
      <c r="W107" s="79"/>
      <c r="X107" s="79"/>
      <c r="Y107" s="79"/>
      <c r="Z107" s="79"/>
    </row>
    <row r="108">
      <c r="A108" s="79"/>
      <c r="B108" s="79"/>
      <c r="C108" s="79"/>
      <c r="D108" s="79"/>
      <c r="E108" s="79"/>
      <c r="F108" s="79"/>
      <c r="G108" s="79"/>
      <c r="H108" s="79"/>
      <c r="I108" s="79"/>
      <c r="J108" s="79"/>
      <c r="K108" s="79"/>
      <c r="L108" s="79"/>
      <c r="M108" s="79"/>
      <c r="N108" s="79"/>
      <c r="O108" s="79"/>
      <c r="P108" s="79"/>
      <c r="Q108" s="79"/>
      <c r="R108" s="79"/>
      <c r="S108" s="79"/>
      <c r="T108" s="79"/>
      <c r="U108" s="79"/>
      <c r="V108" s="79"/>
      <c r="W108" s="79"/>
      <c r="X108" s="79"/>
      <c r="Y108" s="79"/>
      <c r="Z108" s="79"/>
    </row>
    <row r="109">
      <c r="A109" s="79"/>
      <c r="B109" s="79"/>
      <c r="C109" s="79"/>
      <c r="D109" s="79"/>
      <c r="E109" s="79"/>
      <c r="F109" s="79"/>
      <c r="G109" s="79"/>
      <c r="H109" s="79"/>
      <c r="I109" s="79"/>
      <c r="J109" s="79"/>
      <c r="K109" s="79"/>
      <c r="L109" s="79"/>
      <c r="M109" s="79"/>
      <c r="N109" s="79"/>
      <c r="O109" s="79"/>
      <c r="P109" s="79"/>
      <c r="Q109" s="79"/>
      <c r="R109" s="79"/>
      <c r="S109" s="79"/>
      <c r="T109" s="79"/>
      <c r="U109" s="79"/>
      <c r="V109" s="79"/>
      <c r="W109" s="79"/>
      <c r="X109" s="79"/>
      <c r="Y109" s="79"/>
      <c r="Z109" s="79"/>
    </row>
    <row r="110">
      <c r="A110" s="79"/>
      <c r="B110" s="79"/>
      <c r="C110" s="79"/>
      <c r="D110" s="79"/>
      <c r="E110" s="79"/>
      <c r="F110" s="79"/>
      <c r="G110" s="79"/>
      <c r="H110" s="79"/>
      <c r="I110" s="79"/>
      <c r="J110" s="79"/>
      <c r="K110" s="79"/>
      <c r="L110" s="79"/>
      <c r="M110" s="79"/>
      <c r="N110" s="79"/>
      <c r="O110" s="79"/>
      <c r="P110" s="79"/>
      <c r="Q110" s="79"/>
      <c r="R110" s="79"/>
      <c r="S110" s="79"/>
      <c r="T110" s="79"/>
      <c r="U110" s="79"/>
      <c r="V110" s="79"/>
      <c r="W110" s="79"/>
      <c r="X110" s="79"/>
      <c r="Y110" s="79"/>
      <c r="Z110" s="79"/>
    </row>
    <row r="111">
      <c r="A111" s="79"/>
      <c r="B111" s="79"/>
      <c r="C111" s="79"/>
      <c r="D111" s="79"/>
      <c r="E111" s="79"/>
      <c r="F111" s="79"/>
      <c r="G111" s="79"/>
      <c r="H111" s="79"/>
      <c r="I111" s="79"/>
      <c r="J111" s="79"/>
      <c r="K111" s="79"/>
      <c r="L111" s="79"/>
      <c r="M111" s="79"/>
      <c r="N111" s="79"/>
      <c r="O111" s="79"/>
      <c r="P111" s="79"/>
      <c r="Q111" s="79"/>
      <c r="R111" s="79"/>
      <c r="S111" s="79"/>
      <c r="T111" s="79"/>
      <c r="U111" s="79"/>
      <c r="V111" s="79"/>
      <c r="W111" s="79"/>
      <c r="X111" s="79"/>
      <c r="Y111" s="79"/>
      <c r="Z111" s="79"/>
    </row>
    <row r="112">
      <c r="A112" s="79"/>
      <c r="B112" s="79"/>
      <c r="C112" s="79"/>
      <c r="D112" s="79"/>
      <c r="E112" s="79"/>
      <c r="F112" s="79"/>
      <c r="G112" s="79"/>
      <c r="H112" s="79"/>
      <c r="I112" s="79"/>
      <c r="J112" s="79"/>
      <c r="K112" s="79"/>
      <c r="L112" s="79"/>
      <c r="M112" s="79"/>
      <c r="N112" s="79"/>
      <c r="O112" s="79"/>
      <c r="P112" s="79"/>
      <c r="Q112" s="79"/>
      <c r="R112" s="79"/>
      <c r="S112" s="79"/>
      <c r="T112" s="79"/>
      <c r="U112" s="79"/>
      <c r="V112" s="79"/>
      <c r="W112" s="79"/>
      <c r="X112" s="79"/>
      <c r="Y112" s="79"/>
      <c r="Z112" s="79"/>
    </row>
    <row r="113">
      <c r="A113" s="79"/>
      <c r="B113" s="79"/>
      <c r="C113" s="79"/>
      <c r="D113" s="79"/>
      <c r="E113" s="79"/>
      <c r="F113" s="79"/>
      <c r="G113" s="79"/>
      <c r="H113" s="79"/>
      <c r="I113" s="79"/>
      <c r="J113" s="79"/>
      <c r="K113" s="79"/>
      <c r="L113" s="79"/>
      <c r="M113" s="79"/>
      <c r="N113" s="79"/>
      <c r="O113" s="79"/>
      <c r="P113" s="79"/>
      <c r="Q113" s="79"/>
      <c r="R113" s="79"/>
      <c r="S113" s="79"/>
      <c r="T113" s="79"/>
      <c r="U113" s="79"/>
      <c r="V113" s="79"/>
      <c r="W113" s="79"/>
      <c r="X113" s="79"/>
      <c r="Y113" s="79"/>
      <c r="Z113" s="79"/>
    </row>
    <row r="114">
      <c r="A114" s="79"/>
      <c r="B114" s="79"/>
      <c r="C114" s="79"/>
      <c r="D114" s="79"/>
      <c r="E114" s="79"/>
      <c r="F114" s="79"/>
      <c r="G114" s="79"/>
      <c r="H114" s="79"/>
      <c r="I114" s="79"/>
      <c r="J114" s="79"/>
      <c r="K114" s="79"/>
      <c r="L114" s="79"/>
      <c r="M114" s="79"/>
      <c r="N114" s="79"/>
      <c r="O114" s="79"/>
      <c r="P114" s="79"/>
      <c r="Q114" s="79"/>
      <c r="R114" s="79"/>
      <c r="S114" s="79"/>
      <c r="T114" s="79"/>
      <c r="U114" s="79"/>
      <c r="V114" s="79"/>
      <c r="W114" s="79"/>
      <c r="X114" s="79"/>
      <c r="Y114" s="79"/>
      <c r="Z114" s="79"/>
    </row>
    <row r="115">
      <c r="A115" s="79"/>
      <c r="B115" s="79"/>
      <c r="C115" s="79"/>
      <c r="D115" s="79"/>
      <c r="E115" s="79"/>
      <c r="F115" s="79"/>
      <c r="G115" s="79"/>
      <c r="H115" s="79"/>
      <c r="I115" s="79"/>
      <c r="J115" s="79"/>
      <c r="K115" s="79"/>
      <c r="L115" s="79"/>
      <c r="M115" s="79"/>
      <c r="N115" s="79"/>
      <c r="O115" s="79"/>
      <c r="P115" s="79"/>
      <c r="Q115" s="79"/>
      <c r="R115" s="79"/>
      <c r="S115" s="79"/>
      <c r="T115" s="79"/>
      <c r="U115" s="79"/>
      <c r="V115" s="79"/>
      <c r="W115" s="79"/>
      <c r="X115" s="79"/>
      <c r="Y115" s="79"/>
      <c r="Z115" s="79"/>
    </row>
    <row r="116">
      <c r="A116" s="79"/>
      <c r="B116" s="79"/>
      <c r="C116" s="79"/>
      <c r="D116" s="79"/>
      <c r="E116" s="79"/>
      <c r="F116" s="79"/>
      <c r="G116" s="79"/>
      <c r="H116" s="79"/>
      <c r="I116" s="79"/>
      <c r="J116" s="79"/>
      <c r="K116" s="79"/>
      <c r="L116" s="79"/>
      <c r="M116" s="79"/>
      <c r="N116" s="79"/>
      <c r="O116" s="79"/>
      <c r="P116" s="79"/>
      <c r="Q116" s="79"/>
      <c r="R116" s="79"/>
      <c r="S116" s="79"/>
      <c r="T116" s="79"/>
      <c r="U116" s="79"/>
      <c r="V116" s="79"/>
      <c r="W116" s="79"/>
      <c r="X116" s="79"/>
      <c r="Y116" s="79"/>
      <c r="Z116" s="79"/>
    </row>
    <row r="117">
      <c r="A117" s="79"/>
      <c r="B117" s="79"/>
      <c r="C117" s="79"/>
      <c r="D117" s="79"/>
      <c r="E117" s="79"/>
      <c r="F117" s="79"/>
      <c r="G117" s="79"/>
      <c r="H117" s="79"/>
      <c r="I117" s="79"/>
      <c r="J117" s="79"/>
      <c r="K117" s="79"/>
      <c r="L117" s="79"/>
      <c r="M117" s="79"/>
      <c r="N117" s="79"/>
      <c r="O117" s="79"/>
      <c r="P117" s="79"/>
      <c r="Q117" s="79"/>
      <c r="R117" s="79"/>
      <c r="S117" s="79"/>
      <c r="T117" s="79"/>
      <c r="U117" s="79"/>
      <c r="V117" s="79"/>
      <c r="W117" s="79"/>
      <c r="X117" s="79"/>
      <c r="Y117" s="79"/>
      <c r="Z117" s="79"/>
    </row>
    <row r="118">
      <c r="A118" s="79"/>
      <c r="B118" s="79"/>
      <c r="C118" s="79"/>
      <c r="D118" s="79"/>
      <c r="E118" s="79"/>
      <c r="F118" s="79"/>
      <c r="G118" s="79"/>
      <c r="H118" s="79"/>
      <c r="I118" s="79"/>
      <c r="J118" s="79"/>
      <c r="K118" s="79"/>
      <c r="L118" s="79"/>
      <c r="M118" s="79"/>
      <c r="N118" s="79"/>
      <c r="O118" s="79"/>
      <c r="P118" s="79"/>
      <c r="Q118" s="79"/>
      <c r="R118" s="79"/>
      <c r="S118" s="79"/>
      <c r="T118" s="79"/>
      <c r="U118" s="79"/>
      <c r="V118" s="79"/>
      <c r="W118" s="79"/>
      <c r="X118" s="79"/>
      <c r="Y118" s="79"/>
      <c r="Z118" s="79"/>
    </row>
    <row r="119">
      <c r="A119" s="79"/>
      <c r="B119" s="79"/>
      <c r="C119" s="79"/>
      <c r="D119" s="79"/>
      <c r="E119" s="79"/>
      <c r="F119" s="79"/>
      <c r="G119" s="79"/>
      <c r="H119" s="79"/>
      <c r="I119" s="79"/>
      <c r="J119" s="79"/>
      <c r="K119" s="79"/>
      <c r="L119" s="79"/>
      <c r="M119" s="79"/>
      <c r="N119" s="79"/>
      <c r="O119" s="79"/>
      <c r="P119" s="79"/>
      <c r="Q119" s="79"/>
      <c r="R119" s="79"/>
      <c r="S119" s="79"/>
      <c r="T119" s="79"/>
      <c r="U119" s="79"/>
      <c r="V119" s="79"/>
      <c r="W119" s="79"/>
      <c r="X119" s="79"/>
      <c r="Y119" s="79"/>
      <c r="Z119" s="79"/>
    </row>
    <row r="120">
      <c r="A120" s="79"/>
      <c r="B120" s="79"/>
      <c r="C120" s="79"/>
      <c r="D120" s="79"/>
      <c r="E120" s="79"/>
      <c r="F120" s="79"/>
      <c r="G120" s="79"/>
      <c r="H120" s="79"/>
      <c r="I120" s="79"/>
      <c r="J120" s="79"/>
      <c r="K120" s="79"/>
      <c r="L120" s="79"/>
      <c r="M120" s="79"/>
      <c r="N120" s="79"/>
      <c r="O120" s="79"/>
      <c r="P120" s="79"/>
      <c r="Q120" s="79"/>
      <c r="R120" s="79"/>
      <c r="S120" s="79"/>
      <c r="T120" s="79"/>
      <c r="U120" s="79"/>
      <c r="V120" s="79"/>
      <c r="W120" s="79"/>
      <c r="X120" s="79"/>
      <c r="Y120" s="79"/>
      <c r="Z120" s="79"/>
    </row>
    <row r="121">
      <c r="A121" s="79"/>
      <c r="B121" s="79"/>
      <c r="C121" s="79"/>
      <c r="D121" s="79"/>
      <c r="E121" s="79"/>
      <c r="F121" s="79"/>
      <c r="G121" s="79"/>
      <c r="H121" s="79"/>
      <c r="I121" s="79"/>
      <c r="J121" s="79"/>
      <c r="K121" s="79"/>
      <c r="L121" s="79"/>
      <c r="M121" s="79"/>
      <c r="N121" s="79"/>
      <c r="O121" s="79"/>
      <c r="P121" s="79"/>
      <c r="Q121" s="79"/>
      <c r="R121" s="79"/>
      <c r="S121" s="79"/>
      <c r="T121" s="79"/>
      <c r="U121" s="79"/>
      <c r="V121" s="79"/>
      <c r="W121" s="79"/>
      <c r="X121" s="79"/>
      <c r="Y121" s="79"/>
      <c r="Z121" s="79"/>
    </row>
    <row r="122">
      <c r="A122" s="79"/>
      <c r="B122" s="79"/>
      <c r="C122" s="79"/>
      <c r="D122" s="79"/>
      <c r="E122" s="79"/>
      <c r="F122" s="79"/>
      <c r="G122" s="79"/>
      <c r="H122" s="79"/>
      <c r="I122" s="79"/>
      <c r="J122" s="79"/>
      <c r="K122" s="79"/>
      <c r="L122" s="79"/>
      <c r="M122" s="79"/>
      <c r="N122" s="79"/>
      <c r="O122" s="79"/>
      <c r="P122" s="79"/>
      <c r="Q122" s="79"/>
      <c r="R122" s="79"/>
      <c r="S122" s="79"/>
      <c r="T122" s="79"/>
      <c r="U122" s="79"/>
      <c r="V122" s="79"/>
      <c r="W122" s="79"/>
      <c r="X122" s="79"/>
      <c r="Y122" s="79"/>
      <c r="Z122" s="79"/>
    </row>
    <row r="123">
      <c r="A123" s="79"/>
      <c r="B123" s="79"/>
      <c r="C123" s="79"/>
      <c r="D123" s="79"/>
      <c r="E123" s="79"/>
      <c r="F123" s="79"/>
      <c r="G123" s="79"/>
      <c r="H123" s="79"/>
      <c r="I123" s="79"/>
      <c r="J123" s="79"/>
      <c r="K123" s="79"/>
      <c r="L123" s="79"/>
      <c r="M123" s="79"/>
      <c r="N123" s="79"/>
      <c r="O123" s="79"/>
      <c r="P123" s="79"/>
      <c r="Q123" s="79"/>
      <c r="R123" s="79"/>
      <c r="S123" s="79"/>
      <c r="T123" s="79"/>
      <c r="U123" s="79"/>
      <c r="V123" s="79"/>
      <c r="W123" s="79"/>
      <c r="X123" s="79"/>
      <c r="Y123" s="79"/>
      <c r="Z123" s="79"/>
    </row>
    <row r="124">
      <c r="A124" s="79"/>
      <c r="B124" s="79"/>
      <c r="C124" s="79"/>
      <c r="D124" s="79"/>
      <c r="E124" s="79"/>
      <c r="F124" s="79"/>
      <c r="G124" s="79"/>
      <c r="H124" s="79"/>
      <c r="I124" s="79"/>
      <c r="J124" s="79"/>
      <c r="K124" s="79"/>
      <c r="L124" s="79"/>
      <c r="M124" s="79"/>
      <c r="N124" s="79"/>
      <c r="O124" s="79"/>
      <c r="P124" s="79"/>
      <c r="Q124" s="79"/>
      <c r="R124" s="79"/>
      <c r="S124" s="79"/>
      <c r="T124" s="79"/>
      <c r="U124" s="79"/>
      <c r="V124" s="79"/>
      <c r="W124" s="79"/>
      <c r="X124" s="79"/>
      <c r="Y124" s="79"/>
      <c r="Z124" s="79"/>
    </row>
    <row r="125">
      <c r="A125" s="79"/>
      <c r="B125" s="79"/>
      <c r="C125" s="79"/>
      <c r="D125" s="79"/>
      <c r="E125" s="79"/>
      <c r="F125" s="79"/>
      <c r="G125" s="79"/>
      <c r="H125" s="79"/>
      <c r="I125" s="79"/>
      <c r="J125" s="79"/>
      <c r="K125" s="79"/>
      <c r="L125" s="79"/>
      <c r="M125" s="79"/>
      <c r="N125" s="79"/>
      <c r="O125" s="79"/>
      <c r="P125" s="79"/>
      <c r="Q125" s="79"/>
      <c r="R125" s="79"/>
      <c r="S125" s="79"/>
      <c r="T125" s="79"/>
      <c r="U125" s="79"/>
      <c r="V125" s="79"/>
      <c r="W125" s="79"/>
      <c r="X125" s="79"/>
      <c r="Y125" s="79"/>
      <c r="Z125" s="79"/>
    </row>
    <row r="126">
      <c r="A126" s="79"/>
      <c r="B126" s="79"/>
      <c r="C126" s="79"/>
      <c r="D126" s="79"/>
      <c r="E126" s="79"/>
      <c r="F126" s="79"/>
      <c r="G126" s="79"/>
      <c r="H126" s="79"/>
      <c r="I126" s="79"/>
      <c r="J126" s="79"/>
      <c r="K126" s="79"/>
      <c r="L126" s="79"/>
      <c r="M126" s="79"/>
      <c r="N126" s="79"/>
      <c r="O126" s="79"/>
      <c r="P126" s="79"/>
      <c r="Q126" s="79"/>
      <c r="R126" s="79"/>
      <c r="S126" s="79"/>
      <c r="T126" s="79"/>
      <c r="U126" s="79"/>
      <c r="V126" s="79"/>
      <c r="W126" s="79"/>
      <c r="X126" s="79"/>
      <c r="Y126" s="79"/>
      <c r="Z126" s="79"/>
    </row>
    <row r="127">
      <c r="A127" s="79"/>
      <c r="B127" s="79"/>
      <c r="C127" s="79"/>
      <c r="D127" s="79"/>
      <c r="E127" s="79"/>
      <c r="F127" s="79"/>
      <c r="G127" s="79"/>
      <c r="H127" s="79"/>
      <c r="I127" s="79"/>
      <c r="J127" s="79"/>
      <c r="K127" s="79"/>
      <c r="L127" s="79"/>
      <c r="M127" s="79"/>
      <c r="N127" s="79"/>
      <c r="O127" s="79"/>
      <c r="P127" s="79"/>
      <c r="Q127" s="79"/>
      <c r="R127" s="79"/>
      <c r="S127" s="79"/>
      <c r="T127" s="79"/>
      <c r="U127" s="79"/>
      <c r="V127" s="79"/>
      <c r="W127" s="79"/>
      <c r="X127" s="79"/>
      <c r="Y127" s="79"/>
      <c r="Z127" s="79"/>
    </row>
    <row r="128">
      <c r="A128" s="79"/>
      <c r="B128" s="79"/>
      <c r="C128" s="79"/>
      <c r="D128" s="79"/>
      <c r="E128" s="79"/>
      <c r="F128" s="79"/>
      <c r="G128" s="79"/>
      <c r="H128" s="79"/>
      <c r="I128" s="79"/>
      <c r="J128" s="79"/>
      <c r="K128" s="79"/>
      <c r="L128" s="79"/>
      <c r="M128" s="79"/>
      <c r="N128" s="79"/>
      <c r="O128" s="79"/>
      <c r="P128" s="79"/>
      <c r="Q128" s="79"/>
      <c r="R128" s="79"/>
      <c r="S128" s="79"/>
      <c r="T128" s="79"/>
      <c r="U128" s="79"/>
      <c r="V128" s="79"/>
      <c r="W128" s="79"/>
      <c r="X128" s="79"/>
      <c r="Y128" s="79"/>
      <c r="Z128" s="79"/>
    </row>
    <row r="129">
      <c r="A129" s="79"/>
      <c r="B129" s="79"/>
      <c r="C129" s="79"/>
      <c r="D129" s="79"/>
      <c r="E129" s="79"/>
      <c r="F129" s="79"/>
      <c r="G129" s="79"/>
      <c r="H129" s="79"/>
      <c r="I129" s="79"/>
      <c r="J129" s="79"/>
      <c r="K129" s="79"/>
      <c r="L129" s="79"/>
      <c r="M129" s="79"/>
      <c r="N129" s="79"/>
      <c r="O129" s="79"/>
      <c r="P129" s="79"/>
      <c r="Q129" s="79"/>
      <c r="R129" s="79"/>
      <c r="S129" s="79"/>
      <c r="T129" s="79"/>
      <c r="U129" s="79"/>
      <c r="V129" s="79"/>
      <c r="W129" s="79"/>
      <c r="X129" s="79"/>
      <c r="Y129" s="79"/>
      <c r="Z129" s="79"/>
    </row>
    <row r="130">
      <c r="A130" s="79"/>
      <c r="B130" s="79"/>
      <c r="C130" s="79"/>
      <c r="D130" s="79"/>
      <c r="E130" s="79"/>
      <c r="F130" s="79"/>
      <c r="G130" s="79"/>
      <c r="H130" s="79"/>
      <c r="I130" s="79"/>
      <c r="J130" s="79"/>
      <c r="K130" s="79"/>
      <c r="L130" s="79"/>
      <c r="M130" s="79"/>
      <c r="N130" s="79"/>
      <c r="O130" s="79"/>
      <c r="P130" s="79"/>
      <c r="Q130" s="79"/>
      <c r="R130" s="79"/>
      <c r="S130" s="79"/>
      <c r="T130" s="79"/>
      <c r="U130" s="79"/>
      <c r="V130" s="79"/>
      <c r="W130" s="79"/>
      <c r="X130" s="79"/>
      <c r="Y130" s="79"/>
      <c r="Z130" s="79"/>
    </row>
    <row r="131">
      <c r="A131" s="79"/>
      <c r="B131" s="79"/>
      <c r="C131" s="79"/>
      <c r="D131" s="79"/>
      <c r="E131" s="79"/>
      <c r="F131" s="79"/>
      <c r="G131" s="79"/>
      <c r="H131" s="79"/>
      <c r="I131" s="79"/>
      <c r="J131" s="79"/>
      <c r="K131" s="79"/>
      <c r="L131" s="79"/>
      <c r="M131" s="79"/>
      <c r="N131" s="79"/>
      <c r="O131" s="79"/>
      <c r="P131" s="79"/>
      <c r="Q131" s="79"/>
      <c r="R131" s="79"/>
      <c r="S131" s="79"/>
      <c r="T131" s="79"/>
      <c r="U131" s="79"/>
      <c r="V131" s="79"/>
      <c r="W131" s="79"/>
      <c r="X131" s="79"/>
      <c r="Y131" s="79"/>
      <c r="Z131" s="79"/>
    </row>
    <row r="132">
      <c r="A132" s="79"/>
      <c r="B132" s="79"/>
      <c r="C132" s="79"/>
      <c r="D132" s="79"/>
      <c r="E132" s="79"/>
      <c r="F132" s="79"/>
      <c r="G132" s="79"/>
      <c r="H132" s="79"/>
      <c r="I132" s="79"/>
      <c r="J132" s="79"/>
      <c r="K132" s="79"/>
      <c r="L132" s="79"/>
      <c r="M132" s="79"/>
      <c r="N132" s="79"/>
      <c r="O132" s="79"/>
      <c r="P132" s="79"/>
      <c r="Q132" s="79"/>
      <c r="R132" s="79"/>
      <c r="S132" s="79"/>
      <c r="T132" s="79"/>
      <c r="U132" s="79"/>
      <c r="V132" s="79"/>
      <c r="W132" s="79"/>
      <c r="X132" s="79"/>
      <c r="Y132" s="79"/>
      <c r="Z132" s="79"/>
    </row>
    <row r="133">
      <c r="A133" s="79"/>
      <c r="B133" s="79"/>
      <c r="C133" s="79"/>
      <c r="D133" s="79"/>
      <c r="E133" s="79"/>
      <c r="F133" s="79"/>
      <c r="G133" s="79"/>
      <c r="H133" s="79"/>
      <c r="I133" s="79"/>
      <c r="J133" s="79"/>
      <c r="K133" s="79"/>
      <c r="L133" s="79"/>
      <c r="M133" s="79"/>
      <c r="N133" s="79"/>
      <c r="O133" s="79"/>
      <c r="P133" s="79"/>
      <c r="Q133" s="79"/>
      <c r="R133" s="79"/>
      <c r="S133" s="79"/>
      <c r="T133" s="79"/>
      <c r="U133" s="79"/>
      <c r="V133" s="79"/>
      <c r="W133" s="79"/>
      <c r="X133" s="79"/>
      <c r="Y133" s="79"/>
      <c r="Z133" s="79"/>
    </row>
    <row r="134">
      <c r="A134" s="79"/>
      <c r="B134" s="79"/>
      <c r="C134" s="79"/>
      <c r="D134" s="79"/>
      <c r="E134" s="79"/>
      <c r="F134" s="79"/>
      <c r="G134" s="79"/>
      <c r="H134" s="79"/>
      <c r="I134" s="79"/>
      <c r="J134" s="79"/>
      <c r="K134" s="79"/>
      <c r="L134" s="79"/>
      <c r="M134" s="79"/>
      <c r="N134" s="79"/>
      <c r="O134" s="79"/>
      <c r="P134" s="79"/>
      <c r="Q134" s="79"/>
      <c r="R134" s="79"/>
      <c r="S134" s="79"/>
      <c r="T134" s="79"/>
      <c r="U134" s="79"/>
      <c r="V134" s="79"/>
      <c r="W134" s="79"/>
      <c r="X134" s="79"/>
      <c r="Y134" s="79"/>
      <c r="Z134" s="79"/>
    </row>
    <row r="135">
      <c r="A135" s="79"/>
      <c r="B135" s="79"/>
      <c r="C135" s="79"/>
      <c r="D135" s="79"/>
      <c r="E135" s="79"/>
      <c r="F135" s="79"/>
      <c r="G135" s="79"/>
      <c r="H135" s="79"/>
      <c r="I135" s="79"/>
      <c r="J135" s="79"/>
      <c r="K135" s="79"/>
      <c r="L135" s="79"/>
      <c r="M135" s="79"/>
      <c r="N135" s="79"/>
      <c r="O135" s="79"/>
      <c r="P135" s="79"/>
      <c r="Q135" s="79"/>
      <c r="R135" s="79"/>
      <c r="S135" s="79"/>
      <c r="T135" s="79"/>
      <c r="U135" s="79"/>
      <c r="V135" s="79"/>
      <c r="W135" s="79"/>
      <c r="X135" s="79"/>
      <c r="Y135" s="79"/>
      <c r="Z135" s="79"/>
    </row>
    <row r="136">
      <c r="A136" s="79"/>
      <c r="B136" s="79"/>
      <c r="C136" s="79"/>
      <c r="D136" s="79"/>
      <c r="E136" s="79"/>
      <c r="F136" s="79"/>
      <c r="G136" s="79"/>
      <c r="H136" s="79"/>
      <c r="I136" s="79"/>
      <c r="J136" s="79"/>
      <c r="K136" s="79"/>
      <c r="L136" s="79"/>
      <c r="M136" s="79"/>
      <c r="N136" s="79"/>
      <c r="O136" s="79"/>
      <c r="P136" s="79"/>
      <c r="Q136" s="79"/>
      <c r="R136" s="79"/>
      <c r="S136" s="79"/>
      <c r="T136" s="79"/>
      <c r="U136" s="79"/>
      <c r="V136" s="79"/>
      <c r="W136" s="79"/>
      <c r="X136" s="79"/>
      <c r="Y136" s="79"/>
      <c r="Z136" s="79"/>
    </row>
    <row r="137">
      <c r="A137" s="79"/>
      <c r="B137" s="79"/>
      <c r="C137" s="79"/>
      <c r="D137" s="79"/>
      <c r="E137" s="79"/>
      <c r="F137" s="79"/>
      <c r="G137" s="79"/>
      <c r="H137" s="79"/>
      <c r="I137" s="79"/>
      <c r="J137" s="79"/>
      <c r="K137" s="79"/>
      <c r="L137" s="79"/>
      <c r="M137" s="79"/>
      <c r="N137" s="79"/>
      <c r="O137" s="79"/>
      <c r="P137" s="79"/>
      <c r="Q137" s="79"/>
      <c r="R137" s="79"/>
      <c r="S137" s="79"/>
      <c r="T137" s="79"/>
      <c r="U137" s="79"/>
      <c r="V137" s="79"/>
      <c r="W137" s="79"/>
      <c r="X137" s="79"/>
      <c r="Y137" s="79"/>
      <c r="Z137" s="79"/>
    </row>
    <row r="138">
      <c r="A138" s="79"/>
      <c r="B138" s="79"/>
      <c r="C138" s="79"/>
      <c r="D138" s="79"/>
      <c r="E138" s="79"/>
      <c r="F138" s="79"/>
      <c r="G138" s="79"/>
      <c r="H138" s="79"/>
      <c r="I138" s="79"/>
      <c r="J138" s="79"/>
      <c r="K138" s="79"/>
      <c r="L138" s="79"/>
      <c r="M138" s="79"/>
      <c r="N138" s="79"/>
      <c r="O138" s="79"/>
      <c r="P138" s="79"/>
      <c r="Q138" s="79"/>
      <c r="R138" s="79"/>
      <c r="S138" s="79"/>
      <c r="T138" s="79"/>
      <c r="U138" s="79"/>
      <c r="V138" s="79"/>
      <c r="W138" s="79"/>
      <c r="X138" s="79"/>
      <c r="Y138" s="79"/>
      <c r="Z138" s="79"/>
    </row>
    <row r="139">
      <c r="A139" s="79"/>
      <c r="B139" s="79"/>
      <c r="C139" s="79"/>
      <c r="D139" s="79"/>
      <c r="E139" s="79"/>
      <c r="F139" s="79"/>
      <c r="G139" s="79"/>
      <c r="H139" s="79"/>
      <c r="I139" s="79"/>
      <c r="J139" s="79"/>
      <c r="K139" s="79"/>
      <c r="L139" s="79"/>
      <c r="M139" s="79"/>
      <c r="N139" s="79"/>
      <c r="O139" s="79"/>
      <c r="P139" s="79"/>
      <c r="Q139" s="79"/>
      <c r="R139" s="79"/>
      <c r="S139" s="79"/>
      <c r="T139" s="79"/>
      <c r="U139" s="79"/>
      <c r="V139" s="79"/>
      <c r="W139" s="79"/>
      <c r="X139" s="79"/>
      <c r="Y139" s="79"/>
      <c r="Z139" s="79"/>
    </row>
    <row r="140">
      <c r="A140" s="79"/>
      <c r="B140" s="79"/>
      <c r="C140" s="79"/>
      <c r="D140" s="79"/>
      <c r="E140" s="79"/>
      <c r="F140" s="79"/>
      <c r="G140" s="79"/>
      <c r="H140" s="79"/>
      <c r="I140" s="79"/>
      <c r="J140" s="79"/>
      <c r="K140" s="79"/>
      <c r="L140" s="79"/>
      <c r="M140" s="79"/>
      <c r="N140" s="79"/>
      <c r="O140" s="79"/>
      <c r="P140" s="79"/>
      <c r="Q140" s="79"/>
      <c r="R140" s="79"/>
      <c r="S140" s="79"/>
      <c r="T140" s="79"/>
      <c r="U140" s="79"/>
      <c r="V140" s="79"/>
      <c r="W140" s="79"/>
      <c r="X140" s="79"/>
      <c r="Y140" s="79"/>
      <c r="Z140" s="79"/>
    </row>
    <row r="141">
      <c r="A141" s="79"/>
      <c r="B141" s="79"/>
      <c r="C141" s="79"/>
      <c r="D141" s="79"/>
      <c r="E141" s="79"/>
      <c r="F141" s="79"/>
      <c r="G141" s="79"/>
      <c r="H141" s="79"/>
      <c r="I141" s="79"/>
      <c r="J141" s="79"/>
      <c r="K141" s="79"/>
      <c r="L141" s="79"/>
      <c r="M141" s="79"/>
      <c r="N141" s="79"/>
      <c r="O141" s="79"/>
      <c r="P141" s="79"/>
      <c r="Q141" s="79"/>
      <c r="R141" s="79"/>
      <c r="S141" s="79"/>
      <c r="T141" s="79"/>
      <c r="U141" s="79"/>
      <c r="V141" s="79"/>
      <c r="W141" s="79"/>
      <c r="X141" s="79"/>
      <c r="Y141" s="79"/>
      <c r="Z141" s="79"/>
    </row>
    <row r="142">
      <c r="A142" s="79"/>
      <c r="B142" s="79"/>
      <c r="C142" s="79"/>
      <c r="D142" s="79"/>
      <c r="E142" s="79"/>
      <c r="F142" s="79"/>
      <c r="G142" s="79"/>
      <c r="H142" s="79"/>
      <c r="I142" s="79"/>
      <c r="J142" s="79"/>
      <c r="K142" s="79"/>
      <c r="L142" s="79"/>
      <c r="M142" s="79"/>
      <c r="N142" s="79"/>
      <c r="O142" s="79"/>
      <c r="P142" s="79"/>
      <c r="Q142" s="79"/>
      <c r="R142" s="79"/>
      <c r="S142" s="79"/>
      <c r="T142" s="79"/>
      <c r="U142" s="79"/>
      <c r="V142" s="79"/>
      <c r="W142" s="79"/>
      <c r="X142" s="79"/>
      <c r="Y142" s="79"/>
      <c r="Z142" s="79"/>
    </row>
    <row r="143">
      <c r="A143" s="79"/>
      <c r="B143" s="79"/>
      <c r="C143" s="79"/>
      <c r="D143" s="79"/>
      <c r="E143" s="79"/>
      <c r="F143" s="79"/>
      <c r="G143" s="79"/>
      <c r="H143" s="79"/>
      <c r="I143" s="79"/>
      <c r="J143" s="79"/>
      <c r="K143" s="79"/>
      <c r="L143" s="79"/>
      <c r="M143" s="79"/>
      <c r="N143" s="79"/>
      <c r="O143" s="79"/>
      <c r="P143" s="79"/>
      <c r="Q143" s="79"/>
      <c r="R143" s="79"/>
      <c r="S143" s="79"/>
      <c r="T143" s="79"/>
      <c r="U143" s="79"/>
      <c r="V143" s="79"/>
      <c r="W143" s="79"/>
      <c r="X143" s="79"/>
      <c r="Y143" s="79"/>
      <c r="Z143" s="79"/>
    </row>
    <row r="144">
      <c r="A144" s="79"/>
      <c r="B144" s="79"/>
      <c r="C144" s="79"/>
      <c r="D144" s="79"/>
      <c r="E144" s="79"/>
      <c r="F144" s="79"/>
      <c r="G144" s="79"/>
      <c r="H144" s="79"/>
      <c r="I144" s="79"/>
      <c r="J144" s="79"/>
      <c r="K144" s="79"/>
      <c r="L144" s="79"/>
      <c r="M144" s="79"/>
      <c r="N144" s="79"/>
      <c r="O144" s="79"/>
      <c r="P144" s="79"/>
      <c r="Q144" s="79"/>
      <c r="R144" s="79"/>
      <c r="S144" s="79"/>
      <c r="T144" s="79"/>
      <c r="U144" s="79"/>
      <c r="V144" s="79"/>
      <c r="W144" s="79"/>
      <c r="X144" s="79"/>
      <c r="Y144" s="79"/>
      <c r="Z144" s="79"/>
    </row>
    <row r="145">
      <c r="A145" s="79"/>
      <c r="B145" s="79"/>
      <c r="C145" s="79"/>
      <c r="D145" s="79"/>
      <c r="E145" s="79"/>
      <c r="F145" s="79"/>
      <c r="G145" s="79"/>
      <c r="H145" s="79"/>
      <c r="I145" s="79"/>
      <c r="J145" s="79"/>
      <c r="K145" s="79"/>
      <c r="L145" s="79"/>
      <c r="M145" s="79"/>
      <c r="N145" s="79"/>
      <c r="O145" s="79"/>
      <c r="P145" s="79"/>
      <c r="Q145" s="79"/>
      <c r="R145" s="79"/>
      <c r="S145" s="79"/>
      <c r="T145" s="79"/>
      <c r="U145" s="79"/>
      <c r="V145" s="79"/>
      <c r="W145" s="79"/>
      <c r="X145" s="79"/>
      <c r="Y145" s="79"/>
      <c r="Z145" s="79"/>
    </row>
    <row r="146">
      <c r="A146" s="79"/>
      <c r="B146" s="79"/>
      <c r="C146" s="79"/>
      <c r="D146" s="79"/>
      <c r="E146" s="79"/>
      <c r="F146" s="79"/>
      <c r="G146" s="79"/>
      <c r="H146" s="79"/>
      <c r="I146" s="79"/>
      <c r="J146" s="79"/>
      <c r="K146" s="79"/>
      <c r="L146" s="79"/>
      <c r="M146" s="79"/>
      <c r="N146" s="79"/>
      <c r="O146" s="79"/>
      <c r="P146" s="79"/>
      <c r="Q146" s="79"/>
      <c r="R146" s="79"/>
      <c r="S146" s="79"/>
      <c r="T146" s="79"/>
      <c r="U146" s="79"/>
      <c r="V146" s="79"/>
      <c r="W146" s="79"/>
      <c r="X146" s="79"/>
      <c r="Y146" s="79"/>
      <c r="Z146" s="79"/>
    </row>
    <row r="147">
      <c r="A147" s="79"/>
      <c r="B147" s="79"/>
      <c r="C147" s="79"/>
      <c r="D147" s="79"/>
      <c r="E147" s="79"/>
      <c r="F147" s="79"/>
      <c r="G147" s="79"/>
      <c r="H147" s="79"/>
      <c r="I147" s="79"/>
      <c r="J147" s="79"/>
      <c r="K147" s="79"/>
      <c r="L147" s="79"/>
      <c r="M147" s="79"/>
      <c r="N147" s="79"/>
      <c r="O147" s="79"/>
      <c r="P147" s="79"/>
      <c r="Q147" s="79"/>
      <c r="R147" s="79"/>
      <c r="S147" s="79"/>
      <c r="T147" s="79"/>
      <c r="U147" s="79"/>
      <c r="V147" s="79"/>
      <c r="W147" s="79"/>
      <c r="X147" s="79"/>
      <c r="Y147" s="79"/>
      <c r="Z147" s="79"/>
    </row>
    <row r="148">
      <c r="A148" s="79"/>
      <c r="B148" s="79"/>
      <c r="C148" s="79"/>
      <c r="D148" s="79"/>
      <c r="E148" s="79"/>
      <c r="F148" s="79"/>
      <c r="G148" s="79"/>
      <c r="H148" s="79"/>
      <c r="I148" s="79"/>
      <c r="J148" s="79"/>
      <c r="K148" s="79"/>
      <c r="L148" s="79"/>
      <c r="M148" s="79"/>
      <c r="N148" s="79"/>
      <c r="O148" s="79"/>
      <c r="P148" s="79"/>
      <c r="Q148" s="79"/>
      <c r="R148" s="79"/>
      <c r="S148" s="79"/>
      <c r="T148" s="79"/>
      <c r="U148" s="79"/>
      <c r="V148" s="79"/>
      <c r="W148" s="79"/>
      <c r="X148" s="79"/>
      <c r="Y148" s="79"/>
      <c r="Z148" s="79"/>
    </row>
    <row r="149">
      <c r="A149" s="79"/>
      <c r="B149" s="79"/>
      <c r="C149" s="79"/>
      <c r="D149" s="79"/>
      <c r="E149" s="79"/>
      <c r="F149" s="79"/>
      <c r="G149" s="79"/>
      <c r="H149" s="79"/>
      <c r="I149" s="79"/>
      <c r="J149" s="79"/>
      <c r="K149" s="79"/>
      <c r="L149" s="79"/>
      <c r="M149" s="79"/>
      <c r="N149" s="79"/>
      <c r="O149" s="79"/>
      <c r="P149" s="79"/>
      <c r="Q149" s="79"/>
      <c r="R149" s="79"/>
      <c r="S149" s="79"/>
      <c r="T149" s="79"/>
      <c r="U149" s="79"/>
      <c r="V149" s="79"/>
      <c r="W149" s="79"/>
      <c r="X149" s="79"/>
      <c r="Y149" s="79"/>
      <c r="Z149" s="79"/>
    </row>
    <row r="150">
      <c r="A150" s="79"/>
      <c r="B150" s="79"/>
      <c r="C150" s="79"/>
      <c r="D150" s="79"/>
      <c r="E150" s="79"/>
      <c r="F150" s="79"/>
      <c r="G150" s="79"/>
      <c r="H150" s="79"/>
      <c r="I150" s="79"/>
      <c r="J150" s="79"/>
      <c r="K150" s="79"/>
      <c r="L150" s="79"/>
      <c r="M150" s="79"/>
      <c r="N150" s="79"/>
      <c r="O150" s="79"/>
      <c r="P150" s="79"/>
      <c r="Q150" s="79"/>
      <c r="R150" s="79"/>
      <c r="S150" s="79"/>
      <c r="T150" s="79"/>
      <c r="U150" s="79"/>
      <c r="V150" s="79"/>
      <c r="W150" s="79"/>
      <c r="X150" s="79"/>
      <c r="Y150" s="79"/>
      <c r="Z150" s="79"/>
    </row>
    <row r="151">
      <c r="A151" s="79"/>
      <c r="B151" s="79"/>
      <c r="C151" s="79"/>
      <c r="D151" s="79"/>
      <c r="E151" s="79"/>
      <c r="F151" s="79"/>
      <c r="G151" s="79"/>
      <c r="H151" s="79"/>
      <c r="I151" s="79"/>
      <c r="J151" s="79"/>
      <c r="K151" s="79"/>
      <c r="L151" s="79"/>
      <c r="M151" s="79"/>
      <c r="N151" s="79"/>
      <c r="O151" s="79"/>
      <c r="P151" s="79"/>
      <c r="Q151" s="79"/>
      <c r="R151" s="79"/>
      <c r="S151" s="79"/>
      <c r="T151" s="79"/>
      <c r="U151" s="79"/>
      <c r="V151" s="79"/>
      <c r="W151" s="79"/>
      <c r="X151" s="79"/>
      <c r="Y151" s="79"/>
      <c r="Z151" s="79"/>
    </row>
    <row r="152">
      <c r="A152" s="79"/>
      <c r="B152" s="79"/>
      <c r="C152" s="79"/>
      <c r="D152" s="79"/>
      <c r="E152" s="79"/>
      <c r="F152" s="79"/>
      <c r="G152" s="79"/>
      <c r="H152" s="79"/>
      <c r="I152" s="79"/>
      <c r="J152" s="79"/>
      <c r="K152" s="79"/>
      <c r="L152" s="79"/>
      <c r="M152" s="79"/>
      <c r="N152" s="79"/>
      <c r="O152" s="79"/>
      <c r="P152" s="79"/>
      <c r="Q152" s="79"/>
      <c r="R152" s="79"/>
      <c r="S152" s="79"/>
      <c r="T152" s="79"/>
      <c r="U152" s="79"/>
      <c r="V152" s="79"/>
      <c r="W152" s="79"/>
      <c r="X152" s="79"/>
      <c r="Y152" s="79"/>
      <c r="Z152" s="79"/>
    </row>
    <row r="153">
      <c r="A153" s="79"/>
      <c r="B153" s="79"/>
      <c r="C153" s="79"/>
      <c r="D153" s="79"/>
      <c r="E153" s="79"/>
      <c r="F153" s="79"/>
      <c r="G153" s="79"/>
      <c r="H153" s="79"/>
      <c r="I153" s="79"/>
      <c r="J153" s="79"/>
      <c r="K153" s="79"/>
      <c r="L153" s="79"/>
      <c r="M153" s="79"/>
      <c r="N153" s="79"/>
      <c r="O153" s="79"/>
      <c r="P153" s="79"/>
      <c r="Q153" s="79"/>
      <c r="R153" s="79"/>
      <c r="S153" s="79"/>
      <c r="T153" s="79"/>
      <c r="U153" s="79"/>
      <c r="V153" s="79"/>
      <c r="W153" s="79"/>
      <c r="X153" s="79"/>
      <c r="Y153" s="79"/>
      <c r="Z153" s="79"/>
    </row>
    <row r="154">
      <c r="A154" s="79"/>
      <c r="B154" s="79"/>
      <c r="C154" s="79"/>
      <c r="D154" s="79"/>
      <c r="E154" s="79"/>
      <c r="F154" s="79"/>
      <c r="G154" s="79"/>
      <c r="H154" s="79"/>
      <c r="I154" s="79"/>
      <c r="J154" s="79"/>
      <c r="K154" s="79"/>
      <c r="L154" s="79"/>
      <c r="M154" s="79"/>
      <c r="N154" s="79"/>
      <c r="O154" s="79"/>
      <c r="P154" s="79"/>
      <c r="Q154" s="79"/>
      <c r="R154" s="79"/>
      <c r="S154" s="79"/>
      <c r="T154" s="79"/>
      <c r="U154" s="79"/>
      <c r="V154" s="79"/>
      <c r="W154" s="79"/>
      <c r="X154" s="79"/>
      <c r="Y154" s="79"/>
      <c r="Z154" s="79"/>
    </row>
    <row r="155">
      <c r="A155" s="79"/>
      <c r="B155" s="79"/>
      <c r="C155" s="79"/>
      <c r="D155" s="79"/>
      <c r="E155" s="79"/>
      <c r="F155" s="79"/>
      <c r="G155" s="79"/>
      <c r="H155" s="79"/>
      <c r="I155" s="79"/>
      <c r="J155" s="79"/>
      <c r="K155" s="79"/>
      <c r="L155" s="79"/>
      <c r="M155" s="79"/>
      <c r="N155" s="79"/>
      <c r="O155" s="79"/>
      <c r="P155" s="79"/>
      <c r="Q155" s="79"/>
      <c r="R155" s="79"/>
      <c r="S155" s="79"/>
      <c r="T155" s="79"/>
      <c r="U155" s="79"/>
      <c r="V155" s="79"/>
      <c r="W155" s="79"/>
      <c r="X155" s="79"/>
      <c r="Y155" s="79"/>
      <c r="Z155" s="79"/>
    </row>
    <row r="156">
      <c r="A156" s="79"/>
      <c r="B156" s="79"/>
      <c r="C156" s="79"/>
      <c r="D156" s="79"/>
      <c r="E156" s="79"/>
      <c r="F156" s="79"/>
      <c r="G156" s="79"/>
      <c r="H156" s="79"/>
      <c r="I156" s="79"/>
      <c r="J156" s="79"/>
      <c r="K156" s="79"/>
      <c r="L156" s="79"/>
      <c r="M156" s="79"/>
      <c r="N156" s="79"/>
      <c r="O156" s="79"/>
      <c r="P156" s="79"/>
      <c r="Q156" s="79"/>
      <c r="R156" s="79"/>
      <c r="S156" s="79"/>
      <c r="T156" s="79"/>
      <c r="U156" s="79"/>
      <c r="V156" s="79"/>
      <c r="W156" s="79"/>
      <c r="X156" s="79"/>
      <c r="Y156" s="79"/>
      <c r="Z156" s="79"/>
    </row>
    <row r="157">
      <c r="A157" s="79"/>
      <c r="B157" s="79"/>
      <c r="C157" s="79"/>
      <c r="D157" s="79"/>
      <c r="E157" s="79"/>
      <c r="F157" s="79"/>
      <c r="G157" s="79"/>
      <c r="H157" s="79"/>
      <c r="I157" s="79"/>
      <c r="J157" s="79"/>
      <c r="K157" s="79"/>
      <c r="L157" s="79"/>
      <c r="M157" s="79"/>
      <c r="N157" s="79"/>
      <c r="O157" s="79"/>
      <c r="P157" s="79"/>
      <c r="Q157" s="79"/>
      <c r="R157" s="79"/>
      <c r="S157" s="79"/>
      <c r="T157" s="79"/>
      <c r="U157" s="79"/>
      <c r="V157" s="79"/>
      <c r="W157" s="79"/>
      <c r="X157" s="79"/>
      <c r="Y157" s="79"/>
      <c r="Z157" s="79"/>
    </row>
    <row r="158">
      <c r="A158" s="79"/>
      <c r="B158" s="79"/>
      <c r="C158" s="79"/>
      <c r="D158" s="79"/>
      <c r="E158" s="79"/>
      <c r="F158" s="79"/>
      <c r="G158" s="79"/>
      <c r="H158" s="79"/>
      <c r="I158" s="79"/>
      <c r="J158" s="79"/>
      <c r="K158" s="79"/>
      <c r="L158" s="79"/>
      <c r="M158" s="79"/>
      <c r="N158" s="79"/>
      <c r="O158" s="79"/>
      <c r="P158" s="79"/>
      <c r="Q158" s="79"/>
      <c r="R158" s="79"/>
      <c r="S158" s="79"/>
      <c r="T158" s="79"/>
      <c r="U158" s="79"/>
      <c r="V158" s="79"/>
      <c r="W158" s="79"/>
      <c r="X158" s="79"/>
      <c r="Y158" s="79"/>
      <c r="Z158" s="79"/>
    </row>
    <row r="159">
      <c r="A159" s="79"/>
      <c r="B159" s="79"/>
      <c r="C159" s="79"/>
      <c r="D159" s="79"/>
      <c r="E159" s="79"/>
      <c r="F159" s="79"/>
      <c r="G159" s="79"/>
      <c r="H159" s="79"/>
      <c r="I159" s="79"/>
      <c r="J159" s="79"/>
      <c r="K159" s="79"/>
      <c r="L159" s="79"/>
      <c r="M159" s="79"/>
      <c r="N159" s="79"/>
      <c r="O159" s="79"/>
      <c r="P159" s="79"/>
      <c r="Q159" s="79"/>
      <c r="R159" s="79"/>
      <c r="S159" s="79"/>
      <c r="T159" s="79"/>
      <c r="U159" s="79"/>
      <c r="V159" s="79"/>
      <c r="W159" s="79"/>
      <c r="X159" s="79"/>
      <c r="Y159" s="79"/>
      <c r="Z159" s="79"/>
    </row>
    <row r="160">
      <c r="A160" s="79"/>
      <c r="B160" s="79"/>
      <c r="C160" s="79"/>
      <c r="D160" s="79"/>
      <c r="E160" s="79"/>
      <c r="F160" s="79"/>
      <c r="G160" s="79"/>
      <c r="H160" s="79"/>
      <c r="I160" s="79"/>
      <c r="J160" s="79"/>
      <c r="K160" s="79"/>
      <c r="L160" s="79"/>
      <c r="M160" s="79"/>
      <c r="N160" s="79"/>
      <c r="O160" s="79"/>
      <c r="P160" s="79"/>
      <c r="Q160" s="79"/>
      <c r="R160" s="79"/>
      <c r="S160" s="79"/>
      <c r="T160" s="79"/>
      <c r="U160" s="79"/>
      <c r="V160" s="79"/>
      <c r="W160" s="79"/>
      <c r="X160" s="79"/>
      <c r="Y160" s="79"/>
      <c r="Z160" s="79"/>
    </row>
    <row r="161">
      <c r="A161" s="79"/>
      <c r="B161" s="79"/>
      <c r="C161" s="79"/>
      <c r="D161" s="79"/>
      <c r="E161" s="79"/>
      <c r="F161" s="79"/>
      <c r="G161" s="79"/>
      <c r="H161" s="79"/>
      <c r="I161" s="79"/>
      <c r="J161" s="79"/>
      <c r="K161" s="79"/>
      <c r="L161" s="79"/>
      <c r="M161" s="79"/>
      <c r="N161" s="79"/>
      <c r="O161" s="79"/>
      <c r="P161" s="79"/>
      <c r="Q161" s="79"/>
      <c r="R161" s="79"/>
      <c r="S161" s="79"/>
      <c r="T161" s="79"/>
      <c r="U161" s="79"/>
      <c r="V161" s="79"/>
      <c r="W161" s="79"/>
      <c r="X161" s="79"/>
      <c r="Y161" s="79"/>
      <c r="Z161" s="79"/>
    </row>
    <row r="162">
      <c r="A162" s="79"/>
      <c r="B162" s="79"/>
      <c r="C162" s="79"/>
      <c r="D162" s="79"/>
      <c r="E162" s="79"/>
      <c r="F162" s="79"/>
      <c r="G162" s="79"/>
      <c r="H162" s="79"/>
      <c r="I162" s="79"/>
      <c r="J162" s="79"/>
      <c r="K162" s="79"/>
      <c r="L162" s="79"/>
      <c r="M162" s="79"/>
      <c r="N162" s="79"/>
      <c r="O162" s="79"/>
      <c r="P162" s="79"/>
      <c r="Q162" s="79"/>
      <c r="R162" s="79"/>
      <c r="S162" s="79"/>
      <c r="T162" s="79"/>
      <c r="U162" s="79"/>
      <c r="V162" s="79"/>
      <c r="W162" s="79"/>
      <c r="X162" s="79"/>
      <c r="Y162" s="79"/>
      <c r="Z162" s="79"/>
    </row>
    <row r="163">
      <c r="A163" s="79"/>
      <c r="B163" s="79"/>
      <c r="C163" s="79"/>
      <c r="D163" s="79"/>
      <c r="E163" s="79"/>
      <c r="F163" s="79"/>
      <c r="G163" s="79"/>
      <c r="H163" s="79"/>
      <c r="I163" s="79"/>
      <c r="J163" s="79"/>
      <c r="K163" s="79"/>
      <c r="L163" s="79"/>
      <c r="M163" s="79"/>
      <c r="N163" s="79"/>
      <c r="O163" s="79"/>
      <c r="P163" s="79"/>
      <c r="Q163" s="79"/>
      <c r="R163" s="79"/>
      <c r="S163" s="79"/>
      <c r="T163" s="79"/>
      <c r="U163" s="79"/>
      <c r="V163" s="79"/>
      <c r="W163" s="79"/>
      <c r="X163" s="79"/>
      <c r="Y163" s="79"/>
      <c r="Z163" s="79"/>
    </row>
    <row r="164">
      <c r="A164" s="79"/>
      <c r="B164" s="79"/>
      <c r="C164" s="79"/>
      <c r="D164" s="79"/>
      <c r="E164" s="79"/>
      <c r="F164" s="79"/>
      <c r="G164" s="79"/>
      <c r="H164" s="79"/>
      <c r="I164" s="79"/>
      <c r="J164" s="79"/>
      <c r="K164" s="79"/>
      <c r="L164" s="79"/>
      <c r="M164" s="79"/>
      <c r="N164" s="79"/>
      <c r="O164" s="79"/>
      <c r="P164" s="79"/>
      <c r="Q164" s="79"/>
      <c r="R164" s="79"/>
      <c r="S164" s="79"/>
      <c r="T164" s="79"/>
      <c r="U164" s="79"/>
      <c r="V164" s="79"/>
      <c r="W164" s="79"/>
      <c r="X164" s="79"/>
      <c r="Y164" s="79"/>
      <c r="Z164" s="79"/>
    </row>
    <row r="165">
      <c r="A165" s="79"/>
      <c r="B165" s="79"/>
      <c r="C165" s="79"/>
      <c r="D165" s="79"/>
      <c r="E165" s="79"/>
      <c r="F165" s="79"/>
      <c r="G165" s="79"/>
      <c r="H165" s="79"/>
      <c r="I165" s="79"/>
      <c r="J165" s="79"/>
      <c r="K165" s="79"/>
      <c r="L165" s="79"/>
      <c r="M165" s="79"/>
      <c r="N165" s="79"/>
      <c r="O165" s="79"/>
      <c r="P165" s="79"/>
      <c r="Q165" s="79"/>
      <c r="R165" s="79"/>
      <c r="S165" s="79"/>
      <c r="T165" s="79"/>
      <c r="U165" s="79"/>
      <c r="V165" s="79"/>
      <c r="W165" s="79"/>
      <c r="X165" s="79"/>
      <c r="Y165" s="79"/>
      <c r="Z165" s="79"/>
    </row>
    <row r="166">
      <c r="A166" s="79"/>
      <c r="B166" s="79"/>
      <c r="C166" s="79"/>
      <c r="D166" s="79"/>
      <c r="E166" s="79"/>
      <c r="F166" s="79"/>
      <c r="G166" s="79"/>
      <c r="H166" s="79"/>
      <c r="I166" s="79"/>
      <c r="J166" s="79"/>
      <c r="K166" s="79"/>
      <c r="L166" s="79"/>
      <c r="M166" s="79"/>
      <c r="N166" s="79"/>
      <c r="O166" s="79"/>
      <c r="P166" s="79"/>
      <c r="Q166" s="79"/>
      <c r="R166" s="79"/>
      <c r="S166" s="79"/>
      <c r="T166" s="79"/>
      <c r="U166" s="79"/>
      <c r="V166" s="79"/>
      <c r="W166" s="79"/>
      <c r="X166" s="79"/>
      <c r="Y166" s="79"/>
      <c r="Z166" s="79"/>
    </row>
    <row r="167">
      <c r="A167" s="79"/>
      <c r="B167" s="79"/>
      <c r="C167" s="79"/>
      <c r="D167" s="79"/>
      <c r="E167" s="79"/>
      <c r="F167" s="79"/>
      <c r="G167" s="79"/>
      <c r="H167" s="79"/>
      <c r="I167" s="79"/>
      <c r="J167" s="79"/>
      <c r="K167" s="79"/>
      <c r="L167" s="79"/>
      <c r="M167" s="79"/>
      <c r="N167" s="79"/>
      <c r="O167" s="79"/>
      <c r="P167" s="79"/>
      <c r="Q167" s="79"/>
      <c r="R167" s="79"/>
      <c r="S167" s="79"/>
      <c r="T167" s="79"/>
      <c r="U167" s="79"/>
      <c r="V167" s="79"/>
      <c r="W167" s="79"/>
      <c r="X167" s="79"/>
      <c r="Y167" s="79"/>
      <c r="Z167" s="79"/>
    </row>
    <row r="168">
      <c r="A168" s="79"/>
      <c r="B168" s="79"/>
      <c r="C168" s="79"/>
      <c r="D168" s="79"/>
      <c r="E168" s="79"/>
      <c r="F168" s="79"/>
      <c r="G168" s="79"/>
      <c r="H168" s="79"/>
      <c r="I168" s="79"/>
      <c r="J168" s="79"/>
      <c r="K168" s="79"/>
      <c r="L168" s="79"/>
      <c r="M168" s="79"/>
      <c r="N168" s="79"/>
      <c r="O168" s="79"/>
      <c r="P168" s="79"/>
      <c r="Q168" s="79"/>
      <c r="R168" s="79"/>
      <c r="S168" s="79"/>
      <c r="T168" s="79"/>
      <c r="U168" s="79"/>
      <c r="V168" s="79"/>
      <c r="W168" s="79"/>
      <c r="X168" s="79"/>
      <c r="Y168" s="79"/>
      <c r="Z168" s="79"/>
    </row>
    <row r="169">
      <c r="A169" s="79"/>
      <c r="B169" s="79"/>
      <c r="C169" s="79"/>
      <c r="D169" s="79"/>
      <c r="E169" s="79"/>
      <c r="F169" s="79"/>
      <c r="G169" s="79"/>
      <c r="H169" s="79"/>
      <c r="I169" s="79"/>
      <c r="J169" s="79"/>
      <c r="K169" s="79"/>
      <c r="L169" s="79"/>
      <c r="M169" s="79"/>
      <c r="N169" s="79"/>
      <c r="O169" s="79"/>
      <c r="P169" s="79"/>
      <c r="Q169" s="79"/>
      <c r="R169" s="79"/>
      <c r="S169" s="79"/>
      <c r="T169" s="79"/>
      <c r="U169" s="79"/>
      <c r="V169" s="79"/>
      <c r="W169" s="79"/>
      <c r="X169" s="79"/>
      <c r="Y169" s="79"/>
      <c r="Z169" s="79"/>
    </row>
    <row r="170">
      <c r="A170" s="79"/>
      <c r="B170" s="79"/>
      <c r="C170" s="79"/>
      <c r="D170" s="79"/>
      <c r="E170" s="79"/>
      <c r="F170" s="79"/>
      <c r="G170" s="79"/>
      <c r="H170" s="79"/>
      <c r="I170" s="79"/>
      <c r="J170" s="79"/>
      <c r="K170" s="79"/>
      <c r="L170" s="79"/>
      <c r="M170" s="79"/>
      <c r="N170" s="79"/>
      <c r="O170" s="79"/>
      <c r="P170" s="79"/>
      <c r="Q170" s="79"/>
      <c r="R170" s="79"/>
      <c r="S170" s="79"/>
      <c r="T170" s="79"/>
      <c r="U170" s="79"/>
      <c r="V170" s="79"/>
      <c r="W170" s="79"/>
      <c r="X170" s="79"/>
      <c r="Y170" s="79"/>
      <c r="Z170" s="79"/>
    </row>
    <row r="171">
      <c r="A171" s="79"/>
      <c r="B171" s="79"/>
      <c r="C171" s="79"/>
      <c r="D171" s="79"/>
      <c r="E171" s="79"/>
      <c r="F171" s="79"/>
      <c r="G171" s="79"/>
      <c r="H171" s="79"/>
      <c r="I171" s="79"/>
      <c r="J171" s="79"/>
      <c r="K171" s="79"/>
      <c r="L171" s="79"/>
      <c r="M171" s="79"/>
      <c r="N171" s="79"/>
      <c r="O171" s="79"/>
      <c r="P171" s="79"/>
      <c r="Q171" s="79"/>
      <c r="R171" s="79"/>
      <c r="S171" s="79"/>
      <c r="T171" s="79"/>
      <c r="U171" s="79"/>
      <c r="V171" s="79"/>
      <c r="W171" s="79"/>
      <c r="X171" s="79"/>
      <c r="Y171" s="79"/>
      <c r="Z171" s="79"/>
    </row>
    <row r="172">
      <c r="A172" s="79"/>
      <c r="B172" s="79"/>
      <c r="C172" s="79"/>
      <c r="D172" s="79"/>
      <c r="E172" s="79"/>
      <c r="F172" s="79"/>
      <c r="G172" s="79"/>
      <c r="H172" s="79"/>
      <c r="I172" s="79"/>
      <c r="J172" s="79"/>
      <c r="K172" s="79"/>
      <c r="L172" s="79"/>
      <c r="M172" s="79"/>
      <c r="N172" s="79"/>
      <c r="O172" s="79"/>
      <c r="P172" s="79"/>
      <c r="Q172" s="79"/>
      <c r="R172" s="79"/>
      <c r="S172" s="79"/>
      <c r="T172" s="79"/>
      <c r="U172" s="79"/>
      <c r="V172" s="79"/>
      <c r="W172" s="79"/>
      <c r="X172" s="79"/>
      <c r="Y172" s="79"/>
      <c r="Z172" s="79"/>
    </row>
    <row r="173">
      <c r="A173" s="79"/>
      <c r="B173" s="79"/>
      <c r="C173" s="79"/>
      <c r="D173" s="79"/>
      <c r="E173" s="79"/>
      <c r="F173" s="79"/>
      <c r="G173" s="79"/>
      <c r="H173" s="79"/>
      <c r="I173" s="79"/>
      <c r="J173" s="79"/>
      <c r="K173" s="79"/>
      <c r="L173" s="79"/>
      <c r="M173" s="79"/>
      <c r="N173" s="79"/>
      <c r="O173" s="79"/>
      <c r="P173" s="79"/>
      <c r="Q173" s="79"/>
      <c r="R173" s="79"/>
      <c r="S173" s="79"/>
      <c r="T173" s="79"/>
      <c r="U173" s="79"/>
      <c r="V173" s="79"/>
      <c r="W173" s="79"/>
      <c r="X173" s="79"/>
      <c r="Y173" s="79"/>
      <c r="Z173" s="79"/>
    </row>
    <row r="174">
      <c r="A174" s="79"/>
      <c r="B174" s="79"/>
      <c r="C174" s="79"/>
      <c r="D174" s="79"/>
      <c r="E174" s="79"/>
      <c r="F174" s="79"/>
      <c r="G174" s="79"/>
      <c r="H174" s="79"/>
      <c r="I174" s="79"/>
      <c r="J174" s="79"/>
      <c r="K174" s="79"/>
      <c r="L174" s="79"/>
      <c r="M174" s="79"/>
      <c r="N174" s="79"/>
      <c r="O174" s="79"/>
      <c r="P174" s="79"/>
      <c r="Q174" s="79"/>
      <c r="R174" s="79"/>
      <c r="S174" s="79"/>
      <c r="T174" s="79"/>
      <c r="U174" s="79"/>
      <c r="V174" s="79"/>
      <c r="W174" s="79"/>
      <c r="X174" s="79"/>
      <c r="Y174" s="79"/>
      <c r="Z174" s="79"/>
    </row>
    <row r="175">
      <c r="A175" s="79"/>
      <c r="B175" s="79"/>
      <c r="C175" s="79"/>
      <c r="D175" s="79"/>
      <c r="E175" s="79"/>
      <c r="F175" s="79"/>
      <c r="G175" s="79"/>
      <c r="H175" s="79"/>
      <c r="I175" s="79"/>
      <c r="J175" s="79"/>
      <c r="K175" s="79"/>
      <c r="L175" s="79"/>
      <c r="M175" s="79"/>
      <c r="N175" s="79"/>
      <c r="O175" s="79"/>
      <c r="P175" s="79"/>
      <c r="Q175" s="79"/>
      <c r="R175" s="79"/>
      <c r="S175" s="79"/>
      <c r="T175" s="79"/>
      <c r="U175" s="79"/>
      <c r="V175" s="79"/>
      <c r="W175" s="79"/>
      <c r="X175" s="79"/>
      <c r="Y175" s="79"/>
      <c r="Z175" s="79"/>
    </row>
    <row r="176">
      <c r="A176" s="79"/>
      <c r="B176" s="79"/>
      <c r="C176" s="79"/>
      <c r="D176" s="79"/>
      <c r="E176" s="79"/>
      <c r="F176" s="79"/>
      <c r="G176" s="79"/>
      <c r="H176" s="79"/>
      <c r="I176" s="79"/>
      <c r="J176" s="79"/>
      <c r="K176" s="79"/>
      <c r="L176" s="79"/>
      <c r="M176" s="79"/>
      <c r="N176" s="79"/>
      <c r="O176" s="79"/>
      <c r="P176" s="79"/>
      <c r="Q176" s="79"/>
      <c r="R176" s="79"/>
      <c r="S176" s="79"/>
      <c r="T176" s="79"/>
      <c r="U176" s="79"/>
      <c r="V176" s="79"/>
      <c r="W176" s="79"/>
      <c r="X176" s="79"/>
      <c r="Y176" s="79"/>
      <c r="Z176" s="79"/>
    </row>
    <row r="177">
      <c r="A177" s="79"/>
      <c r="B177" s="79"/>
      <c r="C177" s="79"/>
      <c r="D177" s="79"/>
      <c r="E177" s="79"/>
      <c r="F177" s="79"/>
      <c r="G177" s="79"/>
      <c r="H177" s="79"/>
      <c r="I177" s="79"/>
      <c r="J177" s="79"/>
      <c r="K177" s="79"/>
      <c r="L177" s="79"/>
      <c r="M177" s="79"/>
      <c r="N177" s="79"/>
      <c r="O177" s="79"/>
      <c r="P177" s="79"/>
      <c r="Q177" s="79"/>
      <c r="R177" s="79"/>
      <c r="S177" s="79"/>
      <c r="T177" s="79"/>
      <c r="U177" s="79"/>
      <c r="V177" s="79"/>
      <c r="W177" s="79"/>
      <c r="X177" s="79"/>
      <c r="Y177" s="79"/>
      <c r="Z177" s="79"/>
    </row>
    <row r="178">
      <c r="A178" s="79"/>
      <c r="B178" s="79"/>
      <c r="C178" s="79"/>
      <c r="D178" s="79"/>
      <c r="E178" s="79"/>
      <c r="F178" s="79"/>
      <c r="G178" s="79"/>
      <c r="H178" s="79"/>
      <c r="I178" s="79"/>
      <c r="J178" s="79"/>
      <c r="K178" s="79"/>
      <c r="L178" s="79"/>
      <c r="M178" s="79"/>
      <c r="N178" s="79"/>
      <c r="O178" s="79"/>
      <c r="P178" s="79"/>
      <c r="Q178" s="79"/>
      <c r="R178" s="79"/>
      <c r="S178" s="79"/>
      <c r="T178" s="79"/>
      <c r="U178" s="79"/>
      <c r="V178" s="79"/>
      <c r="W178" s="79"/>
      <c r="X178" s="79"/>
      <c r="Y178" s="79"/>
      <c r="Z178" s="79"/>
    </row>
    <row r="179">
      <c r="A179" s="79"/>
      <c r="B179" s="79"/>
      <c r="C179" s="79"/>
      <c r="D179" s="79"/>
      <c r="E179" s="79"/>
      <c r="F179" s="79"/>
      <c r="G179" s="79"/>
      <c r="H179" s="79"/>
      <c r="I179" s="79"/>
      <c r="J179" s="79"/>
      <c r="K179" s="79"/>
      <c r="L179" s="79"/>
      <c r="M179" s="79"/>
      <c r="N179" s="79"/>
      <c r="O179" s="79"/>
      <c r="P179" s="79"/>
      <c r="Q179" s="79"/>
      <c r="R179" s="79"/>
      <c r="S179" s="79"/>
      <c r="T179" s="79"/>
      <c r="U179" s="79"/>
      <c r="V179" s="79"/>
      <c r="W179" s="79"/>
      <c r="X179" s="79"/>
      <c r="Y179" s="79"/>
      <c r="Z179" s="79"/>
    </row>
    <row r="180">
      <c r="A180" s="79"/>
      <c r="B180" s="79"/>
      <c r="C180" s="79"/>
      <c r="D180" s="79"/>
      <c r="E180" s="79"/>
      <c r="F180" s="79"/>
      <c r="G180" s="79"/>
      <c r="H180" s="79"/>
      <c r="I180" s="79"/>
      <c r="J180" s="79"/>
      <c r="K180" s="79"/>
      <c r="L180" s="79"/>
      <c r="M180" s="79"/>
      <c r="N180" s="79"/>
      <c r="O180" s="79"/>
      <c r="P180" s="79"/>
      <c r="Q180" s="79"/>
      <c r="R180" s="79"/>
      <c r="S180" s="79"/>
      <c r="T180" s="79"/>
      <c r="U180" s="79"/>
      <c r="V180" s="79"/>
      <c r="W180" s="79"/>
      <c r="X180" s="79"/>
      <c r="Y180" s="79"/>
      <c r="Z180" s="79"/>
    </row>
    <row r="181">
      <c r="A181" s="79"/>
      <c r="B181" s="79"/>
      <c r="C181" s="79"/>
      <c r="D181" s="79"/>
      <c r="E181" s="79"/>
      <c r="F181" s="79"/>
      <c r="G181" s="79"/>
      <c r="H181" s="79"/>
      <c r="I181" s="79"/>
      <c r="J181" s="79"/>
      <c r="K181" s="79"/>
      <c r="L181" s="79"/>
      <c r="M181" s="79"/>
      <c r="N181" s="79"/>
      <c r="O181" s="79"/>
      <c r="P181" s="79"/>
      <c r="Q181" s="79"/>
      <c r="R181" s="79"/>
      <c r="S181" s="79"/>
      <c r="T181" s="79"/>
      <c r="U181" s="79"/>
      <c r="V181" s="79"/>
      <c r="W181" s="79"/>
      <c r="X181" s="79"/>
      <c r="Y181" s="79"/>
      <c r="Z181" s="79"/>
    </row>
    <row r="182">
      <c r="A182" s="79"/>
      <c r="B182" s="79"/>
      <c r="C182" s="79"/>
      <c r="D182" s="79"/>
      <c r="E182" s="79"/>
      <c r="F182" s="79"/>
      <c r="G182" s="79"/>
      <c r="H182" s="79"/>
      <c r="I182" s="79"/>
      <c r="J182" s="79"/>
      <c r="K182" s="79"/>
      <c r="L182" s="79"/>
      <c r="M182" s="79"/>
      <c r="N182" s="79"/>
      <c r="O182" s="79"/>
      <c r="P182" s="79"/>
      <c r="Q182" s="79"/>
      <c r="R182" s="79"/>
      <c r="S182" s="79"/>
      <c r="T182" s="79"/>
      <c r="U182" s="79"/>
      <c r="V182" s="79"/>
      <c r="W182" s="79"/>
      <c r="X182" s="79"/>
      <c r="Y182" s="79"/>
      <c r="Z182" s="79"/>
    </row>
    <row r="183">
      <c r="A183" s="79"/>
      <c r="B183" s="79"/>
      <c r="C183" s="79"/>
      <c r="D183" s="79"/>
      <c r="E183" s="79"/>
      <c r="F183" s="79"/>
      <c r="G183" s="79"/>
      <c r="H183" s="79"/>
      <c r="I183" s="79"/>
      <c r="J183" s="79"/>
      <c r="K183" s="79"/>
      <c r="L183" s="79"/>
      <c r="M183" s="79"/>
      <c r="N183" s="79"/>
      <c r="O183" s="79"/>
      <c r="P183" s="79"/>
      <c r="Q183" s="79"/>
      <c r="R183" s="79"/>
      <c r="S183" s="79"/>
      <c r="T183" s="79"/>
      <c r="U183" s="79"/>
      <c r="V183" s="79"/>
      <c r="W183" s="79"/>
      <c r="X183" s="79"/>
      <c r="Y183" s="79"/>
      <c r="Z183" s="79"/>
    </row>
    <row r="184">
      <c r="A184" s="79"/>
      <c r="B184" s="79"/>
      <c r="C184" s="79"/>
      <c r="D184" s="79"/>
      <c r="E184" s="79"/>
      <c r="F184" s="79"/>
      <c r="G184" s="79"/>
      <c r="H184" s="79"/>
      <c r="I184" s="79"/>
      <c r="J184" s="79"/>
      <c r="K184" s="79"/>
      <c r="L184" s="79"/>
      <c r="M184" s="79"/>
      <c r="N184" s="79"/>
      <c r="O184" s="79"/>
      <c r="P184" s="79"/>
      <c r="Q184" s="79"/>
      <c r="R184" s="79"/>
      <c r="S184" s="79"/>
      <c r="T184" s="79"/>
      <c r="U184" s="79"/>
      <c r="V184" s="79"/>
      <c r="W184" s="79"/>
      <c r="X184" s="79"/>
      <c r="Y184" s="79"/>
      <c r="Z184" s="79"/>
    </row>
    <row r="185">
      <c r="A185" s="79"/>
      <c r="B185" s="79"/>
      <c r="C185" s="79"/>
      <c r="D185" s="79"/>
      <c r="E185" s="79"/>
      <c r="F185" s="79"/>
      <c r="G185" s="79"/>
      <c r="H185" s="79"/>
      <c r="I185" s="79"/>
      <c r="J185" s="79"/>
      <c r="K185" s="79"/>
      <c r="L185" s="79"/>
      <c r="M185" s="79"/>
      <c r="N185" s="79"/>
      <c r="O185" s="79"/>
      <c r="P185" s="79"/>
      <c r="Q185" s="79"/>
      <c r="R185" s="79"/>
      <c r="S185" s="79"/>
      <c r="T185" s="79"/>
      <c r="U185" s="79"/>
      <c r="V185" s="79"/>
      <c r="W185" s="79"/>
      <c r="X185" s="79"/>
      <c r="Y185" s="79"/>
      <c r="Z185" s="79"/>
    </row>
    <row r="186">
      <c r="A186" s="79"/>
      <c r="B186" s="79"/>
      <c r="C186" s="79"/>
      <c r="D186" s="79"/>
      <c r="E186" s="79"/>
      <c r="F186" s="79"/>
      <c r="G186" s="79"/>
      <c r="H186" s="79"/>
      <c r="I186" s="79"/>
      <c r="J186" s="79"/>
      <c r="K186" s="79"/>
      <c r="L186" s="79"/>
      <c r="M186" s="79"/>
      <c r="N186" s="79"/>
      <c r="O186" s="79"/>
      <c r="P186" s="79"/>
      <c r="Q186" s="79"/>
      <c r="R186" s="79"/>
      <c r="S186" s="79"/>
      <c r="T186" s="79"/>
      <c r="U186" s="79"/>
      <c r="V186" s="79"/>
      <c r="W186" s="79"/>
      <c r="X186" s="79"/>
      <c r="Y186" s="79"/>
      <c r="Z186" s="79"/>
    </row>
    <row r="187">
      <c r="A187" s="79"/>
      <c r="B187" s="79"/>
      <c r="C187" s="79"/>
      <c r="D187" s="79"/>
      <c r="E187" s="79"/>
      <c r="F187" s="79"/>
      <c r="G187" s="79"/>
      <c r="H187" s="79"/>
      <c r="I187" s="79"/>
      <c r="J187" s="79"/>
      <c r="K187" s="79"/>
      <c r="L187" s="79"/>
      <c r="M187" s="79"/>
      <c r="N187" s="79"/>
      <c r="O187" s="79"/>
      <c r="P187" s="79"/>
      <c r="Q187" s="79"/>
      <c r="R187" s="79"/>
      <c r="S187" s="79"/>
      <c r="T187" s="79"/>
      <c r="U187" s="79"/>
      <c r="V187" s="79"/>
      <c r="W187" s="79"/>
      <c r="X187" s="79"/>
      <c r="Y187" s="79"/>
      <c r="Z187" s="79"/>
    </row>
    <row r="188">
      <c r="A188" s="79"/>
      <c r="B188" s="79"/>
      <c r="C188" s="79"/>
      <c r="D188" s="79"/>
      <c r="E188" s="79"/>
      <c r="F188" s="79"/>
      <c r="G188" s="79"/>
      <c r="H188" s="79"/>
      <c r="I188" s="79"/>
      <c r="J188" s="79"/>
      <c r="K188" s="79"/>
      <c r="L188" s="79"/>
      <c r="M188" s="79"/>
      <c r="N188" s="79"/>
      <c r="O188" s="79"/>
      <c r="P188" s="79"/>
      <c r="Q188" s="79"/>
      <c r="R188" s="79"/>
      <c r="S188" s="79"/>
      <c r="T188" s="79"/>
      <c r="U188" s="79"/>
      <c r="V188" s="79"/>
      <c r="W188" s="79"/>
      <c r="X188" s="79"/>
      <c r="Y188" s="79"/>
      <c r="Z188" s="79"/>
    </row>
    <row r="189">
      <c r="A189" s="79"/>
      <c r="B189" s="79"/>
      <c r="C189" s="79"/>
      <c r="D189" s="79"/>
      <c r="E189" s="79"/>
      <c r="F189" s="79"/>
      <c r="G189" s="79"/>
      <c r="H189" s="79"/>
      <c r="I189" s="79"/>
      <c r="J189" s="79"/>
      <c r="K189" s="79"/>
      <c r="L189" s="79"/>
      <c r="M189" s="79"/>
      <c r="N189" s="79"/>
      <c r="O189" s="79"/>
      <c r="P189" s="79"/>
      <c r="Q189" s="79"/>
      <c r="R189" s="79"/>
      <c r="S189" s="79"/>
      <c r="T189" s="79"/>
      <c r="U189" s="79"/>
      <c r="V189" s="79"/>
      <c r="W189" s="79"/>
      <c r="X189" s="79"/>
      <c r="Y189" s="79"/>
      <c r="Z189" s="79"/>
    </row>
    <row r="190">
      <c r="A190" s="79"/>
      <c r="B190" s="79"/>
      <c r="C190" s="79"/>
      <c r="D190" s="79"/>
      <c r="E190" s="79"/>
      <c r="F190" s="79"/>
      <c r="G190" s="79"/>
      <c r="H190" s="79"/>
      <c r="I190" s="79"/>
      <c r="J190" s="79"/>
      <c r="K190" s="79"/>
      <c r="L190" s="79"/>
      <c r="M190" s="79"/>
      <c r="N190" s="79"/>
      <c r="O190" s="79"/>
      <c r="P190" s="79"/>
      <c r="Q190" s="79"/>
      <c r="R190" s="79"/>
      <c r="S190" s="79"/>
      <c r="T190" s="79"/>
      <c r="U190" s="79"/>
      <c r="V190" s="79"/>
      <c r="W190" s="79"/>
      <c r="X190" s="79"/>
      <c r="Y190" s="79"/>
      <c r="Z190" s="79"/>
    </row>
    <row r="191">
      <c r="A191" s="79"/>
      <c r="B191" s="79"/>
      <c r="C191" s="79"/>
      <c r="D191" s="79"/>
      <c r="E191" s="79"/>
      <c r="F191" s="79"/>
      <c r="G191" s="79"/>
      <c r="H191" s="79"/>
      <c r="I191" s="79"/>
      <c r="J191" s="79"/>
      <c r="K191" s="79"/>
      <c r="L191" s="79"/>
      <c r="M191" s="79"/>
      <c r="N191" s="79"/>
      <c r="O191" s="79"/>
      <c r="P191" s="79"/>
      <c r="Q191" s="79"/>
      <c r="R191" s="79"/>
      <c r="S191" s="79"/>
      <c r="T191" s="79"/>
      <c r="U191" s="79"/>
      <c r="V191" s="79"/>
      <c r="W191" s="79"/>
      <c r="X191" s="79"/>
      <c r="Y191" s="79"/>
      <c r="Z191" s="79"/>
    </row>
    <row r="192">
      <c r="A192" s="79"/>
      <c r="B192" s="79"/>
      <c r="C192" s="79"/>
      <c r="D192" s="79"/>
      <c r="E192" s="79"/>
      <c r="F192" s="79"/>
      <c r="G192" s="79"/>
      <c r="H192" s="79"/>
      <c r="I192" s="79"/>
      <c r="J192" s="79"/>
      <c r="K192" s="79"/>
      <c r="L192" s="79"/>
      <c r="M192" s="79"/>
      <c r="N192" s="79"/>
      <c r="O192" s="79"/>
      <c r="P192" s="79"/>
      <c r="Q192" s="79"/>
      <c r="R192" s="79"/>
      <c r="S192" s="79"/>
      <c r="T192" s="79"/>
      <c r="U192" s="79"/>
      <c r="V192" s="79"/>
      <c r="W192" s="79"/>
      <c r="X192" s="79"/>
      <c r="Y192" s="79"/>
      <c r="Z192" s="79"/>
    </row>
    <row r="193">
      <c r="A193" s="79"/>
      <c r="B193" s="79"/>
      <c r="C193" s="79"/>
      <c r="D193" s="79"/>
      <c r="E193" s="79"/>
      <c r="F193" s="79"/>
      <c r="G193" s="79"/>
      <c r="H193" s="79"/>
      <c r="I193" s="79"/>
      <c r="J193" s="79"/>
      <c r="K193" s="79"/>
      <c r="L193" s="79"/>
      <c r="M193" s="79"/>
      <c r="N193" s="79"/>
      <c r="O193" s="79"/>
      <c r="P193" s="79"/>
      <c r="Q193" s="79"/>
      <c r="R193" s="79"/>
      <c r="S193" s="79"/>
      <c r="T193" s="79"/>
      <c r="U193" s="79"/>
      <c r="V193" s="79"/>
      <c r="W193" s="79"/>
      <c r="X193" s="79"/>
      <c r="Y193" s="79"/>
      <c r="Z193" s="79"/>
    </row>
    <row r="194">
      <c r="A194" s="79"/>
      <c r="B194" s="79"/>
      <c r="C194" s="79"/>
      <c r="D194" s="79"/>
      <c r="E194" s="79"/>
      <c r="F194" s="79"/>
      <c r="G194" s="79"/>
      <c r="H194" s="79"/>
      <c r="I194" s="79"/>
      <c r="J194" s="79"/>
      <c r="K194" s="79"/>
      <c r="L194" s="79"/>
      <c r="M194" s="79"/>
      <c r="N194" s="79"/>
      <c r="O194" s="79"/>
      <c r="P194" s="79"/>
      <c r="Q194" s="79"/>
      <c r="R194" s="79"/>
      <c r="S194" s="79"/>
      <c r="T194" s="79"/>
      <c r="U194" s="79"/>
      <c r="V194" s="79"/>
      <c r="W194" s="79"/>
      <c r="X194" s="79"/>
      <c r="Y194" s="79"/>
      <c r="Z194" s="79"/>
    </row>
    <row r="195">
      <c r="A195" s="79"/>
      <c r="B195" s="79"/>
      <c r="C195" s="79"/>
      <c r="D195" s="79"/>
      <c r="E195" s="79"/>
      <c r="F195" s="79"/>
      <c r="G195" s="79"/>
      <c r="H195" s="79"/>
      <c r="I195" s="79"/>
      <c r="J195" s="79"/>
      <c r="K195" s="79"/>
      <c r="L195" s="79"/>
      <c r="M195" s="79"/>
      <c r="N195" s="79"/>
      <c r="O195" s="79"/>
      <c r="P195" s="79"/>
      <c r="Q195" s="79"/>
      <c r="R195" s="79"/>
      <c r="S195" s="79"/>
      <c r="T195" s="79"/>
      <c r="U195" s="79"/>
      <c r="V195" s="79"/>
      <c r="W195" s="79"/>
      <c r="X195" s="79"/>
      <c r="Y195" s="79"/>
      <c r="Z195" s="79"/>
    </row>
    <row r="196">
      <c r="A196" s="79"/>
      <c r="B196" s="79"/>
      <c r="C196" s="79"/>
      <c r="D196" s="79"/>
      <c r="E196" s="79"/>
      <c r="F196" s="79"/>
      <c r="G196" s="79"/>
      <c r="H196" s="79"/>
      <c r="I196" s="79"/>
      <c r="J196" s="79"/>
      <c r="K196" s="79"/>
      <c r="L196" s="79"/>
      <c r="M196" s="79"/>
      <c r="N196" s="79"/>
      <c r="O196" s="79"/>
      <c r="P196" s="79"/>
      <c r="Q196" s="79"/>
      <c r="R196" s="79"/>
      <c r="S196" s="79"/>
      <c r="T196" s="79"/>
      <c r="U196" s="79"/>
      <c r="V196" s="79"/>
      <c r="W196" s="79"/>
      <c r="X196" s="79"/>
      <c r="Y196" s="79"/>
      <c r="Z196" s="79"/>
    </row>
    <row r="197">
      <c r="A197" s="79"/>
      <c r="B197" s="79"/>
      <c r="C197" s="79"/>
      <c r="D197" s="79"/>
      <c r="E197" s="79"/>
      <c r="F197" s="79"/>
      <c r="G197" s="79"/>
      <c r="H197" s="79"/>
      <c r="I197" s="79"/>
      <c r="J197" s="79"/>
      <c r="K197" s="79"/>
      <c r="L197" s="79"/>
      <c r="M197" s="79"/>
      <c r="N197" s="79"/>
      <c r="O197" s="79"/>
      <c r="P197" s="79"/>
      <c r="Q197" s="79"/>
      <c r="R197" s="79"/>
      <c r="S197" s="79"/>
      <c r="T197" s="79"/>
      <c r="U197" s="79"/>
      <c r="V197" s="79"/>
      <c r="W197" s="79"/>
      <c r="X197" s="79"/>
      <c r="Y197" s="79"/>
      <c r="Z197" s="79"/>
    </row>
    <row r="198">
      <c r="A198" s="79"/>
      <c r="B198" s="79"/>
      <c r="C198" s="79"/>
      <c r="D198" s="79"/>
      <c r="E198" s="79"/>
      <c r="F198" s="79"/>
      <c r="G198" s="79"/>
      <c r="H198" s="79"/>
      <c r="I198" s="79"/>
      <c r="J198" s="79"/>
      <c r="K198" s="79"/>
      <c r="L198" s="79"/>
      <c r="M198" s="79"/>
      <c r="N198" s="79"/>
      <c r="O198" s="79"/>
      <c r="P198" s="79"/>
      <c r="Q198" s="79"/>
      <c r="R198" s="79"/>
      <c r="S198" s="79"/>
      <c r="T198" s="79"/>
      <c r="U198" s="79"/>
      <c r="V198" s="79"/>
      <c r="W198" s="79"/>
      <c r="X198" s="79"/>
      <c r="Y198" s="79"/>
      <c r="Z198" s="79"/>
    </row>
    <row r="199">
      <c r="A199" s="79"/>
      <c r="B199" s="79"/>
      <c r="C199" s="79"/>
      <c r="D199" s="79"/>
      <c r="E199" s="79"/>
      <c r="F199" s="79"/>
      <c r="G199" s="79"/>
      <c r="H199" s="79"/>
      <c r="I199" s="79"/>
      <c r="J199" s="79"/>
      <c r="K199" s="79"/>
      <c r="L199" s="79"/>
      <c r="M199" s="79"/>
      <c r="N199" s="79"/>
      <c r="O199" s="79"/>
      <c r="P199" s="79"/>
      <c r="Q199" s="79"/>
      <c r="R199" s="79"/>
      <c r="S199" s="79"/>
      <c r="T199" s="79"/>
      <c r="U199" s="79"/>
      <c r="V199" s="79"/>
      <c r="W199" s="79"/>
      <c r="X199" s="79"/>
      <c r="Y199" s="79"/>
      <c r="Z199" s="79"/>
    </row>
    <row r="200">
      <c r="A200" s="79"/>
      <c r="B200" s="79"/>
      <c r="C200" s="79"/>
      <c r="D200" s="79"/>
      <c r="E200" s="79"/>
      <c r="F200" s="79"/>
      <c r="G200" s="79"/>
      <c r="H200" s="79"/>
      <c r="I200" s="79"/>
      <c r="J200" s="79"/>
      <c r="K200" s="79"/>
      <c r="L200" s="79"/>
      <c r="M200" s="79"/>
      <c r="N200" s="79"/>
      <c r="O200" s="79"/>
      <c r="P200" s="79"/>
      <c r="Q200" s="79"/>
      <c r="R200" s="79"/>
      <c r="S200" s="79"/>
      <c r="T200" s="79"/>
      <c r="U200" s="79"/>
      <c r="V200" s="79"/>
      <c r="W200" s="79"/>
      <c r="X200" s="79"/>
      <c r="Y200" s="79"/>
      <c r="Z200" s="79"/>
    </row>
    <row r="201">
      <c r="A201" s="79"/>
      <c r="B201" s="79"/>
      <c r="C201" s="79"/>
      <c r="D201" s="79"/>
      <c r="E201" s="79"/>
      <c r="F201" s="79"/>
      <c r="G201" s="79"/>
      <c r="H201" s="79"/>
      <c r="I201" s="79"/>
      <c r="J201" s="79"/>
      <c r="K201" s="79"/>
      <c r="L201" s="79"/>
      <c r="M201" s="79"/>
      <c r="N201" s="79"/>
      <c r="O201" s="79"/>
      <c r="P201" s="79"/>
      <c r="Q201" s="79"/>
      <c r="R201" s="79"/>
      <c r="S201" s="79"/>
      <c r="T201" s="79"/>
      <c r="U201" s="79"/>
      <c r="V201" s="79"/>
      <c r="W201" s="79"/>
      <c r="X201" s="79"/>
      <c r="Y201" s="79"/>
      <c r="Z201" s="79"/>
    </row>
    <row r="202">
      <c r="A202" s="79"/>
      <c r="B202" s="79"/>
      <c r="C202" s="79"/>
      <c r="D202" s="79"/>
      <c r="E202" s="79"/>
      <c r="F202" s="79"/>
      <c r="G202" s="79"/>
      <c r="H202" s="79"/>
      <c r="I202" s="79"/>
      <c r="J202" s="79"/>
      <c r="K202" s="79"/>
      <c r="L202" s="79"/>
      <c r="M202" s="79"/>
      <c r="N202" s="79"/>
      <c r="O202" s="79"/>
      <c r="P202" s="79"/>
      <c r="Q202" s="79"/>
      <c r="R202" s="79"/>
      <c r="S202" s="79"/>
      <c r="T202" s="79"/>
      <c r="U202" s="79"/>
      <c r="V202" s="79"/>
      <c r="W202" s="79"/>
      <c r="X202" s="79"/>
      <c r="Y202" s="79"/>
      <c r="Z202" s="79"/>
    </row>
    <row r="203">
      <c r="A203" s="79"/>
      <c r="B203" s="79"/>
      <c r="C203" s="79"/>
      <c r="D203" s="79"/>
      <c r="E203" s="79"/>
      <c r="F203" s="79"/>
      <c r="G203" s="79"/>
      <c r="H203" s="79"/>
      <c r="I203" s="79"/>
      <c r="J203" s="79"/>
      <c r="K203" s="79"/>
      <c r="L203" s="79"/>
      <c r="M203" s="79"/>
      <c r="N203" s="79"/>
      <c r="O203" s="79"/>
      <c r="P203" s="79"/>
      <c r="Q203" s="79"/>
      <c r="R203" s="79"/>
      <c r="S203" s="79"/>
      <c r="T203" s="79"/>
      <c r="U203" s="79"/>
      <c r="V203" s="79"/>
      <c r="W203" s="79"/>
      <c r="X203" s="79"/>
      <c r="Y203" s="79"/>
      <c r="Z203" s="79"/>
    </row>
    <row r="204">
      <c r="A204" s="79"/>
      <c r="B204" s="79"/>
      <c r="C204" s="79"/>
      <c r="D204" s="79"/>
      <c r="E204" s="79"/>
      <c r="F204" s="79"/>
      <c r="G204" s="79"/>
      <c r="H204" s="79"/>
      <c r="I204" s="79"/>
      <c r="J204" s="79"/>
      <c r="K204" s="79"/>
      <c r="L204" s="79"/>
      <c r="M204" s="79"/>
      <c r="N204" s="79"/>
      <c r="O204" s="79"/>
      <c r="P204" s="79"/>
      <c r="Q204" s="79"/>
      <c r="R204" s="79"/>
      <c r="S204" s="79"/>
      <c r="T204" s="79"/>
      <c r="U204" s="79"/>
      <c r="V204" s="79"/>
      <c r="W204" s="79"/>
      <c r="X204" s="79"/>
      <c r="Y204" s="79"/>
      <c r="Z204" s="79"/>
    </row>
    <row r="205">
      <c r="A205" s="79"/>
      <c r="B205" s="79"/>
      <c r="C205" s="79"/>
      <c r="D205" s="79"/>
      <c r="E205" s="79"/>
      <c r="F205" s="79"/>
      <c r="G205" s="79"/>
      <c r="H205" s="79"/>
      <c r="I205" s="79"/>
      <c r="J205" s="79"/>
      <c r="K205" s="79"/>
      <c r="L205" s="79"/>
      <c r="M205" s="79"/>
      <c r="N205" s="79"/>
      <c r="O205" s="79"/>
      <c r="P205" s="79"/>
      <c r="Q205" s="79"/>
      <c r="R205" s="79"/>
      <c r="S205" s="79"/>
      <c r="T205" s="79"/>
      <c r="U205" s="79"/>
      <c r="V205" s="79"/>
      <c r="W205" s="79"/>
      <c r="X205" s="79"/>
      <c r="Y205" s="79"/>
      <c r="Z205" s="79"/>
    </row>
    <row r="206">
      <c r="A206" s="79"/>
      <c r="B206" s="79"/>
      <c r="C206" s="79"/>
      <c r="D206" s="79"/>
      <c r="E206" s="79"/>
      <c r="F206" s="79"/>
      <c r="G206" s="79"/>
      <c r="H206" s="79"/>
      <c r="I206" s="79"/>
      <c r="J206" s="79"/>
      <c r="K206" s="79"/>
      <c r="L206" s="79"/>
      <c r="M206" s="79"/>
      <c r="N206" s="79"/>
      <c r="O206" s="79"/>
      <c r="P206" s="79"/>
      <c r="Q206" s="79"/>
      <c r="R206" s="79"/>
      <c r="S206" s="79"/>
      <c r="T206" s="79"/>
      <c r="U206" s="79"/>
      <c r="V206" s="79"/>
      <c r="W206" s="79"/>
      <c r="X206" s="79"/>
      <c r="Y206" s="79"/>
      <c r="Z206" s="79"/>
    </row>
    <row r="207">
      <c r="A207" s="79"/>
      <c r="B207" s="79"/>
      <c r="C207" s="79"/>
      <c r="D207" s="79"/>
      <c r="E207" s="79"/>
      <c r="F207" s="79"/>
      <c r="G207" s="79"/>
      <c r="H207" s="79"/>
      <c r="I207" s="79"/>
      <c r="J207" s="79"/>
      <c r="K207" s="79"/>
      <c r="L207" s="79"/>
      <c r="M207" s="79"/>
      <c r="N207" s="79"/>
      <c r="O207" s="79"/>
      <c r="P207" s="79"/>
      <c r="Q207" s="79"/>
      <c r="R207" s="79"/>
      <c r="S207" s="79"/>
      <c r="T207" s="79"/>
      <c r="U207" s="79"/>
      <c r="V207" s="79"/>
      <c r="W207" s="79"/>
      <c r="X207" s="79"/>
      <c r="Y207" s="79"/>
      <c r="Z207" s="79"/>
    </row>
    <row r="208">
      <c r="A208" s="79"/>
      <c r="B208" s="79"/>
      <c r="C208" s="79"/>
      <c r="D208" s="79"/>
      <c r="E208" s="79"/>
      <c r="F208" s="79"/>
      <c r="G208" s="79"/>
      <c r="H208" s="79"/>
      <c r="I208" s="79"/>
      <c r="J208" s="79"/>
      <c r="K208" s="79"/>
      <c r="L208" s="79"/>
      <c r="M208" s="79"/>
      <c r="N208" s="79"/>
      <c r="O208" s="79"/>
      <c r="P208" s="79"/>
      <c r="Q208" s="79"/>
      <c r="R208" s="79"/>
      <c r="S208" s="79"/>
      <c r="T208" s="79"/>
      <c r="U208" s="79"/>
      <c r="V208" s="79"/>
      <c r="W208" s="79"/>
      <c r="X208" s="79"/>
      <c r="Y208" s="79"/>
      <c r="Z208" s="79"/>
    </row>
    <row r="209">
      <c r="A209" s="79"/>
      <c r="B209" s="79"/>
      <c r="C209" s="79"/>
      <c r="D209" s="79"/>
      <c r="E209" s="79"/>
      <c r="F209" s="79"/>
      <c r="G209" s="79"/>
      <c r="H209" s="79"/>
      <c r="I209" s="79"/>
      <c r="J209" s="79"/>
      <c r="K209" s="79"/>
      <c r="L209" s="79"/>
      <c r="M209" s="79"/>
      <c r="N209" s="79"/>
      <c r="O209" s="79"/>
      <c r="P209" s="79"/>
      <c r="Q209" s="79"/>
      <c r="R209" s="79"/>
      <c r="S209" s="79"/>
      <c r="T209" s="79"/>
      <c r="U209" s="79"/>
      <c r="V209" s="79"/>
      <c r="W209" s="79"/>
      <c r="X209" s="79"/>
      <c r="Y209" s="79"/>
      <c r="Z209" s="79"/>
    </row>
    <row r="210">
      <c r="A210" s="79"/>
      <c r="B210" s="79"/>
      <c r="C210" s="79"/>
      <c r="D210" s="79"/>
      <c r="E210" s="79"/>
      <c r="F210" s="79"/>
      <c r="G210" s="79"/>
      <c r="H210" s="79"/>
      <c r="I210" s="79"/>
      <c r="J210" s="79"/>
      <c r="K210" s="79"/>
      <c r="L210" s="79"/>
      <c r="M210" s="79"/>
      <c r="N210" s="79"/>
      <c r="O210" s="79"/>
      <c r="P210" s="79"/>
      <c r="Q210" s="79"/>
      <c r="R210" s="79"/>
      <c r="S210" s="79"/>
      <c r="T210" s="79"/>
      <c r="U210" s="79"/>
      <c r="V210" s="79"/>
      <c r="W210" s="79"/>
      <c r="X210" s="79"/>
      <c r="Y210" s="79"/>
      <c r="Z210" s="79"/>
    </row>
    <row r="211">
      <c r="A211" s="79"/>
      <c r="B211" s="79"/>
      <c r="C211" s="79"/>
      <c r="D211" s="79"/>
      <c r="E211" s="79"/>
      <c r="F211" s="79"/>
      <c r="G211" s="79"/>
      <c r="H211" s="79"/>
      <c r="I211" s="79"/>
      <c r="J211" s="79"/>
      <c r="K211" s="79"/>
      <c r="L211" s="79"/>
      <c r="M211" s="79"/>
      <c r="N211" s="79"/>
      <c r="O211" s="79"/>
      <c r="P211" s="79"/>
      <c r="Q211" s="79"/>
      <c r="R211" s="79"/>
      <c r="S211" s="79"/>
      <c r="T211" s="79"/>
      <c r="U211" s="79"/>
      <c r="V211" s="79"/>
      <c r="W211" s="79"/>
      <c r="X211" s="79"/>
      <c r="Y211" s="79"/>
      <c r="Z211" s="79"/>
    </row>
    <row r="212">
      <c r="A212" s="79"/>
      <c r="B212" s="79"/>
      <c r="C212" s="79"/>
      <c r="D212" s="79"/>
      <c r="E212" s="79"/>
      <c r="F212" s="79"/>
      <c r="G212" s="79"/>
      <c r="H212" s="79"/>
      <c r="I212" s="79"/>
      <c r="J212" s="79"/>
      <c r="K212" s="79"/>
      <c r="L212" s="79"/>
      <c r="M212" s="79"/>
      <c r="N212" s="79"/>
      <c r="O212" s="79"/>
      <c r="P212" s="79"/>
      <c r="Q212" s="79"/>
      <c r="R212" s="79"/>
      <c r="S212" s="79"/>
      <c r="T212" s="79"/>
      <c r="U212" s="79"/>
      <c r="V212" s="79"/>
      <c r="W212" s="79"/>
      <c r="X212" s="79"/>
      <c r="Y212" s="79"/>
      <c r="Z212" s="79"/>
    </row>
    <row r="213">
      <c r="A213" s="79"/>
      <c r="B213" s="79"/>
      <c r="C213" s="79"/>
      <c r="D213" s="79"/>
      <c r="E213" s="79"/>
      <c r="F213" s="79"/>
      <c r="G213" s="79"/>
      <c r="H213" s="79"/>
      <c r="I213" s="79"/>
      <c r="J213" s="79"/>
      <c r="K213" s="79"/>
      <c r="L213" s="79"/>
      <c r="M213" s="79"/>
      <c r="N213" s="79"/>
      <c r="O213" s="79"/>
      <c r="P213" s="79"/>
      <c r="Q213" s="79"/>
      <c r="R213" s="79"/>
      <c r="S213" s="79"/>
      <c r="T213" s="79"/>
      <c r="U213" s="79"/>
      <c r="V213" s="79"/>
      <c r="W213" s="79"/>
      <c r="X213" s="79"/>
      <c r="Y213" s="79"/>
      <c r="Z213" s="79"/>
    </row>
    <row r="214">
      <c r="A214" s="79"/>
      <c r="B214" s="79"/>
      <c r="C214" s="79"/>
      <c r="D214" s="79"/>
      <c r="E214" s="79"/>
      <c r="F214" s="79"/>
      <c r="G214" s="79"/>
      <c r="H214" s="79"/>
      <c r="I214" s="79"/>
      <c r="J214" s="79"/>
      <c r="K214" s="79"/>
      <c r="L214" s="79"/>
      <c r="M214" s="79"/>
      <c r="N214" s="79"/>
      <c r="O214" s="79"/>
      <c r="P214" s="79"/>
      <c r="Q214" s="79"/>
      <c r="R214" s="79"/>
      <c r="S214" s="79"/>
      <c r="T214" s="79"/>
      <c r="U214" s="79"/>
      <c r="V214" s="79"/>
      <c r="W214" s="79"/>
      <c r="X214" s="79"/>
      <c r="Y214" s="79"/>
      <c r="Z214" s="79"/>
    </row>
    <row r="215">
      <c r="A215" s="79"/>
      <c r="B215" s="79"/>
      <c r="C215" s="79"/>
      <c r="D215" s="79"/>
      <c r="E215" s="79"/>
      <c r="F215" s="79"/>
      <c r="G215" s="79"/>
      <c r="H215" s="79"/>
      <c r="I215" s="79"/>
      <c r="J215" s="79"/>
      <c r="K215" s="79"/>
      <c r="L215" s="79"/>
      <c r="M215" s="79"/>
      <c r="N215" s="79"/>
      <c r="O215" s="79"/>
      <c r="P215" s="79"/>
      <c r="Q215" s="79"/>
      <c r="R215" s="79"/>
      <c r="S215" s="79"/>
      <c r="T215" s="79"/>
      <c r="U215" s="79"/>
      <c r="V215" s="79"/>
      <c r="W215" s="79"/>
      <c r="X215" s="79"/>
      <c r="Y215" s="79"/>
      <c r="Z215" s="79"/>
    </row>
    <row r="216">
      <c r="A216" s="79"/>
      <c r="B216" s="79"/>
      <c r="C216" s="79"/>
      <c r="D216" s="79"/>
      <c r="E216" s="79"/>
      <c r="F216" s="79"/>
      <c r="G216" s="79"/>
      <c r="H216" s="79"/>
      <c r="I216" s="79"/>
      <c r="J216" s="79"/>
      <c r="K216" s="79"/>
      <c r="L216" s="79"/>
      <c r="M216" s="79"/>
      <c r="N216" s="79"/>
      <c r="O216" s="79"/>
      <c r="P216" s="79"/>
      <c r="Q216" s="79"/>
      <c r="R216" s="79"/>
      <c r="S216" s="79"/>
      <c r="T216" s="79"/>
      <c r="U216" s="79"/>
      <c r="V216" s="79"/>
      <c r="W216" s="79"/>
      <c r="X216" s="79"/>
      <c r="Y216" s="79"/>
      <c r="Z216" s="79"/>
    </row>
    <row r="217">
      <c r="A217" s="79"/>
      <c r="B217" s="79"/>
      <c r="C217" s="79"/>
      <c r="D217" s="79"/>
      <c r="E217" s="79"/>
      <c r="F217" s="79"/>
      <c r="G217" s="79"/>
      <c r="H217" s="79"/>
      <c r="I217" s="79"/>
      <c r="J217" s="79"/>
      <c r="K217" s="79"/>
      <c r="L217" s="79"/>
      <c r="M217" s="79"/>
      <c r="N217" s="79"/>
      <c r="O217" s="79"/>
      <c r="P217" s="79"/>
      <c r="Q217" s="79"/>
      <c r="R217" s="79"/>
      <c r="S217" s="79"/>
      <c r="T217" s="79"/>
      <c r="U217" s="79"/>
      <c r="V217" s="79"/>
      <c r="W217" s="79"/>
      <c r="X217" s="79"/>
      <c r="Y217" s="79"/>
      <c r="Z217" s="79"/>
    </row>
    <row r="218">
      <c r="A218" s="79"/>
      <c r="B218" s="79"/>
      <c r="C218" s="79"/>
      <c r="D218" s="79"/>
      <c r="E218" s="79"/>
      <c r="F218" s="79"/>
      <c r="G218" s="79"/>
      <c r="H218" s="79"/>
      <c r="I218" s="79"/>
      <c r="J218" s="79"/>
      <c r="K218" s="79"/>
      <c r="L218" s="79"/>
      <c r="M218" s="79"/>
      <c r="N218" s="79"/>
      <c r="O218" s="79"/>
      <c r="P218" s="79"/>
      <c r="Q218" s="79"/>
      <c r="R218" s="79"/>
      <c r="S218" s="79"/>
      <c r="T218" s="79"/>
      <c r="U218" s="79"/>
      <c r="V218" s="79"/>
      <c r="W218" s="79"/>
      <c r="X218" s="79"/>
      <c r="Y218" s="79"/>
      <c r="Z218" s="79"/>
    </row>
    <row r="219">
      <c r="A219" s="79"/>
      <c r="B219" s="79"/>
      <c r="C219" s="79"/>
      <c r="D219" s="79"/>
      <c r="E219" s="79"/>
      <c r="F219" s="79"/>
      <c r="G219" s="79"/>
      <c r="H219" s="79"/>
      <c r="I219" s="79"/>
      <c r="J219" s="79"/>
      <c r="K219" s="79"/>
      <c r="L219" s="79"/>
      <c r="M219" s="79"/>
      <c r="N219" s="79"/>
      <c r="O219" s="79"/>
      <c r="P219" s="79"/>
      <c r="Q219" s="79"/>
      <c r="R219" s="79"/>
      <c r="S219" s="79"/>
      <c r="T219" s="79"/>
      <c r="U219" s="79"/>
      <c r="V219" s="79"/>
      <c r="W219" s="79"/>
      <c r="X219" s="79"/>
      <c r="Y219" s="79"/>
      <c r="Z219" s="79"/>
    </row>
    <row r="220">
      <c r="A220" s="79"/>
      <c r="B220" s="79"/>
      <c r="C220" s="79"/>
      <c r="D220" s="79"/>
      <c r="E220" s="79"/>
      <c r="F220" s="79"/>
      <c r="G220" s="79"/>
      <c r="H220" s="79"/>
      <c r="I220" s="79"/>
      <c r="J220" s="79"/>
      <c r="K220" s="79"/>
      <c r="L220" s="79"/>
      <c r="M220" s="79"/>
      <c r="N220" s="79"/>
      <c r="O220" s="79"/>
      <c r="P220" s="79"/>
      <c r="Q220" s="79"/>
      <c r="R220" s="79"/>
      <c r="S220" s="79"/>
      <c r="T220" s="79"/>
      <c r="U220" s="79"/>
      <c r="V220" s="79"/>
      <c r="W220" s="79"/>
      <c r="X220" s="79"/>
      <c r="Y220" s="79"/>
      <c r="Z220" s="79"/>
    </row>
    <row r="221">
      <c r="A221" s="79"/>
      <c r="B221" s="79"/>
      <c r="C221" s="79"/>
      <c r="D221" s="79"/>
      <c r="E221" s="79"/>
      <c r="F221" s="79"/>
      <c r="G221" s="79"/>
      <c r="H221" s="79"/>
      <c r="I221" s="79"/>
      <c r="J221" s="79"/>
      <c r="K221" s="79"/>
      <c r="L221" s="79"/>
      <c r="M221" s="79"/>
      <c r="N221" s="79"/>
      <c r="O221" s="79"/>
      <c r="P221" s="79"/>
      <c r="Q221" s="79"/>
      <c r="R221" s="79"/>
      <c r="S221" s="79"/>
      <c r="T221" s="79"/>
      <c r="U221" s="79"/>
      <c r="V221" s="79"/>
      <c r="W221" s="79"/>
      <c r="X221" s="79"/>
      <c r="Y221" s="79"/>
      <c r="Z221" s="79"/>
    </row>
    <row r="222">
      <c r="A222" s="79"/>
      <c r="B222" s="79"/>
      <c r="C222" s="79"/>
      <c r="D222" s="79"/>
      <c r="E222" s="79"/>
      <c r="F222" s="79"/>
      <c r="G222" s="79"/>
      <c r="H222" s="79"/>
      <c r="I222" s="79"/>
      <c r="J222" s="79"/>
      <c r="K222" s="79"/>
      <c r="L222" s="79"/>
      <c r="M222" s="79"/>
      <c r="N222" s="79"/>
      <c r="O222" s="79"/>
      <c r="P222" s="79"/>
      <c r="Q222" s="79"/>
      <c r="R222" s="79"/>
      <c r="S222" s="79"/>
      <c r="T222" s="79"/>
      <c r="U222" s="79"/>
      <c r="V222" s="79"/>
      <c r="W222" s="79"/>
      <c r="X222" s="79"/>
      <c r="Y222" s="79"/>
      <c r="Z222" s="79"/>
    </row>
    <row r="223">
      <c r="A223" s="79"/>
      <c r="B223" s="79"/>
      <c r="C223" s="79"/>
      <c r="D223" s="79"/>
      <c r="E223" s="79"/>
      <c r="F223" s="79"/>
      <c r="G223" s="79"/>
      <c r="H223" s="79"/>
      <c r="I223" s="79"/>
      <c r="J223" s="79"/>
      <c r="K223" s="79"/>
      <c r="L223" s="79"/>
      <c r="M223" s="79"/>
      <c r="N223" s="79"/>
      <c r="O223" s="79"/>
      <c r="P223" s="79"/>
      <c r="Q223" s="79"/>
      <c r="R223" s="79"/>
      <c r="S223" s="79"/>
      <c r="T223" s="79"/>
      <c r="U223" s="79"/>
      <c r="V223" s="79"/>
      <c r="W223" s="79"/>
      <c r="X223" s="79"/>
      <c r="Y223" s="79"/>
      <c r="Z223" s="79"/>
    </row>
    <row r="224">
      <c r="A224" s="79"/>
      <c r="B224" s="79"/>
      <c r="C224" s="79"/>
      <c r="D224" s="79"/>
      <c r="E224" s="79"/>
      <c r="F224" s="79"/>
      <c r="G224" s="79"/>
      <c r="H224" s="79"/>
      <c r="I224" s="79"/>
      <c r="J224" s="79"/>
      <c r="K224" s="79"/>
      <c r="L224" s="79"/>
      <c r="M224" s="79"/>
      <c r="N224" s="79"/>
      <c r="O224" s="79"/>
      <c r="P224" s="79"/>
      <c r="Q224" s="79"/>
      <c r="R224" s="79"/>
      <c r="S224" s="79"/>
      <c r="T224" s="79"/>
      <c r="U224" s="79"/>
      <c r="V224" s="79"/>
      <c r="W224" s="79"/>
      <c r="X224" s="79"/>
      <c r="Y224" s="79"/>
      <c r="Z224" s="79"/>
    </row>
    <row r="225">
      <c r="A225" s="79"/>
      <c r="B225" s="79"/>
      <c r="C225" s="79"/>
      <c r="D225" s="79"/>
      <c r="E225" s="79"/>
      <c r="F225" s="79"/>
      <c r="G225" s="79"/>
      <c r="H225" s="79"/>
      <c r="I225" s="79"/>
      <c r="J225" s="79"/>
      <c r="K225" s="79"/>
      <c r="L225" s="79"/>
      <c r="M225" s="79"/>
      <c r="N225" s="79"/>
      <c r="O225" s="79"/>
      <c r="P225" s="79"/>
      <c r="Q225" s="79"/>
      <c r="R225" s="79"/>
      <c r="S225" s="79"/>
      <c r="T225" s="79"/>
      <c r="U225" s="79"/>
      <c r="V225" s="79"/>
      <c r="W225" s="79"/>
      <c r="X225" s="79"/>
      <c r="Y225" s="79"/>
      <c r="Z225" s="79"/>
    </row>
    <row r="226">
      <c r="A226" s="79"/>
      <c r="B226" s="79"/>
      <c r="C226" s="79"/>
      <c r="D226" s="79"/>
      <c r="E226" s="79"/>
      <c r="F226" s="79"/>
      <c r="G226" s="79"/>
      <c r="H226" s="79"/>
      <c r="I226" s="79"/>
      <c r="J226" s="79"/>
      <c r="K226" s="79"/>
      <c r="L226" s="79"/>
      <c r="M226" s="79"/>
      <c r="N226" s="79"/>
      <c r="O226" s="79"/>
      <c r="P226" s="79"/>
      <c r="Q226" s="79"/>
      <c r="R226" s="79"/>
      <c r="S226" s="79"/>
      <c r="T226" s="79"/>
      <c r="U226" s="79"/>
      <c r="V226" s="79"/>
      <c r="W226" s="79"/>
      <c r="X226" s="79"/>
      <c r="Y226" s="79"/>
      <c r="Z226" s="79"/>
    </row>
    <row r="227">
      <c r="A227" s="79"/>
      <c r="B227" s="79"/>
      <c r="C227" s="79"/>
      <c r="D227" s="79"/>
      <c r="E227" s="79"/>
      <c r="F227" s="79"/>
      <c r="G227" s="79"/>
      <c r="H227" s="79"/>
      <c r="I227" s="79"/>
      <c r="J227" s="79"/>
      <c r="K227" s="79"/>
      <c r="L227" s="79"/>
      <c r="M227" s="79"/>
      <c r="N227" s="79"/>
      <c r="O227" s="79"/>
      <c r="P227" s="79"/>
      <c r="Q227" s="79"/>
      <c r="R227" s="79"/>
      <c r="S227" s="79"/>
      <c r="T227" s="79"/>
      <c r="U227" s="79"/>
      <c r="V227" s="79"/>
      <c r="W227" s="79"/>
      <c r="X227" s="79"/>
      <c r="Y227" s="79"/>
      <c r="Z227" s="79"/>
    </row>
    <row r="228">
      <c r="A228" s="79"/>
      <c r="B228" s="79"/>
      <c r="C228" s="79"/>
      <c r="D228" s="79"/>
      <c r="E228" s="79"/>
      <c r="F228" s="79"/>
      <c r="G228" s="79"/>
      <c r="H228" s="79"/>
      <c r="I228" s="79"/>
      <c r="J228" s="79"/>
      <c r="K228" s="79"/>
      <c r="L228" s="79"/>
      <c r="M228" s="79"/>
      <c r="N228" s="79"/>
      <c r="O228" s="79"/>
      <c r="P228" s="79"/>
      <c r="Q228" s="79"/>
      <c r="R228" s="79"/>
      <c r="S228" s="79"/>
      <c r="T228" s="79"/>
      <c r="U228" s="79"/>
      <c r="V228" s="79"/>
      <c r="W228" s="79"/>
      <c r="X228" s="79"/>
      <c r="Y228" s="79"/>
      <c r="Z228" s="79"/>
    </row>
    <row r="229">
      <c r="A229" s="79"/>
      <c r="B229" s="79"/>
      <c r="C229" s="79"/>
      <c r="D229" s="79"/>
      <c r="E229" s="79"/>
      <c r="F229" s="79"/>
      <c r="G229" s="79"/>
      <c r="H229" s="79"/>
      <c r="I229" s="79"/>
      <c r="J229" s="79"/>
      <c r="K229" s="79"/>
      <c r="L229" s="79"/>
      <c r="M229" s="79"/>
      <c r="N229" s="79"/>
      <c r="O229" s="79"/>
      <c r="P229" s="79"/>
      <c r="Q229" s="79"/>
      <c r="R229" s="79"/>
      <c r="S229" s="79"/>
      <c r="T229" s="79"/>
      <c r="U229" s="79"/>
      <c r="V229" s="79"/>
      <c r="W229" s="79"/>
      <c r="X229" s="79"/>
      <c r="Y229" s="79"/>
      <c r="Z229" s="79"/>
    </row>
    <row r="230">
      <c r="A230" s="79"/>
      <c r="B230" s="79"/>
      <c r="C230" s="79"/>
      <c r="D230" s="79"/>
      <c r="E230" s="79"/>
      <c r="F230" s="79"/>
      <c r="G230" s="79"/>
      <c r="H230" s="79"/>
      <c r="I230" s="79"/>
      <c r="J230" s="79"/>
      <c r="K230" s="79"/>
      <c r="L230" s="79"/>
      <c r="M230" s="79"/>
      <c r="N230" s="79"/>
      <c r="O230" s="79"/>
      <c r="P230" s="79"/>
      <c r="Q230" s="79"/>
      <c r="R230" s="79"/>
      <c r="S230" s="79"/>
      <c r="T230" s="79"/>
      <c r="U230" s="79"/>
      <c r="V230" s="79"/>
      <c r="W230" s="79"/>
      <c r="X230" s="79"/>
      <c r="Y230" s="79"/>
      <c r="Z230" s="79"/>
    </row>
    <row r="231">
      <c r="A231" s="79"/>
      <c r="B231" s="79"/>
      <c r="C231" s="79"/>
      <c r="D231" s="79"/>
      <c r="E231" s="79"/>
      <c r="F231" s="79"/>
      <c r="G231" s="79"/>
      <c r="H231" s="79"/>
      <c r="I231" s="79"/>
      <c r="J231" s="79"/>
      <c r="K231" s="79"/>
      <c r="L231" s="79"/>
      <c r="M231" s="79"/>
      <c r="N231" s="79"/>
      <c r="O231" s="79"/>
      <c r="P231" s="79"/>
      <c r="Q231" s="79"/>
      <c r="R231" s="79"/>
      <c r="S231" s="79"/>
      <c r="T231" s="79"/>
      <c r="U231" s="79"/>
      <c r="V231" s="79"/>
      <c r="W231" s="79"/>
      <c r="X231" s="79"/>
      <c r="Y231" s="79"/>
      <c r="Z231" s="79"/>
    </row>
    <row r="232">
      <c r="A232" s="79"/>
      <c r="B232" s="79"/>
      <c r="C232" s="79"/>
      <c r="D232" s="79"/>
      <c r="E232" s="79"/>
      <c r="F232" s="79"/>
      <c r="G232" s="79"/>
      <c r="H232" s="79"/>
      <c r="I232" s="79"/>
      <c r="J232" s="79"/>
      <c r="K232" s="79"/>
      <c r="L232" s="79"/>
      <c r="M232" s="79"/>
      <c r="N232" s="79"/>
      <c r="O232" s="79"/>
      <c r="P232" s="79"/>
      <c r="Q232" s="79"/>
      <c r="R232" s="79"/>
      <c r="S232" s="79"/>
      <c r="T232" s="79"/>
      <c r="U232" s="79"/>
      <c r="V232" s="79"/>
      <c r="W232" s="79"/>
      <c r="X232" s="79"/>
      <c r="Y232" s="79"/>
      <c r="Z232" s="79"/>
    </row>
    <row r="233">
      <c r="A233" s="79"/>
      <c r="B233" s="79"/>
      <c r="C233" s="79"/>
      <c r="D233" s="79"/>
      <c r="E233" s="79"/>
      <c r="F233" s="79"/>
      <c r="G233" s="79"/>
      <c r="H233" s="79"/>
      <c r="I233" s="79"/>
      <c r="J233" s="79"/>
      <c r="K233" s="79"/>
      <c r="L233" s="79"/>
      <c r="M233" s="79"/>
      <c r="N233" s="79"/>
      <c r="O233" s="79"/>
      <c r="P233" s="79"/>
      <c r="Q233" s="79"/>
      <c r="R233" s="79"/>
      <c r="S233" s="79"/>
      <c r="T233" s="79"/>
      <c r="U233" s="79"/>
      <c r="V233" s="79"/>
      <c r="W233" s="79"/>
      <c r="X233" s="79"/>
      <c r="Y233" s="79"/>
      <c r="Z233" s="79"/>
    </row>
    <row r="234">
      <c r="A234" s="79"/>
      <c r="B234" s="79"/>
      <c r="C234" s="79"/>
      <c r="D234" s="79"/>
      <c r="E234" s="79"/>
      <c r="F234" s="79"/>
      <c r="G234" s="79"/>
      <c r="H234" s="79"/>
      <c r="I234" s="79"/>
      <c r="J234" s="79"/>
      <c r="K234" s="79"/>
      <c r="L234" s="79"/>
      <c r="M234" s="79"/>
      <c r="N234" s="79"/>
      <c r="O234" s="79"/>
      <c r="P234" s="79"/>
      <c r="Q234" s="79"/>
      <c r="R234" s="79"/>
      <c r="S234" s="79"/>
      <c r="T234" s="79"/>
      <c r="U234" s="79"/>
      <c r="V234" s="79"/>
      <c r="W234" s="79"/>
      <c r="X234" s="79"/>
      <c r="Y234" s="79"/>
      <c r="Z234" s="79"/>
    </row>
    <row r="235">
      <c r="A235" s="79"/>
      <c r="B235" s="79"/>
      <c r="C235" s="79"/>
      <c r="D235" s="79"/>
      <c r="E235" s="79"/>
      <c r="F235" s="79"/>
      <c r="G235" s="79"/>
      <c r="H235" s="79"/>
      <c r="I235" s="79"/>
      <c r="J235" s="79"/>
      <c r="K235" s="79"/>
      <c r="L235" s="79"/>
      <c r="M235" s="79"/>
      <c r="N235" s="79"/>
      <c r="O235" s="79"/>
      <c r="P235" s="79"/>
      <c r="Q235" s="79"/>
      <c r="R235" s="79"/>
      <c r="S235" s="79"/>
      <c r="T235" s="79"/>
      <c r="U235" s="79"/>
      <c r="V235" s="79"/>
      <c r="W235" s="79"/>
      <c r="X235" s="79"/>
      <c r="Y235" s="79"/>
      <c r="Z235" s="79"/>
    </row>
    <row r="236">
      <c r="A236" s="79"/>
      <c r="B236" s="79"/>
      <c r="C236" s="79"/>
      <c r="D236" s="79"/>
      <c r="E236" s="79"/>
      <c r="F236" s="79"/>
      <c r="G236" s="79"/>
      <c r="H236" s="79"/>
      <c r="I236" s="79"/>
      <c r="J236" s="79"/>
      <c r="K236" s="79"/>
      <c r="L236" s="79"/>
      <c r="M236" s="79"/>
      <c r="N236" s="79"/>
      <c r="O236" s="79"/>
      <c r="P236" s="79"/>
      <c r="Q236" s="79"/>
      <c r="R236" s="79"/>
      <c r="S236" s="79"/>
      <c r="T236" s="79"/>
      <c r="U236" s="79"/>
      <c r="V236" s="79"/>
      <c r="W236" s="79"/>
      <c r="X236" s="79"/>
      <c r="Y236" s="79"/>
      <c r="Z236" s="79"/>
    </row>
    <row r="237">
      <c r="A237" s="79"/>
      <c r="B237" s="79"/>
      <c r="C237" s="79"/>
      <c r="D237" s="79"/>
      <c r="E237" s="79"/>
      <c r="F237" s="79"/>
      <c r="G237" s="79"/>
      <c r="H237" s="79"/>
      <c r="I237" s="79"/>
      <c r="J237" s="79"/>
      <c r="K237" s="79"/>
      <c r="L237" s="79"/>
      <c r="M237" s="79"/>
      <c r="N237" s="79"/>
      <c r="O237" s="79"/>
      <c r="P237" s="79"/>
      <c r="Q237" s="79"/>
      <c r="R237" s="79"/>
      <c r="S237" s="79"/>
      <c r="T237" s="79"/>
      <c r="U237" s="79"/>
      <c r="V237" s="79"/>
      <c r="W237" s="79"/>
      <c r="X237" s="79"/>
      <c r="Y237" s="79"/>
      <c r="Z237" s="79"/>
    </row>
    <row r="238">
      <c r="A238" s="79"/>
      <c r="B238" s="79"/>
      <c r="C238" s="79"/>
      <c r="D238" s="79"/>
      <c r="E238" s="79"/>
      <c r="F238" s="79"/>
      <c r="G238" s="79"/>
      <c r="H238" s="79"/>
      <c r="I238" s="79"/>
      <c r="J238" s="79"/>
      <c r="K238" s="79"/>
      <c r="L238" s="79"/>
      <c r="M238" s="79"/>
      <c r="N238" s="79"/>
      <c r="O238" s="79"/>
      <c r="P238" s="79"/>
      <c r="Q238" s="79"/>
      <c r="R238" s="79"/>
      <c r="S238" s="79"/>
      <c r="T238" s="79"/>
      <c r="U238" s="79"/>
      <c r="V238" s="79"/>
      <c r="W238" s="79"/>
      <c r="X238" s="79"/>
      <c r="Y238" s="79"/>
      <c r="Z238" s="79"/>
    </row>
    <row r="239">
      <c r="A239" s="79"/>
      <c r="B239" s="79"/>
      <c r="C239" s="79"/>
      <c r="D239" s="79"/>
      <c r="E239" s="79"/>
      <c r="F239" s="79"/>
      <c r="G239" s="79"/>
      <c r="H239" s="79"/>
      <c r="I239" s="79"/>
      <c r="J239" s="79"/>
      <c r="K239" s="79"/>
      <c r="L239" s="79"/>
      <c r="M239" s="79"/>
      <c r="N239" s="79"/>
      <c r="O239" s="79"/>
      <c r="P239" s="79"/>
      <c r="Q239" s="79"/>
      <c r="R239" s="79"/>
      <c r="S239" s="79"/>
      <c r="T239" s="79"/>
      <c r="U239" s="79"/>
      <c r="V239" s="79"/>
      <c r="W239" s="79"/>
      <c r="X239" s="79"/>
      <c r="Y239" s="79"/>
      <c r="Z239" s="79"/>
    </row>
    <row r="240">
      <c r="A240" s="79"/>
      <c r="B240" s="79"/>
      <c r="C240" s="79"/>
      <c r="D240" s="79"/>
      <c r="E240" s="79"/>
      <c r="F240" s="79"/>
      <c r="G240" s="79"/>
      <c r="H240" s="79"/>
      <c r="I240" s="79"/>
      <c r="J240" s="79"/>
      <c r="K240" s="79"/>
      <c r="L240" s="79"/>
      <c r="M240" s="79"/>
      <c r="N240" s="79"/>
      <c r="O240" s="79"/>
      <c r="P240" s="79"/>
      <c r="Q240" s="79"/>
      <c r="R240" s="79"/>
      <c r="S240" s="79"/>
      <c r="T240" s="79"/>
      <c r="U240" s="79"/>
      <c r="V240" s="79"/>
      <c r="W240" s="79"/>
      <c r="X240" s="79"/>
      <c r="Y240" s="79"/>
      <c r="Z240" s="79"/>
    </row>
    <row r="241">
      <c r="A241" s="79"/>
      <c r="B241" s="79"/>
      <c r="C241" s="79"/>
      <c r="D241" s="79"/>
      <c r="E241" s="79"/>
      <c r="F241" s="79"/>
      <c r="G241" s="79"/>
      <c r="H241" s="79"/>
      <c r="I241" s="79"/>
      <c r="J241" s="79"/>
      <c r="K241" s="79"/>
      <c r="L241" s="79"/>
      <c r="M241" s="79"/>
      <c r="N241" s="79"/>
      <c r="O241" s="79"/>
      <c r="P241" s="79"/>
      <c r="Q241" s="79"/>
      <c r="R241" s="79"/>
      <c r="S241" s="79"/>
      <c r="T241" s="79"/>
      <c r="U241" s="79"/>
      <c r="V241" s="79"/>
      <c r="W241" s="79"/>
      <c r="X241" s="79"/>
      <c r="Y241" s="79"/>
      <c r="Z241" s="79"/>
    </row>
    <row r="242">
      <c r="A242" s="79"/>
      <c r="B242" s="79"/>
      <c r="C242" s="79"/>
      <c r="D242" s="79"/>
      <c r="E242" s="79"/>
      <c r="F242" s="79"/>
      <c r="G242" s="79"/>
      <c r="H242" s="79"/>
      <c r="I242" s="79"/>
      <c r="J242" s="79"/>
      <c r="K242" s="79"/>
      <c r="L242" s="79"/>
      <c r="M242" s="79"/>
      <c r="N242" s="79"/>
      <c r="O242" s="79"/>
      <c r="P242" s="79"/>
      <c r="Q242" s="79"/>
      <c r="R242" s="79"/>
      <c r="S242" s="79"/>
      <c r="T242" s="79"/>
      <c r="U242" s="79"/>
      <c r="V242" s="79"/>
      <c r="W242" s="79"/>
      <c r="X242" s="79"/>
      <c r="Y242" s="79"/>
      <c r="Z242" s="79"/>
    </row>
    <row r="243">
      <c r="A243" s="79"/>
      <c r="B243" s="79"/>
      <c r="C243" s="79"/>
      <c r="D243" s="79"/>
      <c r="E243" s="79"/>
      <c r="F243" s="79"/>
      <c r="G243" s="79"/>
      <c r="H243" s="79"/>
      <c r="I243" s="79"/>
      <c r="J243" s="79"/>
      <c r="K243" s="79"/>
      <c r="L243" s="79"/>
      <c r="M243" s="79"/>
      <c r="N243" s="79"/>
      <c r="O243" s="79"/>
      <c r="P243" s="79"/>
      <c r="Q243" s="79"/>
      <c r="R243" s="79"/>
      <c r="S243" s="79"/>
      <c r="T243" s="79"/>
      <c r="U243" s="79"/>
      <c r="V243" s="79"/>
      <c r="W243" s="79"/>
      <c r="X243" s="79"/>
      <c r="Y243" s="79"/>
      <c r="Z243" s="79"/>
    </row>
    <row r="244">
      <c r="A244" s="79"/>
      <c r="B244" s="79"/>
      <c r="C244" s="79"/>
      <c r="D244" s="79"/>
      <c r="E244" s="79"/>
      <c r="F244" s="79"/>
      <c r="G244" s="79"/>
      <c r="H244" s="79"/>
      <c r="I244" s="79"/>
      <c r="J244" s="79"/>
      <c r="K244" s="79"/>
      <c r="L244" s="79"/>
      <c r="M244" s="79"/>
      <c r="N244" s="79"/>
      <c r="O244" s="79"/>
      <c r="P244" s="79"/>
      <c r="Q244" s="79"/>
      <c r="R244" s="79"/>
      <c r="S244" s="79"/>
      <c r="T244" s="79"/>
      <c r="U244" s="79"/>
      <c r="V244" s="79"/>
      <c r="W244" s="79"/>
      <c r="X244" s="79"/>
      <c r="Y244" s="79"/>
      <c r="Z244" s="79"/>
    </row>
    <row r="245">
      <c r="A245" s="79"/>
      <c r="B245" s="79"/>
      <c r="C245" s="79"/>
      <c r="D245" s="79"/>
      <c r="E245" s="79"/>
      <c r="F245" s="79"/>
      <c r="G245" s="79"/>
      <c r="H245" s="79"/>
      <c r="I245" s="79"/>
      <c r="J245" s="79"/>
      <c r="K245" s="79"/>
      <c r="L245" s="79"/>
      <c r="M245" s="79"/>
      <c r="N245" s="79"/>
      <c r="O245" s="79"/>
      <c r="P245" s="79"/>
      <c r="Q245" s="79"/>
      <c r="R245" s="79"/>
      <c r="S245" s="79"/>
      <c r="T245" s="79"/>
      <c r="U245" s="79"/>
      <c r="V245" s="79"/>
      <c r="W245" s="79"/>
      <c r="X245" s="79"/>
      <c r="Y245" s="79"/>
      <c r="Z245" s="79"/>
    </row>
    <row r="246">
      <c r="A246" s="79"/>
      <c r="B246" s="79"/>
      <c r="C246" s="79"/>
      <c r="D246" s="79"/>
      <c r="E246" s="79"/>
      <c r="F246" s="79"/>
      <c r="G246" s="79"/>
      <c r="H246" s="79"/>
      <c r="I246" s="79"/>
      <c r="J246" s="79"/>
      <c r="K246" s="79"/>
      <c r="L246" s="79"/>
      <c r="M246" s="79"/>
      <c r="N246" s="79"/>
      <c r="O246" s="79"/>
      <c r="P246" s="79"/>
      <c r="Q246" s="79"/>
      <c r="R246" s="79"/>
      <c r="S246" s="79"/>
      <c r="T246" s="79"/>
      <c r="U246" s="79"/>
      <c r="V246" s="79"/>
      <c r="W246" s="79"/>
      <c r="X246" s="79"/>
      <c r="Y246" s="79"/>
      <c r="Z246" s="79"/>
    </row>
    <row r="247">
      <c r="A247" s="79"/>
      <c r="B247" s="79"/>
      <c r="C247" s="79"/>
      <c r="D247" s="79"/>
      <c r="E247" s="79"/>
      <c r="F247" s="79"/>
      <c r="G247" s="79"/>
      <c r="H247" s="79"/>
      <c r="I247" s="79"/>
      <c r="J247" s="79"/>
      <c r="K247" s="79"/>
      <c r="L247" s="79"/>
      <c r="M247" s="79"/>
      <c r="N247" s="79"/>
      <c r="O247" s="79"/>
      <c r="P247" s="79"/>
      <c r="Q247" s="79"/>
      <c r="R247" s="79"/>
      <c r="S247" s="79"/>
      <c r="T247" s="79"/>
      <c r="U247" s="79"/>
      <c r="V247" s="79"/>
      <c r="W247" s="79"/>
      <c r="X247" s="79"/>
      <c r="Y247" s="79"/>
      <c r="Z247" s="79"/>
    </row>
    <row r="248">
      <c r="A248" s="79"/>
      <c r="B248" s="79"/>
      <c r="C248" s="79"/>
      <c r="D248" s="79"/>
      <c r="E248" s="79"/>
      <c r="F248" s="79"/>
      <c r="G248" s="79"/>
      <c r="H248" s="79"/>
      <c r="I248" s="79"/>
      <c r="J248" s="79"/>
      <c r="K248" s="79"/>
      <c r="L248" s="79"/>
      <c r="M248" s="79"/>
      <c r="N248" s="79"/>
      <c r="O248" s="79"/>
      <c r="P248" s="79"/>
      <c r="Q248" s="79"/>
      <c r="R248" s="79"/>
      <c r="S248" s="79"/>
      <c r="T248" s="79"/>
      <c r="U248" s="79"/>
      <c r="V248" s="79"/>
      <c r="W248" s="79"/>
      <c r="X248" s="79"/>
      <c r="Y248" s="79"/>
      <c r="Z248" s="79"/>
    </row>
    <row r="249">
      <c r="A249" s="79"/>
      <c r="B249" s="79"/>
      <c r="C249" s="79"/>
      <c r="D249" s="79"/>
      <c r="E249" s="79"/>
      <c r="F249" s="79"/>
      <c r="G249" s="79"/>
      <c r="H249" s="79"/>
      <c r="I249" s="79"/>
      <c r="J249" s="79"/>
      <c r="K249" s="79"/>
      <c r="L249" s="79"/>
      <c r="M249" s="79"/>
      <c r="N249" s="79"/>
      <c r="O249" s="79"/>
      <c r="P249" s="79"/>
      <c r="Q249" s="79"/>
      <c r="R249" s="79"/>
      <c r="S249" s="79"/>
      <c r="T249" s="79"/>
      <c r="U249" s="79"/>
      <c r="V249" s="79"/>
      <c r="W249" s="79"/>
      <c r="X249" s="79"/>
      <c r="Y249" s="79"/>
      <c r="Z249" s="79"/>
    </row>
    <row r="250">
      <c r="A250" s="79"/>
      <c r="B250" s="79"/>
      <c r="C250" s="79"/>
      <c r="D250" s="79"/>
      <c r="E250" s="79"/>
      <c r="F250" s="79"/>
      <c r="G250" s="79"/>
      <c r="H250" s="79"/>
      <c r="I250" s="79"/>
      <c r="J250" s="79"/>
      <c r="K250" s="79"/>
      <c r="L250" s="79"/>
      <c r="M250" s="79"/>
      <c r="N250" s="79"/>
      <c r="O250" s="79"/>
      <c r="P250" s="79"/>
      <c r="Q250" s="79"/>
      <c r="R250" s="79"/>
      <c r="S250" s="79"/>
      <c r="T250" s="79"/>
      <c r="U250" s="79"/>
      <c r="V250" s="79"/>
      <c r="W250" s="79"/>
      <c r="X250" s="79"/>
      <c r="Y250" s="79"/>
      <c r="Z250" s="79"/>
    </row>
    <row r="251">
      <c r="A251" s="79"/>
      <c r="B251" s="79"/>
      <c r="C251" s="79"/>
      <c r="D251" s="79"/>
      <c r="E251" s="79"/>
      <c r="F251" s="79"/>
      <c r="G251" s="79"/>
      <c r="H251" s="79"/>
      <c r="I251" s="79"/>
      <c r="J251" s="79"/>
      <c r="K251" s="79"/>
      <c r="L251" s="79"/>
      <c r="M251" s="79"/>
      <c r="N251" s="79"/>
      <c r="O251" s="79"/>
      <c r="P251" s="79"/>
      <c r="Q251" s="79"/>
      <c r="R251" s="79"/>
      <c r="S251" s="79"/>
      <c r="T251" s="79"/>
      <c r="U251" s="79"/>
      <c r="V251" s="79"/>
      <c r="W251" s="79"/>
      <c r="X251" s="79"/>
      <c r="Y251" s="79"/>
      <c r="Z251" s="79"/>
    </row>
    <row r="252">
      <c r="A252" s="79"/>
      <c r="B252" s="79"/>
      <c r="C252" s="79"/>
      <c r="D252" s="79"/>
      <c r="E252" s="79"/>
      <c r="F252" s="79"/>
      <c r="G252" s="79"/>
      <c r="H252" s="79"/>
      <c r="I252" s="79"/>
      <c r="J252" s="79"/>
      <c r="K252" s="79"/>
      <c r="L252" s="79"/>
      <c r="M252" s="79"/>
      <c r="N252" s="79"/>
      <c r="O252" s="79"/>
      <c r="P252" s="79"/>
      <c r="Q252" s="79"/>
      <c r="R252" s="79"/>
      <c r="S252" s="79"/>
      <c r="T252" s="79"/>
      <c r="U252" s="79"/>
      <c r="V252" s="79"/>
      <c r="W252" s="79"/>
      <c r="X252" s="79"/>
      <c r="Y252" s="79"/>
      <c r="Z252" s="79"/>
    </row>
    <row r="253">
      <c r="A253" s="79"/>
      <c r="B253" s="79"/>
      <c r="C253" s="79"/>
      <c r="D253" s="79"/>
      <c r="E253" s="79"/>
      <c r="F253" s="79"/>
      <c r="G253" s="79"/>
      <c r="H253" s="79"/>
      <c r="I253" s="79"/>
      <c r="J253" s="79"/>
      <c r="K253" s="79"/>
      <c r="L253" s="79"/>
      <c r="M253" s="79"/>
      <c r="N253" s="79"/>
      <c r="O253" s="79"/>
      <c r="P253" s="79"/>
      <c r="Q253" s="79"/>
      <c r="R253" s="79"/>
      <c r="S253" s="79"/>
      <c r="T253" s="79"/>
      <c r="U253" s="79"/>
      <c r="V253" s="79"/>
      <c r="W253" s="79"/>
      <c r="X253" s="79"/>
      <c r="Y253" s="79"/>
      <c r="Z253" s="79"/>
    </row>
    <row r="254">
      <c r="A254" s="79"/>
      <c r="B254" s="79"/>
      <c r="C254" s="79"/>
      <c r="D254" s="79"/>
      <c r="E254" s="79"/>
      <c r="F254" s="79"/>
      <c r="G254" s="79"/>
      <c r="H254" s="79"/>
      <c r="I254" s="79"/>
      <c r="J254" s="79"/>
      <c r="K254" s="79"/>
      <c r="L254" s="79"/>
      <c r="M254" s="79"/>
      <c r="N254" s="79"/>
      <c r="O254" s="79"/>
      <c r="P254" s="79"/>
      <c r="Q254" s="79"/>
      <c r="R254" s="79"/>
      <c r="S254" s="79"/>
      <c r="T254" s="79"/>
      <c r="U254" s="79"/>
      <c r="V254" s="79"/>
      <c r="W254" s="79"/>
      <c r="X254" s="79"/>
      <c r="Y254" s="79"/>
      <c r="Z254" s="79"/>
    </row>
    <row r="255">
      <c r="A255" s="79"/>
      <c r="B255" s="79"/>
      <c r="C255" s="79"/>
      <c r="D255" s="79"/>
      <c r="E255" s="79"/>
      <c r="F255" s="79"/>
      <c r="G255" s="79"/>
      <c r="H255" s="79"/>
      <c r="I255" s="79"/>
      <c r="J255" s="79"/>
      <c r="K255" s="79"/>
      <c r="L255" s="79"/>
      <c r="M255" s="79"/>
      <c r="N255" s="79"/>
      <c r="O255" s="79"/>
      <c r="P255" s="79"/>
      <c r="Q255" s="79"/>
      <c r="R255" s="79"/>
      <c r="S255" s="79"/>
      <c r="T255" s="79"/>
      <c r="U255" s="79"/>
      <c r="V255" s="79"/>
      <c r="W255" s="79"/>
      <c r="X255" s="79"/>
      <c r="Y255" s="79"/>
      <c r="Z255" s="79"/>
    </row>
    <row r="256">
      <c r="A256" s="79"/>
      <c r="B256" s="79"/>
      <c r="C256" s="79"/>
      <c r="D256" s="79"/>
      <c r="E256" s="79"/>
      <c r="F256" s="79"/>
      <c r="G256" s="79"/>
      <c r="H256" s="79"/>
      <c r="I256" s="79"/>
      <c r="J256" s="79"/>
      <c r="K256" s="79"/>
      <c r="L256" s="79"/>
      <c r="M256" s="79"/>
      <c r="N256" s="79"/>
      <c r="O256" s="79"/>
      <c r="P256" s="79"/>
      <c r="Q256" s="79"/>
      <c r="R256" s="79"/>
      <c r="S256" s="79"/>
      <c r="T256" s="79"/>
      <c r="U256" s="79"/>
      <c r="V256" s="79"/>
      <c r="W256" s="79"/>
      <c r="X256" s="79"/>
      <c r="Y256" s="79"/>
      <c r="Z256" s="79"/>
    </row>
    <row r="257">
      <c r="A257" s="79"/>
      <c r="B257" s="79"/>
      <c r="C257" s="79"/>
      <c r="D257" s="79"/>
      <c r="E257" s="79"/>
      <c r="F257" s="79"/>
      <c r="G257" s="79"/>
      <c r="H257" s="79"/>
      <c r="I257" s="79"/>
      <c r="J257" s="79"/>
      <c r="K257" s="79"/>
      <c r="L257" s="79"/>
      <c r="M257" s="79"/>
      <c r="N257" s="79"/>
      <c r="O257" s="79"/>
      <c r="P257" s="79"/>
      <c r="Q257" s="79"/>
      <c r="R257" s="79"/>
      <c r="S257" s="79"/>
      <c r="T257" s="79"/>
      <c r="U257" s="79"/>
      <c r="V257" s="79"/>
      <c r="W257" s="79"/>
      <c r="X257" s="79"/>
      <c r="Y257" s="79"/>
      <c r="Z257" s="79"/>
    </row>
    <row r="258">
      <c r="A258" s="79"/>
      <c r="B258" s="79"/>
      <c r="C258" s="79"/>
      <c r="D258" s="79"/>
      <c r="E258" s="79"/>
      <c r="F258" s="79"/>
      <c r="G258" s="79"/>
      <c r="H258" s="79"/>
      <c r="I258" s="79"/>
      <c r="J258" s="79"/>
      <c r="K258" s="79"/>
      <c r="L258" s="79"/>
      <c r="M258" s="79"/>
      <c r="N258" s="79"/>
      <c r="O258" s="79"/>
      <c r="P258" s="79"/>
      <c r="Q258" s="79"/>
      <c r="R258" s="79"/>
      <c r="S258" s="79"/>
      <c r="T258" s="79"/>
      <c r="U258" s="79"/>
      <c r="V258" s="79"/>
      <c r="W258" s="79"/>
      <c r="X258" s="79"/>
      <c r="Y258" s="79"/>
      <c r="Z258" s="79"/>
    </row>
    <row r="259">
      <c r="A259" s="79"/>
      <c r="B259" s="79"/>
      <c r="C259" s="79"/>
      <c r="D259" s="79"/>
      <c r="E259" s="79"/>
      <c r="F259" s="79"/>
      <c r="G259" s="79"/>
      <c r="H259" s="79"/>
      <c r="I259" s="79"/>
      <c r="J259" s="79"/>
      <c r="K259" s="79"/>
      <c r="L259" s="79"/>
      <c r="M259" s="79"/>
      <c r="N259" s="79"/>
      <c r="O259" s="79"/>
      <c r="P259" s="79"/>
      <c r="Q259" s="79"/>
      <c r="R259" s="79"/>
      <c r="S259" s="79"/>
      <c r="T259" s="79"/>
      <c r="U259" s="79"/>
      <c r="V259" s="79"/>
      <c r="W259" s="79"/>
      <c r="X259" s="79"/>
      <c r="Y259" s="79"/>
      <c r="Z259" s="79"/>
    </row>
    <row r="260">
      <c r="A260" s="79"/>
      <c r="B260" s="79"/>
      <c r="C260" s="79"/>
      <c r="D260" s="79"/>
      <c r="E260" s="79"/>
      <c r="F260" s="79"/>
      <c r="G260" s="79"/>
      <c r="H260" s="79"/>
      <c r="I260" s="79"/>
      <c r="J260" s="79"/>
      <c r="K260" s="79"/>
      <c r="L260" s="79"/>
      <c r="M260" s="79"/>
      <c r="N260" s="79"/>
      <c r="O260" s="79"/>
      <c r="P260" s="79"/>
      <c r="Q260" s="79"/>
      <c r="R260" s="79"/>
      <c r="S260" s="79"/>
      <c r="T260" s="79"/>
      <c r="U260" s="79"/>
      <c r="V260" s="79"/>
      <c r="W260" s="79"/>
      <c r="X260" s="79"/>
      <c r="Y260" s="79"/>
      <c r="Z260" s="79"/>
    </row>
    <row r="261">
      <c r="A261" s="79"/>
      <c r="B261" s="79"/>
      <c r="C261" s="79"/>
      <c r="D261" s="79"/>
      <c r="E261" s="79"/>
      <c r="F261" s="79"/>
      <c r="G261" s="79"/>
      <c r="H261" s="79"/>
      <c r="I261" s="79"/>
      <c r="J261" s="79"/>
      <c r="K261" s="79"/>
      <c r="L261" s="79"/>
      <c r="M261" s="79"/>
      <c r="N261" s="79"/>
      <c r="O261" s="79"/>
      <c r="P261" s="79"/>
      <c r="Q261" s="79"/>
      <c r="R261" s="79"/>
      <c r="S261" s="79"/>
      <c r="T261" s="79"/>
      <c r="U261" s="79"/>
      <c r="V261" s="79"/>
      <c r="W261" s="79"/>
      <c r="X261" s="79"/>
      <c r="Y261" s="79"/>
      <c r="Z261" s="79"/>
    </row>
    <row r="262">
      <c r="A262" s="79"/>
      <c r="B262" s="79"/>
      <c r="C262" s="79"/>
      <c r="D262" s="79"/>
      <c r="E262" s="79"/>
      <c r="F262" s="79"/>
      <c r="G262" s="79"/>
      <c r="H262" s="79"/>
      <c r="I262" s="79"/>
      <c r="J262" s="79"/>
      <c r="K262" s="79"/>
      <c r="L262" s="79"/>
      <c r="M262" s="79"/>
      <c r="N262" s="79"/>
      <c r="O262" s="79"/>
      <c r="P262" s="79"/>
      <c r="Q262" s="79"/>
      <c r="R262" s="79"/>
      <c r="S262" s="79"/>
      <c r="T262" s="79"/>
      <c r="U262" s="79"/>
      <c r="V262" s="79"/>
      <c r="W262" s="79"/>
      <c r="X262" s="79"/>
      <c r="Y262" s="79"/>
      <c r="Z262" s="79"/>
    </row>
    <row r="263">
      <c r="A263" s="79"/>
      <c r="B263" s="79"/>
      <c r="C263" s="79"/>
      <c r="D263" s="79"/>
      <c r="E263" s="79"/>
      <c r="F263" s="79"/>
      <c r="G263" s="79"/>
      <c r="H263" s="79"/>
      <c r="I263" s="79"/>
      <c r="J263" s="79"/>
      <c r="K263" s="79"/>
      <c r="L263" s="79"/>
      <c r="M263" s="79"/>
      <c r="N263" s="79"/>
      <c r="O263" s="79"/>
      <c r="P263" s="79"/>
      <c r="Q263" s="79"/>
      <c r="R263" s="79"/>
      <c r="S263" s="79"/>
      <c r="T263" s="79"/>
      <c r="U263" s="79"/>
      <c r="V263" s="79"/>
      <c r="W263" s="79"/>
      <c r="X263" s="79"/>
      <c r="Y263" s="79"/>
      <c r="Z263" s="79"/>
    </row>
    <row r="264">
      <c r="A264" s="79"/>
      <c r="B264" s="79"/>
      <c r="C264" s="79"/>
      <c r="D264" s="79"/>
      <c r="E264" s="79"/>
      <c r="F264" s="79"/>
      <c r="G264" s="79"/>
      <c r="H264" s="79"/>
      <c r="I264" s="79"/>
      <c r="J264" s="79"/>
      <c r="K264" s="79"/>
      <c r="L264" s="79"/>
      <c r="M264" s="79"/>
      <c r="N264" s="79"/>
      <c r="O264" s="79"/>
      <c r="P264" s="79"/>
      <c r="Q264" s="79"/>
      <c r="R264" s="79"/>
      <c r="S264" s="79"/>
      <c r="T264" s="79"/>
      <c r="U264" s="79"/>
      <c r="V264" s="79"/>
      <c r="W264" s="79"/>
      <c r="X264" s="79"/>
      <c r="Y264" s="79"/>
      <c r="Z264" s="79"/>
    </row>
    <row r="265">
      <c r="A265" s="79"/>
      <c r="B265" s="79"/>
      <c r="C265" s="79"/>
      <c r="D265" s="79"/>
      <c r="E265" s="79"/>
      <c r="F265" s="79"/>
      <c r="G265" s="79"/>
      <c r="H265" s="79"/>
      <c r="I265" s="79"/>
      <c r="J265" s="79"/>
      <c r="K265" s="79"/>
      <c r="L265" s="79"/>
      <c r="M265" s="79"/>
      <c r="N265" s="79"/>
      <c r="O265" s="79"/>
      <c r="P265" s="79"/>
      <c r="Q265" s="79"/>
      <c r="R265" s="79"/>
      <c r="S265" s="79"/>
      <c r="T265" s="79"/>
      <c r="U265" s="79"/>
      <c r="V265" s="79"/>
      <c r="W265" s="79"/>
      <c r="X265" s="79"/>
      <c r="Y265" s="79"/>
      <c r="Z265" s="79"/>
    </row>
    <row r="266">
      <c r="A266" s="79"/>
      <c r="B266" s="79"/>
      <c r="C266" s="79"/>
      <c r="D266" s="79"/>
      <c r="E266" s="79"/>
      <c r="F266" s="79"/>
      <c r="G266" s="79"/>
      <c r="H266" s="79"/>
      <c r="I266" s="79"/>
      <c r="J266" s="79"/>
      <c r="K266" s="79"/>
      <c r="L266" s="79"/>
      <c r="M266" s="79"/>
      <c r="N266" s="79"/>
      <c r="O266" s="79"/>
      <c r="P266" s="79"/>
      <c r="Q266" s="79"/>
      <c r="R266" s="79"/>
      <c r="S266" s="79"/>
      <c r="T266" s="79"/>
      <c r="U266" s="79"/>
      <c r="V266" s="79"/>
      <c r="W266" s="79"/>
      <c r="X266" s="79"/>
      <c r="Y266" s="79"/>
      <c r="Z266" s="79"/>
    </row>
    <row r="267">
      <c r="A267" s="79"/>
      <c r="B267" s="79"/>
      <c r="C267" s="79"/>
      <c r="D267" s="79"/>
      <c r="E267" s="79"/>
      <c r="F267" s="79"/>
      <c r="G267" s="79"/>
      <c r="H267" s="79"/>
      <c r="I267" s="79"/>
      <c r="J267" s="79"/>
      <c r="K267" s="79"/>
      <c r="L267" s="79"/>
      <c r="M267" s="79"/>
      <c r="N267" s="79"/>
      <c r="O267" s="79"/>
      <c r="P267" s="79"/>
      <c r="Q267" s="79"/>
      <c r="R267" s="79"/>
      <c r="S267" s="79"/>
      <c r="T267" s="79"/>
      <c r="U267" s="79"/>
      <c r="V267" s="79"/>
      <c r="W267" s="79"/>
      <c r="X267" s="79"/>
      <c r="Y267" s="79"/>
      <c r="Z267" s="79"/>
    </row>
    <row r="268">
      <c r="A268" s="79"/>
      <c r="B268" s="79"/>
      <c r="C268" s="79"/>
      <c r="D268" s="79"/>
      <c r="E268" s="79"/>
      <c r="F268" s="79"/>
      <c r="G268" s="79"/>
      <c r="H268" s="79"/>
      <c r="I268" s="79"/>
      <c r="J268" s="79"/>
      <c r="K268" s="79"/>
      <c r="L268" s="79"/>
      <c r="M268" s="79"/>
      <c r="N268" s="79"/>
      <c r="O268" s="79"/>
      <c r="P268" s="79"/>
      <c r="Q268" s="79"/>
      <c r="R268" s="79"/>
      <c r="S268" s="79"/>
      <c r="T268" s="79"/>
      <c r="U268" s="79"/>
      <c r="V268" s="79"/>
      <c r="W268" s="79"/>
      <c r="X268" s="79"/>
      <c r="Y268" s="79"/>
      <c r="Z268" s="79"/>
    </row>
    <row r="269">
      <c r="A269" s="79"/>
      <c r="B269" s="79"/>
      <c r="C269" s="79"/>
      <c r="D269" s="79"/>
      <c r="E269" s="79"/>
      <c r="F269" s="79"/>
      <c r="G269" s="79"/>
      <c r="H269" s="79"/>
      <c r="I269" s="79"/>
      <c r="J269" s="79"/>
      <c r="K269" s="79"/>
      <c r="L269" s="79"/>
      <c r="M269" s="79"/>
      <c r="N269" s="79"/>
      <c r="O269" s="79"/>
      <c r="P269" s="79"/>
      <c r="Q269" s="79"/>
      <c r="R269" s="79"/>
      <c r="S269" s="79"/>
      <c r="T269" s="79"/>
      <c r="U269" s="79"/>
      <c r="V269" s="79"/>
      <c r="W269" s="79"/>
      <c r="X269" s="79"/>
      <c r="Y269" s="79"/>
      <c r="Z269" s="79"/>
    </row>
    <row r="270">
      <c r="A270" s="79"/>
      <c r="B270" s="79"/>
      <c r="C270" s="79"/>
      <c r="D270" s="79"/>
      <c r="E270" s="79"/>
      <c r="F270" s="79"/>
      <c r="G270" s="79"/>
      <c r="H270" s="79"/>
      <c r="I270" s="79"/>
      <c r="J270" s="79"/>
      <c r="K270" s="79"/>
      <c r="L270" s="79"/>
      <c r="M270" s="79"/>
      <c r="N270" s="79"/>
      <c r="O270" s="79"/>
      <c r="P270" s="79"/>
      <c r="Q270" s="79"/>
      <c r="R270" s="79"/>
      <c r="S270" s="79"/>
      <c r="T270" s="79"/>
      <c r="U270" s="79"/>
      <c r="V270" s="79"/>
      <c r="W270" s="79"/>
      <c r="X270" s="79"/>
      <c r="Y270" s="79"/>
      <c r="Z270" s="79"/>
    </row>
    <row r="271">
      <c r="A271" s="79"/>
      <c r="B271" s="79"/>
      <c r="C271" s="79"/>
      <c r="D271" s="79"/>
      <c r="E271" s="79"/>
      <c r="F271" s="79"/>
      <c r="G271" s="79"/>
      <c r="H271" s="79"/>
      <c r="I271" s="79"/>
      <c r="J271" s="79"/>
      <c r="K271" s="79"/>
      <c r="L271" s="79"/>
      <c r="M271" s="79"/>
      <c r="N271" s="79"/>
      <c r="O271" s="79"/>
      <c r="P271" s="79"/>
      <c r="Q271" s="79"/>
      <c r="R271" s="79"/>
      <c r="S271" s="79"/>
      <c r="T271" s="79"/>
      <c r="U271" s="79"/>
      <c r="V271" s="79"/>
      <c r="W271" s="79"/>
      <c r="X271" s="79"/>
      <c r="Y271" s="79"/>
      <c r="Z271" s="79"/>
    </row>
    <row r="272">
      <c r="A272" s="79"/>
      <c r="B272" s="79"/>
      <c r="C272" s="79"/>
      <c r="D272" s="79"/>
      <c r="E272" s="79"/>
      <c r="F272" s="79"/>
      <c r="G272" s="79"/>
      <c r="H272" s="79"/>
      <c r="I272" s="79"/>
      <c r="J272" s="79"/>
      <c r="K272" s="79"/>
      <c r="L272" s="79"/>
      <c r="M272" s="79"/>
      <c r="N272" s="79"/>
      <c r="O272" s="79"/>
      <c r="P272" s="79"/>
      <c r="Q272" s="79"/>
      <c r="R272" s="79"/>
      <c r="S272" s="79"/>
      <c r="T272" s="79"/>
      <c r="U272" s="79"/>
      <c r="V272" s="79"/>
      <c r="W272" s="79"/>
      <c r="X272" s="79"/>
      <c r="Y272" s="79"/>
      <c r="Z272" s="79"/>
    </row>
    <row r="273">
      <c r="A273" s="79"/>
      <c r="B273" s="79"/>
      <c r="C273" s="79"/>
      <c r="D273" s="79"/>
      <c r="E273" s="79"/>
      <c r="F273" s="79"/>
      <c r="G273" s="79"/>
      <c r="H273" s="79"/>
      <c r="I273" s="79"/>
      <c r="J273" s="79"/>
      <c r="K273" s="79"/>
      <c r="L273" s="79"/>
      <c r="M273" s="79"/>
      <c r="N273" s="79"/>
      <c r="O273" s="79"/>
      <c r="P273" s="79"/>
      <c r="Q273" s="79"/>
      <c r="R273" s="79"/>
      <c r="S273" s="79"/>
      <c r="T273" s="79"/>
      <c r="U273" s="79"/>
      <c r="V273" s="79"/>
      <c r="W273" s="79"/>
      <c r="X273" s="79"/>
      <c r="Y273" s="79"/>
      <c r="Z273" s="79"/>
    </row>
    <row r="274">
      <c r="A274" s="79"/>
      <c r="B274" s="79"/>
      <c r="C274" s="79"/>
      <c r="D274" s="79"/>
      <c r="E274" s="79"/>
      <c r="F274" s="79"/>
      <c r="G274" s="79"/>
      <c r="H274" s="79"/>
      <c r="I274" s="79"/>
      <c r="J274" s="79"/>
      <c r="K274" s="79"/>
      <c r="L274" s="79"/>
      <c r="M274" s="79"/>
      <c r="N274" s="79"/>
      <c r="O274" s="79"/>
      <c r="P274" s="79"/>
      <c r="Q274" s="79"/>
      <c r="R274" s="79"/>
      <c r="S274" s="79"/>
      <c r="T274" s="79"/>
      <c r="U274" s="79"/>
      <c r="V274" s="79"/>
      <c r="W274" s="79"/>
      <c r="X274" s="79"/>
      <c r="Y274" s="79"/>
      <c r="Z274" s="79"/>
    </row>
    <row r="275">
      <c r="A275" s="79"/>
      <c r="B275" s="79"/>
      <c r="C275" s="79"/>
      <c r="D275" s="79"/>
      <c r="E275" s="79"/>
      <c r="F275" s="79"/>
      <c r="G275" s="79"/>
      <c r="H275" s="79"/>
      <c r="I275" s="79"/>
      <c r="J275" s="79"/>
      <c r="K275" s="79"/>
      <c r="L275" s="79"/>
      <c r="M275" s="79"/>
      <c r="N275" s="79"/>
      <c r="O275" s="79"/>
      <c r="P275" s="79"/>
      <c r="Q275" s="79"/>
      <c r="R275" s="79"/>
      <c r="S275" s="79"/>
      <c r="T275" s="79"/>
      <c r="U275" s="79"/>
      <c r="V275" s="79"/>
      <c r="W275" s="79"/>
      <c r="X275" s="79"/>
      <c r="Y275" s="79"/>
      <c r="Z275" s="79"/>
    </row>
    <row r="276">
      <c r="A276" s="79"/>
      <c r="B276" s="79"/>
      <c r="C276" s="79"/>
      <c r="D276" s="79"/>
      <c r="E276" s="79"/>
      <c r="F276" s="79"/>
      <c r="G276" s="79"/>
      <c r="H276" s="79"/>
      <c r="I276" s="79"/>
      <c r="J276" s="79"/>
      <c r="K276" s="79"/>
      <c r="L276" s="79"/>
      <c r="M276" s="79"/>
      <c r="N276" s="79"/>
      <c r="O276" s="79"/>
      <c r="P276" s="79"/>
      <c r="Q276" s="79"/>
      <c r="R276" s="79"/>
      <c r="S276" s="79"/>
      <c r="T276" s="79"/>
      <c r="U276" s="79"/>
      <c r="V276" s="79"/>
      <c r="W276" s="79"/>
      <c r="X276" s="79"/>
      <c r="Y276" s="79"/>
      <c r="Z276" s="79"/>
    </row>
    <row r="277">
      <c r="A277" s="79"/>
      <c r="B277" s="79"/>
      <c r="C277" s="79"/>
      <c r="D277" s="79"/>
      <c r="E277" s="79"/>
      <c r="F277" s="79"/>
      <c r="G277" s="79"/>
      <c r="H277" s="79"/>
      <c r="I277" s="79"/>
      <c r="J277" s="79"/>
      <c r="K277" s="79"/>
      <c r="L277" s="79"/>
      <c r="M277" s="79"/>
      <c r="N277" s="79"/>
      <c r="O277" s="79"/>
      <c r="P277" s="79"/>
      <c r="Q277" s="79"/>
      <c r="R277" s="79"/>
      <c r="S277" s="79"/>
      <c r="T277" s="79"/>
      <c r="U277" s="79"/>
      <c r="V277" s="79"/>
      <c r="W277" s="79"/>
      <c r="X277" s="79"/>
      <c r="Y277" s="79"/>
      <c r="Z277" s="79"/>
    </row>
    <row r="278">
      <c r="A278" s="79"/>
      <c r="B278" s="79"/>
      <c r="C278" s="79"/>
      <c r="D278" s="79"/>
      <c r="E278" s="79"/>
      <c r="F278" s="79"/>
      <c r="G278" s="79"/>
      <c r="H278" s="79"/>
      <c r="I278" s="79"/>
      <c r="J278" s="79"/>
      <c r="K278" s="79"/>
      <c r="L278" s="79"/>
      <c r="M278" s="79"/>
      <c r="N278" s="79"/>
      <c r="O278" s="79"/>
      <c r="P278" s="79"/>
      <c r="Q278" s="79"/>
      <c r="R278" s="79"/>
      <c r="S278" s="79"/>
      <c r="T278" s="79"/>
      <c r="U278" s="79"/>
      <c r="V278" s="79"/>
      <c r="W278" s="79"/>
      <c r="X278" s="79"/>
      <c r="Y278" s="79"/>
      <c r="Z278" s="79"/>
    </row>
    <row r="279">
      <c r="A279" s="79"/>
      <c r="B279" s="79"/>
      <c r="C279" s="79"/>
      <c r="D279" s="79"/>
      <c r="E279" s="79"/>
      <c r="F279" s="79"/>
      <c r="G279" s="79"/>
      <c r="H279" s="79"/>
      <c r="I279" s="79"/>
      <c r="J279" s="79"/>
      <c r="K279" s="79"/>
      <c r="L279" s="79"/>
      <c r="M279" s="79"/>
      <c r="N279" s="79"/>
      <c r="O279" s="79"/>
      <c r="P279" s="79"/>
      <c r="Q279" s="79"/>
      <c r="R279" s="79"/>
      <c r="S279" s="79"/>
      <c r="T279" s="79"/>
      <c r="U279" s="79"/>
      <c r="V279" s="79"/>
      <c r="W279" s="79"/>
      <c r="X279" s="79"/>
      <c r="Y279" s="79"/>
      <c r="Z279" s="79"/>
    </row>
    <row r="280">
      <c r="A280" s="79"/>
      <c r="B280" s="79"/>
      <c r="C280" s="79"/>
      <c r="D280" s="79"/>
      <c r="E280" s="79"/>
      <c r="F280" s="79"/>
      <c r="G280" s="79"/>
      <c r="H280" s="79"/>
      <c r="I280" s="79"/>
      <c r="J280" s="79"/>
      <c r="K280" s="79"/>
      <c r="L280" s="79"/>
      <c r="M280" s="79"/>
      <c r="N280" s="79"/>
      <c r="O280" s="79"/>
      <c r="P280" s="79"/>
      <c r="Q280" s="79"/>
      <c r="R280" s="79"/>
      <c r="S280" s="79"/>
      <c r="T280" s="79"/>
      <c r="U280" s="79"/>
      <c r="V280" s="79"/>
      <c r="W280" s="79"/>
      <c r="X280" s="79"/>
      <c r="Y280" s="79"/>
      <c r="Z280" s="79"/>
    </row>
    <row r="281">
      <c r="A281" s="79"/>
      <c r="B281" s="79"/>
      <c r="C281" s="79"/>
      <c r="D281" s="79"/>
      <c r="E281" s="79"/>
      <c r="F281" s="79"/>
      <c r="G281" s="79"/>
      <c r="H281" s="79"/>
      <c r="I281" s="79"/>
      <c r="J281" s="79"/>
      <c r="K281" s="79"/>
      <c r="L281" s="79"/>
      <c r="M281" s="79"/>
      <c r="N281" s="79"/>
      <c r="O281" s="79"/>
      <c r="P281" s="79"/>
      <c r="Q281" s="79"/>
      <c r="R281" s="79"/>
      <c r="S281" s="79"/>
      <c r="T281" s="79"/>
      <c r="U281" s="79"/>
      <c r="V281" s="79"/>
      <c r="W281" s="79"/>
      <c r="X281" s="79"/>
      <c r="Y281" s="79"/>
      <c r="Z281" s="79"/>
    </row>
    <row r="282">
      <c r="A282" s="79"/>
      <c r="B282" s="79"/>
      <c r="C282" s="79"/>
      <c r="D282" s="79"/>
      <c r="E282" s="79"/>
      <c r="F282" s="79"/>
      <c r="G282" s="79"/>
      <c r="H282" s="79"/>
      <c r="I282" s="79"/>
      <c r="J282" s="79"/>
      <c r="K282" s="79"/>
      <c r="L282" s="79"/>
      <c r="M282" s="79"/>
      <c r="N282" s="79"/>
      <c r="O282" s="79"/>
      <c r="P282" s="79"/>
      <c r="Q282" s="79"/>
      <c r="R282" s="79"/>
      <c r="S282" s="79"/>
      <c r="T282" s="79"/>
      <c r="U282" s="79"/>
      <c r="V282" s="79"/>
      <c r="W282" s="79"/>
      <c r="X282" s="79"/>
      <c r="Y282" s="79"/>
      <c r="Z282" s="79"/>
    </row>
    <row r="283">
      <c r="A283" s="79"/>
      <c r="B283" s="79"/>
      <c r="C283" s="79"/>
      <c r="D283" s="79"/>
      <c r="E283" s="79"/>
      <c r="F283" s="79"/>
      <c r="G283" s="79"/>
      <c r="H283" s="79"/>
      <c r="I283" s="79"/>
      <c r="J283" s="79"/>
      <c r="K283" s="79"/>
      <c r="L283" s="79"/>
      <c r="M283" s="79"/>
      <c r="N283" s="79"/>
      <c r="O283" s="79"/>
      <c r="P283" s="79"/>
      <c r="Q283" s="79"/>
      <c r="R283" s="79"/>
      <c r="S283" s="79"/>
      <c r="T283" s="79"/>
      <c r="U283" s="79"/>
      <c r="V283" s="79"/>
      <c r="W283" s="79"/>
      <c r="X283" s="79"/>
      <c r="Y283" s="79"/>
      <c r="Z283" s="79"/>
    </row>
    <row r="284">
      <c r="A284" s="79"/>
      <c r="B284" s="79"/>
      <c r="C284" s="79"/>
      <c r="D284" s="79"/>
      <c r="E284" s="79"/>
      <c r="F284" s="79"/>
      <c r="G284" s="79"/>
      <c r="H284" s="79"/>
      <c r="I284" s="79"/>
      <c r="J284" s="79"/>
      <c r="K284" s="79"/>
      <c r="L284" s="79"/>
      <c r="M284" s="79"/>
      <c r="N284" s="79"/>
      <c r="O284" s="79"/>
      <c r="P284" s="79"/>
      <c r="Q284" s="79"/>
      <c r="R284" s="79"/>
      <c r="S284" s="79"/>
      <c r="T284" s="79"/>
      <c r="U284" s="79"/>
      <c r="V284" s="79"/>
      <c r="W284" s="79"/>
      <c r="X284" s="79"/>
      <c r="Y284" s="79"/>
      <c r="Z284" s="79"/>
    </row>
    <row r="285">
      <c r="A285" s="79"/>
      <c r="B285" s="79"/>
      <c r="C285" s="79"/>
      <c r="D285" s="79"/>
      <c r="E285" s="79"/>
      <c r="F285" s="79"/>
      <c r="G285" s="79"/>
      <c r="H285" s="79"/>
      <c r="I285" s="79"/>
      <c r="J285" s="79"/>
      <c r="K285" s="79"/>
      <c r="L285" s="79"/>
      <c r="M285" s="79"/>
      <c r="N285" s="79"/>
      <c r="O285" s="79"/>
      <c r="P285" s="79"/>
      <c r="Q285" s="79"/>
      <c r="R285" s="79"/>
      <c r="S285" s="79"/>
      <c r="T285" s="79"/>
      <c r="U285" s="79"/>
      <c r="V285" s="79"/>
      <c r="W285" s="79"/>
      <c r="X285" s="79"/>
      <c r="Y285" s="79"/>
      <c r="Z285" s="79"/>
    </row>
    <row r="286">
      <c r="A286" s="79"/>
      <c r="B286" s="79"/>
      <c r="C286" s="79"/>
      <c r="D286" s="79"/>
      <c r="E286" s="79"/>
      <c r="F286" s="79"/>
      <c r="G286" s="79"/>
      <c r="H286" s="79"/>
      <c r="I286" s="79"/>
      <c r="J286" s="79"/>
      <c r="K286" s="79"/>
      <c r="L286" s="79"/>
      <c r="M286" s="79"/>
      <c r="N286" s="79"/>
      <c r="O286" s="79"/>
      <c r="P286" s="79"/>
      <c r="Q286" s="79"/>
      <c r="R286" s="79"/>
      <c r="S286" s="79"/>
      <c r="T286" s="79"/>
      <c r="U286" s="79"/>
      <c r="V286" s="79"/>
      <c r="W286" s="79"/>
      <c r="X286" s="79"/>
      <c r="Y286" s="79"/>
      <c r="Z286" s="79"/>
    </row>
    <row r="287">
      <c r="A287" s="79"/>
      <c r="B287" s="79"/>
      <c r="C287" s="79"/>
      <c r="D287" s="79"/>
      <c r="E287" s="79"/>
      <c r="F287" s="79"/>
      <c r="G287" s="79"/>
      <c r="H287" s="79"/>
      <c r="I287" s="79"/>
      <c r="J287" s="79"/>
      <c r="K287" s="79"/>
      <c r="L287" s="79"/>
      <c r="M287" s="79"/>
      <c r="N287" s="79"/>
      <c r="O287" s="79"/>
      <c r="P287" s="79"/>
      <c r="Q287" s="79"/>
      <c r="R287" s="79"/>
      <c r="S287" s="79"/>
      <c r="T287" s="79"/>
      <c r="U287" s="79"/>
      <c r="V287" s="79"/>
      <c r="W287" s="79"/>
      <c r="X287" s="79"/>
      <c r="Y287" s="79"/>
      <c r="Z287" s="79"/>
    </row>
    <row r="288">
      <c r="A288" s="79"/>
      <c r="B288" s="79"/>
      <c r="C288" s="79"/>
      <c r="D288" s="79"/>
      <c r="E288" s="79"/>
      <c r="F288" s="79"/>
      <c r="G288" s="79"/>
      <c r="H288" s="79"/>
      <c r="I288" s="79"/>
      <c r="J288" s="79"/>
      <c r="K288" s="79"/>
      <c r="L288" s="79"/>
      <c r="M288" s="79"/>
      <c r="N288" s="79"/>
      <c r="O288" s="79"/>
      <c r="P288" s="79"/>
      <c r="Q288" s="79"/>
      <c r="R288" s="79"/>
      <c r="S288" s="79"/>
      <c r="T288" s="79"/>
      <c r="U288" s="79"/>
      <c r="V288" s="79"/>
      <c r="W288" s="79"/>
      <c r="X288" s="79"/>
      <c r="Y288" s="79"/>
      <c r="Z288" s="79"/>
    </row>
    <row r="289">
      <c r="A289" s="79"/>
      <c r="B289" s="79"/>
      <c r="C289" s="79"/>
      <c r="D289" s="79"/>
      <c r="E289" s="79"/>
      <c r="F289" s="79"/>
      <c r="G289" s="79"/>
      <c r="H289" s="79"/>
      <c r="I289" s="79"/>
      <c r="J289" s="79"/>
      <c r="K289" s="79"/>
      <c r="L289" s="79"/>
      <c r="M289" s="79"/>
      <c r="N289" s="79"/>
      <c r="O289" s="79"/>
      <c r="P289" s="79"/>
      <c r="Q289" s="79"/>
      <c r="R289" s="79"/>
      <c r="S289" s="79"/>
      <c r="T289" s="79"/>
      <c r="U289" s="79"/>
      <c r="V289" s="79"/>
      <c r="W289" s="79"/>
      <c r="X289" s="79"/>
      <c r="Y289" s="79"/>
      <c r="Z289" s="79"/>
    </row>
    <row r="290">
      <c r="A290" s="79"/>
      <c r="B290" s="79"/>
      <c r="C290" s="79"/>
      <c r="D290" s="79"/>
      <c r="E290" s="79"/>
      <c r="F290" s="79"/>
      <c r="G290" s="79"/>
      <c r="H290" s="79"/>
      <c r="I290" s="79"/>
      <c r="J290" s="79"/>
      <c r="K290" s="79"/>
      <c r="L290" s="79"/>
      <c r="M290" s="79"/>
      <c r="N290" s="79"/>
      <c r="O290" s="79"/>
      <c r="P290" s="79"/>
      <c r="Q290" s="79"/>
      <c r="R290" s="79"/>
      <c r="S290" s="79"/>
      <c r="T290" s="79"/>
      <c r="U290" s="79"/>
      <c r="V290" s="79"/>
      <c r="W290" s="79"/>
      <c r="X290" s="79"/>
      <c r="Y290" s="79"/>
      <c r="Z290" s="79"/>
    </row>
    <row r="291">
      <c r="A291" s="79"/>
      <c r="B291" s="79"/>
      <c r="C291" s="79"/>
      <c r="D291" s="79"/>
      <c r="E291" s="79"/>
      <c r="F291" s="79"/>
      <c r="G291" s="79"/>
      <c r="H291" s="79"/>
      <c r="I291" s="79"/>
      <c r="J291" s="79"/>
      <c r="K291" s="79"/>
      <c r="L291" s="79"/>
      <c r="M291" s="79"/>
      <c r="N291" s="79"/>
      <c r="O291" s="79"/>
      <c r="P291" s="79"/>
      <c r="Q291" s="79"/>
      <c r="R291" s="79"/>
      <c r="S291" s="79"/>
      <c r="T291" s="79"/>
      <c r="U291" s="79"/>
      <c r="V291" s="79"/>
      <c r="W291" s="79"/>
      <c r="X291" s="79"/>
      <c r="Y291" s="79"/>
      <c r="Z291" s="79"/>
    </row>
    <row r="292">
      <c r="A292" s="79"/>
      <c r="B292" s="79"/>
      <c r="C292" s="79"/>
      <c r="D292" s="79"/>
      <c r="E292" s="79"/>
      <c r="F292" s="79"/>
      <c r="G292" s="79"/>
      <c r="H292" s="79"/>
      <c r="I292" s="79"/>
      <c r="J292" s="79"/>
      <c r="K292" s="79"/>
      <c r="L292" s="79"/>
      <c r="M292" s="79"/>
      <c r="N292" s="79"/>
      <c r="O292" s="79"/>
      <c r="P292" s="79"/>
      <c r="Q292" s="79"/>
      <c r="R292" s="79"/>
      <c r="S292" s="79"/>
      <c r="T292" s="79"/>
      <c r="U292" s="79"/>
      <c r="V292" s="79"/>
      <c r="W292" s="79"/>
      <c r="X292" s="79"/>
      <c r="Y292" s="79"/>
      <c r="Z292" s="79"/>
    </row>
    <row r="293">
      <c r="A293" s="79"/>
      <c r="B293" s="79"/>
      <c r="C293" s="79"/>
      <c r="D293" s="79"/>
      <c r="E293" s="79"/>
      <c r="F293" s="79"/>
      <c r="G293" s="79"/>
      <c r="H293" s="79"/>
      <c r="I293" s="79"/>
      <c r="J293" s="79"/>
      <c r="K293" s="79"/>
      <c r="L293" s="79"/>
      <c r="M293" s="79"/>
      <c r="N293" s="79"/>
      <c r="O293" s="79"/>
      <c r="P293" s="79"/>
      <c r="Q293" s="79"/>
      <c r="R293" s="79"/>
      <c r="S293" s="79"/>
      <c r="T293" s="79"/>
      <c r="U293" s="79"/>
      <c r="V293" s="79"/>
      <c r="W293" s="79"/>
      <c r="X293" s="79"/>
      <c r="Y293" s="79"/>
      <c r="Z293" s="79"/>
    </row>
    <row r="294">
      <c r="A294" s="79"/>
      <c r="B294" s="79"/>
      <c r="C294" s="79"/>
      <c r="D294" s="79"/>
      <c r="E294" s="79"/>
      <c r="F294" s="79"/>
      <c r="G294" s="79"/>
      <c r="H294" s="79"/>
      <c r="I294" s="79"/>
      <c r="J294" s="79"/>
      <c r="K294" s="79"/>
      <c r="L294" s="79"/>
      <c r="M294" s="79"/>
      <c r="N294" s="79"/>
      <c r="O294" s="79"/>
      <c r="P294" s="79"/>
      <c r="Q294" s="79"/>
      <c r="R294" s="79"/>
      <c r="S294" s="79"/>
      <c r="T294" s="79"/>
      <c r="U294" s="79"/>
      <c r="V294" s="79"/>
      <c r="W294" s="79"/>
      <c r="X294" s="79"/>
      <c r="Y294" s="79"/>
      <c r="Z294" s="79"/>
    </row>
    <row r="295">
      <c r="A295" s="79"/>
      <c r="B295" s="79"/>
      <c r="C295" s="79"/>
      <c r="D295" s="79"/>
      <c r="E295" s="79"/>
      <c r="F295" s="79"/>
      <c r="G295" s="79"/>
      <c r="H295" s="79"/>
      <c r="I295" s="79"/>
      <c r="J295" s="79"/>
      <c r="K295" s="79"/>
      <c r="L295" s="79"/>
      <c r="M295" s="79"/>
      <c r="N295" s="79"/>
      <c r="O295" s="79"/>
      <c r="P295" s="79"/>
      <c r="Q295" s="79"/>
      <c r="R295" s="79"/>
      <c r="S295" s="79"/>
      <c r="T295" s="79"/>
      <c r="U295" s="79"/>
      <c r="V295" s="79"/>
      <c r="W295" s="79"/>
      <c r="X295" s="79"/>
      <c r="Y295" s="79"/>
      <c r="Z295" s="79"/>
    </row>
    <row r="296">
      <c r="A296" s="79"/>
      <c r="B296" s="79"/>
      <c r="C296" s="79"/>
      <c r="D296" s="79"/>
      <c r="E296" s="79"/>
      <c r="F296" s="79"/>
      <c r="G296" s="79"/>
      <c r="H296" s="79"/>
      <c r="I296" s="79"/>
      <c r="J296" s="79"/>
      <c r="K296" s="79"/>
      <c r="L296" s="79"/>
      <c r="M296" s="79"/>
      <c r="N296" s="79"/>
      <c r="O296" s="79"/>
      <c r="P296" s="79"/>
      <c r="Q296" s="79"/>
      <c r="R296" s="79"/>
      <c r="S296" s="79"/>
      <c r="T296" s="79"/>
      <c r="U296" s="79"/>
      <c r="V296" s="79"/>
      <c r="W296" s="79"/>
      <c r="X296" s="79"/>
      <c r="Y296" s="79"/>
      <c r="Z296" s="79"/>
    </row>
    <row r="297">
      <c r="A297" s="79"/>
      <c r="B297" s="79"/>
      <c r="C297" s="79"/>
      <c r="D297" s="79"/>
      <c r="E297" s="79"/>
      <c r="F297" s="79"/>
      <c r="G297" s="79"/>
      <c r="H297" s="79"/>
      <c r="I297" s="79"/>
      <c r="J297" s="79"/>
      <c r="K297" s="79"/>
      <c r="L297" s="79"/>
      <c r="M297" s="79"/>
      <c r="N297" s="79"/>
      <c r="O297" s="79"/>
      <c r="P297" s="79"/>
      <c r="Q297" s="79"/>
      <c r="R297" s="79"/>
      <c r="S297" s="79"/>
      <c r="T297" s="79"/>
      <c r="U297" s="79"/>
      <c r="V297" s="79"/>
      <c r="W297" s="79"/>
      <c r="X297" s="79"/>
      <c r="Y297" s="79"/>
      <c r="Z297" s="79"/>
    </row>
    <row r="298">
      <c r="A298" s="79"/>
      <c r="B298" s="79"/>
      <c r="C298" s="79"/>
      <c r="D298" s="79"/>
      <c r="E298" s="79"/>
      <c r="F298" s="79"/>
      <c r="G298" s="79"/>
      <c r="H298" s="79"/>
      <c r="I298" s="79"/>
      <c r="J298" s="79"/>
      <c r="K298" s="79"/>
      <c r="L298" s="79"/>
      <c r="M298" s="79"/>
      <c r="N298" s="79"/>
      <c r="O298" s="79"/>
      <c r="P298" s="79"/>
      <c r="Q298" s="79"/>
      <c r="R298" s="79"/>
      <c r="S298" s="79"/>
      <c r="T298" s="79"/>
      <c r="U298" s="79"/>
      <c r="V298" s="79"/>
      <c r="W298" s="79"/>
      <c r="X298" s="79"/>
      <c r="Y298" s="79"/>
      <c r="Z298" s="79"/>
    </row>
    <row r="299">
      <c r="A299" s="79"/>
      <c r="B299" s="79"/>
      <c r="C299" s="79"/>
      <c r="D299" s="79"/>
      <c r="E299" s="79"/>
      <c r="F299" s="79"/>
      <c r="G299" s="79"/>
      <c r="H299" s="79"/>
      <c r="I299" s="79"/>
      <c r="J299" s="79"/>
      <c r="K299" s="79"/>
      <c r="L299" s="79"/>
      <c r="M299" s="79"/>
      <c r="N299" s="79"/>
      <c r="O299" s="79"/>
      <c r="P299" s="79"/>
      <c r="Q299" s="79"/>
      <c r="R299" s="79"/>
      <c r="S299" s="79"/>
      <c r="T299" s="79"/>
      <c r="U299" s="79"/>
      <c r="V299" s="79"/>
      <c r="W299" s="79"/>
      <c r="X299" s="79"/>
      <c r="Y299" s="79"/>
      <c r="Z299" s="79"/>
    </row>
    <row r="300">
      <c r="A300" s="79"/>
      <c r="B300" s="79"/>
      <c r="C300" s="79"/>
      <c r="D300" s="79"/>
      <c r="E300" s="79"/>
      <c r="F300" s="79"/>
      <c r="G300" s="79"/>
      <c r="H300" s="79"/>
      <c r="I300" s="79"/>
      <c r="J300" s="79"/>
      <c r="K300" s="79"/>
      <c r="L300" s="79"/>
      <c r="M300" s="79"/>
      <c r="N300" s="79"/>
      <c r="O300" s="79"/>
      <c r="P300" s="79"/>
      <c r="Q300" s="79"/>
      <c r="R300" s="79"/>
      <c r="S300" s="79"/>
      <c r="T300" s="79"/>
      <c r="U300" s="79"/>
      <c r="V300" s="79"/>
      <c r="W300" s="79"/>
      <c r="X300" s="79"/>
      <c r="Y300" s="79"/>
      <c r="Z300" s="79"/>
    </row>
    <row r="301">
      <c r="A301" s="79"/>
      <c r="B301" s="79"/>
      <c r="C301" s="79"/>
      <c r="D301" s="79"/>
      <c r="E301" s="79"/>
      <c r="F301" s="79"/>
      <c r="G301" s="79"/>
      <c r="H301" s="79"/>
      <c r="I301" s="79"/>
      <c r="J301" s="79"/>
      <c r="K301" s="79"/>
      <c r="L301" s="79"/>
      <c r="M301" s="79"/>
      <c r="N301" s="79"/>
      <c r="O301" s="79"/>
      <c r="P301" s="79"/>
      <c r="Q301" s="79"/>
      <c r="R301" s="79"/>
      <c r="S301" s="79"/>
      <c r="T301" s="79"/>
      <c r="U301" s="79"/>
      <c r="V301" s="79"/>
      <c r="W301" s="79"/>
      <c r="X301" s="79"/>
      <c r="Y301" s="79"/>
      <c r="Z301" s="79"/>
    </row>
    <row r="302">
      <c r="A302" s="79"/>
      <c r="B302" s="79"/>
      <c r="C302" s="79"/>
      <c r="D302" s="79"/>
      <c r="E302" s="79"/>
      <c r="F302" s="79"/>
      <c r="G302" s="79"/>
      <c r="H302" s="79"/>
      <c r="I302" s="79"/>
      <c r="J302" s="79"/>
      <c r="K302" s="79"/>
      <c r="L302" s="79"/>
      <c r="M302" s="79"/>
      <c r="N302" s="79"/>
      <c r="O302" s="79"/>
      <c r="P302" s="79"/>
      <c r="Q302" s="79"/>
      <c r="R302" s="79"/>
      <c r="S302" s="79"/>
      <c r="T302" s="79"/>
      <c r="U302" s="79"/>
      <c r="V302" s="79"/>
      <c r="W302" s="79"/>
      <c r="X302" s="79"/>
      <c r="Y302" s="79"/>
      <c r="Z302" s="79"/>
    </row>
    <row r="303">
      <c r="A303" s="79"/>
      <c r="B303" s="79"/>
      <c r="C303" s="79"/>
      <c r="D303" s="79"/>
      <c r="E303" s="79"/>
      <c r="F303" s="79"/>
      <c r="G303" s="79"/>
      <c r="H303" s="79"/>
      <c r="I303" s="79"/>
      <c r="J303" s="79"/>
      <c r="K303" s="79"/>
      <c r="L303" s="79"/>
      <c r="M303" s="79"/>
      <c r="N303" s="79"/>
      <c r="O303" s="79"/>
      <c r="P303" s="79"/>
      <c r="Q303" s="79"/>
      <c r="R303" s="79"/>
      <c r="S303" s="79"/>
      <c r="T303" s="79"/>
      <c r="U303" s="79"/>
      <c r="V303" s="79"/>
      <c r="W303" s="79"/>
      <c r="X303" s="79"/>
      <c r="Y303" s="79"/>
      <c r="Z303" s="79"/>
    </row>
    <row r="304">
      <c r="A304" s="79"/>
      <c r="B304" s="79"/>
      <c r="C304" s="79"/>
      <c r="D304" s="79"/>
      <c r="E304" s="79"/>
      <c r="F304" s="79"/>
      <c r="G304" s="79"/>
      <c r="H304" s="79"/>
      <c r="I304" s="79"/>
      <c r="J304" s="79"/>
      <c r="K304" s="79"/>
      <c r="L304" s="79"/>
      <c r="M304" s="79"/>
      <c r="N304" s="79"/>
      <c r="O304" s="79"/>
      <c r="P304" s="79"/>
      <c r="Q304" s="79"/>
      <c r="R304" s="79"/>
      <c r="S304" s="79"/>
      <c r="T304" s="79"/>
      <c r="U304" s="79"/>
      <c r="V304" s="79"/>
      <c r="W304" s="79"/>
      <c r="X304" s="79"/>
      <c r="Y304" s="79"/>
      <c r="Z304" s="79"/>
    </row>
    <row r="305">
      <c r="A305" s="79"/>
      <c r="B305" s="79"/>
      <c r="C305" s="79"/>
      <c r="D305" s="79"/>
      <c r="E305" s="79"/>
      <c r="F305" s="79"/>
      <c r="G305" s="79"/>
      <c r="H305" s="79"/>
      <c r="I305" s="79"/>
      <c r="J305" s="79"/>
      <c r="K305" s="79"/>
      <c r="L305" s="79"/>
      <c r="M305" s="79"/>
      <c r="N305" s="79"/>
      <c r="O305" s="79"/>
      <c r="P305" s="79"/>
      <c r="Q305" s="79"/>
      <c r="R305" s="79"/>
      <c r="S305" s="79"/>
      <c r="T305" s="79"/>
      <c r="U305" s="79"/>
      <c r="V305" s="79"/>
      <c r="W305" s="79"/>
      <c r="X305" s="79"/>
      <c r="Y305" s="79"/>
      <c r="Z305" s="79"/>
    </row>
    <row r="306">
      <c r="A306" s="79"/>
      <c r="B306" s="79"/>
      <c r="C306" s="79"/>
      <c r="D306" s="79"/>
      <c r="E306" s="79"/>
      <c r="F306" s="79"/>
      <c r="G306" s="79"/>
      <c r="H306" s="79"/>
      <c r="I306" s="79"/>
      <c r="J306" s="79"/>
      <c r="K306" s="79"/>
      <c r="L306" s="79"/>
      <c r="M306" s="79"/>
      <c r="N306" s="79"/>
      <c r="O306" s="79"/>
      <c r="P306" s="79"/>
      <c r="Q306" s="79"/>
      <c r="R306" s="79"/>
      <c r="S306" s="79"/>
      <c r="T306" s="79"/>
      <c r="U306" s="79"/>
      <c r="V306" s="79"/>
      <c r="W306" s="79"/>
      <c r="X306" s="79"/>
      <c r="Y306" s="79"/>
      <c r="Z306" s="79"/>
    </row>
    <row r="307">
      <c r="A307" s="79"/>
      <c r="B307" s="79"/>
      <c r="C307" s="79"/>
      <c r="D307" s="79"/>
      <c r="E307" s="79"/>
      <c r="F307" s="79"/>
      <c r="G307" s="79"/>
      <c r="H307" s="79"/>
      <c r="I307" s="79"/>
      <c r="J307" s="79"/>
      <c r="K307" s="79"/>
      <c r="L307" s="79"/>
      <c r="M307" s="79"/>
      <c r="N307" s="79"/>
      <c r="O307" s="79"/>
      <c r="P307" s="79"/>
      <c r="Q307" s="79"/>
      <c r="R307" s="79"/>
      <c r="S307" s="79"/>
      <c r="T307" s="79"/>
      <c r="U307" s="79"/>
      <c r="V307" s="79"/>
      <c r="W307" s="79"/>
      <c r="X307" s="79"/>
      <c r="Y307" s="79"/>
      <c r="Z307" s="79"/>
    </row>
    <row r="308">
      <c r="A308" s="79"/>
      <c r="B308" s="79"/>
      <c r="C308" s="79"/>
      <c r="D308" s="79"/>
      <c r="E308" s="79"/>
      <c r="F308" s="79"/>
      <c r="G308" s="79"/>
      <c r="H308" s="79"/>
      <c r="I308" s="79"/>
      <c r="J308" s="79"/>
      <c r="K308" s="79"/>
      <c r="L308" s="79"/>
      <c r="M308" s="79"/>
      <c r="N308" s="79"/>
      <c r="O308" s="79"/>
      <c r="P308" s="79"/>
      <c r="Q308" s="79"/>
      <c r="R308" s="79"/>
      <c r="S308" s="79"/>
      <c r="T308" s="79"/>
      <c r="U308" s="79"/>
      <c r="V308" s="79"/>
      <c r="W308" s="79"/>
      <c r="X308" s="79"/>
      <c r="Y308" s="79"/>
      <c r="Z308" s="79"/>
    </row>
    <row r="309">
      <c r="A309" s="79"/>
      <c r="B309" s="79"/>
      <c r="C309" s="79"/>
      <c r="D309" s="79"/>
      <c r="E309" s="79"/>
      <c r="F309" s="79"/>
      <c r="G309" s="79"/>
      <c r="H309" s="79"/>
      <c r="I309" s="79"/>
      <c r="J309" s="79"/>
      <c r="K309" s="79"/>
      <c r="L309" s="79"/>
      <c r="M309" s="79"/>
      <c r="N309" s="79"/>
      <c r="O309" s="79"/>
      <c r="P309" s="79"/>
      <c r="Q309" s="79"/>
      <c r="R309" s="79"/>
      <c r="S309" s="79"/>
      <c r="T309" s="79"/>
      <c r="U309" s="79"/>
      <c r="V309" s="79"/>
      <c r="W309" s="79"/>
      <c r="X309" s="79"/>
      <c r="Y309" s="79"/>
      <c r="Z309" s="79"/>
    </row>
    <row r="310">
      <c r="A310" s="79"/>
      <c r="B310" s="79"/>
      <c r="C310" s="79"/>
      <c r="D310" s="79"/>
      <c r="E310" s="79"/>
      <c r="F310" s="79"/>
      <c r="G310" s="79"/>
      <c r="H310" s="79"/>
      <c r="I310" s="79"/>
      <c r="J310" s="79"/>
      <c r="K310" s="79"/>
      <c r="L310" s="79"/>
      <c r="M310" s="79"/>
      <c r="N310" s="79"/>
      <c r="O310" s="79"/>
      <c r="P310" s="79"/>
      <c r="Q310" s="79"/>
      <c r="R310" s="79"/>
      <c r="S310" s="79"/>
      <c r="T310" s="79"/>
      <c r="U310" s="79"/>
      <c r="V310" s="79"/>
      <c r="W310" s="79"/>
      <c r="X310" s="79"/>
      <c r="Y310" s="79"/>
      <c r="Z310" s="79"/>
    </row>
    <row r="311">
      <c r="A311" s="79"/>
      <c r="B311" s="79"/>
      <c r="C311" s="79"/>
      <c r="D311" s="79"/>
      <c r="E311" s="79"/>
      <c r="F311" s="79"/>
      <c r="G311" s="79"/>
      <c r="H311" s="79"/>
      <c r="I311" s="79"/>
      <c r="J311" s="79"/>
      <c r="K311" s="79"/>
      <c r="L311" s="79"/>
      <c r="M311" s="79"/>
      <c r="N311" s="79"/>
      <c r="O311" s="79"/>
      <c r="P311" s="79"/>
      <c r="Q311" s="79"/>
      <c r="R311" s="79"/>
      <c r="S311" s="79"/>
      <c r="T311" s="79"/>
      <c r="U311" s="79"/>
      <c r="V311" s="79"/>
      <c r="W311" s="79"/>
      <c r="X311" s="79"/>
      <c r="Y311" s="79"/>
      <c r="Z311" s="79"/>
    </row>
    <row r="312">
      <c r="A312" s="79"/>
      <c r="B312" s="79"/>
      <c r="C312" s="79"/>
      <c r="D312" s="79"/>
      <c r="E312" s="79"/>
      <c r="F312" s="79"/>
      <c r="G312" s="79"/>
      <c r="H312" s="79"/>
      <c r="I312" s="79"/>
      <c r="J312" s="79"/>
      <c r="K312" s="79"/>
      <c r="L312" s="79"/>
      <c r="M312" s="79"/>
      <c r="N312" s="79"/>
      <c r="O312" s="79"/>
      <c r="P312" s="79"/>
      <c r="Q312" s="79"/>
      <c r="R312" s="79"/>
      <c r="S312" s="79"/>
      <c r="T312" s="79"/>
      <c r="U312" s="79"/>
      <c r="V312" s="79"/>
      <c r="W312" s="79"/>
      <c r="X312" s="79"/>
      <c r="Y312" s="79"/>
      <c r="Z312" s="79"/>
    </row>
    <row r="313">
      <c r="A313" s="79"/>
      <c r="B313" s="79"/>
      <c r="C313" s="79"/>
      <c r="D313" s="79"/>
      <c r="E313" s="79"/>
      <c r="F313" s="79"/>
      <c r="G313" s="79"/>
      <c r="H313" s="79"/>
      <c r="I313" s="79"/>
      <c r="J313" s="79"/>
      <c r="K313" s="79"/>
      <c r="L313" s="79"/>
      <c r="M313" s="79"/>
      <c r="N313" s="79"/>
      <c r="O313" s="79"/>
      <c r="P313" s="79"/>
      <c r="Q313" s="79"/>
      <c r="R313" s="79"/>
      <c r="S313" s="79"/>
      <c r="T313" s="79"/>
      <c r="U313" s="79"/>
      <c r="V313" s="79"/>
      <c r="W313" s="79"/>
      <c r="X313" s="79"/>
      <c r="Y313" s="79"/>
      <c r="Z313" s="79"/>
    </row>
    <row r="314">
      <c r="A314" s="79"/>
      <c r="B314" s="79"/>
      <c r="C314" s="79"/>
      <c r="D314" s="79"/>
      <c r="E314" s="79"/>
      <c r="F314" s="79"/>
      <c r="G314" s="79"/>
      <c r="H314" s="79"/>
      <c r="I314" s="79"/>
      <c r="J314" s="79"/>
      <c r="K314" s="79"/>
      <c r="L314" s="79"/>
      <c r="M314" s="79"/>
      <c r="N314" s="79"/>
      <c r="O314" s="79"/>
      <c r="P314" s="79"/>
      <c r="Q314" s="79"/>
      <c r="R314" s="79"/>
      <c r="S314" s="79"/>
      <c r="T314" s="79"/>
      <c r="U314" s="79"/>
      <c r="V314" s="79"/>
      <c r="W314" s="79"/>
      <c r="X314" s="79"/>
      <c r="Y314" s="79"/>
      <c r="Z314" s="79"/>
    </row>
    <row r="315">
      <c r="A315" s="79"/>
      <c r="B315" s="79"/>
      <c r="C315" s="79"/>
      <c r="D315" s="79"/>
      <c r="E315" s="79"/>
      <c r="F315" s="79"/>
      <c r="G315" s="79"/>
      <c r="H315" s="79"/>
      <c r="I315" s="79"/>
      <c r="J315" s="79"/>
      <c r="K315" s="79"/>
      <c r="L315" s="79"/>
      <c r="M315" s="79"/>
      <c r="N315" s="79"/>
      <c r="O315" s="79"/>
      <c r="P315" s="79"/>
      <c r="Q315" s="79"/>
      <c r="R315" s="79"/>
      <c r="S315" s="79"/>
      <c r="T315" s="79"/>
      <c r="U315" s="79"/>
      <c r="V315" s="79"/>
      <c r="W315" s="79"/>
      <c r="X315" s="79"/>
      <c r="Y315" s="79"/>
      <c r="Z315" s="79"/>
    </row>
    <row r="316">
      <c r="A316" s="79"/>
      <c r="B316" s="79"/>
      <c r="C316" s="79"/>
      <c r="D316" s="79"/>
      <c r="E316" s="79"/>
      <c r="F316" s="79"/>
      <c r="G316" s="79"/>
      <c r="H316" s="79"/>
      <c r="I316" s="79"/>
      <c r="J316" s="79"/>
      <c r="K316" s="79"/>
      <c r="L316" s="79"/>
      <c r="M316" s="79"/>
      <c r="N316" s="79"/>
      <c r="O316" s="79"/>
      <c r="P316" s="79"/>
      <c r="Q316" s="79"/>
      <c r="R316" s="79"/>
      <c r="S316" s="79"/>
      <c r="T316" s="79"/>
      <c r="U316" s="79"/>
      <c r="V316" s="79"/>
      <c r="W316" s="79"/>
      <c r="X316" s="79"/>
      <c r="Y316" s="79"/>
      <c r="Z316" s="79"/>
    </row>
    <row r="317">
      <c r="A317" s="79"/>
      <c r="B317" s="79"/>
      <c r="C317" s="79"/>
      <c r="D317" s="79"/>
      <c r="E317" s="79"/>
      <c r="F317" s="79"/>
      <c r="G317" s="79"/>
      <c r="H317" s="79"/>
      <c r="I317" s="79"/>
      <c r="J317" s="79"/>
      <c r="K317" s="79"/>
      <c r="L317" s="79"/>
      <c r="M317" s="79"/>
      <c r="N317" s="79"/>
      <c r="O317" s="79"/>
      <c r="P317" s="79"/>
      <c r="Q317" s="79"/>
      <c r="R317" s="79"/>
      <c r="S317" s="79"/>
      <c r="T317" s="79"/>
      <c r="U317" s="79"/>
      <c r="V317" s="79"/>
      <c r="W317" s="79"/>
      <c r="X317" s="79"/>
      <c r="Y317" s="79"/>
      <c r="Z317" s="79"/>
    </row>
    <row r="318">
      <c r="A318" s="79"/>
      <c r="B318" s="79"/>
      <c r="C318" s="79"/>
      <c r="D318" s="79"/>
      <c r="E318" s="79"/>
      <c r="F318" s="79"/>
      <c r="G318" s="79"/>
      <c r="H318" s="79"/>
      <c r="I318" s="79"/>
      <c r="J318" s="79"/>
      <c r="K318" s="79"/>
      <c r="L318" s="79"/>
      <c r="M318" s="79"/>
      <c r="N318" s="79"/>
      <c r="O318" s="79"/>
      <c r="P318" s="79"/>
      <c r="Q318" s="79"/>
      <c r="R318" s="79"/>
      <c r="S318" s="79"/>
      <c r="T318" s="79"/>
      <c r="U318" s="79"/>
      <c r="V318" s="79"/>
      <c r="W318" s="79"/>
      <c r="X318" s="79"/>
      <c r="Y318" s="79"/>
      <c r="Z318" s="79"/>
    </row>
    <row r="319">
      <c r="A319" s="79"/>
      <c r="B319" s="79"/>
      <c r="C319" s="79"/>
      <c r="D319" s="79"/>
      <c r="E319" s="79"/>
      <c r="F319" s="79"/>
      <c r="G319" s="79"/>
      <c r="H319" s="79"/>
      <c r="I319" s="79"/>
      <c r="J319" s="79"/>
      <c r="K319" s="79"/>
      <c r="L319" s="79"/>
      <c r="M319" s="79"/>
      <c r="N319" s="79"/>
      <c r="O319" s="79"/>
      <c r="P319" s="79"/>
      <c r="Q319" s="79"/>
      <c r="R319" s="79"/>
      <c r="S319" s="79"/>
      <c r="T319" s="79"/>
      <c r="U319" s="79"/>
      <c r="V319" s="79"/>
      <c r="W319" s="79"/>
      <c r="X319" s="79"/>
      <c r="Y319" s="79"/>
      <c r="Z319" s="79"/>
    </row>
    <row r="320">
      <c r="A320" s="79"/>
      <c r="B320" s="79"/>
      <c r="C320" s="79"/>
      <c r="D320" s="79"/>
      <c r="E320" s="79"/>
      <c r="F320" s="79"/>
      <c r="G320" s="79"/>
      <c r="H320" s="79"/>
      <c r="I320" s="79"/>
      <c r="J320" s="79"/>
      <c r="K320" s="79"/>
      <c r="L320" s="79"/>
      <c r="M320" s="79"/>
      <c r="N320" s="79"/>
      <c r="O320" s="79"/>
      <c r="P320" s="79"/>
      <c r="Q320" s="79"/>
      <c r="R320" s="79"/>
      <c r="S320" s="79"/>
      <c r="T320" s="79"/>
      <c r="U320" s="79"/>
      <c r="V320" s="79"/>
      <c r="W320" s="79"/>
      <c r="X320" s="79"/>
      <c r="Y320" s="79"/>
      <c r="Z320" s="79"/>
    </row>
    <row r="321">
      <c r="A321" s="79"/>
      <c r="B321" s="79"/>
      <c r="C321" s="79"/>
      <c r="D321" s="79"/>
      <c r="E321" s="79"/>
      <c r="F321" s="79"/>
      <c r="G321" s="79"/>
      <c r="H321" s="79"/>
      <c r="I321" s="79"/>
      <c r="J321" s="79"/>
      <c r="K321" s="79"/>
      <c r="L321" s="79"/>
      <c r="M321" s="79"/>
      <c r="N321" s="79"/>
      <c r="O321" s="79"/>
      <c r="P321" s="79"/>
      <c r="Q321" s="79"/>
      <c r="R321" s="79"/>
      <c r="S321" s="79"/>
      <c r="T321" s="79"/>
      <c r="U321" s="79"/>
      <c r="V321" s="79"/>
      <c r="W321" s="79"/>
      <c r="X321" s="79"/>
      <c r="Y321" s="79"/>
      <c r="Z321" s="79"/>
    </row>
    <row r="322">
      <c r="A322" s="79"/>
      <c r="B322" s="79"/>
      <c r="C322" s="79"/>
      <c r="D322" s="79"/>
      <c r="E322" s="79"/>
      <c r="F322" s="79"/>
      <c r="G322" s="79"/>
      <c r="H322" s="79"/>
      <c r="I322" s="79"/>
      <c r="J322" s="79"/>
      <c r="K322" s="79"/>
      <c r="L322" s="79"/>
      <c r="M322" s="79"/>
      <c r="N322" s="79"/>
      <c r="O322" s="79"/>
      <c r="P322" s="79"/>
      <c r="Q322" s="79"/>
      <c r="R322" s="79"/>
      <c r="S322" s="79"/>
      <c r="T322" s="79"/>
      <c r="U322" s="79"/>
      <c r="V322" s="79"/>
      <c r="W322" s="79"/>
      <c r="X322" s="79"/>
      <c r="Y322" s="79"/>
      <c r="Z322" s="79"/>
    </row>
    <row r="323">
      <c r="A323" s="79"/>
      <c r="B323" s="79"/>
      <c r="C323" s="79"/>
      <c r="D323" s="79"/>
      <c r="E323" s="79"/>
      <c r="F323" s="79"/>
      <c r="G323" s="79"/>
      <c r="H323" s="79"/>
      <c r="I323" s="79"/>
      <c r="J323" s="79"/>
      <c r="K323" s="79"/>
      <c r="L323" s="79"/>
      <c r="M323" s="79"/>
      <c r="N323" s="79"/>
      <c r="O323" s="79"/>
      <c r="P323" s="79"/>
      <c r="Q323" s="79"/>
      <c r="R323" s="79"/>
      <c r="S323" s="79"/>
      <c r="T323" s="79"/>
      <c r="U323" s="79"/>
      <c r="V323" s="79"/>
      <c r="W323" s="79"/>
      <c r="X323" s="79"/>
      <c r="Y323" s="79"/>
      <c r="Z323" s="79"/>
    </row>
    <row r="324">
      <c r="A324" s="79"/>
      <c r="B324" s="79"/>
      <c r="C324" s="79"/>
      <c r="D324" s="79"/>
      <c r="E324" s="79"/>
      <c r="F324" s="79"/>
      <c r="G324" s="79"/>
      <c r="H324" s="79"/>
      <c r="I324" s="79"/>
      <c r="J324" s="79"/>
      <c r="K324" s="79"/>
      <c r="L324" s="79"/>
      <c r="M324" s="79"/>
      <c r="N324" s="79"/>
      <c r="O324" s="79"/>
      <c r="P324" s="79"/>
      <c r="Q324" s="79"/>
      <c r="R324" s="79"/>
      <c r="S324" s="79"/>
      <c r="T324" s="79"/>
      <c r="U324" s="79"/>
      <c r="V324" s="79"/>
      <c r="W324" s="79"/>
      <c r="X324" s="79"/>
      <c r="Y324" s="79"/>
      <c r="Z324" s="79"/>
    </row>
    <row r="325">
      <c r="A325" s="79"/>
      <c r="B325" s="79"/>
      <c r="C325" s="79"/>
      <c r="D325" s="79"/>
      <c r="E325" s="79"/>
      <c r="F325" s="79"/>
      <c r="G325" s="79"/>
      <c r="H325" s="79"/>
      <c r="I325" s="79"/>
      <c r="J325" s="79"/>
      <c r="K325" s="79"/>
      <c r="L325" s="79"/>
      <c r="M325" s="79"/>
      <c r="N325" s="79"/>
      <c r="O325" s="79"/>
      <c r="P325" s="79"/>
      <c r="Q325" s="79"/>
      <c r="R325" s="79"/>
      <c r="S325" s="79"/>
      <c r="T325" s="79"/>
      <c r="U325" s="79"/>
      <c r="V325" s="79"/>
      <c r="W325" s="79"/>
      <c r="X325" s="79"/>
      <c r="Y325" s="79"/>
      <c r="Z325" s="79"/>
    </row>
    <row r="326">
      <c r="A326" s="79"/>
      <c r="B326" s="79"/>
      <c r="C326" s="79"/>
      <c r="D326" s="79"/>
      <c r="E326" s="79"/>
      <c r="F326" s="79"/>
      <c r="G326" s="79"/>
      <c r="H326" s="79"/>
      <c r="I326" s="79"/>
      <c r="J326" s="79"/>
      <c r="K326" s="79"/>
      <c r="L326" s="79"/>
      <c r="M326" s="79"/>
      <c r="N326" s="79"/>
      <c r="O326" s="79"/>
      <c r="P326" s="79"/>
      <c r="Q326" s="79"/>
      <c r="R326" s="79"/>
      <c r="S326" s="79"/>
      <c r="T326" s="79"/>
      <c r="U326" s="79"/>
      <c r="V326" s="79"/>
      <c r="W326" s="79"/>
      <c r="X326" s="79"/>
      <c r="Y326" s="79"/>
      <c r="Z326" s="79"/>
    </row>
    <row r="327">
      <c r="A327" s="79"/>
      <c r="B327" s="79"/>
      <c r="C327" s="79"/>
      <c r="D327" s="79"/>
      <c r="E327" s="79"/>
      <c r="F327" s="79"/>
      <c r="G327" s="79"/>
      <c r="H327" s="79"/>
      <c r="I327" s="79"/>
      <c r="J327" s="79"/>
      <c r="K327" s="79"/>
      <c r="L327" s="79"/>
      <c r="M327" s="79"/>
      <c r="N327" s="79"/>
      <c r="O327" s="79"/>
      <c r="P327" s="79"/>
      <c r="Q327" s="79"/>
      <c r="R327" s="79"/>
      <c r="S327" s="79"/>
      <c r="T327" s="79"/>
      <c r="U327" s="79"/>
      <c r="V327" s="79"/>
      <c r="W327" s="79"/>
      <c r="X327" s="79"/>
      <c r="Y327" s="79"/>
      <c r="Z327" s="79"/>
    </row>
    <row r="328">
      <c r="A328" s="79"/>
      <c r="B328" s="79"/>
      <c r="C328" s="79"/>
      <c r="D328" s="79"/>
      <c r="E328" s="79"/>
      <c r="F328" s="79"/>
      <c r="G328" s="79"/>
      <c r="H328" s="79"/>
      <c r="I328" s="79"/>
      <c r="J328" s="79"/>
      <c r="K328" s="79"/>
      <c r="L328" s="79"/>
      <c r="M328" s="79"/>
      <c r="N328" s="79"/>
      <c r="O328" s="79"/>
      <c r="P328" s="79"/>
      <c r="Q328" s="79"/>
      <c r="R328" s="79"/>
      <c r="S328" s="79"/>
      <c r="T328" s="79"/>
      <c r="U328" s="79"/>
      <c r="V328" s="79"/>
      <c r="W328" s="79"/>
      <c r="X328" s="79"/>
      <c r="Y328" s="79"/>
      <c r="Z328" s="79"/>
    </row>
    <row r="329">
      <c r="A329" s="79"/>
      <c r="B329" s="79"/>
      <c r="C329" s="79"/>
      <c r="D329" s="79"/>
      <c r="E329" s="79"/>
      <c r="F329" s="79"/>
      <c r="G329" s="79"/>
      <c r="H329" s="79"/>
      <c r="I329" s="79"/>
      <c r="J329" s="79"/>
      <c r="K329" s="79"/>
      <c r="L329" s="79"/>
      <c r="M329" s="79"/>
      <c r="N329" s="79"/>
      <c r="O329" s="79"/>
      <c r="P329" s="79"/>
      <c r="Q329" s="79"/>
      <c r="R329" s="79"/>
      <c r="S329" s="79"/>
      <c r="T329" s="79"/>
      <c r="U329" s="79"/>
      <c r="V329" s="79"/>
      <c r="W329" s="79"/>
      <c r="X329" s="79"/>
      <c r="Y329" s="79"/>
      <c r="Z329" s="79"/>
    </row>
    <row r="330">
      <c r="A330" s="79"/>
      <c r="B330" s="79"/>
      <c r="C330" s="79"/>
      <c r="D330" s="79"/>
      <c r="E330" s="79"/>
      <c r="F330" s="79"/>
      <c r="G330" s="79"/>
      <c r="H330" s="79"/>
      <c r="I330" s="79"/>
      <c r="J330" s="79"/>
      <c r="K330" s="79"/>
      <c r="L330" s="79"/>
      <c r="M330" s="79"/>
      <c r="N330" s="79"/>
      <c r="O330" s="79"/>
      <c r="P330" s="79"/>
      <c r="Q330" s="79"/>
      <c r="R330" s="79"/>
      <c r="S330" s="79"/>
      <c r="T330" s="79"/>
      <c r="U330" s="79"/>
      <c r="V330" s="79"/>
      <c r="W330" s="79"/>
      <c r="X330" s="79"/>
      <c r="Y330" s="79"/>
      <c r="Z330" s="79"/>
    </row>
    <row r="331">
      <c r="A331" s="79"/>
      <c r="B331" s="79"/>
      <c r="C331" s="79"/>
      <c r="D331" s="79"/>
      <c r="E331" s="79"/>
      <c r="F331" s="79"/>
      <c r="G331" s="79"/>
      <c r="H331" s="79"/>
      <c r="I331" s="79"/>
      <c r="J331" s="79"/>
      <c r="K331" s="79"/>
      <c r="L331" s="79"/>
      <c r="M331" s="79"/>
      <c r="N331" s="79"/>
      <c r="O331" s="79"/>
      <c r="P331" s="79"/>
      <c r="Q331" s="79"/>
      <c r="R331" s="79"/>
      <c r="S331" s="79"/>
      <c r="T331" s="79"/>
      <c r="U331" s="79"/>
      <c r="V331" s="79"/>
      <c r="W331" s="79"/>
      <c r="X331" s="79"/>
      <c r="Y331" s="79"/>
      <c r="Z331" s="79"/>
    </row>
    <row r="332">
      <c r="A332" s="79"/>
      <c r="B332" s="79"/>
      <c r="C332" s="79"/>
      <c r="D332" s="79"/>
      <c r="E332" s="79"/>
      <c r="F332" s="79"/>
      <c r="G332" s="79"/>
      <c r="H332" s="79"/>
      <c r="I332" s="79"/>
      <c r="J332" s="79"/>
      <c r="K332" s="79"/>
      <c r="L332" s="79"/>
      <c r="M332" s="79"/>
      <c r="N332" s="79"/>
      <c r="O332" s="79"/>
      <c r="P332" s="79"/>
      <c r="Q332" s="79"/>
      <c r="R332" s="79"/>
      <c r="S332" s="79"/>
      <c r="T332" s="79"/>
      <c r="U332" s="79"/>
      <c r="V332" s="79"/>
      <c r="W332" s="79"/>
      <c r="X332" s="79"/>
      <c r="Y332" s="79"/>
      <c r="Z332" s="79"/>
    </row>
    <row r="333">
      <c r="A333" s="79"/>
      <c r="B333" s="79"/>
      <c r="C333" s="79"/>
      <c r="D333" s="79"/>
      <c r="E333" s="79"/>
      <c r="F333" s="79"/>
      <c r="G333" s="79"/>
      <c r="H333" s="79"/>
      <c r="I333" s="79"/>
      <c r="J333" s="79"/>
      <c r="K333" s="79"/>
      <c r="L333" s="79"/>
      <c r="M333" s="79"/>
      <c r="N333" s="79"/>
      <c r="O333" s="79"/>
      <c r="P333" s="79"/>
      <c r="Q333" s="79"/>
      <c r="R333" s="79"/>
      <c r="S333" s="79"/>
      <c r="T333" s="79"/>
      <c r="U333" s="79"/>
      <c r="V333" s="79"/>
      <c r="W333" s="79"/>
      <c r="X333" s="79"/>
      <c r="Y333" s="79"/>
      <c r="Z333" s="79"/>
    </row>
    <row r="334">
      <c r="A334" s="79"/>
      <c r="B334" s="79"/>
      <c r="C334" s="79"/>
      <c r="D334" s="79"/>
      <c r="E334" s="79"/>
      <c r="F334" s="79"/>
      <c r="G334" s="79"/>
      <c r="H334" s="79"/>
      <c r="I334" s="79"/>
      <c r="J334" s="79"/>
      <c r="K334" s="79"/>
      <c r="L334" s="79"/>
      <c r="M334" s="79"/>
      <c r="N334" s="79"/>
      <c r="O334" s="79"/>
      <c r="P334" s="79"/>
      <c r="Q334" s="79"/>
      <c r="R334" s="79"/>
      <c r="S334" s="79"/>
      <c r="T334" s="79"/>
      <c r="U334" s="79"/>
      <c r="V334" s="79"/>
      <c r="W334" s="79"/>
      <c r="X334" s="79"/>
      <c r="Y334" s="79"/>
      <c r="Z334" s="79"/>
    </row>
    <row r="335">
      <c r="A335" s="79"/>
      <c r="B335" s="79"/>
      <c r="C335" s="79"/>
      <c r="D335" s="79"/>
      <c r="E335" s="79"/>
      <c r="F335" s="79"/>
      <c r="G335" s="79"/>
      <c r="H335" s="79"/>
      <c r="I335" s="79"/>
      <c r="J335" s="79"/>
      <c r="K335" s="79"/>
      <c r="L335" s="79"/>
      <c r="M335" s="79"/>
      <c r="N335" s="79"/>
      <c r="O335" s="79"/>
      <c r="P335" s="79"/>
      <c r="Q335" s="79"/>
      <c r="R335" s="79"/>
      <c r="S335" s="79"/>
      <c r="T335" s="79"/>
      <c r="U335" s="79"/>
      <c r="V335" s="79"/>
      <c r="W335" s="79"/>
      <c r="X335" s="79"/>
      <c r="Y335" s="79"/>
      <c r="Z335" s="79"/>
    </row>
    <row r="336">
      <c r="A336" s="79"/>
      <c r="B336" s="79"/>
      <c r="C336" s="79"/>
      <c r="D336" s="79"/>
      <c r="E336" s="79"/>
      <c r="F336" s="79"/>
      <c r="G336" s="79"/>
      <c r="H336" s="79"/>
      <c r="I336" s="79"/>
      <c r="J336" s="79"/>
      <c r="K336" s="79"/>
      <c r="L336" s="79"/>
      <c r="M336" s="79"/>
      <c r="N336" s="79"/>
      <c r="O336" s="79"/>
      <c r="P336" s="79"/>
      <c r="Q336" s="79"/>
      <c r="R336" s="79"/>
      <c r="S336" s="79"/>
      <c r="T336" s="79"/>
      <c r="U336" s="79"/>
      <c r="V336" s="79"/>
      <c r="W336" s="79"/>
      <c r="X336" s="79"/>
      <c r="Y336" s="79"/>
      <c r="Z336" s="79"/>
    </row>
    <row r="337">
      <c r="A337" s="79"/>
      <c r="B337" s="79"/>
      <c r="C337" s="79"/>
      <c r="D337" s="79"/>
      <c r="E337" s="79"/>
      <c r="F337" s="79"/>
      <c r="G337" s="79"/>
      <c r="H337" s="79"/>
      <c r="I337" s="79"/>
      <c r="J337" s="79"/>
      <c r="K337" s="79"/>
      <c r="L337" s="79"/>
      <c r="M337" s="79"/>
      <c r="N337" s="79"/>
      <c r="O337" s="79"/>
      <c r="P337" s="79"/>
      <c r="Q337" s="79"/>
      <c r="R337" s="79"/>
      <c r="S337" s="79"/>
      <c r="T337" s="79"/>
      <c r="U337" s="79"/>
      <c r="V337" s="79"/>
      <c r="W337" s="79"/>
      <c r="X337" s="79"/>
      <c r="Y337" s="79"/>
      <c r="Z337" s="79"/>
    </row>
    <row r="338">
      <c r="A338" s="79"/>
      <c r="B338" s="79"/>
      <c r="C338" s="79"/>
      <c r="D338" s="79"/>
      <c r="E338" s="79"/>
      <c r="F338" s="79"/>
      <c r="G338" s="79"/>
      <c r="H338" s="79"/>
      <c r="I338" s="79"/>
      <c r="J338" s="79"/>
      <c r="K338" s="79"/>
      <c r="L338" s="79"/>
      <c r="M338" s="79"/>
      <c r="N338" s="79"/>
      <c r="O338" s="79"/>
      <c r="P338" s="79"/>
      <c r="Q338" s="79"/>
      <c r="R338" s="79"/>
      <c r="S338" s="79"/>
      <c r="T338" s="79"/>
      <c r="U338" s="79"/>
      <c r="V338" s="79"/>
      <c r="W338" s="79"/>
      <c r="X338" s="79"/>
      <c r="Y338" s="79"/>
      <c r="Z338" s="79"/>
    </row>
    <row r="339">
      <c r="A339" s="79"/>
      <c r="B339" s="79"/>
      <c r="C339" s="79"/>
      <c r="D339" s="79"/>
      <c r="E339" s="79"/>
      <c r="F339" s="79"/>
      <c r="G339" s="79"/>
      <c r="H339" s="79"/>
      <c r="I339" s="79"/>
      <c r="J339" s="79"/>
      <c r="K339" s="79"/>
      <c r="L339" s="79"/>
      <c r="M339" s="79"/>
      <c r="N339" s="79"/>
      <c r="O339" s="79"/>
      <c r="P339" s="79"/>
      <c r="Q339" s="79"/>
      <c r="R339" s="79"/>
      <c r="S339" s="79"/>
      <c r="T339" s="79"/>
      <c r="U339" s="79"/>
      <c r="V339" s="79"/>
      <c r="W339" s="79"/>
      <c r="X339" s="79"/>
      <c r="Y339" s="79"/>
      <c r="Z339" s="79"/>
    </row>
    <row r="340">
      <c r="A340" s="79"/>
      <c r="B340" s="79"/>
      <c r="C340" s="79"/>
      <c r="D340" s="79"/>
      <c r="E340" s="79"/>
      <c r="F340" s="79"/>
      <c r="G340" s="79"/>
      <c r="H340" s="79"/>
      <c r="I340" s="79"/>
      <c r="J340" s="79"/>
      <c r="K340" s="79"/>
      <c r="L340" s="79"/>
      <c r="M340" s="79"/>
      <c r="N340" s="79"/>
      <c r="O340" s="79"/>
      <c r="P340" s="79"/>
      <c r="Q340" s="79"/>
      <c r="R340" s="79"/>
      <c r="S340" s="79"/>
      <c r="T340" s="79"/>
      <c r="U340" s="79"/>
      <c r="V340" s="79"/>
      <c r="W340" s="79"/>
      <c r="X340" s="79"/>
      <c r="Y340" s="79"/>
      <c r="Z340" s="79"/>
    </row>
    <row r="341">
      <c r="A341" s="79"/>
      <c r="B341" s="79"/>
      <c r="C341" s="79"/>
      <c r="D341" s="79"/>
      <c r="E341" s="79"/>
      <c r="F341" s="79"/>
      <c r="G341" s="79"/>
      <c r="H341" s="79"/>
      <c r="I341" s="79"/>
      <c r="J341" s="79"/>
      <c r="K341" s="79"/>
      <c r="L341" s="79"/>
      <c r="M341" s="79"/>
      <c r="N341" s="79"/>
      <c r="O341" s="79"/>
      <c r="P341" s="79"/>
      <c r="Q341" s="79"/>
      <c r="R341" s="79"/>
      <c r="S341" s="79"/>
      <c r="T341" s="79"/>
      <c r="U341" s="79"/>
      <c r="V341" s="79"/>
      <c r="W341" s="79"/>
      <c r="X341" s="79"/>
      <c r="Y341" s="79"/>
      <c r="Z341" s="79"/>
    </row>
    <row r="342">
      <c r="A342" s="79"/>
      <c r="B342" s="79"/>
      <c r="C342" s="79"/>
      <c r="D342" s="79"/>
      <c r="E342" s="79"/>
      <c r="F342" s="79"/>
      <c r="G342" s="79"/>
      <c r="H342" s="79"/>
      <c r="I342" s="79"/>
      <c r="J342" s="79"/>
      <c r="K342" s="79"/>
      <c r="L342" s="79"/>
      <c r="M342" s="79"/>
      <c r="N342" s="79"/>
      <c r="O342" s="79"/>
      <c r="P342" s="79"/>
      <c r="Q342" s="79"/>
      <c r="R342" s="79"/>
      <c r="S342" s="79"/>
      <c r="T342" s="79"/>
      <c r="U342" s="79"/>
      <c r="V342" s="79"/>
      <c r="W342" s="79"/>
      <c r="X342" s="79"/>
      <c r="Y342" s="79"/>
      <c r="Z342" s="79"/>
    </row>
    <row r="343">
      <c r="A343" s="79"/>
      <c r="B343" s="79"/>
      <c r="C343" s="79"/>
      <c r="D343" s="79"/>
      <c r="E343" s="79"/>
      <c r="F343" s="79"/>
      <c r="G343" s="79"/>
      <c r="H343" s="79"/>
      <c r="I343" s="79"/>
      <c r="J343" s="79"/>
      <c r="K343" s="79"/>
      <c r="L343" s="79"/>
      <c r="M343" s="79"/>
      <c r="N343" s="79"/>
      <c r="O343" s="79"/>
      <c r="P343" s="79"/>
      <c r="Q343" s="79"/>
      <c r="R343" s="79"/>
      <c r="S343" s="79"/>
      <c r="T343" s="79"/>
      <c r="U343" s="79"/>
      <c r="V343" s="79"/>
      <c r="W343" s="79"/>
      <c r="X343" s="79"/>
      <c r="Y343" s="79"/>
      <c r="Z343" s="79"/>
    </row>
    <row r="344">
      <c r="A344" s="79"/>
      <c r="B344" s="79"/>
      <c r="C344" s="79"/>
      <c r="D344" s="79"/>
      <c r="E344" s="79"/>
      <c r="F344" s="79"/>
      <c r="G344" s="79"/>
      <c r="H344" s="79"/>
      <c r="I344" s="79"/>
      <c r="J344" s="79"/>
      <c r="K344" s="79"/>
      <c r="L344" s="79"/>
      <c r="M344" s="79"/>
      <c r="N344" s="79"/>
      <c r="O344" s="79"/>
      <c r="P344" s="79"/>
      <c r="Q344" s="79"/>
      <c r="R344" s="79"/>
      <c r="S344" s="79"/>
      <c r="T344" s="79"/>
      <c r="U344" s="79"/>
      <c r="V344" s="79"/>
      <c r="W344" s="79"/>
      <c r="X344" s="79"/>
      <c r="Y344" s="79"/>
      <c r="Z344" s="79"/>
    </row>
    <row r="345">
      <c r="A345" s="79"/>
      <c r="B345" s="79"/>
      <c r="C345" s="79"/>
      <c r="D345" s="79"/>
      <c r="E345" s="79"/>
      <c r="F345" s="79"/>
      <c r="G345" s="79"/>
      <c r="H345" s="79"/>
      <c r="I345" s="79"/>
      <c r="J345" s="79"/>
      <c r="K345" s="79"/>
      <c r="L345" s="79"/>
      <c r="M345" s="79"/>
      <c r="N345" s="79"/>
      <c r="O345" s="79"/>
      <c r="P345" s="79"/>
      <c r="Q345" s="79"/>
      <c r="R345" s="79"/>
      <c r="S345" s="79"/>
      <c r="T345" s="79"/>
      <c r="U345" s="79"/>
      <c r="V345" s="79"/>
      <c r="W345" s="79"/>
      <c r="X345" s="79"/>
      <c r="Y345" s="79"/>
      <c r="Z345" s="79"/>
    </row>
    <row r="346">
      <c r="A346" s="79"/>
      <c r="B346" s="79"/>
      <c r="C346" s="79"/>
      <c r="D346" s="79"/>
      <c r="E346" s="79"/>
      <c r="F346" s="79"/>
      <c r="G346" s="79"/>
      <c r="H346" s="79"/>
      <c r="I346" s="79"/>
      <c r="J346" s="79"/>
      <c r="K346" s="79"/>
      <c r="L346" s="79"/>
      <c r="M346" s="79"/>
      <c r="N346" s="79"/>
      <c r="O346" s="79"/>
      <c r="P346" s="79"/>
      <c r="Q346" s="79"/>
      <c r="R346" s="79"/>
      <c r="S346" s="79"/>
      <c r="T346" s="79"/>
      <c r="U346" s="79"/>
      <c r="V346" s="79"/>
      <c r="W346" s="79"/>
      <c r="X346" s="79"/>
      <c r="Y346" s="79"/>
      <c r="Z346" s="79"/>
    </row>
    <row r="347">
      <c r="A347" s="79"/>
      <c r="B347" s="79"/>
      <c r="C347" s="79"/>
      <c r="D347" s="79"/>
      <c r="E347" s="79"/>
      <c r="F347" s="79"/>
      <c r="G347" s="79"/>
      <c r="H347" s="79"/>
      <c r="I347" s="79"/>
      <c r="J347" s="79"/>
      <c r="K347" s="79"/>
      <c r="L347" s="79"/>
      <c r="M347" s="79"/>
      <c r="N347" s="79"/>
      <c r="O347" s="79"/>
      <c r="P347" s="79"/>
      <c r="Q347" s="79"/>
      <c r="R347" s="79"/>
      <c r="S347" s="79"/>
      <c r="T347" s="79"/>
      <c r="U347" s="79"/>
      <c r="V347" s="79"/>
      <c r="W347" s="79"/>
      <c r="X347" s="79"/>
      <c r="Y347" s="79"/>
      <c r="Z347" s="79"/>
    </row>
    <row r="348">
      <c r="A348" s="79"/>
      <c r="B348" s="79"/>
      <c r="C348" s="79"/>
      <c r="D348" s="79"/>
      <c r="E348" s="79"/>
      <c r="F348" s="79"/>
      <c r="G348" s="79"/>
      <c r="H348" s="79"/>
      <c r="I348" s="79"/>
      <c r="J348" s="79"/>
      <c r="K348" s="79"/>
      <c r="L348" s="79"/>
      <c r="M348" s="79"/>
      <c r="N348" s="79"/>
      <c r="O348" s="79"/>
      <c r="P348" s="79"/>
      <c r="Q348" s="79"/>
      <c r="R348" s="79"/>
      <c r="S348" s="79"/>
      <c r="T348" s="79"/>
      <c r="U348" s="79"/>
      <c r="V348" s="79"/>
      <c r="W348" s="79"/>
      <c r="X348" s="79"/>
      <c r="Y348" s="79"/>
      <c r="Z348" s="79"/>
    </row>
    <row r="349">
      <c r="A349" s="79"/>
      <c r="B349" s="79"/>
      <c r="C349" s="79"/>
      <c r="D349" s="79"/>
      <c r="E349" s="79"/>
      <c r="F349" s="79"/>
      <c r="G349" s="79"/>
      <c r="H349" s="79"/>
      <c r="I349" s="79"/>
      <c r="J349" s="79"/>
      <c r="K349" s="79"/>
      <c r="L349" s="79"/>
      <c r="M349" s="79"/>
      <c r="N349" s="79"/>
      <c r="O349" s="79"/>
      <c r="P349" s="79"/>
      <c r="Q349" s="79"/>
      <c r="R349" s="79"/>
      <c r="S349" s="79"/>
      <c r="T349" s="79"/>
      <c r="U349" s="79"/>
      <c r="V349" s="79"/>
      <c r="W349" s="79"/>
      <c r="X349" s="79"/>
      <c r="Y349" s="79"/>
      <c r="Z349" s="79"/>
    </row>
    <row r="350">
      <c r="A350" s="79"/>
      <c r="B350" s="79"/>
      <c r="C350" s="79"/>
      <c r="D350" s="79"/>
      <c r="E350" s="79"/>
      <c r="F350" s="79"/>
      <c r="G350" s="79"/>
      <c r="H350" s="79"/>
      <c r="I350" s="79"/>
      <c r="J350" s="79"/>
      <c r="K350" s="79"/>
      <c r="L350" s="79"/>
      <c r="M350" s="79"/>
      <c r="N350" s="79"/>
      <c r="O350" s="79"/>
      <c r="P350" s="79"/>
      <c r="Q350" s="79"/>
      <c r="R350" s="79"/>
      <c r="S350" s="79"/>
      <c r="T350" s="79"/>
      <c r="U350" s="79"/>
      <c r="V350" s="79"/>
      <c r="W350" s="79"/>
      <c r="X350" s="79"/>
      <c r="Y350" s="79"/>
      <c r="Z350" s="79"/>
    </row>
    <row r="351">
      <c r="A351" s="79"/>
      <c r="B351" s="79"/>
      <c r="C351" s="79"/>
      <c r="D351" s="79"/>
      <c r="E351" s="79"/>
      <c r="F351" s="79"/>
      <c r="G351" s="79"/>
      <c r="H351" s="79"/>
      <c r="I351" s="79"/>
      <c r="J351" s="79"/>
      <c r="K351" s="79"/>
      <c r="L351" s="79"/>
      <c r="M351" s="79"/>
      <c r="N351" s="79"/>
      <c r="O351" s="79"/>
      <c r="P351" s="79"/>
      <c r="Q351" s="79"/>
      <c r="R351" s="79"/>
      <c r="S351" s="79"/>
      <c r="T351" s="79"/>
      <c r="U351" s="79"/>
      <c r="V351" s="79"/>
      <c r="W351" s="79"/>
      <c r="X351" s="79"/>
      <c r="Y351" s="79"/>
      <c r="Z351" s="79"/>
    </row>
    <row r="352">
      <c r="A352" s="79"/>
      <c r="B352" s="79"/>
      <c r="C352" s="79"/>
      <c r="D352" s="79"/>
      <c r="E352" s="79"/>
      <c r="F352" s="79"/>
      <c r="G352" s="79"/>
      <c r="H352" s="79"/>
      <c r="I352" s="79"/>
      <c r="J352" s="79"/>
      <c r="K352" s="79"/>
      <c r="L352" s="79"/>
      <c r="M352" s="79"/>
      <c r="N352" s="79"/>
      <c r="O352" s="79"/>
      <c r="P352" s="79"/>
      <c r="Q352" s="79"/>
      <c r="R352" s="79"/>
      <c r="S352" s="79"/>
      <c r="T352" s="79"/>
      <c r="U352" s="79"/>
      <c r="V352" s="79"/>
      <c r="W352" s="79"/>
      <c r="X352" s="79"/>
      <c r="Y352" s="79"/>
      <c r="Z352" s="79"/>
    </row>
    <row r="353">
      <c r="A353" s="79"/>
      <c r="B353" s="79"/>
      <c r="C353" s="79"/>
      <c r="D353" s="79"/>
      <c r="E353" s="79"/>
      <c r="F353" s="79"/>
      <c r="G353" s="79"/>
      <c r="H353" s="79"/>
      <c r="I353" s="79"/>
      <c r="J353" s="79"/>
      <c r="K353" s="79"/>
      <c r="L353" s="79"/>
      <c r="M353" s="79"/>
      <c r="N353" s="79"/>
      <c r="O353" s="79"/>
      <c r="P353" s="79"/>
      <c r="Q353" s="79"/>
      <c r="R353" s="79"/>
      <c r="S353" s="79"/>
      <c r="T353" s="79"/>
      <c r="U353" s="79"/>
      <c r="V353" s="79"/>
      <c r="W353" s="79"/>
      <c r="X353" s="79"/>
      <c r="Y353" s="79"/>
      <c r="Z353" s="79"/>
    </row>
    <row r="354">
      <c r="A354" s="79"/>
      <c r="B354" s="79"/>
      <c r="C354" s="79"/>
      <c r="D354" s="79"/>
      <c r="E354" s="79"/>
      <c r="F354" s="79"/>
      <c r="G354" s="79"/>
      <c r="H354" s="79"/>
      <c r="I354" s="79"/>
      <c r="J354" s="79"/>
      <c r="K354" s="79"/>
      <c r="L354" s="79"/>
      <c r="M354" s="79"/>
      <c r="N354" s="79"/>
      <c r="O354" s="79"/>
      <c r="P354" s="79"/>
      <c r="Q354" s="79"/>
      <c r="R354" s="79"/>
      <c r="S354" s="79"/>
      <c r="T354" s="79"/>
      <c r="U354" s="79"/>
      <c r="V354" s="79"/>
      <c r="W354" s="79"/>
      <c r="X354" s="79"/>
      <c r="Y354" s="79"/>
      <c r="Z354" s="79"/>
    </row>
    <row r="355">
      <c r="A355" s="79"/>
      <c r="B355" s="79"/>
      <c r="C355" s="79"/>
      <c r="D355" s="79"/>
      <c r="E355" s="79"/>
      <c r="F355" s="79"/>
      <c r="G355" s="79"/>
      <c r="H355" s="79"/>
      <c r="I355" s="79"/>
      <c r="J355" s="79"/>
      <c r="K355" s="79"/>
      <c r="L355" s="79"/>
      <c r="M355" s="79"/>
      <c r="N355" s="79"/>
      <c r="O355" s="79"/>
      <c r="P355" s="79"/>
      <c r="Q355" s="79"/>
      <c r="R355" s="79"/>
      <c r="S355" s="79"/>
      <c r="T355" s="79"/>
      <c r="U355" s="79"/>
      <c r="V355" s="79"/>
      <c r="W355" s="79"/>
      <c r="X355" s="79"/>
      <c r="Y355" s="79"/>
      <c r="Z355" s="79"/>
    </row>
    <row r="356">
      <c r="A356" s="79"/>
      <c r="B356" s="79"/>
      <c r="C356" s="79"/>
      <c r="D356" s="79"/>
      <c r="E356" s="79"/>
      <c r="F356" s="79"/>
      <c r="G356" s="79"/>
      <c r="H356" s="79"/>
      <c r="I356" s="79"/>
      <c r="J356" s="79"/>
      <c r="K356" s="79"/>
      <c r="L356" s="79"/>
      <c r="M356" s="79"/>
      <c r="N356" s="79"/>
      <c r="O356" s="79"/>
      <c r="P356" s="79"/>
      <c r="Q356" s="79"/>
      <c r="R356" s="79"/>
      <c r="S356" s="79"/>
      <c r="T356" s="79"/>
      <c r="U356" s="79"/>
      <c r="V356" s="79"/>
      <c r="W356" s="79"/>
      <c r="X356" s="79"/>
      <c r="Y356" s="79"/>
      <c r="Z356" s="79"/>
    </row>
    <row r="357">
      <c r="A357" s="79"/>
      <c r="B357" s="79"/>
      <c r="C357" s="79"/>
      <c r="D357" s="79"/>
      <c r="E357" s="79"/>
      <c r="F357" s="79"/>
      <c r="G357" s="79"/>
      <c r="H357" s="79"/>
      <c r="I357" s="79"/>
      <c r="J357" s="79"/>
      <c r="K357" s="79"/>
      <c r="L357" s="79"/>
      <c r="M357" s="79"/>
      <c r="N357" s="79"/>
      <c r="O357" s="79"/>
      <c r="P357" s="79"/>
      <c r="Q357" s="79"/>
      <c r="R357" s="79"/>
      <c r="S357" s="79"/>
      <c r="T357" s="79"/>
      <c r="U357" s="79"/>
      <c r="V357" s="79"/>
      <c r="W357" s="79"/>
      <c r="X357" s="79"/>
      <c r="Y357" s="79"/>
      <c r="Z357" s="79"/>
    </row>
    <row r="358">
      <c r="A358" s="79"/>
      <c r="B358" s="79"/>
      <c r="C358" s="79"/>
      <c r="D358" s="79"/>
      <c r="E358" s="79"/>
      <c r="F358" s="79"/>
      <c r="G358" s="79"/>
      <c r="H358" s="79"/>
      <c r="I358" s="79"/>
      <c r="J358" s="79"/>
      <c r="K358" s="79"/>
      <c r="L358" s="79"/>
      <c r="M358" s="79"/>
      <c r="N358" s="79"/>
      <c r="O358" s="79"/>
      <c r="P358" s="79"/>
      <c r="Q358" s="79"/>
      <c r="R358" s="79"/>
      <c r="S358" s="79"/>
      <c r="T358" s="79"/>
      <c r="U358" s="79"/>
      <c r="V358" s="79"/>
      <c r="W358" s="79"/>
      <c r="X358" s="79"/>
      <c r="Y358" s="79"/>
      <c r="Z358" s="79"/>
    </row>
    <row r="359">
      <c r="A359" s="79"/>
      <c r="B359" s="79"/>
      <c r="C359" s="79"/>
      <c r="D359" s="79"/>
      <c r="E359" s="79"/>
      <c r="F359" s="79"/>
      <c r="G359" s="79"/>
      <c r="H359" s="79"/>
      <c r="I359" s="79"/>
      <c r="J359" s="79"/>
      <c r="K359" s="79"/>
      <c r="L359" s="79"/>
      <c r="M359" s="79"/>
      <c r="N359" s="79"/>
      <c r="O359" s="79"/>
      <c r="P359" s="79"/>
      <c r="Q359" s="79"/>
      <c r="R359" s="79"/>
      <c r="S359" s="79"/>
      <c r="T359" s="79"/>
      <c r="U359" s="79"/>
      <c r="V359" s="79"/>
      <c r="W359" s="79"/>
      <c r="X359" s="79"/>
      <c r="Y359" s="79"/>
      <c r="Z359" s="79"/>
    </row>
    <row r="360">
      <c r="A360" s="79"/>
      <c r="B360" s="79"/>
      <c r="C360" s="79"/>
      <c r="D360" s="79"/>
      <c r="E360" s="79"/>
      <c r="F360" s="79"/>
      <c r="G360" s="79"/>
      <c r="H360" s="79"/>
      <c r="I360" s="79"/>
      <c r="J360" s="79"/>
      <c r="K360" s="79"/>
      <c r="L360" s="79"/>
      <c r="M360" s="79"/>
      <c r="N360" s="79"/>
      <c r="O360" s="79"/>
      <c r="P360" s="79"/>
      <c r="Q360" s="79"/>
      <c r="R360" s="79"/>
      <c r="S360" s="79"/>
      <c r="T360" s="79"/>
      <c r="U360" s="79"/>
      <c r="V360" s="79"/>
      <c r="W360" s="79"/>
      <c r="X360" s="79"/>
      <c r="Y360" s="79"/>
      <c r="Z360" s="79"/>
    </row>
    <row r="361">
      <c r="A361" s="79"/>
      <c r="B361" s="79"/>
      <c r="C361" s="79"/>
      <c r="D361" s="79"/>
      <c r="E361" s="79"/>
      <c r="F361" s="79"/>
      <c r="G361" s="79"/>
      <c r="H361" s="79"/>
      <c r="I361" s="79"/>
      <c r="J361" s="79"/>
      <c r="K361" s="79"/>
      <c r="L361" s="79"/>
      <c r="M361" s="79"/>
      <c r="N361" s="79"/>
      <c r="O361" s="79"/>
      <c r="P361" s="79"/>
      <c r="Q361" s="79"/>
      <c r="R361" s="79"/>
      <c r="S361" s="79"/>
      <c r="T361" s="79"/>
      <c r="U361" s="79"/>
      <c r="V361" s="79"/>
      <c r="W361" s="79"/>
      <c r="X361" s="79"/>
      <c r="Y361" s="79"/>
      <c r="Z361" s="79"/>
    </row>
    <row r="362">
      <c r="A362" s="79"/>
      <c r="B362" s="79"/>
      <c r="C362" s="79"/>
      <c r="D362" s="79"/>
      <c r="E362" s="79"/>
      <c r="F362" s="79"/>
      <c r="G362" s="79"/>
      <c r="H362" s="79"/>
      <c r="I362" s="79"/>
      <c r="J362" s="79"/>
      <c r="K362" s="79"/>
      <c r="L362" s="79"/>
      <c r="M362" s="79"/>
      <c r="N362" s="79"/>
      <c r="O362" s="79"/>
      <c r="P362" s="79"/>
      <c r="Q362" s="79"/>
      <c r="R362" s="79"/>
      <c r="S362" s="79"/>
      <c r="T362" s="79"/>
      <c r="U362" s="79"/>
      <c r="V362" s="79"/>
      <c r="W362" s="79"/>
      <c r="X362" s="79"/>
      <c r="Y362" s="79"/>
      <c r="Z362" s="79"/>
    </row>
    <row r="363">
      <c r="A363" s="79"/>
      <c r="B363" s="79"/>
      <c r="C363" s="79"/>
      <c r="D363" s="79"/>
      <c r="E363" s="79"/>
      <c r="F363" s="79"/>
      <c r="G363" s="79"/>
      <c r="H363" s="79"/>
      <c r="I363" s="79"/>
      <c r="J363" s="79"/>
      <c r="K363" s="79"/>
      <c r="L363" s="79"/>
      <c r="M363" s="79"/>
      <c r="N363" s="79"/>
      <c r="O363" s="79"/>
      <c r="P363" s="79"/>
      <c r="Q363" s="79"/>
      <c r="R363" s="79"/>
      <c r="S363" s="79"/>
      <c r="T363" s="79"/>
      <c r="U363" s="79"/>
      <c r="V363" s="79"/>
      <c r="W363" s="79"/>
      <c r="X363" s="79"/>
      <c r="Y363" s="79"/>
      <c r="Z363" s="79"/>
    </row>
    <row r="364">
      <c r="A364" s="79"/>
      <c r="B364" s="79"/>
      <c r="C364" s="79"/>
      <c r="D364" s="79"/>
      <c r="E364" s="79"/>
      <c r="F364" s="79"/>
      <c r="G364" s="79"/>
      <c r="H364" s="79"/>
      <c r="I364" s="79"/>
      <c r="J364" s="79"/>
      <c r="K364" s="79"/>
      <c r="L364" s="79"/>
      <c r="M364" s="79"/>
      <c r="N364" s="79"/>
      <c r="O364" s="79"/>
      <c r="P364" s="79"/>
      <c r="Q364" s="79"/>
      <c r="R364" s="79"/>
      <c r="S364" s="79"/>
      <c r="T364" s="79"/>
      <c r="U364" s="79"/>
      <c r="V364" s="79"/>
      <c r="W364" s="79"/>
      <c r="X364" s="79"/>
      <c r="Y364" s="79"/>
      <c r="Z364" s="79"/>
    </row>
    <row r="365">
      <c r="A365" s="79"/>
      <c r="B365" s="79"/>
      <c r="C365" s="79"/>
      <c r="D365" s="79"/>
      <c r="E365" s="79"/>
      <c r="F365" s="79"/>
      <c r="G365" s="79"/>
      <c r="H365" s="79"/>
      <c r="I365" s="79"/>
      <c r="J365" s="79"/>
      <c r="K365" s="79"/>
      <c r="L365" s="79"/>
      <c r="M365" s="79"/>
      <c r="N365" s="79"/>
      <c r="O365" s="79"/>
      <c r="P365" s="79"/>
      <c r="Q365" s="79"/>
      <c r="R365" s="79"/>
      <c r="S365" s="79"/>
      <c r="T365" s="79"/>
      <c r="U365" s="79"/>
      <c r="V365" s="79"/>
      <c r="W365" s="79"/>
      <c r="X365" s="79"/>
      <c r="Y365" s="79"/>
      <c r="Z365" s="79"/>
    </row>
    <row r="366">
      <c r="A366" s="79"/>
      <c r="B366" s="79"/>
      <c r="C366" s="79"/>
      <c r="D366" s="79"/>
      <c r="E366" s="79"/>
      <c r="F366" s="79"/>
      <c r="G366" s="79"/>
      <c r="H366" s="79"/>
      <c r="I366" s="79"/>
      <c r="J366" s="79"/>
      <c r="K366" s="79"/>
      <c r="L366" s="79"/>
      <c r="M366" s="79"/>
      <c r="N366" s="79"/>
      <c r="O366" s="79"/>
      <c r="P366" s="79"/>
      <c r="Q366" s="79"/>
      <c r="R366" s="79"/>
      <c r="S366" s="79"/>
      <c r="T366" s="79"/>
      <c r="U366" s="79"/>
      <c r="V366" s="79"/>
      <c r="W366" s="79"/>
      <c r="X366" s="79"/>
      <c r="Y366" s="79"/>
      <c r="Z366" s="79"/>
    </row>
    <row r="367">
      <c r="A367" s="79"/>
      <c r="B367" s="79"/>
      <c r="C367" s="79"/>
      <c r="D367" s="79"/>
      <c r="E367" s="79"/>
      <c r="F367" s="79"/>
      <c r="G367" s="79"/>
      <c r="H367" s="79"/>
      <c r="I367" s="79"/>
      <c r="J367" s="79"/>
      <c r="K367" s="79"/>
      <c r="L367" s="79"/>
      <c r="M367" s="79"/>
      <c r="N367" s="79"/>
      <c r="O367" s="79"/>
      <c r="P367" s="79"/>
      <c r="Q367" s="79"/>
      <c r="R367" s="79"/>
      <c r="S367" s="79"/>
      <c r="T367" s="79"/>
      <c r="U367" s="79"/>
      <c r="V367" s="79"/>
      <c r="W367" s="79"/>
      <c r="X367" s="79"/>
      <c r="Y367" s="79"/>
      <c r="Z367" s="79"/>
    </row>
    <row r="368">
      <c r="A368" s="79"/>
      <c r="B368" s="79"/>
      <c r="C368" s="79"/>
      <c r="D368" s="79"/>
      <c r="E368" s="79"/>
      <c r="F368" s="79"/>
      <c r="G368" s="79"/>
      <c r="H368" s="79"/>
      <c r="I368" s="79"/>
      <c r="J368" s="79"/>
      <c r="K368" s="79"/>
      <c r="L368" s="79"/>
      <c r="M368" s="79"/>
      <c r="N368" s="79"/>
      <c r="O368" s="79"/>
      <c r="P368" s="79"/>
      <c r="Q368" s="79"/>
      <c r="R368" s="79"/>
      <c r="S368" s="79"/>
      <c r="T368" s="79"/>
      <c r="U368" s="79"/>
      <c r="V368" s="79"/>
      <c r="W368" s="79"/>
      <c r="X368" s="79"/>
      <c r="Y368" s="79"/>
      <c r="Z368" s="79"/>
    </row>
    <row r="369">
      <c r="A369" s="79"/>
      <c r="B369" s="79"/>
      <c r="C369" s="79"/>
      <c r="D369" s="79"/>
      <c r="E369" s="79"/>
      <c r="F369" s="79"/>
      <c r="G369" s="79"/>
      <c r="H369" s="79"/>
      <c r="I369" s="79"/>
      <c r="J369" s="79"/>
      <c r="K369" s="79"/>
      <c r="L369" s="79"/>
      <c r="M369" s="79"/>
      <c r="N369" s="79"/>
      <c r="O369" s="79"/>
      <c r="P369" s="79"/>
      <c r="Q369" s="79"/>
      <c r="R369" s="79"/>
      <c r="S369" s="79"/>
      <c r="T369" s="79"/>
      <c r="U369" s="79"/>
      <c r="V369" s="79"/>
      <c r="W369" s="79"/>
      <c r="X369" s="79"/>
      <c r="Y369" s="79"/>
      <c r="Z369" s="79"/>
    </row>
    <row r="370">
      <c r="A370" s="79"/>
      <c r="B370" s="79"/>
      <c r="C370" s="79"/>
      <c r="D370" s="79"/>
      <c r="E370" s="79"/>
      <c r="F370" s="79"/>
      <c r="G370" s="79"/>
      <c r="H370" s="79"/>
      <c r="I370" s="79"/>
      <c r="J370" s="79"/>
      <c r="K370" s="79"/>
      <c r="L370" s="79"/>
      <c r="M370" s="79"/>
      <c r="N370" s="79"/>
      <c r="O370" s="79"/>
      <c r="P370" s="79"/>
      <c r="Q370" s="79"/>
      <c r="R370" s="79"/>
      <c r="S370" s="79"/>
      <c r="T370" s="79"/>
      <c r="U370" s="79"/>
      <c r="V370" s="79"/>
      <c r="W370" s="79"/>
      <c r="X370" s="79"/>
      <c r="Y370" s="79"/>
      <c r="Z370" s="79"/>
    </row>
    <row r="371">
      <c r="A371" s="79"/>
      <c r="B371" s="79"/>
      <c r="C371" s="79"/>
      <c r="D371" s="79"/>
      <c r="E371" s="79"/>
      <c r="F371" s="79"/>
      <c r="G371" s="79"/>
      <c r="H371" s="79"/>
      <c r="I371" s="79"/>
      <c r="J371" s="79"/>
      <c r="K371" s="79"/>
      <c r="L371" s="79"/>
      <c r="M371" s="79"/>
      <c r="N371" s="79"/>
      <c r="O371" s="79"/>
      <c r="P371" s="79"/>
      <c r="Q371" s="79"/>
      <c r="R371" s="79"/>
      <c r="S371" s="79"/>
      <c r="T371" s="79"/>
      <c r="U371" s="79"/>
      <c r="V371" s="79"/>
      <c r="W371" s="79"/>
      <c r="X371" s="79"/>
      <c r="Y371" s="79"/>
      <c r="Z371" s="79"/>
    </row>
    <row r="372">
      <c r="A372" s="79"/>
      <c r="B372" s="79"/>
      <c r="C372" s="79"/>
      <c r="D372" s="79"/>
      <c r="E372" s="79"/>
      <c r="F372" s="79"/>
      <c r="G372" s="79"/>
      <c r="H372" s="79"/>
      <c r="I372" s="79"/>
      <c r="J372" s="79"/>
      <c r="K372" s="79"/>
      <c r="L372" s="79"/>
      <c r="M372" s="79"/>
      <c r="N372" s="79"/>
      <c r="O372" s="79"/>
      <c r="P372" s="79"/>
      <c r="Q372" s="79"/>
      <c r="R372" s="79"/>
      <c r="S372" s="79"/>
      <c r="T372" s="79"/>
      <c r="U372" s="79"/>
      <c r="V372" s="79"/>
      <c r="W372" s="79"/>
      <c r="X372" s="79"/>
      <c r="Y372" s="79"/>
      <c r="Z372" s="79"/>
    </row>
    <row r="373">
      <c r="A373" s="79"/>
      <c r="B373" s="79"/>
      <c r="C373" s="79"/>
      <c r="D373" s="79"/>
      <c r="E373" s="79"/>
      <c r="F373" s="79"/>
      <c r="G373" s="79"/>
      <c r="H373" s="79"/>
      <c r="I373" s="79"/>
      <c r="J373" s="79"/>
      <c r="K373" s="79"/>
      <c r="L373" s="79"/>
      <c r="M373" s="79"/>
      <c r="N373" s="79"/>
      <c r="O373" s="79"/>
      <c r="P373" s="79"/>
      <c r="Q373" s="79"/>
      <c r="R373" s="79"/>
      <c r="S373" s="79"/>
      <c r="T373" s="79"/>
      <c r="U373" s="79"/>
      <c r="V373" s="79"/>
      <c r="W373" s="79"/>
      <c r="X373" s="79"/>
      <c r="Y373" s="79"/>
      <c r="Z373" s="79"/>
    </row>
    <row r="374">
      <c r="A374" s="79"/>
      <c r="B374" s="79"/>
      <c r="C374" s="79"/>
      <c r="D374" s="79"/>
      <c r="E374" s="79"/>
      <c r="F374" s="79"/>
      <c r="G374" s="79"/>
      <c r="H374" s="79"/>
      <c r="I374" s="79"/>
      <c r="J374" s="79"/>
      <c r="K374" s="79"/>
      <c r="L374" s="79"/>
      <c r="M374" s="79"/>
      <c r="N374" s="79"/>
      <c r="O374" s="79"/>
      <c r="P374" s="79"/>
      <c r="Q374" s="79"/>
      <c r="R374" s="79"/>
      <c r="S374" s="79"/>
      <c r="T374" s="79"/>
      <c r="U374" s="79"/>
      <c r="V374" s="79"/>
      <c r="W374" s="79"/>
      <c r="X374" s="79"/>
      <c r="Y374" s="79"/>
      <c r="Z374" s="79"/>
    </row>
    <row r="375">
      <c r="A375" s="79"/>
      <c r="B375" s="79"/>
      <c r="C375" s="79"/>
      <c r="D375" s="79"/>
      <c r="E375" s="79"/>
      <c r="F375" s="79"/>
      <c r="G375" s="79"/>
      <c r="H375" s="79"/>
      <c r="I375" s="79"/>
      <c r="J375" s="79"/>
      <c r="K375" s="79"/>
      <c r="L375" s="79"/>
      <c r="M375" s="79"/>
      <c r="N375" s="79"/>
      <c r="O375" s="79"/>
      <c r="P375" s="79"/>
      <c r="Q375" s="79"/>
      <c r="R375" s="79"/>
      <c r="S375" s="79"/>
      <c r="T375" s="79"/>
      <c r="U375" s="79"/>
      <c r="V375" s="79"/>
      <c r="W375" s="79"/>
      <c r="X375" s="79"/>
      <c r="Y375" s="79"/>
      <c r="Z375" s="79"/>
    </row>
    <row r="376">
      <c r="A376" s="79"/>
      <c r="B376" s="79"/>
      <c r="C376" s="79"/>
      <c r="D376" s="79"/>
      <c r="E376" s="79"/>
      <c r="F376" s="79"/>
      <c r="G376" s="79"/>
      <c r="H376" s="79"/>
      <c r="I376" s="79"/>
      <c r="J376" s="79"/>
      <c r="K376" s="79"/>
      <c r="L376" s="79"/>
      <c r="M376" s="79"/>
      <c r="N376" s="79"/>
      <c r="O376" s="79"/>
      <c r="P376" s="79"/>
      <c r="Q376" s="79"/>
      <c r="R376" s="79"/>
      <c r="S376" s="79"/>
      <c r="T376" s="79"/>
      <c r="U376" s="79"/>
      <c r="V376" s="79"/>
      <c r="W376" s="79"/>
      <c r="X376" s="79"/>
      <c r="Y376" s="79"/>
      <c r="Z376" s="79"/>
    </row>
    <row r="377">
      <c r="A377" s="79"/>
      <c r="B377" s="79"/>
      <c r="C377" s="79"/>
      <c r="D377" s="79"/>
      <c r="E377" s="79"/>
      <c r="F377" s="79"/>
      <c r="G377" s="79"/>
      <c r="H377" s="79"/>
      <c r="I377" s="79"/>
      <c r="J377" s="79"/>
      <c r="K377" s="79"/>
      <c r="L377" s="79"/>
      <c r="M377" s="79"/>
      <c r="N377" s="79"/>
      <c r="O377" s="79"/>
      <c r="P377" s="79"/>
      <c r="Q377" s="79"/>
      <c r="R377" s="79"/>
      <c r="S377" s="79"/>
      <c r="T377" s="79"/>
      <c r="U377" s="79"/>
      <c r="V377" s="79"/>
      <c r="W377" s="79"/>
      <c r="X377" s="79"/>
      <c r="Y377" s="79"/>
      <c r="Z377" s="79"/>
    </row>
    <row r="378">
      <c r="A378" s="79"/>
      <c r="B378" s="79"/>
      <c r="C378" s="79"/>
      <c r="D378" s="79"/>
      <c r="E378" s="79"/>
      <c r="F378" s="79"/>
      <c r="G378" s="79"/>
      <c r="H378" s="79"/>
      <c r="I378" s="79"/>
      <c r="J378" s="79"/>
      <c r="K378" s="79"/>
      <c r="L378" s="79"/>
      <c r="M378" s="79"/>
      <c r="N378" s="79"/>
      <c r="O378" s="79"/>
      <c r="P378" s="79"/>
      <c r="Q378" s="79"/>
      <c r="R378" s="79"/>
      <c r="S378" s="79"/>
      <c r="T378" s="79"/>
      <c r="U378" s="79"/>
      <c r="V378" s="79"/>
      <c r="W378" s="79"/>
      <c r="X378" s="79"/>
      <c r="Y378" s="79"/>
      <c r="Z378" s="79"/>
    </row>
    <row r="379">
      <c r="A379" s="79"/>
      <c r="B379" s="79"/>
      <c r="C379" s="79"/>
      <c r="D379" s="79"/>
      <c r="E379" s="79"/>
      <c r="F379" s="79"/>
      <c r="G379" s="79"/>
      <c r="H379" s="79"/>
      <c r="I379" s="79"/>
      <c r="J379" s="79"/>
      <c r="K379" s="79"/>
      <c r="L379" s="79"/>
      <c r="M379" s="79"/>
      <c r="N379" s="79"/>
      <c r="O379" s="79"/>
      <c r="P379" s="79"/>
      <c r="Q379" s="79"/>
      <c r="R379" s="79"/>
      <c r="S379" s="79"/>
      <c r="T379" s="79"/>
      <c r="U379" s="79"/>
      <c r="V379" s="79"/>
      <c r="W379" s="79"/>
      <c r="X379" s="79"/>
      <c r="Y379" s="79"/>
      <c r="Z379" s="79"/>
    </row>
    <row r="380">
      <c r="A380" s="79"/>
      <c r="B380" s="79"/>
      <c r="C380" s="79"/>
      <c r="D380" s="79"/>
      <c r="E380" s="79"/>
      <c r="F380" s="79"/>
      <c r="G380" s="79"/>
      <c r="H380" s="79"/>
      <c r="I380" s="79"/>
      <c r="J380" s="79"/>
      <c r="K380" s="79"/>
      <c r="L380" s="79"/>
      <c r="M380" s="79"/>
      <c r="N380" s="79"/>
      <c r="O380" s="79"/>
      <c r="P380" s="79"/>
      <c r="Q380" s="79"/>
      <c r="R380" s="79"/>
      <c r="S380" s="79"/>
      <c r="T380" s="79"/>
      <c r="U380" s="79"/>
      <c r="V380" s="79"/>
      <c r="W380" s="79"/>
      <c r="X380" s="79"/>
      <c r="Y380" s="79"/>
      <c r="Z380" s="79"/>
    </row>
    <row r="381">
      <c r="A381" s="79"/>
      <c r="B381" s="79"/>
      <c r="C381" s="79"/>
      <c r="D381" s="79"/>
      <c r="E381" s="79"/>
      <c r="F381" s="79"/>
      <c r="G381" s="79"/>
      <c r="H381" s="79"/>
      <c r="I381" s="79"/>
      <c r="J381" s="79"/>
      <c r="K381" s="79"/>
      <c r="L381" s="79"/>
      <c r="M381" s="79"/>
      <c r="N381" s="79"/>
      <c r="O381" s="79"/>
      <c r="P381" s="79"/>
      <c r="Q381" s="79"/>
      <c r="R381" s="79"/>
      <c r="S381" s="79"/>
      <c r="T381" s="79"/>
      <c r="U381" s="79"/>
      <c r="V381" s="79"/>
      <c r="W381" s="79"/>
      <c r="X381" s="79"/>
      <c r="Y381" s="79"/>
      <c r="Z381" s="79"/>
    </row>
    <row r="382">
      <c r="A382" s="79"/>
      <c r="B382" s="79"/>
      <c r="C382" s="79"/>
      <c r="D382" s="79"/>
      <c r="E382" s="79"/>
      <c r="F382" s="79"/>
      <c r="G382" s="79"/>
      <c r="H382" s="79"/>
      <c r="I382" s="79"/>
      <c r="J382" s="79"/>
      <c r="K382" s="79"/>
      <c r="L382" s="79"/>
      <c r="M382" s="79"/>
      <c r="N382" s="79"/>
      <c r="O382" s="79"/>
      <c r="P382" s="79"/>
      <c r="Q382" s="79"/>
      <c r="R382" s="79"/>
      <c r="S382" s="79"/>
      <c r="T382" s="79"/>
      <c r="U382" s="79"/>
      <c r="V382" s="79"/>
      <c r="W382" s="79"/>
      <c r="X382" s="79"/>
      <c r="Y382" s="79"/>
      <c r="Z382" s="79"/>
    </row>
    <row r="383">
      <c r="A383" s="79"/>
      <c r="B383" s="79"/>
      <c r="C383" s="79"/>
      <c r="D383" s="79"/>
      <c r="E383" s="79"/>
      <c r="F383" s="79"/>
      <c r="G383" s="79"/>
      <c r="H383" s="79"/>
      <c r="I383" s="79"/>
      <c r="J383" s="79"/>
      <c r="K383" s="79"/>
      <c r="L383" s="79"/>
      <c r="M383" s="79"/>
      <c r="N383" s="79"/>
      <c r="O383" s="79"/>
      <c r="P383" s="79"/>
      <c r="Q383" s="79"/>
      <c r="R383" s="79"/>
      <c r="S383" s="79"/>
      <c r="T383" s="79"/>
      <c r="U383" s="79"/>
      <c r="V383" s="79"/>
      <c r="W383" s="79"/>
      <c r="X383" s="79"/>
      <c r="Y383" s="79"/>
      <c r="Z383" s="79"/>
    </row>
    <row r="384">
      <c r="A384" s="79"/>
      <c r="B384" s="79"/>
      <c r="C384" s="79"/>
      <c r="D384" s="79"/>
      <c r="E384" s="79"/>
      <c r="F384" s="79"/>
      <c r="G384" s="79"/>
      <c r="H384" s="79"/>
      <c r="I384" s="79"/>
      <c r="J384" s="79"/>
      <c r="K384" s="79"/>
      <c r="L384" s="79"/>
      <c r="M384" s="79"/>
      <c r="N384" s="79"/>
      <c r="O384" s="79"/>
      <c r="P384" s="79"/>
      <c r="Q384" s="79"/>
      <c r="R384" s="79"/>
      <c r="S384" s="79"/>
      <c r="T384" s="79"/>
      <c r="U384" s="79"/>
      <c r="V384" s="79"/>
      <c r="W384" s="79"/>
      <c r="X384" s="79"/>
      <c r="Y384" s="79"/>
      <c r="Z384" s="79"/>
    </row>
    <row r="385">
      <c r="A385" s="79"/>
      <c r="B385" s="79"/>
      <c r="C385" s="79"/>
      <c r="D385" s="79"/>
      <c r="E385" s="79"/>
      <c r="F385" s="79"/>
      <c r="G385" s="79"/>
      <c r="H385" s="79"/>
      <c r="I385" s="79"/>
      <c r="J385" s="79"/>
      <c r="K385" s="79"/>
      <c r="L385" s="79"/>
      <c r="M385" s="79"/>
      <c r="N385" s="79"/>
      <c r="O385" s="79"/>
      <c r="P385" s="79"/>
      <c r="Q385" s="79"/>
      <c r="R385" s="79"/>
      <c r="S385" s="79"/>
      <c r="T385" s="79"/>
      <c r="U385" s="79"/>
      <c r="V385" s="79"/>
      <c r="W385" s="79"/>
      <c r="X385" s="79"/>
      <c r="Y385" s="79"/>
      <c r="Z385" s="79"/>
    </row>
    <row r="386">
      <c r="A386" s="79"/>
      <c r="B386" s="79"/>
      <c r="C386" s="79"/>
      <c r="D386" s="79"/>
      <c r="E386" s="79"/>
      <c r="F386" s="79"/>
      <c r="G386" s="79"/>
      <c r="H386" s="79"/>
      <c r="I386" s="79"/>
      <c r="J386" s="79"/>
      <c r="K386" s="79"/>
      <c r="L386" s="79"/>
      <c r="M386" s="79"/>
      <c r="N386" s="79"/>
      <c r="O386" s="79"/>
      <c r="P386" s="79"/>
      <c r="Q386" s="79"/>
      <c r="R386" s="79"/>
      <c r="S386" s="79"/>
      <c r="T386" s="79"/>
      <c r="U386" s="79"/>
      <c r="V386" s="79"/>
      <c r="W386" s="79"/>
      <c r="X386" s="79"/>
      <c r="Y386" s="79"/>
      <c r="Z386" s="79"/>
    </row>
    <row r="387">
      <c r="A387" s="79"/>
      <c r="B387" s="79"/>
      <c r="C387" s="79"/>
      <c r="D387" s="79"/>
      <c r="E387" s="79"/>
      <c r="F387" s="79"/>
      <c r="G387" s="79"/>
      <c r="H387" s="79"/>
      <c r="I387" s="79"/>
      <c r="J387" s="79"/>
      <c r="K387" s="79"/>
      <c r="L387" s="79"/>
      <c r="M387" s="79"/>
      <c r="N387" s="79"/>
      <c r="O387" s="79"/>
      <c r="P387" s="79"/>
      <c r="Q387" s="79"/>
      <c r="R387" s="79"/>
      <c r="S387" s="79"/>
      <c r="T387" s="79"/>
      <c r="U387" s="79"/>
      <c r="V387" s="79"/>
      <c r="W387" s="79"/>
      <c r="X387" s="79"/>
      <c r="Y387" s="79"/>
      <c r="Z387" s="79"/>
    </row>
    <row r="388">
      <c r="A388" s="79"/>
      <c r="B388" s="79"/>
      <c r="C388" s="79"/>
      <c r="D388" s="79"/>
      <c r="E388" s="79"/>
      <c r="F388" s="79"/>
      <c r="G388" s="79"/>
      <c r="H388" s="79"/>
      <c r="I388" s="79"/>
      <c r="J388" s="79"/>
      <c r="K388" s="79"/>
      <c r="L388" s="79"/>
      <c r="M388" s="79"/>
      <c r="N388" s="79"/>
      <c r="O388" s="79"/>
      <c r="P388" s="79"/>
      <c r="Q388" s="79"/>
      <c r="R388" s="79"/>
      <c r="S388" s="79"/>
      <c r="T388" s="79"/>
      <c r="U388" s="79"/>
      <c r="V388" s="79"/>
      <c r="W388" s="79"/>
      <c r="X388" s="79"/>
      <c r="Y388" s="79"/>
      <c r="Z388" s="79"/>
    </row>
    <row r="389">
      <c r="A389" s="79"/>
      <c r="B389" s="79"/>
      <c r="C389" s="79"/>
      <c r="D389" s="79"/>
      <c r="E389" s="79"/>
      <c r="F389" s="79"/>
      <c r="G389" s="79"/>
      <c r="H389" s="79"/>
      <c r="I389" s="79"/>
      <c r="J389" s="79"/>
      <c r="K389" s="79"/>
      <c r="L389" s="79"/>
      <c r="M389" s="79"/>
      <c r="N389" s="79"/>
      <c r="O389" s="79"/>
      <c r="P389" s="79"/>
      <c r="Q389" s="79"/>
      <c r="R389" s="79"/>
      <c r="S389" s="79"/>
      <c r="T389" s="79"/>
      <c r="U389" s="79"/>
      <c r="V389" s="79"/>
      <c r="W389" s="79"/>
      <c r="X389" s="79"/>
      <c r="Y389" s="79"/>
      <c r="Z389" s="79"/>
    </row>
    <row r="390">
      <c r="A390" s="79"/>
      <c r="B390" s="79"/>
      <c r="C390" s="79"/>
      <c r="D390" s="79"/>
      <c r="E390" s="79"/>
      <c r="F390" s="79"/>
      <c r="G390" s="79"/>
      <c r="H390" s="79"/>
      <c r="I390" s="79"/>
      <c r="J390" s="79"/>
      <c r="K390" s="79"/>
      <c r="L390" s="79"/>
      <c r="M390" s="79"/>
      <c r="N390" s="79"/>
      <c r="O390" s="79"/>
      <c r="P390" s="79"/>
      <c r="Q390" s="79"/>
      <c r="R390" s="79"/>
      <c r="S390" s="79"/>
      <c r="T390" s="79"/>
      <c r="U390" s="79"/>
      <c r="V390" s="79"/>
      <c r="W390" s="79"/>
      <c r="X390" s="79"/>
      <c r="Y390" s="79"/>
      <c r="Z390" s="79"/>
    </row>
    <row r="391">
      <c r="A391" s="79"/>
      <c r="B391" s="79"/>
      <c r="C391" s="79"/>
      <c r="D391" s="79"/>
      <c r="E391" s="79"/>
      <c r="F391" s="79"/>
      <c r="G391" s="79"/>
      <c r="H391" s="79"/>
      <c r="I391" s="79"/>
      <c r="J391" s="79"/>
      <c r="K391" s="79"/>
      <c r="L391" s="79"/>
      <c r="M391" s="79"/>
      <c r="N391" s="79"/>
      <c r="O391" s="79"/>
      <c r="P391" s="79"/>
      <c r="Q391" s="79"/>
      <c r="R391" s="79"/>
      <c r="S391" s="79"/>
      <c r="T391" s="79"/>
      <c r="U391" s="79"/>
      <c r="V391" s="79"/>
      <c r="W391" s="79"/>
      <c r="X391" s="79"/>
      <c r="Y391" s="79"/>
      <c r="Z391" s="79"/>
    </row>
    <row r="392">
      <c r="A392" s="79"/>
      <c r="B392" s="79"/>
      <c r="C392" s="79"/>
      <c r="D392" s="79"/>
      <c r="E392" s="79"/>
      <c r="F392" s="79"/>
      <c r="G392" s="79"/>
      <c r="H392" s="79"/>
      <c r="I392" s="79"/>
      <c r="J392" s="79"/>
      <c r="K392" s="79"/>
      <c r="L392" s="79"/>
      <c r="M392" s="79"/>
      <c r="N392" s="79"/>
      <c r="O392" s="79"/>
      <c r="P392" s="79"/>
      <c r="Q392" s="79"/>
      <c r="R392" s="79"/>
      <c r="S392" s="79"/>
      <c r="T392" s="79"/>
      <c r="U392" s="79"/>
      <c r="V392" s="79"/>
      <c r="W392" s="79"/>
      <c r="X392" s="79"/>
      <c r="Y392" s="79"/>
      <c r="Z392" s="79"/>
    </row>
    <row r="393">
      <c r="A393" s="79"/>
      <c r="B393" s="79"/>
      <c r="C393" s="79"/>
      <c r="D393" s="79"/>
      <c r="E393" s="79"/>
      <c r="F393" s="79"/>
      <c r="G393" s="79"/>
      <c r="H393" s="79"/>
      <c r="I393" s="79"/>
      <c r="J393" s="79"/>
      <c r="K393" s="79"/>
      <c r="L393" s="79"/>
      <c r="M393" s="79"/>
      <c r="N393" s="79"/>
      <c r="O393" s="79"/>
      <c r="P393" s="79"/>
      <c r="Q393" s="79"/>
      <c r="R393" s="79"/>
      <c r="S393" s="79"/>
      <c r="T393" s="79"/>
      <c r="U393" s="79"/>
      <c r="V393" s="79"/>
      <c r="W393" s="79"/>
      <c r="X393" s="79"/>
      <c r="Y393" s="79"/>
      <c r="Z393" s="79"/>
    </row>
    <row r="394">
      <c r="A394" s="79"/>
      <c r="B394" s="79"/>
      <c r="C394" s="79"/>
      <c r="D394" s="79"/>
      <c r="E394" s="79"/>
      <c r="F394" s="79"/>
      <c r="G394" s="79"/>
      <c r="H394" s="79"/>
      <c r="I394" s="79"/>
      <c r="J394" s="79"/>
      <c r="K394" s="79"/>
      <c r="L394" s="79"/>
      <c r="M394" s="79"/>
      <c r="N394" s="79"/>
      <c r="O394" s="79"/>
      <c r="P394" s="79"/>
      <c r="Q394" s="79"/>
      <c r="R394" s="79"/>
      <c r="S394" s="79"/>
      <c r="T394" s="79"/>
      <c r="U394" s="79"/>
      <c r="V394" s="79"/>
      <c r="W394" s="79"/>
      <c r="X394" s="79"/>
      <c r="Y394" s="79"/>
      <c r="Z394" s="79"/>
    </row>
    <row r="395">
      <c r="A395" s="79"/>
      <c r="B395" s="79"/>
      <c r="C395" s="79"/>
      <c r="D395" s="79"/>
      <c r="E395" s="79"/>
      <c r="F395" s="79"/>
      <c r="G395" s="79"/>
      <c r="H395" s="79"/>
      <c r="I395" s="79"/>
      <c r="J395" s="79"/>
      <c r="K395" s="79"/>
      <c r="L395" s="79"/>
      <c r="M395" s="79"/>
      <c r="N395" s="79"/>
      <c r="O395" s="79"/>
      <c r="P395" s="79"/>
      <c r="Q395" s="79"/>
      <c r="R395" s="79"/>
      <c r="S395" s="79"/>
      <c r="T395" s="79"/>
      <c r="U395" s="79"/>
      <c r="V395" s="79"/>
      <c r="W395" s="79"/>
      <c r="X395" s="79"/>
      <c r="Y395" s="79"/>
      <c r="Z395" s="79"/>
    </row>
    <row r="396">
      <c r="A396" s="79"/>
      <c r="B396" s="79"/>
      <c r="C396" s="79"/>
      <c r="D396" s="79"/>
      <c r="E396" s="79"/>
      <c r="F396" s="79"/>
      <c r="G396" s="79"/>
      <c r="H396" s="79"/>
      <c r="I396" s="79"/>
      <c r="J396" s="79"/>
      <c r="K396" s="79"/>
      <c r="L396" s="79"/>
      <c r="M396" s="79"/>
      <c r="N396" s="79"/>
      <c r="O396" s="79"/>
      <c r="P396" s="79"/>
      <c r="Q396" s="79"/>
      <c r="R396" s="79"/>
      <c r="S396" s="79"/>
      <c r="T396" s="79"/>
      <c r="U396" s="79"/>
      <c r="V396" s="79"/>
      <c r="W396" s="79"/>
      <c r="X396" s="79"/>
      <c r="Y396" s="79"/>
      <c r="Z396" s="79"/>
    </row>
    <row r="397">
      <c r="A397" s="79"/>
      <c r="B397" s="79"/>
      <c r="C397" s="79"/>
      <c r="D397" s="79"/>
      <c r="E397" s="79"/>
      <c r="F397" s="79"/>
      <c r="G397" s="79"/>
      <c r="H397" s="79"/>
      <c r="I397" s="79"/>
      <c r="J397" s="79"/>
      <c r="K397" s="79"/>
      <c r="L397" s="79"/>
      <c r="M397" s="79"/>
      <c r="N397" s="79"/>
      <c r="O397" s="79"/>
      <c r="P397" s="79"/>
      <c r="Q397" s="79"/>
      <c r="R397" s="79"/>
      <c r="S397" s="79"/>
      <c r="T397" s="79"/>
      <c r="U397" s="79"/>
      <c r="V397" s="79"/>
      <c r="W397" s="79"/>
      <c r="X397" s="79"/>
      <c r="Y397" s="79"/>
      <c r="Z397" s="79"/>
    </row>
    <row r="398">
      <c r="A398" s="79"/>
      <c r="B398" s="79"/>
      <c r="C398" s="79"/>
      <c r="D398" s="79"/>
      <c r="E398" s="79"/>
      <c r="F398" s="79"/>
      <c r="G398" s="79"/>
      <c r="H398" s="79"/>
      <c r="I398" s="79"/>
      <c r="J398" s="79"/>
      <c r="K398" s="79"/>
      <c r="L398" s="79"/>
      <c r="M398" s="79"/>
      <c r="N398" s="79"/>
      <c r="O398" s="79"/>
      <c r="P398" s="79"/>
      <c r="Q398" s="79"/>
      <c r="R398" s="79"/>
      <c r="S398" s="79"/>
      <c r="T398" s="79"/>
      <c r="U398" s="79"/>
      <c r="V398" s="79"/>
      <c r="W398" s="79"/>
      <c r="X398" s="79"/>
      <c r="Y398" s="79"/>
      <c r="Z398" s="79"/>
    </row>
    <row r="399">
      <c r="A399" s="79"/>
      <c r="B399" s="79"/>
      <c r="C399" s="79"/>
      <c r="D399" s="79"/>
      <c r="E399" s="79"/>
      <c r="F399" s="79"/>
      <c r="G399" s="79"/>
      <c r="H399" s="79"/>
      <c r="I399" s="79"/>
      <c r="J399" s="79"/>
      <c r="K399" s="79"/>
      <c r="L399" s="79"/>
      <c r="M399" s="79"/>
      <c r="N399" s="79"/>
      <c r="O399" s="79"/>
      <c r="P399" s="79"/>
      <c r="Q399" s="79"/>
      <c r="R399" s="79"/>
      <c r="S399" s="79"/>
      <c r="T399" s="79"/>
      <c r="U399" s="79"/>
      <c r="V399" s="79"/>
      <c r="W399" s="79"/>
      <c r="X399" s="79"/>
      <c r="Y399" s="79"/>
      <c r="Z399" s="79"/>
    </row>
    <row r="400">
      <c r="A400" s="79"/>
      <c r="B400" s="79"/>
      <c r="C400" s="79"/>
      <c r="D400" s="79"/>
      <c r="E400" s="79"/>
      <c r="F400" s="79"/>
      <c r="G400" s="79"/>
      <c r="H400" s="79"/>
      <c r="I400" s="79"/>
      <c r="J400" s="79"/>
      <c r="K400" s="79"/>
      <c r="L400" s="79"/>
      <c r="M400" s="79"/>
      <c r="N400" s="79"/>
      <c r="O400" s="79"/>
      <c r="P400" s="79"/>
      <c r="Q400" s="79"/>
      <c r="R400" s="79"/>
      <c r="S400" s="79"/>
      <c r="T400" s="79"/>
      <c r="U400" s="79"/>
      <c r="V400" s="79"/>
      <c r="W400" s="79"/>
      <c r="X400" s="79"/>
      <c r="Y400" s="79"/>
      <c r="Z400" s="79"/>
    </row>
    <row r="401">
      <c r="A401" s="79"/>
      <c r="B401" s="79"/>
      <c r="C401" s="79"/>
      <c r="D401" s="79"/>
      <c r="E401" s="79"/>
      <c r="F401" s="79"/>
      <c r="G401" s="79"/>
      <c r="H401" s="79"/>
      <c r="I401" s="79"/>
      <c r="J401" s="79"/>
      <c r="K401" s="79"/>
      <c r="L401" s="79"/>
      <c r="M401" s="79"/>
      <c r="N401" s="79"/>
      <c r="O401" s="79"/>
      <c r="P401" s="79"/>
      <c r="Q401" s="79"/>
      <c r="R401" s="79"/>
      <c r="S401" s="79"/>
      <c r="T401" s="79"/>
      <c r="U401" s="79"/>
      <c r="V401" s="79"/>
      <c r="W401" s="79"/>
      <c r="X401" s="79"/>
      <c r="Y401" s="79"/>
      <c r="Z401" s="79"/>
    </row>
    <row r="402">
      <c r="A402" s="79"/>
      <c r="B402" s="79"/>
      <c r="C402" s="79"/>
      <c r="D402" s="79"/>
      <c r="E402" s="79"/>
      <c r="F402" s="79"/>
      <c r="G402" s="79"/>
      <c r="H402" s="79"/>
      <c r="I402" s="79"/>
      <c r="J402" s="79"/>
      <c r="K402" s="79"/>
      <c r="L402" s="79"/>
      <c r="M402" s="79"/>
      <c r="N402" s="79"/>
      <c r="O402" s="79"/>
      <c r="P402" s="79"/>
      <c r="Q402" s="79"/>
      <c r="R402" s="79"/>
      <c r="S402" s="79"/>
      <c r="T402" s="79"/>
      <c r="U402" s="79"/>
      <c r="V402" s="79"/>
      <c r="W402" s="79"/>
      <c r="X402" s="79"/>
      <c r="Y402" s="79"/>
      <c r="Z402" s="79"/>
    </row>
    <row r="403">
      <c r="A403" s="79"/>
      <c r="B403" s="79"/>
      <c r="C403" s="79"/>
      <c r="D403" s="79"/>
      <c r="E403" s="79"/>
      <c r="F403" s="79"/>
      <c r="G403" s="79"/>
      <c r="H403" s="79"/>
      <c r="I403" s="79"/>
      <c r="J403" s="79"/>
      <c r="K403" s="79"/>
      <c r="L403" s="79"/>
      <c r="M403" s="79"/>
      <c r="N403" s="79"/>
      <c r="O403" s="79"/>
      <c r="P403" s="79"/>
      <c r="Q403" s="79"/>
      <c r="R403" s="79"/>
      <c r="S403" s="79"/>
      <c r="T403" s="79"/>
      <c r="U403" s="79"/>
      <c r="V403" s="79"/>
      <c r="W403" s="79"/>
      <c r="X403" s="79"/>
      <c r="Y403" s="79"/>
      <c r="Z403" s="79"/>
    </row>
    <row r="404">
      <c r="A404" s="79"/>
      <c r="B404" s="79"/>
      <c r="C404" s="79"/>
      <c r="D404" s="79"/>
      <c r="E404" s="79"/>
      <c r="F404" s="79"/>
      <c r="G404" s="79"/>
      <c r="H404" s="79"/>
      <c r="I404" s="79"/>
      <c r="J404" s="79"/>
      <c r="K404" s="79"/>
      <c r="L404" s="79"/>
      <c r="M404" s="79"/>
      <c r="N404" s="79"/>
      <c r="O404" s="79"/>
      <c r="P404" s="79"/>
      <c r="Q404" s="79"/>
      <c r="R404" s="79"/>
      <c r="S404" s="79"/>
      <c r="T404" s="79"/>
      <c r="U404" s="79"/>
      <c r="V404" s="79"/>
      <c r="W404" s="79"/>
      <c r="X404" s="79"/>
      <c r="Y404" s="79"/>
      <c r="Z404" s="79"/>
    </row>
    <row r="405">
      <c r="A405" s="79"/>
      <c r="B405" s="79"/>
      <c r="C405" s="79"/>
      <c r="D405" s="79"/>
      <c r="E405" s="79"/>
      <c r="F405" s="79"/>
      <c r="G405" s="79"/>
      <c r="H405" s="79"/>
      <c r="I405" s="79"/>
      <c r="J405" s="79"/>
      <c r="K405" s="79"/>
      <c r="L405" s="79"/>
      <c r="M405" s="79"/>
      <c r="N405" s="79"/>
      <c r="O405" s="79"/>
      <c r="P405" s="79"/>
      <c r="Q405" s="79"/>
      <c r="R405" s="79"/>
      <c r="S405" s="79"/>
      <c r="T405" s="79"/>
      <c r="U405" s="79"/>
      <c r="V405" s="79"/>
      <c r="W405" s="79"/>
      <c r="X405" s="79"/>
      <c r="Y405" s="79"/>
      <c r="Z405" s="79"/>
    </row>
    <row r="406">
      <c r="A406" s="79"/>
      <c r="B406" s="79"/>
      <c r="C406" s="79"/>
      <c r="D406" s="79"/>
      <c r="E406" s="79"/>
      <c r="F406" s="79"/>
      <c r="G406" s="79"/>
      <c r="H406" s="79"/>
      <c r="I406" s="79"/>
      <c r="J406" s="79"/>
      <c r="K406" s="79"/>
      <c r="L406" s="79"/>
      <c r="M406" s="79"/>
      <c r="N406" s="79"/>
      <c r="O406" s="79"/>
      <c r="P406" s="79"/>
      <c r="Q406" s="79"/>
      <c r="R406" s="79"/>
      <c r="S406" s="79"/>
      <c r="T406" s="79"/>
      <c r="U406" s="79"/>
      <c r="V406" s="79"/>
      <c r="W406" s="79"/>
      <c r="X406" s="79"/>
      <c r="Y406" s="79"/>
      <c r="Z406" s="79"/>
    </row>
    <row r="407">
      <c r="A407" s="79"/>
      <c r="B407" s="79"/>
      <c r="C407" s="79"/>
      <c r="D407" s="79"/>
      <c r="E407" s="79"/>
      <c r="F407" s="79"/>
      <c r="G407" s="79"/>
      <c r="H407" s="79"/>
      <c r="I407" s="79"/>
      <c r="J407" s="79"/>
      <c r="K407" s="79"/>
      <c r="L407" s="79"/>
      <c r="M407" s="79"/>
      <c r="N407" s="79"/>
      <c r="O407" s="79"/>
      <c r="P407" s="79"/>
      <c r="Q407" s="79"/>
      <c r="R407" s="79"/>
      <c r="S407" s="79"/>
      <c r="T407" s="79"/>
      <c r="U407" s="79"/>
      <c r="V407" s="79"/>
      <c r="W407" s="79"/>
      <c r="X407" s="79"/>
      <c r="Y407" s="79"/>
      <c r="Z407" s="79"/>
    </row>
    <row r="408">
      <c r="A408" s="79"/>
      <c r="B408" s="79"/>
      <c r="C408" s="79"/>
      <c r="D408" s="79"/>
      <c r="E408" s="79"/>
      <c r="F408" s="79"/>
      <c r="G408" s="79"/>
      <c r="H408" s="79"/>
      <c r="I408" s="79"/>
      <c r="J408" s="79"/>
      <c r="K408" s="79"/>
      <c r="L408" s="79"/>
      <c r="M408" s="79"/>
      <c r="N408" s="79"/>
      <c r="O408" s="79"/>
      <c r="P408" s="79"/>
      <c r="Q408" s="79"/>
      <c r="R408" s="79"/>
      <c r="S408" s="79"/>
      <c r="T408" s="79"/>
      <c r="U408" s="79"/>
      <c r="V408" s="79"/>
      <c r="W408" s="79"/>
      <c r="X408" s="79"/>
      <c r="Y408" s="79"/>
      <c r="Z408" s="79"/>
    </row>
    <row r="409">
      <c r="A409" s="79"/>
      <c r="B409" s="79"/>
      <c r="C409" s="79"/>
      <c r="D409" s="79"/>
      <c r="E409" s="79"/>
      <c r="F409" s="79"/>
      <c r="G409" s="79"/>
      <c r="H409" s="79"/>
      <c r="I409" s="79"/>
      <c r="J409" s="79"/>
      <c r="K409" s="79"/>
      <c r="L409" s="79"/>
      <c r="M409" s="79"/>
      <c r="N409" s="79"/>
      <c r="O409" s="79"/>
      <c r="P409" s="79"/>
      <c r="Q409" s="79"/>
      <c r="R409" s="79"/>
      <c r="S409" s="79"/>
      <c r="T409" s="79"/>
      <c r="U409" s="79"/>
      <c r="V409" s="79"/>
      <c r="W409" s="79"/>
      <c r="X409" s="79"/>
      <c r="Y409" s="79"/>
      <c r="Z409" s="79"/>
    </row>
    <row r="410">
      <c r="A410" s="79"/>
      <c r="B410" s="79"/>
      <c r="C410" s="79"/>
      <c r="D410" s="79"/>
      <c r="E410" s="79"/>
      <c r="F410" s="79"/>
      <c r="G410" s="79"/>
      <c r="H410" s="79"/>
      <c r="I410" s="79"/>
      <c r="J410" s="79"/>
      <c r="K410" s="79"/>
      <c r="L410" s="79"/>
      <c r="M410" s="79"/>
      <c r="N410" s="79"/>
      <c r="O410" s="79"/>
      <c r="P410" s="79"/>
      <c r="Q410" s="79"/>
      <c r="R410" s="79"/>
      <c r="S410" s="79"/>
      <c r="T410" s="79"/>
      <c r="U410" s="79"/>
      <c r="V410" s="79"/>
      <c r="W410" s="79"/>
      <c r="X410" s="79"/>
      <c r="Y410" s="79"/>
      <c r="Z410" s="79"/>
    </row>
    <row r="411">
      <c r="A411" s="79"/>
      <c r="B411" s="79"/>
      <c r="C411" s="79"/>
      <c r="D411" s="79"/>
      <c r="E411" s="79"/>
      <c r="F411" s="79"/>
      <c r="G411" s="79"/>
      <c r="H411" s="79"/>
      <c r="I411" s="79"/>
      <c r="J411" s="79"/>
      <c r="K411" s="79"/>
      <c r="L411" s="79"/>
      <c r="M411" s="79"/>
      <c r="N411" s="79"/>
      <c r="O411" s="79"/>
      <c r="P411" s="79"/>
      <c r="Q411" s="79"/>
      <c r="R411" s="79"/>
      <c r="S411" s="79"/>
      <c r="T411" s="79"/>
      <c r="U411" s="79"/>
      <c r="V411" s="79"/>
      <c r="W411" s="79"/>
      <c r="X411" s="79"/>
      <c r="Y411" s="79"/>
      <c r="Z411" s="79"/>
    </row>
    <row r="412">
      <c r="A412" s="79"/>
      <c r="B412" s="79"/>
      <c r="C412" s="79"/>
      <c r="D412" s="79"/>
      <c r="E412" s="79"/>
      <c r="F412" s="79"/>
      <c r="G412" s="79"/>
      <c r="H412" s="79"/>
      <c r="I412" s="79"/>
      <c r="J412" s="79"/>
      <c r="K412" s="79"/>
      <c r="L412" s="79"/>
      <c r="M412" s="79"/>
      <c r="N412" s="79"/>
      <c r="O412" s="79"/>
      <c r="P412" s="79"/>
      <c r="Q412" s="79"/>
      <c r="R412" s="79"/>
      <c r="S412" s="79"/>
      <c r="T412" s="79"/>
      <c r="U412" s="79"/>
      <c r="V412" s="79"/>
      <c r="W412" s="79"/>
      <c r="X412" s="79"/>
      <c r="Y412" s="79"/>
      <c r="Z412" s="79"/>
    </row>
    <row r="413">
      <c r="A413" s="79"/>
      <c r="B413" s="79"/>
      <c r="C413" s="79"/>
      <c r="D413" s="79"/>
      <c r="E413" s="79"/>
      <c r="F413" s="79"/>
      <c r="G413" s="79"/>
      <c r="H413" s="79"/>
      <c r="I413" s="79"/>
      <c r="J413" s="79"/>
      <c r="K413" s="79"/>
      <c r="L413" s="79"/>
      <c r="M413" s="79"/>
      <c r="N413" s="79"/>
      <c r="O413" s="79"/>
      <c r="P413" s="79"/>
      <c r="Q413" s="79"/>
      <c r="R413" s="79"/>
      <c r="S413" s="79"/>
      <c r="T413" s="79"/>
      <c r="U413" s="79"/>
      <c r="V413" s="79"/>
      <c r="W413" s="79"/>
      <c r="X413" s="79"/>
      <c r="Y413" s="79"/>
      <c r="Z413" s="79"/>
    </row>
    <row r="414">
      <c r="A414" s="79"/>
      <c r="B414" s="79"/>
      <c r="C414" s="79"/>
      <c r="D414" s="79"/>
      <c r="E414" s="79"/>
      <c r="F414" s="79"/>
      <c r="G414" s="79"/>
      <c r="H414" s="79"/>
      <c r="I414" s="79"/>
      <c r="J414" s="79"/>
      <c r="K414" s="79"/>
      <c r="L414" s="79"/>
      <c r="M414" s="79"/>
      <c r="N414" s="79"/>
      <c r="O414" s="79"/>
      <c r="P414" s="79"/>
      <c r="Q414" s="79"/>
      <c r="R414" s="79"/>
      <c r="S414" s="79"/>
      <c r="T414" s="79"/>
      <c r="U414" s="79"/>
      <c r="V414" s="79"/>
      <c r="W414" s="79"/>
      <c r="X414" s="79"/>
      <c r="Y414" s="79"/>
      <c r="Z414" s="79"/>
    </row>
    <row r="415">
      <c r="A415" s="79"/>
      <c r="B415" s="79"/>
      <c r="C415" s="79"/>
      <c r="D415" s="79"/>
      <c r="E415" s="79"/>
      <c r="F415" s="79"/>
      <c r="G415" s="79"/>
      <c r="H415" s="79"/>
      <c r="I415" s="79"/>
      <c r="J415" s="79"/>
      <c r="K415" s="79"/>
      <c r="L415" s="79"/>
      <c r="M415" s="79"/>
      <c r="N415" s="79"/>
      <c r="O415" s="79"/>
      <c r="P415" s="79"/>
      <c r="Q415" s="79"/>
      <c r="R415" s="79"/>
      <c r="S415" s="79"/>
      <c r="T415" s="79"/>
      <c r="U415" s="79"/>
      <c r="V415" s="79"/>
      <c r="W415" s="79"/>
      <c r="X415" s="79"/>
      <c r="Y415" s="79"/>
      <c r="Z415" s="79"/>
    </row>
    <row r="416">
      <c r="A416" s="79"/>
      <c r="B416" s="79"/>
      <c r="C416" s="79"/>
      <c r="D416" s="79"/>
      <c r="E416" s="79"/>
      <c r="F416" s="79"/>
      <c r="G416" s="79"/>
      <c r="H416" s="79"/>
      <c r="I416" s="79"/>
      <c r="J416" s="79"/>
      <c r="K416" s="79"/>
      <c r="L416" s="79"/>
      <c r="M416" s="79"/>
      <c r="N416" s="79"/>
      <c r="O416" s="79"/>
      <c r="P416" s="79"/>
      <c r="Q416" s="79"/>
      <c r="R416" s="79"/>
      <c r="S416" s="79"/>
      <c r="T416" s="79"/>
      <c r="U416" s="79"/>
      <c r="V416" s="79"/>
      <c r="W416" s="79"/>
      <c r="X416" s="79"/>
      <c r="Y416" s="79"/>
      <c r="Z416" s="79"/>
    </row>
    <row r="417">
      <c r="A417" s="79"/>
      <c r="B417" s="79"/>
      <c r="C417" s="79"/>
      <c r="D417" s="79"/>
      <c r="E417" s="79"/>
      <c r="F417" s="79"/>
      <c r="G417" s="79"/>
      <c r="H417" s="79"/>
      <c r="I417" s="79"/>
      <c r="J417" s="79"/>
      <c r="K417" s="79"/>
      <c r="L417" s="79"/>
      <c r="M417" s="79"/>
      <c r="N417" s="79"/>
      <c r="O417" s="79"/>
      <c r="P417" s="79"/>
      <c r="Q417" s="79"/>
      <c r="R417" s="79"/>
      <c r="S417" s="79"/>
      <c r="T417" s="79"/>
      <c r="U417" s="79"/>
      <c r="V417" s="79"/>
      <c r="W417" s="79"/>
      <c r="X417" s="79"/>
      <c r="Y417" s="79"/>
      <c r="Z417" s="79"/>
    </row>
    <row r="418">
      <c r="A418" s="79"/>
      <c r="B418" s="79"/>
      <c r="C418" s="79"/>
      <c r="D418" s="79"/>
      <c r="E418" s="79"/>
      <c r="F418" s="79"/>
      <c r="G418" s="79"/>
      <c r="H418" s="79"/>
      <c r="I418" s="79"/>
      <c r="J418" s="79"/>
      <c r="K418" s="79"/>
      <c r="L418" s="79"/>
      <c r="M418" s="79"/>
      <c r="N418" s="79"/>
      <c r="O418" s="79"/>
      <c r="P418" s="79"/>
      <c r="Q418" s="79"/>
      <c r="R418" s="79"/>
      <c r="S418" s="79"/>
      <c r="T418" s="79"/>
      <c r="U418" s="79"/>
      <c r="V418" s="79"/>
      <c r="W418" s="79"/>
      <c r="X418" s="79"/>
      <c r="Y418" s="79"/>
      <c r="Z418" s="79"/>
    </row>
    <row r="419">
      <c r="A419" s="79"/>
      <c r="B419" s="79"/>
      <c r="C419" s="79"/>
      <c r="D419" s="79"/>
      <c r="E419" s="79"/>
      <c r="F419" s="79"/>
      <c r="G419" s="79"/>
      <c r="H419" s="79"/>
      <c r="I419" s="79"/>
      <c r="J419" s="79"/>
      <c r="K419" s="79"/>
      <c r="L419" s="79"/>
      <c r="M419" s="79"/>
      <c r="N419" s="79"/>
      <c r="O419" s="79"/>
      <c r="P419" s="79"/>
      <c r="Q419" s="79"/>
      <c r="R419" s="79"/>
      <c r="S419" s="79"/>
      <c r="T419" s="79"/>
      <c r="U419" s="79"/>
      <c r="V419" s="79"/>
      <c r="W419" s="79"/>
      <c r="X419" s="79"/>
      <c r="Y419" s="79"/>
      <c r="Z419" s="79"/>
    </row>
    <row r="420">
      <c r="A420" s="79"/>
      <c r="B420" s="79"/>
      <c r="C420" s="79"/>
      <c r="D420" s="79"/>
      <c r="E420" s="79"/>
      <c r="F420" s="79"/>
      <c r="G420" s="79"/>
      <c r="H420" s="79"/>
      <c r="I420" s="79"/>
      <c r="J420" s="79"/>
      <c r="K420" s="79"/>
      <c r="L420" s="79"/>
      <c r="M420" s="79"/>
      <c r="N420" s="79"/>
      <c r="O420" s="79"/>
      <c r="P420" s="79"/>
      <c r="Q420" s="79"/>
      <c r="R420" s="79"/>
      <c r="S420" s="79"/>
      <c r="T420" s="79"/>
      <c r="U420" s="79"/>
      <c r="V420" s="79"/>
      <c r="W420" s="79"/>
      <c r="X420" s="79"/>
      <c r="Y420" s="79"/>
      <c r="Z420" s="79"/>
    </row>
    <row r="421">
      <c r="A421" s="79"/>
      <c r="B421" s="79"/>
      <c r="C421" s="79"/>
      <c r="D421" s="79"/>
      <c r="E421" s="79"/>
      <c r="F421" s="79"/>
      <c r="G421" s="79"/>
      <c r="H421" s="79"/>
      <c r="I421" s="79"/>
      <c r="J421" s="79"/>
      <c r="K421" s="79"/>
      <c r="L421" s="79"/>
      <c r="M421" s="79"/>
      <c r="N421" s="79"/>
      <c r="O421" s="79"/>
      <c r="P421" s="79"/>
      <c r="Q421" s="79"/>
      <c r="R421" s="79"/>
      <c r="S421" s="79"/>
      <c r="T421" s="79"/>
      <c r="U421" s="79"/>
      <c r="V421" s="79"/>
      <c r="W421" s="79"/>
      <c r="X421" s="79"/>
      <c r="Y421" s="79"/>
      <c r="Z421" s="79"/>
    </row>
    <row r="422">
      <c r="A422" s="79"/>
      <c r="B422" s="79"/>
      <c r="C422" s="79"/>
      <c r="D422" s="79"/>
      <c r="E422" s="79"/>
      <c r="F422" s="79"/>
      <c r="G422" s="79"/>
      <c r="H422" s="79"/>
      <c r="I422" s="79"/>
      <c r="J422" s="79"/>
      <c r="K422" s="79"/>
      <c r="L422" s="79"/>
      <c r="M422" s="79"/>
      <c r="N422" s="79"/>
      <c r="O422" s="79"/>
      <c r="P422" s="79"/>
      <c r="Q422" s="79"/>
      <c r="R422" s="79"/>
      <c r="S422" s="79"/>
      <c r="T422" s="79"/>
      <c r="U422" s="79"/>
      <c r="V422" s="79"/>
      <c r="W422" s="79"/>
      <c r="X422" s="79"/>
      <c r="Y422" s="79"/>
      <c r="Z422" s="79"/>
    </row>
    <row r="423">
      <c r="A423" s="79"/>
      <c r="B423" s="79"/>
      <c r="C423" s="79"/>
      <c r="D423" s="79"/>
      <c r="E423" s="79"/>
      <c r="F423" s="79"/>
      <c r="G423" s="79"/>
      <c r="H423" s="79"/>
      <c r="I423" s="79"/>
      <c r="J423" s="79"/>
      <c r="K423" s="79"/>
      <c r="L423" s="79"/>
      <c r="M423" s="79"/>
      <c r="N423" s="79"/>
      <c r="O423" s="79"/>
      <c r="P423" s="79"/>
      <c r="Q423" s="79"/>
      <c r="R423" s="79"/>
      <c r="S423" s="79"/>
      <c r="T423" s="79"/>
      <c r="U423" s="79"/>
      <c r="V423" s="79"/>
      <c r="W423" s="79"/>
      <c r="X423" s="79"/>
      <c r="Y423" s="79"/>
      <c r="Z423" s="79"/>
    </row>
    <row r="424">
      <c r="A424" s="79"/>
      <c r="B424" s="79"/>
      <c r="C424" s="79"/>
      <c r="D424" s="79"/>
      <c r="E424" s="79"/>
      <c r="F424" s="79"/>
      <c r="G424" s="79"/>
      <c r="H424" s="79"/>
      <c r="I424" s="79"/>
      <c r="J424" s="79"/>
      <c r="K424" s="79"/>
      <c r="L424" s="79"/>
      <c r="M424" s="79"/>
      <c r="N424" s="79"/>
      <c r="O424" s="79"/>
      <c r="P424" s="79"/>
      <c r="Q424" s="79"/>
      <c r="R424" s="79"/>
      <c r="S424" s="79"/>
      <c r="T424" s="79"/>
      <c r="U424" s="79"/>
      <c r="V424" s="79"/>
      <c r="W424" s="79"/>
      <c r="X424" s="79"/>
      <c r="Y424" s="79"/>
      <c r="Z424" s="79"/>
    </row>
    <row r="425">
      <c r="A425" s="79"/>
      <c r="B425" s="79"/>
      <c r="C425" s="79"/>
      <c r="D425" s="79"/>
      <c r="E425" s="79"/>
      <c r="F425" s="79"/>
      <c r="G425" s="79"/>
      <c r="H425" s="79"/>
      <c r="I425" s="79"/>
      <c r="J425" s="79"/>
      <c r="K425" s="79"/>
      <c r="L425" s="79"/>
      <c r="M425" s="79"/>
      <c r="N425" s="79"/>
      <c r="O425" s="79"/>
      <c r="P425" s="79"/>
      <c r="Q425" s="79"/>
      <c r="R425" s="79"/>
      <c r="S425" s="79"/>
      <c r="T425" s="79"/>
      <c r="U425" s="79"/>
      <c r="V425" s="79"/>
      <c r="W425" s="79"/>
      <c r="X425" s="79"/>
      <c r="Y425" s="79"/>
      <c r="Z425" s="79"/>
    </row>
    <row r="426">
      <c r="A426" s="79"/>
      <c r="B426" s="79"/>
      <c r="C426" s="79"/>
      <c r="D426" s="79"/>
      <c r="E426" s="79"/>
      <c r="F426" s="79"/>
      <c r="G426" s="79"/>
      <c r="H426" s="79"/>
      <c r="I426" s="79"/>
      <c r="J426" s="79"/>
      <c r="K426" s="79"/>
      <c r="L426" s="79"/>
      <c r="M426" s="79"/>
      <c r="N426" s="79"/>
      <c r="O426" s="79"/>
      <c r="P426" s="79"/>
      <c r="Q426" s="79"/>
      <c r="R426" s="79"/>
      <c r="S426" s="79"/>
      <c r="T426" s="79"/>
      <c r="U426" s="79"/>
      <c r="V426" s="79"/>
      <c r="W426" s="79"/>
      <c r="X426" s="79"/>
      <c r="Y426" s="79"/>
      <c r="Z426" s="79"/>
    </row>
    <row r="427">
      <c r="A427" s="79"/>
      <c r="B427" s="79"/>
      <c r="C427" s="79"/>
      <c r="D427" s="79"/>
      <c r="E427" s="79"/>
      <c r="F427" s="79"/>
      <c r="G427" s="79"/>
      <c r="H427" s="79"/>
      <c r="I427" s="79"/>
      <c r="J427" s="79"/>
      <c r="K427" s="79"/>
      <c r="L427" s="79"/>
      <c r="M427" s="79"/>
      <c r="N427" s="79"/>
      <c r="O427" s="79"/>
      <c r="P427" s="79"/>
      <c r="Q427" s="79"/>
      <c r="R427" s="79"/>
      <c r="S427" s="79"/>
      <c r="T427" s="79"/>
      <c r="U427" s="79"/>
      <c r="V427" s="79"/>
      <c r="W427" s="79"/>
      <c r="X427" s="79"/>
      <c r="Y427" s="79"/>
      <c r="Z427" s="79"/>
    </row>
    <row r="428">
      <c r="A428" s="79"/>
      <c r="B428" s="79"/>
      <c r="C428" s="79"/>
      <c r="D428" s="79"/>
      <c r="E428" s="79"/>
      <c r="F428" s="79"/>
      <c r="G428" s="79"/>
      <c r="H428" s="79"/>
      <c r="I428" s="79"/>
      <c r="J428" s="79"/>
      <c r="K428" s="79"/>
      <c r="L428" s="79"/>
      <c r="M428" s="79"/>
      <c r="N428" s="79"/>
      <c r="O428" s="79"/>
      <c r="P428" s="79"/>
      <c r="Q428" s="79"/>
      <c r="R428" s="79"/>
      <c r="S428" s="79"/>
      <c r="T428" s="79"/>
      <c r="U428" s="79"/>
      <c r="V428" s="79"/>
      <c r="W428" s="79"/>
      <c r="X428" s="79"/>
      <c r="Y428" s="79"/>
      <c r="Z428" s="79"/>
    </row>
    <row r="429">
      <c r="A429" s="79"/>
      <c r="B429" s="79"/>
      <c r="C429" s="79"/>
      <c r="D429" s="79"/>
      <c r="E429" s="79"/>
      <c r="F429" s="79"/>
      <c r="G429" s="79"/>
      <c r="H429" s="79"/>
      <c r="I429" s="79"/>
      <c r="J429" s="79"/>
      <c r="K429" s="79"/>
      <c r="L429" s="79"/>
      <c r="M429" s="79"/>
      <c r="N429" s="79"/>
      <c r="O429" s="79"/>
      <c r="P429" s="79"/>
      <c r="Q429" s="79"/>
      <c r="R429" s="79"/>
      <c r="S429" s="79"/>
      <c r="T429" s="79"/>
      <c r="U429" s="79"/>
      <c r="V429" s="79"/>
      <c r="W429" s="79"/>
      <c r="X429" s="79"/>
      <c r="Y429" s="79"/>
      <c r="Z429" s="79"/>
    </row>
    <row r="430">
      <c r="A430" s="79"/>
      <c r="B430" s="79"/>
      <c r="C430" s="79"/>
      <c r="D430" s="79"/>
      <c r="E430" s="79"/>
      <c r="F430" s="79"/>
      <c r="G430" s="79"/>
      <c r="H430" s="79"/>
      <c r="I430" s="79"/>
      <c r="J430" s="79"/>
      <c r="K430" s="79"/>
      <c r="L430" s="79"/>
      <c r="M430" s="79"/>
      <c r="N430" s="79"/>
      <c r="O430" s="79"/>
      <c r="P430" s="79"/>
      <c r="Q430" s="79"/>
      <c r="R430" s="79"/>
      <c r="S430" s="79"/>
      <c r="T430" s="79"/>
      <c r="U430" s="79"/>
      <c r="V430" s="79"/>
      <c r="W430" s="79"/>
      <c r="X430" s="79"/>
      <c r="Y430" s="79"/>
      <c r="Z430" s="79"/>
    </row>
    <row r="431">
      <c r="A431" s="79"/>
      <c r="B431" s="79"/>
      <c r="C431" s="79"/>
      <c r="D431" s="79"/>
      <c r="E431" s="79"/>
      <c r="F431" s="79"/>
      <c r="G431" s="79"/>
      <c r="H431" s="79"/>
      <c r="I431" s="79"/>
      <c r="J431" s="79"/>
      <c r="K431" s="79"/>
      <c r="L431" s="79"/>
      <c r="M431" s="79"/>
      <c r="N431" s="79"/>
      <c r="O431" s="79"/>
      <c r="P431" s="79"/>
      <c r="Q431" s="79"/>
      <c r="R431" s="79"/>
      <c r="S431" s="79"/>
      <c r="T431" s="79"/>
      <c r="U431" s="79"/>
      <c r="V431" s="79"/>
      <c r="W431" s="79"/>
      <c r="X431" s="79"/>
      <c r="Y431" s="79"/>
      <c r="Z431" s="79"/>
    </row>
    <row r="432">
      <c r="A432" s="79"/>
      <c r="B432" s="79"/>
      <c r="C432" s="79"/>
      <c r="D432" s="79"/>
      <c r="E432" s="79"/>
      <c r="F432" s="79"/>
      <c r="G432" s="79"/>
      <c r="H432" s="79"/>
      <c r="I432" s="79"/>
      <c r="J432" s="79"/>
      <c r="K432" s="79"/>
      <c r="L432" s="79"/>
      <c r="M432" s="79"/>
      <c r="N432" s="79"/>
      <c r="O432" s="79"/>
      <c r="P432" s="79"/>
      <c r="Q432" s="79"/>
      <c r="R432" s="79"/>
      <c r="S432" s="79"/>
      <c r="T432" s="79"/>
      <c r="U432" s="79"/>
      <c r="V432" s="79"/>
      <c r="W432" s="79"/>
      <c r="X432" s="79"/>
      <c r="Y432" s="79"/>
      <c r="Z432" s="79"/>
    </row>
    <row r="433">
      <c r="A433" s="79"/>
      <c r="B433" s="79"/>
      <c r="C433" s="79"/>
      <c r="D433" s="79"/>
      <c r="E433" s="79"/>
      <c r="F433" s="79"/>
      <c r="G433" s="79"/>
      <c r="H433" s="79"/>
      <c r="I433" s="79"/>
      <c r="J433" s="79"/>
      <c r="K433" s="79"/>
      <c r="L433" s="79"/>
      <c r="M433" s="79"/>
      <c r="N433" s="79"/>
      <c r="O433" s="79"/>
      <c r="P433" s="79"/>
      <c r="Q433" s="79"/>
      <c r="R433" s="79"/>
      <c r="S433" s="79"/>
      <c r="T433" s="79"/>
      <c r="U433" s="79"/>
      <c r="V433" s="79"/>
      <c r="W433" s="79"/>
      <c r="X433" s="79"/>
      <c r="Y433" s="79"/>
      <c r="Z433" s="79"/>
    </row>
    <row r="434">
      <c r="A434" s="79"/>
      <c r="B434" s="79"/>
      <c r="C434" s="79"/>
      <c r="D434" s="79"/>
      <c r="E434" s="79"/>
      <c r="F434" s="79"/>
      <c r="G434" s="79"/>
      <c r="H434" s="79"/>
      <c r="I434" s="79"/>
      <c r="J434" s="79"/>
      <c r="K434" s="79"/>
      <c r="L434" s="79"/>
      <c r="M434" s="79"/>
      <c r="N434" s="79"/>
      <c r="O434" s="79"/>
      <c r="P434" s="79"/>
      <c r="Q434" s="79"/>
      <c r="R434" s="79"/>
      <c r="S434" s="79"/>
      <c r="T434" s="79"/>
      <c r="U434" s="79"/>
      <c r="V434" s="79"/>
      <c r="W434" s="79"/>
      <c r="X434" s="79"/>
      <c r="Y434" s="79"/>
      <c r="Z434" s="79"/>
    </row>
    <row r="435">
      <c r="A435" s="79"/>
      <c r="B435" s="79"/>
      <c r="C435" s="79"/>
      <c r="D435" s="79"/>
      <c r="E435" s="79"/>
      <c r="F435" s="79"/>
      <c r="G435" s="79"/>
      <c r="H435" s="79"/>
      <c r="I435" s="79"/>
      <c r="J435" s="79"/>
      <c r="K435" s="79"/>
      <c r="L435" s="79"/>
      <c r="M435" s="79"/>
      <c r="N435" s="79"/>
      <c r="O435" s="79"/>
      <c r="P435" s="79"/>
      <c r="Q435" s="79"/>
      <c r="R435" s="79"/>
      <c r="S435" s="79"/>
      <c r="T435" s="79"/>
      <c r="U435" s="79"/>
      <c r="V435" s="79"/>
      <c r="W435" s="79"/>
      <c r="X435" s="79"/>
      <c r="Y435" s="79"/>
      <c r="Z435" s="79"/>
    </row>
    <row r="436">
      <c r="A436" s="79"/>
      <c r="B436" s="79"/>
      <c r="C436" s="79"/>
      <c r="D436" s="79"/>
      <c r="E436" s="79"/>
      <c r="F436" s="79"/>
      <c r="G436" s="79"/>
      <c r="H436" s="79"/>
      <c r="I436" s="79"/>
      <c r="J436" s="79"/>
      <c r="K436" s="79"/>
      <c r="L436" s="79"/>
      <c r="M436" s="79"/>
      <c r="N436" s="79"/>
      <c r="O436" s="79"/>
      <c r="P436" s="79"/>
      <c r="Q436" s="79"/>
      <c r="R436" s="79"/>
      <c r="S436" s="79"/>
      <c r="T436" s="79"/>
      <c r="U436" s="79"/>
      <c r="V436" s="79"/>
      <c r="W436" s="79"/>
      <c r="X436" s="79"/>
      <c r="Y436" s="79"/>
      <c r="Z436" s="79"/>
    </row>
    <row r="437">
      <c r="A437" s="79"/>
      <c r="B437" s="79"/>
      <c r="C437" s="79"/>
      <c r="D437" s="79"/>
      <c r="E437" s="79"/>
      <c r="F437" s="79"/>
      <c r="G437" s="79"/>
      <c r="H437" s="79"/>
      <c r="I437" s="79"/>
      <c r="J437" s="79"/>
      <c r="K437" s="79"/>
      <c r="L437" s="79"/>
      <c r="M437" s="79"/>
      <c r="N437" s="79"/>
      <c r="O437" s="79"/>
      <c r="P437" s="79"/>
      <c r="Q437" s="79"/>
      <c r="R437" s="79"/>
      <c r="S437" s="79"/>
      <c r="T437" s="79"/>
      <c r="U437" s="79"/>
      <c r="V437" s="79"/>
      <c r="W437" s="79"/>
      <c r="X437" s="79"/>
      <c r="Y437" s="79"/>
      <c r="Z437" s="79"/>
    </row>
    <row r="438">
      <c r="A438" s="79"/>
      <c r="B438" s="79"/>
      <c r="C438" s="79"/>
      <c r="D438" s="79"/>
      <c r="E438" s="79"/>
      <c r="F438" s="79"/>
      <c r="G438" s="79"/>
      <c r="H438" s="79"/>
      <c r="I438" s="79"/>
      <c r="J438" s="79"/>
      <c r="K438" s="79"/>
      <c r="L438" s="79"/>
      <c r="M438" s="79"/>
      <c r="N438" s="79"/>
      <c r="O438" s="79"/>
      <c r="P438" s="79"/>
      <c r="Q438" s="79"/>
      <c r="R438" s="79"/>
      <c r="S438" s="79"/>
      <c r="T438" s="79"/>
      <c r="U438" s="79"/>
      <c r="V438" s="79"/>
      <c r="W438" s="79"/>
      <c r="X438" s="79"/>
      <c r="Y438" s="79"/>
      <c r="Z438" s="79"/>
    </row>
    <row r="439">
      <c r="A439" s="79"/>
      <c r="B439" s="79"/>
      <c r="C439" s="79"/>
      <c r="D439" s="79"/>
      <c r="E439" s="79"/>
      <c r="F439" s="79"/>
      <c r="G439" s="79"/>
      <c r="H439" s="79"/>
      <c r="I439" s="79"/>
      <c r="J439" s="79"/>
      <c r="K439" s="79"/>
      <c r="L439" s="79"/>
      <c r="M439" s="79"/>
      <c r="N439" s="79"/>
      <c r="O439" s="79"/>
      <c r="P439" s="79"/>
      <c r="Q439" s="79"/>
      <c r="R439" s="79"/>
      <c r="S439" s="79"/>
      <c r="T439" s="79"/>
      <c r="U439" s="79"/>
      <c r="V439" s="79"/>
      <c r="W439" s="79"/>
      <c r="X439" s="79"/>
      <c r="Y439" s="79"/>
      <c r="Z439" s="79"/>
    </row>
    <row r="440">
      <c r="A440" s="79"/>
      <c r="B440" s="79"/>
      <c r="C440" s="79"/>
      <c r="D440" s="79"/>
      <c r="E440" s="79"/>
      <c r="F440" s="79"/>
      <c r="G440" s="79"/>
      <c r="H440" s="79"/>
      <c r="I440" s="79"/>
      <c r="J440" s="79"/>
      <c r="K440" s="79"/>
      <c r="L440" s="79"/>
      <c r="M440" s="79"/>
      <c r="N440" s="79"/>
      <c r="O440" s="79"/>
      <c r="P440" s="79"/>
      <c r="Q440" s="79"/>
      <c r="R440" s="79"/>
      <c r="S440" s="79"/>
      <c r="T440" s="79"/>
      <c r="U440" s="79"/>
      <c r="V440" s="79"/>
      <c r="W440" s="79"/>
      <c r="X440" s="79"/>
      <c r="Y440" s="79"/>
      <c r="Z440" s="79"/>
    </row>
    <row r="441">
      <c r="A441" s="79"/>
      <c r="B441" s="79"/>
      <c r="C441" s="79"/>
      <c r="D441" s="79"/>
      <c r="E441" s="79"/>
      <c r="F441" s="79"/>
      <c r="G441" s="79"/>
      <c r="H441" s="79"/>
      <c r="I441" s="79"/>
      <c r="J441" s="79"/>
      <c r="K441" s="79"/>
      <c r="L441" s="79"/>
      <c r="M441" s="79"/>
      <c r="N441" s="79"/>
      <c r="O441" s="79"/>
      <c r="P441" s="79"/>
      <c r="Q441" s="79"/>
      <c r="R441" s="79"/>
      <c r="S441" s="79"/>
      <c r="T441" s="79"/>
      <c r="U441" s="79"/>
      <c r="V441" s="79"/>
      <c r="W441" s="79"/>
      <c r="X441" s="79"/>
      <c r="Y441" s="79"/>
      <c r="Z441" s="79"/>
    </row>
    <row r="442">
      <c r="A442" s="79"/>
      <c r="B442" s="79"/>
      <c r="C442" s="79"/>
      <c r="D442" s="79"/>
      <c r="E442" s="79"/>
      <c r="F442" s="79"/>
      <c r="G442" s="79"/>
      <c r="H442" s="79"/>
      <c r="I442" s="79"/>
      <c r="J442" s="79"/>
      <c r="K442" s="79"/>
      <c r="L442" s="79"/>
      <c r="M442" s="79"/>
      <c r="N442" s="79"/>
      <c r="O442" s="79"/>
      <c r="P442" s="79"/>
      <c r="Q442" s="79"/>
      <c r="R442" s="79"/>
      <c r="S442" s="79"/>
      <c r="T442" s="79"/>
      <c r="U442" s="79"/>
      <c r="V442" s="79"/>
      <c r="W442" s="79"/>
      <c r="X442" s="79"/>
      <c r="Y442" s="79"/>
      <c r="Z442" s="79"/>
    </row>
    <row r="443">
      <c r="A443" s="79"/>
      <c r="B443" s="79"/>
      <c r="C443" s="79"/>
      <c r="D443" s="79"/>
      <c r="E443" s="79"/>
      <c r="F443" s="79"/>
      <c r="G443" s="79"/>
      <c r="H443" s="79"/>
      <c r="I443" s="79"/>
      <c r="J443" s="79"/>
      <c r="K443" s="79"/>
      <c r="L443" s="79"/>
      <c r="M443" s="79"/>
      <c r="N443" s="79"/>
      <c r="O443" s="79"/>
      <c r="P443" s="79"/>
      <c r="Q443" s="79"/>
      <c r="R443" s="79"/>
      <c r="S443" s="79"/>
      <c r="T443" s="79"/>
      <c r="U443" s="79"/>
      <c r="V443" s="79"/>
      <c r="W443" s="79"/>
      <c r="X443" s="79"/>
      <c r="Y443" s="79"/>
      <c r="Z443" s="79"/>
    </row>
    <row r="444">
      <c r="A444" s="79"/>
      <c r="B444" s="79"/>
      <c r="C444" s="79"/>
      <c r="D444" s="79"/>
      <c r="E444" s="79"/>
      <c r="F444" s="79"/>
      <c r="G444" s="79"/>
      <c r="H444" s="79"/>
      <c r="I444" s="79"/>
      <c r="J444" s="79"/>
      <c r="K444" s="79"/>
      <c r="L444" s="79"/>
      <c r="M444" s="79"/>
      <c r="N444" s="79"/>
      <c r="O444" s="79"/>
      <c r="P444" s="79"/>
      <c r="Q444" s="79"/>
      <c r="R444" s="79"/>
      <c r="S444" s="79"/>
      <c r="T444" s="79"/>
      <c r="U444" s="79"/>
      <c r="V444" s="79"/>
      <c r="W444" s="79"/>
      <c r="X444" s="79"/>
      <c r="Y444" s="79"/>
      <c r="Z444" s="79"/>
    </row>
    <row r="445">
      <c r="A445" s="79"/>
      <c r="B445" s="79"/>
      <c r="C445" s="79"/>
      <c r="D445" s="79"/>
      <c r="E445" s="79"/>
      <c r="F445" s="79"/>
      <c r="G445" s="79"/>
      <c r="H445" s="79"/>
      <c r="I445" s="79"/>
      <c r="J445" s="79"/>
      <c r="K445" s="79"/>
      <c r="L445" s="79"/>
      <c r="M445" s="79"/>
      <c r="N445" s="79"/>
      <c r="O445" s="79"/>
      <c r="P445" s="79"/>
      <c r="Q445" s="79"/>
      <c r="R445" s="79"/>
      <c r="S445" s="79"/>
      <c r="T445" s="79"/>
      <c r="U445" s="79"/>
      <c r="V445" s="79"/>
      <c r="W445" s="79"/>
      <c r="X445" s="79"/>
      <c r="Y445" s="79"/>
      <c r="Z445" s="79"/>
    </row>
    <row r="446">
      <c r="A446" s="79"/>
      <c r="B446" s="79"/>
      <c r="C446" s="79"/>
      <c r="D446" s="79"/>
      <c r="E446" s="79"/>
      <c r="F446" s="79"/>
      <c r="G446" s="79"/>
      <c r="H446" s="79"/>
      <c r="I446" s="79"/>
      <c r="J446" s="79"/>
      <c r="K446" s="79"/>
      <c r="L446" s="79"/>
      <c r="M446" s="79"/>
      <c r="N446" s="79"/>
      <c r="O446" s="79"/>
      <c r="P446" s="79"/>
      <c r="Q446" s="79"/>
      <c r="R446" s="79"/>
      <c r="S446" s="79"/>
      <c r="T446" s="79"/>
      <c r="U446" s="79"/>
      <c r="V446" s="79"/>
      <c r="W446" s="79"/>
      <c r="X446" s="79"/>
      <c r="Y446" s="79"/>
      <c r="Z446" s="79"/>
    </row>
    <row r="447">
      <c r="A447" s="79"/>
      <c r="B447" s="79"/>
      <c r="C447" s="79"/>
      <c r="D447" s="79"/>
      <c r="E447" s="79"/>
      <c r="F447" s="79"/>
      <c r="G447" s="79"/>
      <c r="H447" s="79"/>
      <c r="I447" s="79"/>
      <c r="J447" s="79"/>
      <c r="K447" s="79"/>
      <c r="L447" s="79"/>
      <c r="M447" s="79"/>
      <c r="N447" s="79"/>
      <c r="O447" s="79"/>
      <c r="P447" s="79"/>
      <c r="Q447" s="79"/>
      <c r="R447" s="79"/>
      <c r="S447" s="79"/>
      <c r="T447" s="79"/>
      <c r="U447" s="79"/>
      <c r="V447" s="79"/>
      <c r="W447" s="79"/>
      <c r="X447" s="79"/>
      <c r="Y447" s="79"/>
      <c r="Z447" s="79"/>
    </row>
    <row r="448">
      <c r="A448" s="79"/>
      <c r="B448" s="79"/>
      <c r="C448" s="79"/>
      <c r="D448" s="79"/>
      <c r="E448" s="79"/>
      <c r="F448" s="79"/>
      <c r="G448" s="79"/>
      <c r="H448" s="79"/>
      <c r="I448" s="79"/>
      <c r="J448" s="79"/>
      <c r="K448" s="79"/>
      <c r="L448" s="79"/>
      <c r="M448" s="79"/>
      <c r="N448" s="79"/>
      <c r="O448" s="79"/>
      <c r="P448" s="79"/>
      <c r="Q448" s="79"/>
      <c r="R448" s="79"/>
      <c r="S448" s="79"/>
      <c r="T448" s="79"/>
      <c r="U448" s="79"/>
      <c r="V448" s="79"/>
      <c r="W448" s="79"/>
      <c r="X448" s="79"/>
      <c r="Y448" s="79"/>
      <c r="Z448" s="79"/>
    </row>
    <row r="449">
      <c r="A449" s="79"/>
      <c r="B449" s="79"/>
      <c r="C449" s="79"/>
      <c r="D449" s="79"/>
      <c r="E449" s="79"/>
      <c r="F449" s="79"/>
      <c r="G449" s="79"/>
      <c r="H449" s="79"/>
      <c r="I449" s="79"/>
      <c r="J449" s="79"/>
      <c r="K449" s="79"/>
      <c r="L449" s="79"/>
      <c r="M449" s="79"/>
      <c r="N449" s="79"/>
      <c r="O449" s="79"/>
      <c r="P449" s="79"/>
      <c r="Q449" s="79"/>
      <c r="R449" s="79"/>
      <c r="S449" s="79"/>
      <c r="T449" s="79"/>
      <c r="U449" s="79"/>
      <c r="V449" s="79"/>
      <c r="W449" s="79"/>
      <c r="X449" s="79"/>
      <c r="Y449" s="79"/>
      <c r="Z449" s="79"/>
    </row>
    <row r="450">
      <c r="A450" s="79"/>
      <c r="B450" s="79"/>
      <c r="C450" s="79"/>
      <c r="D450" s="79"/>
      <c r="E450" s="79"/>
      <c r="F450" s="79"/>
      <c r="G450" s="79"/>
      <c r="H450" s="79"/>
      <c r="I450" s="79"/>
      <c r="J450" s="79"/>
      <c r="K450" s="79"/>
      <c r="L450" s="79"/>
      <c r="M450" s="79"/>
      <c r="N450" s="79"/>
      <c r="O450" s="79"/>
      <c r="P450" s="79"/>
      <c r="Q450" s="79"/>
      <c r="R450" s="79"/>
      <c r="S450" s="79"/>
      <c r="T450" s="79"/>
      <c r="U450" s="79"/>
      <c r="V450" s="79"/>
      <c r="W450" s="79"/>
      <c r="X450" s="79"/>
      <c r="Y450" s="79"/>
      <c r="Z450" s="79"/>
    </row>
    <row r="451">
      <c r="A451" s="79"/>
      <c r="B451" s="79"/>
      <c r="C451" s="79"/>
      <c r="D451" s="79"/>
      <c r="E451" s="79"/>
      <c r="F451" s="79"/>
      <c r="G451" s="79"/>
      <c r="H451" s="79"/>
      <c r="I451" s="79"/>
      <c r="J451" s="79"/>
      <c r="K451" s="79"/>
      <c r="L451" s="79"/>
      <c r="M451" s="79"/>
      <c r="N451" s="79"/>
      <c r="O451" s="79"/>
      <c r="P451" s="79"/>
      <c r="Q451" s="79"/>
      <c r="R451" s="79"/>
      <c r="S451" s="79"/>
      <c r="T451" s="79"/>
      <c r="U451" s="79"/>
      <c r="V451" s="79"/>
      <c r="W451" s="79"/>
      <c r="X451" s="79"/>
      <c r="Y451" s="79"/>
      <c r="Z451" s="79"/>
    </row>
    <row r="452">
      <c r="A452" s="79"/>
      <c r="B452" s="79"/>
      <c r="C452" s="79"/>
      <c r="D452" s="79"/>
      <c r="E452" s="79"/>
      <c r="F452" s="79"/>
      <c r="G452" s="79"/>
      <c r="H452" s="79"/>
      <c r="I452" s="79"/>
      <c r="J452" s="79"/>
      <c r="K452" s="79"/>
      <c r="L452" s="79"/>
      <c r="M452" s="79"/>
      <c r="N452" s="79"/>
      <c r="O452" s="79"/>
      <c r="P452" s="79"/>
      <c r="Q452" s="79"/>
      <c r="R452" s="79"/>
      <c r="S452" s="79"/>
      <c r="T452" s="79"/>
      <c r="U452" s="79"/>
      <c r="V452" s="79"/>
      <c r="W452" s="79"/>
      <c r="X452" s="79"/>
      <c r="Y452" s="79"/>
      <c r="Z452" s="79"/>
    </row>
    <row r="453">
      <c r="A453" s="79"/>
      <c r="B453" s="79"/>
      <c r="C453" s="79"/>
      <c r="D453" s="79"/>
      <c r="E453" s="79"/>
      <c r="F453" s="79"/>
      <c r="G453" s="79"/>
      <c r="H453" s="79"/>
      <c r="I453" s="79"/>
      <c r="J453" s="79"/>
      <c r="K453" s="79"/>
      <c r="L453" s="79"/>
      <c r="M453" s="79"/>
      <c r="N453" s="79"/>
      <c r="O453" s="79"/>
      <c r="P453" s="79"/>
      <c r="Q453" s="79"/>
      <c r="R453" s="79"/>
      <c r="S453" s="79"/>
      <c r="T453" s="79"/>
      <c r="U453" s="79"/>
      <c r="V453" s="79"/>
      <c r="W453" s="79"/>
      <c r="X453" s="79"/>
      <c r="Y453" s="79"/>
      <c r="Z453" s="79"/>
    </row>
    <row r="454">
      <c r="A454" s="79"/>
      <c r="B454" s="79"/>
      <c r="C454" s="79"/>
      <c r="D454" s="79"/>
      <c r="E454" s="79"/>
      <c r="F454" s="79"/>
      <c r="G454" s="79"/>
      <c r="H454" s="79"/>
      <c r="I454" s="79"/>
      <c r="J454" s="79"/>
      <c r="K454" s="79"/>
      <c r="L454" s="79"/>
      <c r="M454" s="79"/>
      <c r="N454" s="79"/>
      <c r="O454" s="79"/>
      <c r="P454" s="79"/>
      <c r="Q454" s="79"/>
      <c r="R454" s="79"/>
      <c r="S454" s="79"/>
      <c r="T454" s="79"/>
      <c r="U454" s="79"/>
      <c r="V454" s="79"/>
      <c r="W454" s="79"/>
      <c r="X454" s="79"/>
      <c r="Y454" s="79"/>
      <c r="Z454" s="79"/>
    </row>
    <row r="455">
      <c r="A455" s="79"/>
      <c r="B455" s="79"/>
      <c r="C455" s="79"/>
      <c r="D455" s="79"/>
      <c r="E455" s="79"/>
      <c r="F455" s="79"/>
      <c r="G455" s="79"/>
      <c r="H455" s="79"/>
      <c r="I455" s="79"/>
      <c r="J455" s="79"/>
      <c r="K455" s="79"/>
      <c r="L455" s="79"/>
      <c r="M455" s="79"/>
      <c r="N455" s="79"/>
      <c r="O455" s="79"/>
      <c r="P455" s="79"/>
      <c r="Q455" s="79"/>
      <c r="R455" s="79"/>
      <c r="S455" s="79"/>
      <c r="T455" s="79"/>
      <c r="U455" s="79"/>
      <c r="V455" s="79"/>
      <c r="W455" s="79"/>
      <c r="X455" s="79"/>
      <c r="Y455" s="79"/>
      <c r="Z455" s="79"/>
    </row>
    <row r="456">
      <c r="A456" s="79"/>
      <c r="B456" s="79"/>
      <c r="C456" s="79"/>
      <c r="D456" s="79"/>
      <c r="E456" s="79"/>
      <c r="F456" s="79"/>
      <c r="G456" s="79"/>
      <c r="H456" s="79"/>
      <c r="I456" s="79"/>
      <c r="J456" s="79"/>
      <c r="K456" s="79"/>
      <c r="L456" s="79"/>
      <c r="M456" s="79"/>
      <c r="N456" s="79"/>
      <c r="O456" s="79"/>
      <c r="P456" s="79"/>
      <c r="Q456" s="79"/>
      <c r="R456" s="79"/>
      <c r="S456" s="79"/>
      <c r="T456" s="79"/>
      <c r="U456" s="79"/>
      <c r="V456" s="79"/>
      <c r="W456" s="79"/>
      <c r="X456" s="79"/>
      <c r="Y456" s="79"/>
      <c r="Z456" s="79"/>
    </row>
    <row r="457">
      <c r="A457" s="79"/>
      <c r="B457" s="79"/>
      <c r="C457" s="79"/>
      <c r="D457" s="79"/>
      <c r="E457" s="79"/>
      <c r="F457" s="79"/>
      <c r="G457" s="79"/>
      <c r="H457" s="79"/>
      <c r="I457" s="79"/>
      <c r="J457" s="79"/>
      <c r="K457" s="79"/>
      <c r="L457" s="79"/>
      <c r="M457" s="79"/>
      <c r="N457" s="79"/>
      <c r="O457" s="79"/>
      <c r="P457" s="79"/>
      <c r="Q457" s="79"/>
      <c r="R457" s="79"/>
      <c r="S457" s="79"/>
      <c r="T457" s="79"/>
      <c r="U457" s="79"/>
      <c r="V457" s="79"/>
      <c r="W457" s="79"/>
      <c r="X457" s="79"/>
      <c r="Y457" s="79"/>
      <c r="Z457" s="79"/>
    </row>
    <row r="458">
      <c r="A458" s="79"/>
      <c r="B458" s="79"/>
      <c r="C458" s="79"/>
      <c r="D458" s="79"/>
      <c r="E458" s="79"/>
      <c r="F458" s="79"/>
      <c r="G458" s="79"/>
      <c r="H458" s="79"/>
      <c r="I458" s="79"/>
      <c r="J458" s="79"/>
      <c r="K458" s="79"/>
      <c r="L458" s="79"/>
      <c r="M458" s="79"/>
      <c r="N458" s="79"/>
      <c r="O458" s="79"/>
      <c r="P458" s="79"/>
      <c r="Q458" s="79"/>
      <c r="R458" s="79"/>
      <c r="S458" s="79"/>
      <c r="T458" s="79"/>
      <c r="U458" s="79"/>
      <c r="V458" s="79"/>
      <c r="W458" s="79"/>
      <c r="X458" s="79"/>
      <c r="Y458" s="79"/>
      <c r="Z458" s="79"/>
    </row>
    <row r="459">
      <c r="A459" s="79"/>
      <c r="B459" s="79"/>
      <c r="C459" s="79"/>
      <c r="D459" s="79"/>
      <c r="E459" s="79"/>
      <c r="F459" s="79"/>
      <c r="G459" s="79"/>
      <c r="H459" s="79"/>
      <c r="I459" s="79"/>
      <c r="J459" s="79"/>
      <c r="K459" s="79"/>
      <c r="L459" s="79"/>
      <c r="M459" s="79"/>
      <c r="N459" s="79"/>
      <c r="O459" s="79"/>
      <c r="P459" s="79"/>
      <c r="Q459" s="79"/>
      <c r="R459" s="79"/>
      <c r="S459" s="79"/>
      <c r="T459" s="79"/>
      <c r="U459" s="79"/>
      <c r="V459" s="79"/>
      <c r="W459" s="79"/>
      <c r="X459" s="79"/>
      <c r="Y459" s="79"/>
      <c r="Z459" s="79"/>
    </row>
    <row r="460">
      <c r="A460" s="79"/>
      <c r="B460" s="79"/>
      <c r="C460" s="79"/>
      <c r="D460" s="79"/>
      <c r="E460" s="79"/>
      <c r="F460" s="79"/>
      <c r="G460" s="79"/>
      <c r="H460" s="79"/>
      <c r="I460" s="79"/>
      <c r="J460" s="79"/>
      <c r="K460" s="79"/>
      <c r="L460" s="79"/>
      <c r="M460" s="79"/>
      <c r="N460" s="79"/>
      <c r="O460" s="79"/>
      <c r="P460" s="79"/>
      <c r="Q460" s="79"/>
      <c r="R460" s="79"/>
      <c r="S460" s="79"/>
      <c r="T460" s="79"/>
      <c r="U460" s="79"/>
      <c r="V460" s="79"/>
      <c r="W460" s="79"/>
      <c r="X460" s="79"/>
      <c r="Y460" s="79"/>
      <c r="Z460" s="79"/>
    </row>
    <row r="461">
      <c r="A461" s="79"/>
      <c r="B461" s="79"/>
      <c r="C461" s="79"/>
      <c r="D461" s="79"/>
      <c r="E461" s="79"/>
      <c r="F461" s="79"/>
      <c r="G461" s="79"/>
      <c r="H461" s="79"/>
      <c r="I461" s="79"/>
      <c r="J461" s="79"/>
      <c r="K461" s="79"/>
      <c r="L461" s="79"/>
      <c r="M461" s="79"/>
      <c r="N461" s="79"/>
      <c r="O461" s="79"/>
      <c r="P461" s="79"/>
      <c r="Q461" s="79"/>
      <c r="R461" s="79"/>
      <c r="S461" s="79"/>
      <c r="T461" s="79"/>
      <c r="U461" s="79"/>
      <c r="V461" s="79"/>
      <c r="W461" s="79"/>
      <c r="X461" s="79"/>
      <c r="Y461" s="79"/>
      <c r="Z461" s="79"/>
    </row>
    <row r="462">
      <c r="A462" s="79"/>
      <c r="B462" s="79"/>
      <c r="C462" s="79"/>
      <c r="D462" s="79"/>
      <c r="E462" s="79"/>
      <c r="F462" s="79"/>
      <c r="G462" s="79"/>
      <c r="H462" s="79"/>
      <c r="I462" s="79"/>
      <c r="J462" s="79"/>
      <c r="K462" s="79"/>
      <c r="L462" s="79"/>
      <c r="M462" s="79"/>
      <c r="N462" s="79"/>
      <c r="O462" s="79"/>
      <c r="P462" s="79"/>
      <c r="Q462" s="79"/>
      <c r="R462" s="79"/>
      <c r="S462" s="79"/>
      <c r="T462" s="79"/>
      <c r="U462" s="79"/>
      <c r="V462" s="79"/>
      <c r="W462" s="79"/>
      <c r="X462" s="79"/>
      <c r="Y462" s="79"/>
      <c r="Z462" s="79"/>
    </row>
    <row r="463">
      <c r="A463" s="79"/>
      <c r="B463" s="79"/>
      <c r="C463" s="79"/>
      <c r="D463" s="79"/>
      <c r="E463" s="79"/>
      <c r="F463" s="79"/>
      <c r="G463" s="79"/>
      <c r="H463" s="79"/>
      <c r="I463" s="79"/>
      <c r="J463" s="79"/>
      <c r="K463" s="79"/>
      <c r="L463" s="79"/>
      <c r="M463" s="79"/>
      <c r="N463" s="79"/>
      <c r="O463" s="79"/>
      <c r="P463" s="79"/>
      <c r="Q463" s="79"/>
      <c r="R463" s="79"/>
      <c r="S463" s="79"/>
      <c r="T463" s="79"/>
      <c r="U463" s="79"/>
      <c r="V463" s="79"/>
      <c r="W463" s="79"/>
      <c r="X463" s="79"/>
      <c r="Y463" s="79"/>
      <c r="Z463" s="79"/>
    </row>
    <row r="464">
      <c r="A464" s="79"/>
      <c r="B464" s="79"/>
      <c r="C464" s="79"/>
      <c r="D464" s="79"/>
      <c r="E464" s="79"/>
      <c r="F464" s="79"/>
      <c r="G464" s="79"/>
      <c r="H464" s="79"/>
      <c r="I464" s="79"/>
      <c r="J464" s="79"/>
      <c r="K464" s="79"/>
      <c r="L464" s="79"/>
      <c r="M464" s="79"/>
      <c r="N464" s="79"/>
      <c r="O464" s="79"/>
      <c r="P464" s="79"/>
      <c r="Q464" s="79"/>
      <c r="R464" s="79"/>
      <c r="S464" s="79"/>
      <c r="T464" s="79"/>
      <c r="U464" s="79"/>
      <c r="V464" s="79"/>
      <c r="W464" s="79"/>
      <c r="X464" s="79"/>
      <c r="Y464" s="79"/>
      <c r="Z464" s="79"/>
    </row>
    <row r="465">
      <c r="A465" s="79"/>
      <c r="B465" s="79"/>
      <c r="C465" s="79"/>
      <c r="D465" s="79"/>
      <c r="E465" s="79"/>
      <c r="F465" s="79"/>
      <c r="G465" s="79"/>
      <c r="H465" s="79"/>
      <c r="I465" s="79"/>
      <c r="J465" s="79"/>
      <c r="K465" s="79"/>
      <c r="L465" s="79"/>
      <c r="M465" s="79"/>
      <c r="N465" s="79"/>
      <c r="O465" s="79"/>
      <c r="P465" s="79"/>
      <c r="Q465" s="79"/>
      <c r="R465" s="79"/>
      <c r="S465" s="79"/>
      <c r="T465" s="79"/>
      <c r="U465" s="79"/>
      <c r="V465" s="79"/>
      <c r="W465" s="79"/>
      <c r="X465" s="79"/>
      <c r="Y465" s="79"/>
      <c r="Z465" s="79"/>
    </row>
    <row r="466">
      <c r="A466" s="79"/>
      <c r="B466" s="79"/>
      <c r="C466" s="79"/>
      <c r="D466" s="79"/>
      <c r="E466" s="79"/>
      <c r="F466" s="79"/>
      <c r="G466" s="79"/>
      <c r="H466" s="79"/>
      <c r="I466" s="79"/>
      <c r="J466" s="79"/>
      <c r="K466" s="79"/>
      <c r="L466" s="79"/>
      <c r="M466" s="79"/>
      <c r="N466" s="79"/>
      <c r="O466" s="79"/>
      <c r="P466" s="79"/>
      <c r="Q466" s="79"/>
      <c r="R466" s="79"/>
      <c r="S466" s="79"/>
      <c r="T466" s="79"/>
      <c r="U466" s="79"/>
      <c r="V466" s="79"/>
      <c r="W466" s="79"/>
      <c r="X466" s="79"/>
      <c r="Y466" s="79"/>
      <c r="Z466" s="79"/>
    </row>
    <row r="467">
      <c r="A467" s="79"/>
      <c r="B467" s="79"/>
      <c r="C467" s="79"/>
      <c r="D467" s="79"/>
      <c r="E467" s="79"/>
      <c r="F467" s="79"/>
      <c r="G467" s="79"/>
      <c r="H467" s="79"/>
      <c r="I467" s="79"/>
      <c r="J467" s="79"/>
      <c r="K467" s="79"/>
      <c r="L467" s="79"/>
      <c r="M467" s="79"/>
      <c r="N467" s="79"/>
      <c r="O467" s="79"/>
      <c r="P467" s="79"/>
      <c r="Q467" s="79"/>
      <c r="R467" s="79"/>
      <c r="S467" s="79"/>
      <c r="T467" s="79"/>
      <c r="U467" s="79"/>
      <c r="V467" s="79"/>
      <c r="W467" s="79"/>
      <c r="X467" s="79"/>
      <c r="Y467" s="79"/>
      <c r="Z467" s="79"/>
    </row>
    <row r="468">
      <c r="A468" s="79"/>
      <c r="B468" s="79"/>
      <c r="C468" s="79"/>
      <c r="D468" s="79"/>
      <c r="E468" s="79"/>
      <c r="F468" s="79"/>
      <c r="G468" s="79"/>
      <c r="H468" s="79"/>
      <c r="I468" s="79"/>
      <c r="J468" s="79"/>
      <c r="K468" s="79"/>
      <c r="L468" s="79"/>
      <c r="M468" s="79"/>
      <c r="N468" s="79"/>
      <c r="O468" s="79"/>
      <c r="P468" s="79"/>
      <c r="Q468" s="79"/>
      <c r="R468" s="79"/>
      <c r="S468" s="79"/>
      <c r="T468" s="79"/>
      <c r="U468" s="79"/>
      <c r="V468" s="79"/>
      <c r="W468" s="79"/>
      <c r="X468" s="79"/>
      <c r="Y468" s="79"/>
      <c r="Z468" s="79"/>
    </row>
    <row r="469">
      <c r="A469" s="79"/>
      <c r="B469" s="79"/>
      <c r="C469" s="79"/>
      <c r="D469" s="79"/>
      <c r="E469" s="79"/>
      <c r="F469" s="79"/>
      <c r="G469" s="79"/>
      <c r="H469" s="79"/>
      <c r="I469" s="79"/>
      <c r="J469" s="79"/>
      <c r="K469" s="79"/>
      <c r="L469" s="79"/>
      <c r="M469" s="79"/>
      <c r="N469" s="79"/>
      <c r="O469" s="79"/>
      <c r="P469" s="79"/>
      <c r="Q469" s="79"/>
      <c r="R469" s="79"/>
      <c r="S469" s="79"/>
      <c r="T469" s="79"/>
      <c r="U469" s="79"/>
      <c r="V469" s="79"/>
      <c r="W469" s="79"/>
      <c r="X469" s="79"/>
      <c r="Y469" s="79"/>
      <c r="Z469" s="79"/>
    </row>
    <row r="470">
      <c r="A470" s="79"/>
      <c r="B470" s="79"/>
      <c r="C470" s="79"/>
      <c r="D470" s="79"/>
      <c r="E470" s="79"/>
      <c r="F470" s="79"/>
      <c r="G470" s="79"/>
      <c r="H470" s="79"/>
      <c r="I470" s="79"/>
      <c r="J470" s="79"/>
      <c r="K470" s="79"/>
      <c r="L470" s="79"/>
      <c r="M470" s="79"/>
      <c r="N470" s="79"/>
      <c r="O470" s="79"/>
      <c r="P470" s="79"/>
      <c r="Q470" s="79"/>
      <c r="R470" s="79"/>
      <c r="S470" s="79"/>
      <c r="T470" s="79"/>
      <c r="U470" s="79"/>
      <c r="V470" s="79"/>
      <c r="W470" s="79"/>
      <c r="X470" s="79"/>
      <c r="Y470" s="79"/>
      <c r="Z470" s="79"/>
    </row>
    <row r="471">
      <c r="A471" s="79"/>
      <c r="B471" s="79"/>
      <c r="C471" s="79"/>
      <c r="D471" s="79"/>
      <c r="E471" s="79"/>
      <c r="F471" s="79"/>
      <c r="G471" s="79"/>
      <c r="H471" s="79"/>
      <c r="I471" s="79"/>
      <c r="J471" s="79"/>
      <c r="K471" s="79"/>
      <c r="L471" s="79"/>
      <c r="M471" s="79"/>
      <c r="N471" s="79"/>
      <c r="O471" s="79"/>
      <c r="P471" s="79"/>
      <c r="Q471" s="79"/>
      <c r="R471" s="79"/>
      <c r="S471" s="79"/>
      <c r="T471" s="79"/>
      <c r="U471" s="79"/>
      <c r="V471" s="79"/>
      <c r="W471" s="79"/>
      <c r="X471" s="79"/>
      <c r="Y471" s="79"/>
      <c r="Z471" s="79"/>
    </row>
    <row r="472">
      <c r="A472" s="79"/>
      <c r="B472" s="79"/>
      <c r="C472" s="79"/>
      <c r="D472" s="79"/>
      <c r="E472" s="79"/>
      <c r="F472" s="79"/>
      <c r="G472" s="79"/>
      <c r="H472" s="79"/>
      <c r="I472" s="79"/>
      <c r="J472" s="79"/>
      <c r="K472" s="79"/>
      <c r="L472" s="79"/>
      <c r="M472" s="79"/>
      <c r="N472" s="79"/>
      <c r="O472" s="79"/>
      <c r="P472" s="79"/>
      <c r="Q472" s="79"/>
      <c r="R472" s="79"/>
      <c r="S472" s="79"/>
      <c r="T472" s="79"/>
      <c r="U472" s="79"/>
      <c r="V472" s="79"/>
      <c r="W472" s="79"/>
      <c r="X472" s="79"/>
      <c r="Y472" s="79"/>
      <c r="Z472" s="79"/>
    </row>
    <row r="473">
      <c r="A473" s="79"/>
      <c r="B473" s="79"/>
      <c r="C473" s="79"/>
      <c r="D473" s="79"/>
      <c r="E473" s="79"/>
      <c r="F473" s="79"/>
      <c r="G473" s="79"/>
      <c r="H473" s="79"/>
      <c r="I473" s="79"/>
      <c r="J473" s="79"/>
      <c r="K473" s="79"/>
      <c r="L473" s="79"/>
      <c r="M473" s="79"/>
      <c r="N473" s="79"/>
      <c r="O473" s="79"/>
      <c r="P473" s="79"/>
      <c r="Q473" s="79"/>
      <c r="R473" s="79"/>
      <c r="S473" s="79"/>
      <c r="T473" s="79"/>
      <c r="U473" s="79"/>
      <c r="V473" s="79"/>
      <c r="W473" s="79"/>
      <c r="X473" s="79"/>
      <c r="Y473" s="79"/>
      <c r="Z473" s="79"/>
    </row>
    <row r="474">
      <c r="A474" s="79"/>
      <c r="B474" s="79"/>
      <c r="C474" s="79"/>
      <c r="D474" s="79"/>
      <c r="E474" s="79"/>
      <c r="F474" s="79"/>
      <c r="G474" s="79"/>
      <c r="H474" s="79"/>
      <c r="I474" s="79"/>
      <c r="J474" s="79"/>
      <c r="K474" s="79"/>
      <c r="L474" s="79"/>
      <c r="M474" s="79"/>
      <c r="N474" s="79"/>
      <c r="O474" s="79"/>
      <c r="P474" s="79"/>
      <c r="Q474" s="79"/>
      <c r="R474" s="79"/>
      <c r="S474" s="79"/>
      <c r="T474" s="79"/>
      <c r="U474" s="79"/>
      <c r="V474" s="79"/>
      <c r="W474" s="79"/>
      <c r="X474" s="79"/>
      <c r="Y474" s="79"/>
      <c r="Z474" s="79"/>
    </row>
    <row r="475">
      <c r="A475" s="79"/>
      <c r="B475" s="79"/>
      <c r="C475" s="79"/>
      <c r="D475" s="79"/>
      <c r="E475" s="79"/>
      <c r="F475" s="79"/>
      <c r="G475" s="79"/>
      <c r="H475" s="79"/>
      <c r="I475" s="79"/>
      <c r="J475" s="79"/>
      <c r="K475" s="79"/>
      <c r="L475" s="79"/>
      <c r="M475" s="79"/>
      <c r="N475" s="79"/>
      <c r="O475" s="79"/>
      <c r="P475" s="79"/>
      <c r="Q475" s="79"/>
      <c r="R475" s="79"/>
      <c r="S475" s="79"/>
      <c r="T475" s="79"/>
      <c r="U475" s="79"/>
      <c r="V475" s="79"/>
      <c r="W475" s="79"/>
      <c r="X475" s="79"/>
      <c r="Y475" s="79"/>
      <c r="Z475" s="79"/>
    </row>
    <row r="476">
      <c r="A476" s="79"/>
      <c r="B476" s="79"/>
      <c r="C476" s="79"/>
      <c r="D476" s="79"/>
      <c r="E476" s="79"/>
      <c r="F476" s="79"/>
      <c r="G476" s="79"/>
      <c r="H476" s="79"/>
      <c r="I476" s="79"/>
      <c r="J476" s="79"/>
      <c r="K476" s="79"/>
      <c r="L476" s="79"/>
      <c r="M476" s="79"/>
      <c r="N476" s="79"/>
      <c r="O476" s="79"/>
      <c r="P476" s="79"/>
      <c r="Q476" s="79"/>
      <c r="R476" s="79"/>
      <c r="S476" s="79"/>
      <c r="T476" s="79"/>
      <c r="U476" s="79"/>
      <c r="V476" s="79"/>
      <c r="W476" s="79"/>
      <c r="X476" s="79"/>
      <c r="Y476" s="79"/>
      <c r="Z476" s="79"/>
    </row>
    <row r="477">
      <c r="A477" s="79"/>
      <c r="B477" s="79"/>
      <c r="C477" s="79"/>
      <c r="D477" s="79"/>
      <c r="E477" s="79"/>
      <c r="F477" s="79"/>
      <c r="G477" s="79"/>
      <c r="H477" s="79"/>
      <c r="I477" s="79"/>
      <c r="J477" s="79"/>
      <c r="K477" s="79"/>
      <c r="L477" s="79"/>
      <c r="M477" s="79"/>
      <c r="N477" s="79"/>
      <c r="O477" s="79"/>
      <c r="P477" s="79"/>
      <c r="Q477" s="79"/>
      <c r="R477" s="79"/>
      <c r="S477" s="79"/>
      <c r="T477" s="79"/>
      <c r="U477" s="79"/>
      <c r="V477" s="79"/>
      <c r="W477" s="79"/>
      <c r="X477" s="79"/>
      <c r="Y477" s="79"/>
      <c r="Z477" s="79"/>
    </row>
    <row r="478">
      <c r="A478" s="79"/>
      <c r="B478" s="79"/>
      <c r="C478" s="79"/>
      <c r="D478" s="79"/>
      <c r="E478" s="79"/>
      <c r="F478" s="79"/>
      <c r="G478" s="79"/>
      <c r="H478" s="79"/>
      <c r="I478" s="79"/>
      <c r="J478" s="79"/>
      <c r="K478" s="79"/>
      <c r="L478" s="79"/>
      <c r="M478" s="79"/>
      <c r="N478" s="79"/>
      <c r="O478" s="79"/>
      <c r="P478" s="79"/>
      <c r="Q478" s="79"/>
      <c r="R478" s="79"/>
      <c r="S478" s="79"/>
      <c r="T478" s="79"/>
      <c r="U478" s="79"/>
      <c r="V478" s="79"/>
      <c r="W478" s="79"/>
      <c r="X478" s="79"/>
      <c r="Y478" s="79"/>
      <c r="Z478" s="79"/>
    </row>
    <row r="479">
      <c r="A479" s="79"/>
      <c r="B479" s="79"/>
      <c r="C479" s="79"/>
      <c r="D479" s="79"/>
      <c r="E479" s="79"/>
      <c r="F479" s="79"/>
      <c r="G479" s="79"/>
      <c r="H479" s="79"/>
      <c r="I479" s="79"/>
      <c r="J479" s="79"/>
      <c r="K479" s="79"/>
      <c r="L479" s="79"/>
      <c r="M479" s="79"/>
      <c r="N479" s="79"/>
      <c r="O479" s="79"/>
      <c r="P479" s="79"/>
      <c r="Q479" s="79"/>
      <c r="R479" s="79"/>
      <c r="S479" s="79"/>
      <c r="T479" s="79"/>
      <c r="U479" s="79"/>
      <c r="V479" s="79"/>
      <c r="W479" s="79"/>
      <c r="X479" s="79"/>
      <c r="Y479" s="79"/>
      <c r="Z479" s="79"/>
    </row>
    <row r="480">
      <c r="A480" s="79"/>
      <c r="B480" s="79"/>
      <c r="C480" s="79"/>
      <c r="D480" s="79"/>
      <c r="E480" s="79"/>
      <c r="F480" s="79"/>
      <c r="G480" s="79"/>
      <c r="H480" s="79"/>
      <c r="I480" s="79"/>
      <c r="J480" s="79"/>
      <c r="K480" s="79"/>
      <c r="L480" s="79"/>
      <c r="M480" s="79"/>
      <c r="N480" s="79"/>
      <c r="O480" s="79"/>
      <c r="P480" s="79"/>
      <c r="Q480" s="79"/>
      <c r="R480" s="79"/>
      <c r="S480" s="79"/>
      <c r="T480" s="79"/>
      <c r="U480" s="79"/>
      <c r="V480" s="79"/>
      <c r="W480" s="79"/>
      <c r="X480" s="79"/>
      <c r="Y480" s="79"/>
      <c r="Z480" s="79"/>
    </row>
    <row r="481">
      <c r="A481" s="79"/>
      <c r="B481" s="79"/>
      <c r="C481" s="79"/>
      <c r="D481" s="79"/>
      <c r="E481" s="79"/>
      <c r="F481" s="79"/>
      <c r="G481" s="79"/>
      <c r="H481" s="79"/>
      <c r="I481" s="79"/>
      <c r="J481" s="79"/>
      <c r="K481" s="79"/>
      <c r="L481" s="79"/>
      <c r="M481" s="79"/>
      <c r="N481" s="79"/>
      <c r="O481" s="79"/>
      <c r="P481" s="79"/>
      <c r="Q481" s="79"/>
      <c r="R481" s="79"/>
      <c r="S481" s="79"/>
      <c r="T481" s="79"/>
      <c r="U481" s="79"/>
      <c r="V481" s="79"/>
      <c r="W481" s="79"/>
      <c r="X481" s="79"/>
      <c r="Y481" s="79"/>
      <c r="Z481" s="79"/>
    </row>
    <row r="482">
      <c r="A482" s="79"/>
      <c r="B482" s="79"/>
      <c r="C482" s="79"/>
      <c r="D482" s="79"/>
      <c r="E482" s="79"/>
      <c r="F482" s="79"/>
      <c r="G482" s="79"/>
      <c r="H482" s="79"/>
      <c r="I482" s="79"/>
      <c r="J482" s="79"/>
      <c r="K482" s="79"/>
      <c r="L482" s="79"/>
      <c r="M482" s="79"/>
      <c r="N482" s="79"/>
      <c r="O482" s="79"/>
      <c r="P482" s="79"/>
      <c r="Q482" s="79"/>
      <c r="R482" s="79"/>
      <c r="S482" s="79"/>
      <c r="T482" s="79"/>
      <c r="U482" s="79"/>
      <c r="V482" s="79"/>
      <c r="W482" s="79"/>
      <c r="X482" s="79"/>
      <c r="Y482" s="79"/>
      <c r="Z482" s="79"/>
    </row>
    <row r="483">
      <c r="A483" s="79"/>
      <c r="B483" s="79"/>
      <c r="C483" s="79"/>
      <c r="D483" s="79"/>
      <c r="E483" s="79"/>
      <c r="F483" s="79"/>
      <c r="G483" s="79"/>
      <c r="H483" s="79"/>
      <c r="I483" s="79"/>
      <c r="J483" s="79"/>
      <c r="K483" s="79"/>
      <c r="L483" s="79"/>
      <c r="M483" s="79"/>
      <c r="N483" s="79"/>
      <c r="O483" s="79"/>
      <c r="P483" s="79"/>
      <c r="Q483" s="79"/>
      <c r="R483" s="79"/>
      <c r="S483" s="79"/>
      <c r="T483" s="79"/>
      <c r="U483" s="79"/>
      <c r="V483" s="79"/>
      <c r="W483" s="79"/>
      <c r="X483" s="79"/>
      <c r="Y483" s="79"/>
      <c r="Z483" s="79"/>
    </row>
    <row r="484">
      <c r="A484" s="79"/>
      <c r="B484" s="79"/>
      <c r="C484" s="79"/>
      <c r="D484" s="79"/>
      <c r="E484" s="79"/>
      <c r="F484" s="79"/>
      <c r="G484" s="79"/>
      <c r="H484" s="79"/>
      <c r="I484" s="79"/>
      <c r="J484" s="79"/>
      <c r="K484" s="79"/>
      <c r="L484" s="79"/>
      <c r="M484" s="79"/>
      <c r="N484" s="79"/>
      <c r="O484" s="79"/>
      <c r="P484" s="79"/>
      <c r="Q484" s="79"/>
      <c r="R484" s="79"/>
      <c r="S484" s="79"/>
      <c r="T484" s="79"/>
      <c r="U484" s="79"/>
      <c r="V484" s="79"/>
      <c r="W484" s="79"/>
      <c r="X484" s="79"/>
      <c r="Y484" s="79"/>
      <c r="Z484" s="79"/>
    </row>
    <row r="485">
      <c r="A485" s="79"/>
      <c r="B485" s="79"/>
      <c r="C485" s="79"/>
      <c r="D485" s="79"/>
      <c r="E485" s="79"/>
      <c r="F485" s="79"/>
      <c r="G485" s="79"/>
      <c r="H485" s="79"/>
      <c r="I485" s="79"/>
      <c r="J485" s="79"/>
      <c r="K485" s="79"/>
      <c r="L485" s="79"/>
      <c r="M485" s="79"/>
      <c r="N485" s="79"/>
      <c r="O485" s="79"/>
      <c r="P485" s="79"/>
      <c r="Q485" s="79"/>
      <c r="R485" s="79"/>
      <c r="S485" s="79"/>
      <c r="T485" s="79"/>
      <c r="U485" s="79"/>
      <c r="V485" s="79"/>
      <c r="W485" s="79"/>
      <c r="X485" s="79"/>
      <c r="Y485" s="79"/>
      <c r="Z485" s="79"/>
    </row>
    <row r="486">
      <c r="A486" s="79"/>
      <c r="B486" s="79"/>
      <c r="C486" s="79"/>
      <c r="D486" s="79"/>
      <c r="E486" s="79"/>
      <c r="F486" s="79"/>
      <c r="G486" s="79"/>
      <c r="H486" s="79"/>
      <c r="I486" s="79"/>
      <c r="J486" s="79"/>
      <c r="K486" s="79"/>
      <c r="L486" s="79"/>
      <c r="M486" s="79"/>
      <c r="N486" s="79"/>
      <c r="O486" s="79"/>
      <c r="P486" s="79"/>
      <c r="Q486" s="79"/>
      <c r="R486" s="79"/>
      <c r="S486" s="79"/>
      <c r="T486" s="79"/>
      <c r="U486" s="79"/>
      <c r="V486" s="79"/>
      <c r="W486" s="79"/>
      <c r="X486" s="79"/>
      <c r="Y486" s="79"/>
      <c r="Z486" s="79"/>
    </row>
    <row r="487">
      <c r="A487" s="79"/>
      <c r="B487" s="79"/>
      <c r="C487" s="79"/>
      <c r="D487" s="79"/>
      <c r="E487" s="79"/>
      <c r="F487" s="79"/>
      <c r="G487" s="79"/>
      <c r="H487" s="79"/>
      <c r="I487" s="79"/>
      <c r="J487" s="79"/>
      <c r="K487" s="79"/>
      <c r="L487" s="79"/>
      <c r="M487" s="79"/>
      <c r="N487" s="79"/>
      <c r="O487" s="79"/>
      <c r="P487" s="79"/>
      <c r="Q487" s="79"/>
      <c r="R487" s="79"/>
      <c r="S487" s="79"/>
      <c r="T487" s="79"/>
      <c r="U487" s="79"/>
      <c r="V487" s="79"/>
      <c r="W487" s="79"/>
      <c r="X487" s="79"/>
      <c r="Y487" s="79"/>
      <c r="Z487" s="79"/>
    </row>
    <row r="488">
      <c r="A488" s="79"/>
      <c r="B488" s="79"/>
      <c r="C488" s="79"/>
      <c r="D488" s="79"/>
      <c r="E488" s="79"/>
      <c r="F488" s="79"/>
      <c r="G488" s="79"/>
      <c r="H488" s="79"/>
      <c r="I488" s="79"/>
      <c r="J488" s="79"/>
      <c r="K488" s="79"/>
      <c r="L488" s="79"/>
      <c r="M488" s="79"/>
      <c r="N488" s="79"/>
      <c r="O488" s="79"/>
      <c r="P488" s="79"/>
      <c r="Q488" s="79"/>
      <c r="R488" s="79"/>
      <c r="S488" s="79"/>
      <c r="T488" s="79"/>
      <c r="U488" s="79"/>
      <c r="V488" s="79"/>
      <c r="W488" s="79"/>
      <c r="X488" s="79"/>
      <c r="Y488" s="79"/>
      <c r="Z488" s="79"/>
    </row>
    <row r="489">
      <c r="A489" s="79"/>
      <c r="B489" s="79"/>
      <c r="C489" s="79"/>
      <c r="D489" s="79"/>
      <c r="E489" s="79"/>
      <c r="F489" s="79"/>
      <c r="G489" s="79"/>
      <c r="H489" s="79"/>
      <c r="I489" s="79"/>
      <c r="J489" s="79"/>
      <c r="K489" s="79"/>
      <c r="L489" s="79"/>
      <c r="M489" s="79"/>
      <c r="N489" s="79"/>
      <c r="O489" s="79"/>
      <c r="P489" s="79"/>
      <c r="Q489" s="79"/>
      <c r="R489" s="79"/>
      <c r="S489" s="79"/>
      <c r="T489" s="79"/>
      <c r="U489" s="79"/>
      <c r="V489" s="79"/>
      <c r="W489" s="79"/>
      <c r="X489" s="79"/>
      <c r="Y489" s="79"/>
      <c r="Z489" s="79"/>
    </row>
    <row r="490">
      <c r="A490" s="79"/>
      <c r="B490" s="79"/>
      <c r="C490" s="79"/>
      <c r="D490" s="79"/>
      <c r="E490" s="79"/>
      <c r="F490" s="79"/>
      <c r="G490" s="79"/>
      <c r="H490" s="79"/>
      <c r="I490" s="79"/>
      <c r="J490" s="79"/>
      <c r="K490" s="79"/>
      <c r="L490" s="79"/>
      <c r="M490" s="79"/>
      <c r="N490" s="79"/>
      <c r="O490" s="79"/>
      <c r="P490" s="79"/>
      <c r="Q490" s="79"/>
      <c r="R490" s="79"/>
      <c r="S490" s="79"/>
      <c r="T490" s="79"/>
      <c r="U490" s="79"/>
      <c r="V490" s="79"/>
      <c r="W490" s="79"/>
      <c r="X490" s="79"/>
      <c r="Y490" s="79"/>
      <c r="Z490" s="79"/>
    </row>
    <row r="491">
      <c r="A491" s="79"/>
      <c r="B491" s="79"/>
      <c r="C491" s="79"/>
      <c r="D491" s="79"/>
      <c r="E491" s="79"/>
      <c r="F491" s="79"/>
      <c r="G491" s="79"/>
      <c r="H491" s="79"/>
      <c r="I491" s="79"/>
      <c r="J491" s="79"/>
      <c r="K491" s="79"/>
      <c r="L491" s="79"/>
      <c r="M491" s="79"/>
      <c r="N491" s="79"/>
      <c r="O491" s="79"/>
      <c r="P491" s="79"/>
      <c r="Q491" s="79"/>
      <c r="R491" s="79"/>
      <c r="S491" s="79"/>
      <c r="T491" s="79"/>
      <c r="U491" s="79"/>
      <c r="V491" s="79"/>
      <c r="W491" s="79"/>
      <c r="X491" s="79"/>
      <c r="Y491" s="79"/>
      <c r="Z491" s="79"/>
    </row>
    <row r="492">
      <c r="A492" s="79"/>
      <c r="B492" s="79"/>
      <c r="C492" s="79"/>
      <c r="D492" s="79"/>
      <c r="E492" s="79"/>
      <c r="F492" s="79"/>
      <c r="G492" s="79"/>
      <c r="H492" s="79"/>
      <c r="I492" s="79"/>
      <c r="J492" s="79"/>
      <c r="K492" s="79"/>
      <c r="L492" s="79"/>
      <c r="M492" s="79"/>
      <c r="N492" s="79"/>
      <c r="O492" s="79"/>
      <c r="P492" s="79"/>
      <c r="Q492" s="79"/>
      <c r="R492" s="79"/>
      <c r="S492" s="79"/>
      <c r="T492" s="79"/>
      <c r="U492" s="79"/>
      <c r="V492" s="79"/>
      <c r="W492" s="79"/>
      <c r="X492" s="79"/>
      <c r="Y492" s="79"/>
      <c r="Z492" s="79"/>
    </row>
    <row r="493">
      <c r="A493" s="79"/>
      <c r="B493" s="79"/>
      <c r="C493" s="79"/>
      <c r="D493" s="79"/>
      <c r="E493" s="79"/>
      <c r="F493" s="79"/>
      <c r="G493" s="79"/>
      <c r="H493" s="79"/>
      <c r="I493" s="79"/>
      <c r="J493" s="79"/>
      <c r="K493" s="79"/>
      <c r="L493" s="79"/>
      <c r="M493" s="79"/>
      <c r="N493" s="79"/>
      <c r="O493" s="79"/>
      <c r="P493" s="79"/>
      <c r="Q493" s="79"/>
      <c r="R493" s="79"/>
      <c r="S493" s="79"/>
      <c r="T493" s="79"/>
      <c r="U493" s="79"/>
      <c r="V493" s="79"/>
      <c r="W493" s="79"/>
      <c r="X493" s="79"/>
      <c r="Y493" s="79"/>
      <c r="Z493" s="79"/>
    </row>
    <row r="494">
      <c r="A494" s="79"/>
      <c r="B494" s="79"/>
      <c r="C494" s="79"/>
      <c r="D494" s="79"/>
      <c r="E494" s="79"/>
      <c r="F494" s="79"/>
      <c r="G494" s="79"/>
      <c r="H494" s="79"/>
      <c r="I494" s="79"/>
      <c r="J494" s="79"/>
      <c r="K494" s="79"/>
      <c r="L494" s="79"/>
      <c r="M494" s="79"/>
      <c r="N494" s="79"/>
      <c r="O494" s="79"/>
      <c r="P494" s="79"/>
      <c r="Q494" s="79"/>
      <c r="R494" s="79"/>
      <c r="S494" s="79"/>
      <c r="T494" s="79"/>
      <c r="U494" s="79"/>
      <c r="V494" s="79"/>
      <c r="W494" s="79"/>
      <c r="X494" s="79"/>
      <c r="Y494" s="79"/>
      <c r="Z494" s="79"/>
    </row>
    <row r="495">
      <c r="A495" s="79"/>
      <c r="B495" s="79"/>
      <c r="C495" s="79"/>
      <c r="D495" s="79"/>
      <c r="E495" s="79"/>
      <c r="F495" s="79"/>
      <c r="G495" s="79"/>
      <c r="H495" s="79"/>
      <c r="I495" s="79"/>
      <c r="J495" s="79"/>
      <c r="K495" s="79"/>
      <c r="L495" s="79"/>
      <c r="M495" s="79"/>
      <c r="N495" s="79"/>
      <c r="O495" s="79"/>
      <c r="P495" s="79"/>
      <c r="Q495" s="79"/>
      <c r="R495" s="79"/>
      <c r="S495" s="79"/>
      <c r="T495" s="79"/>
      <c r="U495" s="79"/>
      <c r="V495" s="79"/>
      <c r="W495" s="79"/>
      <c r="X495" s="79"/>
      <c r="Y495" s="79"/>
      <c r="Z495" s="79"/>
    </row>
    <row r="496">
      <c r="A496" s="79"/>
      <c r="B496" s="79"/>
      <c r="C496" s="79"/>
      <c r="D496" s="79"/>
      <c r="E496" s="79"/>
      <c r="F496" s="79"/>
      <c r="G496" s="79"/>
      <c r="H496" s="79"/>
      <c r="I496" s="79"/>
      <c r="J496" s="79"/>
      <c r="K496" s="79"/>
      <c r="L496" s="79"/>
      <c r="M496" s="79"/>
      <c r="N496" s="79"/>
      <c r="O496" s="79"/>
      <c r="P496" s="79"/>
      <c r="Q496" s="79"/>
      <c r="R496" s="79"/>
      <c r="S496" s="79"/>
      <c r="T496" s="79"/>
      <c r="U496" s="79"/>
      <c r="V496" s="79"/>
      <c r="W496" s="79"/>
      <c r="X496" s="79"/>
      <c r="Y496" s="79"/>
      <c r="Z496" s="79"/>
    </row>
    <row r="497">
      <c r="A497" s="79"/>
      <c r="B497" s="79"/>
      <c r="C497" s="79"/>
      <c r="D497" s="79"/>
      <c r="E497" s="79"/>
      <c r="F497" s="79"/>
      <c r="G497" s="79"/>
      <c r="H497" s="79"/>
      <c r="I497" s="79"/>
      <c r="J497" s="79"/>
      <c r="K497" s="79"/>
      <c r="L497" s="79"/>
      <c r="M497" s="79"/>
      <c r="N497" s="79"/>
      <c r="O497" s="79"/>
      <c r="P497" s="79"/>
      <c r="Q497" s="79"/>
      <c r="R497" s="79"/>
      <c r="S497" s="79"/>
      <c r="T497" s="79"/>
      <c r="U497" s="79"/>
      <c r="V497" s="79"/>
      <c r="W497" s="79"/>
      <c r="X497" s="79"/>
      <c r="Y497" s="79"/>
      <c r="Z497" s="79"/>
    </row>
    <row r="498">
      <c r="A498" s="79"/>
      <c r="B498" s="79"/>
      <c r="C498" s="79"/>
      <c r="D498" s="79"/>
      <c r="E498" s="79"/>
      <c r="F498" s="79"/>
      <c r="G498" s="79"/>
      <c r="H498" s="79"/>
      <c r="I498" s="79"/>
      <c r="J498" s="79"/>
      <c r="K498" s="79"/>
      <c r="L498" s="79"/>
      <c r="M498" s="79"/>
      <c r="N498" s="79"/>
      <c r="O498" s="79"/>
      <c r="P498" s="79"/>
      <c r="Q498" s="79"/>
      <c r="R498" s="79"/>
      <c r="S498" s="79"/>
      <c r="T498" s="79"/>
      <c r="U498" s="79"/>
      <c r="V498" s="79"/>
      <c r="W498" s="79"/>
      <c r="X498" s="79"/>
      <c r="Y498" s="79"/>
      <c r="Z498" s="79"/>
    </row>
    <row r="499">
      <c r="A499" s="79"/>
      <c r="B499" s="79"/>
      <c r="C499" s="79"/>
      <c r="D499" s="79"/>
      <c r="E499" s="79"/>
      <c r="F499" s="79"/>
      <c r="G499" s="79"/>
      <c r="H499" s="79"/>
      <c r="I499" s="79"/>
      <c r="J499" s="79"/>
      <c r="K499" s="79"/>
      <c r="L499" s="79"/>
      <c r="M499" s="79"/>
      <c r="N499" s="79"/>
      <c r="O499" s="79"/>
      <c r="P499" s="79"/>
      <c r="Q499" s="79"/>
      <c r="R499" s="79"/>
      <c r="S499" s="79"/>
      <c r="T499" s="79"/>
      <c r="U499" s="79"/>
      <c r="V499" s="79"/>
      <c r="W499" s="79"/>
      <c r="X499" s="79"/>
      <c r="Y499" s="79"/>
      <c r="Z499" s="79"/>
    </row>
    <row r="500">
      <c r="A500" s="79"/>
      <c r="B500" s="79"/>
      <c r="C500" s="79"/>
      <c r="D500" s="79"/>
      <c r="E500" s="79"/>
      <c r="F500" s="79"/>
      <c r="G500" s="79"/>
      <c r="H500" s="79"/>
      <c r="I500" s="79"/>
      <c r="J500" s="79"/>
      <c r="K500" s="79"/>
      <c r="L500" s="79"/>
      <c r="M500" s="79"/>
      <c r="N500" s="79"/>
      <c r="O500" s="79"/>
      <c r="P500" s="79"/>
      <c r="Q500" s="79"/>
      <c r="R500" s="79"/>
      <c r="S500" s="79"/>
      <c r="T500" s="79"/>
      <c r="U500" s="79"/>
      <c r="V500" s="79"/>
      <c r="W500" s="79"/>
      <c r="X500" s="79"/>
      <c r="Y500" s="79"/>
      <c r="Z500" s="79"/>
    </row>
    <row r="501">
      <c r="A501" s="79"/>
      <c r="B501" s="79"/>
      <c r="C501" s="79"/>
      <c r="D501" s="79"/>
      <c r="E501" s="79"/>
      <c r="F501" s="79"/>
      <c r="G501" s="79"/>
      <c r="H501" s="79"/>
      <c r="I501" s="79"/>
      <c r="J501" s="79"/>
      <c r="K501" s="79"/>
      <c r="L501" s="79"/>
      <c r="M501" s="79"/>
      <c r="N501" s="79"/>
      <c r="O501" s="79"/>
      <c r="P501" s="79"/>
      <c r="Q501" s="79"/>
      <c r="R501" s="79"/>
      <c r="S501" s="79"/>
      <c r="T501" s="79"/>
      <c r="U501" s="79"/>
      <c r="V501" s="79"/>
      <c r="W501" s="79"/>
      <c r="X501" s="79"/>
      <c r="Y501" s="79"/>
      <c r="Z501" s="79"/>
    </row>
    <row r="502">
      <c r="A502" s="79"/>
      <c r="B502" s="79"/>
      <c r="C502" s="79"/>
      <c r="D502" s="79"/>
      <c r="E502" s="79"/>
      <c r="F502" s="79"/>
      <c r="G502" s="79"/>
      <c r="H502" s="79"/>
      <c r="I502" s="79"/>
      <c r="J502" s="79"/>
      <c r="K502" s="79"/>
      <c r="L502" s="79"/>
      <c r="M502" s="79"/>
      <c r="N502" s="79"/>
      <c r="O502" s="79"/>
      <c r="P502" s="79"/>
      <c r="Q502" s="79"/>
      <c r="R502" s="79"/>
      <c r="S502" s="79"/>
      <c r="T502" s="79"/>
      <c r="U502" s="79"/>
      <c r="V502" s="79"/>
      <c r="W502" s="79"/>
      <c r="X502" s="79"/>
      <c r="Y502" s="79"/>
      <c r="Z502" s="79"/>
    </row>
    <row r="503">
      <c r="A503" s="79"/>
      <c r="B503" s="79"/>
      <c r="C503" s="79"/>
      <c r="D503" s="79"/>
      <c r="E503" s="79"/>
      <c r="F503" s="79"/>
      <c r="G503" s="79"/>
      <c r="H503" s="79"/>
      <c r="I503" s="79"/>
      <c r="J503" s="79"/>
      <c r="K503" s="79"/>
      <c r="L503" s="79"/>
      <c r="M503" s="79"/>
      <c r="N503" s="79"/>
      <c r="O503" s="79"/>
      <c r="P503" s="79"/>
      <c r="Q503" s="79"/>
      <c r="R503" s="79"/>
      <c r="S503" s="79"/>
      <c r="T503" s="79"/>
      <c r="U503" s="79"/>
      <c r="V503" s="79"/>
      <c r="W503" s="79"/>
      <c r="X503" s="79"/>
      <c r="Y503" s="79"/>
      <c r="Z503" s="79"/>
    </row>
    <row r="504">
      <c r="A504" s="79"/>
      <c r="B504" s="79"/>
      <c r="C504" s="79"/>
      <c r="D504" s="79"/>
      <c r="E504" s="79"/>
      <c r="F504" s="79"/>
      <c r="G504" s="79"/>
      <c r="H504" s="79"/>
      <c r="I504" s="79"/>
      <c r="J504" s="79"/>
      <c r="K504" s="79"/>
      <c r="L504" s="79"/>
      <c r="M504" s="79"/>
      <c r="N504" s="79"/>
      <c r="O504" s="79"/>
      <c r="P504" s="79"/>
      <c r="Q504" s="79"/>
      <c r="R504" s="79"/>
      <c r="S504" s="79"/>
      <c r="T504" s="79"/>
      <c r="U504" s="79"/>
      <c r="V504" s="79"/>
      <c r="W504" s="79"/>
      <c r="X504" s="79"/>
      <c r="Y504" s="79"/>
      <c r="Z504" s="79"/>
    </row>
    <row r="505">
      <c r="A505" s="79"/>
      <c r="B505" s="79"/>
      <c r="C505" s="79"/>
      <c r="D505" s="79"/>
      <c r="E505" s="79"/>
      <c r="F505" s="79"/>
      <c r="G505" s="79"/>
      <c r="H505" s="79"/>
      <c r="I505" s="79"/>
      <c r="J505" s="79"/>
      <c r="K505" s="79"/>
      <c r="L505" s="79"/>
      <c r="M505" s="79"/>
      <c r="N505" s="79"/>
      <c r="O505" s="79"/>
      <c r="P505" s="79"/>
      <c r="Q505" s="79"/>
      <c r="R505" s="79"/>
      <c r="S505" s="79"/>
      <c r="T505" s="79"/>
      <c r="U505" s="79"/>
      <c r="V505" s="79"/>
      <c r="W505" s="79"/>
      <c r="X505" s="79"/>
      <c r="Y505" s="79"/>
      <c r="Z505" s="79"/>
    </row>
    <row r="506">
      <c r="A506" s="79"/>
      <c r="B506" s="79"/>
      <c r="C506" s="79"/>
      <c r="D506" s="79"/>
      <c r="E506" s="79"/>
      <c r="F506" s="79"/>
      <c r="G506" s="79"/>
      <c r="H506" s="79"/>
      <c r="I506" s="79"/>
      <c r="J506" s="79"/>
      <c r="K506" s="79"/>
      <c r="L506" s="79"/>
      <c r="M506" s="79"/>
      <c r="N506" s="79"/>
      <c r="O506" s="79"/>
      <c r="P506" s="79"/>
      <c r="Q506" s="79"/>
      <c r="R506" s="79"/>
      <c r="S506" s="79"/>
      <c r="T506" s="79"/>
      <c r="U506" s="79"/>
      <c r="V506" s="79"/>
      <c r="W506" s="79"/>
      <c r="X506" s="79"/>
      <c r="Y506" s="79"/>
      <c r="Z506" s="79"/>
    </row>
    <row r="507">
      <c r="A507" s="79"/>
      <c r="B507" s="79"/>
      <c r="C507" s="79"/>
      <c r="D507" s="79"/>
      <c r="E507" s="79"/>
      <c r="F507" s="79"/>
      <c r="G507" s="79"/>
      <c r="H507" s="79"/>
      <c r="I507" s="79"/>
      <c r="J507" s="79"/>
      <c r="K507" s="79"/>
      <c r="L507" s="79"/>
      <c r="M507" s="79"/>
      <c r="N507" s="79"/>
      <c r="O507" s="79"/>
      <c r="P507" s="79"/>
      <c r="Q507" s="79"/>
      <c r="R507" s="79"/>
      <c r="S507" s="79"/>
      <c r="T507" s="79"/>
      <c r="U507" s="79"/>
      <c r="V507" s="79"/>
      <c r="W507" s="79"/>
      <c r="X507" s="79"/>
      <c r="Y507" s="79"/>
      <c r="Z507" s="79"/>
    </row>
    <row r="508">
      <c r="A508" s="79"/>
      <c r="B508" s="79"/>
      <c r="C508" s="79"/>
      <c r="D508" s="79"/>
      <c r="E508" s="79"/>
      <c r="F508" s="79"/>
      <c r="G508" s="79"/>
      <c r="H508" s="79"/>
      <c r="I508" s="79"/>
      <c r="J508" s="79"/>
      <c r="K508" s="79"/>
      <c r="L508" s="79"/>
      <c r="M508" s="79"/>
      <c r="N508" s="79"/>
      <c r="O508" s="79"/>
      <c r="P508" s="79"/>
      <c r="Q508" s="79"/>
      <c r="R508" s="79"/>
      <c r="S508" s="79"/>
      <c r="T508" s="79"/>
      <c r="U508" s="79"/>
      <c r="V508" s="79"/>
      <c r="W508" s="79"/>
      <c r="X508" s="79"/>
      <c r="Y508" s="79"/>
      <c r="Z508" s="79"/>
    </row>
    <row r="509">
      <c r="A509" s="79"/>
      <c r="B509" s="79"/>
      <c r="C509" s="79"/>
      <c r="D509" s="79"/>
      <c r="E509" s="79"/>
      <c r="F509" s="79"/>
      <c r="G509" s="79"/>
      <c r="H509" s="79"/>
      <c r="I509" s="79"/>
      <c r="J509" s="79"/>
      <c r="K509" s="79"/>
      <c r="L509" s="79"/>
      <c r="M509" s="79"/>
      <c r="N509" s="79"/>
      <c r="O509" s="79"/>
      <c r="P509" s="79"/>
      <c r="Q509" s="79"/>
      <c r="R509" s="79"/>
      <c r="S509" s="79"/>
      <c r="T509" s="79"/>
      <c r="U509" s="79"/>
      <c r="V509" s="79"/>
      <c r="W509" s="79"/>
      <c r="X509" s="79"/>
      <c r="Y509" s="79"/>
      <c r="Z509" s="79"/>
    </row>
    <row r="510">
      <c r="A510" s="79"/>
      <c r="B510" s="79"/>
      <c r="C510" s="79"/>
      <c r="D510" s="79"/>
      <c r="E510" s="79"/>
      <c r="F510" s="79"/>
      <c r="G510" s="79"/>
      <c r="H510" s="79"/>
      <c r="I510" s="79"/>
      <c r="J510" s="79"/>
      <c r="K510" s="79"/>
      <c r="L510" s="79"/>
      <c r="M510" s="79"/>
      <c r="N510" s="79"/>
      <c r="O510" s="79"/>
      <c r="P510" s="79"/>
      <c r="Q510" s="79"/>
      <c r="R510" s="79"/>
      <c r="S510" s="79"/>
      <c r="T510" s="79"/>
      <c r="U510" s="79"/>
      <c r="V510" s="79"/>
      <c r="W510" s="79"/>
      <c r="X510" s="79"/>
      <c r="Y510" s="79"/>
      <c r="Z510" s="79"/>
    </row>
    <row r="511">
      <c r="A511" s="79"/>
      <c r="B511" s="79"/>
      <c r="C511" s="79"/>
      <c r="D511" s="79"/>
      <c r="E511" s="79"/>
      <c r="F511" s="79"/>
      <c r="G511" s="79"/>
      <c r="H511" s="79"/>
      <c r="I511" s="79"/>
      <c r="J511" s="79"/>
      <c r="K511" s="79"/>
      <c r="L511" s="79"/>
      <c r="M511" s="79"/>
      <c r="N511" s="79"/>
      <c r="O511" s="79"/>
      <c r="P511" s="79"/>
      <c r="Q511" s="79"/>
      <c r="R511" s="79"/>
      <c r="S511" s="79"/>
      <c r="T511" s="79"/>
      <c r="U511" s="79"/>
      <c r="V511" s="79"/>
      <c r="W511" s="79"/>
      <c r="X511" s="79"/>
      <c r="Y511" s="79"/>
      <c r="Z511" s="79"/>
    </row>
    <row r="512">
      <c r="A512" s="79"/>
      <c r="B512" s="79"/>
      <c r="C512" s="79"/>
      <c r="D512" s="79"/>
      <c r="E512" s="79"/>
      <c r="F512" s="79"/>
      <c r="G512" s="79"/>
      <c r="H512" s="79"/>
      <c r="I512" s="79"/>
      <c r="J512" s="79"/>
      <c r="K512" s="79"/>
      <c r="L512" s="79"/>
      <c r="M512" s="79"/>
      <c r="N512" s="79"/>
      <c r="O512" s="79"/>
      <c r="P512" s="79"/>
      <c r="Q512" s="79"/>
      <c r="R512" s="79"/>
      <c r="S512" s="79"/>
      <c r="T512" s="79"/>
      <c r="U512" s="79"/>
      <c r="V512" s="79"/>
      <c r="W512" s="79"/>
      <c r="X512" s="79"/>
      <c r="Y512" s="79"/>
      <c r="Z512" s="79"/>
    </row>
    <row r="513">
      <c r="A513" s="79"/>
      <c r="B513" s="79"/>
      <c r="C513" s="79"/>
      <c r="D513" s="79"/>
      <c r="E513" s="79"/>
      <c r="F513" s="79"/>
      <c r="G513" s="79"/>
      <c r="H513" s="79"/>
      <c r="I513" s="79"/>
      <c r="J513" s="79"/>
      <c r="K513" s="79"/>
      <c r="L513" s="79"/>
      <c r="M513" s="79"/>
      <c r="N513" s="79"/>
      <c r="O513" s="79"/>
      <c r="P513" s="79"/>
      <c r="Q513" s="79"/>
      <c r="R513" s="79"/>
      <c r="S513" s="79"/>
      <c r="T513" s="79"/>
      <c r="U513" s="79"/>
      <c r="V513" s="79"/>
      <c r="W513" s="79"/>
      <c r="X513" s="79"/>
      <c r="Y513" s="79"/>
      <c r="Z513" s="79"/>
    </row>
    <row r="514">
      <c r="A514" s="79"/>
      <c r="B514" s="79"/>
      <c r="C514" s="79"/>
      <c r="D514" s="79"/>
      <c r="E514" s="79"/>
      <c r="F514" s="79"/>
      <c r="G514" s="79"/>
      <c r="H514" s="79"/>
      <c r="I514" s="79"/>
      <c r="J514" s="79"/>
      <c r="K514" s="79"/>
      <c r="L514" s="79"/>
      <c r="M514" s="79"/>
      <c r="N514" s="79"/>
      <c r="O514" s="79"/>
      <c r="P514" s="79"/>
      <c r="Q514" s="79"/>
      <c r="R514" s="79"/>
      <c r="S514" s="79"/>
      <c r="T514" s="79"/>
      <c r="U514" s="79"/>
      <c r="V514" s="79"/>
      <c r="W514" s="79"/>
      <c r="X514" s="79"/>
      <c r="Y514" s="79"/>
      <c r="Z514" s="79"/>
    </row>
    <row r="515">
      <c r="A515" s="79"/>
      <c r="B515" s="79"/>
      <c r="C515" s="79"/>
      <c r="D515" s="79"/>
      <c r="E515" s="79"/>
      <c r="F515" s="79"/>
      <c r="G515" s="79"/>
      <c r="H515" s="79"/>
      <c r="I515" s="79"/>
      <c r="J515" s="79"/>
      <c r="K515" s="79"/>
      <c r="L515" s="79"/>
      <c r="M515" s="79"/>
      <c r="N515" s="79"/>
      <c r="O515" s="79"/>
      <c r="P515" s="79"/>
      <c r="Q515" s="79"/>
      <c r="R515" s="79"/>
      <c r="S515" s="79"/>
      <c r="T515" s="79"/>
      <c r="U515" s="79"/>
      <c r="V515" s="79"/>
      <c r="W515" s="79"/>
      <c r="X515" s="79"/>
      <c r="Y515" s="79"/>
      <c r="Z515" s="79"/>
    </row>
    <row r="516">
      <c r="A516" s="79"/>
      <c r="B516" s="79"/>
      <c r="C516" s="79"/>
      <c r="D516" s="79"/>
      <c r="E516" s="79"/>
      <c r="F516" s="79"/>
      <c r="G516" s="79"/>
      <c r="H516" s="79"/>
      <c r="I516" s="79"/>
      <c r="J516" s="79"/>
      <c r="K516" s="79"/>
      <c r="L516" s="79"/>
      <c r="M516" s="79"/>
      <c r="N516" s="79"/>
      <c r="O516" s="79"/>
      <c r="P516" s="79"/>
      <c r="Q516" s="79"/>
      <c r="R516" s="79"/>
      <c r="S516" s="79"/>
      <c r="T516" s="79"/>
      <c r="U516" s="79"/>
      <c r="V516" s="79"/>
      <c r="W516" s="79"/>
      <c r="X516" s="79"/>
      <c r="Y516" s="79"/>
      <c r="Z516" s="79"/>
    </row>
    <row r="517">
      <c r="A517" s="79"/>
      <c r="B517" s="79"/>
      <c r="C517" s="79"/>
      <c r="D517" s="79"/>
      <c r="E517" s="79"/>
      <c r="F517" s="79"/>
      <c r="G517" s="79"/>
      <c r="H517" s="79"/>
      <c r="I517" s="79"/>
      <c r="J517" s="79"/>
      <c r="K517" s="79"/>
      <c r="L517" s="79"/>
      <c r="M517" s="79"/>
      <c r="N517" s="79"/>
      <c r="O517" s="79"/>
      <c r="P517" s="79"/>
      <c r="Q517" s="79"/>
      <c r="R517" s="79"/>
      <c r="S517" s="79"/>
      <c r="T517" s="79"/>
      <c r="U517" s="79"/>
      <c r="V517" s="79"/>
      <c r="W517" s="79"/>
      <c r="X517" s="79"/>
      <c r="Y517" s="79"/>
      <c r="Z517" s="79"/>
    </row>
    <row r="518">
      <c r="A518" s="79"/>
      <c r="B518" s="79"/>
      <c r="C518" s="79"/>
      <c r="D518" s="79"/>
      <c r="E518" s="79"/>
      <c r="F518" s="79"/>
      <c r="G518" s="79"/>
      <c r="H518" s="79"/>
      <c r="I518" s="79"/>
      <c r="J518" s="79"/>
      <c r="K518" s="79"/>
      <c r="L518" s="79"/>
      <c r="M518" s="79"/>
      <c r="N518" s="79"/>
      <c r="O518" s="79"/>
      <c r="P518" s="79"/>
      <c r="Q518" s="79"/>
      <c r="R518" s="79"/>
      <c r="S518" s="79"/>
      <c r="T518" s="79"/>
      <c r="U518" s="79"/>
      <c r="V518" s="79"/>
      <c r="W518" s="79"/>
      <c r="X518" s="79"/>
      <c r="Y518" s="79"/>
      <c r="Z518" s="79"/>
    </row>
    <row r="519">
      <c r="A519" s="79"/>
      <c r="B519" s="79"/>
      <c r="C519" s="79"/>
      <c r="D519" s="79"/>
      <c r="E519" s="79"/>
      <c r="F519" s="79"/>
      <c r="G519" s="79"/>
      <c r="H519" s="79"/>
      <c r="I519" s="79"/>
      <c r="J519" s="79"/>
      <c r="K519" s="79"/>
      <c r="L519" s="79"/>
      <c r="M519" s="79"/>
      <c r="N519" s="79"/>
      <c r="O519" s="79"/>
      <c r="P519" s="79"/>
      <c r="Q519" s="79"/>
      <c r="R519" s="79"/>
      <c r="S519" s="79"/>
      <c r="T519" s="79"/>
      <c r="U519" s="79"/>
      <c r="V519" s="79"/>
      <c r="W519" s="79"/>
      <c r="X519" s="79"/>
      <c r="Y519" s="79"/>
      <c r="Z519" s="79"/>
    </row>
    <row r="520">
      <c r="A520" s="79"/>
      <c r="B520" s="79"/>
      <c r="C520" s="79"/>
      <c r="D520" s="79"/>
      <c r="E520" s="79"/>
      <c r="F520" s="79"/>
      <c r="G520" s="79"/>
      <c r="H520" s="79"/>
      <c r="I520" s="79"/>
      <c r="J520" s="79"/>
      <c r="K520" s="79"/>
      <c r="L520" s="79"/>
      <c r="M520" s="79"/>
      <c r="N520" s="79"/>
      <c r="O520" s="79"/>
      <c r="P520" s="79"/>
      <c r="Q520" s="79"/>
      <c r="R520" s="79"/>
      <c r="S520" s="79"/>
      <c r="T520" s="79"/>
      <c r="U520" s="79"/>
      <c r="V520" s="79"/>
      <c r="W520" s="79"/>
      <c r="X520" s="79"/>
      <c r="Y520" s="79"/>
      <c r="Z520" s="79"/>
    </row>
    <row r="521">
      <c r="A521" s="79"/>
      <c r="B521" s="79"/>
      <c r="C521" s="79"/>
      <c r="D521" s="79"/>
      <c r="E521" s="79"/>
      <c r="F521" s="79"/>
      <c r="G521" s="79"/>
      <c r="H521" s="79"/>
      <c r="I521" s="79"/>
      <c r="J521" s="79"/>
      <c r="K521" s="79"/>
      <c r="L521" s="79"/>
      <c r="M521" s="79"/>
      <c r="N521" s="79"/>
      <c r="O521" s="79"/>
      <c r="P521" s="79"/>
      <c r="Q521" s="79"/>
      <c r="R521" s="79"/>
      <c r="S521" s="79"/>
      <c r="T521" s="79"/>
      <c r="U521" s="79"/>
      <c r="V521" s="79"/>
      <c r="W521" s="79"/>
      <c r="X521" s="79"/>
      <c r="Y521" s="79"/>
      <c r="Z521" s="79"/>
    </row>
    <row r="522">
      <c r="A522" s="79"/>
      <c r="B522" s="79"/>
      <c r="C522" s="79"/>
      <c r="D522" s="79"/>
      <c r="E522" s="79"/>
      <c r="F522" s="79"/>
      <c r="G522" s="79"/>
      <c r="H522" s="79"/>
      <c r="I522" s="79"/>
      <c r="J522" s="79"/>
      <c r="K522" s="79"/>
      <c r="L522" s="79"/>
      <c r="M522" s="79"/>
      <c r="N522" s="79"/>
      <c r="O522" s="79"/>
      <c r="P522" s="79"/>
      <c r="Q522" s="79"/>
      <c r="R522" s="79"/>
      <c r="S522" s="79"/>
      <c r="T522" s="79"/>
      <c r="U522" s="79"/>
      <c r="V522" s="79"/>
      <c r="W522" s="79"/>
      <c r="X522" s="79"/>
      <c r="Y522" s="79"/>
      <c r="Z522" s="79"/>
    </row>
    <row r="523">
      <c r="A523" s="79"/>
      <c r="B523" s="79"/>
      <c r="C523" s="79"/>
      <c r="D523" s="79"/>
      <c r="E523" s="79"/>
      <c r="F523" s="79"/>
      <c r="G523" s="79"/>
      <c r="H523" s="79"/>
      <c r="I523" s="79"/>
      <c r="J523" s="79"/>
      <c r="K523" s="79"/>
      <c r="L523" s="79"/>
      <c r="M523" s="79"/>
      <c r="N523" s="79"/>
      <c r="O523" s="79"/>
      <c r="P523" s="79"/>
      <c r="Q523" s="79"/>
      <c r="R523" s="79"/>
      <c r="S523" s="79"/>
      <c r="T523" s="79"/>
      <c r="U523" s="79"/>
      <c r="V523" s="79"/>
      <c r="W523" s="79"/>
      <c r="X523" s="79"/>
      <c r="Y523" s="79"/>
      <c r="Z523" s="79"/>
    </row>
    <row r="524">
      <c r="A524" s="79"/>
      <c r="B524" s="79"/>
      <c r="C524" s="79"/>
      <c r="D524" s="79"/>
      <c r="E524" s="79"/>
      <c r="F524" s="79"/>
      <c r="G524" s="79"/>
      <c r="H524" s="79"/>
      <c r="I524" s="79"/>
      <c r="J524" s="79"/>
      <c r="K524" s="79"/>
      <c r="L524" s="79"/>
      <c r="M524" s="79"/>
      <c r="N524" s="79"/>
      <c r="O524" s="79"/>
      <c r="P524" s="79"/>
      <c r="Q524" s="79"/>
      <c r="R524" s="79"/>
      <c r="S524" s="79"/>
      <c r="T524" s="79"/>
      <c r="U524" s="79"/>
      <c r="V524" s="79"/>
      <c r="W524" s="79"/>
      <c r="X524" s="79"/>
      <c r="Y524" s="79"/>
      <c r="Z524" s="79"/>
    </row>
    <row r="525">
      <c r="A525" s="79"/>
      <c r="B525" s="79"/>
      <c r="C525" s="79"/>
      <c r="D525" s="79"/>
      <c r="E525" s="79"/>
      <c r="F525" s="79"/>
      <c r="G525" s="79"/>
      <c r="H525" s="79"/>
      <c r="I525" s="79"/>
      <c r="J525" s="79"/>
      <c r="K525" s="79"/>
      <c r="L525" s="79"/>
      <c r="M525" s="79"/>
      <c r="N525" s="79"/>
      <c r="O525" s="79"/>
      <c r="P525" s="79"/>
      <c r="Q525" s="79"/>
      <c r="R525" s="79"/>
      <c r="S525" s="79"/>
      <c r="T525" s="79"/>
      <c r="U525" s="79"/>
      <c r="V525" s="79"/>
      <c r="W525" s="79"/>
      <c r="X525" s="79"/>
      <c r="Y525" s="79"/>
      <c r="Z525" s="79"/>
    </row>
    <row r="526">
      <c r="A526" s="79"/>
      <c r="B526" s="79"/>
      <c r="C526" s="79"/>
      <c r="D526" s="79"/>
      <c r="E526" s="79"/>
      <c r="F526" s="79"/>
      <c r="G526" s="79"/>
      <c r="H526" s="79"/>
      <c r="I526" s="79"/>
      <c r="J526" s="79"/>
      <c r="K526" s="79"/>
      <c r="L526" s="79"/>
      <c r="M526" s="79"/>
      <c r="N526" s="79"/>
      <c r="O526" s="79"/>
      <c r="P526" s="79"/>
      <c r="Q526" s="79"/>
      <c r="R526" s="79"/>
      <c r="S526" s="79"/>
      <c r="T526" s="79"/>
      <c r="U526" s="79"/>
      <c r="V526" s="79"/>
      <c r="W526" s="79"/>
      <c r="X526" s="79"/>
      <c r="Y526" s="79"/>
      <c r="Z526" s="79"/>
    </row>
    <row r="527">
      <c r="A527" s="79"/>
      <c r="B527" s="79"/>
      <c r="C527" s="79"/>
      <c r="D527" s="79"/>
      <c r="E527" s="79"/>
      <c r="F527" s="79"/>
      <c r="G527" s="79"/>
      <c r="H527" s="79"/>
      <c r="I527" s="79"/>
      <c r="J527" s="79"/>
      <c r="K527" s="79"/>
      <c r="L527" s="79"/>
      <c r="M527" s="79"/>
      <c r="N527" s="79"/>
      <c r="O527" s="79"/>
      <c r="P527" s="79"/>
      <c r="Q527" s="79"/>
      <c r="R527" s="79"/>
      <c r="S527" s="79"/>
      <c r="T527" s="79"/>
      <c r="U527" s="79"/>
      <c r="V527" s="79"/>
      <c r="W527" s="79"/>
      <c r="X527" s="79"/>
      <c r="Y527" s="79"/>
      <c r="Z527" s="79"/>
    </row>
    <row r="528">
      <c r="A528" s="79"/>
      <c r="B528" s="79"/>
      <c r="C528" s="79"/>
      <c r="D528" s="79"/>
      <c r="E528" s="79"/>
      <c r="F528" s="79"/>
      <c r="G528" s="79"/>
      <c r="H528" s="79"/>
      <c r="I528" s="79"/>
      <c r="J528" s="79"/>
      <c r="K528" s="79"/>
      <c r="L528" s="79"/>
      <c r="M528" s="79"/>
      <c r="N528" s="79"/>
      <c r="O528" s="79"/>
      <c r="P528" s="79"/>
      <c r="Q528" s="79"/>
      <c r="R528" s="79"/>
      <c r="S528" s="79"/>
      <c r="T528" s="79"/>
      <c r="U528" s="79"/>
      <c r="V528" s="79"/>
      <c r="W528" s="79"/>
      <c r="X528" s="79"/>
      <c r="Y528" s="79"/>
      <c r="Z528" s="79"/>
    </row>
    <row r="529">
      <c r="A529" s="79"/>
      <c r="B529" s="79"/>
      <c r="C529" s="79"/>
      <c r="D529" s="79"/>
      <c r="E529" s="79"/>
      <c r="F529" s="79"/>
      <c r="G529" s="79"/>
      <c r="H529" s="79"/>
      <c r="I529" s="79"/>
      <c r="J529" s="79"/>
      <c r="K529" s="79"/>
      <c r="L529" s="79"/>
      <c r="M529" s="79"/>
      <c r="N529" s="79"/>
      <c r="O529" s="79"/>
      <c r="P529" s="79"/>
      <c r="Q529" s="79"/>
      <c r="R529" s="79"/>
      <c r="S529" s="79"/>
      <c r="T529" s="79"/>
      <c r="U529" s="79"/>
      <c r="V529" s="79"/>
      <c r="W529" s="79"/>
      <c r="X529" s="79"/>
      <c r="Y529" s="79"/>
      <c r="Z529" s="79"/>
    </row>
    <row r="530">
      <c r="A530" s="79"/>
      <c r="B530" s="79"/>
      <c r="C530" s="79"/>
      <c r="D530" s="79"/>
      <c r="E530" s="79"/>
      <c r="F530" s="79"/>
      <c r="G530" s="79"/>
      <c r="H530" s="79"/>
      <c r="I530" s="79"/>
      <c r="J530" s="79"/>
      <c r="K530" s="79"/>
      <c r="L530" s="79"/>
      <c r="M530" s="79"/>
      <c r="N530" s="79"/>
      <c r="O530" s="79"/>
      <c r="P530" s="79"/>
      <c r="Q530" s="79"/>
      <c r="R530" s="79"/>
      <c r="S530" s="79"/>
      <c r="T530" s="79"/>
      <c r="U530" s="79"/>
      <c r="V530" s="79"/>
      <c r="W530" s="79"/>
      <c r="X530" s="79"/>
      <c r="Y530" s="79"/>
      <c r="Z530" s="79"/>
    </row>
    <row r="531">
      <c r="A531" s="79"/>
      <c r="B531" s="79"/>
      <c r="C531" s="79"/>
      <c r="D531" s="79"/>
      <c r="E531" s="79"/>
      <c r="F531" s="79"/>
      <c r="G531" s="79"/>
      <c r="H531" s="79"/>
      <c r="I531" s="79"/>
      <c r="J531" s="79"/>
      <c r="K531" s="79"/>
      <c r="L531" s="79"/>
      <c r="M531" s="79"/>
      <c r="N531" s="79"/>
      <c r="O531" s="79"/>
      <c r="P531" s="79"/>
      <c r="Q531" s="79"/>
      <c r="R531" s="79"/>
      <c r="S531" s="79"/>
      <c r="T531" s="79"/>
      <c r="U531" s="79"/>
      <c r="V531" s="79"/>
      <c r="W531" s="79"/>
      <c r="X531" s="79"/>
      <c r="Y531" s="79"/>
      <c r="Z531" s="79"/>
    </row>
    <row r="532">
      <c r="A532" s="79"/>
      <c r="B532" s="79"/>
      <c r="C532" s="79"/>
      <c r="D532" s="79"/>
      <c r="E532" s="79"/>
      <c r="F532" s="79"/>
      <c r="G532" s="79"/>
      <c r="H532" s="79"/>
      <c r="I532" s="79"/>
      <c r="J532" s="79"/>
      <c r="K532" s="79"/>
      <c r="L532" s="79"/>
      <c r="M532" s="79"/>
      <c r="N532" s="79"/>
      <c r="O532" s="79"/>
      <c r="P532" s="79"/>
      <c r="Q532" s="79"/>
      <c r="R532" s="79"/>
      <c r="S532" s="79"/>
      <c r="T532" s="79"/>
      <c r="U532" s="79"/>
      <c r="V532" s="79"/>
      <c r="W532" s="79"/>
      <c r="X532" s="79"/>
      <c r="Y532" s="79"/>
      <c r="Z532" s="79"/>
    </row>
    <row r="533">
      <c r="A533" s="79"/>
      <c r="B533" s="79"/>
      <c r="C533" s="79"/>
      <c r="D533" s="79"/>
      <c r="E533" s="79"/>
      <c r="F533" s="79"/>
      <c r="G533" s="79"/>
      <c r="H533" s="79"/>
      <c r="I533" s="79"/>
      <c r="J533" s="79"/>
      <c r="K533" s="79"/>
      <c r="L533" s="79"/>
      <c r="M533" s="79"/>
      <c r="N533" s="79"/>
      <c r="O533" s="79"/>
      <c r="P533" s="79"/>
      <c r="Q533" s="79"/>
      <c r="R533" s="79"/>
      <c r="S533" s="79"/>
      <c r="T533" s="79"/>
      <c r="U533" s="79"/>
      <c r="V533" s="79"/>
      <c r="W533" s="79"/>
      <c r="X533" s="79"/>
      <c r="Y533" s="79"/>
      <c r="Z533" s="79"/>
    </row>
    <row r="534">
      <c r="A534" s="79"/>
      <c r="B534" s="79"/>
      <c r="C534" s="79"/>
      <c r="D534" s="79"/>
      <c r="E534" s="79"/>
      <c r="F534" s="79"/>
      <c r="G534" s="79"/>
      <c r="H534" s="79"/>
      <c r="I534" s="79"/>
      <c r="J534" s="79"/>
      <c r="K534" s="79"/>
      <c r="L534" s="79"/>
      <c r="M534" s="79"/>
      <c r="N534" s="79"/>
      <c r="O534" s="79"/>
      <c r="P534" s="79"/>
      <c r="Q534" s="79"/>
      <c r="R534" s="79"/>
      <c r="S534" s="79"/>
      <c r="T534" s="79"/>
      <c r="U534" s="79"/>
      <c r="V534" s="79"/>
      <c r="W534" s="79"/>
      <c r="X534" s="79"/>
      <c r="Y534" s="79"/>
      <c r="Z534" s="79"/>
    </row>
    <row r="535">
      <c r="A535" s="79"/>
      <c r="B535" s="79"/>
      <c r="C535" s="79"/>
      <c r="D535" s="79"/>
      <c r="E535" s="79"/>
      <c r="F535" s="79"/>
      <c r="G535" s="79"/>
      <c r="H535" s="79"/>
      <c r="I535" s="79"/>
      <c r="J535" s="79"/>
      <c r="K535" s="79"/>
      <c r="L535" s="79"/>
      <c r="M535" s="79"/>
      <c r="N535" s="79"/>
      <c r="O535" s="79"/>
      <c r="P535" s="79"/>
      <c r="Q535" s="79"/>
      <c r="R535" s="79"/>
      <c r="S535" s="79"/>
      <c r="T535" s="79"/>
      <c r="U535" s="79"/>
      <c r="V535" s="79"/>
      <c r="W535" s="79"/>
      <c r="X535" s="79"/>
      <c r="Y535" s="79"/>
      <c r="Z535" s="79"/>
    </row>
    <row r="536">
      <c r="A536" s="79"/>
      <c r="B536" s="79"/>
      <c r="C536" s="79"/>
      <c r="D536" s="79"/>
      <c r="E536" s="79"/>
      <c r="F536" s="79"/>
      <c r="G536" s="79"/>
      <c r="H536" s="79"/>
      <c r="I536" s="79"/>
      <c r="J536" s="79"/>
      <c r="K536" s="79"/>
      <c r="L536" s="79"/>
      <c r="M536" s="79"/>
      <c r="N536" s="79"/>
      <c r="O536" s="79"/>
      <c r="P536" s="79"/>
      <c r="Q536" s="79"/>
      <c r="R536" s="79"/>
      <c r="S536" s="79"/>
      <c r="T536" s="79"/>
      <c r="U536" s="79"/>
      <c r="V536" s="79"/>
      <c r="W536" s="79"/>
      <c r="X536" s="79"/>
      <c r="Y536" s="79"/>
      <c r="Z536" s="79"/>
    </row>
    <row r="537">
      <c r="A537" s="79"/>
      <c r="B537" s="79"/>
      <c r="C537" s="79"/>
      <c r="D537" s="79"/>
      <c r="E537" s="79"/>
      <c r="F537" s="79"/>
      <c r="G537" s="79"/>
      <c r="H537" s="79"/>
      <c r="I537" s="79"/>
      <c r="J537" s="79"/>
      <c r="K537" s="79"/>
      <c r="L537" s="79"/>
      <c r="M537" s="79"/>
      <c r="N537" s="79"/>
      <c r="O537" s="79"/>
      <c r="P537" s="79"/>
      <c r="Q537" s="79"/>
      <c r="R537" s="79"/>
      <c r="S537" s="79"/>
      <c r="T537" s="79"/>
      <c r="U537" s="79"/>
      <c r="V537" s="79"/>
      <c r="W537" s="79"/>
      <c r="X537" s="79"/>
      <c r="Y537" s="79"/>
      <c r="Z537" s="79"/>
    </row>
    <row r="538">
      <c r="A538" s="79"/>
      <c r="B538" s="79"/>
      <c r="C538" s="79"/>
      <c r="D538" s="79"/>
      <c r="E538" s="79"/>
      <c r="F538" s="79"/>
      <c r="G538" s="79"/>
      <c r="H538" s="79"/>
      <c r="I538" s="79"/>
      <c r="J538" s="79"/>
      <c r="K538" s="79"/>
      <c r="L538" s="79"/>
      <c r="M538" s="79"/>
      <c r="N538" s="79"/>
      <c r="O538" s="79"/>
      <c r="P538" s="79"/>
      <c r="Q538" s="79"/>
      <c r="R538" s="79"/>
      <c r="S538" s="79"/>
      <c r="T538" s="79"/>
      <c r="U538" s="79"/>
      <c r="V538" s="79"/>
      <c r="W538" s="79"/>
      <c r="X538" s="79"/>
      <c r="Y538" s="79"/>
      <c r="Z538" s="79"/>
    </row>
    <row r="539">
      <c r="A539" s="79"/>
      <c r="B539" s="79"/>
      <c r="C539" s="79"/>
      <c r="D539" s="79"/>
      <c r="E539" s="79"/>
      <c r="F539" s="79"/>
      <c r="G539" s="79"/>
      <c r="H539" s="79"/>
      <c r="I539" s="79"/>
      <c r="J539" s="79"/>
      <c r="K539" s="79"/>
      <c r="L539" s="79"/>
      <c r="M539" s="79"/>
      <c r="N539" s="79"/>
      <c r="O539" s="79"/>
      <c r="P539" s="79"/>
      <c r="Q539" s="79"/>
      <c r="R539" s="79"/>
      <c r="S539" s="79"/>
      <c r="T539" s="79"/>
      <c r="U539" s="79"/>
      <c r="V539" s="79"/>
      <c r="W539" s="79"/>
      <c r="X539" s="79"/>
      <c r="Y539" s="79"/>
      <c r="Z539" s="79"/>
    </row>
    <row r="540">
      <c r="A540" s="79"/>
      <c r="B540" s="79"/>
      <c r="C540" s="79"/>
      <c r="D540" s="79"/>
      <c r="E540" s="79"/>
      <c r="F540" s="79"/>
      <c r="G540" s="79"/>
      <c r="H540" s="79"/>
      <c r="I540" s="79"/>
      <c r="J540" s="79"/>
      <c r="K540" s="79"/>
      <c r="L540" s="79"/>
      <c r="M540" s="79"/>
      <c r="N540" s="79"/>
      <c r="O540" s="79"/>
      <c r="P540" s="79"/>
      <c r="Q540" s="79"/>
      <c r="R540" s="79"/>
      <c r="S540" s="79"/>
      <c r="T540" s="79"/>
      <c r="U540" s="79"/>
      <c r="V540" s="79"/>
      <c r="W540" s="79"/>
      <c r="X540" s="79"/>
      <c r="Y540" s="79"/>
      <c r="Z540" s="79"/>
    </row>
    <row r="541">
      <c r="A541" s="79"/>
      <c r="B541" s="79"/>
      <c r="C541" s="79"/>
      <c r="D541" s="79"/>
      <c r="E541" s="79"/>
      <c r="F541" s="79"/>
      <c r="G541" s="79"/>
      <c r="H541" s="79"/>
      <c r="I541" s="79"/>
      <c r="J541" s="79"/>
      <c r="K541" s="79"/>
      <c r="L541" s="79"/>
      <c r="M541" s="79"/>
      <c r="N541" s="79"/>
      <c r="O541" s="79"/>
      <c r="P541" s="79"/>
      <c r="Q541" s="79"/>
      <c r="R541" s="79"/>
      <c r="S541" s="79"/>
      <c r="T541" s="79"/>
      <c r="U541" s="79"/>
      <c r="V541" s="79"/>
      <c r="W541" s="79"/>
      <c r="X541" s="79"/>
      <c r="Y541" s="79"/>
      <c r="Z541" s="79"/>
    </row>
    <row r="542">
      <c r="A542" s="79"/>
      <c r="B542" s="79"/>
      <c r="C542" s="79"/>
      <c r="D542" s="79"/>
      <c r="E542" s="79"/>
      <c r="F542" s="79"/>
      <c r="G542" s="79"/>
      <c r="H542" s="79"/>
      <c r="I542" s="79"/>
      <c r="J542" s="79"/>
      <c r="K542" s="79"/>
      <c r="L542" s="79"/>
      <c r="M542" s="79"/>
      <c r="N542" s="79"/>
      <c r="O542" s="79"/>
      <c r="P542" s="79"/>
      <c r="Q542" s="79"/>
      <c r="R542" s="79"/>
      <c r="S542" s="79"/>
      <c r="T542" s="79"/>
      <c r="U542" s="79"/>
      <c r="V542" s="79"/>
      <c r="W542" s="79"/>
      <c r="X542" s="79"/>
      <c r="Y542" s="79"/>
      <c r="Z542" s="79"/>
    </row>
    <row r="543">
      <c r="A543" s="79"/>
      <c r="B543" s="79"/>
      <c r="C543" s="79"/>
      <c r="D543" s="79"/>
      <c r="E543" s="79"/>
      <c r="F543" s="79"/>
      <c r="G543" s="79"/>
      <c r="H543" s="79"/>
      <c r="I543" s="79"/>
      <c r="J543" s="79"/>
      <c r="K543" s="79"/>
      <c r="L543" s="79"/>
      <c r="M543" s="79"/>
      <c r="N543" s="79"/>
      <c r="O543" s="79"/>
      <c r="P543" s="79"/>
      <c r="Q543" s="79"/>
      <c r="R543" s="79"/>
      <c r="S543" s="79"/>
      <c r="T543" s="79"/>
      <c r="U543" s="79"/>
      <c r="V543" s="79"/>
      <c r="W543" s="79"/>
      <c r="X543" s="79"/>
      <c r="Y543" s="79"/>
      <c r="Z543" s="79"/>
    </row>
    <row r="544">
      <c r="A544" s="79"/>
      <c r="B544" s="79"/>
      <c r="C544" s="79"/>
      <c r="D544" s="79"/>
      <c r="E544" s="79"/>
      <c r="F544" s="79"/>
      <c r="G544" s="79"/>
      <c r="H544" s="79"/>
      <c r="I544" s="79"/>
      <c r="J544" s="79"/>
      <c r="K544" s="79"/>
      <c r="L544" s="79"/>
      <c r="M544" s="79"/>
      <c r="N544" s="79"/>
      <c r="O544" s="79"/>
      <c r="P544" s="79"/>
      <c r="Q544" s="79"/>
      <c r="R544" s="79"/>
      <c r="S544" s="79"/>
      <c r="T544" s="79"/>
      <c r="U544" s="79"/>
      <c r="V544" s="79"/>
      <c r="W544" s="79"/>
      <c r="X544" s="79"/>
      <c r="Y544" s="79"/>
      <c r="Z544" s="79"/>
    </row>
    <row r="545">
      <c r="A545" s="79"/>
      <c r="B545" s="79"/>
      <c r="C545" s="79"/>
      <c r="D545" s="79"/>
      <c r="E545" s="79"/>
      <c r="F545" s="79"/>
      <c r="G545" s="79"/>
      <c r="H545" s="79"/>
      <c r="I545" s="79"/>
      <c r="J545" s="79"/>
      <c r="K545" s="79"/>
      <c r="L545" s="79"/>
      <c r="M545" s="79"/>
      <c r="N545" s="79"/>
      <c r="O545" s="79"/>
      <c r="P545" s="79"/>
      <c r="Q545" s="79"/>
      <c r="R545" s="79"/>
      <c r="S545" s="79"/>
      <c r="T545" s="79"/>
      <c r="U545" s="79"/>
      <c r="V545" s="79"/>
      <c r="W545" s="79"/>
      <c r="X545" s="79"/>
      <c r="Y545" s="79"/>
      <c r="Z545" s="79"/>
    </row>
    <row r="546">
      <c r="A546" s="79"/>
      <c r="B546" s="79"/>
      <c r="C546" s="79"/>
      <c r="D546" s="79"/>
      <c r="E546" s="79"/>
      <c r="F546" s="79"/>
      <c r="G546" s="79"/>
      <c r="H546" s="79"/>
      <c r="I546" s="79"/>
      <c r="J546" s="79"/>
      <c r="K546" s="79"/>
      <c r="L546" s="79"/>
      <c r="M546" s="79"/>
      <c r="N546" s="79"/>
      <c r="O546" s="79"/>
      <c r="P546" s="79"/>
      <c r="Q546" s="79"/>
      <c r="R546" s="79"/>
      <c r="S546" s="79"/>
      <c r="T546" s="79"/>
      <c r="U546" s="79"/>
      <c r="V546" s="79"/>
      <c r="W546" s="79"/>
      <c r="X546" s="79"/>
      <c r="Y546" s="79"/>
      <c r="Z546" s="79"/>
    </row>
    <row r="547">
      <c r="A547" s="79"/>
      <c r="B547" s="79"/>
      <c r="C547" s="79"/>
      <c r="D547" s="79"/>
      <c r="E547" s="79"/>
      <c r="F547" s="79"/>
      <c r="G547" s="79"/>
      <c r="H547" s="79"/>
      <c r="I547" s="79"/>
      <c r="J547" s="79"/>
      <c r="K547" s="79"/>
      <c r="L547" s="79"/>
      <c r="M547" s="79"/>
      <c r="N547" s="79"/>
      <c r="O547" s="79"/>
      <c r="P547" s="79"/>
      <c r="Q547" s="79"/>
      <c r="R547" s="79"/>
      <c r="S547" s="79"/>
      <c r="T547" s="79"/>
      <c r="U547" s="79"/>
      <c r="V547" s="79"/>
      <c r="W547" s="79"/>
      <c r="X547" s="79"/>
      <c r="Y547" s="79"/>
      <c r="Z547" s="79"/>
    </row>
    <row r="548">
      <c r="A548" s="79"/>
      <c r="B548" s="79"/>
      <c r="C548" s="79"/>
      <c r="D548" s="79"/>
      <c r="E548" s="79"/>
      <c r="F548" s="79"/>
      <c r="G548" s="79"/>
      <c r="H548" s="79"/>
      <c r="I548" s="79"/>
      <c r="J548" s="79"/>
      <c r="K548" s="79"/>
      <c r="L548" s="79"/>
      <c r="M548" s="79"/>
      <c r="N548" s="79"/>
      <c r="O548" s="79"/>
      <c r="P548" s="79"/>
      <c r="Q548" s="79"/>
      <c r="R548" s="79"/>
      <c r="S548" s="79"/>
      <c r="T548" s="79"/>
      <c r="U548" s="79"/>
      <c r="V548" s="79"/>
      <c r="W548" s="79"/>
      <c r="X548" s="79"/>
      <c r="Y548" s="79"/>
      <c r="Z548" s="79"/>
    </row>
    <row r="549">
      <c r="A549" s="79"/>
      <c r="B549" s="79"/>
      <c r="C549" s="79"/>
      <c r="D549" s="79"/>
      <c r="E549" s="79"/>
      <c r="F549" s="79"/>
      <c r="G549" s="79"/>
      <c r="H549" s="79"/>
      <c r="I549" s="79"/>
      <c r="J549" s="79"/>
      <c r="K549" s="79"/>
      <c r="L549" s="79"/>
      <c r="M549" s="79"/>
      <c r="N549" s="79"/>
      <c r="O549" s="79"/>
      <c r="P549" s="79"/>
      <c r="Q549" s="79"/>
      <c r="R549" s="79"/>
      <c r="S549" s="79"/>
      <c r="T549" s="79"/>
      <c r="U549" s="79"/>
      <c r="V549" s="79"/>
      <c r="W549" s="79"/>
      <c r="X549" s="79"/>
      <c r="Y549" s="79"/>
      <c r="Z549" s="79"/>
    </row>
    <row r="550">
      <c r="A550" s="79"/>
      <c r="B550" s="79"/>
      <c r="C550" s="79"/>
      <c r="D550" s="79"/>
      <c r="E550" s="79"/>
      <c r="F550" s="79"/>
      <c r="G550" s="79"/>
      <c r="H550" s="79"/>
      <c r="I550" s="79"/>
      <c r="J550" s="79"/>
      <c r="K550" s="79"/>
      <c r="L550" s="79"/>
      <c r="M550" s="79"/>
      <c r="N550" s="79"/>
      <c r="O550" s="79"/>
      <c r="P550" s="79"/>
      <c r="Q550" s="79"/>
      <c r="R550" s="79"/>
      <c r="S550" s="79"/>
      <c r="T550" s="79"/>
      <c r="U550" s="79"/>
      <c r="V550" s="79"/>
      <c r="W550" s="79"/>
      <c r="X550" s="79"/>
      <c r="Y550" s="79"/>
      <c r="Z550" s="79"/>
    </row>
    <row r="551">
      <c r="A551" s="79"/>
      <c r="B551" s="79"/>
      <c r="C551" s="79"/>
      <c r="D551" s="79"/>
      <c r="E551" s="79"/>
      <c r="F551" s="79"/>
      <c r="G551" s="79"/>
      <c r="H551" s="79"/>
      <c r="I551" s="79"/>
      <c r="J551" s="79"/>
      <c r="K551" s="79"/>
      <c r="L551" s="79"/>
      <c r="M551" s="79"/>
      <c r="N551" s="79"/>
      <c r="O551" s="79"/>
      <c r="P551" s="79"/>
      <c r="Q551" s="79"/>
      <c r="R551" s="79"/>
      <c r="S551" s="79"/>
      <c r="T551" s="79"/>
      <c r="U551" s="79"/>
      <c r="V551" s="79"/>
      <c r="W551" s="79"/>
      <c r="X551" s="79"/>
      <c r="Y551" s="79"/>
      <c r="Z551" s="79"/>
    </row>
    <row r="552">
      <c r="A552" s="79"/>
      <c r="B552" s="79"/>
      <c r="C552" s="79"/>
      <c r="D552" s="79"/>
      <c r="E552" s="79"/>
      <c r="F552" s="79"/>
      <c r="G552" s="79"/>
      <c r="H552" s="79"/>
      <c r="I552" s="79"/>
      <c r="J552" s="79"/>
      <c r="K552" s="79"/>
      <c r="L552" s="79"/>
      <c r="M552" s="79"/>
      <c r="N552" s="79"/>
      <c r="O552" s="79"/>
      <c r="P552" s="79"/>
      <c r="Q552" s="79"/>
      <c r="R552" s="79"/>
      <c r="S552" s="79"/>
      <c r="T552" s="79"/>
      <c r="U552" s="79"/>
      <c r="V552" s="79"/>
      <c r="W552" s="79"/>
      <c r="X552" s="79"/>
      <c r="Y552" s="79"/>
      <c r="Z552" s="79"/>
    </row>
    <row r="553">
      <c r="A553" s="79"/>
      <c r="B553" s="79"/>
      <c r="C553" s="79"/>
      <c r="D553" s="79"/>
      <c r="E553" s="79"/>
      <c r="F553" s="79"/>
      <c r="G553" s="79"/>
      <c r="H553" s="79"/>
      <c r="I553" s="79"/>
      <c r="J553" s="79"/>
      <c r="K553" s="79"/>
      <c r="L553" s="79"/>
      <c r="M553" s="79"/>
      <c r="N553" s="79"/>
      <c r="O553" s="79"/>
      <c r="P553" s="79"/>
      <c r="Q553" s="79"/>
      <c r="R553" s="79"/>
      <c r="S553" s="79"/>
      <c r="T553" s="79"/>
      <c r="U553" s="79"/>
      <c r="V553" s="79"/>
      <c r="W553" s="79"/>
      <c r="X553" s="79"/>
      <c r="Y553" s="79"/>
      <c r="Z553" s="79"/>
    </row>
    <row r="554">
      <c r="A554" s="79"/>
      <c r="B554" s="79"/>
      <c r="C554" s="79"/>
      <c r="D554" s="79"/>
      <c r="E554" s="79"/>
      <c r="F554" s="79"/>
      <c r="G554" s="79"/>
      <c r="H554" s="79"/>
      <c r="I554" s="79"/>
      <c r="J554" s="79"/>
      <c r="K554" s="79"/>
      <c r="L554" s="79"/>
      <c r="M554" s="79"/>
      <c r="N554" s="79"/>
      <c r="O554" s="79"/>
      <c r="P554" s="79"/>
      <c r="Q554" s="79"/>
      <c r="R554" s="79"/>
      <c r="S554" s="79"/>
      <c r="T554" s="79"/>
      <c r="U554" s="79"/>
      <c r="V554" s="79"/>
      <c r="W554" s="79"/>
      <c r="X554" s="79"/>
      <c r="Y554" s="79"/>
      <c r="Z554" s="79"/>
    </row>
    <row r="555">
      <c r="A555" s="79"/>
      <c r="B555" s="79"/>
      <c r="C555" s="79"/>
      <c r="D555" s="79"/>
      <c r="E555" s="79"/>
      <c r="F555" s="79"/>
      <c r="G555" s="79"/>
      <c r="H555" s="79"/>
      <c r="I555" s="79"/>
      <c r="J555" s="79"/>
      <c r="K555" s="79"/>
      <c r="L555" s="79"/>
      <c r="M555" s="79"/>
      <c r="N555" s="79"/>
      <c r="O555" s="79"/>
      <c r="P555" s="79"/>
      <c r="Q555" s="79"/>
      <c r="R555" s="79"/>
      <c r="S555" s="79"/>
      <c r="T555" s="79"/>
      <c r="U555" s="79"/>
      <c r="V555" s="79"/>
      <c r="W555" s="79"/>
      <c r="X555" s="79"/>
      <c r="Y555" s="79"/>
      <c r="Z555" s="79"/>
    </row>
    <row r="556">
      <c r="A556" s="79"/>
      <c r="B556" s="79"/>
      <c r="C556" s="79"/>
      <c r="D556" s="79"/>
      <c r="E556" s="79"/>
      <c r="F556" s="79"/>
      <c r="G556" s="79"/>
      <c r="H556" s="79"/>
      <c r="I556" s="79"/>
      <c r="J556" s="79"/>
      <c r="K556" s="79"/>
      <c r="L556" s="79"/>
      <c r="M556" s="79"/>
      <c r="N556" s="79"/>
      <c r="O556" s="79"/>
      <c r="P556" s="79"/>
      <c r="Q556" s="79"/>
      <c r="R556" s="79"/>
      <c r="S556" s="79"/>
      <c r="T556" s="79"/>
      <c r="U556" s="79"/>
      <c r="V556" s="79"/>
      <c r="W556" s="79"/>
      <c r="X556" s="79"/>
      <c r="Y556" s="79"/>
      <c r="Z556" s="79"/>
    </row>
    <row r="557">
      <c r="A557" s="79"/>
      <c r="B557" s="79"/>
      <c r="C557" s="79"/>
      <c r="D557" s="79"/>
      <c r="E557" s="79"/>
      <c r="F557" s="79"/>
      <c r="G557" s="79"/>
      <c r="H557" s="79"/>
      <c r="I557" s="79"/>
      <c r="J557" s="79"/>
      <c r="K557" s="79"/>
      <c r="L557" s="79"/>
      <c r="M557" s="79"/>
      <c r="N557" s="79"/>
      <c r="O557" s="79"/>
      <c r="P557" s="79"/>
      <c r="Q557" s="79"/>
      <c r="R557" s="79"/>
      <c r="S557" s="79"/>
      <c r="T557" s="79"/>
      <c r="U557" s="79"/>
      <c r="V557" s="79"/>
      <c r="W557" s="79"/>
      <c r="X557" s="79"/>
      <c r="Y557" s="79"/>
      <c r="Z557" s="79"/>
    </row>
    <row r="558">
      <c r="A558" s="79"/>
      <c r="B558" s="79"/>
      <c r="C558" s="79"/>
      <c r="D558" s="79"/>
      <c r="E558" s="79"/>
      <c r="F558" s="79"/>
      <c r="G558" s="79"/>
      <c r="H558" s="79"/>
      <c r="I558" s="79"/>
      <c r="J558" s="79"/>
      <c r="K558" s="79"/>
      <c r="L558" s="79"/>
      <c r="M558" s="79"/>
      <c r="N558" s="79"/>
      <c r="O558" s="79"/>
      <c r="P558" s="79"/>
      <c r="Q558" s="79"/>
      <c r="R558" s="79"/>
      <c r="S558" s="79"/>
      <c r="T558" s="79"/>
      <c r="U558" s="79"/>
      <c r="V558" s="79"/>
      <c r="W558" s="79"/>
      <c r="X558" s="79"/>
      <c r="Y558" s="79"/>
      <c r="Z558" s="79"/>
    </row>
    <row r="559">
      <c r="A559" s="79"/>
      <c r="B559" s="79"/>
      <c r="C559" s="79"/>
      <c r="D559" s="79"/>
      <c r="E559" s="79"/>
      <c r="F559" s="79"/>
      <c r="G559" s="79"/>
      <c r="H559" s="79"/>
      <c r="I559" s="79"/>
      <c r="J559" s="79"/>
      <c r="K559" s="79"/>
      <c r="L559" s="79"/>
      <c r="M559" s="79"/>
      <c r="N559" s="79"/>
      <c r="O559" s="79"/>
      <c r="P559" s="79"/>
      <c r="Q559" s="79"/>
      <c r="R559" s="79"/>
      <c r="S559" s="79"/>
      <c r="T559" s="79"/>
      <c r="U559" s="79"/>
      <c r="V559" s="79"/>
      <c r="W559" s="79"/>
      <c r="X559" s="79"/>
      <c r="Y559" s="79"/>
      <c r="Z559" s="79"/>
    </row>
    <row r="560">
      <c r="A560" s="79"/>
      <c r="B560" s="79"/>
      <c r="C560" s="79"/>
      <c r="D560" s="79"/>
      <c r="E560" s="79"/>
      <c r="F560" s="79"/>
      <c r="G560" s="79"/>
      <c r="H560" s="79"/>
      <c r="I560" s="79"/>
      <c r="J560" s="79"/>
      <c r="K560" s="79"/>
      <c r="L560" s="79"/>
      <c r="M560" s="79"/>
      <c r="N560" s="79"/>
      <c r="O560" s="79"/>
      <c r="P560" s="79"/>
      <c r="Q560" s="79"/>
      <c r="R560" s="79"/>
      <c r="S560" s="79"/>
      <c r="T560" s="79"/>
      <c r="U560" s="79"/>
      <c r="V560" s="79"/>
      <c r="W560" s="79"/>
      <c r="X560" s="79"/>
      <c r="Y560" s="79"/>
      <c r="Z560" s="79"/>
    </row>
    <row r="561">
      <c r="A561" s="79"/>
      <c r="B561" s="79"/>
      <c r="C561" s="79"/>
      <c r="D561" s="79"/>
      <c r="E561" s="79"/>
      <c r="F561" s="79"/>
      <c r="G561" s="79"/>
      <c r="H561" s="79"/>
      <c r="I561" s="79"/>
      <c r="J561" s="79"/>
      <c r="K561" s="79"/>
      <c r="L561" s="79"/>
      <c r="M561" s="79"/>
      <c r="N561" s="79"/>
      <c r="O561" s="79"/>
      <c r="P561" s="79"/>
      <c r="Q561" s="79"/>
      <c r="R561" s="79"/>
      <c r="S561" s="79"/>
      <c r="T561" s="79"/>
      <c r="U561" s="79"/>
      <c r="V561" s="79"/>
      <c r="W561" s="79"/>
      <c r="X561" s="79"/>
      <c r="Y561" s="79"/>
      <c r="Z561" s="79"/>
    </row>
    <row r="562">
      <c r="A562" s="79"/>
      <c r="B562" s="79"/>
      <c r="C562" s="79"/>
      <c r="D562" s="79"/>
      <c r="E562" s="79"/>
      <c r="F562" s="79"/>
      <c r="G562" s="79"/>
      <c r="H562" s="79"/>
      <c r="I562" s="79"/>
      <c r="J562" s="79"/>
      <c r="K562" s="79"/>
      <c r="L562" s="79"/>
      <c r="M562" s="79"/>
      <c r="N562" s="79"/>
      <c r="O562" s="79"/>
      <c r="P562" s="79"/>
      <c r="Q562" s="79"/>
      <c r="R562" s="79"/>
      <c r="S562" s="79"/>
      <c r="T562" s="79"/>
      <c r="U562" s="79"/>
      <c r="V562" s="79"/>
      <c r="W562" s="79"/>
      <c r="X562" s="79"/>
      <c r="Y562" s="79"/>
      <c r="Z562" s="79"/>
    </row>
    <row r="563">
      <c r="A563" s="79"/>
      <c r="B563" s="79"/>
      <c r="C563" s="79"/>
      <c r="D563" s="79"/>
      <c r="E563" s="79"/>
      <c r="F563" s="79"/>
      <c r="G563" s="79"/>
      <c r="H563" s="79"/>
      <c r="I563" s="79"/>
      <c r="J563" s="79"/>
      <c r="K563" s="79"/>
      <c r="L563" s="79"/>
      <c r="M563" s="79"/>
      <c r="N563" s="79"/>
      <c r="O563" s="79"/>
      <c r="P563" s="79"/>
      <c r="Q563" s="79"/>
      <c r="R563" s="79"/>
      <c r="S563" s="79"/>
      <c r="T563" s="79"/>
      <c r="U563" s="79"/>
      <c r="V563" s="79"/>
      <c r="W563" s="79"/>
      <c r="X563" s="79"/>
      <c r="Y563" s="79"/>
      <c r="Z563" s="79"/>
    </row>
    <row r="564">
      <c r="A564" s="79"/>
      <c r="B564" s="79"/>
      <c r="C564" s="79"/>
      <c r="D564" s="79"/>
      <c r="E564" s="79"/>
      <c r="F564" s="79"/>
      <c r="G564" s="79"/>
      <c r="H564" s="79"/>
      <c r="I564" s="79"/>
      <c r="J564" s="79"/>
      <c r="K564" s="79"/>
      <c r="L564" s="79"/>
      <c r="M564" s="79"/>
      <c r="N564" s="79"/>
      <c r="O564" s="79"/>
      <c r="P564" s="79"/>
      <c r="Q564" s="79"/>
      <c r="R564" s="79"/>
      <c r="S564" s="79"/>
      <c r="T564" s="79"/>
      <c r="U564" s="79"/>
      <c r="V564" s="79"/>
      <c r="W564" s="79"/>
      <c r="X564" s="79"/>
      <c r="Y564" s="79"/>
      <c r="Z564" s="79"/>
    </row>
    <row r="565">
      <c r="A565" s="79"/>
      <c r="B565" s="79"/>
      <c r="C565" s="79"/>
      <c r="D565" s="79"/>
      <c r="E565" s="79"/>
      <c r="F565" s="79"/>
      <c r="G565" s="79"/>
      <c r="H565" s="79"/>
      <c r="I565" s="79"/>
      <c r="J565" s="79"/>
      <c r="K565" s="79"/>
      <c r="L565" s="79"/>
      <c r="M565" s="79"/>
      <c r="N565" s="79"/>
      <c r="O565" s="79"/>
      <c r="P565" s="79"/>
      <c r="Q565" s="79"/>
      <c r="R565" s="79"/>
      <c r="S565" s="79"/>
      <c r="T565" s="79"/>
      <c r="U565" s="79"/>
      <c r="V565" s="79"/>
      <c r="W565" s="79"/>
      <c r="X565" s="79"/>
      <c r="Y565" s="79"/>
      <c r="Z565" s="79"/>
    </row>
    <row r="566">
      <c r="A566" s="79"/>
      <c r="B566" s="79"/>
      <c r="C566" s="79"/>
      <c r="D566" s="79"/>
      <c r="E566" s="79"/>
      <c r="F566" s="79"/>
      <c r="G566" s="79"/>
      <c r="H566" s="79"/>
      <c r="I566" s="79"/>
      <c r="J566" s="79"/>
      <c r="K566" s="79"/>
      <c r="L566" s="79"/>
      <c r="M566" s="79"/>
      <c r="N566" s="79"/>
      <c r="O566" s="79"/>
      <c r="P566" s="79"/>
      <c r="Q566" s="79"/>
      <c r="R566" s="79"/>
      <c r="S566" s="79"/>
      <c r="T566" s="79"/>
      <c r="U566" s="79"/>
      <c r="V566" s="79"/>
      <c r="W566" s="79"/>
      <c r="X566" s="79"/>
      <c r="Y566" s="79"/>
      <c r="Z566" s="79"/>
    </row>
    <row r="567">
      <c r="A567" s="79"/>
      <c r="B567" s="79"/>
      <c r="C567" s="79"/>
      <c r="D567" s="79"/>
      <c r="E567" s="79"/>
      <c r="F567" s="79"/>
      <c r="G567" s="79"/>
      <c r="H567" s="79"/>
      <c r="I567" s="79"/>
      <c r="J567" s="79"/>
      <c r="K567" s="79"/>
      <c r="L567" s="79"/>
      <c r="M567" s="79"/>
      <c r="N567" s="79"/>
      <c r="O567" s="79"/>
      <c r="P567" s="79"/>
      <c r="Q567" s="79"/>
      <c r="R567" s="79"/>
      <c r="S567" s="79"/>
      <c r="T567" s="79"/>
      <c r="U567" s="79"/>
      <c r="V567" s="79"/>
      <c r="W567" s="79"/>
      <c r="X567" s="79"/>
      <c r="Y567" s="79"/>
      <c r="Z567" s="79"/>
    </row>
    <row r="568">
      <c r="A568" s="79"/>
      <c r="B568" s="79"/>
      <c r="C568" s="79"/>
      <c r="D568" s="79"/>
      <c r="E568" s="79"/>
      <c r="F568" s="79"/>
      <c r="G568" s="79"/>
      <c r="H568" s="79"/>
      <c r="I568" s="79"/>
      <c r="J568" s="79"/>
      <c r="K568" s="79"/>
      <c r="L568" s="79"/>
      <c r="M568" s="79"/>
      <c r="N568" s="79"/>
      <c r="O568" s="79"/>
      <c r="P568" s="79"/>
      <c r="Q568" s="79"/>
      <c r="R568" s="79"/>
      <c r="S568" s="79"/>
      <c r="T568" s="79"/>
      <c r="U568" s="79"/>
      <c r="V568" s="79"/>
      <c r="W568" s="79"/>
      <c r="X568" s="79"/>
      <c r="Y568" s="79"/>
      <c r="Z568" s="79"/>
    </row>
    <row r="569">
      <c r="A569" s="79"/>
      <c r="B569" s="79"/>
      <c r="C569" s="79"/>
      <c r="D569" s="79"/>
      <c r="E569" s="79"/>
      <c r="F569" s="79"/>
      <c r="G569" s="79"/>
      <c r="H569" s="79"/>
      <c r="I569" s="79"/>
      <c r="J569" s="79"/>
      <c r="K569" s="79"/>
      <c r="L569" s="79"/>
      <c r="M569" s="79"/>
      <c r="N569" s="79"/>
      <c r="O569" s="79"/>
      <c r="P569" s="79"/>
      <c r="Q569" s="79"/>
      <c r="R569" s="79"/>
      <c r="S569" s="79"/>
      <c r="T569" s="79"/>
      <c r="U569" s="79"/>
      <c r="V569" s="79"/>
      <c r="W569" s="79"/>
      <c r="X569" s="79"/>
      <c r="Y569" s="79"/>
      <c r="Z569" s="79"/>
    </row>
    <row r="570">
      <c r="A570" s="79"/>
      <c r="B570" s="79"/>
      <c r="C570" s="79"/>
      <c r="D570" s="79"/>
      <c r="E570" s="79"/>
      <c r="F570" s="79"/>
      <c r="G570" s="79"/>
      <c r="H570" s="79"/>
      <c r="I570" s="79"/>
      <c r="J570" s="79"/>
      <c r="K570" s="79"/>
      <c r="L570" s="79"/>
      <c r="M570" s="79"/>
      <c r="N570" s="79"/>
      <c r="O570" s="79"/>
      <c r="P570" s="79"/>
      <c r="Q570" s="79"/>
      <c r="R570" s="79"/>
      <c r="S570" s="79"/>
      <c r="T570" s="79"/>
      <c r="U570" s="79"/>
      <c r="V570" s="79"/>
      <c r="W570" s="79"/>
      <c r="X570" s="79"/>
      <c r="Y570" s="79"/>
      <c r="Z570" s="79"/>
    </row>
    <row r="571">
      <c r="A571" s="79"/>
      <c r="B571" s="79"/>
      <c r="C571" s="79"/>
      <c r="D571" s="79"/>
      <c r="E571" s="79"/>
      <c r="F571" s="79"/>
      <c r="G571" s="79"/>
      <c r="H571" s="79"/>
      <c r="I571" s="79"/>
      <c r="J571" s="79"/>
      <c r="K571" s="79"/>
      <c r="L571" s="79"/>
      <c r="M571" s="79"/>
      <c r="N571" s="79"/>
      <c r="O571" s="79"/>
      <c r="P571" s="79"/>
      <c r="Q571" s="79"/>
      <c r="R571" s="79"/>
      <c r="S571" s="79"/>
      <c r="T571" s="79"/>
      <c r="U571" s="79"/>
      <c r="V571" s="79"/>
      <c r="W571" s="79"/>
      <c r="X571" s="79"/>
      <c r="Y571" s="79"/>
      <c r="Z571" s="79"/>
    </row>
    <row r="572">
      <c r="A572" s="79"/>
      <c r="B572" s="79"/>
      <c r="C572" s="79"/>
      <c r="D572" s="79"/>
      <c r="E572" s="79"/>
      <c r="F572" s="79"/>
      <c r="G572" s="79"/>
      <c r="H572" s="79"/>
      <c r="I572" s="79"/>
      <c r="J572" s="79"/>
      <c r="K572" s="79"/>
      <c r="L572" s="79"/>
      <c r="M572" s="79"/>
      <c r="N572" s="79"/>
      <c r="O572" s="79"/>
      <c r="P572" s="79"/>
      <c r="Q572" s="79"/>
      <c r="R572" s="79"/>
      <c r="S572" s="79"/>
      <c r="T572" s="79"/>
      <c r="U572" s="79"/>
      <c r="V572" s="79"/>
      <c r="W572" s="79"/>
      <c r="X572" s="79"/>
      <c r="Y572" s="79"/>
      <c r="Z572" s="79"/>
    </row>
    <row r="573">
      <c r="A573" s="79"/>
      <c r="B573" s="79"/>
      <c r="C573" s="79"/>
      <c r="D573" s="79"/>
      <c r="E573" s="79"/>
      <c r="F573" s="79"/>
      <c r="G573" s="79"/>
      <c r="H573" s="79"/>
      <c r="I573" s="79"/>
      <c r="J573" s="79"/>
      <c r="K573" s="79"/>
      <c r="L573" s="79"/>
      <c r="M573" s="79"/>
      <c r="N573" s="79"/>
      <c r="O573" s="79"/>
      <c r="P573" s="79"/>
      <c r="Q573" s="79"/>
      <c r="R573" s="79"/>
      <c r="S573" s="79"/>
      <c r="T573" s="79"/>
      <c r="U573" s="79"/>
      <c r="V573" s="79"/>
      <c r="W573" s="79"/>
      <c r="X573" s="79"/>
      <c r="Y573" s="79"/>
      <c r="Z573" s="79"/>
    </row>
    <row r="574">
      <c r="A574" s="79"/>
      <c r="B574" s="79"/>
      <c r="C574" s="79"/>
      <c r="D574" s="79"/>
      <c r="E574" s="79"/>
      <c r="F574" s="79"/>
      <c r="G574" s="79"/>
      <c r="H574" s="79"/>
      <c r="I574" s="79"/>
      <c r="J574" s="79"/>
      <c r="K574" s="79"/>
      <c r="L574" s="79"/>
      <c r="M574" s="79"/>
      <c r="N574" s="79"/>
      <c r="O574" s="79"/>
      <c r="P574" s="79"/>
      <c r="Q574" s="79"/>
      <c r="R574" s="79"/>
      <c r="S574" s="79"/>
      <c r="T574" s="79"/>
      <c r="U574" s="79"/>
      <c r="V574" s="79"/>
      <c r="W574" s="79"/>
      <c r="X574" s="79"/>
      <c r="Y574" s="79"/>
      <c r="Z574" s="79"/>
    </row>
    <row r="575">
      <c r="A575" s="79"/>
      <c r="B575" s="79"/>
      <c r="C575" s="79"/>
      <c r="D575" s="79"/>
      <c r="E575" s="79"/>
      <c r="F575" s="79"/>
      <c r="G575" s="79"/>
      <c r="H575" s="79"/>
      <c r="I575" s="79"/>
      <c r="J575" s="79"/>
      <c r="K575" s="79"/>
      <c r="L575" s="79"/>
      <c r="M575" s="79"/>
      <c r="N575" s="79"/>
      <c r="O575" s="79"/>
      <c r="P575" s="79"/>
      <c r="Q575" s="79"/>
      <c r="R575" s="79"/>
      <c r="S575" s="79"/>
      <c r="T575" s="79"/>
      <c r="U575" s="79"/>
      <c r="V575" s="79"/>
      <c r="W575" s="79"/>
      <c r="X575" s="79"/>
      <c r="Y575" s="79"/>
      <c r="Z575" s="79"/>
    </row>
    <row r="576">
      <c r="A576" s="79"/>
      <c r="B576" s="79"/>
      <c r="C576" s="79"/>
      <c r="D576" s="79"/>
      <c r="E576" s="79"/>
      <c r="F576" s="79"/>
      <c r="G576" s="79"/>
      <c r="H576" s="79"/>
      <c r="I576" s="79"/>
      <c r="J576" s="79"/>
      <c r="K576" s="79"/>
      <c r="L576" s="79"/>
      <c r="M576" s="79"/>
      <c r="N576" s="79"/>
      <c r="O576" s="79"/>
      <c r="P576" s="79"/>
      <c r="Q576" s="79"/>
      <c r="R576" s="79"/>
      <c r="S576" s="79"/>
      <c r="T576" s="79"/>
      <c r="U576" s="79"/>
      <c r="V576" s="79"/>
      <c r="W576" s="79"/>
      <c r="X576" s="79"/>
      <c r="Y576" s="79"/>
      <c r="Z576" s="79"/>
    </row>
    <row r="577">
      <c r="A577" s="79"/>
      <c r="B577" s="79"/>
      <c r="C577" s="79"/>
      <c r="D577" s="79"/>
      <c r="E577" s="79"/>
      <c r="F577" s="79"/>
      <c r="G577" s="79"/>
      <c r="H577" s="79"/>
      <c r="I577" s="79"/>
      <c r="J577" s="79"/>
      <c r="K577" s="79"/>
      <c r="L577" s="79"/>
      <c r="M577" s="79"/>
      <c r="N577" s="79"/>
      <c r="O577" s="79"/>
      <c r="P577" s="79"/>
      <c r="Q577" s="79"/>
      <c r="R577" s="79"/>
      <c r="S577" s="79"/>
      <c r="T577" s="79"/>
      <c r="U577" s="79"/>
      <c r="V577" s="79"/>
      <c r="W577" s="79"/>
      <c r="X577" s="79"/>
      <c r="Y577" s="79"/>
      <c r="Z577" s="79"/>
    </row>
    <row r="578">
      <c r="A578" s="79"/>
      <c r="B578" s="79"/>
      <c r="C578" s="79"/>
      <c r="D578" s="79"/>
      <c r="E578" s="79"/>
      <c r="F578" s="79"/>
      <c r="G578" s="79"/>
      <c r="H578" s="79"/>
      <c r="I578" s="79"/>
      <c r="J578" s="79"/>
      <c r="K578" s="79"/>
      <c r="L578" s="79"/>
      <c r="M578" s="79"/>
      <c r="N578" s="79"/>
      <c r="O578" s="79"/>
      <c r="P578" s="79"/>
      <c r="Q578" s="79"/>
      <c r="R578" s="79"/>
      <c r="S578" s="79"/>
      <c r="T578" s="79"/>
      <c r="U578" s="79"/>
      <c r="V578" s="79"/>
      <c r="W578" s="79"/>
      <c r="X578" s="79"/>
      <c r="Y578" s="79"/>
      <c r="Z578" s="79"/>
    </row>
    <row r="579">
      <c r="A579" s="79"/>
      <c r="B579" s="79"/>
      <c r="C579" s="79"/>
      <c r="D579" s="79"/>
      <c r="E579" s="79"/>
      <c r="F579" s="79"/>
      <c r="G579" s="79"/>
      <c r="H579" s="79"/>
      <c r="I579" s="79"/>
      <c r="J579" s="79"/>
      <c r="K579" s="79"/>
      <c r="L579" s="79"/>
      <c r="M579" s="79"/>
      <c r="N579" s="79"/>
      <c r="O579" s="79"/>
      <c r="P579" s="79"/>
      <c r="Q579" s="79"/>
      <c r="R579" s="79"/>
      <c r="S579" s="79"/>
      <c r="T579" s="79"/>
      <c r="U579" s="79"/>
      <c r="V579" s="79"/>
      <c r="W579" s="79"/>
      <c r="X579" s="79"/>
      <c r="Y579" s="79"/>
      <c r="Z579" s="79"/>
    </row>
    <row r="580">
      <c r="A580" s="79"/>
      <c r="B580" s="79"/>
      <c r="C580" s="79"/>
      <c r="D580" s="79"/>
      <c r="E580" s="79"/>
      <c r="F580" s="79"/>
      <c r="G580" s="79"/>
      <c r="H580" s="79"/>
      <c r="I580" s="79"/>
      <c r="J580" s="79"/>
      <c r="K580" s="79"/>
      <c r="L580" s="79"/>
      <c r="M580" s="79"/>
      <c r="N580" s="79"/>
      <c r="O580" s="79"/>
      <c r="P580" s="79"/>
      <c r="Q580" s="79"/>
      <c r="R580" s="79"/>
      <c r="S580" s="79"/>
      <c r="T580" s="79"/>
      <c r="U580" s="79"/>
      <c r="V580" s="79"/>
      <c r="W580" s="79"/>
      <c r="X580" s="79"/>
      <c r="Y580" s="79"/>
      <c r="Z580" s="79"/>
    </row>
    <row r="581">
      <c r="A581" s="79"/>
      <c r="B581" s="79"/>
      <c r="C581" s="79"/>
      <c r="D581" s="79"/>
      <c r="E581" s="79"/>
      <c r="F581" s="79"/>
      <c r="G581" s="79"/>
      <c r="H581" s="79"/>
      <c r="I581" s="79"/>
      <c r="J581" s="79"/>
      <c r="K581" s="79"/>
      <c r="L581" s="79"/>
      <c r="M581" s="79"/>
      <c r="N581" s="79"/>
      <c r="O581" s="79"/>
      <c r="P581" s="79"/>
      <c r="Q581" s="79"/>
      <c r="R581" s="79"/>
      <c r="S581" s="79"/>
      <c r="T581" s="79"/>
      <c r="U581" s="79"/>
      <c r="V581" s="79"/>
      <c r="W581" s="79"/>
      <c r="X581" s="79"/>
      <c r="Y581" s="79"/>
      <c r="Z581" s="79"/>
    </row>
    <row r="582">
      <c r="A582" s="79"/>
      <c r="B582" s="79"/>
      <c r="C582" s="79"/>
      <c r="D582" s="79"/>
      <c r="E582" s="79"/>
      <c r="F582" s="79"/>
      <c r="G582" s="79"/>
      <c r="H582" s="79"/>
      <c r="I582" s="79"/>
      <c r="J582" s="79"/>
      <c r="K582" s="79"/>
      <c r="L582" s="79"/>
      <c r="M582" s="79"/>
      <c r="N582" s="79"/>
      <c r="O582" s="79"/>
      <c r="P582" s="79"/>
      <c r="Q582" s="79"/>
      <c r="R582" s="79"/>
      <c r="S582" s="79"/>
      <c r="T582" s="79"/>
      <c r="U582" s="79"/>
      <c r="V582" s="79"/>
      <c r="W582" s="79"/>
      <c r="X582" s="79"/>
      <c r="Y582" s="79"/>
      <c r="Z582" s="79"/>
    </row>
    <row r="583">
      <c r="A583" s="79"/>
      <c r="B583" s="79"/>
      <c r="C583" s="79"/>
      <c r="D583" s="79"/>
      <c r="E583" s="79"/>
      <c r="F583" s="79"/>
      <c r="G583" s="79"/>
      <c r="H583" s="79"/>
      <c r="I583" s="79"/>
      <c r="J583" s="79"/>
      <c r="K583" s="79"/>
      <c r="L583" s="79"/>
      <c r="M583" s="79"/>
      <c r="N583" s="79"/>
      <c r="O583" s="79"/>
      <c r="P583" s="79"/>
      <c r="Q583" s="79"/>
      <c r="R583" s="79"/>
      <c r="S583" s="79"/>
      <c r="T583" s="79"/>
      <c r="U583" s="79"/>
      <c r="V583" s="79"/>
      <c r="W583" s="79"/>
      <c r="X583" s="79"/>
      <c r="Y583" s="79"/>
      <c r="Z583" s="79"/>
    </row>
    <row r="584">
      <c r="A584" s="79"/>
      <c r="B584" s="79"/>
      <c r="C584" s="79"/>
      <c r="D584" s="79"/>
      <c r="E584" s="79"/>
      <c r="F584" s="79"/>
      <c r="G584" s="79"/>
      <c r="H584" s="79"/>
      <c r="I584" s="79"/>
      <c r="J584" s="79"/>
      <c r="K584" s="79"/>
      <c r="L584" s="79"/>
      <c r="M584" s="79"/>
      <c r="N584" s="79"/>
      <c r="O584" s="79"/>
      <c r="P584" s="79"/>
      <c r="Q584" s="79"/>
      <c r="R584" s="79"/>
      <c r="S584" s="79"/>
      <c r="T584" s="79"/>
      <c r="U584" s="79"/>
      <c r="V584" s="79"/>
      <c r="W584" s="79"/>
      <c r="X584" s="79"/>
      <c r="Y584" s="79"/>
      <c r="Z584" s="79"/>
    </row>
    <row r="585">
      <c r="A585" s="79"/>
      <c r="B585" s="79"/>
      <c r="C585" s="79"/>
      <c r="D585" s="79"/>
      <c r="E585" s="79"/>
      <c r="F585" s="79"/>
      <c r="G585" s="79"/>
      <c r="H585" s="79"/>
      <c r="I585" s="79"/>
      <c r="J585" s="79"/>
      <c r="K585" s="79"/>
      <c r="L585" s="79"/>
      <c r="M585" s="79"/>
      <c r="N585" s="79"/>
      <c r="O585" s="79"/>
      <c r="P585" s="79"/>
      <c r="Q585" s="79"/>
      <c r="R585" s="79"/>
      <c r="S585" s="79"/>
      <c r="T585" s="79"/>
      <c r="U585" s="79"/>
      <c r="V585" s="79"/>
      <c r="W585" s="79"/>
      <c r="X585" s="79"/>
      <c r="Y585" s="79"/>
      <c r="Z585" s="79"/>
    </row>
    <row r="586">
      <c r="A586" s="79"/>
      <c r="B586" s="79"/>
      <c r="C586" s="79"/>
      <c r="D586" s="79"/>
      <c r="E586" s="79"/>
      <c r="F586" s="79"/>
      <c r="G586" s="79"/>
      <c r="H586" s="79"/>
      <c r="I586" s="79"/>
      <c r="J586" s="79"/>
      <c r="K586" s="79"/>
      <c r="L586" s="79"/>
      <c r="M586" s="79"/>
      <c r="N586" s="79"/>
      <c r="O586" s="79"/>
      <c r="P586" s="79"/>
      <c r="Q586" s="79"/>
      <c r="R586" s="79"/>
      <c r="S586" s="79"/>
      <c r="T586" s="79"/>
      <c r="U586" s="79"/>
      <c r="V586" s="79"/>
      <c r="W586" s="79"/>
      <c r="X586" s="79"/>
      <c r="Y586" s="79"/>
      <c r="Z586" s="79"/>
    </row>
    <row r="587">
      <c r="A587" s="79"/>
      <c r="B587" s="79"/>
      <c r="C587" s="79"/>
      <c r="D587" s="79"/>
      <c r="E587" s="79"/>
      <c r="F587" s="79"/>
      <c r="G587" s="79"/>
      <c r="H587" s="79"/>
      <c r="I587" s="79"/>
      <c r="J587" s="79"/>
      <c r="K587" s="79"/>
      <c r="L587" s="79"/>
      <c r="M587" s="79"/>
      <c r="N587" s="79"/>
      <c r="O587" s="79"/>
      <c r="P587" s="79"/>
      <c r="Q587" s="79"/>
      <c r="R587" s="79"/>
      <c r="S587" s="79"/>
      <c r="T587" s="79"/>
      <c r="U587" s="79"/>
      <c r="V587" s="79"/>
      <c r="W587" s="79"/>
      <c r="X587" s="79"/>
      <c r="Y587" s="79"/>
      <c r="Z587" s="79"/>
    </row>
    <row r="588">
      <c r="A588" s="79"/>
      <c r="B588" s="79"/>
      <c r="C588" s="79"/>
      <c r="D588" s="79"/>
      <c r="E588" s="79"/>
      <c r="F588" s="79"/>
      <c r="G588" s="79"/>
      <c r="H588" s="79"/>
      <c r="I588" s="79"/>
      <c r="J588" s="79"/>
      <c r="K588" s="79"/>
      <c r="L588" s="79"/>
      <c r="M588" s="79"/>
      <c r="N588" s="79"/>
      <c r="O588" s="79"/>
      <c r="P588" s="79"/>
      <c r="Q588" s="79"/>
      <c r="R588" s="79"/>
      <c r="S588" s="79"/>
      <c r="T588" s="79"/>
      <c r="U588" s="79"/>
      <c r="V588" s="79"/>
      <c r="W588" s="79"/>
      <c r="X588" s="79"/>
      <c r="Y588" s="79"/>
      <c r="Z588" s="79"/>
    </row>
    <row r="589">
      <c r="A589" s="79"/>
      <c r="B589" s="79"/>
      <c r="C589" s="79"/>
      <c r="D589" s="79"/>
      <c r="E589" s="79"/>
      <c r="F589" s="79"/>
      <c r="G589" s="79"/>
      <c r="H589" s="79"/>
      <c r="I589" s="79"/>
      <c r="J589" s="79"/>
      <c r="K589" s="79"/>
      <c r="L589" s="79"/>
      <c r="M589" s="79"/>
      <c r="N589" s="79"/>
      <c r="O589" s="79"/>
      <c r="P589" s="79"/>
      <c r="Q589" s="79"/>
      <c r="R589" s="79"/>
      <c r="S589" s="79"/>
      <c r="T589" s="79"/>
      <c r="U589" s="79"/>
      <c r="V589" s="79"/>
      <c r="W589" s="79"/>
      <c r="X589" s="79"/>
      <c r="Y589" s="79"/>
      <c r="Z589" s="79"/>
    </row>
    <row r="590">
      <c r="A590" s="79"/>
      <c r="B590" s="79"/>
      <c r="C590" s="79"/>
      <c r="D590" s="79"/>
      <c r="E590" s="79"/>
      <c r="F590" s="79"/>
      <c r="G590" s="79"/>
      <c r="H590" s="79"/>
      <c r="I590" s="79"/>
      <c r="J590" s="79"/>
      <c r="K590" s="79"/>
      <c r="L590" s="79"/>
      <c r="M590" s="79"/>
      <c r="N590" s="79"/>
      <c r="O590" s="79"/>
      <c r="P590" s="79"/>
      <c r="Q590" s="79"/>
      <c r="R590" s="79"/>
      <c r="S590" s="79"/>
      <c r="T590" s="79"/>
      <c r="U590" s="79"/>
      <c r="V590" s="79"/>
      <c r="W590" s="79"/>
      <c r="X590" s="79"/>
      <c r="Y590" s="79"/>
      <c r="Z590" s="79"/>
    </row>
    <row r="591">
      <c r="A591" s="79"/>
      <c r="B591" s="79"/>
      <c r="C591" s="79"/>
      <c r="D591" s="79"/>
      <c r="E591" s="79"/>
      <c r="F591" s="79"/>
      <c r="G591" s="79"/>
      <c r="H591" s="79"/>
      <c r="I591" s="79"/>
      <c r="J591" s="79"/>
      <c r="K591" s="79"/>
      <c r="L591" s="79"/>
      <c r="M591" s="79"/>
      <c r="N591" s="79"/>
      <c r="O591" s="79"/>
      <c r="P591" s="79"/>
      <c r="Q591" s="79"/>
      <c r="R591" s="79"/>
      <c r="S591" s="79"/>
      <c r="T591" s="79"/>
      <c r="U591" s="79"/>
      <c r="V591" s="79"/>
      <c r="W591" s="79"/>
      <c r="X591" s="79"/>
      <c r="Y591" s="79"/>
      <c r="Z591" s="79"/>
    </row>
    <row r="592">
      <c r="A592" s="79"/>
      <c r="B592" s="79"/>
      <c r="C592" s="79"/>
      <c r="D592" s="79"/>
      <c r="E592" s="79"/>
      <c r="F592" s="79"/>
      <c r="G592" s="79"/>
      <c r="H592" s="79"/>
      <c r="I592" s="79"/>
      <c r="J592" s="79"/>
      <c r="K592" s="79"/>
      <c r="L592" s="79"/>
      <c r="M592" s="79"/>
      <c r="N592" s="79"/>
      <c r="O592" s="79"/>
      <c r="P592" s="79"/>
      <c r="Q592" s="79"/>
      <c r="R592" s="79"/>
      <c r="S592" s="79"/>
      <c r="T592" s="79"/>
      <c r="U592" s="79"/>
      <c r="V592" s="79"/>
      <c r="W592" s="79"/>
      <c r="X592" s="79"/>
      <c r="Y592" s="79"/>
      <c r="Z592" s="79"/>
    </row>
    <row r="593">
      <c r="A593" s="79"/>
      <c r="B593" s="79"/>
      <c r="C593" s="79"/>
      <c r="D593" s="79"/>
      <c r="E593" s="79"/>
      <c r="F593" s="79"/>
      <c r="G593" s="79"/>
      <c r="H593" s="79"/>
      <c r="I593" s="79"/>
      <c r="J593" s="79"/>
      <c r="K593" s="79"/>
      <c r="L593" s="79"/>
      <c r="M593" s="79"/>
      <c r="N593" s="79"/>
      <c r="O593" s="79"/>
      <c r="P593" s="79"/>
      <c r="Q593" s="79"/>
      <c r="R593" s="79"/>
      <c r="S593" s="79"/>
      <c r="T593" s="79"/>
      <c r="U593" s="79"/>
      <c r="V593" s="79"/>
      <c r="W593" s="79"/>
      <c r="X593" s="79"/>
      <c r="Y593" s="79"/>
      <c r="Z593" s="79"/>
    </row>
    <row r="594">
      <c r="A594" s="79"/>
      <c r="B594" s="79"/>
      <c r="C594" s="79"/>
      <c r="D594" s="79"/>
      <c r="E594" s="79"/>
      <c r="F594" s="79"/>
      <c r="G594" s="79"/>
      <c r="H594" s="79"/>
      <c r="I594" s="79"/>
      <c r="J594" s="79"/>
      <c r="K594" s="79"/>
      <c r="L594" s="79"/>
      <c r="M594" s="79"/>
      <c r="N594" s="79"/>
      <c r="O594" s="79"/>
      <c r="P594" s="79"/>
      <c r="Q594" s="79"/>
      <c r="R594" s="79"/>
      <c r="S594" s="79"/>
      <c r="T594" s="79"/>
      <c r="U594" s="79"/>
      <c r="V594" s="79"/>
      <c r="W594" s="79"/>
      <c r="X594" s="79"/>
      <c r="Y594" s="79"/>
      <c r="Z594" s="79"/>
    </row>
    <row r="595">
      <c r="A595" s="79"/>
      <c r="B595" s="79"/>
      <c r="C595" s="79"/>
      <c r="D595" s="79"/>
      <c r="E595" s="79"/>
      <c r="F595" s="79"/>
      <c r="G595" s="79"/>
      <c r="H595" s="79"/>
      <c r="I595" s="79"/>
      <c r="J595" s="79"/>
      <c r="K595" s="79"/>
      <c r="L595" s="79"/>
      <c r="M595" s="79"/>
      <c r="N595" s="79"/>
      <c r="O595" s="79"/>
      <c r="P595" s="79"/>
      <c r="Q595" s="79"/>
      <c r="R595" s="79"/>
      <c r="S595" s="79"/>
      <c r="T595" s="79"/>
      <c r="U595" s="79"/>
      <c r="V595" s="79"/>
      <c r="W595" s="79"/>
      <c r="X595" s="79"/>
      <c r="Y595" s="79"/>
      <c r="Z595" s="79"/>
    </row>
    <row r="596">
      <c r="A596" s="79"/>
      <c r="B596" s="79"/>
      <c r="C596" s="79"/>
      <c r="D596" s="79"/>
      <c r="E596" s="79"/>
      <c r="F596" s="79"/>
      <c r="G596" s="79"/>
      <c r="H596" s="79"/>
      <c r="I596" s="79"/>
      <c r="J596" s="79"/>
      <c r="K596" s="79"/>
      <c r="L596" s="79"/>
      <c r="M596" s="79"/>
      <c r="N596" s="79"/>
      <c r="O596" s="79"/>
      <c r="P596" s="79"/>
      <c r="Q596" s="79"/>
      <c r="R596" s="79"/>
      <c r="S596" s="79"/>
      <c r="T596" s="79"/>
      <c r="U596" s="79"/>
      <c r="V596" s="79"/>
      <c r="W596" s="79"/>
      <c r="X596" s="79"/>
      <c r="Y596" s="79"/>
      <c r="Z596" s="79"/>
    </row>
    <row r="597">
      <c r="A597" s="79"/>
      <c r="B597" s="79"/>
      <c r="C597" s="79"/>
      <c r="D597" s="79"/>
      <c r="E597" s="79"/>
      <c r="F597" s="79"/>
      <c r="G597" s="79"/>
      <c r="H597" s="79"/>
      <c r="I597" s="79"/>
      <c r="J597" s="79"/>
      <c r="K597" s="79"/>
      <c r="L597" s="79"/>
      <c r="M597" s="79"/>
      <c r="N597" s="79"/>
      <c r="O597" s="79"/>
      <c r="P597" s="79"/>
      <c r="Q597" s="79"/>
      <c r="R597" s="79"/>
      <c r="S597" s="79"/>
      <c r="T597" s="79"/>
      <c r="U597" s="79"/>
      <c r="V597" s="79"/>
      <c r="W597" s="79"/>
      <c r="X597" s="79"/>
      <c r="Y597" s="79"/>
      <c r="Z597" s="79"/>
    </row>
    <row r="598">
      <c r="A598" s="79"/>
      <c r="B598" s="79"/>
      <c r="C598" s="79"/>
      <c r="D598" s="79"/>
      <c r="E598" s="79"/>
      <c r="F598" s="79"/>
      <c r="G598" s="79"/>
      <c r="H598" s="79"/>
      <c r="I598" s="79"/>
      <c r="J598" s="79"/>
      <c r="K598" s="79"/>
      <c r="L598" s="79"/>
      <c r="M598" s="79"/>
      <c r="N598" s="79"/>
      <c r="O598" s="79"/>
      <c r="P598" s="79"/>
      <c r="Q598" s="79"/>
      <c r="R598" s="79"/>
      <c r="S598" s="79"/>
      <c r="T598" s="79"/>
      <c r="U598" s="79"/>
      <c r="V598" s="79"/>
      <c r="W598" s="79"/>
      <c r="X598" s="79"/>
      <c r="Y598" s="79"/>
      <c r="Z598" s="79"/>
    </row>
    <row r="599">
      <c r="A599" s="79"/>
      <c r="B599" s="79"/>
      <c r="C599" s="79"/>
      <c r="D599" s="79"/>
      <c r="E599" s="79"/>
      <c r="F599" s="79"/>
      <c r="G599" s="79"/>
      <c r="H599" s="79"/>
      <c r="I599" s="79"/>
      <c r="J599" s="79"/>
      <c r="K599" s="79"/>
      <c r="L599" s="79"/>
      <c r="M599" s="79"/>
      <c r="N599" s="79"/>
      <c r="O599" s="79"/>
      <c r="P599" s="79"/>
      <c r="Q599" s="79"/>
      <c r="R599" s="79"/>
      <c r="S599" s="79"/>
      <c r="T599" s="79"/>
      <c r="U599" s="79"/>
      <c r="V599" s="79"/>
      <c r="W599" s="79"/>
      <c r="X599" s="79"/>
      <c r="Y599" s="79"/>
      <c r="Z599" s="79"/>
    </row>
    <row r="600">
      <c r="A600" s="79"/>
      <c r="B600" s="79"/>
      <c r="C600" s="79"/>
      <c r="D600" s="79"/>
      <c r="E600" s="79"/>
      <c r="F600" s="79"/>
      <c r="G600" s="79"/>
      <c r="H600" s="79"/>
      <c r="I600" s="79"/>
      <c r="J600" s="79"/>
      <c r="K600" s="79"/>
      <c r="L600" s="79"/>
      <c r="M600" s="79"/>
      <c r="N600" s="79"/>
      <c r="O600" s="79"/>
      <c r="P600" s="79"/>
      <c r="Q600" s="79"/>
      <c r="R600" s="79"/>
      <c r="S600" s="79"/>
      <c r="T600" s="79"/>
      <c r="U600" s="79"/>
      <c r="V600" s="79"/>
      <c r="W600" s="79"/>
      <c r="X600" s="79"/>
      <c r="Y600" s="79"/>
      <c r="Z600" s="79"/>
    </row>
    <row r="601">
      <c r="A601" s="79"/>
      <c r="B601" s="79"/>
      <c r="C601" s="79"/>
      <c r="D601" s="79"/>
      <c r="E601" s="79"/>
      <c r="F601" s="79"/>
      <c r="G601" s="79"/>
      <c r="H601" s="79"/>
      <c r="I601" s="79"/>
      <c r="J601" s="79"/>
      <c r="K601" s="79"/>
      <c r="L601" s="79"/>
      <c r="M601" s="79"/>
      <c r="N601" s="79"/>
      <c r="O601" s="79"/>
      <c r="P601" s="79"/>
      <c r="Q601" s="79"/>
      <c r="R601" s="79"/>
      <c r="S601" s="79"/>
      <c r="T601" s="79"/>
      <c r="U601" s="79"/>
      <c r="V601" s="79"/>
      <c r="W601" s="79"/>
      <c r="X601" s="79"/>
      <c r="Y601" s="79"/>
      <c r="Z601" s="79"/>
    </row>
    <row r="602">
      <c r="A602" s="79"/>
      <c r="B602" s="79"/>
      <c r="C602" s="79"/>
      <c r="D602" s="79"/>
      <c r="E602" s="79"/>
      <c r="F602" s="79"/>
      <c r="G602" s="79"/>
      <c r="H602" s="79"/>
      <c r="I602" s="79"/>
      <c r="J602" s="79"/>
      <c r="K602" s="79"/>
      <c r="L602" s="79"/>
      <c r="M602" s="79"/>
      <c r="N602" s="79"/>
      <c r="O602" s="79"/>
      <c r="P602" s="79"/>
      <c r="Q602" s="79"/>
      <c r="R602" s="79"/>
      <c r="S602" s="79"/>
      <c r="T602" s="79"/>
      <c r="U602" s="79"/>
      <c r="V602" s="79"/>
      <c r="W602" s="79"/>
      <c r="X602" s="79"/>
      <c r="Y602" s="79"/>
      <c r="Z602" s="79"/>
    </row>
    <row r="603">
      <c r="A603" s="79"/>
      <c r="B603" s="79"/>
      <c r="C603" s="79"/>
      <c r="D603" s="79"/>
      <c r="E603" s="79"/>
      <c r="F603" s="79"/>
      <c r="G603" s="79"/>
      <c r="H603" s="79"/>
      <c r="I603" s="79"/>
      <c r="J603" s="79"/>
      <c r="K603" s="79"/>
      <c r="L603" s="79"/>
      <c r="M603" s="79"/>
      <c r="N603" s="79"/>
      <c r="O603" s="79"/>
      <c r="P603" s="79"/>
      <c r="Q603" s="79"/>
      <c r="R603" s="79"/>
      <c r="S603" s="79"/>
      <c r="T603" s="79"/>
      <c r="U603" s="79"/>
      <c r="V603" s="79"/>
      <c r="W603" s="79"/>
      <c r="X603" s="79"/>
      <c r="Y603" s="79"/>
      <c r="Z603" s="79"/>
    </row>
    <row r="604">
      <c r="A604" s="79"/>
      <c r="B604" s="79"/>
      <c r="C604" s="79"/>
      <c r="D604" s="79"/>
      <c r="E604" s="79"/>
      <c r="F604" s="79"/>
      <c r="G604" s="79"/>
      <c r="H604" s="79"/>
      <c r="I604" s="79"/>
      <c r="J604" s="79"/>
      <c r="K604" s="79"/>
      <c r="L604" s="79"/>
      <c r="M604" s="79"/>
      <c r="N604" s="79"/>
      <c r="O604" s="79"/>
      <c r="P604" s="79"/>
      <c r="Q604" s="79"/>
      <c r="R604" s="79"/>
      <c r="S604" s="79"/>
      <c r="T604" s="79"/>
      <c r="U604" s="79"/>
      <c r="V604" s="79"/>
      <c r="W604" s="79"/>
      <c r="X604" s="79"/>
      <c r="Y604" s="79"/>
      <c r="Z604" s="79"/>
    </row>
    <row r="605">
      <c r="A605" s="79"/>
      <c r="B605" s="79"/>
      <c r="C605" s="79"/>
      <c r="D605" s="79"/>
      <c r="E605" s="79"/>
      <c r="F605" s="79"/>
      <c r="G605" s="79"/>
      <c r="H605" s="79"/>
      <c r="I605" s="79"/>
      <c r="J605" s="79"/>
      <c r="K605" s="79"/>
      <c r="L605" s="79"/>
      <c r="M605" s="79"/>
      <c r="N605" s="79"/>
      <c r="O605" s="79"/>
      <c r="P605" s="79"/>
      <c r="Q605" s="79"/>
      <c r="R605" s="79"/>
      <c r="S605" s="79"/>
      <c r="T605" s="79"/>
      <c r="U605" s="79"/>
      <c r="V605" s="79"/>
      <c r="W605" s="79"/>
      <c r="X605" s="79"/>
      <c r="Y605" s="79"/>
      <c r="Z605" s="79"/>
    </row>
    <row r="606">
      <c r="A606" s="79"/>
      <c r="B606" s="79"/>
      <c r="C606" s="79"/>
      <c r="D606" s="79"/>
      <c r="E606" s="79"/>
      <c r="F606" s="79"/>
      <c r="G606" s="79"/>
      <c r="H606" s="79"/>
      <c r="I606" s="79"/>
      <c r="J606" s="79"/>
      <c r="K606" s="79"/>
      <c r="L606" s="79"/>
      <c r="M606" s="79"/>
      <c r="N606" s="79"/>
      <c r="O606" s="79"/>
      <c r="P606" s="79"/>
      <c r="Q606" s="79"/>
      <c r="R606" s="79"/>
      <c r="S606" s="79"/>
      <c r="T606" s="79"/>
      <c r="U606" s="79"/>
      <c r="V606" s="79"/>
      <c r="W606" s="79"/>
      <c r="X606" s="79"/>
      <c r="Y606" s="79"/>
      <c r="Z606" s="79"/>
    </row>
    <row r="607">
      <c r="A607" s="79"/>
      <c r="B607" s="79"/>
      <c r="C607" s="79"/>
      <c r="D607" s="79"/>
      <c r="E607" s="79"/>
      <c r="F607" s="79"/>
      <c r="G607" s="79"/>
      <c r="H607" s="79"/>
      <c r="I607" s="79"/>
      <c r="J607" s="79"/>
      <c r="K607" s="79"/>
      <c r="L607" s="79"/>
      <c r="M607" s="79"/>
      <c r="N607" s="79"/>
      <c r="O607" s="79"/>
      <c r="P607" s="79"/>
      <c r="Q607" s="79"/>
      <c r="R607" s="79"/>
      <c r="S607" s="79"/>
      <c r="T607" s="79"/>
      <c r="U607" s="79"/>
      <c r="V607" s="79"/>
      <c r="W607" s="79"/>
      <c r="X607" s="79"/>
      <c r="Y607" s="79"/>
      <c r="Z607" s="79"/>
    </row>
    <row r="608">
      <c r="A608" s="79"/>
      <c r="B608" s="79"/>
      <c r="C608" s="79"/>
      <c r="D608" s="79"/>
      <c r="E608" s="79"/>
      <c r="F608" s="79"/>
      <c r="G608" s="79"/>
      <c r="H608" s="79"/>
      <c r="I608" s="79"/>
      <c r="J608" s="79"/>
      <c r="K608" s="79"/>
      <c r="L608" s="79"/>
      <c r="M608" s="79"/>
      <c r="N608" s="79"/>
      <c r="O608" s="79"/>
      <c r="P608" s="79"/>
      <c r="Q608" s="79"/>
      <c r="R608" s="79"/>
      <c r="S608" s="79"/>
      <c r="T608" s="79"/>
      <c r="U608" s="79"/>
      <c r="V608" s="79"/>
      <c r="W608" s="79"/>
      <c r="X608" s="79"/>
      <c r="Y608" s="79"/>
      <c r="Z608" s="79"/>
    </row>
    <row r="609">
      <c r="A609" s="79"/>
      <c r="B609" s="79"/>
      <c r="C609" s="79"/>
      <c r="D609" s="79"/>
      <c r="E609" s="79"/>
      <c r="F609" s="79"/>
      <c r="G609" s="79"/>
      <c r="H609" s="79"/>
      <c r="I609" s="79"/>
      <c r="J609" s="79"/>
      <c r="K609" s="79"/>
      <c r="L609" s="79"/>
      <c r="M609" s="79"/>
      <c r="N609" s="79"/>
      <c r="O609" s="79"/>
      <c r="P609" s="79"/>
      <c r="Q609" s="79"/>
      <c r="R609" s="79"/>
      <c r="S609" s="79"/>
      <c r="T609" s="79"/>
      <c r="U609" s="79"/>
      <c r="V609" s="79"/>
      <c r="W609" s="79"/>
      <c r="X609" s="79"/>
      <c r="Y609" s="79"/>
      <c r="Z609" s="79"/>
    </row>
    <row r="610">
      <c r="A610" s="79"/>
      <c r="B610" s="79"/>
      <c r="C610" s="79"/>
      <c r="D610" s="79"/>
      <c r="E610" s="79"/>
      <c r="F610" s="79"/>
      <c r="G610" s="79"/>
      <c r="H610" s="79"/>
      <c r="I610" s="79"/>
      <c r="J610" s="79"/>
      <c r="K610" s="79"/>
      <c r="L610" s="79"/>
      <c r="M610" s="79"/>
      <c r="N610" s="79"/>
      <c r="O610" s="79"/>
      <c r="P610" s="79"/>
      <c r="Q610" s="79"/>
      <c r="R610" s="79"/>
      <c r="S610" s="79"/>
      <c r="T610" s="79"/>
      <c r="U610" s="79"/>
      <c r="V610" s="79"/>
      <c r="W610" s="79"/>
      <c r="X610" s="79"/>
      <c r="Y610" s="79"/>
      <c r="Z610" s="79"/>
    </row>
    <row r="611">
      <c r="A611" s="79"/>
      <c r="B611" s="79"/>
      <c r="C611" s="79"/>
      <c r="D611" s="79"/>
      <c r="E611" s="79"/>
      <c r="F611" s="79"/>
      <c r="G611" s="79"/>
      <c r="H611" s="79"/>
      <c r="I611" s="79"/>
      <c r="J611" s="79"/>
      <c r="K611" s="79"/>
      <c r="L611" s="79"/>
      <c r="M611" s="79"/>
      <c r="N611" s="79"/>
      <c r="O611" s="79"/>
      <c r="P611" s="79"/>
      <c r="Q611" s="79"/>
      <c r="R611" s="79"/>
      <c r="S611" s="79"/>
      <c r="T611" s="79"/>
      <c r="U611" s="79"/>
      <c r="V611" s="79"/>
      <c r="W611" s="79"/>
      <c r="X611" s="79"/>
      <c r="Y611" s="79"/>
      <c r="Z611" s="79"/>
    </row>
    <row r="612">
      <c r="A612" s="79"/>
      <c r="B612" s="79"/>
      <c r="C612" s="79"/>
      <c r="D612" s="79"/>
      <c r="E612" s="79"/>
      <c r="F612" s="79"/>
      <c r="G612" s="79"/>
      <c r="H612" s="79"/>
      <c r="I612" s="79"/>
      <c r="J612" s="79"/>
      <c r="K612" s="79"/>
      <c r="L612" s="79"/>
      <c r="M612" s="79"/>
      <c r="N612" s="79"/>
      <c r="O612" s="79"/>
      <c r="P612" s="79"/>
      <c r="Q612" s="79"/>
      <c r="R612" s="79"/>
      <c r="S612" s="79"/>
      <c r="T612" s="79"/>
      <c r="U612" s="79"/>
      <c r="V612" s="79"/>
      <c r="W612" s="79"/>
      <c r="X612" s="79"/>
      <c r="Y612" s="79"/>
      <c r="Z612" s="79"/>
    </row>
    <row r="613">
      <c r="A613" s="79"/>
      <c r="B613" s="79"/>
      <c r="C613" s="79"/>
      <c r="D613" s="79"/>
      <c r="E613" s="79"/>
      <c r="F613" s="79"/>
      <c r="G613" s="79"/>
      <c r="H613" s="79"/>
      <c r="I613" s="79"/>
      <c r="J613" s="79"/>
      <c r="K613" s="79"/>
      <c r="L613" s="79"/>
      <c r="M613" s="79"/>
      <c r="N613" s="79"/>
      <c r="O613" s="79"/>
      <c r="P613" s="79"/>
      <c r="Q613" s="79"/>
      <c r="R613" s="79"/>
      <c r="S613" s="79"/>
      <c r="T613" s="79"/>
      <c r="U613" s="79"/>
      <c r="V613" s="79"/>
      <c r="W613" s="79"/>
      <c r="X613" s="79"/>
      <c r="Y613" s="79"/>
      <c r="Z613" s="79"/>
    </row>
    <row r="614">
      <c r="A614" s="79"/>
      <c r="B614" s="79"/>
      <c r="C614" s="79"/>
      <c r="D614" s="79"/>
      <c r="E614" s="79"/>
      <c r="F614" s="79"/>
      <c r="G614" s="79"/>
      <c r="H614" s="79"/>
      <c r="I614" s="79"/>
      <c r="J614" s="79"/>
      <c r="K614" s="79"/>
      <c r="L614" s="79"/>
      <c r="M614" s="79"/>
      <c r="N614" s="79"/>
      <c r="O614" s="79"/>
      <c r="P614" s="79"/>
      <c r="Q614" s="79"/>
      <c r="R614" s="79"/>
      <c r="S614" s="79"/>
      <c r="T614" s="79"/>
      <c r="U614" s="79"/>
      <c r="V614" s="79"/>
      <c r="W614" s="79"/>
      <c r="X614" s="79"/>
      <c r="Y614" s="79"/>
      <c r="Z614" s="79"/>
    </row>
    <row r="615">
      <c r="A615" s="79"/>
      <c r="B615" s="79"/>
      <c r="C615" s="79"/>
      <c r="D615" s="79"/>
      <c r="E615" s="79"/>
      <c r="F615" s="79"/>
      <c r="G615" s="79"/>
      <c r="H615" s="79"/>
      <c r="I615" s="79"/>
      <c r="J615" s="79"/>
      <c r="K615" s="79"/>
      <c r="L615" s="79"/>
      <c r="M615" s="79"/>
      <c r="N615" s="79"/>
      <c r="O615" s="79"/>
      <c r="P615" s="79"/>
      <c r="Q615" s="79"/>
      <c r="R615" s="79"/>
      <c r="S615" s="79"/>
      <c r="T615" s="79"/>
      <c r="U615" s="79"/>
      <c r="V615" s="79"/>
      <c r="W615" s="79"/>
      <c r="X615" s="79"/>
      <c r="Y615" s="79"/>
      <c r="Z615" s="79"/>
    </row>
    <row r="616">
      <c r="A616" s="79"/>
      <c r="B616" s="79"/>
      <c r="C616" s="79"/>
      <c r="D616" s="79"/>
      <c r="E616" s="79"/>
      <c r="F616" s="79"/>
      <c r="G616" s="79"/>
      <c r="H616" s="79"/>
      <c r="I616" s="79"/>
      <c r="J616" s="79"/>
      <c r="K616" s="79"/>
      <c r="L616" s="79"/>
      <c r="M616" s="79"/>
      <c r="N616" s="79"/>
      <c r="O616" s="79"/>
      <c r="P616" s="79"/>
      <c r="Q616" s="79"/>
      <c r="R616" s="79"/>
      <c r="S616" s="79"/>
      <c r="T616" s="79"/>
      <c r="U616" s="79"/>
      <c r="V616" s="79"/>
      <c r="W616" s="79"/>
      <c r="X616" s="79"/>
      <c r="Y616" s="79"/>
      <c r="Z616" s="79"/>
    </row>
    <row r="617">
      <c r="A617" s="79"/>
      <c r="B617" s="79"/>
      <c r="C617" s="79"/>
      <c r="D617" s="79"/>
      <c r="E617" s="79"/>
      <c r="F617" s="79"/>
      <c r="G617" s="79"/>
      <c r="H617" s="79"/>
      <c r="I617" s="79"/>
      <c r="J617" s="79"/>
      <c r="K617" s="79"/>
      <c r="L617" s="79"/>
      <c r="M617" s="79"/>
      <c r="N617" s="79"/>
      <c r="O617" s="79"/>
      <c r="P617" s="79"/>
      <c r="Q617" s="79"/>
      <c r="R617" s="79"/>
      <c r="S617" s="79"/>
      <c r="T617" s="79"/>
      <c r="U617" s="79"/>
      <c r="V617" s="79"/>
      <c r="W617" s="79"/>
      <c r="X617" s="79"/>
      <c r="Y617" s="79"/>
      <c r="Z617" s="79"/>
    </row>
    <row r="618">
      <c r="A618" s="79"/>
      <c r="B618" s="79"/>
      <c r="C618" s="79"/>
      <c r="D618" s="79"/>
      <c r="E618" s="79"/>
      <c r="F618" s="79"/>
      <c r="G618" s="79"/>
      <c r="H618" s="79"/>
      <c r="I618" s="79"/>
      <c r="J618" s="79"/>
      <c r="K618" s="79"/>
      <c r="L618" s="79"/>
      <c r="M618" s="79"/>
      <c r="N618" s="79"/>
      <c r="O618" s="79"/>
      <c r="P618" s="79"/>
      <c r="Q618" s="79"/>
      <c r="R618" s="79"/>
      <c r="S618" s="79"/>
      <c r="T618" s="79"/>
      <c r="U618" s="79"/>
      <c r="V618" s="79"/>
      <c r="W618" s="79"/>
      <c r="X618" s="79"/>
      <c r="Y618" s="79"/>
      <c r="Z618" s="79"/>
    </row>
    <row r="619">
      <c r="A619" s="79"/>
      <c r="B619" s="79"/>
      <c r="C619" s="79"/>
      <c r="D619" s="79"/>
      <c r="E619" s="79"/>
      <c r="F619" s="79"/>
      <c r="G619" s="79"/>
      <c r="H619" s="79"/>
      <c r="I619" s="79"/>
      <c r="J619" s="79"/>
      <c r="K619" s="79"/>
      <c r="L619" s="79"/>
      <c r="M619" s="79"/>
      <c r="N619" s="79"/>
      <c r="O619" s="79"/>
      <c r="P619" s="79"/>
      <c r="Q619" s="79"/>
      <c r="R619" s="79"/>
      <c r="S619" s="79"/>
      <c r="T619" s="79"/>
      <c r="U619" s="79"/>
      <c r="V619" s="79"/>
      <c r="W619" s="79"/>
      <c r="X619" s="79"/>
      <c r="Y619" s="79"/>
      <c r="Z619" s="79"/>
    </row>
    <row r="620">
      <c r="A620" s="79"/>
      <c r="B620" s="79"/>
      <c r="C620" s="79"/>
      <c r="D620" s="79"/>
      <c r="E620" s="79"/>
      <c r="F620" s="79"/>
      <c r="G620" s="79"/>
      <c r="H620" s="79"/>
      <c r="I620" s="79"/>
      <c r="J620" s="79"/>
      <c r="K620" s="79"/>
      <c r="L620" s="79"/>
      <c r="M620" s="79"/>
      <c r="N620" s="79"/>
      <c r="O620" s="79"/>
      <c r="P620" s="79"/>
      <c r="Q620" s="79"/>
      <c r="R620" s="79"/>
      <c r="S620" s="79"/>
      <c r="T620" s="79"/>
      <c r="U620" s="79"/>
      <c r="V620" s="79"/>
      <c r="W620" s="79"/>
      <c r="X620" s="79"/>
      <c r="Y620" s="79"/>
      <c r="Z620" s="79"/>
    </row>
    <row r="621">
      <c r="A621" s="79"/>
      <c r="B621" s="79"/>
      <c r="C621" s="79"/>
      <c r="D621" s="79"/>
      <c r="E621" s="79"/>
      <c r="F621" s="79"/>
      <c r="G621" s="79"/>
      <c r="H621" s="79"/>
      <c r="I621" s="79"/>
      <c r="J621" s="79"/>
      <c r="K621" s="79"/>
      <c r="L621" s="79"/>
      <c r="M621" s="79"/>
      <c r="N621" s="79"/>
      <c r="O621" s="79"/>
      <c r="P621" s="79"/>
      <c r="Q621" s="79"/>
      <c r="R621" s="79"/>
      <c r="S621" s="79"/>
      <c r="T621" s="79"/>
      <c r="U621" s="79"/>
      <c r="V621" s="79"/>
      <c r="W621" s="79"/>
      <c r="X621" s="79"/>
      <c r="Y621" s="79"/>
      <c r="Z621" s="79"/>
    </row>
    <row r="622">
      <c r="A622" s="79"/>
      <c r="B622" s="79"/>
      <c r="C622" s="79"/>
      <c r="D622" s="79"/>
      <c r="E622" s="79"/>
      <c r="F622" s="79"/>
      <c r="G622" s="79"/>
      <c r="H622" s="79"/>
      <c r="I622" s="79"/>
      <c r="J622" s="79"/>
      <c r="K622" s="79"/>
      <c r="L622" s="79"/>
      <c r="M622" s="79"/>
      <c r="N622" s="79"/>
      <c r="O622" s="79"/>
      <c r="P622" s="79"/>
      <c r="Q622" s="79"/>
      <c r="R622" s="79"/>
      <c r="S622" s="79"/>
      <c r="T622" s="79"/>
      <c r="U622" s="79"/>
      <c r="V622" s="79"/>
      <c r="W622" s="79"/>
      <c r="X622" s="79"/>
      <c r="Y622" s="79"/>
      <c r="Z622" s="79"/>
    </row>
    <row r="623">
      <c r="A623" s="79"/>
      <c r="B623" s="79"/>
      <c r="C623" s="79"/>
      <c r="D623" s="79"/>
      <c r="E623" s="79"/>
      <c r="F623" s="79"/>
      <c r="G623" s="79"/>
      <c r="H623" s="79"/>
      <c r="I623" s="79"/>
      <c r="J623" s="79"/>
      <c r="K623" s="79"/>
      <c r="L623" s="79"/>
      <c r="M623" s="79"/>
      <c r="N623" s="79"/>
      <c r="O623" s="79"/>
      <c r="P623" s="79"/>
      <c r="Q623" s="79"/>
      <c r="R623" s="79"/>
      <c r="S623" s="79"/>
      <c r="T623" s="79"/>
      <c r="U623" s="79"/>
      <c r="V623" s="79"/>
      <c r="W623" s="79"/>
      <c r="X623" s="79"/>
      <c r="Y623" s="79"/>
      <c r="Z623" s="79"/>
    </row>
    <row r="624">
      <c r="A624" s="79"/>
      <c r="B624" s="79"/>
      <c r="C624" s="79"/>
      <c r="D624" s="79"/>
      <c r="E624" s="79"/>
      <c r="F624" s="79"/>
      <c r="G624" s="79"/>
      <c r="H624" s="79"/>
      <c r="I624" s="79"/>
      <c r="J624" s="79"/>
      <c r="K624" s="79"/>
      <c r="L624" s="79"/>
      <c r="M624" s="79"/>
      <c r="N624" s="79"/>
      <c r="O624" s="79"/>
      <c r="P624" s="79"/>
      <c r="Q624" s="79"/>
      <c r="R624" s="79"/>
      <c r="S624" s="79"/>
      <c r="T624" s="79"/>
      <c r="U624" s="79"/>
      <c r="V624" s="79"/>
      <c r="W624" s="79"/>
      <c r="X624" s="79"/>
      <c r="Y624" s="79"/>
      <c r="Z624" s="79"/>
    </row>
    <row r="625">
      <c r="A625" s="79"/>
      <c r="B625" s="79"/>
      <c r="C625" s="79"/>
      <c r="D625" s="79"/>
      <c r="E625" s="79"/>
      <c r="F625" s="79"/>
      <c r="G625" s="79"/>
      <c r="H625" s="79"/>
      <c r="I625" s="79"/>
      <c r="J625" s="79"/>
      <c r="K625" s="79"/>
      <c r="L625" s="79"/>
      <c r="M625" s="79"/>
      <c r="N625" s="79"/>
      <c r="O625" s="79"/>
      <c r="P625" s="79"/>
      <c r="Q625" s="79"/>
      <c r="R625" s="79"/>
      <c r="S625" s="79"/>
      <c r="T625" s="79"/>
      <c r="U625" s="79"/>
      <c r="V625" s="79"/>
      <c r="W625" s="79"/>
      <c r="X625" s="79"/>
      <c r="Y625" s="79"/>
      <c r="Z625" s="79"/>
    </row>
    <row r="626">
      <c r="A626" s="79"/>
      <c r="B626" s="79"/>
      <c r="C626" s="79"/>
      <c r="D626" s="79"/>
      <c r="E626" s="79"/>
      <c r="F626" s="79"/>
      <c r="G626" s="79"/>
      <c r="H626" s="79"/>
      <c r="I626" s="79"/>
      <c r="J626" s="79"/>
      <c r="K626" s="79"/>
      <c r="L626" s="79"/>
      <c r="M626" s="79"/>
      <c r="N626" s="79"/>
      <c r="O626" s="79"/>
      <c r="P626" s="79"/>
      <c r="Q626" s="79"/>
      <c r="R626" s="79"/>
      <c r="S626" s="79"/>
      <c r="T626" s="79"/>
      <c r="U626" s="79"/>
      <c r="V626" s="79"/>
      <c r="W626" s="79"/>
      <c r="X626" s="79"/>
      <c r="Y626" s="79"/>
      <c r="Z626" s="79"/>
    </row>
    <row r="627">
      <c r="A627" s="79"/>
      <c r="B627" s="79"/>
      <c r="C627" s="79"/>
      <c r="D627" s="79"/>
      <c r="E627" s="79"/>
      <c r="F627" s="79"/>
      <c r="G627" s="79"/>
      <c r="H627" s="79"/>
      <c r="I627" s="79"/>
      <c r="J627" s="79"/>
      <c r="K627" s="79"/>
      <c r="L627" s="79"/>
      <c r="M627" s="79"/>
      <c r="N627" s="79"/>
      <c r="O627" s="79"/>
      <c r="P627" s="79"/>
      <c r="Q627" s="79"/>
      <c r="R627" s="79"/>
      <c r="S627" s="79"/>
      <c r="T627" s="79"/>
      <c r="U627" s="79"/>
      <c r="V627" s="79"/>
      <c r="W627" s="79"/>
      <c r="X627" s="79"/>
      <c r="Y627" s="79"/>
      <c r="Z627" s="79"/>
    </row>
    <row r="628">
      <c r="A628" s="79"/>
      <c r="B628" s="79"/>
      <c r="C628" s="79"/>
      <c r="D628" s="79"/>
      <c r="E628" s="79"/>
      <c r="F628" s="79"/>
      <c r="G628" s="79"/>
      <c r="H628" s="79"/>
      <c r="I628" s="79"/>
      <c r="J628" s="79"/>
      <c r="K628" s="79"/>
      <c r="L628" s="79"/>
      <c r="M628" s="79"/>
      <c r="N628" s="79"/>
      <c r="O628" s="79"/>
      <c r="P628" s="79"/>
      <c r="Q628" s="79"/>
      <c r="R628" s="79"/>
      <c r="S628" s="79"/>
      <c r="T628" s="79"/>
      <c r="U628" s="79"/>
      <c r="V628" s="79"/>
      <c r="W628" s="79"/>
      <c r="X628" s="79"/>
      <c r="Y628" s="79"/>
      <c r="Z628" s="79"/>
    </row>
    <row r="629">
      <c r="A629" s="79"/>
      <c r="B629" s="79"/>
      <c r="C629" s="79"/>
      <c r="D629" s="79"/>
      <c r="E629" s="79"/>
      <c r="F629" s="79"/>
      <c r="G629" s="79"/>
      <c r="H629" s="79"/>
      <c r="I629" s="79"/>
      <c r="J629" s="79"/>
      <c r="K629" s="79"/>
      <c r="L629" s="79"/>
      <c r="M629" s="79"/>
      <c r="N629" s="79"/>
      <c r="O629" s="79"/>
      <c r="P629" s="79"/>
      <c r="Q629" s="79"/>
      <c r="R629" s="79"/>
      <c r="S629" s="79"/>
      <c r="T629" s="79"/>
      <c r="U629" s="79"/>
      <c r="V629" s="79"/>
      <c r="W629" s="79"/>
      <c r="X629" s="79"/>
      <c r="Y629" s="79"/>
      <c r="Z629" s="79"/>
    </row>
    <row r="630">
      <c r="A630" s="79"/>
      <c r="B630" s="79"/>
      <c r="C630" s="79"/>
      <c r="D630" s="79"/>
      <c r="E630" s="79"/>
      <c r="F630" s="79"/>
      <c r="G630" s="79"/>
      <c r="H630" s="79"/>
      <c r="I630" s="79"/>
      <c r="J630" s="79"/>
      <c r="K630" s="79"/>
      <c r="L630" s="79"/>
      <c r="M630" s="79"/>
      <c r="N630" s="79"/>
      <c r="O630" s="79"/>
      <c r="P630" s="79"/>
      <c r="Q630" s="79"/>
      <c r="R630" s="79"/>
      <c r="S630" s="79"/>
      <c r="T630" s="79"/>
      <c r="U630" s="79"/>
      <c r="V630" s="79"/>
      <c r="W630" s="79"/>
      <c r="X630" s="79"/>
      <c r="Y630" s="79"/>
      <c r="Z630" s="79"/>
    </row>
    <row r="631">
      <c r="A631" s="79"/>
      <c r="B631" s="79"/>
      <c r="C631" s="79"/>
      <c r="D631" s="79"/>
      <c r="E631" s="79"/>
      <c r="F631" s="79"/>
      <c r="G631" s="79"/>
      <c r="H631" s="79"/>
      <c r="I631" s="79"/>
      <c r="J631" s="79"/>
      <c r="K631" s="79"/>
      <c r="L631" s="79"/>
      <c r="M631" s="79"/>
      <c r="N631" s="79"/>
      <c r="O631" s="79"/>
      <c r="P631" s="79"/>
      <c r="Q631" s="79"/>
      <c r="R631" s="79"/>
      <c r="S631" s="79"/>
      <c r="T631" s="79"/>
      <c r="U631" s="79"/>
      <c r="V631" s="79"/>
      <c r="W631" s="79"/>
      <c r="X631" s="79"/>
      <c r="Y631" s="79"/>
      <c r="Z631" s="79"/>
    </row>
    <row r="632">
      <c r="A632" s="79"/>
      <c r="B632" s="79"/>
      <c r="C632" s="79"/>
      <c r="D632" s="79"/>
      <c r="E632" s="79"/>
      <c r="F632" s="79"/>
      <c r="G632" s="79"/>
      <c r="H632" s="79"/>
      <c r="I632" s="79"/>
      <c r="J632" s="79"/>
      <c r="K632" s="79"/>
      <c r="L632" s="79"/>
      <c r="M632" s="79"/>
      <c r="N632" s="79"/>
      <c r="O632" s="79"/>
      <c r="P632" s="79"/>
      <c r="Q632" s="79"/>
      <c r="R632" s="79"/>
      <c r="S632" s="79"/>
      <c r="T632" s="79"/>
      <c r="U632" s="79"/>
      <c r="V632" s="79"/>
      <c r="W632" s="79"/>
      <c r="X632" s="79"/>
      <c r="Y632" s="79"/>
      <c r="Z632" s="79"/>
    </row>
    <row r="633">
      <c r="A633" s="79"/>
      <c r="B633" s="79"/>
      <c r="C633" s="79"/>
      <c r="D633" s="79"/>
      <c r="E633" s="79"/>
      <c r="F633" s="79"/>
      <c r="G633" s="79"/>
      <c r="H633" s="79"/>
      <c r="I633" s="79"/>
      <c r="J633" s="79"/>
      <c r="K633" s="79"/>
      <c r="L633" s="79"/>
      <c r="M633" s="79"/>
      <c r="N633" s="79"/>
      <c r="O633" s="79"/>
      <c r="P633" s="79"/>
      <c r="Q633" s="79"/>
      <c r="R633" s="79"/>
      <c r="S633" s="79"/>
      <c r="T633" s="79"/>
      <c r="U633" s="79"/>
      <c r="V633" s="79"/>
      <c r="W633" s="79"/>
      <c r="X633" s="79"/>
      <c r="Y633" s="79"/>
      <c r="Z633" s="79"/>
    </row>
    <row r="634">
      <c r="A634" s="79"/>
      <c r="B634" s="79"/>
      <c r="C634" s="79"/>
      <c r="D634" s="79"/>
      <c r="E634" s="79"/>
      <c r="F634" s="79"/>
      <c r="G634" s="79"/>
      <c r="H634" s="79"/>
      <c r="I634" s="79"/>
      <c r="J634" s="79"/>
      <c r="K634" s="79"/>
      <c r="L634" s="79"/>
      <c r="M634" s="79"/>
      <c r="N634" s="79"/>
      <c r="O634" s="79"/>
      <c r="P634" s="79"/>
      <c r="Q634" s="79"/>
      <c r="R634" s="79"/>
      <c r="S634" s="79"/>
      <c r="T634" s="79"/>
      <c r="U634" s="79"/>
      <c r="V634" s="79"/>
      <c r="W634" s="79"/>
      <c r="X634" s="79"/>
      <c r="Y634" s="79"/>
      <c r="Z634" s="79"/>
    </row>
    <row r="635">
      <c r="A635" s="79"/>
      <c r="B635" s="79"/>
      <c r="C635" s="79"/>
      <c r="D635" s="79"/>
      <c r="E635" s="79"/>
      <c r="F635" s="79"/>
      <c r="G635" s="79"/>
      <c r="H635" s="79"/>
      <c r="I635" s="79"/>
      <c r="J635" s="79"/>
      <c r="K635" s="79"/>
      <c r="L635" s="79"/>
      <c r="M635" s="79"/>
      <c r="N635" s="79"/>
      <c r="O635" s="79"/>
      <c r="P635" s="79"/>
      <c r="Q635" s="79"/>
      <c r="R635" s="79"/>
      <c r="S635" s="79"/>
      <c r="T635" s="79"/>
      <c r="U635" s="79"/>
      <c r="V635" s="79"/>
      <c r="W635" s="79"/>
      <c r="X635" s="79"/>
      <c r="Y635" s="79"/>
      <c r="Z635" s="79"/>
    </row>
    <row r="636">
      <c r="A636" s="79"/>
      <c r="B636" s="79"/>
      <c r="C636" s="79"/>
      <c r="D636" s="79"/>
      <c r="E636" s="79"/>
      <c r="F636" s="79"/>
      <c r="G636" s="79"/>
      <c r="H636" s="79"/>
      <c r="I636" s="79"/>
      <c r="J636" s="79"/>
      <c r="K636" s="79"/>
      <c r="L636" s="79"/>
      <c r="M636" s="79"/>
      <c r="N636" s="79"/>
      <c r="O636" s="79"/>
      <c r="P636" s="79"/>
      <c r="Q636" s="79"/>
      <c r="R636" s="79"/>
      <c r="S636" s="79"/>
      <c r="T636" s="79"/>
      <c r="U636" s="79"/>
      <c r="V636" s="79"/>
      <c r="W636" s="79"/>
      <c r="X636" s="79"/>
      <c r="Y636" s="79"/>
      <c r="Z636" s="79"/>
    </row>
    <row r="637">
      <c r="A637" s="79"/>
      <c r="B637" s="79"/>
      <c r="C637" s="79"/>
      <c r="D637" s="79"/>
      <c r="E637" s="79"/>
      <c r="F637" s="79"/>
      <c r="G637" s="79"/>
      <c r="H637" s="79"/>
      <c r="I637" s="79"/>
      <c r="J637" s="79"/>
      <c r="K637" s="79"/>
      <c r="L637" s="79"/>
      <c r="M637" s="79"/>
      <c r="N637" s="79"/>
      <c r="O637" s="79"/>
      <c r="P637" s="79"/>
      <c r="Q637" s="79"/>
      <c r="R637" s="79"/>
      <c r="S637" s="79"/>
      <c r="T637" s="79"/>
      <c r="U637" s="79"/>
      <c r="V637" s="79"/>
      <c r="W637" s="79"/>
      <c r="X637" s="79"/>
      <c r="Y637" s="79"/>
      <c r="Z637" s="79"/>
    </row>
    <row r="638">
      <c r="A638" s="79"/>
      <c r="B638" s="79"/>
      <c r="C638" s="79"/>
      <c r="D638" s="79"/>
      <c r="E638" s="79"/>
      <c r="F638" s="79"/>
      <c r="G638" s="79"/>
      <c r="H638" s="79"/>
      <c r="I638" s="79"/>
      <c r="J638" s="79"/>
      <c r="K638" s="79"/>
      <c r="L638" s="79"/>
      <c r="M638" s="79"/>
      <c r="N638" s="79"/>
      <c r="O638" s="79"/>
      <c r="P638" s="79"/>
      <c r="Q638" s="79"/>
      <c r="R638" s="79"/>
      <c r="S638" s="79"/>
      <c r="T638" s="79"/>
      <c r="U638" s="79"/>
      <c r="V638" s="79"/>
      <c r="W638" s="79"/>
      <c r="X638" s="79"/>
      <c r="Y638" s="79"/>
      <c r="Z638" s="79"/>
    </row>
    <row r="639">
      <c r="A639" s="79"/>
      <c r="B639" s="79"/>
      <c r="C639" s="79"/>
      <c r="D639" s="79"/>
      <c r="E639" s="79"/>
      <c r="F639" s="79"/>
      <c r="G639" s="79"/>
      <c r="H639" s="79"/>
      <c r="I639" s="79"/>
      <c r="J639" s="79"/>
      <c r="K639" s="79"/>
      <c r="L639" s="79"/>
      <c r="M639" s="79"/>
      <c r="N639" s="79"/>
      <c r="O639" s="79"/>
      <c r="P639" s="79"/>
      <c r="Q639" s="79"/>
      <c r="R639" s="79"/>
      <c r="S639" s="79"/>
      <c r="T639" s="79"/>
      <c r="U639" s="79"/>
      <c r="V639" s="79"/>
      <c r="W639" s="79"/>
      <c r="X639" s="79"/>
      <c r="Y639" s="79"/>
      <c r="Z639" s="79"/>
    </row>
    <row r="640">
      <c r="A640" s="79"/>
      <c r="B640" s="79"/>
      <c r="C640" s="79"/>
      <c r="D640" s="79"/>
      <c r="E640" s="79"/>
      <c r="F640" s="79"/>
      <c r="G640" s="79"/>
      <c r="H640" s="79"/>
      <c r="I640" s="79"/>
      <c r="J640" s="79"/>
      <c r="K640" s="79"/>
      <c r="L640" s="79"/>
      <c r="M640" s="79"/>
      <c r="N640" s="79"/>
      <c r="O640" s="79"/>
      <c r="P640" s="79"/>
      <c r="Q640" s="79"/>
      <c r="R640" s="79"/>
      <c r="S640" s="79"/>
      <c r="T640" s="79"/>
      <c r="U640" s="79"/>
      <c r="V640" s="79"/>
      <c r="W640" s="79"/>
      <c r="X640" s="79"/>
      <c r="Y640" s="79"/>
      <c r="Z640" s="79"/>
    </row>
    <row r="641">
      <c r="A641" s="79"/>
      <c r="B641" s="79"/>
      <c r="C641" s="79"/>
      <c r="D641" s="79"/>
      <c r="E641" s="79"/>
      <c r="F641" s="79"/>
      <c r="G641" s="79"/>
      <c r="H641" s="79"/>
      <c r="I641" s="79"/>
      <c r="J641" s="79"/>
      <c r="K641" s="79"/>
      <c r="L641" s="79"/>
      <c r="M641" s="79"/>
      <c r="N641" s="79"/>
      <c r="O641" s="79"/>
      <c r="P641" s="79"/>
      <c r="Q641" s="79"/>
      <c r="R641" s="79"/>
      <c r="S641" s="79"/>
      <c r="T641" s="79"/>
      <c r="U641" s="79"/>
      <c r="V641" s="79"/>
      <c r="W641" s="79"/>
      <c r="X641" s="79"/>
      <c r="Y641" s="79"/>
      <c r="Z641" s="79"/>
    </row>
    <row r="642">
      <c r="A642" s="79"/>
      <c r="B642" s="79"/>
      <c r="C642" s="79"/>
      <c r="D642" s="79"/>
      <c r="E642" s="79"/>
      <c r="F642" s="79"/>
      <c r="G642" s="79"/>
      <c r="H642" s="79"/>
      <c r="I642" s="79"/>
      <c r="J642" s="79"/>
      <c r="K642" s="79"/>
      <c r="L642" s="79"/>
      <c r="M642" s="79"/>
      <c r="N642" s="79"/>
      <c r="O642" s="79"/>
      <c r="P642" s="79"/>
      <c r="Q642" s="79"/>
      <c r="R642" s="79"/>
      <c r="S642" s="79"/>
      <c r="T642" s="79"/>
      <c r="U642" s="79"/>
      <c r="V642" s="79"/>
      <c r="W642" s="79"/>
      <c r="X642" s="79"/>
      <c r="Y642" s="79"/>
      <c r="Z642" s="79"/>
    </row>
    <row r="643">
      <c r="A643" s="79"/>
      <c r="B643" s="79"/>
      <c r="C643" s="79"/>
      <c r="D643" s="79"/>
      <c r="E643" s="79"/>
      <c r="F643" s="79"/>
      <c r="G643" s="79"/>
      <c r="H643" s="79"/>
      <c r="I643" s="79"/>
      <c r="J643" s="79"/>
      <c r="K643" s="79"/>
      <c r="L643" s="79"/>
      <c r="M643" s="79"/>
      <c r="N643" s="79"/>
      <c r="O643" s="79"/>
      <c r="P643" s="79"/>
      <c r="Q643" s="79"/>
      <c r="R643" s="79"/>
      <c r="S643" s="79"/>
      <c r="T643" s="79"/>
      <c r="U643" s="79"/>
      <c r="V643" s="79"/>
      <c r="W643" s="79"/>
      <c r="X643" s="79"/>
      <c r="Y643" s="79"/>
      <c r="Z643" s="79"/>
    </row>
    <row r="644">
      <c r="A644" s="79"/>
      <c r="B644" s="79"/>
      <c r="C644" s="79"/>
      <c r="D644" s="79"/>
      <c r="E644" s="79"/>
      <c r="F644" s="79"/>
      <c r="G644" s="79"/>
      <c r="H644" s="79"/>
      <c r="I644" s="79"/>
      <c r="J644" s="79"/>
      <c r="K644" s="79"/>
      <c r="L644" s="79"/>
      <c r="M644" s="79"/>
      <c r="N644" s="79"/>
      <c r="O644" s="79"/>
      <c r="P644" s="79"/>
      <c r="Q644" s="79"/>
      <c r="R644" s="79"/>
      <c r="S644" s="79"/>
      <c r="T644" s="79"/>
      <c r="U644" s="79"/>
      <c r="V644" s="79"/>
      <c r="W644" s="79"/>
      <c r="X644" s="79"/>
      <c r="Y644" s="79"/>
      <c r="Z644" s="79"/>
    </row>
    <row r="645">
      <c r="A645" s="79"/>
      <c r="B645" s="79"/>
      <c r="C645" s="79"/>
      <c r="D645" s="79"/>
      <c r="E645" s="79"/>
      <c r="F645" s="79"/>
      <c r="G645" s="79"/>
      <c r="H645" s="79"/>
      <c r="I645" s="79"/>
      <c r="J645" s="79"/>
      <c r="K645" s="79"/>
      <c r="L645" s="79"/>
      <c r="M645" s="79"/>
      <c r="N645" s="79"/>
      <c r="O645" s="79"/>
      <c r="P645" s="79"/>
      <c r="Q645" s="79"/>
      <c r="R645" s="79"/>
      <c r="S645" s="79"/>
      <c r="T645" s="79"/>
      <c r="U645" s="79"/>
      <c r="V645" s="79"/>
      <c r="W645" s="79"/>
      <c r="X645" s="79"/>
      <c r="Y645" s="79"/>
      <c r="Z645" s="79"/>
    </row>
    <row r="646">
      <c r="A646" s="79"/>
      <c r="B646" s="79"/>
      <c r="C646" s="79"/>
      <c r="D646" s="79"/>
      <c r="E646" s="79"/>
      <c r="F646" s="79"/>
      <c r="G646" s="79"/>
      <c r="H646" s="79"/>
      <c r="I646" s="79"/>
      <c r="J646" s="79"/>
      <c r="K646" s="79"/>
      <c r="L646" s="79"/>
      <c r="M646" s="79"/>
      <c r="N646" s="79"/>
      <c r="O646" s="79"/>
      <c r="P646" s="79"/>
      <c r="Q646" s="79"/>
      <c r="R646" s="79"/>
      <c r="S646" s="79"/>
      <c r="T646" s="79"/>
      <c r="U646" s="79"/>
      <c r="V646" s="79"/>
      <c r="W646" s="79"/>
      <c r="X646" s="79"/>
      <c r="Y646" s="79"/>
      <c r="Z646" s="79"/>
    </row>
    <row r="647">
      <c r="A647" s="79"/>
      <c r="B647" s="79"/>
      <c r="C647" s="79"/>
      <c r="D647" s="79"/>
      <c r="E647" s="79"/>
      <c r="F647" s="79"/>
      <c r="G647" s="79"/>
      <c r="H647" s="79"/>
      <c r="I647" s="79"/>
      <c r="J647" s="79"/>
      <c r="K647" s="79"/>
      <c r="L647" s="79"/>
      <c r="M647" s="79"/>
      <c r="N647" s="79"/>
      <c r="O647" s="79"/>
      <c r="P647" s="79"/>
      <c r="Q647" s="79"/>
      <c r="R647" s="79"/>
      <c r="S647" s="79"/>
      <c r="T647" s="79"/>
      <c r="U647" s="79"/>
      <c r="V647" s="79"/>
      <c r="W647" s="79"/>
      <c r="X647" s="79"/>
      <c r="Y647" s="79"/>
      <c r="Z647" s="79"/>
    </row>
    <row r="648">
      <c r="A648" s="79"/>
      <c r="B648" s="79"/>
      <c r="C648" s="79"/>
      <c r="D648" s="79"/>
      <c r="E648" s="79"/>
      <c r="F648" s="79"/>
      <c r="G648" s="79"/>
      <c r="H648" s="79"/>
      <c r="I648" s="79"/>
      <c r="J648" s="79"/>
      <c r="K648" s="79"/>
      <c r="L648" s="79"/>
      <c r="M648" s="79"/>
      <c r="N648" s="79"/>
      <c r="O648" s="79"/>
      <c r="P648" s="79"/>
      <c r="Q648" s="79"/>
      <c r="R648" s="79"/>
      <c r="S648" s="79"/>
      <c r="T648" s="79"/>
      <c r="U648" s="79"/>
      <c r="V648" s="79"/>
      <c r="W648" s="79"/>
      <c r="X648" s="79"/>
      <c r="Y648" s="79"/>
      <c r="Z648" s="79"/>
    </row>
    <row r="649">
      <c r="A649" s="79"/>
      <c r="B649" s="79"/>
      <c r="C649" s="79"/>
      <c r="D649" s="79"/>
      <c r="E649" s="79"/>
      <c r="F649" s="79"/>
      <c r="G649" s="79"/>
      <c r="H649" s="79"/>
      <c r="I649" s="79"/>
      <c r="J649" s="79"/>
      <c r="K649" s="79"/>
      <c r="L649" s="79"/>
      <c r="M649" s="79"/>
      <c r="N649" s="79"/>
      <c r="O649" s="79"/>
      <c r="P649" s="79"/>
      <c r="Q649" s="79"/>
      <c r="R649" s="79"/>
      <c r="S649" s="79"/>
      <c r="T649" s="79"/>
      <c r="U649" s="79"/>
      <c r="V649" s="79"/>
      <c r="W649" s="79"/>
      <c r="X649" s="79"/>
      <c r="Y649" s="79"/>
      <c r="Z649" s="79"/>
    </row>
    <row r="650">
      <c r="A650" s="79"/>
      <c r="B650" s="79"/>
      <c r="C650" s="79"/>
      <c r="D650" s="79"/>
      <c r="E650" s="79"/>
      <c r="F650" s="79"/>
      <c r="G650" s="79"/>
      <c r="H650" s="79"/>
      <c r="I650" s="79"/>
      <c r="J650" s="79"/>
      <c r="K650" s="79"/>
      <c r="L650" s="79"/>
      <c r="M650" s="79"/>
      <c r="N650" s="79"/>
      <c r="O650" s="79"/>
      <c r="P650" s="79"/>
      <c r="Q650" s="79"/>
      <c r="R650" s="79"/>
      <c r="S650" s="79"/>
      <c r="T650" s="79"/>
      <c r="U650" s="79"/>
      <c r="V650" s="79"/>
      <c r="W650" s="79"/>
      <c r="X650" s="79"/>
      <c r="Y650" s="79"/>
      <c r="Z650" s="79"/>
    </row>
    <row r="651">
      <c r="A651" s="79"/>
      <c r="B651" s="79"/>
      <c r="C651" s="79"/>
      <c r="D651" s="79"/>
      <c r="E651" s="79"/>
      <c r="F651" s="79"/>
      <c r="G651" s="79"/>
      <c r="H651" s="79"/>
      <c r="I651" s="79"/>
      <c r="J651" s="79"/>
      <c r="K651" s="79"/>
      <c r="L651" s="79"/>
      <c r="M651" s="79"/>
      <c r="N651" s="79"/>
      <c r="O651" s="79"/>
      <c r="P651" s="79"/>
      <c r="Q651" s="79"/>
      <c r="R651" s="79"/>
      <c r="S651" s="79"/>
      <c r="T651" s="79"/>
      <c r="U651" s="79"/>
      <c r="V651" s="79"/>
      <c r="W651" s="79"/>
      <c r="X651" s="79"/>
      <c r="Y651" s="79"/>
      <c r="Z651" s="79"/>
    </row>
    <row r="652">
      <c r="A652" s="79"/>
      <c r="B652" s="79"/>
      <c r="C652" s="79"/>
      <c r="D652" s="79"/>
      <c r="E652" s="79"/>
      <c r="F652" s="79"/>
      <c r="G652" s="79"/>
      <c r="H652" s="79"/>
      <c r="I652" s="79"/>
      <c r="J652" s="79"/>
      <c r="K652" s="79"/>
      <c r="L652" s="79"/>
      <c r="M652" s="79"/>
      <c r="N652" s="79"/>
      <c r="O652" s="79"/>
      <c r="P652" s="79"/>
      <c r="Q652" s="79"/>
      <c r="R652" s="79"/>
      <c r="S652" s="79"/>
      <c r="T652" s="79"/>
      <c r="U652" s="79"/>
      <c r="V652" s="79"/>
      <c r="W652" s="79"/>
      <c r="X652" s="79"/>
      <c r="Y652" s="79"/>
      <c r="Z652" s="79"/>
    </row>
    <row r="653">
      <c r="A653" s="79"/>
      <c r="B653" s="79"/>
      <c r="C653" s="79"/>
      <c r="D653" s="79"/>
      <c r="E653" s="79"/>
      <c r="F653" s="79"/>
      <c r="G653" s="79"/>
      <c r="H653" s="79"/>
      <c r="I653" s="79"/>
      <c r="J653" s="79"/>
      <c r="K653" s="79"/>
      <c r="L653" s="79"/>
      <c r="M653" s="79"/>
      <c r="N653" s="79"/>
      <c r="O653" s="79"/>
      <c r="P653" s="79"/>
      <c r="Q653" s="79"/>
      <c r="R653" s="79"/>
      <c r="S653" s="79"/>
      <c r="T653" s="79"/>
      <c r="U653" s="79"/>
      <c r="V653" s="79"/>
      <c r="W653" s="79"/>
      <c r="X653" s="79"/>
      <c r="Y653" s="79"/>
      <c r="Z653" s="79"/>
    </row>
    <row r="654">
      <c r="A654" s="79"/>
      <c r="B654" s="79"/>
      <c r="C654" s="79"/>
      <c r="D654" s="79"/>
      <c r="E654" s="79"/>
      <c r="F654" s="79"/>
      <c r="G654" s="79"/>
      <c r="H654" s="79"/>
      <c r="I654" s="79"/>
      <c r="J654" s="79"/>
      <c r="K654" s="79"/>
      <c r="L654" s="79"/>
      <c r="M654" s="79"/>
      <c r="N654" s="79"/>
      <c r="O654" s="79"/>
      <c r="P654" s="79"/>
      <c r="Q654" s="79"/>
      <c r="R654" s="79"/>
      <c r="S654" s="79"/>
      <c r="T654" s="79"/>
      <c r="U654" s="79"/>
      <c r="V654" s="79"/>
      <c r="W654" s="79"/>
      <c r="X654" s="79"/>
      <c r="Y654" s="79"/>
      <c r="Z654" s="79"/>
    </row>
    <row r="655">
      <c r="A655" s="79"/>
      <c r="B655" s="79"/>
      <c r="C655" s="79"/>
      <c r="D655" s="79"/>
      <c r="E655" s="79"/>
      <c r="F655" s="79"/>
      <c r="G655" s="79"/>
      <c r="H655" s="79"/>
      <c r="I655" s="79"/>
      <c r="J655" s="79"/>
      <c r="K655" s="79"/>
      <c r="L655" s="79"/>
      <c r="M655" s="79"/>
      <c r="N655" s="79"/>
      <c r="O655" s="79"/>
      <c r="P655" s="79"/>
      <c r="Q655" s="79"/>
      <c r="R655" s="79"/>
      <c r="S655" s="79"/>
      <c r="T655" s="79"/>
      <c r="U655" s="79"/>
      <c r="V655" s="79"/>
      <c r="W655" s="79"/>
      <c r="X655" s="79"/>
      <c r="Y655" s="79"/>
      <c r="Z655" s="79"/>
    </row>
    <row r="656">
      <c r="A656" s="79"/>
      <c r="B656" s="79"/>
      <c r="C656" s="79"/>
      <c r="D656" s="79"/>
      <c r="E656" s="79"/>
      <c r="F656" s="79"/>
      <c r="G656" s="79"/>
      <c r="H656" s="79"/>
      <c r="I656" s="79"/>
      <c r="J656" s="79"/>
      <c r="K656" s="79"/>
      <c r="L656" s="79"/>
      <c r="M656" s="79"/>
      <c r="N656" s="79"/>
      <c r="O656" s="79"/>
      <c r="P656" s="79"/>
      <c r="Q656" s="79"/>
      <c r="R656" s="79"/>
      <c r="S656" s="79"/>
      <c r="T656" s="79"/>
      <c r="U656" s="79"/>
      <c r="V656" s="79"/>
      <c r="W656" s="79"/>
      <c r="X656" s="79"/>
      <c r="Y656" s="79"/>
      <c r="Z656" s="79"/>
    </row>
    <row r="657">
      <c r="A657" s="79"/>
      <c r="B657" s="79"/>
      <c r="C657" s="79"/>
      <c r="D657" s="79"/>
      <c r="E657" s="79"/>
      <c r="F657" s="79"/>
      <c r="G657" s="79"/>
      <c r="H657" s="79"/>
      <c r="I657" s="79"/>
      <c r="J657" s="79"/>
      <c r="K657" s="79"/>
      <c r="L657" s="79"/>
      <c r="M657" s="79"/>
      <c r="N657" s="79"/>
      <c r="O657" s="79"/>
      <c r="P657" s="79"/>
      <c r="Q657" s="79"/>
      <c r="R657" s="79"/>
      <c r="S657" s="79"/>
      <c r="T657" s="79"/>
      <c r="U657" s="79"/>
      <c r="V657" s="79"/>
      <c r="W657" s="79"/>
      <c r="X657" s="79"/>
      <c r="Y657" s="79"/>
      <c r="Z657" s="79"/>
    </row>
    <row r="658">
      <c r="A658" s="79"/>
      <c r="B658" s="79"/>
      <c r="C658" s="79"/>
      <c r="D658" s="79"/>
      <c r="E658" s="79"/>
      <c r="F658" s="79"/>
      <c r="G658" s="79"/>
      <c r="H658" s="79"/>
      <c r="I658" s="79"/>
      <c r="J658" s="79"/>
      <c r="K658" s="79"/>
      <c r="L658" s="79"/>
      <c r="M658" s="79"/>
      <c r="N658" s="79"/>
      <c r="O658" s="79"/>
      <c r="P658" s="79"/>
      <c r="Q658" s="79"/>
      <c r="R658" s="79"/>
      <c r="S658" s="79"/>
      <c r="T658" s="79"/>
      <c r="U658" s="79"/>
      <c r="V658" s="79"/>
      <c r="W658" s="79"/>
      <c r="X658" s="79"/>
      <c r="Y658" s="79"/>
      <c r="Z658" s="79"/>
    </row>
    <row r="659">
      <c r="A659" s="79"/>
      <c r="B659" s="79"/>
      <c r="C659" s="79"/>
      <c r="D659" s="79"/>
      <c r="E659" s="79"/>
      <c r="F659" s="79"/>
      <c r="G659" s="79"/>
      <c r="H659" s="79"/>
      <c r="I659" s="79"/>
      <c r="J659" s="79"/>
      <c r="K659" s="79"/>
      <c r="L659" s="79"/>
      <c r="M659" s="79"/>
      <c r="N659" s="79"/>
      <c r="O659" s="79"/>
      <c r="P659" s="79"/>
      <c r="Q659" s="79"/>
      <c r="R659" s="79"/>
      <c r="S659" s="79"/>
      <c r="T659" s="79"/>
      <c r="U659" s="79"/>
      <c r="V659" s="79"/>
      <c r="W659" s="79"/>
      <c r="X659" s="79"/>
      <c r="Y659" s="79"/>
      <c r="Z659" s="79"/>
    </row>
    <row r="660">
      <c r="A660" s="79"/>
      <c r="B660" s="79"/>
      <c r="C660" s="79"/>
      <c r="D660" s="79"/>
      <c r="E660" s="79"/>
      <c r="F660" s="79"/>
      <c r="G660" s="79"/>
      <c r="H660" s="79"/>
      <c r="I660" s="79"/>
      <c r="J660" s="79"/>
      <c r="K660" s="79"/>
      <c r="L660" s="79"/>
      <c r="M660" s="79"/>
      <c r="N660" s="79"/>
      <c r="O660" s="79"/>
      <c r="P660" s="79"/>
      <c r="Q660" s="79"/>
      <c r="R660" s="79"/>
      <c r="S660" s="79"/>
      <c r="T660" s="79"/>
      <c r="U660" s="79"/>
      <c r="V660" s="79"/>
      <c r="W660" s="79"/>
      <c r="X660" s="79"/>
      <c r="Y660" s="79"/>
      <c r="Z660" s="79"/>
    </row>
    <row r="661">
      <c r="A661" s="79"/>
      <c r="B661" s="79"/>
      <c r="C661" s="79"/>
      <c r="D661" s="79"/>
      <c r="E661" s="79"/>
      <c r="F661" s="79"/>
      <c r="G661" s="79"/>
      <c r="H661" s="79"/>
      <c r="I661" s="79"/>
      <c r="J661" s="79"/>
      <c r="K661" s="79"/>
      <c r="L661" s="79"/>
      <c r="M661" s="79"/>
      <c r="N661" s="79"/>
      <c r="O661" s="79"/>
      <c r="P661" s="79"/>
      <c r="Q661" s="79"/>
      <c r="R661" s="79"/>
      <c r="S661" s="79"/>
      <c r="T661" s="79"/>
      <c r="U661" s="79"/>
      <c r="V661" s="79"/>
      <c r="W661" s="79"/>
      <c r="X661" s="79"/>
      <c r="Y661" s="79"/>
      <c r="Z661" s="79"/>
    </row>
    <row r="662">
      <c r="A662" s="79"/>
      <c r="B662" s="79"/>
      <c r="C662" s="79"/>
      <c r="D662" s="79"/>
      <c r="E662" s="79"/>
      <c r="F662" s="79"/>
      <c r="G662" s="79"/>
      <c r="H662" s="79"/>
      <c r="I662" s="79"/>
      <c r="J662" s="79"/>
      <c r="K662" s="79"/>
      <c r="L662" s="79"/>
      <c r="M662" s="79"/>
      <c r="N662" s="79"/>
      <c r="O662" s="79"/>
      <c r="P662" s="79"/>
      <c r="Q662" s="79"/>
      <c r="R662" s="79"/>
      <c r="S662" s="79"/>
      <c r="T662" s="79"/>
      <c r="U662" s="79"/>
      <c r="V662" s="79"/>
      <c r="W662" s="79"/>
      <c r="X662" s="79"/>
      <c r="Y662" s="79"/>
      <c r="Z662" s="79"/>
    </row>
    <row r="663">
      <c r="A663" s="79"/>
      <c r="B663" s="79"/>
      <c r="C663" s="79"/>
      <c r="D663" s="79"/>
      <c r="E663" s="79"/>
      <c r="F663" s="79"/>
      <c r="G663" s="79"/>
      <c r="H663" s="79"/>
      <c r="I663" s="79"/>
      <c r="J663" s="79"/>
      <c r="K663" s="79"/>
      <c r="L663" s="79"/>
      <c r="M663" s="79"/>
      <c r="N663" s="79"/>
      <c r="O663" s="79"/>
      <c r="P663" s="79"/>
      <c r="Q663" s="79"/>
      <c r="R663" s="79"/>
      <c r="S663" s="79"/>
      <c r="T663" s="79"/>
      <c r="U663" s="79"/>
      <c r="V663" s="79"/>
      <c r="W663" s="79"/>
      <c r="X663" s="79"/>
      <c r="Y663" s="79"/>
      <c r="Z663" s="79"/>
    </row>
    <row r="664">
      <c r="A664" s="79"/>
      <c r="B664" s="79"/>
      <c r="C664" s="79"/>
      <c r="D664" s="79"/>
      <c r="E664" s="79"/>
      <c r="F664" s="79"/>
      <c r="G664" s="79"/>
      <c r="H664" s="79"/>
      <c r="I664" s="79"/>
      <c r="J664" s="79"/>
      <c r="K664" s="79"/>
      <c r="L664" s="79"/>
      <c r="M664" s="79"/>
      <c r="N664" s="79"/>
      <c r="O664" s="79"/>
      <c r="P664" s="79"/>
      <c r="Q664" s="79"/>
      <c r="R664" s="79"/>
      <c r="S664" s="79"/>
      <c r="T664" s="79"/>
      <c r="U664" s="79"/>
      <c r="V664" s="79"/>
      <c r="W664" s="79"/>
      <c r="X664" s="79"/>
      <c r="Y664" s="79"/>
      <c r="Z664" s="79"/>
    </row>
    <row r="665">
      <c r="A665" s="79"/>
      <c r="B665" s="79"/>
      <c r="C665" s="79"/>
      <c r="D665" s="79"/>
      <c r="E665" s="79"/>
      <c r="F665" s="79"/>
      <c r="G665" s="79"/>
      <c r="H665" s="79"/>
      <c r="I665" s="79"/>
      <c r="J665" s="79"/>
      <c r="K665" s="79"/>
      <c r="L665" s="79"/>
      <c r="M665" s="79"/>
      <c r="N665" s="79"/>
      <c r="O665" s="79"/>
      <c r="P665" s="79"/>
      <c r="Q665" s="79"/>
      <c r="R665" s="79"/>
      <c r="S665" s="79"/>
      <c r="T665" s="79"/>
      <c r="U665" s="79"/>
      <c r="V665" s="79"/>
      <c r="W665" s="79"/>
      <c r="X665" s="79"/>
      <c r="Y665" s="79"/>
      <c r="Z665" s="79"/>
    </row>
    <row r="666">
      <c r="A666" s="79"/>
      <c r="B666" s="79"/>
      <c r="C666" s="79"/>
      <c r="D666" s="79"/>
      <c r="E666" s="79"/>
      <c r="F666" s="79"/>
      <c r="G666" s="79"/>
      <c r="H666" s="79"/>
      <c r="I666" s="79"/>
      <c r="J666" s="79"/>
      <c r="K666" s="79"/>
      <c r="L666" s="79"/>
      <c r="M666" s="79"/>
      <c r="N666" s="79"/>
      <c r="O666" s="79"/>
      <c r="P666" s="79"/>
      <c r="Q666" s="79"/>
      <c r="R666" s="79"/>
      <c r="S666" s="79"/>
      <c r="T666" s="79"/>
      <c r="U666" s="79"/>
      <c r="V666" s="79"/>
      <c r="W666" s="79"/>
      <c r="X666" s="79"/>
      <c r="Y666" s="79"/>
      <c r="Z666" s="79"/>
    </row>
    <row r="667">
      <c r="A667" s="79"/>
      <c r="B667" s="79"/>
      <c r="C667" s="79"/>
      <c r="D667" s="79"/>
      <c r="E667" s="79"/>
      <c r="F667" s="79"/>
      <c r="G667" s="79"/>
      <c r="H667" s="79"/>
      <c r="I667" s="79"/>
      <c r="J667" s="79"/>
      <c r="K667" s="79"/>
      <c r="L667" s="79"/>
      <c r="M667" s="79"/>
      <c r="N667" s="79"/>
      <c r="O667" s="79"/>
      <c r="P667" s="79"/>
      <c r="Q667" s="79"/>
      <c r="R667" s="79"/>
      <c r="S667" s="79"/>
      <c r="T667" s="79"/>
      <c r="U667" s="79"/>
      <c r="V667" s="79"/>
      <c r="W667" s="79"/>
      <c r="X667" s="79"/>
      <c r="Y667" s="79"/>
      <c r="Z667" s="79"/>
    </row>
    <row r="668">
      <c r="A668" s="79"/>
      <c r="B668" s="79"/>
      <c r="C668" s="79"/>
      <c r="D668" s="79"/>
      <c r="E668" s="79"/>
      <c r="F668" s="79"/>
      <c r="G668" s="79"/>
      <c r="H668" s="79"/>
      <c r="I668" s="79"/>
      <c r="J668" s="79"/>
      <c r="K668" s="79"/>
      <c r="L668" s="79"/>
      <c r="M668" s="79"/>
      <c r="N668" s="79"/>
      <c r="O668" s="79"/>
      <c r="P668" s="79"/>
      <c r="Q668" s="79"/>
      <c r="R668" s="79"/>
      <c r="S668" s="79"/>
      <c r="T668" s="79"/>
      <c r="U668" s="79"/>
      <c r="V668" s="79"/>
      <c r="W668" s="79"/>
      <c r="X668" s="79"/>
      <c r="Y668" s="79"/>
      <c r="Z668" s="79"/>
    </row>
    <row r="669">
      <c r="A669" s="79"/>
      <c r="B669" s="79"/>
      <c r="C669" s="79"/>
      <c r="D669" s="79"/>
      <c r="E669" s="79"/>
      <c r="F669" s="79"/>
      <c r="G669" s="79"/>
      <c r="H669" s="79"/>
      <c r="I669" s="79"/>
      <c r="J669" s="79"/>
      <c r="K669" s="79"/>
      <c r="L669" s="79"/>
      <c r="M669" s="79"/>
      <c r="N669" s="79"/>
      <c r="O669" s="79"/>
      <c r="P669" s="79"/>
      <c r="Q669" s="79"/>
      <c r="R669" s="79"/>
      <c r="S669" s="79"/>
      <c r="T669" s="79"/>
      <c r="U669" s="79"/>
      <c r="V669" s="79"/>
      <c r="W669" s="79"/>
      <c r="X669" s="79"/>
      <c r="Y669" s="79"/>
      <c r="Z669" s="79"/>
    </row>
    <row r="670">
      <c r="A670" s="79"/>
      <c r="B670" s="79"/>
      <c r="C670" s="79"/>
      <c r="D670" s="79"/>
      <c r="E670" s="79"/>
      <c r="F670" s="79"/>
      <c r="G670" s="79"/>
      <c r="H670" s="79"/>
      <c r="I670" s="79"/>
      <c r="J670" s="79"/>
      <c r="K670" s="79"/>
      <c r="L670" s="79"/>
      <c r="M670" s="79"/>
      <c r="N670" s="79"/>
      <c r="O670" s="79"/>
      <c r="P670" s="79"/>
      <c r="Q670" s="79"/>
      <c r="R670" s="79"/>
      <c r="S670" s="79"/>
      <c r="T670" s="79"/>
      <c r="U670" s="79"/>
      <c r="V670" s="79"/>
      <c r="W670" s="79"/>
      <c r="X670" s="79"/>
      <c r="Y670" s="79"/>
      <c r="Z670" s="79"/>
    </row>
    <row r="671">
      <c r="A671" s="79"/>
      <c r="B671" s="79"/>
      <c r="C671" s="79"/>
      <c r="D671" s="79"/>
      <c r="E671" s="79"/>
      <c r="F671" s="79"/>
      <c r="G671" s="79"/>
      <c r="H671" s="79"/>
      <c r="I671" s="79"/>
      <c r="J671" s="79"/>
      <c r="K671" s="79"/>
      <c r="L671" s="79"/>
      <c r="M671" s="79"/>
      <c r="N671" s="79"/>
      <c r="O671" s="79"/>
      <c r="P671" s="79"/>
      <c r="Q671" s="79"/>
      <c r="R671" s="79"/>
      <c r="S671" s="79"/>
      <c r="T671" s="79"/>
      <c r="U671" s="79"/>
      <c r="V671" s="79"/>
      <c r="W671" s="79"/>
      <c r="X671" s="79"/>
      <c r="Y671" s="79"/>
      <c r="Z671" s="79"/>
    </row>
    <row r="672">
      <c r="A672" s="79"/>
      <c r="B672" s="79"/>
      <c r="C672" s="79"/>
      <c r="D672" s="79"/>
      <c r="E672" s="79"/>
      <c r="F672" s="79"/>
      <c r="G672" s="79"/>
      <c r="H672" s="79"/>
      <c r="I672" s="79"/>
      <c r="J672" s="79"/>
      <c r="K672" s="79"/>
      <c r="L672" s="79"/>
      <c r="M672" s="79"/>
      <c r="N672" s="79"/>
      <c r="O672" s="79"/>
      <c r="P672" s="79"/>
      <c r="Q672" s="79"/>
      <c r="R672" s="79"/>
      <c r="S672" s="79"/>
      <c r="T672" s="79"/>
      <c r="U672" s="79"/>
      <c r="V672" s="79"/>
      <c r="W672" s="79"/>
      <c r="X672" s="79"/>
      <c r="Y672" s="79"/>
      <c r="Z672" s="79"/>
    </row>
    <row r="673">
      <c r="A673" s="79"/>
      <c r="B673" s="79"/>
      <c r="C673" s="79"/>
      <c r="D673" s="79"/>
      <c r="E673" s="79"/>
      <c r="F673" s="79"/>
      <c r="G673" s="79"/>
      <c r="H673" s="79"/>
      <c r="I673" s="79"/>
      <c r="J673" s="79"/>
      <c r="K673" s="79"/>
      <c r="L673" s="79"/>
      <c r="M673" s="79"/>
      <c r="N673" s="79"/>
      <c r="O673" s="79"/>
      <c r="P673" s="79"/>
      <c r="Q673" s="79"/>
      <c r="R673" s="79"/>
      <c r="S673" s="79"/>
      <c r="T673" s="79"/>
      <c r="U673" s="79"/>
      <c r="V673" s="79"/>
      <c r="W673" s="79"/>
      <c r="X673" s="79"/>
      <c r="Y673" s="79"/>
      <c r="Z673" s="79"/>
    </row>
    <row r="674">
      <c r="A674" s="79"/>
      <c r="B674" s="79"/>
      <c r="C674" s="79"/>
      <c r="D674" s="79"/>
      <c r="E674" s="79"/>
      <c r="F674" s="79"/>
      <c r="G674" s="79"/>
      <c r="H674" s="79"/>
      <c r="I674" s="79"/>
      <c r="J674" s="79"/>
      <c r="K674" s="79"/>
      <c r="L674" s="79"/>
      <c r="M674" s="79"/>
      <c r="N674" s="79"/>
      <c r="O674" s="79"/>
      <c r="P674" s="79"/>
      <c r="Q674" s="79"/>
      <c r="R674" s="79"/>
      <c r="S674" s="79"/>
      <c r="T674" s="79"/>
      <c r="U674" s="79"/>
      <c r="V674" s="79"/>
      <c r="W674" s="79"/>
      <c r="X674" s="79"/>
      <c r="Y674" s="79"/>
      <c r="Z674" s="79"/>
    </row>
    <row r="675">
      <c r="A675" s="79"/>
      <c r="B675" s="79"/>
      <c r="C675" s="79"/>
      <c r="D675" s="79"/>
      <c r="E675" s="79"/>
      <c r="F675" s="79"/>
      <c r="G675" s="79"/>
      <c r="H675" s="79"/>
      <c r="I675" s="79"/>
      <c r="J675" s="79"/>
      <c r="K675" s="79"/>
      <c r="L675" s="79"/>
      <c r="M675" s="79"/>
      <c r="N675" s="79"/>
      <c r="O675" s="79"/>
      <c r="P675" s="79"/>
      <c r="Q675" s="79"/>
      <c r="R675" s="79"/>
      <c r="S675" s="79"/>
      <c r="T675" s="79"/>
      <c r="U675" s="79"/>
      <c r="V675" s="79"/>
      <c r="W675" s="79"/>
      <c r="X675" s="79"/>
      <c r="Y675" s="79"/>
      <c r="Z675" s="79"/>
    </row>
    <row r="676">
      <c r="A676" s="79"/>
      <c r="B676" s="79"/>
      <c r="C676" s="79"/>
      <c r="D676" s="79"/>
      <c r="E676" s="79"/>
      <c r="F676" s="79"/>
      <c r="G676" s="79"/>
      <c r="H676" s="79"/>
      <c r="I676" s="79"/>
      <c r="J676" s="79"/>
      <c r="K676" s="79"/>
      <c r="L676" s="79"/>
      <c r="M676" s="79"/>
      <c r="N676" s="79"/>
      <c r="O676" s="79"/>
      <c r="P676" s="79"/>
      <c r="Q676" s="79"/>
      <c r="R676" s="79"/>
      <c r="S676" s="79"/>
      <c r="T676" s="79"/>
      <c r="U676" s="79"/>
      <c r="V676" s="79"/>
      <c r="W676" s="79"/>
      <c r="X676" s="79"/>
      <c r="Y676" s="79"/>
      <c r="Z676" s="79"/>
    </row>
    <row r="677">
      <c r="A677" s="79"/>
      <c r="B677" s="79"/>
      <c r="C677" s="79"/>
      <c r="D677" s="79"/>
      <c r="E677" s="79"/>
      <c r="F677" s="79"/>
      <c r="G677" s="79"/>
      <c r="H677" s="79"/>
      <c r="I677" s="79"/>
      <c r="J677" s="79"/>
      <c r="K677" s="79"/>
      <c r="L677" s="79"/>
      <c r="M677" s="79"/>
      <c r="N677" s="79"/>
      <c r="O677" s="79"/>
      <c r="P677" s="79"/>
      <c r="Q677" s="79"/>
      <c r="R677" s="79"/>
      <c r="S677" s="79"/>
      <c r="T677" s="79"/>
      <c r="U677" s="79"/>
      <c r="V677" s="79"/>
      <c r="W677" s="79"/>
      <c r="X677" s="79"/>
      <c r="Y677" s="79"/>
      <c r="Z677" s="79"/>
    </row>
    <row r="678">
      <c r="A678" s="79"/>
      <c r="B678" s="79"/>
      <c r="C678" s="79"/>
      <c r="D678" s="79"/>
      <c r="E678" s="79"/>
      <c r="F678" s="79"/>
      <c r="G678" s="79"/>
      <c r="H678" s="79"/>
      <c r="I678" s="79"/>
      <c r="J678" s="79"/>
      <c r="K678" s="79"/>
      <c r="L678" s="79"/>
      <c r="M678" s="79"/>
      <c r="N678" s="79"/>
      <c r="O678" s="79"/>
      <c r="P678" s="79"/>
      <c r="Q678" s="79"/>
      <c r="R678" s="79"/>
      <c r="S678" s="79"/>
      <c r="T678" s="79"/>
      <c r="U678" s="79"/>
      <c r="V678" s="79"/>
      <c r="W678" s="79"/>
      <c r="X678" s="79"/>
      <c r="Y678" s="79"/>
      <c r="Z678" s="79"/>
    </row>
    <row r="679">
      <c r="A679" s="79"/>
      <c r="B679" s="79"/>
      <c r="C679" s="79"/>
      <c r="D679" s="79"/>
      <c r="E679" s="79"/>
      <c r="F679" s="79"/>
      <c r="G679" s="79"/>
      <c r="H679" s="79"/>
      <c r="I679" s="79"/>
      <c r="J679" s="79"/>
      <c r="K679" s="79"/>
      <c r="L679" s="79"/>
      <c r="M679" s="79"/>
      <c r="N679" s="79"/>
      <c r="O679" s="79"/>
      <c r="P679" s="79"/>
      <c r="Q679" s="79"/>
      <c r="R679" s="79"/>
      <c r="S679" s="79"/>
      <c r="T679" s="79"/>
      <c r="U679" s="79"/>
      <c r="V679" s="79"/>
      <c r="W679" s="79"/>
      <c r="X679" s="79"/>
      <c r="Y679" s="79"/>
      <c r="Z679" s="79"/>
    </row>
    <row r="680">
      <c r="A680" s="79"/>
      <c r="B680" s="79"/>
      <c r="C680" s="79"/>
      <c r="D680" s="79"/>
      <c r="E680" s="79"/>
      <c r="F680" s="79"/>
      <c r="G680" s="79"/>
      <c r="H680" s="79"/>
      <c r="I680" s="79"/>
      <c r="J680" s="79"/>
      <c r="K680" s="79"/>
      <c r="L680" s="79"/>
      <c r="M680" s="79"/>
      <c r="N680" s="79"/>
      <c r="O680" s="79"/>
      <c r="P680" s="79"/>
      <c r="Q680" s="79"/>
      <c r="R680" s="79"/>
      <c r="S680" s="79"/>
      <c r="T680" s="79"/>
      <c r="U680" s="79"/>
      <c r="V680" s="79"/>
      <c r="W680" s="79"/>
      <c r="X680" s="79"/>
      <c r="Y680" s="79"/>
      <c r="Z680" s="79"/>
    </row>
    <row r="681">
      <c r="A681" s="79"/>
      <c r="B681" s="79"/>
      <c r="C681" s="79"/>
      <c r="D681" s="79"/>
      <c r="E681" s="79"/>
      <c r="F681" s="79"/>
      <c r="G681" s="79"/>
      <c r="H681" s="79"/>
      <c r="I681" s="79"/>
      <c r="J681" s="79"/>
      <c r="K681" s="79"/>
      <c r="L681" s="79"/>
      <c r="M681" s="79"/>
      <c r="N681" s="79"/>
      <c r="O681" s="79"/>
      <c r="P681" s="79"/>
      <c r="Q681" s="79"/>
      <c r="R681" s="79"/>
      <c r="S681" s="79"/>
      <c r="T681" s="79"/>
      <c r="U681" s="79"/>
      <c r="V681" s="79"/>
      <c r="W681" s="79"/>
      <c r="X681" s="79"/>
      <c r="Y681" s="79"/>
      <c r="Z681" s="79"/>
    </row>
    <row r="682">
      <c r="A682" s="79"/>
      <c r="B682" s="79"/>
      <c r="C682" s="79"/>
      <c r="D682" s="79"/>
      <c r="E682" s="79"/>
      <c r="F682" s="79"/>
      <c r="G682" s="79"/>
      <c r="H682" s="79"/>
      <c r="I682" s="79"/>
      <c r="J682" s="79"/>
      <c r="K682" s="79"/>
      <c r="L682" s="79"/>
      <c r="M682" s="79"/>
      <c r="N682" s="79"/>
      <c r="O682" s="79"/>
      <c r="P682" s="79"/>
      <c r="Q682" s="79"/>
      <c r="R682" s="79"/>
      <c r="S682" s="79"/>
      <c r="T682" s="79"/>
      <c r="U682" s="79"/>
      <c r="V682" s="79"/>
      <c r="W682" s="79"/>
      <c r="X682" s="79"/>
      <c r="Y682" s="79"/>
      <c r="Z682" s="79"/>
    </row>
    <row r="683">
      <c r="A683" s="79"/>
      <c r="B683" s="79"/>
      <c r="C683" s="79"/>
      <c r="D683" s="79"/>
      <c r="E683" s="79"/>
      <c r="F683" s="79"/>
      <c r="G683" s="79"/>
      <c r="H683" s="79"/>
      <c r="I683" s="79"/>
      <c r="J683" s="79"/>
      <c r="K683" s="79"/>
      <c r="L683" s="79"/>
      <c r="M683" s="79"/>
      <c r="N683" s="79"/>
      <c r="O683" s="79"/>
      <c r="P683" s="79"/>
      <c r="Q683" s="79"/>
      <c r="R683" s="79"/>
      <c r="S683" s="79"/>
      <c r="T683" s="79"/>
      <c r="U683" s="79"/>
      <c r="V683" s="79"/>
      <c r="W683" s="79"/>
      <c r="X683" s="79"/>
      <c r="Y683" s="79"/>
      <c r="Z683" s="79"/>
    </row>
    <row r="684">
      <c r="A684" s="79"/>
      <c r="B684" s="79"/>
      <c r="C684" s="79"/>
      <c r="D684" s="79"/>
      <c r="E684" s="79"/>
      <c r="F684" s="79"/>
      <c r="G684" s="79"/>
      <c r="H684" s="79"/>
      <c r="I684" s="79"/>
      <c r="J684" s="79"/>
      <c r="K684" s="79"/>
      <c r="L684" s="79"/>
      <c r="M684" s="79"/>
      <c r="N684" s="79"/>
      <c r="O684" s="79"/>
      <c r="P684" s="79"/>
      <c r="Q684" s="79"/>
      <c r="R684" s="79"/>
      <c r="S684" s="79"/>
      <c r="T684" s="79"/>
      <c r="U684" s="79"/>
      <c r="V684" s="79"/>
      <c r="W684" s="79"/>
      <c r="X684" s="79"/>
      <c r="Y684" s="79"/>
      <c r="Z684" s="79"/>
    </row>
    <row r="685">
      <c r="A685" s="79"/>
      <c r="B685" s="79"/>
      <c r="C685" s="79"/>
      <c r="D685" s="79"/>
      <c r="E685" s="79"/>
      <c r="F685" s="79"/>
      <c r="G685" s="79"/>
      <c r="H685" s="79"/>
      <c r="I685" s="79"/>
      <c r="J685" s="79"/>
      <c r="K685" s="79"/>
      <c r="L685" s="79"/>
      <c r="M685" s="79"/>
      <c r="N685" s="79"/>
      <c r="O685" s="79"/>
      <c r="P685" s="79"/>
      <c r="Q685" s="79"/>
      <c r="R685" s="79"/>
      <c r="S685" s="79"/>
      <c r="T685" s="79"/>
      <c r="U685" s="79"/>
      <c r="V685" s="79"/>
      <c r="W685" s="79"/>
      <c r="X685" s="79"/>
      <c r="Y685" s="79"/>
      <c r="Z685" s="79"/>
    </row>
    <row r="686">
      <c r="A686" s="79"/>
      <c r="B686" s="79"/>
      <c r="C686" s="79"/>
      <c r="D686" s="79"/>
      <c r="E686" s="79"/>
      <c r="F686" s="79"/>
      <c r="G686" s="79"/>
      <c r="H686" s="79"/>
      <c r="I686" s="79"/>
      <c r="J686" s="79"/>
      <c r="K686" s="79"/>
      <c r="L686" s="79"/>
      <c r="M686" s="79"/>
      <c r="N686" s="79"/>
      <c r="O686" s="79"/>
      <c r="P686" s="79"/>
      <c r="Q686" s="79"/>
      <c r="R686" s="79"/>
      <c r="S686" s="79"/>
      <c r="T686" s="79"/>
      <c r="U686" s="79"/>
      <c r="V686" s="79"/>
      <c r="W686" s="79"/>
      <c r="X686" s="79"/>
      <c r="Y686" s="79"/>
      <c r="Z686" s="79"/>
    </row>
    <row r="687">
      <c r="A687" s="79"/>
      <c r="B687" s="79"/>
      <c r="C687" s="79"/>
      <c r="D687" s="79"/>
      <c r="E687" s="79"/>
      <c r="F687" s="79"/>
      <c r="G687" s="79"/>
      <c r="H687" s="79"/>
      <c r="I687" s="79"/>
      <c r="J687" s="79"/>
      <c r="K687" s="79"/>
      <c r="L687" s="79"/>
      <c r="M687" s="79"/>
      <c r="N687" s="79"/>
      <c r="O687" s="79"/>
      <c r="P687" s="79"/>
      <c r="Q687" s="79"/>
      <c r="R687" s="79"/>
      <c r="S687" s="79"/>
      <c r="T687" s="79"/>
      <c r="U687" s="79"/>
      <c r="V687" s="79"/>
      <c r="W687" s="79"/>
      <c r="X687" s="79"/>
      <c r="Y687" s="79"/>
      <c r="Z687" s="79"/>
    </row>
    <row r="688">
      <c r="A688" s="79"/>
      <c r="B688" s="79"/>
      <c r="C688" s="79"/>
      <c r="D688" s="79"/>
      <c r="E688" s="79"/>
      <c r="F688" s="79"/>
      <c r="G688" s="79"/>
      <c r="H688" s="79"/>
      <c r="I688" s="79"/>
      <c r="J688" s="79"/>
      <c r="K688" s="79"/>
      <c r="L688" s="79"/>
      <c r="M688" s="79"/>
      <c r="N688" s="79"/>
      <c r="O688" s="79"/>
      <c r="P688" s="79"/>
      <c r="Q688" s="79"/>
      <c r="R688" s="79"/>
      <c r="S688" s="79"/>
      <c r="T688" s="79"/>
      <c r="U688" s="79"/>
      <c r="V688" s="79"/>
      <c r="W688" s="79"/>
      <c r="X688" s="79"/>
      <c r="Y688" s="79"/>
      <c r="Z688" s="79"/>
    </row>
    <row r="689">
      <c r="A689" s="79"/>
      <c r="B689" s="79"/>
      <c r="C689" s="79"/>
      <c r="D689" s="79"/>
      <c r="E689" s="79"/>
      <c r="F689" s="79"/>
      <c r="G689" s="79"/>
      <c r="H689" s="79"/>
      <c r="I689" s="79"/>
      <c r="J689" s="79"/>
      <c r="K689" s="79"/>
      <c r="L689" s="79"/>
      <c r="M689" s="79"/>
      <c r="N689" s="79"/>
      <c r="O689" s="79"/>
      <c r="P689" s="79"/>
      <c r="Q689" s="79"/>
      <c r="R689" s="79"/>
      <c r="S689" s="79"/>
      <c r="T689" s="79"/>
      <c r="U689" s="79"/>
      <c r="V689" s="79"/>
      <c r="W689" s="79"/>
      <c r="X689" s="79"/>
      <c r="Y689" s="79"/>
      <c r="Z689" s="79"/>
    </row>
    <row r="690">
      <c r="A690" s="79"/>
      <c r="B690" s="79"/>
      <c r="C690" s="79"/>
      <c r="D690" s="79"/>
      <c r="E690" s="79"/>
      <c r="F690" s="79"/>
      <c r="G690" s="79"/>
      <c r="H690" s="79"/>
      <c r="I690" s="79"/>
      <c r="J690" s="79"/>
      <c r="K690" s="79"/>
      <c r="L690" s="79"/>
      <c r="M690" s="79"/>
      <c r="N690" s="79"/>
      <c r="O690" s="79"/>
      <c r="P690" s="79"/>
      <c r="Q690" s="79"/>
      <c r="R690" s="79"/>
      <c r="S690" s="79"/>
      <c r="T690" s="79"/>
      <c r="U690" s="79"/>
      <c r="V690" s="79"/>
      <c r="W690" s="79"/>
      <c r="X690" s="79"/>
      <c r="Y690" s="79"/>
      <c r="Z690" s="79"/>
    </row>
    <row r="691">
      <c r="A691" s="79"/>
      <c r="B691" s="79"/>
      <c r="C691" s="79"/>
      <c r="D691" s="79"/>
      <c r="E691" s="79"/>
      <c r="F691" s="79"/>
      <c r="G691" s="79"/>
      <c r="H691" s="79"/>
      <c r="I691" s="79"/>
      <c r="J691" s="79"/>
      <c r="K691" s="79"/>
      <c r="L691" s="79"/>
      <c r="M691" s="79"/>
      <c r="N691" s="79"/>
      <c r="O691" s="79"/>
      <c r="P691" s="79"/>
      <c r="Q691" s="79"/>
      <c r="R691" s="79"/>
      <c r="S691" s="79"/>
      <c r="T691" s="79"/>
      <c r="U691" s="79"/>
      <c r="V691" s="79"/>
      <c r="W691" s="79"/>
      <c r="X691" s="79"/>
      <c r="Y691" s="79"/>
      <c r="Z691" s="79"/>
    </row>
    <row r="692">
      <c r="A692" s="79"/>
      <c r="B692" s="79"/>
      <c r="C692" s="79"/>
      <c r="D692" s="79"/>
      <c r="E692" s="79"/>
      <c r="F692" s="79"/>
      <c r="G692" s="79"/>
      <c r="H692" s="79"/>
      <c r="I692" s="79"/>
      <c r="J692" s="79"/>
      <c r="K692" s="79"/>
      <c r="L692" s="79"/>
      <c r="M692" s="79"/>
      <c r="N692" s="79"/>
      <c r="O692" s="79"/>
      <c r="P692" s="79"/>
      <c r="Q692" s="79"/>
      <c r="R692" s="79"/>
      <c r="S692" s="79"/>
      <c r="T692" s="79"/>
      <c r="U692" s="79"/>
      <c r="V692" s="79"/>
      <c r="W692" s="79"/>
      <c r="X692" s="79"/>
      <c r="Y692" s="79"/>
      <c r="Z692" s="79"/>
    </row>
    <row r="693">
      <c r="A693" s="79"/>
      <c r="B693" s="79"/>
      <c r="C693" s="79"/>
      <c r="D693" s="79"/>
      <c r="E693" s="79"/>
      <c r="F693" s="79"/>
      <c r="G693" s="79"/>
      <c r="H693" s="79"/>
      <c r="I693" s="79"/>
      <c r="J693" s="79"/>
      <c r="K693" s="79"/>
      <c r="L693" s="79"/>
      <c r="M693" s="79"/>
      <c r="N693" s="79"/>
      <c r="O693" s="79"/>
      <c r="P693" s="79"/>
      <c r="Q693" s="79"/>
      <c r="R693" s="79"/>
      <c r="S693" s="79"/>
      <c r="T693" s="79"/>
      <c r="U693" s="79"/>
      <c r="V693" s="79"/>
      <c r="W693" s="79"/>
      <c r="X693" s="79"/>
      <c r="Y693" s="79"/>
      <c r="Z693" s="79"/>
    </row>
    <row r="694">
      <c r="A694" s="79"/>
      <c r="B694" s="79"/>
      <c r="C694" s="79"/>
      <c r="D694" s="79"/>
      <c r="E694" s="79"/>
      <c r="F694" s="79"/>
      <c r="G694" s="79"/>
      <c r="H694" s="79"/>
      <c r="I694" s="79"/>
      <c r="J694" s="79"/>
      <c r="K694" s="79"/>
      <c r="L694" s="79"/>
      <c r="M694" s="79"/>
      <c r="N694" s="79"/>
      <c r="O694" s="79"/>
      <c r="P694" s="79"/>
      <c r="Q694" s="79"/>
      <c r="R694" s="79"/>
      <c r="S694" s="79"/>
      <c r="T694" s="79"/>
      <c r="U694" s="79"/>
      <c r="V694" s="79"/>
      <c r="W694" s="79"/>
      <c r="X694" s="79"/>
      <c r="Y694" s="79"/>
      <c r="Z694" s="79"/>
    </row>
    <row r="695">
      <c r="A695" s="79"/>
      <c r="B695" s="79"/>
      <c r="C695" s="79"/>
      <c r="D695" s="79"/>
      <c r="E695" s="79"/>
      <c r="F695" s="79"/>
      <c r="G695" s="79"/>
      <c r="H695" s="79"/>
      <c r="I695" s="79"/>
      <c r="J695" s="79"/>
      <c r="K695" s="79"/>
      <c r="L695" s="79"/>
      <c r="M695" s="79"/>
      <c r="N695" s="79"/>
      <c r="O695" s="79"/>
      <c r="P695" s="79"/>
      <c r="Q695" s="79"/>
      <c r="R695" s="79"/>
      <c r="S695" s="79"/>
      <c r="T695" s="79"/>
      <c r="U695" s="79"/>
      <c r="V695" s="79"/>
      <c r="W695" s="79"/>
      <c r="X695" s="79"/>
      <c r="Y695" s="79"/>
      <c r="Z695" s="79"/>
    </row>
    <row r="696">
      <c r="A696" s="79"/>
      <c r="B696" s="79"/>
      <c r="C696" s="79"/>
      <c r="D696" s="79"/>
      <c r="E696" s="79"/>
      <c r="F696" s="79"/>
      <c r="G696" s="79"/>
      <c r="H696" s="79"/>
      <c r="I696" s="79"/>
      <c r="J696" s="79"/>
      <c r="K696" s="79"/>
      <c r="L696" s="79"/>
      <c r="M696" s="79"/>
      <c r="N696" s="79"/>
      <c r="O696" s="79"/>
      <c r="P696" s="79"/>
      <c r="Q696" s="79"/>
      <c r="R696" s="79"/>
      <c r="S696" s="79"/>
      <c r="T696" s="79"/>
      <c r="U696" s="79"/>
      <c r="V696" s="79"/>
      <c r="W696" s="79"/>
      <c r="X696" s="79"/>
      <c r="Y696" s="79"/>
      <c r="Z696" s="79"/>
    </row>
    <row r="697">
      <c r="A697" s="79"/>
      <c r="B697" s="79"/>
      <c r="C697" s="79"/>
      <c r="D697" s="79"/>
      <c r="E697" s="79"/>
      <c r="F697" s="79"/>
      <c r="G697" s="79"/>
      <c r="H697" s="79"/>
      <c r="I697" s="79"/>
      <c r="J697" s="79"/>
      <c r="K697" s="79"/>
      <c r="L697" s="79"/>
      <c r="M697" s="79"/>
      <c r="N697" s="79"/>
      <c r="O697" s="79"/>
      <c r="P697" s="79"/>
      <c r="Q697" s="79"/>
      <c r="R697" s="79"/>
      <c r="S697" s="79"/>
      <c r="T697" s="79"/>
      <c r="U697" s="79"/>
      <c r="V697" s="79"/>
      <c r="W697" s="79"/>
      <c r="X697" s="79"/>
      <c r="Y697" s="79"/>
      <c r="Z697" s="79"/>
    </row>
    <row r="698">
      <c r="A698" s="79"/>
      <c r="B698" s="79"/>
      <c r="C698" s="79"/>
      <c r="D698" s="79"/>
      <c r="E698" s="79"/>
      <c r="F698" s="79"/>
      <c r="G698" s="79"/>
      <c r="H698" s="79"/>
      <c r="I698" s="79"/>
      <c r="J698" s="79"/>
      <c r="K698" s="79"/>
      <c r="L698" s="79"/>
      <c r="M698" s="79"/>
      <c r="N698" s="79"/>
      <c r="O698" s="79"/>
      <c r="P698" s="79"/>
      <c r="Q698" s="79"/>
      <c r="R698" s="79"/>
      <c r="S698" s="79"/>
      <c r="T698" s="79"/>
      <c r="U698" s="79"/>
      <c r="V698" s="79"/>
      <c r="W698" s="79"/>
      <c r="X698" s="79"/>
      <c r="Y698" s="79"/>
      <c r="Z698" s="79"/>
    </row>
    <row r="699">
      <c r="A699" s="79"/>
      <c r="B699" s="79"/>
      <c r="C699" s="79"/>
      <c r="D699" s="79"/>
      <c r="E699" s="79"/>
      <c r="F699" s="79"/>
      <c r="G699" s="79"/>
      <c r="H699" s="79"/>
      <c r="I699" s="79"/>
      <c r="J699" s="79"/>
      <c r="K699" s="79"/>
      <c r="L699" s="79"/>
      <c r="M699" s="79"/>
      <c r="N699" s="79"/>
      <c r="O699" s="79"/>
      <c r="P699" s="79"/>
      <c r="Q699" s="79"/>
      <c r="R699" s="79"/>
      <c r="S699" s="79"/>
      <c r="T699" s="79"/>
      <c r="U699" s="79"/>
      <c r="V699" s="79"/>
      <c r="W699" s="79"/>
      <c r="X699" s="79"/>
      <c r="Y699" s="79"/>
      <c r="Z699" s="79"/>
    </row>
    <row r="700">
      <c r="A700" s="79"/>
      <c r="B700" s="79"/>
      <c r="C700" s="79"/>
      <c r="D700" s="79"/>
      <c r="E700" s="79"/>
      <c r="F700" s="79"/>
      <c r="G700" s="79"/>
      <c r="H700" s="79"/>
      <c r="I700" s="79"/>
      <c r="J700" s="79"/>
      <c r="K700" s="79"/>
      <c r="L700" s="79"/>
      <c r="M700" s="79"/>
      <c r="N700" s="79"/>
      <c r="O700" s="79"/>
      <c r="P700" s="79"/>
      <c r="Q700" s="79"/>
      <c r="R700" s="79"/>
      <c r="S700" s="79"/>
      <c r="T700" s="79"/>
      <c r="U700" s="79"/>
      <c r="V700" s="79"/>
      <c r="W700" s="79"/>
      <c r="X700" s="79"/>
      <c r="Y700" s="79"/>
      <c r="Z700" s="79"/>
    </row>
    <row r="701">
      <c r="A701" s="79"/>
      <c r="B701" s="79"/>
      <c r="C701" s="79"/>
      <c r="D701" s="79"/>
      <c r="E701" s="79"/>
      <c r="F701" s="79"/>
      <c r="G701" s="79"/>
      <c r="H701" s="79"/>
      <c r="I701" s="79"/>
      <c r="J701" s="79"/>
      <c r="K701" s="79"/>
      <c r="L701" s="79"/>
      <c r="M701" s="79"/>
      <c r="N701" s="79"/>
      <c r="O701" s="79"/>
      <c r="P701" s="79"/>
      <c r="Q701" s="79"/>
      <c r="R701" s="79"/>
      <c r="S701" s="79"/>
      <c r="T701" s="79"/>
      <c r="U701" s="79"/>
      <c r="V701" s="79"/>
      <c r="W701" s="79"/>
      <c r="X701" s="79"/>
      <c r="Y701" s="79"/>
      <c r="Z701" s="79"/>
    </row>
    <row r="702">
      <c r="A702" s="79"/>
      <c r="B702" s="79"/>
      <c r="C702" s="79"/>
      <c r="D702" s="79"/>
      <c r="E702" s="79"/>
      <c r="F702" s="79"/>
      <c r="G702" s="79"/>
      <c r="H702" s="79"/>
      <c r="I702" s="79"/>
      <c r="J702" s="79"/>
      <c r="K702" s="79"/>
      <c r="L702" s="79"/>
      <c r="M702" s="79"/>
      <c r="N702" s="79"/>
      <c r="O702" s="79"/>
      <c r="P702" s="79"/>
      <c r="Q702" s="79"/>
      <c r="R702" s="79"/>
      <c r="S702" s="79"/>
      <c r="T702" s="79"/>
      <c r="U702" s="79"/>
      <c r="V702" s="79"/>
      <c r="W702" s="79"/>
      <c r="X702" s="79"/>
      <c r="Y702" s="79"/>
      <c r="Z702" s="79"/>
    </row>
    <row r="703">
      <c r="A703" s="79"/>
      <c r="B703" s="79"/>
      <c r="C703" s="79"/>
      <c r="D703" s="79"/>
      <c r="E703" s="79"/>
      <c r="F703" s="79"/>
      <c r="G703" s="79"/>
      <c r="H703" s="79"/>
      <c r="I703" s="79"/>
      <c r="J703" s="79"/>
      <c r="K703" s="79"/>
      <c r="L703" s="79"/>
      <c r="M703" s="79"/>
      <c r="N703" s="79"/>
      <c r="O703" s="79"/>
      <c r="P703" s="79"/>
      <c r="Q703" s="79"/>
      <c r="R703" s="79"/>
      <c r="S703" s="79"/>
      <c r="T703" s="79"/>
      <c r="U703" s="79"/>
      <c r="V703" s="79"/>
      <c r="W703" s="79"/>
      <c r="X703" s="79"/>
      <c r="Y703" s="79"/>
      <c r="Z703" s="79"/>
    </row>
    <row r="704">
      <c r="A704" s="79"/>
      <c r="B704" s="79"/>
      <c r="C704" s="79"/>
      <c r="D704" s="79"/>
      <c r="E704" s="79"/>
      <c r="F704" s="79"/>
      <c r="G704" s="79"/>
      <c r="H704" s="79"/>
      <c r="I704" s="79"/>
      <c r="J704" s="79"/>
      <c r="K704" s="79"/>
      <c r="L704" s="79"/>
      <c r="M704" s="79"/>
      <c r="N704" s="79"/>
      <c r="O704" s="79"/>
      <c r="P704" s="79"/>
      <c r="Q704" s="79"/>
      <c r="R704" s="79"/>
      <c r="S704" s="79"/>
      <c r="T704" s="79"/>
      <c r="U704" s="79"/>
      <c r="V704" s="79"/>
      <c r="W704" s="79"/>
      <c r="X704" s="79"/>
      <c r="Y704" s="79"/>
      <c r="Z704" s="79"/>
    </row>
    <row r="705">
      <c r="A705" s="79"/>
      <c r="B705" s="79"/>
      <c r="C705" s="79"/>
      <c r="D705" s="79"/>
      <c r="E705" s="79"/>
      <c r="F705" s="79"/>
      <c r="G705" s="79"/>
      <c r="H705" s="79"/>
      <c r="I705" s="79"/>
      <c r="J705" s="79"/>
      <c r="K705" s="79"/>
      <c r="L705" s="79"/>
      <c r="M705" s="79"/>
      <c r="N705" s="79"/>
      <c r="O705" s="79"/>
      <c r="P705" s="79"/>
      <c r="Q705" s="79"/>
      <c r="R705" s="79"/>
      <c r="S705" s="79"/>
      <c r="T705" s="79"/>
      <c r="U705" s="79"/>
      <c r="V705" s="79"/>
      <c r="W705" s="79"/>
      <c r="X705" s="79"/>
      <c r="Y705" s="79"/>
      <c r="Z705" s="79"/>
    </row>
    <row r="706">
      <c r="A706" s="79"/>
      <c r="B706" s="79"/>
      <c r="C706" s="79"/>
      <c r="D706" s="79"/>
      <c r="E706" s="79"/>
      <c r="F706" s="79"/>
      <c r="G706" s="79"/>
      <c r="H706" s="79"/>
      <c r="I706" s="79"/>
      <c r="J706" s="79"/>
      <c r="K706" s="79"/>
      <c r="L706" s="79"/>
      <c r="M706" s="79"/>
      <c r="N706" s="79"/>
      <c r="O706" s="79"/>
      <c r="P706" s="79"/>
      <c r="Q706" s="79"/>
      <c r="R706" s="79"/>
      <c r="S706" s="79"/>
      <c r="T706" s="79"/>
      <c r="U706" s="79"/>
      <c r="V706" s="79"/>
      <c r="W706" s="79"/>
      <c r="X706" s="79"/>
      <c r="Y706" s="79"/>
      <c r="Z706" s="79"/>
    </row>
    <row r="707">
      <c r="A707" s="79"/>
      <c r="B707" s="79"/>
      <c r="C707" s="79"/>
      <c r="D707" s="79"/>
      <c r="E707" s="79"/>
      <c r="F707" s="79"/>
      <c r="G707" s="79"/>
      <c r="H707" s="79"/>
      <c r="I707" s="79"/>
      <c r="J707" s="79"/>
      <c r="K707" s="79"/>
      <c r="L707" s="79"/>
      <c r="M707" s="79"/>
      <c r="N707" s="79"/>
      <c r="O707" s="79"/>
      <c r="P707" s="79"/>
      <c r="Q707" s="79"/>
      <c r="R707" s="79"/>
      <c r="S707" s="79"/>
      <c r="T707" s="79"/>
      <c r="U707" s="79"/>
      <c r="V707" s="79"/>
      <c r="W707" s="79"/>
      <c r="X707" s="79"/>
      <c r="Y707" s="79"/>
      <c r="Z707" s="79"/>
    </row>
    <row r="708">
      <c r="A708" s="79"/>
      <c r="B708" s="79"/>
      <c r="C708" s="79"/>
      <c r="D708" s="79"/>
      <c r="E708" s="79"/>
      <c r="F708" s="79"/>
      <c r="G708" s="79"/>
      <c r="H708" s="79"/>
      <c r="I708" s="79"/>
      <c r="J708" s="79"/>
      <c r="K708" s="79"/>
      <c r="L708" s="79"/>
      <c r="M708" s="79"/>
      <c r="N708" s="79"/>
      <c r="O708" s="79"/>
      <c r="P708" s="79"/>
      <c r="Q708" s="79"/>
      <c r="R708" s="79"/>
      <c r="S708" s="79"/>
      <c r="T708" s="79"/>
      <c r="U708" s="79"/>
      <c r="V708" s="79"/>
      <c r="W708" s="79"/>
      <c r="X708" s="79"/>
      <c r="Y708" s="79"/>
      <c r="Z708" s="79"/>
    </row>
    <row r="709">
      <c r="A709" s="79"/>
      <c r="B709" s="79"/>
      <c r="C709" s="79"/>
      <c r="D709" s="79"/>
      <c r="E709" s="79"/>
      <c r="F709" s="79"/>
      <c r="G709" s="79"/>
      <c r="H709" s="79"/>
      <c r="I709" s="79"/>
      <c r="J709" s="79"/>
      <c r="K709" s="79"/>
      <c r="L709" s="79"/>
      <c r="M709" s="79"/>
      <c r="N709" s="79"/>
      <c r="O709" s="79"/>
      <c r="P709" s="79"/>
      <c r="Q709" s="79"/>
      <c r="R709" s="79"/>
      <c r="S709" s="79"/>
      <c r="T709" s="79"/>
      <c r="U709" s="79"/>
      <c r="V709" s="79"/>
      <c r="W709" s="79"/>
      <c r="X709" s="79"/>
      <c r="Y709" s="79"/>
      <c r="Z709" s="79"/>
    </row>
    <row r="710">
      <c r="A710" s="79"/>
      <c r="B710" s="79"/>
      <c r="C710" s="79"/>
      <c r="D710" s="79"/>
      <c r="E710" s="79"/>
      <c r="F710" s="79"/>
      <c r="G710" s="79"/>
      <c r="H710" s="79"/>
      <c r="I710" s="79"/>
      <c r="J710" s="79"/>
      <c r="K710" s="79"/>
      <c r="L710" s="79"/>
      <c r="M710" s="79"/>
      <c r="N710" s="79"/>
      <c r="O710" s="79"/>
      <c r="P710" s="79"/>
      <c r="Q710" s="79"/>
      <c r="R710" s="79"/>
      <c r="S710" s="79"/>
      <c r="T710" s="79"/>
      <c r="U710" s="79"/>
      <c r="V710" s="79"/>
      <c r="W710" s="79"/>
      <c r="X710" s="79"/>
      <c r="Y710" s="79"/>
      <c r="Z710" s="79"/>
    </row>
    <row r="711">
      <c r="A711" s="79"/>
      <c r="B711" s="79"/>
      <c r="C711" s="79"/>
      <c r="D711" s="79"/>
      <c r="E711" s="79"/>
      <c r="F711" s="79"/>
      <c r="G711" s="79"/>
      <c r="H711" s="79"/>
      <c r="I711" s="79"/>
      <c r="J711" s="79"/>
      <c r="K711" s="79"/>
      <c r="L711" s="79"/>
      <c r="M711" s="79"/>
      <c r="N711" s="79"/>
      <c r="O711" s="79"/>
      <c r="P711" s="79"/>
      <c r="Q711" s="79"/>
      <c r="R711" s="79"/>
      <c r="S711" s="79"/>
      <c r="T711" s="79"/>
      <c r="U711" s="79"/>
      <c r="V711" s="79"/>
      <c r="W711" s="79"/>
      <c r="X711" s="79"/>
      <c r="Y711" s="79"/>
      <c r="Z711" s="79"/>
    </row>
    <row r="712">
      <c r="A712" s="79"/>
      <c r="B712" s="79"/>
      <c r="C712" s="79"/>
      <c r="D712" s="79"/>
      <c r="E712" s="79"/>
      <c r="F712" s="79"/>
      <c r="G712" s="79"/>
      <c r="H712" s="79"/>
      <c r="I712" s="79"/>
      <c r="J712" s="79"/>
      <c r="K712" s="79"/>
      <c r="L712" s="79"/>
      <c r="M712" s="79"/>
      <c r="N712" s="79"/>
      <c r="O712" s="79"/>
      <c r="P712" s="79"/>
      <c r="Q712" s="79"/>
      <c r="R712" s="79"/>
      <c r="S712" s="79"/>
      <c r="T712" s="79"/>
      <c r="U712" s="79"/>
      <c r="V712" s="79"/>
      <c r="W712" s="79"/>
      <c r="X712" s="79"/>
      <c r="Y712" s="79"/>
      <c r="Z712" s="79"/>
    </row>
    <row r="713">
      <c r="A713" s="79"/>
      <c r="B713" s="79"/>
      <c r="C713" s="79"/>
      <c r="D713" s="79"/>
      <c r="E713" s="79"/>
      <c r="F713" s="79"/>
      <c r="G713" s="79"/>
      <c r="H713" s="79"/>
      <c r="I713" s="79"/>
      <c r="J713" s="79"/>
      <c r="K713" s="79"/>
      <c r="L713" s="79"/>
      <c r="M713" s="79"/>
      <c r="N713" s="79"/>
      <c r="O713" s="79"/>
      <c r="P713" s="79"/>
      <c r="Q713" s="79"/>
      <c r="R713" s="79"/>
      <c r="S713" s="79"/>
      <c r="T713" s="79"/>
      <c r="U713" s="79"/>
      <c r="V713" s="79"/>
      <c r="W713" s="79"/>
      <c r="X713" s="79"/>
      <c r="Y713" s="79"/>
      <c r="Z713" s="79"/>
    </row>
    <row r="714">
      <c r="A714" s="79"/>
      <c r="B714" s="79"/>
      <c r="C714" s="79"/>
      <c r="D714" s="79"/>
      <c r="E714" s="79"/>
      <c r="F714" s="79"/>
      <c r="G714" s="79"/>
      <c r="H714" s="79"/>
      <c r="I714" s="79"/>
      <c r="J714" s="79"/>
      <c r="K714" s="79"/>
      <c r="L714" s="79"/>
      <c r="M714" s="79"/>
      <c r="N714" s="79"/>
      <c r="O714" s="79"/>
      <c r="P714" s="79"/>
      <c r="Q714" s="79"/>
      <c r="R714" s="79"/>
      <c r="S714" s="79"/>
      <c r="T714" s="79"/>
      <c r="U714" s="79"/>
      <c r="V714" s="79"/>
      <c r="W714" s="79"/>
      <c r="X714" s="79"/>
      <c r="Y714" s="79"/>
      <c r="Z714" s="79"/>
    </row>
    <row r="715">
      <c r="A715" s="79"/>
      <c r="B715" s="79"/>
      <c r="C715" s="79"/>
      <c r="D715" s="79"/>
      <c r="E715" s="79"/>
      <c r="F715" s="79"/>
      <c r="G715" s="79"/>
      <c r="H715" s="79"/>
      <c r="I715" s="79"/>
      <c r="J715" s="79"/>
      <c r="K715" s="79"/>
      <c r="L715" s="79"/>
      <c r="M715" s="79"/>
      <c r="N715" s="79"/>
      <c r="O715" s="79"/>
      <c r="P715" s="79"/>
      <c r="Q715" s="79"/>
      <c r="R715" s="79"/>
      <c r="S715" s="79"/>
      <c r="T715" s="79"/>
      <c r="U715" s="79"/>
      <c r="V715" s="79"/>
      <c r="W715" s="79"/>
      <c r="X715" s="79"/>
      <c r="Y715" s="79"/>
      <c r="Z715" s="79"/>
    </row>
    <row r="716">
      <c r="A716" s="79"/>
      <c r="B716" s="79"/>
      <c r="C716" s="79"/>
      <c r="D716" s="79"/>
      <c r="E716" s="79"/>
      <c r="F716" s="79"/>
      <c r="G716" s="79"/>
      <c r="H716" s="79"/>
      <c r="I716" s="79"/>
      <c r="J716" s="79"/>
      <c r="K716" s="79"/>
      <c r="L716" s="79"/>
      <c r="M716" s="79"/>
      <c r="N716" s="79"/>
      <c r="O716" s="79"/>
      <c r="P716" s="79"/>
      <c r="Q716" s="79"/>
      <c r="R716" s="79"/>
      <c r="S716" s="79"/>
      <c r="T716" s="79"/>
      <c r="U716" s="79"/>
      <c r="V716" s="79"/>
      <c r="W716" s="79"/>
      <c r="X716" s="79"/>
      <c r="Y716" s="79"/>
      <c r="Z716" s="79"/>
    </row>
    <row r="717">
      <c r="A717" s="79"/>
      <c r="B717" s="79"/>
      <c r="C717" s="79"/>
      <c r="D717" s="79"/>
      <c r="E717" s="79"/>
      <c r="F717" s="79"/>
      <c r="G717" s="79"/>
      <c r="H717" s="79"/>
      <c r="I717" s="79"/>
      <c r="J717" s="79"/>
      <c r="K717" s="79"/>
      <c r="L717" s="79"/>
      <c r="M717" s="79"/>
      <c r="N717" s="79"/>
      <c r="O717" s="79"/>
      <c r="P717" s="79"/>
      <c r="Q717" s="79"/>
      <c r="R717" s="79"/>
      <c r="S717" s="79"/>
      <c r="T717" s="79"/>
      <c r="U717" s="79"/>
      <c r="V717" s="79"/>
      <c r="W717" s="79"/>
      <c r="X717" s="79"/>
      <c r="Y717" s="79"/>
      <c r="Z717" s="79"/>
    </row>
    <row r="718">
      <c r="A718" s="79"/>
      <c r="B718" s="79"/>
      <c r="C718" s="79"/>
      <c r="D718" s="79"/>
      <c r="E718" s="79"/>
      <c r="F718" s="79"/>
      <c r="G718" s="79"/>
      <c r="H718" s="79"/>
      <c r="I718" s="79"/>
      <c r="J718" s="79"/>
      <c r="K718" s="79"/>
      <c r="L718" s="79"/>
      <c r="M718" s="79"/>
      <c r="N718" s="79"/>
      <c r="O718" s="79"/>
      <c r="P718" s="79"/>
      <c r="Q718" s="79"/>
      <c r="R718" s="79"/>
      <c r="S718" s="79"/>
      <c r="T718" s="79"/>
      <c r="U718" s="79"/>
      <c r="V718" s="79"/>
      <c r="W718" s="79"/>
      <c r="X718" s="79"/>
      <c r="Y718" s="79"/>
      <c r="Z718" s="79"/>
    </row>
    <row r="719">
      <c r="A719" s="79"/>
      <c r="B719" s="79"/>
      <c r="C719" s="79"/>
      <c r="D719" s="79"/>
      <c r="E719" s="79"/>
      <c r="F719" s="79"/>
      <c r="G719" s="79"/>
      <c r="H719" s="79"/>
      <c r="I719" s="79"/>
      <c r="J719" s="79"/>
      <c r="K719" s="79"/>
      <c r="L719" s="79"/>
      <c r="M719" s="79"/>
      <c r="N719" s="79"/>
      <c r="O719" s="79"/>
      <c r="P719" s="79"/>
      <c r="Q719" s="79"/>
      <c r="R719" s="79"/>
      <c r="S719" s="79"/>
      <c r="T719" s="79"/>
      <c r="U719" s="79"/>
      <c r="V719" s="79"/>
      <c r="W719" s="79"/>
      <c r="X719" s="79"/>
      <c r="Y719" s="79"/>
      <c r="Z719" s="79"/>
    </row>
    <row r="720">
      <c r="A720" s="79"/>
      <c r="B720" s="79"/>
      <c r="C720" s="79"/>
      <c r="D720" s="79"/>
      <c r="E720" s="79"/>
      <c r="F720" s="79"/>
      <c r="G720" s="79"/>
      <c r="H720" s="79"/>
      <c r="I720" s="79"/>
      <c r="J720" s="79"/>
      <c r="K720" s="79"/>
      <c r="L720" s="79"/>
      <c r="M720" s="79"/>
      <c r="N720" s="79"/>
      <c r="O720" s="79"/>
      <c r="P720" s="79"/>
      <c r="Q720" s="79"/>
      <c r="R720" s="79"/>
      <c r="S720" s="79"/>
      <c r="T720" s="79"/>
      <c r="U720" s="79"/>
      <c r="V720" s="79"/>
      <c r="W720" s="79"/>
      <c r="X720" s="79"/>
      <c r="Y720" s="79"/>
      <c r="Z720" s="79"/>
    </row>
    <row r="721">
      <c r="A721" s="79"/>
      <c r="B721" s="79"/>
      <c r="C721" s="79"/>
      <c r="D721" s="79"/>
      <c r="E721" s="79"/>
      <c r="F721" s="79"/>
      <c r="G721" s="79"/>
      <c r="H721" s="79"/>
      <c r="I721" s="79"/>
      <c r="J721" s="79"/>
      <c r="K721" s="79"/>
      <c r="L721" s="79"/>
      <c r="M721" s="79"/>
      <c r="N721" s="79"/>
      <c r="O721" s="79"/>
      <c r="P721" s="79"/>
      <c r="Q721" s="79"/>
      <c r="R721" s="79"/>
      <c r="S721" s="79"/>
      <c r="T721" s="79"/>
      <c r="U721" s="79"/>
      <c r="V721" s="79"/>
      <c r="W721" s="79"/>
      <c r="X721" s="79"/>
      <c r="Y721" s="79"/>
      <c r="Z721" s="79"/>
    </row>
    <row r="722">
      <c r="A722" s="79"/>
      <c r="B722" s="79"/>
      <c r="C722" s="79"/>
      <c r="D722" s="79"/>
      <c r="E722" s="79"/>
      <c r="F722" s="79"/>
      <c r="G722" s="79"/>
      <c r="H722" s="79"/>
      <c r="I722" s="79"/>
      <c r="J722" s="79"/>
      <c r="K722" s="79"/>
      <c r="L722" s="79"/>
      <c r="M722" s="79"/>
      <c r="N722" s="79"/>
      <c r="O722" s="79"/>
      <c r="P722" s="79"/>
      <c r="Q722" s="79"/>
      <c r="R722" s="79"/>
      <c r="S722" s="79"/>
      <c r="T722" s="79"/>
      <c r="U722" s="79"/>
      <c r="V722" s="79"/>
      <c r="W722" s="79"/>
      <c r="X722" s="79"/>
      <c r="Y722" s="79"/>
      <c r="Z722" s="79"/>
    </row>
    <row r="723">
      <c r="A723" s="79"/>
      <c r="B723" s="79"/>
      <c r="C723" s="79"/>
      <c r="D723" s="79"/>
      <c r="E723" s="79"/>
      <c r="F723" s="79"/>
      <c r="G723" s="79"/>
      <c r="H723" s="79"/>
      <c r="I723" s="79"/>
      <c r="J723" s="79"/>
      <c r="K723" s="79"/>
      <c r="L723" s="79"/>
      <c r="M723" s="79"/>
      <c r="N723" s="79"/>
      <c r="O723" s="79"/>
      <c r="P723" s="79"/>
      <c r="Q723" s="79"/>
      <c r="R723" s="79"/>
      <c r="S723" s="79"/>
      <c r="T723" s="79"/>
      <c r="U723" s="79"/>
      <c r="V723" s="79"/>
      <c r="W723" s="79"/>
      <c r="X723" s="79"/>
      <c r="Y723" s="79"/>
      <c r="Z723" s="79"/>
    </row>
    <row r="724">
      <c r="A724" s="79"/>
      <c r="B724" s="79"/>
      <c r="C724" s="79"/>
      <c r="D724" s="79"/>
      <c r="E724" s="79"/>
      <c r="F724" s="79"/>
      <c r="G724" s="79"/>
      <c r="H724" s="79"/>
      <c r="I724" s="79"/>
      <c r="J724" s="79"/>
      <c r="K724" s="79"/>
      <c r="L724" s="79"/>
      <c r="M724" s="79"/>
      <c r="N724" s="79"/>
      <c r="O724" s="79"/>
      <c r="P724" s="79"/>
      <c r="Q724" s="79"/>
      <c r="R724" s="79"/>
      <c r="S724" s="79"/>
      <c r="T724" s="79"/>
      <c r="U724" s="79"/>
      <c r="V724" s="79"/>
      <c r="W724" s="79"/>
      <c r="X724" s="79"/>
      <c r="Y724" s="79"/>
      <c r="Z724" s="79"/>
    </row>
    <row r="725">
      <c r="A725" s="79"/>
      <c r="B725" s="79"/>
      <c r="C725" s="79"/>
      <c r="D725" s="79"/>
      <c r="E725" s="79"/>
      <c r="F725" s="79"/>
      <c r="G725" s="79"/>
      <c r="H725" s="79"/>
      <c r="I725" s="79"/>
      <c r="J725" s="79"/>
      <c r="K725" s="79"/>
      <c r="L725" s="79"/>
      <c r="M725" s="79"/>
      <c r="N725" s="79"/>
      <c r="O725" s="79"/>
      <c r="P725" s="79"/>
      <c r="Q725" s="79"/>
      <c r="R725" s="79"/>
      <c r="S725" s="79"/>
      <c r="T725" s="79"/>
      <c r="U725" s="79"/>
      <c r="V725" s="79"/>
      <c r="W725" s="79"/>
      <c r="X725" s="79"/>
      <c r="Y725" s="79"/>
      <c r="Z725" s="79"/>
    </row>
    <row r="726">
      <c r="A726" s="79"/>
      <c r="B726" s="79"/>
      <c r="C726" s="79"/>
      <c r="D726" s="79"/>
      <c r="E726" s="79"/>
      <c r="F726" s="79"/>
      <c r="G726" s="79"/>
      <c r="H726" s="79"/>
      <c r="I726" s="79"/>
      <c r="J726" s="79"/>
      <c r="K726" s="79"/>
      <c r="L726" s="79"/>
      <c r="M726" s="79"/>
      <c r="N726" s="79"/>
      <c r="O726" s="79"/>
      <c r="P726" s="79"/>
      <c r="Q726" s="79"/>
      <c r="R726" s="79"/>
      <c r="S726" s="79"/>
      <c r="T726" s="79"/>
      <c r="U726" s="79"/>
      <c r="V726" s="79"/>
      <c r="W726" s="79"/>
      <c r="X726" s="79"/>
      <c r="Y726" s="79"/>
      <c r="Z726" s="79"/>
    </row>
    <row r="727">
      <c r="A727" s="79"/>
      <c r="B727" s="79"/>
      <c r="C727" s="79"/>
      <c r="D727" s="79"/>
      <c r="E727" s="79"/>
      <c r="F727" s="79"/>
      <c r="G727" s="79"/>
      <c r="H727" s="79"/>
      <c r="I727" s="79"/>
      <c r="J727" s="79"/>
      <c r="K727" s="79"/>
      <c r="L727" s="79"/>
      <c r="M727" s="79"/>
      <c r="N727" s="79"/>
      <c r="O727" s="79"/>
      <c r="P727" s="79"/>
      <c r="Q727" s="79"/>
      <c r="R727" s="79"/>
      <c r="S727" s="79"/>
      <c r="T727" s="79"/>
      <c r="U727" s="79"/>
      <c r="V727" s="79"/>
      <c r="W727" s="79"/>
      <c r="X727" s="79"/>
      <c r="Y727" s="79"/>
      <c r="Z727" s="79"/>
    </row>
    <row r="728">
      <c r="A728" s="79"/>
      <c r="B728" s="79"/>
      <c r="C728" s="79"/>
      <c r="D728" s="79"/>
      <c r="E728" s="79"/>
      <c r="F728" s="79"/>
      <c r="G728" s="79"/>
      <c r="H728" s="79"/>
      <c r="I728" s="79"/>
      <c r="J728" s="79"/>
      <c r="K728" s="79"/>
      <c r="L728" s="79"/>
      <c r="M728" s="79"/>
      <c r="N728" s="79"/>
      <c r="O728" s="79"/>
      <c r="P728" s="79"/>
      <c r="Q728" s="79"/>
      <c r="R728" s="79"/>
      <c r="S728" s="79"/>
      <c r="T728" s="79"/>
      <c r="U728" s="79"/>
      <c r="V728" s="79"/>
      <c r="W728" s="79"/>
      <c r="X728" s="79"/>
      <c r="Y728" s="79"/>
      <c r="Z728" s="79"/>
    </row>
    <row r="729">
      <c r="A729" s="79"/>
      <c r="B729" s="79"/>
      <c r="C729" s="79"/>
      <c r="D729" s="79"/>
      <c r="E729" s="79"/>
      <c r="F729" s="79"/>
      <c r="G729" s="79"/>
      <c r="H729" s="79"/>
      <c r="I729" s="79"/>
      <c r="J729" s="79"/>
      <c r="K729" s="79"/>
      <c r="L729" s="79"/>
      <c r="M729" s="79"/>
      <c r="N729" s="79"/>
      <c r="O729" s="79"/>
      <c r="P729" s="79"/>
      <c r="Q729" s="79"/>
      <c r="R729" s="79"/>
      <c r="S729" s="79"/>
      <c r="T729" s="79"/>
      <c r="U729" s="79"/>
      <c r="V729" s="79"/>
      <c r="W729" s="79"/>
      <c r="X729" s="79"/>
      <c r="Y729" s="79"/>
      <c r="Z729" s="79"/>
    </row>
    <row r="730">
      <c r="A730" s="79"/>
      <c r="B730" s="79"/>
      <c r="C730" s="79"/>
      <c r="D730" s="79"/>
      <c r="E730" s="79"/>
      <c r="F730" s="79"/>
      <c r="G730" s="79"/>
      <c r="H730" s="79"/>
      <c r="I730" s="79"/>
      <c r="J730" s="79"/>
      <c r="K730" s="79"/>
      <c r="L730" s="79"/>
      <c r="M730" s="79"/>
      <c r="N730" s="79"/>
      <c r="O730" s="79"/>
      <c r="P730" s="79"/>
      <c r="Q730" s="79"/>
      <c r="R730" s="79"/>
      <c r="S730" s="79"/>
      <c r="T730" s="79"/>
      <c r="U730" s="79"/>
      <c r="V730" s="79"/>
      <c r="W730" s="79"/>
      <c r="X730" s="79"/>
      <c r="Y730" s="79"/>
      <c r="Z730" s="79"/>
    </row>
    <row r="731">
      <c r="A731" s="79"/>
      <c r="B731" s="79"/>
      <c r="C731" s="79"/>
      <c r="D731" s="79"/>
      <c r="E731" s="79"/>
      <c r="F731" s="79"/>
      <c r="G731" s="79"/>
      <c r="H731" s="79"/>
      <c r="I731" s="79"/>
      <c r="J731" s="79"/>
      <c r="K731" s="79"/>
      <c r="L731" s="79"/>
      <c r="M731" s="79"/>
      <c r="N731" s="79"/>
      <c r="O731" s="79"/>
      <c r="P731" s="79"/>
      <c r="Q731" s="79"/>
      <c r="R731" s="79"/>
      <c r="S731" s="79"/>
      <c r="T731" s="79"/>
      <c r="U731" s="79"/>
      <c r="V731" s="79"/>
      <c r="W731" s="79"/>
      <c r="X731" s="79"/>
      <c r="Y731" s="79"/>
      <c r="Z731" s="79"/>
    </row>
    <row r="732">
      <c r="A732" s="79"/>
      <c r="B732" s="79"/>
      <c r="C732" s="79"/>
      <c r="D732" s="79"/>
      <c r="E732" s="79"/>
      <c r="F732" s="79"/>
      <c r="G732" s="79"/>
      <c r="H732" s="79"/>
      <c r="I732" s="79"/>
      <c r="J732" s="79"/>
      <c r="K732" s="79"/>
      <c r="L732" s="79"/>
      <c r="M732" s="79"/>
      <c r="N732" s="79"/>
      <c r="O732" s="79"/>
      <c r="P732" s="79"/>
      <c r="Q732" s="79"/>
      <c r="R732" s="79"/>
      <c r="S732" s="79"/>
      <c r="T732" s="79"/>
      <c r="U732" s="79"/>
      <c r="V732" s="79"/>
      <c r="W732" s="79"/>
      <c r="X732" s="79"/>
      <c r="Y732" s="79"/>
      <c r="Z732" s="79"/>
    </row>
    <row r="733">
      <c r="A733" s="79"/>
      <c r="B733" s="79"/>
      <c r="C733" s="79"/>
      <c r="D733" s="79"/>
      <c r="E733" s="79"/>
      <c r="F733" s="79"/>
      <c r="G733" s="79"/>
      <c r="H733" s="79"/>
      <c r="I733" s="79"/>
      <c r="J733" s="79"/>
      <c r="K733" s="79"/>
      <c r="L733" s="79"/>
      <c r="M733" s="79"/>
      <c r="N733" s="79"/>
      <c r="O733" s="79"/>
      <c r="P733" s="79"/>
      <c r="Q733" s="79"/>
      <c r="R733" s="79"/>
      <c r="S733" s="79"/>
      <c r="T733" s="79"/>
      <c r="U733" s="79"/>
      <c r="V733" s="79"/>
      <c r="W733" s="79"/>
      <c r="X733" s="79"/>
      <c r="Y733" s="79"/>
      <c r="Z733" s="79"/>
    </row>
    <row r="734">
      <c r="A734" s="79"/>
      <c r="B734" s="79"/>
      <c r="C734" s="79"/>
      <c r="D734" s="79"/>
      <c r="E734" s="79"/>
      <c r="F734" s="79"/>
      <c r="G734" s="79"/>
      <c r="H734" s="79"/>
      <c r="I734" s="79"/>
      <c r="J734" s="79"/>
      <c r="K734" s="79"/>
      <c r="L734" s="79"/>
      <c r="M734" s="79"/>
      <c r="N734" s="79"/>
      <c r="O734" s="79"/>
      <c r="P734" s="79"/>
      <c r="Q734" s="79"/>
      <c r="R734" s="79"/>
      <c r="S734" s="79"/>
      <c r="T734" s="79"/>
      <c r="U734" s="79"/>
      <c r="V734" s="79"/>
      <c r="W734" s="79"/>
      <c r="X734" s="79"/>
      <c r="Y734" s="79"/>
      <c r="Z734" s="79"/>
    </row>
    <row r="735">
      <c r="A735" s="79"/>
      <c r="B735" s="79"/>
      <c r="C735" s="79"/>
      <c r="D735" s="79"/>
      <c r="E735" s="79"/>
      <c r="F735" s="79"/>
      <c r="G735" s="79"/>
      <c r="H735" s="79"/>
      <c r="I735" s="79"/>
      <c r="J735" s="79"/>
      <c r="K735" s="79"/>
      <c r="L735" s="79"/>
      <c r="M735" s="79"/>
      <c r="N735" s="79"/>
      <c r="O735" s="79"/>
      <c r="P735" s="79"/>
      <c r="Q735" s="79"/>
      <c r="R735" s="79"/>
      <c r="S735" s="79"/>
      <c r="T735" s="79"/>
      <c r="U735" s="79"/>
      <c r="V735" s="79"/>
      <c r="W735" s="79"/>
      <c r="X735" s="79"/>
      <c r="Y735" s="79"/>
      <c r="Z735" s="79"/>
    </row>
    <row r="736">
      <c r="A736" s="79"/>
      <c r="B736" s="79"/>
      <c r="C736" s="79"/>
      <c r="D736" s="79"/>
      <c r="E736" s="79"/>
      <c r="F736" s="79"/>
      <c r="G736" s="79"/>
      <c r="H736" s="79"/>
      <c r="I736" s="79"/>
      <c r="J736" s="79"/>
      <c r="K736" s="79"/>
      <c r="L736" s="79"/>
      <c r="M736" s="79"/>
      <c r="N736" s="79"/>
      <c r="O736" s="79"/>
      <c r="P736" s="79"/>
      <c r="Q736" s="79"/>
      <c r="R736" s="79"/>
      <c r="S736" s="79"/>
      <c r="T736" s="79"/>
      <c r="U736" s="79"/>
      <c r="V736" s="79"/>
      <c r="W736" s="79"/>
      <c r="X736" s="79"/>
      <c r="Y736" s="79"/>
      <c r="Z736" s="79"/>
    </row>
    <row r="737">
      <c r="A737" s="79"/>
      <c r="B737" s="79"/>
      <c r="C737" s="79"/>
      <c r="D737" s="79"/>
      <c r="E737" s="79"/>
      <c r="F737" s="79"/>
      <c r="G737" s="79"/>
      <c r="H737" s="79"/>
      <c r="I737" s="79"/>
      <c r="J737" s="79"/>
      <c r="K737" s="79"/>
      <c r="L737" s="79"/>
      <c r="M737" s="79"/>
      <c r="N737" s="79"/>
      <c r="O737" s="79"/>
      <c r="P737" s="79"/>
      <c r="Q737" s="79"/>
      <c r="R737" s="79"/>
      <c r="S737" s="79"/>
      <c r="T737" s="79"/>
      <c r="U737" s="79"/>
      <c r="V737" s="79"/>
      <c r="W737" s="79"/>
      <c r="X737" s="79"/>
      <c r="Y737" s="79"/>
      <c r="Z737" s="79"/>
    </row>
    <row r="738">
      <c r="A738" s="79"/>
      <c r="B738" s="79"/>
      <c r="C738" s="79"/>
      <c r="D738" s="79"/>
      <c r="E738" s="79"/>
      <c r="F738" s="79"/>
      <c r="G738" s="79"/>
      <c r="H738" s="79"/>
      <c r="I738" s="79"/>
      <c r="J738" s="79"/>
      <c r="K738" s="79"/>
      <c r="L738" s="79"/>
      <c r="M738" s="79"/>
      <c r="N738" s="79"/>
      <c r="O738" s="79"/>
      <c r="P738" s="79"/>
      <c r="Q738" s="79"/>
      <c r="R738" s="79"/>
      <c r="S738" s="79"/>
      <c r="T738" s="79"/>
      <c r="U738" s="79"/>
      <c r="V738" s="79"/>
      <c r="W738" s="79"/>
      <c r="X738" s="79"/>
      <c r="Y738" s="79"/>
      <c r="Z738" s="79"/>
    </row>
    <row r="739">
      <c r="A739" s="79"/>
      <c r="B739" s="79"/>
      <c r="C739" s="79"/>
      <c r="D739" s="79"/>
      <c r="E739" s="79"/>
      <c r="F739" s="79"/>
      <c r="G739" s="79"/>
      <c r="H739" s="79"/>
      <c r="I739" s="79"/>
      <c r="J739" s="79"/>
      <c r="K739" s="79"/>
      <c r="L739" s="79"/>
      <c r="M739" s="79"/>
      <c r="N739" s="79"/>
      <c r="O739" s="79"/>
      <c r="P739" s="79"/>
      <c r="Q739" s="79"/>
      <c r="R739" s="79"/>
      <c r="S739" s="79"/>
      <c r="T739" s="79"/>
      <c r="U739" s="79"/>
      <c r="V739" s="79"/>
      <c r="W739" s="79"/>
      <c r="X739" s="79"/>
      <c r="Y739" s="79"/>
      <c r="Z739" s="79"/>
    </row>
    <row r="740">
      <c r="A740" s="79"/>
      <c r="B740" s="79"/>
      <c r="C740" s="79"/>
      <c r="D740" s="79"/>
      <c r="E740" s="79"/>
      <c r="F740" s="79"/>
      <c r="G740" s="79"/>
      <c r="H740" s="79"/>
      <c r="I740" s="79"/>
      <c r="J740" s="79"/>
      <c r="K740" s="79"/>
      <c r="L740" s="79"/>
      <c r="M740" s="79"/>
      <c r="N740" s="79"/>
      <c r="O740" s="79"/>
      <c r="P740" s="79"/>
      <c r="Q740" s="79"/>
      <c r="R740" s="79"/>
      <c r="S740" s="79"/>
      <c r="T740" s="79"/>
      <c r="U740" s="79"/>
      <c r="V740" s="79"/>
      <c r="W740" s="79"/>
      <c r="X740" s="79"/>
      <c r="Y740" s="79"/>
      <c r="Z740" s="79"/>
    </row>
    <row r="741">
      <c r="A741" s="79"/>
      <c r="B741" s="79"/>
      <c r="C741" s="79"/>
      <c r="D741" s="79"/>
      <c r="E741" s="79"/>
      <c r="F741" s="79"/>
      <c r="G741" s="79"/>
      <c r="H741" s="79"/>
      <c r="I741" s="79"/>
      <c r="J741" s="79"/>
      <c r="K741" s="79"/>
      <c r="L741" s="79"/>
      <c r="M741" s="79"/>
      <c r="N741" s="79"/>
      <c r="O741" s="79"/>
      <c r="P741" s="79"/>
      <c r="Q741" s="79"/>
      <c r="R741" s="79"/>
      <c r="S741" s="79"/>
      <c r="T741" s="79"/>
      <c r="U741" s="79"/>
      <c r="V741" s="79"/>
      <c r="W741" s="79"/>
      <c r="X741" s="79"/>
      <c r="Y741" s="79"/>
      <c r="Z741" s="79"/>
    </row>
    <row r="742">
      <c r="A742" s="79"/>
      <c r="B742" s="79"/>
      <c r="C742" s="79"/>
      <c r="D742" s="79"/>
      <c r="E742" s="79"/>
      <c r="F742" s="79"/>
      <c r="G742" s="79"/>
      <c r="H742" s="79"/>
      <c r="I742" s="79"/>
      <c r="J742" s="79"/>
      <c r="K742" s="79"/>
      <c r="L742" s="79"/>
      <c r="M742" s="79"/>
      <c r="N742" s="79"/>
      <c r="O742" s="79"/>
      <c r="P742" s="79"/>
      <c r="Q742" s="79"/>
      <c r="R742" s="79"/>
      <c r="S742" s="79"/>
      <c r="T742" s="79"/>
      <c r="U742" s="79"/>
      <c r="V742" s="79"/>
      <c r="W742" s="79"/>
      <c r="X742" s="79"/>
      <c r="Y742" s="79"/>
      <c r="Z742" s="79"/>
    </row>
    <row r="743">
      <c r="A743" s="79"/>
      <c r="B743" s="79"/>
      <c r="C743" s="79"/>
      <c r="D743" s="79"/>
      <c r="E743" s="79"/>
      <c r="F743" s="79"/>
      <c r="G743" s="79"/>
      <c r="H743" s="79"/>
      <c r="I743" s="79"/>
      <c r="J743" s="79"/>
      <c r="K743" s="79"/>
      <c r="L743" s="79"/>
      <c r="M743" s="79"/>
      <c r="N743" s="79"/>
      <c r="O743" s="79"/>
      <c r="P743" s="79"/>
      <c r="Q743" s="79"/>
      <c r="R743" s="79"/>
      <c r="S743" s="79"/>
      <c r="T743" s="79"/>
      <c r="U743" s="79"/>
      <c r="V743" s="79"/>
      <c r="W743" s="79"/>
      <c r="X743" s="79"/>
      <c r="Y743" s="79"/>
      <c r="Z743" s="79"/>
    </row>
    <row r="744">
      <c r="A744" s="79"/>
      <c r="B744" s="79"/>
      <c r="C744" s="79"/>
      <c r="D744" s="79"/>
      <c r="E744" s="79"/>
      <c r="F744" s="79"/>
      <c r="G744" s="79"/>
      <c r="H744" s="79"/>
      <c r="I744" s="79"/>
      <c r="J744" s="79"/>
      <c r="K744" s="79"/>
      <c r="L744" s="79"/>
      <c r="M744" s="79"/>
      <c r="N744" s="79"/>
      <c r="O744" s="79"/>
      <c r="P744" s="79"/>
      <c r="Q744" s="79"/>
      <c r="R744" s="79"/>
      <c r="S744" s="79"/>
      <c r="T744" s="79"/>
      <c r="U744" s="79"/>
      <c r="V744" s="79"/>
      <c r="W744" s="79"/>
      <c r="X744" s="79"/>
      <c r="Y744" s="79"/>
      <c r="Z744" s="79"/>
    </row>
    <row r="745">
      <c r="A745" s="79"/>
      <c r="B745" s="79"/>
      <c r="C745" s="79"/>
      <c r="D745" s="79"/>
      <c r="E745" s="79"/>
      <c r="F745" s="79"/>
      <c r="G745" s="79"/>
      <c r="H745" s="79"/>
      <c r="I745" s="79"/>
      <c r="J745" s="79"/>
      <c r="K745" s="79"/>
      <c r="L745" s="79"/>
      <c r="M745" s="79"/>
      <c r="N745" s="79"/>
      <c r="O745" s="79"/>
      <c r="P745" s="79"/>
      <c r="Q745" s="79"/>
      <c r="R745" s="79"/>
      <c r="S745" s="79"/>
      <c r="T745" s="79"/>
      <c r="U745" s="79"/>
      <c r="V745" s="79"/>
      <c r="W745" s="79"/>
      <c r="X745" s="79"/>
      <c r="Y745" s="79"/>
      <c r="Z745" s="79"/>
    </row>
    <row r="746">
      <c r="A746" s="79"/>
      <c r="B746" s="79"/>
      <c r="C746" s="79"/>
      <c r="D746" s="79"/>
      <c r="E746" s="79"/>
      <c r="F746" s="79"/>
      <c r="G746" s="79"/>
      <c r="H746" s="79"/>
      <c r="I746" s="79"/>
      <c r="J746" s="79"/>
      <c r="K746" s="79"/>
      <c r="L746" s="79"/>
      <c r="M746" s="79"/>
      <c r="N746" s="79"/>
      <c r="O746" s="79"/>
      <c r="P746" s="79"/>
      <c r="Q746" s="79"/>
      <c r="R746" s="79"/>
      <c r="S746" s="79"/>
      <c r="T746" s="79"/>
      <c r="U746" s="79"/>
      <c r="V746" s="79"/>
      <c r="W746" s="79"/>
      <c r="X746" s="79"/>
      <c r="Y746" s="79"/>
      <c r="Z746" s="79"/>
    </row>
    <row r="747">
      <c r="A747" s="79"/>
      <c r="B747" s="79"/>
      <c r="C747" s="79"/>
      <c r="D747" s="79"/>
      <c r="E747" s="79"/>
      <c r="F747" s="79"/>
      <c r="G747" s="79"/>
      <c r="H747" s="79"/>
      <c r="I747" s="79"/>
      <c r="J747" s="79"/>
      <c r="K747" s="79"/>
      <c r="L747" s="79"/>
      <c r="M747" s="79"/>
      <c r="N747" s="79"/>
      <c r="O747" s="79"/>
      <c r="P747" s="79"/>
      <c r="Q747" s="79"/>
      <c r="R747" s="79"/>
      <c r="S747" s="79"/>
      <c r="T747" s="79"/>
      <c r="U747" s="79"/>
      <c r="V747" s="79"/>
      <c r="W747" s="79"/>
      <c r="X747" s="79"/>
      <c r="Y747" s="79"/>
      <c r="Z747" s="79"/>
    </row>
    <row r="748">
      <c r="A748" s="79"/>
      <c r="B748" s="79"/>
      <c r="C748" s="79"/>
      <c r="D748" s="79"/>
      <c r="E748" s="79"/>
      <c r="F748" s="79"/>
      <c r="G748" s="79"/>
      <c r="H748" s="79"/>
      <c r="I748" s="79"/>
      <c r="J748" s="79"/>
      <c r="K748" s="79"/>
      <c r="L748" s="79"/>
      <c r="M748" s="79"/>
      <c r="N748" s="79"/>
      <c r="O748" s="79"/>
      <c r="P748" s="79"/>
      <c r="Q748" s="79"/>
      <c r="R748" s="79"/>
      <c r="S748" s="79"/>
      <c r="T748" s="79"/>
      <c r="U748" s="79"/>
      <c r="V748" s="79"/>
      <c r="W748" s="79"/>
      <c r="X748" s="79"/>
      <c r="Y748" s="79"/>
      <c r="Z748" s="79"/>
    </row>
    <row r="749">
      <c r="A749" s="79"/>
      <c r="B749" s="79"/>
      <c r="C749" s="79"/>
      <c r="D749" s="79"/>
      <c r="E749" s="79"/>
      <c r="F749" s="79"/>
      <c r="G749" s="79"/>
      <c r="H749" s="79"/>
      <c r="I749" s="79"/>
      <c r="J749" s="79"/>
      <c r="K749" s="79"/>
      <c r="L749" s="79"/>
      <c r="M749" s="79"/>
      <c r="N749" s="79"/>
      <c r="O749" s="79"/>
      <c r="P749" s="79"/>
      <c r="Q749" s="79"/>
      <c r="R749" s="79"/>
      <c r="S749" s="79"/>
      <c r="T749" s="79"/>
      <c r="U749" s="79"/>
      <c r="V749" s="79"/>
      <c r="W749" s="79"/>
      <c r="X749" s="79"/>
      <c r="Y749" s="79"/>
      <c r="Z749" s="79"/>
    </row>
    <row r="750">
      <c r="A750" s="79"/>
      <c r="B750" s="79"/>
      <c r="C750" s="79"/>
      <c r="D750" s="79"/>
      <c r="E750" s="79"/>
      <c r="F750" s="79"/>
      <c r="G750" s="79"/>
      <c r="H750" s="79"/>
      <c r="I750" s="79"/>
      <c r="J750" s="79"/>
      <c r="K750" s="79"/>
      <c r="L750" s="79"/>
      <c r="M750" s="79"/>
      <c r="N750" s="79"/>
      <c r="O750" s="79"/>
      <c r="P750" s="79"/>
      <c r="Q750" s="79"/>
      <c r="R750" s="79"/>
      <c r="S750" s="79"/>
      <c r="T750" s="79"/>
      <c r="U750" s="79"/>
      <c r="V750" s="79"/>
      <c r="W750" s="79"/>
      <c r="X750" s="79"/>
      <c r="Y750" s="79"/>
      <c r="Z750" s="79"/>
    </row>
    <row r="751">
      <c r="A751" s="79"/>
      <c r="B751" s="79"/>
      <c r="C751" s="79"/>
      <c r="D751" s="79"/>
      <c r="E751" s="79"/>
      <c r="F751" s="79"/>
      <c r="G751" s="79"/>
      <c r="H751" s="79"/>
      <c r="I751" s="79"/>
      <c r="J751" s="79"/>
      <c r="K751" s="79"/>
      <c r="L751" s="79"/>
      <c r="M751" s="79"/>
      <c r="N751" s="79"/>
      <c r="O751" s="79"/>
      <c r="P751" s="79"/>
      <c r="Q751" s="79"/>
      <c r="R751" s="79"/>
      <c r="S751" s="79"/>
      <c r="T751" s="79"/>
      <c r="U751" s="79"/>
      <c r="V751" s="79"/>
      <c r="W751" s="79"/>
      <c r="X751" s="79"/>
      <c r="Y751" s="79"/>
      <c r="Z751" s="79"/>
    </row>
    <row r="752">
      <c r="A752" s="79"/>
      <c r="B752" s="79"/>
      <c r="C752" s="79"/>
      <c r="D752" s="79"/>
      <c r="E752" s="79"/>
      <c r="F752" s="79"/>
      <c r="G752" s="79"/>
      <c r="H752" s="79"/>
      <c r="I752" s="79"/>
      <c r="J752" s="79"/>
      <c r="K752" s="79"/>
      <c r="L752" s="79"/>
      <c r="M752" s="79"/>
      <c r="N752" s="79"/>
      <c r="O752" s="79"/>
      <c r="P752" s="79"/>
      <c r="Q752" s="79"/>
      <c r="R752" s="79"/>
      <c r="S752" s="79"/>
      <c r="T752" s="79"/>
      <c r="U752" s="79"/>
      <c r="V752" s="79"/>
      <c r="W752" s="79"/>
      <c r="X752" s="79"/>
      <c r="Y752" s="79"/>
      <c r="Z752" s="79"/>
    </row>
    <row r="753">
      <c r="A753" s="79"/>
      <c r="B753" s="79"/>
      <c r="C753" s="79"/>
      <c r="D753" s="79"/>
      <c r="E753" s="79"/>
      <c r="F753" s="79"/>
      <c r="G753" s="79"/>
      <c r="H753" s="79"/>
      <c r="I753" s="79"/>
      <c r="J753" s="79"/>
      <c r="K753" s="79"/>
      <c r="L753" s="79"/>
      <c r="M753" s="79"/>
      <c r="N753" s="79"/>
      <c r="O753" s="79"/>
      <c r="P753" s="79"/>
      <c r="Q753" s="79"/>
      <c r="R753" s="79"/>
      <c r="S753" s="79"/>
      <c r="T753" s="79"/>
      <c r="U753" s="79"/>
      <c r="V753" s="79"/>
      <c r="W753" s="79"/>
      <c r="X753" s="79"/>
      <c r="Y753" s="79"/>
      <c r="Z753" s="79"/>
    </row>
    <row r="754">
      <c r="A754" s="79"/>
      <c r="B754" s="79"/>
      <c r="C754" s="79"/>
      <c r="D754" s="79"/>
      <c r="E754" s="79"/>
      <c r="F754" s="79"/>
      <c r="G754" s="79"/>
      <c r="H754" s="79"/>
      <c r="I754" s="79"/>
      <c r="J754" s="79"/>
      <c r="K754" s="79"/>
      <c r="L754" s="79"/>
      <c r="M754" s="79"/>
      <c r="N754" s="79"/>
      <c r="O754" s="79"/>
      <c r="P754" s="79"/>
      <c r="Q754" s="79"/>
      <c r="R754" s="79"/>
      <c r="S754" s="79"/>
      <c r="T754" s="79"/>
      <c r="U754" s="79"/>
      <c r="V754" s="79"/>
      <c r="W754" s="79"/>
      <c r="X754" s="79"/>
      <c r="Y754" s="79"/>
      <c r="Z754" s="79"/>
    </row>
    <row r="755">
      <c r="A755" s="79"/>
      <c r="B755" s="79"/>
      <c r="C755" s="79"/>
      <c r="D755" s="79"/>
      <c r="E755" s="79"/>
      <c r="F755" s="79"/>
      <c r="G755" s="79"/>
      <c r="H755" s="79"/>
      <c r="I755" s="79"/>
      <c r="J755" s="79"/>
      <c r="K755" s="79"/>
      <c r="L755" s="79"/>
      <c r="M755" s="79"/>
      <c r="N755" s="79"/>
      <c r="O755" s="79"/>
      <c r="P755" s="79"/>
      <c r="Q755" s="79"/>
      <c r="R755" s="79"/>
      <c r="S755" s="79"/>
      <c r="T755" s="79"/>
      <c r="U755" s="79"/>
      <c r="V755" s="79"/>
      <c r="W755" s="79"/>
      <c r="X755" s="79"/>
      <c r="Y755" s="79"/>
      <c r="Z755" s="79"/>
    </row>
    <row r="756">
      <c r="A756" s="79"/>
      <c r="B756" s="79"/>
      <c r="C756" s="79"/>
      <c r="D756" s="79"/>
      <c r="E756" s="79"/>
      <c r="F756" s="79"/>
      <c r="G756" s="79"/>
      <c r="H756" s="79"/>
      <c r="I756" s="79"/>
      <c r="J756" s="79"/>
      <c r="K756" s="79"/>
      <c r="L756" s="79"/>
      <c r="M756" s="79"/>
      <c r="N756" s="79"/>
      <c r="O756" s="79"/>
      <c r="P756" s="79"/>
      <c r="Q756" s="79"/>
      <c r="R756" s="79"/>
      <c r="S756" s="79"/>
      <c r="T756" s="79"/>
      <c r="U756" s="79"/>
      <c r="V756" s="79"/>
      <c r="W756" s="79"/>
      <c r="X756" s="79"/>
      <c r="Y756" s="79"/>
      <c r="Z756" s="79"/>
    </row>
    <row r="757">
      <c r="A757" s="79"/>
      <c r="B757" s="79"/>
      <c r="C757" s="79"/>
      <c r="D757" s="79"/>
      <c r="E757" s="79"/>
      <c r="F757" s="79"/>
      <c r="G757" s="79"/>
      <c r="H757" s="79"/>
      <c r="I757" s="79"/>
      <c r="J757" s="79"/>
      <c r="K757" s="79"/>
      <c r="L757" s="79"/>
      <c r="M757" s="79"/>
      <c r="N757" s="79"/>
      <c r="O757" s="79"/>
      <c r="P757" s="79"/>
      <c r="Q757" s="79"/>
      <c r="R757" s="79"/>
      <c r="S757" s="79"/>
      <c r="T757" s="79"/>
      <c r="U757" s="79"/>
      <c r="V757" s="79"/>
      <c r="W757" s="79"/>
      <c r="X757" s="79"/>
      <c r="Y757" s="79"/>
      <c r="Z757" s="79"/>
    </row>
    <row r="758">
      <c r="A758" s="79"/>
      <c r="B758" s="79"/>
      <c r="C758" s="79"/>
      <c r="D758" s="79"/>
      <c r="E758" s="79"/>
      <c r="F758" s="79"/>
      <c r="G758" s="79"/>
      <c r="H758" s="79"/>
      <c r="I758" s="79"/>
      <c r="J758" s="79"/>
      <c r="K758" s="79"/>
      <c r="L758" s="79"/>
      <c r="M758" s="79"/>
      <c r="N758" s="79"/>
      <c r="O758" s="79"/>
      <c r="P758" s="79"/>
      <c r="Q758" s="79"/>
      <c r="R758" s="79"/>
      <c r="S758" s="79"/>
      <c r="T758" s="79"/>
      <c r="U758" s="79"/>
      <c r="V758" s="79"/>
      <c r="W758" s="79"/>
      <c r="X758" s="79"/>
      <c r="Y758" s="79"/>
      <c r="Z758" s="79"/>
    </row>
    <row r="759">
      <c r="A759" s="79"/>
      <c r="B759" s="79"/>
      <c r="C759" s="79"/>
      <c r="D759" s="79"/>
      <c r="E759" s="79"/>
      <c r="F759" s="79"/>
      <c r="G759" s="79"/>
      <c r="H759" s="79"/>
      <c r="I759" s="79"/>
      <c r="J759" s="79"/>
      <c r="K759" s="79"/>
      <c r="L759" s="79"/>
      <c r="M759" s="79"/>
      <c r="N759" s="79"/>
      <c r="O759" s="79"/>
      <c r="P759" s="79"/>
      <c r="Q759" s="79"/>
      <c r="R759" s="79"/>
      <c r="S759" s="79"/>
      <c r="T759" s="79"/>
      <c r="U759" s="79"/>
      <c r="V759" s="79"/>
      <c r="W759" s="79"/>
      <c r="X759" s="79"/>
      <c r="Y759" s="79"/>
      <c r="Z759" s="79"/>
    </row>
    <row r="760">
      <c r="A760" s="79"/>
      <c r="B760" s="79"/>
      <c r="C760" s="79"/>
      <c r="D760" s="79"/>
      <c r="E760" s="79"/>
      <c r="F760" s="79"/>
      <c r="G760" s="79"/>
      <c r="H760" s="79"/>
      <c r="I760" s="79"/>
      <c r="J760" s="79"/>
      <c r="K760" s="79"/>
      <c r="L760" s="79"/>
      <c r="M760" s="79"/>
      <c r="N760" s="79"/>
      <c r="O760" s="79"/>
      <c r="P760" s="79"/>
      <c r="Q760" s="79"/>
      <c r="R760" s="79"/>
      <c r="S760" s="79"/>
      <c r="T760" s="79"/>
      <c r="U760" s="79"/>
      <c r="V760" s="79"/>
      <c r="W760" s="79"/>
      <c r="X760" s="79"/>
      <c r="Y760" s="79"/>
      <c r="Z760" s="79"/>
    </row>
    <row r="761">
      <c r="A761" s="79"/>
      <c r="B761" s="79"/>
      <c r="C761" s="79"/>
      <c r="D761" s="79"/>
      <c r="E761" s="79"/>
      <c r="F761" s="79"/>
      <c r="G761" s="79"/>
      <c r="H761" s="79"/>
      <c r="I761" s="79"/>
      <c r="J761" s="79"/>
      <c r="K761" s="79"/>
      <c r="L761" s="79"/>
      <c r="M761" s="79"/>
      <c r="N761" s="79"/>
      <c r="O761" s="79"/>
      <c r="P761" s="79"/>
      <c r="Q761" s="79"/>
      <c r="R761" s="79"/>
      <c r="S761" s="79"/>
      <c r="T761" s="79"/>
      <c r="U761" s="79"/>
      <c r="V761" s="79"/>
      <c r="W761" s="79"/>
      <c r="X761" s="79"/>
      <c r="Y761" s="79"/>
      <c r="Z761" s="79"/>
    </row>
    <row r="762">
      <c r="A762" s="79"/>
      <c r="B762" s="79"/>
      <c r="C762" s="79"/>
      <c r="D762" s="79"/>
      <c r="E762" s="79"/>
      <c r="F762" s="79"/>
      <c r="G762" s="79"/>
      <c r="H762" s="79"/>
      <c r="I762" s="79"/>
      <c r="J762" s="79"/>
      <c r="K762" s="79"/>
      <c r="L762" s="79"/>
      <c r="M762" s="79"/>
      <c r="N762" s="79"/>
      <c r="O762" s="79"/>
      <c r="P762" s="79"/>
      <c r="Q762" s="79"/>
      <c r="R762" s="79"/>
      <c r="S762" s="79"/>
      <c r="T762" s="79"/>
      <c r="U762" s="79"/>
      <c r="V762" s="79"/>
      <c r="W762" s="79"/>
      <c r="X762" s="79"/>
      <c r="Y762" s="79"/>
      <c r="Z762" s="79"/>
    </row>
    <row r="763">
      <c r="A763" s="79"/>
      <c r="B763" s="79"/>
      <c r="C763" s="79"/>
      <c r="D763" s="79"/>
      <c r="E763" s="79"/>
      <c r="F763" s="79"/>
      <c r="G763" s="79"/>
      <c r="H763" s="79"/>
      <c r="I763" s="79"/>
      <c r="J763" s="79"/>
      <c r="K763" s="79"/>
      <c r="L763" s="79"/>
      <c r="M763" s="79"/>
      <c r="N763" s="79"/>
      <c r="O763" s="79"/>
      <c r="P763" s="79"/>
      <c r="Q763" s="79"/>
      <c r="R763" s="79"/>
      <c r="S763" s="79"/>
      <c r="T763" s="79"/>
      <c r="U763" s="79"/>
      <c r="V763" s="79"/>
      <c r="W763" s="79"/>
      <c r="X763" s="79"/>
      <c r="Y763" s="79"/>
      <c r="Z763" s="79"/>
    </row>
    <row r="764">
      <c r="A764" s="79"/>
      <c r="B764" s="79"/>
      <c r="C764" s="79"/>
      <c r="D764" s="79"/>
      <c r="E764" s="79"/>
      <c r="F764" s="79"/>
      <c r="G764" s="79"/>
      <c r="H764" s="79"/>
      <c r="I764" s="79"/>
      <c r="J764" s="79"/>
      <c r="K764" s="79"/>
      <c r="L764" s="79"/>
      <c r="M764" s="79"/>
      <c r="N764" s="79"/>
      <c r="O764" s="79"/>
      <c r="P764" s="79"/>
      <c r="Q764" s="79"/>
      <c r="R764" s="79"/>
      <c r="S764" s="79"/>
      <c r="T764" s="79"/>
      <c r="U764" s="79"/>
      <c r="V764" s="79"/>
      <c r="W764" s="79"/>
      <c r="X764" s="79"/>
      <c r="Y764" s="79"/>
      <c r="Z764" s="79"/>
    </row>
    <row r="765">
      <c r="A765" s="79"/>
      <c r="B765" s="79"/>
      <c r="C765" s="79"/>
      <c r="D765" s="79"/>
      <c r="E765" s="79"/>
      <c r="F765" s="79"/>
      <c r="G765" s="79"/>
      <c r="H765" s="79"/>
      <c r="I765" s="79"/>
      <c r="J765" s="79"/>
      <c r="K765" s="79"/>
      <c r="L765" s="79"/>
      <c r="M765" s="79"/>
      <c r="N765" s="79"/>
      <c r="O765" s="79"/>
      <c r="P765" s="79"/>
      <c r="Q765" s="79"/>
      <c r="R765" s="79"/>
      <c r="S765" s="79"/>
      <c r="T765" s="79"/>
      <c r="U765" s="79"/>
      <c r="V765" s="79"/>
      <c r="W765" s="79"/>
      <c r="X765" s="79"/>
      <c r="Y765" s="79"/>
      <c r="Z765" s="79"/>
    </row>
    <row r="766">
      <c r="A766" s="79"/>
      <c r="B766" s="79"/>
      <c r="C766" s="79"/>
      <c r="D766" s="79"/>
      <c r="E766" s="79"/>
      <c r="F766" s="79"/>
      <c r="G766" s="79"/>
      <c r="H766" s="79"/>
      <c r="I766" s="79"/>
      <c r="J766" s="79"/>
      <c r="K766" s="79"/>
      <c r="L766" s="79"/>
      <c r="M766" s="79"/>
      <c r="N766" s="79"/>
      <c r="O766" s="79"/>
      <c r="P766" s="79"/>
      <c r="Q766" s="79"/>
      <c r="R766" s="79"/>
      <c r="S766" s="79"/>
      <c r="T766" s="79"/>
      <c r="U766" s="79"/>
      <c r="V766" s="79"/>
      <c r="W766" s="79"/>
      <c r="X766" s="79"/>
      <c r="Y766" s="79"/>
      <c r="Z766" s="79"/>
    </row>
    <row r="767">
      <c r="A767" s="79"/>
      <c r="B767" s="79"/>
      <c r="C767" s="79"/>
      <c r="D767" s="79"/>
      <c r="E767" s="79"/>
      <c r="F767" s="79"/>
      <c r="G767" s="79"/>
      <c r="H767" s="79"/>
      <c r="I767" s="79"/>
      <c r="J767" s="79"/>
      <c r="K767" s="79"/>
      <c r="L767" s="79"/>
      <c r="M767" s="79"/>
      <c r="N767" s="79"/>
      <c r="O767" s="79"/>
      <c r="P767" s="79"/>
      <c r="Q767" s="79"/>
      <c r="R767" s="79"/>
      <c r="S767" s="79"/>
      <c r="T767" s="79"/>
      <c r="U767" s="79"/>
      <c r="V767" s="79"/>
      <c r="W767" s="79"/>
      <c r="X767" s="79"/>
      <c r="Y767" s="79"/>
      <c r="Z767" s="79"/>
    </row>
    <row r="768">
      <c r="A768" s="79"/>
      <c r="B768" s="79"/>
      <c r="C768" s="79"/>
      <c r="D768" s="79"/>
      <c r="E768" s="79"/>
      <c r="F768" s="79"/>
      <c r="G768" s="79"/>
      <c r="H768" s="79"/>
      <c r="I768" s="79"/>
      <c r="J768" s="79"/>
      <c r="K768" s="79"/>
      <c r="L768" s="79"/>
      <c r="M768" s="79"/>
      <c r="N768" s="79"/>
      <c r="O768" s="79"/>
      <c r="P768" s="79"/>
      <c r="Q768" s="79"/>
      <c r="R768" s="79"/>
      <c r="S768" s="79"/>
      <c r="T768" s="79"/>
      <c r="U768" s="79"/>
      <c r="V768" s="79"/>
      <c r="W768" s="79"/>
      <c r="X768" s="79"/>
      <c r="Y768" s="79"/>
      <c r="Z768" s="79"/>
    </row>
    <row r="769">
      <c r="A769" s="79"/>
      <c r="B769" s="79"/>
      <c r="C769" s="79"/>
      <c r="D769" s="79"/>
      <c r="E769" s="79"/>
      <c r="F769" s="79"/>
      <c r="G769" s="79"/>
      <c r="H769" s="79"/>
      <c r="I769" s="79"/>
      <c r="J769" s="79"/>
      <c r="K769" s="79"/>
      <c r="L769" s="79"/>
      <c r="M769" s="79"/>
      <c r="N769" s="79"/>
      <c r="O769" s="79"/>
      <c r="P769" s="79"/>
      <c r="Q769" s="79"/>
      <c r="R769" s="79"/>
      <c r="S769" s="79"/>
      <c r="T769" s="79"/>
      <c r="U769" s="79"/>
      <c r="V769" s="79"/>
      <c r="W769" s="79"/>
      <c r="X769" s="79"/>
      <c r="Y769" s="79"/>
      <c r="Z769" s="79"/>
    </row>
    <row r="770">
      <c r="A770" s="79"/>
      <c r="B770" s="79"/>
      <c r="C770" s="79"/>
      <c r="D770" s="79"/>
      <c r="E770" s="79"/>
      <c r="F770" s="79"/>
      <c r="G770" s="79"/>
      <c r="H770" s="79"/>
      <c r="I770" s="79"/>
      <c r="J770" s="79"/>
      <c r="K770" s="79"/>
      <c r="L770" s="79"/>
      <c r="M770" s="79"/>
      <c r="N770" s="79"/>
      <c r="O770" s="79"/>
      <c r="P770" s="79"/>
      <c r="Q770" s="79"/>
      <c r="R770" s="79"/>
      <c r="S770" s="79"/>
      <c r="T770" s="79"/>
      <c r="U770" s="79"/>
      <c r="V770" s="79"/>
      <c r="W770" s="79"/>
      <c r="X770" s="79"/>
      <c r="Y770" s="79"/>
      <c r="Z770" s="79"/>
    </row>
    <row r="771">
      <c r="A771" s="79"/>
      <c r="B771" s="79"/>
      <c r="C771" s="79"/>
      <c r="D771" s="79"/>
      <c r="E771" s="79"/>
      <c r="F771" s="79"/>
      <c r="G771" s="79"/>
      <c r="H771" s="79"/>
      <c r="I771" s="79"/>
      <c r="J771" s="79"/>
      <c r="K771" s="79"/>
      <c r="L771" s="79"/>
      <c r="M771" s="79"/>
      <c r="N771" s="79"/>
      <c r="O771" s="79"/>
      <c r="P771" s="79"/>
      <c r="Q771" s="79"/>
      <c r="R771" s="79"/>
      <c r="S771" s="79"/>
      <c r="T771" s="79"/>
      <c r="U771" s="79"/>
      <c r="V771" s="79"/>
      <c r="W771" s="79"/>
      <c r="X771" s="79"/>
      <c r="Y771" s="79"/>
      <c r="Z771" s="79"/>
    </row>
    <row r="772">
      <c r="A772" s="79"/>
      <c r="B772" s="79"/>
      <c r="C772" s="79"/>
      <c r="D772" s="79"/>
      <c r="E772" s="79"/>
      <c r="F772" s="79"/>
      <c r="G772" s="79"/>
      <c r="H772" s="79"/>
      <c r="I772" s="79"/>
      <c r="J772" s="79"/>
      <c r="K772" s="79"/>
      <c r="L772" s="79"/>
      <c r="M772" s="79"/>
      <c r="N772" s="79"/>
      <c r="O772" s="79"/>
      <c r="P772" s="79"/>
      <c r="Q772" s="79"/>
      <c r="R772" s="79"/>
      <c r="S772" s="79"/>
      <c r="T772" s="79"/>
      <c r="U772" s="79"/>
      <c r="V772" s="79"/>
      <c r="W772" s="79"/>
      <c r="X772" s="79"/>
      <c r="Y772" s="79"/>
      <c r="Z772" s="79"/>
    </row>
    <row r="773">
      <c r="A773" s="79"/>
      <c r="B773" s="79"/>
      <c r="C773" s="79"/>
      <c r="D773" s="79"/>
      <c r="E773" s="79"/>
      <c r="F773" s="79"/>
      <c r="G773" s="79"/>
      <c r="H773" s="79"/>
      <c r="I773" s="79"/>
      <c r="J773" s="79"/>
      <c r="K773" s="79"/>
      <c r="L773" s="79"/>
      <c r="M773" s="79"/>
      <c r="N773" s="79"/>
      <c r="O773" s="79"/>
      <c r="P773" s="79"/>
      <c r="Q773" s="79"/>
      <c r="R773" s="79"/>
      <c r="S773" s="79"/>
      <c r="T773" s="79"/>
      <c r="U773" s="79"/>
      <c r="V773" s="79"/>
      <c r="W773" s="79"/>
      <c r="X773" s="79"/>
      <c r="Y773" s="79"/>
      <c r="Z773" s="79"/>
    </row>
    <row r="774">
      <c r="A774" s="79"/>
      <c r="B774" s="79"/>
      <c r="C774" s="79"/>
      <c r="D774" s="79"/>
      <c r="E774" s="79"/>
      <c r="F774" s="79"/>
      <c r="G774" s="79"/>
      <c r="H774" s="79"/>
      <c r="I774" s="79"/>
      <c r="J774" s="79"/>
      <c r="K774" s="79"/>
      <c r="L774" s="79"/>
      <c r="M774" s="79"/>
      <c r="N774" s="79"/>
      <c r="O774" s="79"/>
      <c r="P774" s="79"/>
      <c r="Q774" s="79"/>
      <c r="R774" s="79"/>
      <c r="S774" s="79"/>
      <c r="T774" s="79"/>
      <c r="U774" s="79"/>
      <c r="V774" s="79"/>
      <c r="W774" s="79"/>
      <c r="X774" s="79"/>
      <c r="Y774" s="79"/>
      <c r="Z774" s="79"/>
    </row>
    <row r="775">
      <c r="A775" s="79"/>
      <c r="B775" s="79"/>
      <c r="C775" s="79"/>
      <c r="D775" s="79"/>
      <c r="E775" s="79"/>
      <c r="F775" s="79"/>
      <c r="G775" s="79"/>
      <c r="H775" s="79"/>
      <c r="I775" s="79"/>
      <c r="J775" s="79"/>
      <c r="K775" s="79"/>
      <c r="L775" s="79"/>
      <c r="M775" s="79"/>
      <c r="N775" s="79"/>
      <c r="O775" s="79"/>
      <c r="P775" s="79"/>
      <c r="Q775" s="79"/>
      <c r="R775" s="79"/>
      <c r="S775" s="79"/>
      <c r="T775" s="79"/>
      <c r="U775" s="79"/>
      <c r="V775" s="79"/>
      <c r="W775" s="79"/>
      <c r="X775" s="79"/>
      <c r="Y775" s="79"/>
      <c r="Z775" s="79"/>
    </row>
    <row r="776">
      <c r="A776" s="79"/>
      <c r="B776" s="79"/>
      <c r="C776" s="79"/>
      <c r="D776" s="79"/>
      <c r="E776" s="79"/>
      <c r="F776" s="79"/>
      <c r="G776" s="79"/>
      <c r="H776" s="79"/>
      <c r="I776" s="79"/>
      <c r="J776" s="79"/>
      <c r="K776" s="79"/>
      <c r="L776" s="79"/>
      <c r="M776" s="79"/>
      <c r="N776" s="79"/>
      <c r="O776" s="79"/>
      <c r="P776" s="79"/>
      <c r="Q776" s="79"/>
      <c r="R776" s="79"/>
      <c r="S776" s="79"/>
      <c r="T776" s="79"/>
      <c r="U776" s="79"/>
      <c r="V776" s="79"/>
      <c r="W776" s="79"/>
      <c r="X776" s="79"/>
      <c r="Y776" s="79"/>
      <c r="Z776" s="79"/>
    </row>
    <row r="777">
      <c r="A777" s="79"/>
      <c r="B777" s="79"/>
      <c r="C777" s="79"/>
      <c r="D777" s="79"/>
      <c r="E777" s="79"/>
      <c r="F777" s="79"/>
      <c r="G777" s="79"/>
      <c r="H777" s="79"/>
      <c r="I777" s="79"/>
      <c r="J777" s="79"/>
      <c r="K777" s="79"/>
      <c r="L777" s="79"/>
      <c r="M777" s="79"/>
      <c r="N777" s="79"/>
      <c r="O777" s="79"/>
      <c r="P777" s="79"/>
      <c r="Q777" s="79"/>
      <c r="R777" s="79"/>
      <c r="S777" s="79"/>
      <c r="T777" s="79"/>
      <c r="U777" s="79"/>
      <c r="V777" s="79"/>
      <c r="W777" s="79"/>
      <c r="X777" s="79"/>
      <c r="Y777" s="79"/>
      <c r="Z777" s="79"/>
    </row>
    <row r="778">
      <c r="A778" s="79"/>
      <c r="B778" s="79"/>
      <c r="C778" s="79"/>
      <c r="D778" s="79"/>
      <c r="E778" s="79"/>
      <c r="F778" s="79"/>
      <c r="G778" s="79"/>
      <c r="H778" s="79"/>
      <c r="I778" s="79"/>
      <c r="J778" s="79"/>
      <c r="K778" s="79"/>
      <c r="L778" s="79"/>
      <c r="M778" s="79"/>
      <c r="N778" s="79"/>
      <c r="O778" s="79"/>
      <c r="P778" s="79"/>
      <c r="Q778" s="79"/>
      <c r="R778" s="79"/>
      <c r="S778" s="79"/>
      <c r="T778" s="79"/>
      <c r="U778" s="79"/>
      <c r="V778" s="79"/>
      <c r="W778" s="79"/>
      <c r="X778" s="79"/>
      <c r="Y778" s="79"/>
      <c r="Z778" s="79"/>
    </row>
    <row r="779">
      <c r="A779" s="79"/>
      <c r="B779" s="79"/>
      <c r="C779" s="79"/>
      <c r="D779" s="79"/>
      <c r="E779" s="79"/>
      <c r="F779" s="79"/>
      <c r="G779" s="79"/>
      <c r="H779" s="79"/>
      <c r="I779" s="79"/>
      <c r="J779" s="79"/>
      <c r="K779" s="79"/>
      <c r="L779" s="79"/>
      <c r="M779" s="79"/>
      <c r="N779" s="79"/>
      <c r="O779" s="79"/>
      <c r="P779" s="79"/>
      <c r="Q779" s="79"/>
      <c r="R779" s="79"/>
      <c r="S779" s="79"/>
      <c r="T779" s="79"/>
      <c r="U779" s="79"/>
      <c r="V779" s="79"/>
      <c r="W779" s="79"/>
      <c r="X779" s="79"/>
      <c r="Y779" s="79"/>
      <c r="Z779" s="79"/>
    </row>
    <row r="780">
      <c r="A780" s="79"/>
      <c r="B780" s="79"/>
      <c r="C780" s="79"/>
      <c r="D780" s="79"/>
      <c r="E780" s="79"/>
      <c r="F780" s="79"/>
      <c r="G780" s="79"/>
      <c r="H780" s="79"/>
      <c r="I780" s="79"/>
      <c r="J780" s="79"/>
      <c r="K780" s="79"/>
      <c r="L780" s="79"/>
      <c r="M780" s="79"/>
      <c r="N780" s="79"/>
      <c r="O780" s="79"/>
      <c r="P780" s="79"/>
      <c r="Q780" s="79"/>
      <c r="R780" s="79"/>
      <c r="S780" s="79"/>
      <c r="T780" s="79"/>
      <c r="U780" s="79"/>
      <c r="V780" s="79"/>
      <c r="W780" s="79"/>
      <c r="X780" s="79"/>
      <c r="Y780" s="79"/>
      <c r="Z780" s="79"/>
    </row>
    <row r="781">
      <c r="A781" s="79"/>
      <c r="B781" s="79"/>
      <c r="C781" s="79"/>
      <c r="D781" s="79"/>
      <c r="E781" s="79"/>
      <c r="F781" s="79"/>
      <c r="G781" s="79"/>
      <c r="H781" s="79"/>
      <c r="I781" s="79"/>
      <c r="J781" s="79"/>
      <c r="K781" s="79"/>
      <c r="L781" s="79"/>
      <c r="M781" s="79"/>
      <c r="N781" s="79"/>
      <c r="O781" s="79"/>
      <c r="P781" s="79"/>
      <c r="Q781" s="79"/>
      <c r="R781" s="79"/>
      <c r="S781" s="79"/>
      <c r="T781" s="79"/>
      <c r="U781" s="79"/>
      <c r="V781" s="79"/>
      <c r="W781" s="79"/>
      <c r="X781" s="79"/>
      <c r="Y781" s="79"/>
      <c r="Z781" s="79"/>
    </row>
    <row r="782">
      <c r="A782" s="79"/>
      <c r="B782" s="79"/>
      <c r="C782" s="79"/>
      <c r="D782" s="79"/>
      <c r="E782" s="79"/>
      <c r="F782" s="79"/>
      <c r="G782" s="79"/>
      <c r="H782" s="79"/>
      <c r="I782" s="79"/>
      <c r="J782" s="79"/>
      <c r="K782" s="79"/>
      <c r="L782" s="79"/>
      <c r="M782" s="79"/>
      <c r="N782" s="79"/>
      <c r="O782" s="79"/>
      <c r="P782" s="79"/>
      <c r="Q782" s="79"/>
      <c r="R782" s="79"/>
      <c r="S782" s="79"/>
      <c r="T782" s="79"/>
      <c r="U782" s="79"/>
      <c r="V782" s="79"/>
      <c r="W782" s="79"/>
      <c r="X782" s="79"/>
      <c r="Y782" s="79"/>
      <c r="Z782" s="79"/>
    </row>
    <row r="783">
      <c r="A783" s="79"/>
      <c r="B783" s="79"/>
      <c r="C783" s="79"/>
      <c r="D783" s="79"/>
      <c r="E783" s="79"/>
      <c r="F783" s="79"/>
      <c r="G783" s="79"/>
      <c r="H783" s="79"/>
      <c r="I783" s="79"/>
      <c r="J783" s="79"/>
      <c r="K783" s="79"/>
      <c r="L783" s="79"/>
      <c r="M783" s="79"/>
      <c r="N783" s="79"/>
      <c r="O783" s="79"/>
      <c r="P783" s="79"/>
      <c r="Q783" s="79"/>
      <c r="R783" s="79"/>
      <c r="S783" s="79"/>
      <c r="T783" s="79"/>
      <c r="U783" s="79"/>
      <c r="V783" s="79"/>
      <c r="W783" s="79"/>
      <c r="X783" s="79"/>
      <c r="Y783" s="79"/>
      <c r="Z783" s="79"/>
    </row>
    <row r="784">
      <c r="A784" s="79"/>
      <c r="B784" s="79"/>
      <c r="C784" s="79"/>
      <c r="D784" s="79"/>
      <c r="E784" s="79"/>
      <c r="F784" s="79"/>
      <c r="G784" s="79"/>
      <c r="H784" s="79"/>
      <c r="I784" s="79"/>
      <c r="J784" s="79"/>
      <c r="K784" s="79"/>
      <c r="L784" s="79"/>
      <c r="M784" s="79"/>
      <c r="N784" s="79"/>
      <c r="O784" s="79"/>
      <c r="P784" s="79"/>
      <c r="Q784" s="79"/>
      <c r="R784" s="79"/>
      <c r="S784" s="79"/>
      <c r="T784" s="79"/>
      <c r="U784" s="79"/>
      <c r="V784" s="79"/>
      <c r="W784" s="79"/>
      <c r="X784" s="79"/>
      <c r="Y784" s="79"/>
      <c r="Z784" s="79"/>
    </row>
    <row r="785">
      <c r="A785" s="79"/>
      <c r="B785" s="79"/>
      <c r="C785" s="79"/>
      <c r="D785" s="79"/>
      <c r="E785" s="79"/>
      <c r="F785" s="79"/>
      <c r="G785" s="79"/>
      <c r="H785" s="79"/>
      <c r="I785" s="79"/>
      <c r="J785" s="79"/>
      <c r="K785" s="79"/>
      <c r="L785" s="79"/>
      <c r="M785" s="79"/>
      <c r="N785" s="79"/>
      <c r="O785" s="79"/>
      <c r="P785" s="79"/>
      <c r="Q785" s="79"/>
      <c r="R785" s="79"/>
      <c r="S785" s="79"/>
      <c r="T785" s="79"/>
      <c r="U785" s="79"/>
      <c r="V785" s="79"/>
      <c r="W785" s="79"/>
      <c r="X785" s="79"/>
      <c r="Y785" s="79"/>
      <c r="Z785" s="79"/>
    </row>
    <row r="786">
      <c r="A786" s="79"/>
      <c r="B786" s="79"/>
      <c r="C786" s="79"/>
      <c r="D786" s="79"/>
      <c r="E786" s="79"/>
      <c r="F786" s="79"/>
      <c r="G786" s="79"/>
      <c r="H786" s="79"/>
      <c r="I786" s="79"/>
      <c r="J786" s="79"/>
      <c r="K786" s="79"/>
      <c r="L786" s="79"/>
      <c r="M786" s="79"/>
      <c r="N786" s="79"/>
      <c r="O786" s="79"/>
      <c r="P786" s="79"/>
      <c r="Q786" s="79"/>
      <c r="R786" s="79"/>
      <c r="S786" s="79"/>
      <c r="T786" s="79"/>
      <c r="U786" s="79"/>
      <c r="V786" s="79"/>
      <c r="W786" s="79"/>
      <c r="X786" s="79"/>
      <c r="Y786" s="79"/>
      <c r="Z786" s="79"/>
    </row>
    <row r="787">
      <c r="A787" s="79"/>
      <c r="B787" s="79"/>
      <c r="C787" s="79"/>
      <c r="D787" s="79"/>
      <c r="E787" s="79"/>
      <c r="F787" s="79"/>
      <c r="G787" s="79"/>
      <c r="H787" s="79"/>
      <c r="I787" s="79"/>
      <c r="J787" s="79"/>
      <c r="K787" s="79"/>
      <c r="L787" s="79"/>
      <c r="M787" s="79"/>
      <c r="N787" s="79"/>
      <c r="O787" s="79"/>
      <c r="P787" s="79"/>
      <c r="Q787" s="79"/>
      <c r="R787" s="79"/>
      <c r="S787" s="79"/>
      <c r="T787" s="79"/>
      <c r="U787" s="79"/>
      <c r="V787" s="79"/>
      <c r="W787" s="79"/>
      <c r="X787" s="79"/>
      <c r="Y787" s="79"/>
      <c r="Z787" s="79"/>
    </row>
    <row r="788">
      <c r="A788" s="79"/>
      <c r="B788" s="79"/>
      <c r="C788" s="79"/>
      <c r="D788" s="79"/>
      <c r="E788" s="79"/>
      <c r="F788" s="79"/>
      <c r="G788" s="79"/>
      <c r="H788" s="79"/>
      <c r="I788" s="79"/>
      <c r="J788" s="79"/>
      <c r="K788" s="79"/>
      <c r="L788" s="79"/>
      <c r="M788" s="79"/>
      <c r="N788" s="79"/>
      <c r="O788" s="79"/>
      <c r="P788" s="79"/>
      <c r="Q788" s="79"/>
      <c r="R788" s="79"/>
      <c r="S788" s="79"/>
      <c r="T788" s="79"/>
      <c r="U788" s="79"/>
      <c r="V788" s="79"/>
      <c r="W788" s="79"/>
      <c r="X788" s="79"/>
      <c r="Y788" s="79"/>
      <c r="Z788" s="79"/>
    </row>
    <row r="789">
      <c r="A789" s="79"/>
      <c r="B789" s="79"/>
      <c r="C789" s="79"/>
      <c r="D789" s="79"/>
      <c r="E789" s="79"/>
      <c r="F789" s="79"/>
      <c r="G789" s="79"/>
      <c r="H789" s="79"/>
      <c r="I789" s="79"/>
      <c r="J789" s="79"/>
      <c r="K789" s="79"/>
      <c r="L789" s="79"/>
      <c r="M789" s="79"/>
      <c r="N789" s="79"/>
      <c r="O789" s="79"/>
      <c r="P789" s="79"/>
      <c r="Q789" s="79"/>
      <c r="R789" s="79"/>
      <c r="S789" s="79"/>
      <c r="T789" s="79"/>
      <c r="U789" s="79"/>
      <c r="V789" s="79"/>
      <c r="W789" s="79"/>
      <c r="X789" s="79"/>
      <c r="Y789" s="79"/>
      <c r="Z789" s="79"/>
    </row>
    <row r="790">
      <c r="A790" s="79"/>
      <c r="B790" s="79"/>
      <c r="C790" s="79"/>
      <c r="D790" s="79"/>
      <c r="E790" s="79"/>
      <c r="F790" s="79"/>
      <c r="G790" s="79"/>
      <c r="H790" s="79"/>
      <c r="I790" s="79"/>
      <c r="J790" s="79"/>
      <c r="K790" s="79"/>
      <c r="L790" s="79"/>
      <c r="M790" s="79"/>
      <c r="N790" s="79"/>
      <c r="O790" s="79"/>
      <c r="P790" s="79"/>
      <c r="Q790" s="79"/>
      <c r="R790" s="79"/>
      <c r="S790" s="79"/>
      <c r="T790" s="79"/>
      <c r="U790" s="79"/>
      <c r="V790" s="79"/>
      <c r="W790" s="79"/>
      <c r="X790" s="79"/>
      <c r="Y790" s="79"/>
      <c r="Z790" s="79"/>
    </row>
    <row r="791">
      <c r="A791" s="79"/>
      <c r="B791" s="79"/>
      <c r="C791" s="79"/>
      <c r="D791" s="79"/>
      <c r="E791" s="79"/>
      <c r="F791" s="79"/>
      <c r="G791" s="79"/>
      <c r="H791" s="79"/>
      <c r="I791" s="79"/>
      <c r="J791" s="79"/>
      <c r="K791" s="79"/>
      <c r="L791" s="79"/>
      <c r="M791" s="79"/>
      <c r="N791" s="79"/>
      <c r="O791" s="79"/>
      <c r="P791" s="79"/>
      <c r="Q791" s="79"/>
      <c r="R791" s="79"/>
      <c r="S791" s="79"/>
      <c r="T791" s="79"/>
      <c r="U791" s="79"/>
      <c r="V791" s="79"/>
      <c r="W791" s="79"/>
      <c r="X791" s="79"/>
      <c r="Y791" s="79"/>
      <c r="Z791" s="79"/>
    </row>
    <row r="792">
      <c r="A792" s="79"/>
      <c r="B792" s="79"/>
      <c r="C792" s="79"/>
      <c r="D792" s="79"/>
      <c r="E792" s="79"/>
      <c r="F792" s="79"/>
      <c r="G792" s="79"/>
      <c r="H792" s="79"/>
      <c r="I792" s="79"/>
      <c r="J792" s="79"/>
      <c r="K792" s="79"/>
      <c r="L792" s="79"/>
      <c r="M792" s="79"/>
      <c r="N792" s="79"/>
      <c r="O792" s="79"/>
      <c r="P792" s="79"/>
      <c r="Q792" s="79"/>
      <c r="R792" s="79"/>
      <c r="S792" s="79"/>
      <c r="T792" s="79"/>
      <c r="U792" s="79"/>
      <c r="V792" s="79"/>
      <c r="W792" s="79"/>
      <c r="X792" s="79"/>
      <c r="Y792" s="79"/>
      <c r="Z792" s="79"/>
    </row>
    <row r="793">
      <c r="A793" s="79"/>
      <c r="B793" s="79"/>
      <c r="C793" s="79"/>
      <c r="D793" s="79"/>
      <c r="E793" s="79"/>
      <c r="F793" s="79"/>
      <c r="G793" s="79"/>
      <c r="H793" s="79"/>
      <c r="I793" s="79"/>
      <c r="J793" s="79"/>
      <c r="K793" s="79"/>
      <c r="L793" s="79"/>
      <c r="M793" s="79"/>
      <c r="N793" s="79"/>
      <c r="O793" s="79"/>
      <c r="P793" s="79"/>
      <c r="Q793" s="79"/>
      <c r="R793" s="79"/>
      <c r="S793" s="79"/>
      <c r="T793" s="79"/>
      <c r="U793" s="79"/>
      <c r="V793" s="79"/>
      <c r="W793" s="79"/>
      <c r="X793" s="79"/>
      <c r="Y793" s="79"/>
      <c r="Z793" s="79"/>
    </row>
    <row r="794">
      <c r="A794" s="79"/>
      <c r="B794" s="79"/>
      <c r="C794" s="79"/>
      <c r="D794" s="79"/>
      <c r="E794" s="79"/>
      <c r="F794" s="79"/>
      <c r="G794" s="79"/>
      <c r="H794" s="79"/>
      <c r="I794" s="79"/>
      <c r="J794" s="79"/>
      <c r="K794" s="79"/>
      <c r="L794" s="79"/>
      <c r="M794" s="79"/>
      <c r="N794" s="79"/>
      <c r="O794" s="79"/>
      <c r="P794" s="79"/>
      <c r="Q794" s="79"/>
      <c r="R794" s="79"/>
      <c r="S794" s="79"/>
      <c r="T794" s="79"/>
      <c r="U794" s="79"/>
      <c r="V794" s="79"/>
      <c r="W794" s="79"/>
      <c r="X794" s="79"/>
      <c r="Y794" s="79"/>
      <c r="Z794" s="79"/>
    </row>
    <row r="795">
      <c r="A795" s="79"/>
      <c r="B795" s="79"/>
      <c r="C795" s="79"/>
      <c r="D795" s="79"/>
      <c r="E795" s="79"/>
      <c r="F795" s="79"/>
      <c r="G795" s="79"/>
      <c r="H795" s="79"/>
      <c r="I795" s="79"/>
      <c r="J795" s="79"/>
      <c r="K795" s="79"/>
      <c r="L795" s="79"/>
      <c r="M795" s="79"/>
      <c r="N795" s="79"/>
      <c r="O795" s="79"/>
      <c r="P795" s="79"/>
      <c r="Q795" s="79"/>
      <c r="R795" s="79"/>
      <c r="S795" s="79"/>
      <c r="T795" s="79"/>
      <c r="U795" s="79"/>
      <c r="V795" s="79"/>
      <c r="W795" s="79"/>
      <c r="X795" s="79"/>
      <c r="Y795" s="79"/>
      <c r="Z795" s="79"/>
    </row>
    <row r="796">
      <c r="A796" s="79"/>
      <c r="B796" s="79"/>
      <c r="C796" s="79"/>
      <c r="D796" s="79"/>
      <c r="E796" s="79"/>
      <c r="F796" s="79"/>
      <c r="G796" s="79"/>
      <c r="H796" s="79"/>
      <c r="I796" s="79"/>
      <c r="J796" s="79"/>
      <c r="K796" s="79"/>
      <c r="L796" s="79"/>
      <c r="M796" s="79"/>
      <c r="N796" s="79"/>
      <c r="O796" s="79"/>
      <c r="P796" s="79"/>
      <c r="Q796" s="79"/>
      <c r="R796" s="79"/>
      <c r="S796" s="79"/>
      <c r="T796" s="79"/>
      <c r="U796" s="79"/>
      <c r="V796" s="79"/>
      <c r="W796" s="79"/>
      <c r="X796" s="79"/>
      <c r="Y796" s="79"/>
      <c r="Z796" s="79"/>
    </row>
    <row r="797">
      <c r="A797" s="79"/>
      <c r="B797" s="79"/>
      <c r="C797" s="79"/>
      <c r="D797" s="79"/>
      <c r="E797" s="79"/>
      <c r="F797" s="79"/>
      <c r="G797" s="79"/>
      <c r="H797" s="79"/>
      <c r="I797" s="79"/>
      <c r="J797" s="79"/>
      <c r="K797" s="79"/>
      <c r="L797" s="79"/>
      <c r="M797" s="79"/>
      <c r="N797" s="79"/>
      <c r="O797" s="79"/>
      <c r="P797" s="79"/>
      <c r="Q797" s="79"/>
      <c r="R797" s="79"/>
      <c r="S797" s="79"/>
      <c r="T797" s="79"/>
      <c r="U797" s="79"/>
      <c r="V797" s="79"/>
      <c r="W797" s="79"/>
      <c r="X797" s="79"/>
      <c r="Y797" s="79"/>
      <c r="Z797" s="79"/>
    </row>
    <row r="798">
      <c r="A798" s="79"/>
      <c r="B798" s="79"/>
      <c r="C798" s="79"/>
      <c r="D798" s="79"/>
      <c r="E798" s="79"/>
      <c r="F798" s="79"/>
      <c r="G798" s="79"/>
      <c r="H798" s="79"/>
      <c r="I798" s="79"/>
      <c r="J798" s="79"/>
      <c r="K798" s="79"/>
      <c r="L798" s="79"/>
      <c r="M798" s="79"/>
      <c r="N798" s="79"/>
      <c r="O798" s="79"/>
      <c r="P798" s="79"/>
      <c r="Q798" s="79"/>
      <c r="R798" s="79"/>
      <c r="S798" s="79"/>
      <c r="T798" s="79"/>
      <c r="U798" s="79"/>
      <c r="V798" s="79"/>
      <c r="W798" s="79"/>
      <c r="X798" s="79"/>
      <c r="Y798" s="79"/>
      <c r="Z798" s="79"/>
    </row>
    <row r="799">
      <c r="A799" s="79"/>
      <c r="B799" s="79"/>
      <c r="C799" s="79"/>
      <c r="D799" s="79"/>
      <c r="E799" s="79"/>
      <c r="F799" s="79"/>
      <c r="G799" s="79"/>
      <c r="H799" s="79"/>
      <c r="I799" s="79"/>
      <c r="J799" s="79"/>
      <c r="K799" s="79"/>
      <c r="L799" s="79"/>
      <c r="M799" s="79"/>
      <c r="N799" s="79"/>
      <c r="O799" s="79"/>
      <c r="P799" s="79"/>
      <c r="Q799" s="79"/>
      <c r="R799" s="79"/>
      <c r="S799" s="79"/>
      <c r="T799" s="79"/>
      <c r="U799" s="79"/>
      <c r="V799" s="79"/>
      <c r="W799" s="79"/>
      <c r="X799" s="79"/>
      <c r="Y799" s="79"/>
      <c r="Z799" s="79"/>
    </row>
    <row r="800">
      <c r="A800" s="79"/>
      <c r="B800" s="79"/>
      <c r="C800" s="79"/>
      <c r="D800" s="79"/>
      <c r="E800" s="79"/>
      <c r="F800" s="79"/>
      <c r="G800" s="79"/>
      <c r="H800" s="79"/>
      <c r="I800" s="79"/>
      <c r="J800" s="79"/>
      <c r="K800" s="79"/>
      <c r="L800" s="79"/>
      <c r="M800" s="79"/>
      <c r="N800" s="79"/>
      <c r="O800" s="79"/>
      <c r="P800" s="79"/>
      <c r="Q800" s="79"/>
      <c r="R800" s="79"/>
      <c r="S800" s="79"/>
      <c r="T800" s="79"/>
      <c r="U800" s="79"/>
      <c r="V800" s="79"/>
      <c r="W800" s="79"/>
      <c r="X800" s="79"/>
      <c r="Y800" s="79"/>
      <c r="Z800" s="79"/>
    </row>
    <row r="801">
      <c r="A801" s="79"/>
      <c r="B801" s="79"/>
      <c r="C801" s="79"/>
      <c r="D801" s="79"/>
      <c r="E801" s="79"/>
      <c r="F801" s="79"/>
      <c r="G801" s="79"/>
      <c r="H801" s="79"/>
      <c r="I801" s="79"/>
      <c r="J801" s="79"/>
      <c r="K801" s="79"/>
      <c r="L801" s="79"/>
      <c r="M801" s="79"/>
      <c r="N801" s="79"/>
      <c r="O801" s="79"/>
      <c r="P801" s="79"/>
      <c r="Q801" s="79"/>
      <c r="R801" s="79"/>
      <c r="S801" s="79"/>
      <c r="T801" s="79"/>
      <c r="U801" s="79"/>
      <c r="V801" s="79"/>
      <c r="W801" s="79"/>
      <c r="X801" s="79"/>
      <c r="Y801" s="79"/>
      <c r="Z801" s="79"/>
    </row>
    <row r="802">
      <c r="A802" s="79"/>
      <c r="B802" s="79"/>
      <c r="C802" s="79"/>
      <c r="D802" s="79"/>
      <c r="E802" s="79"/>
      <c r="F802" s="79"/>
      <c r="G802" s="79"/>
      <c r="H802" s="79"/>
      <c r="I802" s="79"/>
      <c r="J802" s="79"/>
      <c r="K802" s="79"/>
      <c r="L802" s="79"/>
      <c r="M802" s="79"/>
      <c r="N802" s="79"/>
      <c r="O802" s="79"/>
      <c r="P802" s="79"/>
      <c r="Q802" s="79"/>
      <c r="R802" s="79"/>
      <c r="S802" s="79"/>
      <c r="T802" s="79"/>
      <c r="U802" s="79"/>
      <c r="V802" s="79"/>
      <c r="W802" s="79"/>
      <c r="X802" s="79"/>
      <c r="Y802" s="79"/>
      <c r="Z802" s="79"/>
    </row>
    <row r="803">
      <c r="A803" s="79"/>
      <c r="B803" s="79"/>
      <c r="C803" s="79"/>
      <c r="D803" s="79"/>
      <c r="E803" s="79"/>
      <c r="F803" s="79"/>
      <c r="G803" s="79"/>
      <c r="H803" s="79"/>
      <c r="I803" s="79"/>
      <c r="J803" s="79"/>
      <c r="K803" s="79"/>
      <c r="L803" s="79"/>
      <c r="M803" s="79"/>
      <c r="N803" s="79"/>
      <c r="O803" s="79"/>
      <c r="P803" s="79"/>
      <c r="Q803" s="79"/>
      <c r="R803" s="79"/>
      <c r="S803" s="79"/>
      <c r="T803" s="79"/>
      <c r="U803" s="79"/>
      <c r="V803" s="79"/>
      <c r="W803" s="79"/>
      <c r="X803" s="79"/>
      <c r="Y803" s="79"/>
      <c r="Z803" s="79"/>
    </row>
    <row r="804">
      <c r="A804" s="79"/>
      <c r="B804" s="79"/>
      <c r="C804" s="79"/>
      <c r="D804" s="79"/>
      <c r="E804" s="79"/>
      <c r="F804" s="79"/>
      <c r="G804" s="79"/>
      <c r="H804" s="79"/>
      <c r="I804" s="79"/>
      <c r="J804" s="79"/>
      <c r="K804" s="79"/>
      <c r="L804" s="79"/>
      <c r="M804" s="79"/>
      <c r="N804" s="79"/>
      <c r="O804" s="79"/>
      <c r="P804" s="79"/>
      <c r="Q804" s="79"/>
      <c r="R804" s="79"/>
      <c r="S804" s="79"/>
      <c r="T804" s="79"/>
      <c r="U804" s="79"/>
      <c r="V804" s="79"/>
      <c r="W804" s="79"/>
      <c r="X804" s="79"/>
      <c r="Y804" s="79"/>
      <c r="Z804" s="79"/>
    </row>
    <row r="805">
      <c r="A805" s="79"/>
      <c r="B805" s="79"/>
      <c r="C805" s="79"/>
      <c r="D805" s="79"/>
      <c r="E805" s="79"/>
      <c r="F805" s="79"/>
      <c r="G805" s="79"/>
      <c r="H805" s="79"/>
      <c r="I805" s="79"/>
      <c r="J805" s="79"/>
      <c r="K805" s="79"/>
      <c r="L805" s="79"/>
      <c r="M805" s="79"/>
      <c r="N805" s="79"/>
      <c r="O805" s="79"/>
      <c r="P805" s="79"/>
      <c r="Q805" s="79"/>
      <c r="R805" s="79"/>
      <c r="S805" s="79"/>
      <c r="T805" s="79"/>
      <c r="U805" s="79"/>
      <c r="V805" s="79"/>
      <c r="W805" s="79"/>
      <c r="X805" s="79"/>
      <c r="Y805" s="79"/>
      <c r="Z805" s="79"/>
    </row>
    <row r="806">
      <c r="A806" s="79"/>
      <c r="B806" s="79"/>
      <c r="C806" s="79"/>
      <c r="D806" s="79"/>
      <c r="E806" s="79"/>
      <c r="F806" s="79"/>
      <c r="G806" s="79"/>
      <c r="H806" s="79"/>
      <c r="I806" s="79"/>
      <c r="J806" s="79"/>
      <c r="K806" s="79"/>
      <c r="L806" s="79"/>
      <c r="M806" s="79"/>
      <c r="N806" s="79"/>
      <c r="O806" s="79"/>
      <c r="P806" s="79"/>
      <c r="Q806" s="79"/>
      <c r="R806" s="79"/>
      <c r="S806" s="79"/>
      <c r="T806" s="79"/>
      <c r="U806" s="79"/>
      <c r="V806" s="79"/>
      <c r="W806" s="79"/>
      <c r="X806" s="79"/>
      <c r="Y806" s="79"/>
      <c r="Z806" s="79"/>
    </row>
    <row r="807">
      <c r="A807" s="79"/>
      <c r="B807" s="79"/>
      <c r="C807" s="79"/>
      <c r="D807" s="79"/>
      <c r="E807" s="79"/>
      <c r="F807" s="79"/>
      <c r="G807" s="79"/>
      <c r="H807" s="79"/>
      <c r="I807" s="79"/>
      <c r="J807" s="79"/>
      <c r="K807" s="79"/>
      <c r="L807" s="79"/>
      <c r="M807" s="79"/>
      <c r="N807" s="79"/>
      <c r="O807" s="79"/>
      <c r="P807" s="79"/>
      <c r="Q807" s="79"/>
      <c r="R807" s="79"/>
      <c r="S807" s="79"/>
      <c r="T807" s="79"/>
      <c r="U807" s="79"/>
      <c r="V807" s="79"/>
      <c r="W807" s="79"/>
      <c r="X807" s="79"/>
      <c r="Y807" s="79"/>
      <c r="Z807" s="79"/>
    </row>
    <row r="808">
      <c r="A808" s="79"/>
      <c r="B808" s="79"/>
      <c r="C808" s="79"/>
      <c r="D808" s="79"/>
      <c r="E808" s="79"/>
      <c r="F808" s="79"/>
      <c r="G808" s="79"/>
      <c r="H808" s="79"/>
      <c r="I808" s="79"/>
      <c r="J808" s="79"/>
      <c r="K808" s="79"/>
      <c r="L808" s="79"/>
      <c r="M808" s="79"/>
      <c r="N808" s="79"/>
      <c r="O808" s="79"/>
      <c r="P808" s="79"/>
      <c r="Q808" s="79"/>
      <c r="R808" s="79"/>
      <c r="S808" s="79"/>
      <c r="T808" s="79"/>
      <c r="U808" s="79"/>
      <c r="V808" s="79"/>
      <c r="W808" s="79"/>
      <c r="X808" s="79"/>
      <c r="Y808" s="79"/>
      <c r="Z808" s="79"/>
    </row>
    <row r="809">
      <c r="A809" s="79"/>
      <c r="B809" s="79"/>
      <c r="C809" s="79"/>
      <c r="D809" s="79"/>
      <c r="E809" s="79"/>
      <c r="F809" s="79"/>
      <c r="G809" s="79"/>
      <c r="H809" s="79"/>
      <c r="I809" s="79"/>
      <c r="J809" s="79"/>
      <c r="K809" s="79"/>
      <c r="L809" s="79"/>
      <c r="M809" s="79"/>
      <c r="N809" s="79"/>
      <c r="O809" s="79"/>
      <c r="P809" s="79"/>
      <c r="Q809" s="79"/>
      <c r="R809" s="79"/>
      <c r="S809" s="79"/>
      <c r="T809" s="79"/>
      <c r="U809" s="79"/>
      <c r="V809" s="79"/>
      <c r="W809" s="79"/>
      <c r="X809" s="79"/>
      <c r="Y809" s="79"/>
      <c r="Z809" s="79"/>
    </row>
    <row r="810">
      <c r="A810" s="79"/>
      <c r="B810" s="79"/>
      <c r="C810" s="79"/>
      <c r="D810" s="79"/>
      <c r="E810" s="79"/>
      <c r="F810" s="79"/>
      <c r="G810" s="79"/>
      <c r="H810" s="79"/>
      <c r="I810" s="79"/>
      <c r="J810" s="79"/>
      <c r="K810" s="79"/>
      <c r="L810" s="79"/>
      <c r="M810" s="79"/>
      <c r="N810" s="79"/>
      <c r="O810" s="79"/>
      <c r="P810" s="79"/>
      <c r="Q810" s="79"/>
      <c r="R810" s="79"/>
      <c r="S810" s="79"/>
      <c r="T810" s="79"/>
      <c r="U810" s="79"/>
      <c r="V810" s="79"/>
      <c r="W810" s="79"/>
      <c r="X810" s="79"/>
      <c r="Y810" s="79"/>
      <c r="Z810" s="79"/>
    </row>
    <row r="811">
      <c r="A811" s="79"/>
      <c r="B811" s="79"/>
      <c r="C811" s="79"/>
      <c r="D811" s="79"/>
      <c r="E811" s="79"/>
      <c r="F811" s="79"/>
      <c r="G811" s="79"/>
      <c r="H811" s="79"/>
      <c r="I811" s="79"/>
      <c r="J811" s="79"/>
      <c r="K811" s="79"/>
      <c r="L811" s="79"/>
      <c r="M811" s="79"/>
      <c r="N811" s="79"/>
      <c r="O811" s="79"/>
      <c r="P811" s="79"/>
      <c r="Q811" s="79"/>
      <c r="R811" s="79"/>
      <c r="S811" s="79"/>
      <c r="T811" s="79"/>
      <c r="U811" s="79"/>
      <c r="V811" s="79"/>
      <c r="W811" s="79"/>
      <c r="X811" s="79"/>
      <c r="Y811" s="79"/>
      <c r="Z811" s="79"/>
    </row>
    <row r="812">
      <c r="A812" s="79"/>
      <c r="B812" s="79"/>
      <c r="C812" s="79"/>
      <c r="D812" s="79"/>
      <c r="E812" s="79"/>
      <c r="F812" s="79"/>
      <c r="G812" s="79"/>
      <c r="H812" s="79"/>
      <c r="I812" s="79"/>
      <c r="J812" s="79"/>
      <c r="K812" s="79"/>
      <c r="L812" s="79"/>
      <c r="M812" s="79"/>
      <c r="N812" s="79"/>
      <c r="O812" s="79"/>
      <c r="P812" s="79"/>
      <c r="Q812" s="79"/>
      <c r="R812" s="79"/>
      <c r="S812" s="79"/>
      <c r="T812" s="79"/>
      <c r="U812" s="79"/>
      <c r="V812" s="79"/>
      <c r="W812" s="79"/>
      <c r="X812" s="79"/>
      <c r="Y812" s="79"/>
      <c r="Z812" s="79"/>
    </row>
    <row r="813">
      <c r="A813" s="79"/>
      <c r="B813" s="79"/>
      <c r="C813" s="79"/>
      <c r="D813" s="79"/>
      <c r="E813" s="79"/>
      <c r="F813" s="79"/>
      <c r="G813" s="79"/>
      <c r="H813" s="79"/>
      <c r="I813" s="79"/>
      <c r="J813" s="79"/>
      <c r="K813" s="79"/>
      <c r="L813" s="79"/>
      <c r="M813" s="79"/>
      <c r="N813" s="79"/>
      <c r="O813" s="79"/>
      <c r="P813" s="79"/>
      <c r="Q813" s="79"/>
      <c r="R813" s="79"/>
      <c r="S813" s="79"/>
      <c r="T813" s="79"/>
      <c r="U813" s="79"/>
      <c r="V813" s="79"/>
      <c r="W813" s="79"/>
      <c r="X813" s="79"/>
      <c r="Y813" s="79"/>
      <c r="Z813" s="79"/>
    </row>
    <row r="814">
      <c r="A814" s="79"/>
      <c r="B814" s="79"/>
      <c r="C814" s="79"/>
      <c r="D814" s="79"/>
      <c r="E814" s="79"/>
      <c r="F814" s="79"/>
      <c r="G814" s="79"/>
      <c r="H814" s="79"/>
      <c r="I814" s="79"/>
      <c r="J814" s="79"/>
      <c r="K814" s="79"/>
      <c r="L814" s="79"/>
      <c r="M814" s="79"/>
      <c r="N814" s="79"/>
      <c r="O814" s="79"/>
      <c r="P814" s="79"/>
      <c r="Q814" s="79"/>
      <c r="R814" s="79"/>
      <c r="S814" s="79"/>
      <c r="T814" s="79"/>
      <c r="U814" s="79"/>
      <c r="V814" s="79"/>
      <c r="W814" s="79"/>
      <c r="X814" s="79"/>
      <c r="Y814" s="79"/>
      <c r="Z814" s="79"/>
    </row>
    <row r="815">
      <c r="A815" s="79"/>
      <c r="B815" s="79"/>
      <c r="C815" s="79"/>
      <c r="D815" s="79"/>
      <c r="E815" s="79"/>
      <c r="F815" s="79"/>
      <c r="G815" s="79"/>
      <c r="H815" s="79"/>
      <c r="I815" s="79"/>
      <c r="J815" s="79"/>
      <c r="K815" s="79"/>
      <c r="L815" s="79"/>
      <c r="M815" s="79"/>
      <c r="N815" s="79"/>
      <c r="O815" s="79"/>
      <c r="P815" s="79"/>
      <c r="Q815" s="79"/>
      <c r="R815" s="79"/>
      <c r="S815" s="79"/>
      <c r="T815" s="79"/>
      <c r="U815" s="79"/>
      <c r="V815" s="79"/>
      <c r="W815" s="79"/>
      <c r="X815" s="79"/>
      <c r="Y815" s="79"/>
      <c r="Z815" s="79"/>
    </row>
    <row r="816">
      <c r="A816" s="79"/>
      <c r="B816" s="79"/>
      <c r="C816" s="79"/>
      <c r="D816" s="79"/>
      <c r="E816" s="79"/>
      <c r="F816" s="79"/>
      <c r="G816" s="79"/>
      <c r="H816" s="79"/>
      <c r="I816" s="79"/>
      <c r="J816" s="79"/>
      <c r="K816" s="79"/>
      <c r="L816" s="79"/>
      <c r="M816" s="79"/>
      <c r="N816" s="79"/>
      <c r="O816" s="79"/>
      <c r="P816" s="79"/>
      <c r="Q816" s="79"/>
      <c r="R816" s="79"/>
      <c r="S816" s="79"/>
      <c r="T816" s="79"/>
      <c r="U816" s="79"/>
      <c r="V816" s="79"/>
      <c r="W816" s="79"/>
      <c r="X816" s="79"/>
      <c r="Y816" s="79"/>
      <c r="Z816" s="79"/>
    </row>
    <row r="817">
      <c r="A817" s="79"/>
      <c r="B817" s="79"/>
      <c r="C817" s="79"/>
      <c r="D817" s="79"/>
      <c r="E817" s="79"/>
      <c r="F817" s="79"/>
      <c r="G817" s="79"/>
      <c r="H817" s="79"/>
      <c r="I817" s="79"/>
      <c r="J817" s="79"/>
      <c r="K817" s="79"/>
      <c r="L817" s="79"/>
      <c r="M817" s="79"/>
      <c r="N817" s="79"/>
      <c r="O817" s="79"/>
      <c r="P817" s="79"/>
      <c r="Q817" s="79"/>
      <c r="R817" s="79"/>
      <c r="S817" s="79"/>
      <c r="T817" s="79"/>
      <c r="U817" s="79"/>
      <c r="V817" s="79"/>
      <c r="W817" s="79"/>
      <c r="X817" s="79"/>
      <c r="Y817" s="79"/>
      <c r="Z817" s="79"/>
    </row>
    <row r="818">
      <c r="A818" s="79"/>
      <c r="B818" s="79"/>
      <c r="C818" s="79"/>
      <c r="D818" s="79"/>
      <c r="E818" s="79"/>
      <c r="F818" s="79"/>
      <c r="G818" s="79"/>
      <c r="H818" s="79"/>
      <c r="I818" s="79"/>
      <c r="J818" s="79"/>
      <c r="K818" s="79"/>
      <c r="L818" s="79"/>
      <c r="M818" s="79"/>
      <c r="N818" s="79"/>
      <c r="O818" s="79"/>
      <c r="P818" s="79"/>
      <c r="Q818" s="79"/>
      <c r="R818" s="79"/>
      <c r="S818" s="79"/>
      <c r="T818" s="79"/>
      <c r="U818" s="79"/>
      <c r="V818" s="79"/>
      <c r="W818" s="79"/>
      <c r="X818" s="79"/>
      <c r="Y818" s="79"/>
      <c r="Z818" s="79"/>
    </row>
    <row r="819">
      <c r="A819" s="79"/>
      <c r="B819" s="79"/>
      <c r="C819" s="79"/>
      <c r="D819" s="79"/>
      <c r="E819" s="79"/>
      <c r="F819" s="79"/>
      <c r="G819" s="79"/>
      <c r="H819" s="79"/>
      <c r="I819" s="79"/>
      <c r="J819" s="79"/>
      <c r="K819" s="79"/>
      <c r="L819" s="79"/>
      <c r="M819" s="79"/>
      <c r="N819" s="79"/>
      <c r="O819" s="79"/>
      <c r="P819" s="79"/>
      <c r="Q819" s="79"/>
      <c r="R819" s="79"/>
      <c r="S819" s="79"/>
      <c r="T819" s="79"/>
      <c r="U819" s="79"/>
      <c r="V819" s="79"/>
      <c r="W819" s="79"/>
      <c r="X819" s="79"/>
      <c r="Y819" s="79"/>
      <c r="Z819" s="79"/>
    </row>
    <row r="820">
      <c r="A820" s="79"/>
      <c r="B820" s="79"/>
      <c r="C820" s="79"/>
      <c r="D820" s="79"/>
      <c r="E820" s="79"/>
      <c r="F820" s="79"/>
      <c r="G820" s="79"/>
      <c r="H820" s="79"/>
      <c r="I820" s="79"/>
      <c r="J820" s="79"/>
      <c r="K820" s="79"/>
      <c r="L820" s="79"/>
      <c r="M820" s="79"/>
      <c r="N820" s="79"/>
      <c r="O820" s="79"/>
      <c r="P820" s="79"/>
      <c r="Q820" s="79"/>
      <c r="R820" s="79"/>
      <c r="S820" s="79"/>
      <c r="T820" s="79"/>
      <c r="U820" s="79"/>
      <c r="V820" s="79"/>
      <c r="W820" s="79"/>
      <c r="X820" s="79"/>
      <c r="Y820" s="79"/>
      <c r="Z820" s="79"/>
    </row>
    <row r="821">
      <c r="A821" s="79"/>
      <c r="B821" s="79"/>
      <c r="C821" s="79"/>
      <c r="D821" s="79"/>
      <c r="E821" s="79"/>
      <c r="F821" s="79"/>
      <c r="G821" s="79"/>
      <c r="H821" s="79"/>
      <c r="I821" s="79"/>
      <c r="J821" s="79"/>
      <c r="K821" s="79"/>
      <c r="L821" s="79"/>
      <c r="M821" s="79"/>
      <c r="N821" s="79"/>
      <c r="O821" s="79"/>
      <c r="P821" s="79"/>
      <c r="Q821" s="79"/>
      <c r="R821" s="79"/>
      <c r="S821" s="79"/>
      <c r="T821" s="79"/>
      <c r="U821" s="79"/>
      <c r="V821" s="79"/>
      <c r="W821" s="79"/>
      <c r="X821" s="79"/>
      <c r="Y821" s="79"/>
      <c r="Z821" s="79"/>
    </row>
    <row r="822">
      <c r="A822" s="79"/>
      <c r="B822" s="79"/>
      <c r="C822" s="79"/>
      <c r="D822" s="79"/>
      <c r="E822" s="79"/>
      <c r="F822" s="79"/>
      <c r="G822" s="79"/>
      <c r="H822" s="79"/>
      <c r="I822" s="79"/>
      <c r="J822" s="79"/>
      <c r="K822" s="79"/>
      <c r="L822" s="79"/>
      <c r="M822" s="79"/>
      <c r="N822" s="79"/>
      <c r="O822" s="79"/>
      <c r="P822" s="79"/>
      <c r="Q822" s="79"/>
      <c r="R822" s="79"/>
      <c r="S822" s="79"/>
      <c r="T822" s="79"/>
      <c r="U822" s="79"/>
      <c r="V822" s="79"/>
      <c r="W822" s="79"/>
      <c r="X822" s="79"/>
      <c r="Y822" s="79"/>
      <c r="Z822" s="79"/>
    </row>
    <row r="823">
      <c r="A823" s="79"/>
      <c r="B823" s="79"/>
      <c r="C823" s="79"/>
      <c r="D823" s="79"/>
      <c r="E823" s="79"/>
      <c r="F823" s="79"/>
      <c r="G823" s="79"/>
      <c r="H823" s="79"/>
      <c r="I823" s="79"/>
      <c r="J823" s="79"/>
      <c r="K823" s="79"/>
      <c r="L823" s="79"/>
      <c r="M823" s="79"/>
      <c r="N823" s="79"/>
      <c r="O823" s="79"/>
      <c r="P823" s="79"/>
      <c r="Q823" s="79"/>
      <c r="R823" s="79"/>
      <c r="S823" s="79"/>
      <c r="T823" s="79"/>
      <c r="U823" s="79"/>
      <c r="V823" s="79"/>
      <c r="W823" s="79"/>
      <c r="X823" s="79"/>
      <c r="Y823" s="79"/>
      <c r="Z823" s="79"/>
    </row>
    <row r="824">
      <c r="A824" s="79"/>
      <c r="B824" s="79"/>
      <c r="C824" s="79"/>
      <c r="D824" s="79"/>
      <c r="E824" s="79"/>
      <c r="F824" s="79"/>
      <c r="G824" s="79"/>
      <c r="H824" s="79"/>
      <c r="I824" s="79"/>
      <c r="J824" s="79"/>
      <c r="K824" s="79"/>
      <c r="L824" s="79"/>
      <c r="M824" s="79"/>
      <c r="N824" s="79"/>
      <c r="O824" s="79"/>
      <c r="P824" s="79"/>
      <c r="Q824" s="79"/>
      <c r="R824" s="79"/>
      <c r="S824" s="79"/>
      <c r="T824" s="79"/>
      <c r="U824" s="79"/>
      <c r="V824" s="79"/>
      <c r="W824" s="79"/>
      <c r="X824" s="79"/>
      <c r="Y824" s="79"/>
      <c r="Z824" s="79"/>
    </row>
    <row r="825">
      <c r="A825" s="79"/>
      <c r="B825" s="79"/>
      <c r="C825" s="79"/>
      <c r="D825" s="79"/>
      <c r="E825" s="79"/>
      <c r="F825" s="79"/>
      <c r="G825" s="79"/>
      <c r="H825" s="79"/>
      <c r="I825" s="79"/>
      <c r="J825" s="79"/>
      <c r="K825" s="79"/>
      <c r="L825" s="79"/>
      <c r="M825" s="79"/>
      <c r="N825" s="79"/>
      <c r="O825" s="79"/>
      <c r="P825" s="79"/>
      <c r="Q825" s="79"/>
      <c r="R825" s="79"/>
      <c r="S825" s="79"/>
      <c r="T825" s="79"/>
      <c r="U825" s="79"/>
      <c r="V825" s="79"/>
      <c r="W825" s="79"/>
      <c r="X825" s="79"/>
      <c r="Y825" s="79"/>
      <c r="Z825" s="79"/>
    </row>
    <row r="826">
      <c r="A826" s="79"/>
      <c r="B826" s="79"/>
      <c r="C826" s="79"/>
      <c r="D826" s="79"/>
      <c r="E826" s="79"/>
      <c r="F826" s="79"/>
      <c r="G826" s="79"/>
      <c r="H826" s="79"/>
      <c r="I826" s="79"/>
      <c r="J826" s="79"/>
      <c r="K826" s="79"/>
      <c r="L826" s="79"/>
      <c r="M826" s="79"/>
      <c r="N826" s="79"/>
      <c r="O826" s="79"/>
      <c r="P826" s="79"/>
      <c r="Q826" s="79"/>
      <c r="R826" s="79"/>
      <c r="S826" s="79"/>
      <c r="T826" s="79"/>
      <c r="U826" s="79"/>
      <c r="V826" s="79"/>
      <c r="W826" s="79"/>
      <c r="X826" s="79"/>
      <c r="Y826" s="79"/>
      <c r="Z826" s="79"/>
    </row>
    <row r="827">
      <c r="A827" s="79"/>
      <c r="B827" s="79"/>
      <c r="C827" s="79"/>
      <c r="D827" s="79"/>
      <c r="E827" s="79"/>
      <c r="F827" s="79"/>
      <c r="G827" s="79"/>
      <c r="H827" s="79"/>
      <c r="I827" s="79"/>
      <c r="J827" s="79"/>
      <c r="K827" s="79"/>
      <c r="L827" s="79"/>
      <c r="M827" s="79"/>
      <c r="N827" s="79"/>
      <c r="O827" s="79"/>
      <c r="P827" s="79"/>
      <c r="Q827" s="79"/>
      <c r="R827" s="79"/>
      <c r="S827" s="79"/>
      <c r="T827" s="79"/>
      <c r="U827" s="79"/>
      <c r="V827" s="79"/>
      <c r="W827" s="79"/>
      <c r="X827" s="79"/>
      <c r="Y827" s="79"/>
      <c r="Z827" s="79"/>
    </row>
    <row r="828">
      <c r="A828" s="79"/>
      <c r="B828" s="79"/>
      <c r="C828" s="79"/>
      <c r="D828" s="79"/>
      <c r="E828" s="79"/>
      <c r="F828" s="79"/>
      <c r="G828" s="79"/>
      <c r="H828" s="79"/>
      <c r="I828" s="79"/>
      <c r="J828" s="79"/>
      <c r="K828" s="79"/>
      <c r="L828" s="79"/>
      <c r="M828" s="79"/>
      <c r="N828" s="79"/>
      <c r="O828" s="79"/>
      <c r="P828" s="79"/>
      <c r="Q828" s="79"/>
      <c r="R828" s="79"/>
      <c r="S828" s="79"/>
      <c r="T828" s="79"/>
      <c r="U828" s="79"/>
      <c r="V828" s="79"/>
      <c r="W828" s="79"/>
      <c r="X828" s="79"/>
      <c r="Y828" s="79"/>
      <c r="Z828" s="79"/>
    </row>
    <row r="829">
      <c r="A829" s="79"/>
      <c r="B829" s="79"/>
      <c r="C829" s="79"/>
      <c r="D829" s="79"/>
      <c r="E829" s="79"/>
      <c r="F829" s="79"/>
      <c r="G829" s="79"/>
      <c r="H829" s="79"/>
      <c r="I829" s="79"/>
      <c r="J829" s="79"/>
      <c r="K829" s="79"/>
      <c r="L829" s="79"/>
      <c r="M829" s="79"/>
      <c r="N829" s="79"/>
      <c r="O829" s="79"/>
      <c r="P829" s="79"/>
      <c r="Q829" s="79"/>
      <c r="R829" s="79"/>
      <c r="S829" s="79"/>
      <c r="T829" s="79"/>
      <c r="U829" s="79"/>
      <c r="V829" s="79"/>
      <c r="W829" s="79"/>
      <c r="X829" s="79"/>
      <c r="Y829" s="79"/>
      <c r="Z829" s="79"/>
    </row>
    <row r="830">
      <c r="A830" s="79"/>
      <c r="B830" s="79"/>
      <c r="C830" s="79"/>
      <c r="D830" s="79"/>
      <c r="E830" s="79"/>
      <c r="F830" s="79"/>
      <c r="G830" s="79"/>
      <c r="H830" s="79"/>
      <c r="I830" s="79"/>
      <c r="J830" s="79"/>
      <c r="K830" s="79"/>
      <c r="L830" s="79"/>
      <c r="M830" s="79"/>
      <c r="N830" s="79"/>
      <c r="O830" s="79"/>
      <c r="P830" s="79"/>
      <c r="Q830" s="79"/>
      <c r="R830" s="79"/>
      <c r="S830" s="79"/>
      <c r="T830" s="79"/>
      <c r="U830" s="79"/>
      <c r="V830" s="79"/>
      <c r="W830" s="79"/>
      <c r="X830" s="79"/>
      <c r="Y830" s="79"/>
      <c r="Z830" s="79"/>
    </row>
    <row r="831">
      <c r="A831" s="79"/>
      <c r="B831" s="79"/>
      <c r="C831" s="79"/>
      <c r="D831" s="79"/>
      <c r="E831" s="79"/>
      <c r="F831" s="79"/>
      <c r="G831" s="79"/>
      <c r="H831" s="79"/>
      <c r="I831" s="79"/>
      <c r="J831" s="79"/>
      <c r="K831" s="79"/>
      <c r="L831" s="79"/>
      <c r="M831" s="79"/>
      <c r="N831" s="79"/>
      <c r="O831" s="79"/>
      <c r="P831" s="79"/>
      <c r="Q831" s="79"/>
      <c r="R831" s="79"/>
      <c r="S831" s="79"/>
      <c r="T831" s="79"/>
      <c r="U831" s="79"/>
      <c r="V831" s="79"/>
      <c r="W831" s="79"/>
      <c r="X831" s="79"/>
      <c r="Y831" s="79"/>
      <c r="Z831" s="79"/>
    </row>
    <row r="832">
      <c r="A832" s="79"/>
      <c r="B832" s="79"/>
      <c r="C832" s="79"/>
      <c r="D832" s="79"/>
      <c r="E832" s="79"/>
      <c r="F832" s="79"/>
      <c r="G832" s="79"/>
      <c r="H832" s="79"/>
      <c r="I832" s="79"/>
      <c r="J832" s="79"/>
      <c r="K832" s="79"/>
      <c r="L832" s="79"/>
      <c r="M832" s="79"/>
      <c r="N832" s="79"/>
      <c r="O832" s="79"/>
      <c r="P832" s="79"/>
      <c r="Q832" s="79"/>
      <c r="R832" s="79"/>
      <c r="S832" s="79"/>
      <c r="T832" s="79"/>
      <c r="U832" s="79"/>
      <c r="V832" s="79"/>
      <c r="W832" s="79"/>
      <c r="X832" s="79"/>
      <c r="Y832" s="79"/>
      <c r="Z832" s="79"/>
    </row>
    <row r="833">
      <c r="A833" s="79"/>
      <c r="B833" s="79"/>
      <c r="C833" s="79"/>
      <c r="D833" s="79"/>
      <c r="E833" s="79"/>
      <c r="F833" s="79"/>
      <c r="G833" s="79"/>
      <c r="H833" s="79"/>
      <c r="I833" s="79"/>
      <c r="J833" s="79"/>
      <c r="K833" s="79"/>
      <c r="L833" s="79"/>
      <c r="M833" s="79"/>
      <c r="N833" s="79"/>
      <c r="O833" s="79"/>
      <c r="P833" s="79"/>
      <c r="Q833" s="79"/>
      <c r="R833" s="79"/>
      <c r="S833" s="79"/>
      <c r="T833" s="79"/>
      <c r="U833" s="79"/>
      <c r="V833" s="79"/>
      <c r="W833" s="79"/>
      <c r="X833" s="79"/>
      <c r="Y833" s="79"/>
      <c r="Z833" s="79"/>
    </row>
    <row r="834">
      <c r="A834" s="79"/>
      <c r="B834" s="79"/>
      <c r="C834" s="79"/>
      <c r="D834" s="79"/>
      <c r="E834" s="79"/>
      <c r="F834" s="79"/>
      <c r="G834" s="79"/>
      <c r="H834" s="79"/>
      <c r="I834" s="79"/>
      <c r="J834" s="79"/>
      <c r="K834" s="79"/>
      <c r="L834" s="79"/>
      <c r="M834" s="79"/>
      <c r="N834" s="79"/>
      <c r="O834" s="79"/>
      <c r="P834" s="79"/>
      <c r="Q834" s="79"/>
      <c r="R834" s="79"/>
      <c r="S834" s="79"/>
      <c r="T834" s="79"/>
      <c r="U834" s="79"/>
      <c r="V834" s="79"/>
      <c r="W834" s="79"/>
      <c r="X834" s="79"/>
      <c r="Y834" s="79"/>
      <c r="Z834" s="79"/>
    </row>
    <row r="835">
      <c r="A835" s="79"/>
      <c r="B835" s="79"/>
      <c r="C835" s="79"/>
      <c r="D835" s="79"/>
      <c r="E835" s="79"/>
      <c r="F835" s="79"/>
      <c r="G835" s="79"/>
      <c r="H835" s="79"/>
      <c r="I835" s="79"/>
      <c r="J835" s="79"/>
      <c r="K835" s="79"/>
      <c r="L835" s="79"/>
      <c r="M835" s="79"/>
      <c r="N835" s="79"/>
      <c r="O835" s="79"/>
      <c r="P835" s="79"/>
      <c r="Q835" s="79"/>
      <c r="R835" s="79"/>
      <c r="S835" s="79"/>
      <c r="T835" s="79"/>
      <c r="U835" s="79"/>
      <c r="V835" s="79"/>
      <c r="W835" s="79"/>
      <c r="X835" s="79"/>
      <c r="Y835" s="79"/>
      <c r="Z835" s="79"/>
    </row>
    <row r="836">
      <c r="A836" s="79"/>
      <c r="B836" s="79"/>
      <c r="C836" s="79"/>
      <c r="D836" s="79"/>
      <c r="E836" s="79"/>
      <c r="F836" s="79"/>
      <c r="G836" s="79"/>
      <c r="H836" s="79"/>
      <c r="I836" s="79"/>
      <c r="J836" s="79"/>
      <c r="K836" s="79"/>
      <c r="L836" s="79"/>
      <c r="M836" s="79"/>
      <c r="N836" s="79"/>
      <c r="O836" s="79"/>
      <c r="P836" s="79"/>
      <c r="Q836" s="79"/>
      <c r="R836" s="79"/>
      <c r="S836" s="79"/>
      <c r="T836" s="79"/>
      <c r="U836" s="79"/>
      <c r="V836" s="79"/>
      <c r="W836" s="79"/>
      <c r="X836" s="79"/>
      <c r="Y836" s="79"/>
      <c r="Z836" s="79"/>
    </row>
    <row r="837">
      <c r="A837" s="79"/>
      <c r="B837" s="79"/>
      <c r="C837" s="79"/>
      <c r="D837" s="79"/>
      <c r="E837" s="79"/>
      <c r="F837" s="79"/>
      <c r="G837" s="79"/>
      <c r="H837" s="79"/>
      <c r="I837" s="79"/>
      <c r="J837" s="79"/>
      <c r="K837" s="79"/>
      <c r="L837" s="79"/>
      <c r="M837" s="79"/>
      <c r="N837" s="79"/>
      <c r="O837" s="79"/>
      <c r="P837" s="79"/>
      <c r="Q837" s="79"/>
      <c r="R837" s="79"/>
      <c r="S837" s="79"/>
      <c r="T837" s="79"/>
      <c r="U837" s="79"/>
      <c r="V837" s="79"/>
      <c r="W837" s="79"/>
      <c r="X837" s="79"/>
      <c r="Y837" s="79"/>
      <c r="Z837" s="79"/>
    </row>
    <row r="838">
      <c r="A838" s="79"/>
      <c r="B838" s="79"/>
      <c r="C838" s="79"/>
      <c r="D838" s="79"/>
      <c r="E838" s="79"/>
      <c r="F838" s="79"/>
      <c r="G838" s="79"/>
      <c r="H838" s="79"/>
      <c r="I838" s="79"/>
      <c r="J838" s="79"/>
      <c r="K838" s="79"/>
      <c r="L838" s="79"/>
      <c r="M838" s="79"/>
      <c r="N838" s="79"/>
      <c r="O838" s="79"/>
      <c r="P838" s="79"/>
      <c r="Q838" s="79"/>
      <c r="R838" s="79"/>
      <c r="S838" s="79"/>
      <c r="T838" s="79"/>
      <c r="U838" s="79"/>
      <c r="V838" s="79"/>
      <c r="W838" s="79"/>
      <c r="X838" s="79"/>
      <c r="Y838" s="79"/>
      <c r="Z838" s="79"/>
    </row>
    <row r="839">
      <c r="A839" s="79"/>
      <c r="B839" s="79"/>
      <c r="C839" s="79"/>
      <c r="D839" s="79"/>
      <c r="E839" s="79"/>
      <c r="F839" s="79"/>
      <c r="G839" s="79"/>
      <c r="H839" s="79"/>
      <c r="I839" s="79"/>
      <c r="J839" s="79"/>
      <c r="K839" s="79"/>
      <c r="L839" s="79"/>
      <c r="M839" s="79"/>
      <c r="N839" s="79"/>
      <c r="O839" s="79"/>
      <c r="P839" s="79"/>
      <c r="Q839" s="79"/>
      <c r="R839" s="79"/>
      <c r="S839" s="79"/>
      <c r="T839" s="79"/>
      <c r="U839" s="79"/>
      <c r="V839" s="79"/>
      <c r="W839" s="79"/>
      <c r="X839" s="79"/>
      <c r="Y839" s="79"/>
      <c r="Z839" s="79"/>
    </row>
    <row r="840">
      <c r="A840" s="79"/>
      <c r="B840" s="79"/>
      <c r="C840" s="79"/>
      <c r="D840" s="79"/>
      <c r="E840" s="79"/>
      <c r="F840" s="79"/>
      <c r="G840" s="79"/>
      <c r="H840" s="79"/>
      <c r="I840" s="79"/>
      <c r="J840" s="79"/>
      <c r="K840" s="79"/>
      <c r="L840" s="79"/>
      <c r="M840" s="79"/>
      <c r="N840" s="79"/>
      <c r="O840" s="79"/>
      <c r="P840" s="79"/>
      <c r="Q840" s="79"/>
      <c r="R840" s="79"/>
      <c r="S840" s="79"/>
      <c r="T840" s="79"/>
      <c r="U840" s="79"/>
      <c r="V840" s="79"/>
      <c r="W840" s="79"/>
      <c r="X840" s="79"/>
      <c r="Y840" s="79"/>
      <c r="Z840" s="79"/>
    </row>
    <row r="841">
      <c r="A841" s="79"/>
      <c r="B841" s="79"/>
      <c r="C841" s="79"/>
      <c r="D841" s="79"/>
      <c r="E841" s="79"/>
      <c r="F841" s="79"/>
      <c r="G841" s="79"/>
      <c r="H841" s="79"/>
      <c r="I841" s="79"/>
      <c r="J841" s="79"/>
      <c r="K841" s="79"/>
      <c r="L841" s="79"/>
      <c r="M841" s="79"/>
      <c r="N841" s="79"/>
      <c r="O841" s="79"/>
      <c r="P841" s="79"/>
      <c r="Q841" s="79"/>
      <c r="R841" s="79"/>
      <c r="S841" s="79"/>
      <c r="T841" s="79"/>
      <c r="U841" s="79"/>
      <c r="V841" s="79"/>
      <c r="W841" s="79"/>
      <c r="X841" s="79"/>
      <c r="Y841" s="79"/>
      <c r="Z841" s="79"/>
    </row>
    <row r="842">
      <c r="A842" s="79"/>
      <c r="B842" s="79"/>
      <c r="C842" s="79"/>
      <c r="D842" s="79"/>
      <c r="E842" s="79"/>
      <c r="F842" s="79"/>
      <c r="G842" s="79"/>
      <c r="H842" s="79"/>
      <c r="I842" s="79"/>
      <c r="J842" s="79"/>
      <c r="K842" s="79"/>
      <c r="L842" s="79"/>
      <c r="M842" s="79"/>
      <c r="N842" s="79"/>
      <c r="O842" s="79"/>
      <c r="P842" s="79"/>
      <c r="Q842" s="79"/>
      <c r="R842" s="79"/>
      <c r="S842" s="79"/>
      <c r="T842" s="79"/>
      <c r="U842" s="79"/>
      <c r="V842" s="79"/>
      <c r="W842" s="79"/>
      <c r="X842" s="79"/>
      <c r="Y842" s="79"/>
      <c r="Z842" s="79"/>
    </row>
    <row r="843">
      <c r="A843" s="79"/>
      <c r="B843" s="79"/>
      <c r="C843" s="79"/>
      <c r="D843" s="79"/>
      <c r="E843" s="79"/>
      <c r="F843" s="79"/>
      <c r="G843" s="79"/>
      <c r="H843" s="79"/>
      <c r="I843" s="79"/>
      <c r="J843" s="79"/>
      <c r="K843" s="79"/>
      <c r="L843" s="79"/>
      <c r="M843" s="79"/>
      <c r="N843" s="79"/>
      <c r="O843" s="79"/>
      <c r="P843" s="79"/>
      <c r="Q843" s="79"/>
      <c r="R843" s="79"/>
      <c r="S843" s="79"/>
      <c r="T843" s="79"/>
      <c r="U843" s="79"/>
      <c r="V843" s="79"/>
      <c r="W843" s="79"/>
      <c r="X843" s="79"/>
      <c r="Y843" s="79"/>
      <c r="Z843" s="79"/>
    </row>
    <row r="844">
      <c r="A844" s="79"/>
      <c r="B844" s="79"/>
      <c r="C844" s="79"/>
      <c r="D844" s="79"/>
      <c r="E844" s="79"/>
      <c r="F844" s="79"/>
      <c r="G844" s="79"/>
      <c r="H844" s="79"/>
      <c r="I844" s="79"/>
      <c r="J844" s="79"/>
      <c r="K844" s="79"/>
      <c r="L844" s="79"/>
      <c r="M844" s="79"/>
      <c r="N844" s="79"/>
      <c r="O844" s="79"/>
      <c r="P844" s="79"/>
      <c r="Q844" s="79"/>
      <c r="R844" s="79"/>
      <c r="S844" s="79"/>
      <c r="T844" s="79"/>
      <c r="U844" s="79"/>
      <c r="V844" s="79"/>
      <c r="W844" s="79"/>
      <c r="X844" s="79"/>
      <c r="Y844" s="79"/>
      <c r="Z844" s="79"/>
    </row>
    <row r="845">
      <c r="A845" s="79"/>
      <c r="B845" s="79"/>
      <c r="C845" s="79"/>
      <c r="D845" s="79"/>
      <c r="E845" s="79"/>
      <c r="F845" s="79"/>
      <c r="G845" s="79"/>
      <c r="H845" s="79"/>
      <c r="I845" s="79"/>
      <c r="J845" s="79"/>
      <c r="K845" s="79"/>
      <c r="L845" s="79"/>
      <c r="M845" s="79"/>
      <c r="N845" s="79"/>
      <c r="O845" s="79"/>
      <c r="P845" s="79"/>
      <c r="Q845" s="79"/>
      <c r="R845" s="79"/>
      <c r="S845" s="79"/>
      <c r="T845" s="79"/>
      <c r="U845" s="79"/>
      <c r="V845" s="79"/>
      <c r="W845" s="79"/>
      <c r="X845" s="79"/>
      <c r="Y845" s="79"/>
      <c r="Z845" s="79"/>
    </row>
    <row r="846">
      <c r="A846" s="79"/>
      <c r="B846" s="79"/>
      <c r="C846" s="79"/>
      <c r="D846" s="79"/>
      <c r="E846" s="79"/>
      <c r="F846" s="79"/>
      <c r="G846" s="79"/>
      <c r="H846" s="79"/>
      <c r="I846" s="79"/>
      <c r="J846" s="79"/>
      <c r="K846" s="79"/>
      <c r="L846" s="79"/>
      <c r="M846" s="79"/>
      <c r="N846" s="79"/>
      <c r="O846" s="79"/>
      <c r="P846" s="79"/>
      <c r="Q846" s="79"/>
      <c r="R846" s="79"/>
      <c r="S846" s="79"/>
      <c r="T846" s="79"/>
      <c r="U846" s="79"/>
      <c r="V846" s="79"/>
      <c r="W846" s="79"/>
      <c r="X846" s="79"/>
      <c r="Y846" s="79"/>
      <c r="Z846" s="79"/>
    </row>
    <row r="847">
      <c r="A847" s="79"/>
      <c r="B847" s="79"/>
      <c r="C847" s="79"/>
      <c r="D847" s="79"/>
      <c r="E847" s="79"/>
      <c r="F847" s="79"/>
      <c r="G847" s="79"/>
      <c r="H847" s="79"/>
      <c r="I847" s="79"/>
      <c r="J847" s="79"/>
      <c r="K847" s="79"/>
      <c r="L847" s="79"/>
      <c r="M847" s="79"/>
      <c r="N847" s="79"/>
      <c r="O847" s="79"/>
      <c r="P847" s="79"/>
      <c r="Q847" s="79"/>
      <c r="R847" s="79"/>
      <c r="S847" s="79"/>
      <c r="T847" s="79"/>
      <c r="U847" s="79"/>
      <c r="V847" s="79"/>
      <c r="W847" s="79"/>
      <c r="X847" s="79"/>
      <c r="Y847" s="79"/>
      <c r="Z847" s="79"/>
    </row>
    <row r="848">
      <c r="A848" s="79"/>
      <c r="B848" s="79"/>
      <c r="C848" s="79"/>
      <c r="D848" s="79"/>
      <c r="E848" s="79"/>
      <c r="F848" s="79"/>
      <c r="G848" s="79"/>
      <c r="H848" s="79"/>
      <c r="I848" s="79"/>
      <c r="J848" s="79"/>
      <c r="K848" s="79"/>
      <c r="L848" s="79"/>
      <c r="M848" s="79"/>
      <c r="N848" s="79"/>
      <c r="O848" s="79"/>
      <c r="P848" s="79"/>
      <c r="Q848" s="79"/>
      <c r="R848" s="79"/>
      <c r="S848" s="79"/>
      <c r="T848" s="79"/>
      <c r="U848" s="79"/>
      <c r="V848" s="79"/>
      <c r="W848" s="79"/>
      <c r="X848" s="79"/>
      <c r="Y848" s="79"/>
      <c r="Z848" s="79"/>
    </row>
    <row r="849">
      <c r="A849" s="79"/>
      <c r="B849" s="79"/>
      <c r="C849" s="79"/>
      <c r="D849" s="79"/>
      <c r="E849" s="79"/>
      <c r="F849" s="79"/>
      <c r="G849" s="79"/>
      <c r="H849" s="79"/>
      <c r="I849" s="79"/>
      <c r="J849" s="79"/>
      <c r="K849" s="79"/>
      <c r="L849" s="79"/>
      <c r="M849" s="79"/>
      <c r="N849" s="79"/>
      <c r="O849" s="79"/>
      <c r="P849" s="79"/>
      <c r="Q849" s="79"/>
      <c r="R849" s="79"/>
      <c r="S849" s="79"/>
      <c r="T849" s="79"/>
      <c r="U849" s="79"/>
      <c r="V849" s="79"/>
      <c r="W849" s="79"/>
      <c r="X849" s="79"/>
      <c r="Y849" s="79"/>
      <c r="Z849" s="79"/>
    </row>
    <row r="850">
      <c r="A850" s="79"/>
      <c r="B850" s="79"/>
      <c r="C850" s="79"/>
      <c r="D850" s="79"/>
      <c r="E850" s="79"/>
      <c r="F850" s="79"/>
      <c r="G850" s="79"/>
      <c r="H850" s="79"/>
      <c r="I850" s="79"/>
      <c r="J850" s="79"/>
      <c r="K850" s="79"/>
      <c r="L850" s="79"/>
      <c r="M850" s="79"/>
      <c r="N850" s="79"/>
      <c r="O850" s="79"/>
      <c r="P850" s="79"/>
      <c r="Q850" s="79"/>
      <c r="R850" s="79"/>
      <c r="S850" s="79"/>
      <c r="T850" s="79"/>
      <c r="U850" s="79"/>
      <c r="V850" s="79"/>
      <c r="W850" s="79"/>
      <c r="X850" s="79"/>
      <c r="Y850" s="79"/>
      <c r="Z850" s="79"/>
    </row>
    <row r="851">
      <c r="A851" s="79"/>
      <c r="B851" s="79"/>
      <c r="C851" s="79"/>
      <c r="D851" s="79"/>
      <c r="E851" s="79"/>
      <c r="F851" s="79"/>
      <c r="G851" s="79"/>
      <c r="H851" s="79"/>
      <c r="I851" s="79"/>
      <c r="J851" s="79"/>
      <c r="K851" s="79"/>
      <c r="L851" s="79"/>
      <c r="M851" s="79"/>
      <c r="N851" s="79"/>
      <c r="O851" s="79"/>
      <c r="P851" s="79"/>
      <c r="Q851" s="79"/>
      <c r="R851" s="79"/>
      <c r="S851" s="79"/>
      <c r="T851" s="79"/>
      <c r="U851" s="79"/>
      <c r="V851" s="79"/>
      <c r="W851" s="79"/>
      <c r="X851" s="79"/>
      <c r="Y851" s="79"/>
      <c r="Z851" s="79"/>
    </row>
    <row r="852">
      <c r="A852" s="79"/>
      <c r="B852" s="79"/>
      <c r="C852" s="79"/>
      <c r="D852" s="79"/>
      <c r="E852" s="79"/>
      <c r="F852" s="79"/>
      <c r="G852" s="79"/>
      <c r="H852" s="79"/>
      <c r="I852" s="79"/>
      <c r="J852" s="79"/>
      <c r="K852" s="79"/>
      <c r="L852" s="79"/>
      <c r="M852" s="79"/>
      <c r="N852" s="79"/>
      <c r="O852" s="79"/>
      <c r="P852" s="79"/>
      <c r="Q852" s="79"/>
      <c r="R852" s="79"/>
      <c r="S852" s="79"/>
      <c r="T852" s="79"/>
      <c r="U852" s="79"/>
      <c r="V852" s="79"/>
      <c r="W852" s="79"/>
      <c r="X852" s="79"/>
      <c r="Y852" s="79"/>
      <c r="Z852" s="79"/>
    </row>
    <row r="853">
      <c r="A853" s="79"/>
      <c r="B853" s="79"/>
      <c r="C853" s="79"/>
      <c r="D853" s="79"/>
      <c r="E853" s="79"/>
      <c r="F853" s="79"/>
      <c r="G853" s="79"/>
      <c r="H853" s="79"/>
      <c r="I853" s="79"/>
      <c r="J853" s="79"/>
      <c r="K853" s="79"/>
      <c r="L853" s="79"/>
      <c r="M853" s="79"/>
      <c r="N853" s="79"/>
      <c r="O853" s="79"/>
      <c r="P853" s="79"/>
      <c r="Q853" s="79"/>
      <c r="R853" s="79"/>
      <c r="S853" s="79"/>
      <c r="T853" s="79"/>
      <c r="U853" s="79"/>
      <c r="V853" s="79"/>
      <c r="W853" s="79"/>
      <c r="X853" s="79"/>
      <c r="Y853" s="79"/>
      <c r="Z853" s="79"/>
    </row>
    <row r="854">
      <c r="A854" s="79"/>
      <c r="B854" s="79"/>
      <c r="C854" s="79"/>
      <c r="D854" s="79"/>
      <c r="E854" s="79"/>
      <c r="F854" s="79"/>
      <c r="G854" s="79"/>
      <c r="H854" s="79"/>
      <c r="I854" s="79"/>
      <c r="J854" s="79"/>
      <c r="K854" s="79"/>
      <c r="L854" s="79"/>
      <c r="M854" s="79"/>
      <c r="N854" s="79"/>
      <c r="O854" s="79"/>
      <c r="P854" s="79"/>
      <c r="Q854" s="79"/>
      <c r="R854" s="79"/>
      <c r="S854" s="79"/>
      <c r="T854" s="79"/>
      <c r="U854" s="79"/>
      <c r="V854" s="79"/>
      <c r="W854" s="79"/>
      <c r="X854" s="79"/>
      <c r="Y854" s="79"/>
      <c r="Z854" s="79"/>
    </row>
    <row r="855">
      <c r="A855" s="79"/>
      <c r="B855" s="79"/>
      <c r="C855" s="79"/>
      <c r="D855" s="79"/>
      <c r="E855" s="79"/>
      <c r="F855" s="79"/>
      <c r="G855" s="79"/>
      <c r="H855" s="79"/>
      <c r="I855" s="79"/>
      <c r="J855" s="79"/>
      <c r="K855" s="79"/>
      <c r="L855" s="79"/>
      <c r="M855" s="79"/>
      <c r="N855" s="79"/>
      <c r="O855" s="79"/>
      <c r="P855" s="79"/>
      <c r="Q855" s="79"/>
      <c r="R855" s="79"/>
      <c r="S855" s="79"/>
      <c r="T855" s="79"/>
      <c r="U855" s="79"/>
      <c r="V855" s="79"/>
      <c r="W855" s="79"/>
      <c r="X855" s="79"/>
      <c r="Y855" s="79"/>
      <c r="Z855" s="79"/>
    </row>
    <row r="856">
      <c r="A856" s="79"/>
      <c r="B856" s="79"/>
      <c r="C856" s="79"/>
      <c r="D856" s="79"/>
      <c r="E856" s="79"/>
      <c r="F856" s="79"/>
      <c r="G856" s="79"/>
      <c r="H856" s="79"/>
      <c r="I856" s="79"/>
      <c r="J856" s="79"/>
      <c r="K856" s="79"/>
      <c r="L856" s="79"/>
      <c r="M856" s="79"/>
      <c r="N856" s="79"/>
      <c r="O856" s="79"/>
      <c r="P856" s="79"/>
      <c r="Q856" s="79"/>
      <c r="R856" s="79"/>
      <c r="S856" s="79"/>
      <c r="T856" s="79"/>
      <c r="U856" s="79"/>
      <c r="V856" s="79"/>
      <c r="W856" s="79"/>
      <c r="X856" s="79"/>
      <c r="Y856" s="79"/>
      <c r="Z856" s="79"/>
    </row>
    <row r="857">
      <c r="A857" s="79"/>
      <c r="B857" s="79"/>
      <c r="C857" s="79"/>
      <c r="D857" s="79"/>
      <c r="E857" s="79"/>
      <c r="F857" s="79"/>
      <c r="G857" s="79"/>
      <c r="H857" s="79"/>
      <c r="I857" s="79"/>
      <c r="J857" s="79"/>
      <c r="K857" s="79"/>
      <c r="L857" s="79"/>
      <c r="M857" s="79"/>
      <c r="N857" s="79"/>
      <c r="O857" s="79"/>
      <c r="P857" s="79"/>
      <c r="Q857" s="79"/>
      <c r="R857" s="79"/>
      <c r="S857" s="79"/>
      <c r="T857" s="79"/>
      <c r="U857" s="79"/>
      <c r="V857" s="79"/>
      <c r="W857" s="79"/>
      <c r="X857" s="79"/>
      <c r="Y857" s="79"/>
      <c r="Z857" s="79"/>
    </row>
    <row r="858">
      <c r="A858" s="79"/>
      <c r="B858" s="79"/>
      <c r="C858" s="79"/>
      <c r="D858" s="79"/>
      <c r="E858" s="79"/>
      <c r="F858" s="79"/>
      <c r="G858" s="79"/>
      <c r="H858" s="79"/>
      <c r="I858" s="79"/>
      <c r="J858" s="79"/>
      <c r="K858" s="79"/>
      <c r="L858" s="79"/>
      <c r="M858" s="79"/>
      <c r="N858" s="79"/>
      <c r="O858" s="79"/>
      <c r="P858" s="79"/>
      <c r="Q858" s="79"/>
      <c r="R858" s="79"/>
      <c r="S858" s="79"/>
      <c r="T858" s="79"/>
      <c r="U858" s="79"/>
      <c r="V858" s="79"/>
      <c r="W858" s="79"/>
      <c r="X858" s="79"/>
      <c r="Y858" s="79"/>
      <c r="Z858" s="79"/>
    </row>
    <row r="859">
      <c r="A859" s="79"/>
      <c r="B859" s="79"/>
      <c r="C859" s="79"/>
      <c r="D859" s="79"/>
      <c r="E859" s="79"/>
      <c r="F859" s="79"/>
      <c r="G859" s="79"/>
      <c r="H859" s="79"/>
      <c r="I859" s="79"/>
      <c r="J859" s="79"/>
      <c r="K859" s="79"/>
      <c r="L859" s="79"/>
      <c r="M859" s="79"/>
      <c r="N859" s="79"/>
      <c r="O859" s="79"/>
      <c r="P859" s="79"/>
      <c r="Q859" s="79"/>
      <c r="R859" s="79"/>
      <c r="S859" s="79"/>
      <c r="T859" s="79"/>
      <c r="U859" s="79"/>
      <c r="V859" s="79"/>
      <c r="W859" s="79"/>
      <c r="X859" s="79"/>
      <c r="Y859" s="79"/>
      <c r="Z859" s="79"/>
    </row>
    <row r="860">
      <c r="A860" s="79"/>
      <c r="B860" s="79"/>
      <c r="C860" s="79"/>
      <c r="D860" s="79"/>
      <c r="E860" s="79"/>
      <c r="F860" s="79"/>
      <c r="G860" s="79"/>
      <c r="H860" s="79"/>
      <c r="I860" s="79"/>
      <c r="J860" s="79"/>
      <c r="K860" s="79"/>
      <c r="L860" s="79"/>
      <c r="M860" s="79"/>
      <c r="N860" s="79"/>
      <c r="O860" s="79"/>
      <c r="P860" s="79"/>
      <c r="Q860" s="79"/>
      <c r="R860" s="79"/>
      <c r="S860" s="79"/>
      <c r="T860" s="79"/>
      <c r="U860" s="79"/>
      <c r="V860" s="79"/>
      <c r="W860" s="79"/>
      <c r="X860" s="79"/>
      <c r="Y860" s="79"/>
      <c r="Z860" s="79"/>
    </row>
    <row r="861">
      <c r="A861" s="79"/>
      <c r="B861" s="79"/>
      <c r="C861" s="79"/>
      <c r="D861" s="79"/>
      <c r="E861" s="79"/>
      <c r="F861" s="79"/>
      <c r="G861" s="79"/>
      <c r="H861" s="79"/>
      <c r="I861" s="79"/>
      <c r="J861" s="79"/>
      <c r="K861" s="79"/>
      <c r="L861" s="79"/>
      <c r="M861" s="79"/>
      <c r="N861" s="79"/>
      <c r="O861" s="79"/>
      <c r="P861" s="79"/>
      <c r="Q861" s="79"/>
      <c r="R861" s="79"/>
      <c r="S861" s="79"/>
      <c r="T861" s="79"/>
      <c r="U861" s="79"/>
      <c r="V861" s="79"/>
      <c r="W861" s="79"/>
      <c r="X861" s="79"/>
      <c r="Y861" s="79"/>
      <c r="Z861" s="79"/>
    </row>
    <row r="862">
      <c r="A862" s="79"/>
      <c r="B862" s="79"/>
      <c r="C862" s="79"/>
      <c r="D862" s="79"/>
      <c r="E862" s="79"/>
      <c r="F862" s="79"/>
      <c r="G862" s="79"/>
      <c r="H862" s="79"/>
      <c r="I862" s="79"/>
      <c r="J862" s="79"/>
      <c r="K862" s="79"/>
      <c r="L862" s="79"/>
      <c r="M862" s="79"/>
      <c r="N862" s="79"/>
      <c r="O862" s="79"/>
      <c r="P862" s="79"/>
      <c r="Q862" s="79"/>
      <c r="R862" s="79"/>
      <c r="S862" s="79"/>
      <c r="T862" s="79"/>
      <c r="U862" s="79"/>
      <c r="V862" s="79"/>
      <c r="W862" s="79"/>
      <c r="X862" s="79"/>
      <c r="Y862" s="79"/>
      <c r="Z862" s="79"/>
    </row>
    <row r="863">
      <c r="A863" s="79"/>
      <c r="B863" s="79"/>
      <c r="C863" s="79"/>
      <c r="D863" s="79"/>
      <c r="E863" s="79"/>
      <c r="F863" s="79"/>
      <c r="G863" s="79"/>
      <c r="H863" s="79"/>
      <c r="I863" s="79"/>
      <c r="J863" s="79"/>
      <c r="K863" s="79"/>
      <c r="L863" s="79"/>
      <c r="M863" s="79"/>
      <c r="N863" s="79"/>
      <c r="O863" s="79"/>
      <c r="P863" s="79"/>
      <c r="Q863" s="79"/>
      <c r="R863" s="79"/>
      <c r="S863" s="79"/>
      <c r="T863" s="79"/>
      <c r="U863" s="79"/>
      <c r="V863" s="79"/>
      <c r="W863" s="79"/>
      <c r="X863" s="79"/>
      <c r="Y863" s="79"/>
      <c r="Z863" s="79"/>
    </row>
    <row r="864">
      <c r="A864" s="79"/>
      <c r="B864" s="79"/>
      <c r="C864" s="79"/>
      <c r="D864" s="79"/>
      <c r="E864" s="79"/>
      <c r="F864" s="79"/>
      <c r="G864" s="79"/>
      <c r="H864" s="79"/>
      <c r="I864" s="79"/>
      <c r="J864" s="79"/>
      <c r="K864" s="79"/>
      <c r="L864" s="79"/>
      <c r="M864" s="79"/>
      <c r="N864" s="79"/>
      <c r="O864" s="79"/>
      <c r="P864" s="79"/>
      <c r="Q864" s="79"/>
      <c r="R864" s="79"/>
      <c r="S864" s="79"/>
      <c r="T864" s="79"/>
      <c r="U864" s="79"/>
      <c r="V864" s="79"/>
      <c r="W864" s="79"/>
      <c r="X864" s="79"/>
      <c r="Y864" s="79"/>
      <c r="Z864" s="79"/>
    </row>
    <row r="865">
      <c r="A865" s="79"/>
      <c r="B865" s="79"/>
      <c r="C865" s="79"/>
      <c r="D865" s="79"/>
      <c r="E865" s="79"/>
      <c r="F865" s="79"/>
      <c r="G865" s="79"/>
      <c r="H865" s="79"/>
      <c r="I865" s="79"/>
      <c r="J865" s="79"/>
      <c r="K865" s="79"/>
      <c r="L865" s="79"/>
      <c r="M865" s="79"/>
      <c r="N865" s="79"/>
      <c r="O865" s="79"/>
      <c r="P865" s="79"/>
      <c r="Q865" s="79"/>
      <c r="R865" s="79"/>
      <c r="S865" s="79"/>
      <c r="T865" s="79"/>
      <c r="U865" s="79"/>
      <c r="V865" s="79"/>
      <c r="W865" s="79"/>
      <c r="X865" s="79"/>
      <c r="Y865" s="79"/>
      <c r="Z865" s="79"/>
    </row>
    <row r="866">
      <c r="A866" s="79"/>
      <c r="B866" s="79"/>
      <c r="C866" s="79"/>
      <c r="D866" s="79"/>
      <c r="E866" s="79"/>
      <c r="F866" s="79"/>
      <c r="G866" s="79"/>
      <c r="H866" s="79"/>
      <c r="I866" s="79"/>
      <c r="J866" s="79"/>
      <c r="K866" s="79"/>
      <c r="L866" s="79"/>
      <c r="M866" s="79"/>
      <c r="N866" s="79"/>
      <c r="O866" s="79"/>
      <c r="P866" s="79"/>
      <c r="Q866" s="79"/>
      <c r="R866" s="79"/>
      <c r="S866" s="79"/>
      <c r="T866" s="79"/>
      <c r="U866" s="79"/>
      <c r="V866" s="79"/>
      <c r="W866" s="79"/>
      <c r="X866" s="79"/>
      <c r="Y866" s="79"/>
      <c r="Z866" s="79"/>
    </row>
    <row r="867">
      <c r="A867" s="79"/>
      <c r="B867" s="79"/>
      <c r="C867" s="79"/>
      <c r="D867" s="79"/>
      <c r="E867" s="79"/>
      <c r="F867" s="79"/>
      <c r="G867" s="79"/>
      <c r="H867" s="79"/>
      <c r="I867" s="79"/>
      <c r="J867" s="79"/>
      <c r="K867" s="79"/>
      <c r="L867" s="79"/>
      <c r="M867" s="79"/>
      <c r="N867" s="79"/>
      <c r="O867" s="79"/>
      <c r="P867" s="79"/>
      <c r="Q867" s="79"/>
      <c r="R867" s="79"/>
      <c r="S867" s="79"/>
      <c r="T867" s="79"/>
      <c r="U867" s="79"/>
      <c r="V867" s="79"/>
      <c r="W867" s="79"/>
      <c r="X867" s="79"/>
      <c r="Y867" s="79"/>
      <c r="Z867" s="79"/>
    </row>
    <row r="868">
      <c r="A868" s="79"/>
      <c r="B868" s="79"/>
      <c r="C868" s="79"/>
      <c r="D868" s="79"/>
      <c r="E868" s="79"/>
      <c r="F868" s="79"/>
      <c r="G868" s="79"/>
      <c r="H868" s="79"/>
      <c r="I868" s="79"/>
      <c r="J868" s="79"/>
      <c r="K868" s="79"/>
      <c r="L868" s="79"/>
      <c r="M868" s="79"/>
      <c r="N868" s="79"/>
      <c r="O868" s="79"/>
      <c r="P868" s="79"/>
      <c r="Q868" s="79"/>
      <c r="R868" s="79"/>
      <c r="S868" s="79"/>
      <c r="T868" s="79"/>
      <c r="U868" s="79"/>
      <c r="V868" s="79"/>
      <c r="W868" s="79"/>
      <c r="X868" s="79"/>
      <c r="Y868" s="79"/>
      <c r="Z868" s="79"/>
    </row>
    <row r="869">
      <c r="A869" s="79"/>
      <c r="B869" s="79"/>
      <c r="C869" s="79"/>
      <c r="D869" s="79"/>
      <c r="E869" s="79"/>
      <c r="F869" s="79"/>
      <c r="G869" s="79"/>
      <c r="H869" s="79"/>
      <c r="I869" s="79"/>
      <c r="J869" s="79"/>
      <c r="K869" s="79"/>
      <c r="L869" s="79"/>
      <c r="M869" s="79"/>
      <c r="N869" s="79"/>
      <c r="O869" s="79"/>
      <c r="P869" s="79"/>
      <c r="Q869" s="79"/>
      <c r="R869" s="79"/>
      <c r="S869" s="79"/>
      <c r="T869" s="79"/>
      <c r="U869" s="79"/>
      <c r="V869" s="79"/>
      <c r="W869" s="79"/>
      <c r="X869" s="79"/>
      <c r="Y869" s="79"/>
      <c r="Z869" s="79"/>
    </row>
    <row r="870">
      <c r="A870" s="79"/>
      <c r="B870" s="79"/>
      <c r="C870" s="79"/>
      <c r="D870" s="79"/>
      <c r="E870" s="79"/>
      <c r="F870" s="79"/>
      <c r="G870" s="79"/>
      <c r="H870" s="79"/>
      <c r="I870" s="79"/>
      <c r="J870" s="79"/>
      <c r="K870" s="79"/>
      <c r="L870" s="79"/>
      <c r="M870" s="79"/>
      <c r="N870" s="79"/>
      <c r="O870" s="79"/>
      <c r="P870" s="79"/>
      <c r="Q870" s="79"/>
      <c r="R870" s="79"/>
      <c r="S870" s="79"/>
      <c r="T870" s="79"/>
      <c r="U870" s="79"/>
      <c r="V870" s="79"/>
      <c r="W870" s="79"/>
      <c r="X870" s="79"/>
      <c r="Y870" s="79"/>
      <c r="Z870" s="79"/>
    </row>
    <row r="871">
      <c r="A871" s="79"/>
      <c r="B871" s="79"/>
      <c r="C871" s="79"/>
      <c r="D871" s="79"/>
      <c r="E871" s="79"/>
      <c r="F871" s="79"/>
      <c r="G871" s="79"/>
      <c r="H871" s="79"/>
      <c r="I871" s="79"/>
      <c r="J871" s="79"/>
      <c r="K871" s="79"/>
      <c r="L871" s="79"/>
      <c r="M871" s="79"/>
      <c r="N871" s="79"/>
      <c r="O871" s="79"/>
      <c r="P871" s="79"/>
      <c r="Q871" s="79"/>
      <c r="R871" s="79"/>
      <c r="S871" s="79"/>
      <c r="T871" s="79"/>
      <c r="U871" s="79"/>
      <c r="V871" s="79"/>
      <c r="W871" s="79"/>
      <c r="X871" s="79"/>
      <c r="Y871" s="79"/>
      <c r="Z871" s="79"/>
    </row>
    <row r="872">
      <c r="A872" s="79"/>
      <c r="B872" s="79"/>
      <c r="C872" s="79"/>
      <c r="D872" s="79"/>
      <c r="E872" s="79"/>
      <c r="F872" s="79"/>
      <c r="G872" s="79"/>
      <c r="H872" s="79"/>
      <c r="I872" s="79"/>
      <c r="J872" s="79"/>
      <c r="K872" s="79"/>
      <c r="L872" s="79"/>
      <c r="M872" s="79"/>
      <c r="N872" s="79"/>
      <c r="O872" s="79"/>
      <c r="P872" s="79"/>
      <c r="Q872" s="79"/>
      <c r="R872" s="79"/>
      <c r="S872" s="79"/>
      <c r="T872" s="79"/>
      <c r="U872" s="79"/>
      <c r="V872" s="79"/>
      <c r="W872" s="79"/>
      <c r="X872" s="79"/>
      <c r="Y872" s="79"/>
      <c r="Z872" s="79"/>
    </row>
    <row r="873">
      <c r="A873" s="79"/>
      <c r="B873" s="79"/>
      <c r="C873" s="79"/>
      <c r="D873" s="79"/>
      <c r="E873" s="79"/>
      <c r="F873" s="79"/>
      <c r="G873" s="79"/>
      <c r="H873" s="79"/>
      <c r="I873" s="79"/>
      <c r="J873" s="79"/>
      <c r="K873" s="79"/>
      <c r="L873" s="79"/>
      <c r="M873" s="79"/>
      <c r="N873" s="79"/>
      <c r="O873" s="79"/>
      <c r="P873" s="79"/>
      <c r="Q873" s="79"/>
      <c r="R873" s="79"/>
      <c r="S873" s="79"/>
      <c r="T873" s="79"/>
      <c r="U873" s="79"/>
      <c r="V873" s="79"/>
      <c r="W873" s="79"/>
      <c r="X873" s="79"/>
      <c r="Y873" s="79"/>
      <c r="Z873" s="79"/>
    </row>
    <row r="874">
      <c r="A874" s="79"/>
      <c r="B874" s="79"/>
      <c r="C874" s="79"/>
      <c r="D874" s="79"/>
      <c r="E874" s="79"/>
      <c r="F874" s="79"/>
      <c r="G874" s="79"/>
      <c r="H874" s="79"/>
      <c r="I874" s="79"/>
      <c r="J874" s="79"/>
      <c r="K874" s="79"/>
      <c r="L874" s="79"/>
      <c r="M874" s="79"/>
      <c r="N874" s="79"/>
      <c r="O874" s="79"/>
      <c r="P874" s="79"/>
      <c r="Q874" s="79"/>
      <c r="R874" s="79"/>
      <c r="S874" s="79"/>
      <c r="T874" s="79"/>
      <c r="U874" s="79"/>
      <c r="V874" s="79"/>
      <c r="W874" s="79"/>
      <c r="X874" s="79"/>
      <c r="Y874" s="79"/>
      <c r="Z874" s="79"/>
    </row>
    <row r="875">
      <c r="A875" s="79"/>
      <c r="B875" s="79"/>
      <c r="C875" s="79"/>
      <c r="D875" s="79"/>
      <c r="E875" s="79"/>
      <c r="F875" s="79"/>
      <c r="G875" s="79"/>
      <c r="H875" s="79"/>
      <c r="I875" s="79"/>
      <c r="J875" s="79"/>
      <c r="K875" s="79"/>
      <c r="L875" s="79"/>
      <c r="M875" s="79"/>
      <c r="N875" s="79"/>
      <c r="O875" s="79"/>
      <c r="P875" s="79"/>
      <c r="Q875" s="79"/>
      <c r="R875" s="79"/>
      <c r="S875" s="79"/>
      <c r="T875" s="79"/>
      <c r="U875" s="79"/>
      <c r="V875" s="79"/>
      <c r="W875" s="79"/>
      <c r="X875" s="79"/>
      <c r="Y875" s="79"/>
      <c r="Z875" s="79"/>
    </row>
    <row r="876">
      <c r="A876" s="79"/>
      <c r="B876" s="79"/>
      <c r="C876" s="79"/>
      <c r="D876" s="79"/>
      <c r="E876" s="79"/>
      <c r="F876" s="79"/>
      <c r="G876" s="79"/>
      <c r="H876" s="79"/>
      <c r="I876" s="79"/>
      <c r="J876" s="79"/>
      <c r="K876" s="79"/>
      <c r="L876" s="79"/>
      <c r="M876" s="79"/>
      <c r="N876" s="79"/>
      <c r="O876" s="79"/>
      <c r="P876" s="79"/>
      <c r="Q876" s="79"/>
      <c r="R876" s="79"/>
      <c r="S876" s="79"/>
      <c r="T876" s="79"/>
      <c r="U876" s="79"/>
      <c r="V876" s="79"/>
      <c r="W876" s="79"/>
      <c r="X876" s="79"/>
      <c r="Y876" s="79"/>
      <c r="Z876" s="79"/>
    </row>
    <row r="877">
      <c r="A877" s="79"/>
      <c r="B877" s="79"/>
      <c r="C877" s="79"/>
      <c r="D877" s="79"/>
      <c r="E877" s="79"/>
      <c r="F877" s="79"/>
      <c r="G877" s="79"/>
      <c r="H877" s="79"/>
      <c r="I877" s="79"/>
      <c r="J877" s="79"/>
      <c r="K877" s="79"/>
      <c r="L877" s="79"/>
      <c r="M877" s="79"/>
      <c r="N877" s="79"/>
      <c r="O877" s="79"/>
      <c r="P877" s="79"/>
      <c r="Q877" s="79"/>
      <c r="R877" s="79"/>
      <c r="S877" s="79"/>
      <c r="T877" s="79"/>
      <c r="U877" s="79"/>
      <c r="V877" s="79"/>
      <c r="W877" s="79"/>
      <c r="X877" s="79"/>
      <c r="Y877" s="79"/>
      <c r="Z877" s="79"/>
    </row>
    <row r="878">
      <c r="A878" s="79"/>
      <c r="B878" s="79"/>
      <c r="C878" s="79"/>
      <c r="D878" s="79"/>
      <c r="E878" s="79"/>
      <c r="F878" s="79"/>
      <c r="G878" s="79"/>
      <c r="H878" s="79"/>
      <c r="I878" s="79"/>
      <c r="J878" s="79"/>
      <c r="K878" s="79"/>
      <c r="L878" s="79"/>
      <c r="M878" s="79"/>
      <c r="N878" s="79"/>
      <c r="O878" s="79"/>
      <c r="P878" s="79"/>
      <c r="Q878" s="79"/>
      <c r="R878" s="79"/>
      <c r="S878" s="79"/>
      <c r="T878" s="79"/>
      <c r="U878" s="79"/>
      <c r="V878" s="79"/>
      <c r="W878" s="79"/>
      <c r="X878" s="79"/>
      <c r="Y878" s="79"/>
      <c r="Z878" s="79"/>
    </row>
    <row r="879">
      <c r="A879" s="79"/>
      <c r="B879" s="79"/>
      <c r="C879" s="79"/>
      <c r="D879" s="79"/>
      <c r="E879" s="79"/>
      <c r="F879" s="79"/>
      <c r="G879" s="79"/>
      <c r="H879" s="79"/>
      <c r="I879" s="79"/>
      <c r="J879" s="79"/>
      <c r="K879" s="79"/>
      <c r="L879" s="79"/>
      <c r="M879" s="79"/>
      <c r="N879" s="79"/>
      <c r="O879" s="79"/>
      <c r="P879" s="79"/>
      <c r="Q879" s="79"/>
      <c r="R879" s="79"/>
      <c r="S879" s="79"/>
      <c r="T879" s="79"/>
      <c r="U879" s="79"/>
      <c r="V879" s="79"/>
      <c r="W879" s="79"/>
      <c r="X879" s="79"/>
      <c r="Y879" s="79"/>
      <c r="Z879" s="79"/>
    </row>
    <row r="880">
      <c r="A880" s="79"/>
      <c r="B880" s="79"/>
      <c r="C880" s="79"/>
      <c r="D880" s="79"/>
      <c r="E880" s="79"/>
      <c r="F880" s="79"/>
      <c r="G880" s="79"/>
      <c r="H880" s="79"/>
      <c r="I880" s="79"/>
      <c r="J880" s="79"/>
      <c r="K880" s="79"/>
      <c r="L880" s="79"/>
      <c r="M880" s="79"/>
      <c r="N880" s="79"/>
      <c r="O880" s="79"/>
      <c r="P880" s="79"/>
      <c r="Q880" s="79"/>
      <c r="R880" s="79"/>
      <c r="S880" s="79"/>
      <c r="T880" s="79"/>
      <c r="U880" s="79"/>
      <c r="V880" s="79"/>
      <c r="W880" s="79"/>
      <c r="X880" s="79"/>
      <c r="Y880" s="79"/>
      <c r="Z880" s="79"/>
    </row>
    <row r="881">
      <c r="A881" s="79"/>
      <c r="B881" s="79"/>
      <c r="C881" s="79"/>
      <c r="D881" s="79"/>
      <c r="E881" s="79"/>
      <c r="F881" s="79"/>
      <c r="G881" s="79"/>
      <c r="H881" s="79"/>
      <c r="I881" s="79"/>
      <c r="J881" s="79"/>
      <c r="K881" s="79"/>
      <c r="L881" s="79"/>
      <c r="M881" s="79"/>
      <c r="N881" s="79"/>
      <c r="O881" s="79"/>
      <c r="P881" s="79"/>
      <c r="Q881" s="79"/>
      <c r="R881" s="79"/>
      <c r="S881" s="79"/>
      <c r="T881" s="79"/>
      <c r="U881" s="79"/>
      <c r="V881" s="79"/>
      <c r="W881" s="79"/>
      <c r="X881" s="79"/>
      <c r="Y881" s="79"/>
      <c r="Z881" s="79"/>
    </row>
    <row r="882">
      <c r="A882" s="79"/>
      <c r="B882" s="79"/>
      <c r="C882" s="79"/>
      <c r="D882" s="79"/>
      <c r="E882" s="79"/>
      <c r="F882" s="79"/>
      <c r="G882" s="79"/>
      <c r="H882" s="79"/>
      <c r="I882" s="79"/>
      <c r="J882" s="79"/>
      <c r="K882" s="79"/>
      <c r="L882" s="79"/>
      <c r="M882" s="79"/>
      <c r="N882" s="79"/>
      <c r="O882" s="79"/>
      <c r="P882" s="79"/>
      <c r="Q882" s="79"/>
      <c r="R882" s="79"/>
      <c r="S882" s="79"/>
      <c r="T882" s="79"/>
      <c r="U882" s="79"/>
      <c r="V882" s="79"/>
      <c r="W882" s="79"/>
      <c r="X882" s="79"/>
      <c r="Y882" s="79"/>
      <c r="Z882" s="79"/>
    </row>
    <row r="883">
      <c r="A883" s="79"/>
      <c r="B883" s="79"/>
      <c r="C883" s="79"/>
      <c r="D883" s="79"/>
      <c r="E883" s="79"/>
      <c r="F883" s="79"/>
      <c r="G883" s="79"/>
      <c r="H883" s="79"/>
      <c r="I883" s="79"/>
      <c r="J883" s="79"/>
      <c r="K883" s="79"/>
      <c r="L883" s="79"/>
      <c r="M883" s="79"/>
      <c r="N883" s="79"/>
      <c r="O883" s="79"/>
      <c r="P883" s="79"/>
      <c r="Q883" s="79"/>
      <c r="R883" s="79"/>
      <c r="S883" s="79"/>
      <c r="T883" s="79"/>
      <c r="U883" s="79"/>
      <c r="V883" s="79"/>
      <c r="W883" s="79"/>
      <c r="X883" s="79"/>
      <c r="Y883" s="79"/>
      <c r="Z883" s="79"/>
    </row>
    <row r="884">
      <c r="A884" s="79"/>
      <c r="B884" s="79"/>
      <c r="C884" s="79"/>
      <c r="D884" s="79"/>
      <c r="E884" s="79"/>
      <c r="F884" s="79"/>
      <c r="G884" s="79"/>
      <c r="H884" s="79"/>
      <c r="I884" s="79"/>
      <c r="J884" s="79"/>
      <c r="K884" s="79"/>
      <c r="L884" s="79"/>
      <c r="M884" s="79"/>
      <c r="N884" s="79"/>
      <c r="O884" s="79"/>
      <c r="P884" s="79"/>
      <c r="Q884" s="79"/>
      <c r="R884" s="79"/>
      <c r="S884" s="79"/>
      <c r="T884" s="79"/>
      <c r="U884" s="79"/>
      <c r="V884" s="79"/>
      <c r="W884" s="79"/>
      <c r="X884" s="79"/>
      <c r="Y884" s="79"/>
      <c r="Z884" s="79"/>
    </row>
    <row r="885">
      <c r="A885" s="79"/>
      <c r="B885" s="79"/>
      <c r="C885" s="79"/>
      <c r="D885" s="79"/>
      <c r="E885" s="79"/>
      <c r="F885" s="79"/>
      <c r="G885" s="79"/>
      <c r="H885" s="79"/>
      <c r="I885" s="79"/>
      <c r="J885" s="79"/>
      <c r="K885" s="79"/>
      <c r="L885" s="79"/>
      <c r="M885" s="79"/>
      <c r="N885" s="79"/>
      <c r="O885" s="79"/>
      <c r="P885" s="79"/>
      <c r="Q885" s="79"/>
      <c r="R885" s="79"/>
      <c r="S885" s="79"/>
      <c r="T885" s="79"/>
      <c r="U885" s="79"/>
      <c r="V885" s="79"/>
      <c r="W885" s="79"/>
      <c r="X885" s="79"/>
      <c r="Y885" s="79"/>
      <c r="Z885" s="79"/>
    </row>
    <row r="886">
      <c r="A886" s="79"/>
      <c r="B886" s="79"/>
      <c r="C886" s="79"/>
      <c r="D886" s="79"/>
      <c r="E886" s="79"/>
      <c r="F886" s="79"/>
      <c r="G886" s="79"/>
      <c r="H886" s="79"/>
      <c r="I886" s="79"/>
      <c r="J886" s="79"/>
      <c r="K886" s="79"/>
      <c r="L886" s="79"/>
      <c r="M886" s="79"/>
      <c r="N886" s="79"/>
      <c r="O886" s="79"/>
      <c r="P886" s="79"/>
      <c r="Q886" s="79"/>
      <c r="R886" s="79"/>
      <c r="S886" s="79"/>
      <c r="T886" s="79"/>
      <c r="U886" s="79"/>
      <c r="V886" s="79"/>
      <c r="W886" s="79"/>
      <c r="X886" s="79"/>
      <c r="Y886" s="79"/>
      <c r="Z886" s="79"/>
    </row>
    <row r="887">
      <c r="A887" s="79"/>
      <c r="B887" s="79"/>
      <c r="C887" s="79"/>
      <c r="D887" s="79"/>
      <c r="E887" s="79"/>
      <c r="F887" s="79"/>
      <c r="G887" s="79"/>
      <c r="H887" s="79"/>
      <c r="I887" s="79"/>
      <c r="J887" s="79"/>
      <c r="K887" s="79"/>
      <c r="L887" s="79"/>
      <c r="M887" s="79"/>
      <c r="N887" s="79"/>
      <c r="O887" s="79"/>
      <c r="P887" s="79"/>
      <c r="Q887" s="79"/>
      <c r="R887" s="79"/>
      <c r="S887" s="79"/>
      <c r="T887" s="79"/>
      <c r="U887" s="79"/>
      <c r="V887" s="79"/>
      <c r="W887" s="79"/>
      <c r="X887" s="79"/>
      <c r="Y887" s="79"/>
      <c r="Z887" s="79"/>
    </row>
    <row r="888">
      <c r="A888" s="79"/>
      <c r="B888" s="79"/>
      <c r="C888" s="79"/>
      <c r="D888" s="79"/>
      <c r="E888" s="79"/>
      <c r="F888" s="79"/>
      <c r="G888" s="79"/>
      <c r="H888" s="79"/>
      <c r="I888" s="79"/>
      <c r="J888" s="79"/>
      <c r="K888" s="79"/>
      <c r="L888" s="79"/>
      <c r="M888" s="79"/>
      <c r="N888" s="79"/>
      <c r="O888" s="79"/>
      <c r="P888" s="79"/>
      <c r="Q888" s="79"/>
      <c r="R888" s="79"/>
      <c r="S888" s="79"/>
      <c r="T888" s="79"/>
      <c r="U888" s="79"/>
      <c r="V888" s="79"/>
      <c r="W888" s="79"/>
      <c r="X888" s="79"/>
      <c r="Y888" s="79"/>
      <c r="Z888" s="79"/>
    </row>
    <row r="889">
      <c r="A889" s="79"/>
      <c r="B889" s="79"/>
      <c r="C889" s="79"/>
      <c r="D889" s="79"/>
      <c r="E889" s="79"/>
      <c r="F889" s="79"/>
      <c r="G889" s="79"/>
      <c r="H889" s="79"/>
      <c r="I889" s="79"/>
      <c r="J889" s="79"/>
      <c r="K889" s="79"/>
      <c r="L889" s="79"/>
      <c r="M889" s="79"/>
      <c r="N889" s="79"/>
      <c r="O889" s="79"/>
      <c r="P889" s="79"/>
      <c r="Q889" s="79"/>
      <c r="R889" s="79"/>
      <c r="S889" s="79"/>
      <c r="T889" s="79"/>
      <c r="U889" s="79"/>
      <c r="V889" s="79"/>
      <c r="W889" s="79"/>
      <c r="X889" s="79"/>
      <c r="Y889" s="79"/>
      <c r="Z889" s="79"/>
    </row>
    <row r="890">
      <c r="A890" s="79"/>
      <c r="B890" s="79"/>
      <c r="C890" s="79"/>
      <c r="D890" s="79"/>
      <c r="E890" s="79"/>
      <c r="F890" s="79"/>
      <c r="G890" s="79"/>
      <c r="H890" s="79"/>
      <c r="I890" s="79"/>
      <c r="J890" s="79"/>
      <c r="K890" s="79"/>
      <c r="L890" s="79"/>
      <c r="M890" s="79"/>
      <c r="N890" s="79"/>
      <c r="O890" s="79"/>
      <c r="P890" s="79"/>
      <c r="Q890" s="79"/>
      <c r="R890" s="79"/>
      <c r="S890" s="79"/>
      <c r="T890" s="79"/>
      <c r="U890" s="79"/>
      <c r="V890" s="79"/>
      <c r="W890" s="79"/>
      <c r="X890" s="79"/>
      <c r="Y890" s="79"/>
      <c r="Z890" s="79"/>
    </row>
    <row r="891">
      <c r="A891" s="79"/>
      <c r="B891" s="79"/>
      <c r="C891" s="79"/>
      <c r="D891" s="79"/>
      <c r="E891" s="79"/>
      <c r="F891" s="79"/>
      <c r="G891" s="79"/>
      <c r="H891" s="79"/>
      <c r="I891" s="79"/>
      <c r="J891" s="79"/>
      <c r="K891" s="79"/>
      <c r="L891" s="79"/>
      <c r="M891" s="79"/>
      <c r="N891" s="79"/>
      <c r="O891" s="79"/>
      <c r="P891" s="79"/>
      <c r="Q891" s="79"/>
      <c r="R891" s="79"/>
      <c r="S891" s="79"/>
      <c r="T891" s="79"/>
      <c r="U891" s="79"/>
      <c r="V891" s="79"/>
      <c r="W891" s="79"/>
      <c r="X891" s="79"/>
      <c r="Y891" s="79"/>
      <c r="Z891" s="79"/>
    </row>
    <row r="892">
      <c r="A892" s="79"/>
      <c r="B892" s="79"/>
      <c r="C892" s="79"/>
      <c r="D892" s="79"/>
      <c r="E892" s="79"/>
      <c r="F892" s="79"/>
      <c r="G892" s="79"/>
      <c r="H892" s="79"/>
      <c r="I892" s="79"/>
      <c r="J892" s="79"/>
      <c r="K892" s="79"/>
      <c r="L892" s="79"/>
      <c r="M892" s="79"/>
      <c r="N892" s="79"/>
      <c r="O892" s="79"/>
      <c r="P892" s="79"/>
      <c r="Q892" s="79"/>
      <c r="R892" s="79"/>
      <c r="S892" s="79"/>
      <c r="T892" s="79"/>
      <c r="U892" s="79"/>
      <c r="V892" s="79"/>
      <c r="W892" s="79"/>
      <c r="X892" s="79"/>
      <c r="Y892" s="79"/>
      <c r="Z892" s="79"/>
    </row>
    <row r="893">
      <c r="A893" s="79"/>
      <c r="B893" s="79"/>
      <c r="C893" s="79"/>
      <c r="D893" s="79"/>
      <c r="E893" s="79"/>
      <c r="F893" s="79"/>
      <c r="G893" s="79"/>
      <c r="H893" s="79"/>
      <c r="I893" s="79"/>
      <c r="J893" s="79"/>
      <c r="K893" s="79"/>
      <c r="L893" s="79"/>
      <c r="M893" s="79"/>
      <c r="N893" s="79"/>
      <c r="O893" s="79"/>
      <c r="P893" s="79"/>
      <c r="Q893" s="79"/>
      <c r="R893" s="79"/>
      <c r="S893" s="79"/>
      <c r="T893" s="79"/>
      <c r="U893" s="79"/>
      <c r="V893" s="79"/>
      <c r="W893" s="79"/>
      <c r="X893" s="79"/>
      <c r="Y893" s="79"/>
      <c r="Z893" s="79"/>
    </row>
    <row r="894">
      <c r="A894" s="79"/>
      <c r="B894" s="79"/>
      <c r="C894" s="79"/>
      <c r="D894" s="79"/>
      <c r="E894" s="79"/>
      <c r="F894" s="79"/>
      <c r="G894" s="79"/>
      <c r="H894" s="79"/>
      <c r="I894" s="79"/>
      <c r="J894" s="79"/>
      <c r="K894" s="79"/>
      <c r="L894" s="79"/>
      <c r="M894" s="79"/>
      <c r="N894" s="79"/>
      <c r="O894" s="79"/>
      <c r="P894" s="79"/>
      <c r="Q894" s="79"/>
      <c r="R894" s="79"/>
      <c r="S894" s="79"/>
      <c r="T894" s="79"/>
      <c r="U894" s="79"/>
      <c r="V894" s="79"/>
      <c r="W894" s="79"/>
      <c r="X894" s="79"/>
      <c r="Y894" s="79"/>
      <c r="Z894" s="79"/>
    </row>
    <row r="895">
      <c r="A895" s="79"/>
      <c r="B895" s="79"/>
      <c r="C895" s="79"/>
      <c r="D895" s="79"/>
      <c r="E895" s="79"/>
      <c r="F895" s="79"/>
      <c r="G895" s="79"/>
      <c r="H895" s="79"/>
      <c r="I895" s="79"/>
      <c r="J895" s="79"/>
      <c r="K895" s="79"/>
      <c r="L895" s="79"/>
      <c r="M895" s="79"/>
      <c r="N895" s="79"/>
      <c r="O895" s="79"/>
      <c r="P895" s="79"/>
      <c r="Q895" s="79"/>
      <c r="R895" s="79"/>
      <c r="S895" s="79"/>
      <c r="T895" s="79"/>
      <c r="U895" s="79"/>
      <c r="V895" s="79"/>
      <c r="W895" s="79"/>
      <c r="X895" s="79"/>
      <c r="Y895" s="79"/>
      <c r="Z895" s="79"/>
    </row>
    <row r="896">
      <c r="A896" s="79"/>
      <c r="B896" s="79"/>
      <c r="C896" s="79"/>
      <c r="D896" s="79"/>
      <c r="E896" s="79"/>
      <c r="F896" s="79"/>
      <c r="G896" s="79"/>
      <c r="H896" s="79"/>
      <c r="I896" s="79"/>
      <c r="J896" s="79"/>
      <c r="K896" s="79"/>
      <c r="L896" s="79"/>
      <c r="M896" s="79"/>
      <c r="N896" s="79"/>
      <c r="O896" s="79"/>
      <c r="P896" s="79"/>
      <c r="Q896" s="79"/>
      <c r="R896" s="79"/>
      <c r="S896" s="79"/>
      <c r="T896" s="79"/>
      <c r="U896" s="79"/>
      <c r="V896" s="79"/>
      <c r="W896" s="79"/>
      <c r="X896" s="79"/>
      <c r="Y896" s="79"/>
      <c r="Z896" s="79"/>
    </row>
    <row r="897">
      <c r="A897" s="79"/>
      <c r="B897" s="79"/>
      <c r="C897" s="79"/>
      <c r="D897" s="79"/>
      <c r="E897" s="79"/>
      <c r="F897" s="79"/>
      <c r="G897" s="79"/>
      <c r="H897" s="79"/>
      <c r="I897" s="79"/>
      <c r="J897" s="79"/>
      <c r="K897" s="79"/>
      <c r="L897" s="79"/>
      <c r="M897" s="79"/>
      <c r="N897" s="79"/>
      <c r="O897" s="79"/>
      <c r="P897" s="79"/>
      <c r="Q897" s="79"/>
      <c r="R897" s="79"/>
      <c r="S897" s="79"/>
      <c r="T897" s="79"/>
      <c r="U897" s="79"/>
      <c r="V897" s="79"/>
      <c r="W897" s="79"/>
      <c r="X897" s="79"/>
      <c r="Y897" s="79"/>
      <c r="Z897" s="79"/>
    </row>
    <row r="898">
      <c r="A898" s="79"/>
      <c r="B898" s="79"/>
      <c r="C898" s="79"/>
      <c r="D898" s="79"/>
      <c r="E898" s="79"/>
      <c r="F898" s="79"/>
      <c r="G898" s="79"/>
      <c r="H898" s="79"/>
      <c r="I898" s="79"/>
      <c r="J898" s="79"/>
      <c r="K898" s="79"/>
      <c r="L898" s="79"/>
      <c r="M898" s="79"/>
      <c r="N898" s="79"/>
      <c r="O898" s="79"/>
      <c r="P898" s="79"/>
      <c r="Q898" s="79"/>
      <c r="R898" s="79"/>
      <c r="S898" s="79"/>
      <c r="T898" s="79"/>
      <c r="U898" s="79"/>
      <c r="V898" s="79"/>
      <c r="W898" s="79"/>
      <c r="X898" s="79"/>
      <c r="Y898" s="79"/>
      <c r="Z898" s="79"/>
    </row>
    <row r="899">
      <c r="A899" s="79"/>
      <c r="B899" s="79"/>
      <c r="C899" s="79"/>
      <c r="D899" s="79"/>
      <c r="E899" s="79"/>
      <c r="F899" s="79"/>
      <c r="G899" s="79"/>
      <c r="H899" s="79"/>
      <c r="I899" s="79"/>
      <c r="J899" s="79"/>
      <c r="K899" s="79"/>
      <c r="L899" s="79"/>
      <c r="M899" s="79"/>
      <c r="N899" s="79"/>
      <c r="O899" s="79"/>
      <c r="P899" s="79"/>
      <c r="Q899" s="79"/>
      <c r="R899" s="79"/>
      <c r="S899" s="79"/>
      <c r="T899" s="79"/>
      <c r="U899" s="79"/>
      <c r="V899" s="79"/>
      <c r="W899" s="79"/>
      <c r="X899" s="79"/>
      <c r="Y899" s="79"/>
      <c r="Z899" s="79"/>
    </row>
    <row r="900">
      <c r="A900" s="79"/>
      <c r="B900" s="79"/>
      <c r="C900" s="79"/>
      <c r="D900" s="79"/>
      <c r="E900" s="79"/>
      <c r="F900" s="79"/>
      <c r="G900" s="79"/>
      <c r="H900" s="79"/>
      <c r="I900" s="79"/>
      <c r="J900" s="79"/>
      <c r="K900" s="79"/>
      <c r="L900" s="79"/>
      <c r="M900" s="79"/>
      <c r="N900" s="79"/>
      <c r="O900" s="79"/>
      <c r="P900" s="79"/>
      <c r="Q900" s="79"/>
      <c r="R900" s="79"/>
      <c r="S900" s="79"/>
      <c r="T900" s="79"/>
      <c r="U900" s="79"/>
      <c r="V900" s="79"/>
      <c r="W900" s="79"/>
      <c r="X900" s="79"/>
      <c r="Y900" s="79"/>
      <c r="Z900" s="79"/>
    </row>
    <row r="901">
      <c r="A901" s="79"/>
      <c r="B901" s="79"/>
      <c r="C901" s="79"/>
      <c r="D901" s="79"/>
      <c r="E901" s="79"/>
      <c r="F901" s="79"/>
      <c r="G901" s="79"/>
      <c r="H901" s="79"/>
      <c r="I901" s="79"/>
      <c r="J901" s="79"/>
      <c r="K901" s="79"/>
      <c r="L901" s="79"/>
      <c r="M901" s="79"/>
      <c r="N901" s="79"/>
      <c r="O901" s="79"/>
      <c r="P901" s="79"/>
      <c r="Q901" s="79"/>
      <c r="R901" s="79"/>
      <c r="S901" s="79"/>
      <c r="T901" s="79"/>
      <c r="U901" s="79"/>
      <c r="V901" s="79"/>
      <c r="W901" s="79"/>
      <c r="X901" s="79"/>
      <c r="Y901" s="79"/>
      <c r="Z901" s="79"/>
    </row>
    <row r="902">
      <c r="A902" s="79"/>
      <c r="B902" s="79"/>
      <c r="C902" s="79"/>
      <c r="D902" s="79"/>
      <c r="E902" s="79"/>
      <c r="F902" s="79"/>
      <c r="G902" s="79"/>
      <c r="H902" s="79"/>
      <c r="I902" s="79"/>
      <c r="J902" s="79"/>
      <c r="K902" s="79"/>
      <c r="L902" s="79"/>
      <c r="M902" s="79"/>
      <c r="N902" s="79"/>
      <c r="O902" s="79"/>
      <c r="P902" s="79"/>
      <c r="Q902" s="79"/>
      <c r="R902" s="79"/>
      <c r="S902" s="79"/>
      <c r="T902" s="79"/>
      <c r="U902" s="79"/>
      <c r="V902" s="79"/>
      <c r="W902" s="79"/>
      <c r="X902" s="79"/>
      <c r="Y902" s="79"/>
      <c r="Z902" s="79"/>
    </row>
    <row r="903">
      <c r="A903" s="79"/>
      <c r="B903" s="79"/>
      <c r="C903" s="79"/>
      <c r="D903" s="79"/>
      <c r="E903" s="79"/>
      <c r="F903" s="79"/>
      <c r="G903" s="79"/>
      <c r="H903" s="79"/>
      <c r="I903" s="79"/>
      <c r="J903" s="79"/>
      <c r="K903" s="79"/>
      <c r="L903" s="79"/>
      <c r="M903" s="79"/>
      <c r="N903" s="79"/>
      <c r="O903" s="79"/>
      <c r="P903" s="79"/>
      <c r="Q903" s="79"/>
      <c r="R903" s="79"/>
      <c r="S903" s="79"/>
      <c r="T903" s="79"/>
      <c r="U903" s="79"/>
      <c r="V903" s="79"/>
      <c r="W903" s="79"/>
      <c r="X903" s="79"/>
      <c r="Y903" s="79"/>
      <c r="Z903" s="79"/>
    </row>
    <row r="904">
      <c r="A904" s="79"/>
      <c r="B904" s="79"/>
      <c r="C904" s="79"/>
      <c r="D904" s="79"/>
      <c r="E904" s="79"/>
      <c r="F904" s="79"/>
      <c r="G904" s="79"/>
      <c r="H904" s="79"/>
      <c r="I904" s="79"/>
      <c r="J904" s="79"/>
      <c r="K904" s="79"/>
      <c r="L904" s="79"/>
      <c r="M904" s="79"/>
      <c r="N904" s="79"/>
      <c r="O904" s="79"/>
      <c r="P904" s="79"/>
      <c r="Q904" s="79"/>
      <c r="R904" s="79"/>
      <c r="S904" s="79"/>
      <c r="T904" s="79"/>
      <c r="U904" s="79"/>
      <c r="V904" s="79"/>
      <c r="W904" s="79"/>
      <c r="X904" s="79"/>
      <c r="Y904" s="79"/>
      <c r="Z904" s="79"/>
    </row>
    <row r="905">
      <c r="A905" s="79"/>
      <c r="B905" s="79"/>
      <c r="C905" s="79"/>
      <c r="D905" s="79"/>
      <c r="E905" s="79"/>
      <c r="F905" s="79"/>
      <c r="G905" s="79"/>
      <c r="H905" s="79"/>
      <c r="I905" s="79"/>
      <c r="J905" s="79"/>
      <c r="K905" s="79"/>
      <c r="L905" s="79"/>
      <c r="M905" s="79"/>
      <c r="N905" s="79"/>
      <c r="O905" s="79"/>
      <c r="P905" s="79"/>
      <c r="Q905" s="79"/>
      <c r="R905" s="79"/>
      <c r="S905" s="79"/>
      <c r="T905" s="79"/>
      <c r="U905" s="79"/>
      <c r="V905" s="79"/>
      <c r="W905" s="79"/>
      <c r="X905" s="79"/>
      <c r="Y905" s="79"/>
      <c r="Z905" s="79"/>
    </row>
    <row r="906">
      <c r="A906" s="79"/>
      <c r="B906" s="79"/>
      <c r="C906" s="79"/>
      <c r="D906" s="79"/>
      <c r="E906" s="79"/>
      <c r="F906" s="79"/>
      <c r="G906" s="79"/>
      <c r="H906" s="79"/>
      <c r="I906" s="79"/>
      <c r="J906" s="79"/>
      <c r="K906" s="79"/>
      <c r="L906" s="79"/>
      <c r="M906" s="79"/>
      <c r="N906" s="79"/>
      <c r="O906" s="79"/>
      <c r="P906" s="79"/>
      <c r="Q906" s="79"/>
      <c r="R906" s="79"/>
      <c r="S906" s="79"/>
      <c r="T906" s="79"/>
      <c r="U906" s="79"/>
      <c r="V906" s="79"/>
      <c r="W906" s="79"/>
      <c r="X906" s="79"/>
      <c r="Y906" s="79"/>
      <c r="Z906" s="79"/>
    </row>
    <row r="907">
      <c r="A907" s="79"/>
      <c r="B907" s="79"/>
      <c r="C907" s="79"/>
      <c r="D907" s="79"/>
      <c r="E907" s="79"/>
      <c r="F907" s="79"/>
      <c r="G907" s="79"/>
      <c r="H907" s="79"/>
      <c r="I907" s="79"/>
      <c r="J907" s="79"/>
      <c r="K907" s="79"/>
      <c r="L907" s="79"/>
      <c r="M907" s="79"/>
      <c r="N907" s="79"/>
      <c r="O907" s="79"/>
      <c r="P907" s="79"/>
      <c r="Q907" s="79"/>
      <c r="R907" s="79"/>
      <c r="S907" s="79"/>
      <c r="T907" s="79"/>
      <c r="U907" s="79"/>
      <c r="V907" s="79"/>
      <c r="W907" s="79"/>
      <c r="X907" s="79"/>
      <c r="Y907" s="79"/>
      <c r="Z907" s="79"/>
    </row>
    <row r="908">
      <c r="A908" s="79"/>
      <c r="B908" s="79"/>
      <c r="C908" s="79"/>
      <c r="D908" s="79"/>
      <c r="E908" s="79"/>
      <c r="F908" s="79"/>
      <c r="G908" s="79"/>
      <c r="H908" s="79"/>
      <c r="I908" s="79"/>
      <c r="J908" s="79"/>
      <c r="K908" s="79"/>
      <c r="L908" s="79"/>
      <c r="M908" s="79"/>
      <c r="N908" s="79"/>
      <c r="O908" s="79"/>
      <c r="P908" s="79"/>
      <c r="Q908" s="79"/>
      <c r="R908" s="79"/>
      <c r="S908" s="79"/>
      <c r="T908" s="79"/>
      <c r="U908" s="79"/>
      <c r="V908" s="79"/>
      <c r="W908" s="79"/>
      <c r="X908" s="79"/>
      <c r="Y908" s="79"/>
      <c r="Z908" s="79"/>
    </row>
    <row r="909">
      <c r="A909" s="79"/>
      <c r="B909" s="79"/>
      <c r="C909" s="79"/>
      <c r="D909" s="79"/>
      <c r="E909" s="79"/>
      <c r="F909" s="79"/>
      <c r="G909" s="79"/>
      <c r="H909" s="79"/>
      <c r="I909" s="79"/>
      <c r="J909" s="79"/>
      <c r="K909" s="79"/>
      <c r="L909" s="79"/>
      <c r="M909" s="79"/>
      <c r="N909" s="79"/>
      <c r="O909" s="79"/>
      <c r="P909" s="79"/>
      <c r="Q909" s="79"/>
      <c r="R909" s="79"/>
      <c r="S909" s="79"/>
      <c r="T909" s="79"/>
      <c r="U909" s="79"/>
      <c r="V909" s="79"/>
      <c r="W909" s="79"/>
      <c r="X909" s="79"/>
      <c r="Y909" s="79"/>
      <c r="Z909" s="79"/>
    </row>
    <row r="910">
      <c r="A910" s="79"/>
      <c r="B910" s="79"/>
      <c r="C910" s="79"/>
      <c r="D910" s="79"/>
      <c r="E910" s="79"/>
      <c r="F910" s="79"/>
      <c r="G910" s="79"/>
      <c r="H910" s="79"/>
      <c r="I910" s="79"/>
      <c r="J910" s="79"/>
      <c r="K910" s="79"/>
      <c r="L910" s="79"/>
      <c r="M910" s="79"/>
      <c r="N910" s="79"/>
      <c r="O910" s="79"/>
      <c r="P910" s="79"/>
      <c r="Q910" s="79"/>
      <c r="R910" s="79"/>
      <c r="S910" s="79"/>
      <c r="T910" s="79"/>
      <c r="U910" s="79"/>
      <c r="V910" s="79"/>
      <c r="W910" s="79"/>
      <c r="X910" s="79"/>
      <c r="Y910" s="79"/>
      <c r="Z910" s="79"/>
    </row>
    <row r="911">
      <c r="A911" s="79"/>
      <c r="B911" s="79"/>
      <c r="C911" s="79"/>
      <c r="D911" s="79"/>
      <c r="E911" s="79"/>
      <c r="F911" s="79"/>
      <c r="G911" s="79"/>
      <c r="H911" s="79"/>
      <c r="I911" s="79"/>
      <c r="J911" s="79"/>
      <c r="K911" s="79"/>
      <c r="L911" s="79"/>
      <c r="M911" s="79"/>
      <c r="N911" s="79"/>
      <c r="O911" s="79"/>
      <c r="P911" s="79"/>
      <c r="Q911" s="79"/>
      <c r="R911" s="79"/>
      <c r="S911" s="79"/>
      <c r="T911" s="79"/>
      <c r="U911" s="79"/>
      <c r="V911" s="79"/>
      <c r="W911" s="79"/>
      <c r="X911" s="79"/>
      <c r="Y911" s="79"/>
      <c r="Z911" s="79"/>
    </row>
    <row r="912">
      <c r="A912" s="79"/>
      <c r="B912" s="79"/>
      <c r="C912" s="79"/>
      <c r="D912" s="79"/>
      <c r="E912" s="79"/>
      <c r="F912" s="79"/>
      <c r="G912" s="79"/>
      <c r="H912" s="79"/>
      <c r="I912" s="79"/>
      <c r="J912" s="79"/>
      <c r="K912" s="79"/>
      <c r="L912" s="79"/>
      <c r="M912" s="79"/>
      <c r="N912" s="79"/>
      <c r="O912" s="79"/>
      <c r="P912" s="79"/>
      <c r="Q912" s="79"/>
      <c r="R912" s="79"/>
      <c r="S912" s="79"/>
      <c r="T912" s="79"/>
      <c r="U912" s="79"/>
      <c r="V912" s="79"/>
      <c r="W912" s="79"/>
      <c r="X912" s="79"/>
      <c r="Y912" s="79"/>
      <c r="Z912" s="79"/>
    </row>
    <row r="913">
      <c r="A913" s="79"/>
      <c r="B913" s="79"/>
      <c r="C913" s="79"/>
      <c r="D913" s="79"/>
      <c r="E913" s="79"/>
      <c r="F913" s="79"/>
      <c r="G913" s="79"/>
      <c r="H913" s="79"/>
      <c r="I913" s="79"/>
      <c r="J913" s="79"/>
      <c r="K913" s="79"/>
      <c r="L913" s="79"/>
      <c r="M913" s="79"/>
      <c r="N913" s="79"/>
      <c r="O913" s="79"/>
      <c r="P913" s="79"/>
      <c r="Q913" s="79"/>
      <c r="R913" s="79"/>
      <c r="S913" s="79"/>
      <c r="T913" s="79"/>
      <c r="U913" s="79"/>
      <c r="V913" s="79"/>
      <c r="W913" s="79"/>
      <c r="X913" s="79"/>
      <c r="Y913" s="79"/>
      <c r="Z913" s="79"/>
    </row>
    <row r="914">
      <c r="A914" s="79"/>
      <c r="B914" s="79"/>
      <c r="C914" s="79"/>
      <c r="D914" s="79"/>
      <c r="E914" s="79"/>
      <c r="F914" s="79"/>
      <c r="G914" s="79"/>
      <c r="H914" s="79"/>
      <c r="I914" s="79"/>
      <c r="J914" s="79"/>
      <c r="K914" s="79"/>
      <c r="L914" s="79"/>
      <c r="M914" s="79"/>
      <c r="N914" s="79"/>
      <c r="O914" s="79"/>
      <c r="P914" s="79"/>
      <c r="Q914" s="79"/>
      <c r="R914" s="79"/>
      <c r="S914" s="79"/>
      <c r="T914" s="79"/>
      <c r="U914" s="79"/>
      <c r="V914" s="79"/>
      <c r="W914" s="79"/>
      <c r="X914" s="79"/>
      <c r="Y914" s="79"/>
      <c r="Z914" s="79"/>
    </row>
    <row r="915">
      <c r="A915" s="79"/>
      <c r="B915" s="79"/>
      <c r="C915" s="79"/>
      <c r="D915" s="79"/>
      <c r="E915" s="79"/>
      <c r="F915" s="79"/>
      <c r="G915" s="79"/>
      <c r="H915" s="79"/>
      <c r="I915" s="79"/>
      <c r="J915" s="79"/>
      <c r="K915" s="79"/>
      <c r="L915" s="79"/>
      <c r="M915" s="79"/>
      <c r="N915" s="79"/>
      <c r="O915" s="79"/>
      <c r="P915" s="79"/>
      <c r="Q915" s="79"/>
      <c r="R915" s="79"/>
      <c r="S915" s="79"/>
      <c r="T915" s="79"/>
      <c r="U915" s="79"/>
      <c r="V915" s="79"/>
      <c r="W915" s="79"/>
      <c r="X915" s="79"/>
      <c r="Y915" s="79"/>
      <c r="Z915" s="79"/>
    </row>
    <row r="916">
      <c r="A916" s="79"/>
      <c r="B916" s="79"/>
      <c r="C916" s="79"/>
      <c r="D916" s="79"/>
      <c r="E916" s="79"/>
      <c r="F916" s="79"/>
      <c r="G916" s="79"/>
      <c r="H916" s="79"/>
      <c r="I916" s="79"/>
      <c r="J916" s="79"/>
      <c r="K916" s="79"/>
      <c r="L916" s="79"/>
      <c r="M916" s="79"/>
      <c r="N916" s="79"/>
      <c r="O916" s="79"/>
      <c r="P916" s="79"/>
      <c r="Q916" s="79"/>
      <c r="R916" s="79"/>
      <c r="S916" s="79"/>
      <c r="T916" s="79"/>
      <c r="U916" s="79"/>
      <c r="V916" s="79"/>
      <c r="W916" s="79"/>
      <c r="X916" s="79"/>
      <c r="Y916" s="79"/>
      <c r="Z916" s="79"/>
    </row>
    <row r="917">
      <c r="A917" s="79"/>
      <c r="B917" s="79"/>
      <c r="C917" s="79"/>
      <c r="D917" s="79"/>
      <c r="E917" s="79"/>
      <c r="F917" s="79"/>
      <c r="G917" s="79"/>
      <c r="H917" s="79"/>
      <c r="I917" s="79"/>
      <c r="J917" s="79"/>
      <c r="K917" s="79"/>
      <c r="L917" s="79"/>
      <c r="M917" s="79"/>
      <c r="N917" s="79"/>
      <c r="O917" s="79"/>
      <c r="P917" s="79"/>
      <c r="Q917" s="79"/>
      <c r="R917" s="79"/>
      <c r="S917" s="79"/>
      <c r="T917" s="79"/>
      <c r="U917" s="79"/>
      <c r="V917" s="79"/>
      <c r="W917" s="79"/>
      <c r="X917" s="79"/>
      <c r="Y917" s="79"/>
      <c r="Z917" s="79"/>
    </row>
    <row r="918">
      <c r="A918" s="79"/>
      <c r="B918" s="79"/>
      <c r="C918" s="79"/>
      <c r="D918" s="79"/>
      <c r="E918" s="79"/>
      <c r="F918" s="79"/>
      <c r="G918" s="79"/>
      <c r="H918" s="79"/>
      <c r="I918" s="79"/>
      <c r="J918" s="79"/>
      <c r="K918" s="79"/>
      <c r="L918" s="79"/>
      <c r="M918" s="79"/>
      <c r="N918" s="79"/>
      <c r="O918" s="79"/>
      <c r="P918" s="79"/>
      <c r="Q918" s="79"/>
      <c r="R918" s="79"/>
      <c r="S918" s="79"/>
      <c r="T918" s="79"/>
      <c r="U918" s="79"/>
      <c r="V918" s="79"/>
      <c r="W918" s="79"/>
      <c r="X918" s="79"/>
      <c r="Y918" s="79"/>
      <c r="Z918" s="79"/>
    </row>
    <row r="919">
      <c r="A919" s="79"/>
      <c r="B919" s="79"/>
      <c r="C919" s="79"/>
      <c r="D919" s="79"/>
      <c r="E919" s="79"/>
      <c r="F919" s="79"/>
      <c r="G919" s="79"/>
      <c r="H919" s="79"/>
      <c r="I919" s="79"/>
      <c r="J919" s="79"/>
      <c r="K919" s="79"/>
      <c r="L919" s="79"/>
      <c r="M919" s="79"/>
      <c r="N919" s="79"/>
      <c r="O919" s="79"/>
      <c r="P919" s="79"/>
      <c r="Q919" s="79"/>
      <c r="R919" s="79"/>
      <c r="S919" s="79"/>
      <c r="T919" s="79"/>
      <c r="U919" s="79"/>
      <c r="V919" s="79"/>
      <c r="W919" s="79"/>
      <c r="X919" s="79"/>
      <c r="Y919" s="79"/>
      <c r="Z919" s="79"/>
    </row>
    <row r="920">
      <c r="A920" s="79"/>
      <c r="B920" s="79"/>
      <c r="C920" s="79"/>
      <c r="D920" s="79"/>
      <c r="E920" s="79"/>
      <c r="F920" s="79"/>
      <c r="G920" s="79"/>
      <c r="H920" s="79"/>
      <c r="I920" s="79"/>
      <c r="J920" s="79"/>
      <c r="K920" s="79"/>
      <c r="L920" s="79"/>
      <c r="M920" s="79"/>
      <c r="N920" s="79"/>
      <c r="O920" s="79"/>
      <c r="P920" s="79"/>
      <c r="Q920" s="79"/>
      <c r="R920" s="79"/>
      <c r="S920" s="79"/>
      <c r="T920" s="79"/>
      <c r="U920" s="79"/>
      <c r="V920" s="79"/>
      <c r="W920" s="79"/>
      <c r="X920" s="79"/>
      <c r="Y920" s="79"/>
      <c r="Z920" s="79"/>
    </row>
    <row r="921">
      <c r="A921" s="79"/>
      <c r="B921" s="79"/>
      <c r="C921" s="79"/>
      <c r="D921" s="79"/>
      <c r="E921" s="79"/>
      <c r="F921" s="79"/>
      <c r="G921" s="79"/>
      <c r="H921" s="79"/>
      <c r="I921" s="79"/>
      <c r="J921" s="79"/>
      <c r="K921" s="79"/>
      <c r="L921" s="79"/>
      <c r="M921" s="79"/>
      <c r="N921" s="79"/>
      <c r="O921" s="79"/>
      <c r="P921" s="79"/>
      <c r="Q921" s="79"/>
      <c r="R921" s="79"/>
      <c r="S921" s="79"/>
      <c r="T921" s="79"/>
      <c r="U921" s="79"/>
      <c r="V921" s="79"/>
      <c r="W921" s="79"/>
      <c r="X921" s="79"/>
      <c r="Y921" s="79"/>
      <c r="Z921" s="79"/>
    </row>
    <row r="922">
      <c r="A922" s="79"/>
      <c r="B922" s="79"/>
      <c r="C922" s="79"/>
      <c r="D922" s="79"/>
      <c r="E922" s="79"/>
      <c r="F922" s="79"/>
      <c r="G922" s="79"/>
      <c r="H922" s="79"/>
      <c r="I922" s="79"/>
      <c r="J922" s="79"/>
      <c r="K922" s="79"/>
      <c r="L922" s="79"/>
      <c r="M922" s="79"/>
      <c r="N922" s="79"/>
      <c r="O922" s="79"/>
      <c r="P922" s="79"/>
      <c r="Q922" s="79"/>
      <c r="R922" s="79"/>
      <c r="S922" s="79"/>
      <c r="T922" s="79"/>
      <c r="U922" s="79"/>
      <c r="V922" s="79"/>
      <c r="W922" s="79"/>
      <c r="X922" s="79"/>
      <c r="Y922" s="79"/>
      <c r="Z922" s="79"/>
    </row>
    <row r="923">
      <c r="A923" s="79"/>
      <c r="B923" s="79"/>
      <c r="C923" s="79"/>
      <c r="D923" s="79"/>
      <c r="E923" s="79"/>
      <c r="F923" s="79"/>
      <c r="G923" s="79"/>
      <c r="H923" s="79"/>
      <c r="I923" s="79"/>
      <c r="J923" s="79"/>
      <c r="K923" s="79"/>
      <c r="L923" s="79"/>
      <c r="M923" s="79"/>
      <c r="N923" s="79"/>
      <c r="O923" s="79"/>
      <c r="P923" s="79"/>
      <c r="Q923" s="79"/>
      <c r="R923" s="79"/>
      <c r="S923" s="79"/>
      <c r="T923" s="79"/>
      <c r="U923" s="79"/>
      <c r="V923" s="79"/>
      <c r="W923" s="79"/>
      <c r="X923" s="79"/>
      <c r="Y923" s="79"/>
      <c r="Z923" s="79"/>
    </row>
    <row r="924">
      <c r="A924" s="79"/>
      <c r="B924" s="79"/>
      <c r="C924" s="79"/>
      <c r="D924" s="79"/>
      <c r="E924" s="79"/>
      <c r="F924" s="79"/>
      <c r="G924" s="79"/>
      <c r="H924" s="79"/>
      <c r="I924" s="79"/>
      <c r="J924" s="79"/>
      <c r="K924" s="79"/>
      <c r="L924" s="79"/>
      <c r="M924" s="79"/>
      <c r="N924" s="79"/>
      <c r="O924" s="79"/>
      <c r="P924" s="79"/>
      <c r="Q924" s="79"/>
      <c r="R924" s="79"/>
      <c r="S924" s="79"/>
      <c r="T924" s="79"/>
      <c r="U924" s="79"/>
      <c r="V924" s="79"/>
      <c r="W924" s="79"/>
      <c r="X924" s="79"/>
      <c r="Y924" s="79"/>
      <c r="Z924" s="79"/>
    </row>
    <row r="925">
      <c r="A925" s="79"/>
      <c r="B925" s="79"/>
      <c r="C925" s="79"/>
      <c r="D925" s="79"/>
      <c r="E925" s="79"/>
      <c r="F925" s="79"/>
      <c r="G925" s="79"/>
      <c r="H925" s="79"/>
      <c r="I925" s="79"/>
      <c r="J925" s="79"/>
      <c r="K925" s="79"/>
      <c r="L925" s="79"/>
      <c r="M925" s="79"/>
      <c r="N925" s="79"/>
      <c r="O925" s="79"/>
      <c r="P925" s="79"/>
      <c r="Q925" s="79"/>
      <c r="R925" s="79"/>
      <c r="S925" s="79"/>
      <c r="T925" s="79"/>
      <c r="U925" s="79"/>
      <c r="V925" s="79"/>
      <c r="W925" s="79"/>
      <c r="X925" s="79"/>
      <c r="Y925" s="79"/>
      <c r="Z925" s="79"/>
    </row>
    <row r="926">
      <c r="A926" s="79"/>
      <c r="B926" s="79"/>
      <c r="C926" s="79"/>
      <c r="D926" s="79"/>
      <c r="E926" s="79"/>
      <c r="F926" s="79"/>
      <c r="G926" s="79"/>
      <c r="H926" s="79"/>
      <c r="I926" s="79"/>
      <c r="J926" s="79"/>
      <c r="K926" s="79"/>
      <c r="L926" s="79"/>
      <c r="M926" s="79"/>
      <c r="N926" s="79"/>
      <c r="O926" s="79"/>
      <c r="P926" s="79"/>
      <c r="Q926" s="79"/>
      <c r="R926" s="79"/>
      <c r="S926" s="79"/>
      <c r="T926" s="79"/>
      <c r="U926" s="79"/>
      <c r="V926" s="79"/>
      <c r="W926" s="79"/>
      <c r="X926" s="79"/>
      <c r="Y926" s="79"/>
      <c r="Z926" s="79"/>
    </row>
    <row r="927">
      <c r="A927" s="79"/>
      <c r="B927" s="79"/>
      <c r="C927" s="79"/>
      <c r="D927" s="79"/>
      <c r="E927" s="79"/>
      <c r="F927" s="79"/>
      <c r="G927" s="79"/>
      <c r="H927" s="79"/>
      <c r="I927" s="79"/>
      <c r="J927" s="79"/>
      <c r="K927" s="79"/>
      <c r="L927" s="79"/>
      <c r="M927" s="79"/>
      <c r="N927" s="79"/>
      <c r="O927" s="79"/>
      <c r="P927" s="79"/>
      <c r="Q927" s="79"/>
      <c r="R927" s="79"/>
      <c r="S927" s="79"/>
      <c r="T927" s="79"/>
      <c r="U927" s="79"/>
      <c r="V927" s="79"/>
      <c r="W927" s="79"/>
      <c r="X927" s="79"/>
      <c r="Y927" s="79"/>
      <c r="Z927" s="79"/>
    </row>
    <row r="928">
      <c r="A928" s="79"/>
      <c r="B928" s="79"/>
      <c r="C928" s="79"/>
      <c r="D928" s="79"/>
      <c r="E928" s="79"/>
      <c r="F928" s="79"/>
      <c r="G928" s="79"/>
      <c r="H928" s="79"/>
      <c r="I928" s="79"/>
      <c r="J928" s="79"/>
      <c r="K928" s="79"/>
      <c r="L928" s="79"/>
      <c r="M928" s="79"/>
      <c r="N928" s="79"/>
      <c r="O928" s="79"/>
      <c r="P928" s="79"/>
      <c r="Q928" s="79"/>
      <c r="R928" s="79"/>
      <c r="S928" s="79"/>
      <c r="T928" s="79"/>
      <c r="U928" s="79"/>
      <c r="V928" s="79"/>
      <c r="W928" s="79"/>
      <c r="X928" s="79"/>
      <c r="Y928" s="79"/>
      <c r="Z928" s="79"/>
    </row>
    <row r="929">
      <c r="A929" s="79"/>
      <c r="B929" s="79"/>
      <c r="C929" s="79"/>
      <c r="D929" s="79"/>
      <c r="E929" s="79"/>
      <c r="F929" s="79"/>
      <c r="G929" s="79"/>
      <c r="H929" s="79"/>
      <c r="I929" s="79"/>
      <c r="J929" s="79"/>
      <c r="K929" s="79"/>
      <c r="L929" s="79"/>
      <c r="M929" s="79"/>
      <c r="N929" s="79"/>
      <c r="O929" s="79"/>
      <c r="P929" s="79"/>
      <c r="Q929" s="79"/>
      <c r="R929" s="79"/>
      <c r="S929" s="79"/>
      <c r="T929" s="79"/>
      <c r="U929" s="79"/>
      <c r="V929" s="79"/>
      <c r="W929" s="79"/>
      <c r="X929" s="79"/>
      <c r="Y929" s="79"/>
      <c r="Z929" s="79"/>
    </row>
    <row r="930">
      <c r="A930" s="79"/>
      <c r="B930" s="79"/>
      <c r="C930" s="79"/>
      <c r="D930" s="79"/>
      <c r="E930" s="79"/>
      <c r="F930" s="79"/>
      <c r="G930" s="79"/>
      <c r="H930" s="79"/>
      <c r="I930" s="79"/>
      <c r="J930" s="79"/>
      <c r="K930" s="79"/>
      <c r="L930" s="79"/>
      <c r="M930" s="79"/>
      <c r="N930" s="79"/>
      <c r="O930" s="79"/>
      <c r="P930" s="79"/>
      <c r="Q930" s="79"/>
      <c r="R930" s="79"/>
      <c r="S930" s="79"/>
      <c r="T930" s="79"/>
      <c r="U930" s="79"/>
      <c r="V930" s="79"/>
      <c r="W930" s="79"/>
      <c r="X930" s="79"/>
      <c r="Y930" s="79"/>
      <c r="Z930" s="79"/>
    </row>
    <row r="931">
      <c r="A931" s="79"/>
      <c r="B931" s="79"/>
      <c r="C931" s="79"/>
      <c r="D931" s="79"/>
      <c r="E931" s="79"/>
      <c r="F931" s="79"/>
      <c r="G931" s="79"/>
      <c r="H931" s="79"/>
      <c r="I931" s="79"/>
      <c r="J931" s="79"/>
      <c r="K931" s="79"/>
      <c r="L931" s="79"/>
      <c r="M931" s="79"/>
      <c r="N931" s="79"/>
      <c r="O931" s="79"/>
      <c r="P931" s="79"/>
      <c r="Q931" s="79"/>
      <c r="R931" s="79"/>
      <c r="S931" s="79"/>
      <c r="T931" s="79"/>
      <c r="U931" s="79"/>
      <c r="V931" s="79"/>
      <c r="W931" s="79"/>
      <c r="X931" s="79"/>
      <c r="Y931" s="79"/>
      <c r="Z931" s="79"/>
    </row>
    <row r="932">
      <c r="A932" s="79"/>
      <c r="B932" s="79"/>
      <c r="C932" s="79"/>
      <c r="D932" s="79"/>
      <c r="E932" s="79"/>
      <c r="F932" s="79"/>
      <c r="G932" s="79"/>
      <c r="H932" s="79"/>
      <c r="I932" s="79"/>
      <c r="J932" s="79"/>
      <c r="K932" s="79"/>
      <c r="L932" s="79"/>
      <c r="M932" s="79"/>
      <c r="N932" s="79"/>
      <c r="O932" s="79"/>
      <c r="P932" s="79"/>
      <c r="Q932" s="79"/>
      <c r="R932" s="79"/>
      <c r="S932" s="79"/>
      <c r="T932" s="79"/>
      <c r="U932" s="79"/>
      <c r="V932" s="79"/>
      <c r="W932" s="79"/>
      <c r="X932" s="79"/>
      <c r="Y932" s="79"/>
      <c r="Z932" s="79"/>
    </row>
    <row r="933">
      <c r="A933" s="79"/>
      <c r="B933" s="79"/>
      <c r="C933" s="79"/>
      <c r="D933" s="79"/>
      <c r="E933" s="79"/>
      <c r="F933" s="79"/>
      <c r="G933" s="79"/>
      <c r="H933" s="79"/>
      <c r="I933" s="79"/>
      <c r="J933" s="79"/>
      <c r="K933" s="79"/>
      <c r="L933" s="79"/>
      <c r="M933" s="79"/>
      <c r="N933" s="79"/>
      <c r="O933" s="79"/>
      <c r="P933" s="79"/>
      <c r="Q933" s="79"/>
      <c r="R933" s="79"/>
      <c r="S933" s="79"/>
      <c r="T933" s="79"/>
      <c r="U933" s="79"/>
      <c r="V933" s="79"/>
      <c r="W933" s="79"/>
      <c r="X933" s="79"/>
      <c r="Y933" s="79"/>
      <c r="Z933" s="79"/>
    </row>
    <row r="934">
      <c r="A934" s="79"/>
      <c r="B934" s="79"/>
      <c r="C934" s="79"/>
      <c r="D934" s="79"/>
      <c r="E934" s="79"/>
      <c r="F934" s="79"/>
      <c r="G934" s="79"/>
      <c r="H934" s="79"/>
      <c r="I934" s="79"/>
      <c r="J934" s="79"/>
      <c r="K934" s="79"/>
      <c r="L934" s="79"/>
      <c r="M934" s="79"/>
      <c r="N934" s="79"/>
      <c r="O934" s="79"/>
      <c r="P934" s="79"/>
      <c r="Q934" s="79"/>
      <c r="R934" s="79"/>
      <c r="S934" s="79"/>
      <c r="T934" s="79"/>
      <c r="U934" s="79"/>
      <c r="V934" s="79"/>
      <c r="W934" s="79"/>
      <c r="X934" s="79"/>
      <c r="Y934" s="79"/>
      <c r="Z934" s="79"/>
    </row>
    <row r="935">
      <c r="A935" s="79"/>
      <c r="B935" s="79"/>
      <c r="C935" s="79"/>
      <c r="D935" s="79"/>
      <c r="E935" s="79"/>
      <c r="F935" s="79"/>
      <c r="G935" s="79"/>
      <c r="H935" s="79"/>
      <c r="I935" s="79"/>
      <c r="J935" s="79"/>
      <c r="K935" s="79"/>
      <c r="L935" s="79"/>
      <c r="M935" s="79"/>
      <c r="N935" s="79"/>
      <c r="O935" s="79"/>
      <c r="P935" s="79"/>
      <c r="Q935" s="79"/>
      <c r="R935" s="79"/>
      <c r="S935" s="79"/>
      <c r="T935" s="79"/>
      <c r="U935" s="79"/>
      <c r="V935" s="79"/>
      <c r="W935" s="79"/>
      <c r="X935" s="79"/>
      <c r="Y935" s="79"/>
      <c r="Z935" s="79"/>
    </row>
    <row r="936">
      <c r="A936" s="79"/>
      <c r="B936" s="79"/>
      <c r="C936" s="79"/>
      <c r="D936" s="79"/>
      <c r="E936" s="79"/>
      <c r="F936" s="79"/>
      <c r="G936" s="79"/>
      <c r="H936" s="79"/>
      <c r="I936" s="79"/>
      <c r="J936" s="79"/>
      <c r="K936" s="79"/>
      <c r="L936" s="79"/>
      <c r="M936" s="79"/>
      <c r="N936" s="79"/>
      <c r="O936" s="79"/>
      <c r="P936" s="79"/>
      <c r="Q936" s="79"/>
      <c r="R936" s="79"/>
      <c r="S936" s="79"/>
      <c r="T936" s="79"/>
      <c r="U936" s="79"/>
      <c r="V936" s="79"/>
      <c r="W936" s="79"/>
      <c r="X936" s="79"/>
      <c r="Y936" s="79"/>
      <c r="Z936" s="79"/>
    </row>
    <row r="937">
      <c r="A937" s="79"/>
      <c r="B937" s="79"/>
      <c r="C937" s="79"/>
      <c r="D937" s="79"/>
      <c r="E937" s="79"/>
      <c r="F937" s="79"/>
      <c r="G937" s="79"/>
      <c r="H937" s="79"/>
      <c r="I937" s="79"/>
      <c r="J937" s="79"/>
      <c r="K937" s="79"/>
      <c r="L937" s="79"/>
      <c r="M937" s="79"/>
      <c r="N937" s="79"/>
      <c r="O937" s="79"/>
      <c r="P937" s="79"/>
      <c r="Q937" s="79"/>
      <c r="R937" s="79"/>
      <c r="S937" s="79"/>
      <c r="T937" s="79"/>
      <c r="U937" s="79"/>
      <c r="V937" s="79"/>
      <c r="W937" s="79"/>
      <c r="X937" s="79"/>
      <c r="Y937" s="79"/>
      <c r="Z937" s="79"/>
    </row>
    <row r="938">
      <c r="A938" s="79"/>
      <c r="B938" s="79"/>
      <c r="C938" s="79"/>
      <c r="D938" s="79"/>
      <c r="E938" s="79"/>
      <c r="F938" s="79"/>
      <c r="G938" s="79"/>
      <c r="H938" s="79"/>
      <c r="I938" s="79"/>
      <c r="J938" s="79"/>
      <c r="K938" s="79"/>
      <c r="L938" s="79"/>
      <c r="M938" s="79"/>
      <c r="N938" s="79"/>
      <c r="O938" s="79"/>
      <c r="P938" s="79"/>
      <c r="Q938" s="79"/>
      <c r="R938" s="79"/>
      <c r="S938" s="79"/>
      <c r="T938" s="79"/>
      <c r="U938" s="79"/>
      <c r="V938" s="79"/>
      <c r="W938" s="79"/>
      <c r="X938" s="79"/>
      <c r="Y938" s="79"/>
      <c r="Z938" s="79"/>
    </row>
    <row r="939">
      <c r="A939" s="79"/>
      <c r="B939" s="79"/>
      <c r="C939" s="79"/>
      <c r="D939" s="79"/>
      <c r="E939" s="79"/>
      <c r="F939" s="79"/>
      <c r="G939" s="79"/>
      <c r="H939" s="79"/>
      <c r="I939" s="79"/>
      <c r="J939" s="79"/>
      <c r="K939" s="79"/>
      <c r="L939" s="79"/>
      <c r="M939" s="79"/>
      <c r="N939" s="79"/>
      <c r="O939" s="79"/>
      <c r="P939" s="79"/>
      <c r="Q939" s="79"/>
      <c r="R939" s="79"/>
      <c r="S939" s="79"/>
      <c r="T939" s="79"/>
      <c r="U939" s="79"/>
      <c r="V939" s="79"/>
      <c r="W939" s="79"/>
      <c r="X939" s="79"/>
      <c r="Y939" s="79"/>
      <c r="Z939" s="79"/>
    </row>
    <row r="940">
      <c r="A940" s="79"/>
      <c r="B940" s="79"/>
      <c r="C940" s="79"/>
      <c r="D940" s="79"/>
      <c r="E940" s="79"/>
      <c r="F940" s="79"/>
      <c r="G940" s="79"/>
      <c r="H940" s="79"/>
      <c r="I940" s="79"/>
      <c r="J940" s="79"/>
      <c r="K940" s="79"/>
      <c r="L940" s="79"/>
      <c r="M940" s="79"/>
      <c r="N940" s="79"/>
      <c r="O940" s="79"/>
      <c r="P940" s="79"/>
      <c r="Q940" s="79"/>
      <c r="R940" s="79"/>
      <c r="S940" s="79"/>
      <c r="T940" s="79"/>
      <c r="U940" s="79"/>
      <c r="V940" s="79"/>
      <c r="W940" s="79"/>
      <c r="X940" s="79"/>
      <c r="Y940" s="79"/>
      <c r="Z940" s="79"/>
    </row>
    <row r="941">
      <c r="A941" s="79"/>
      <c r="B941" s="79"/>
      <c r="C941" s="79"/>
      <c r="D941" s="79"/>
      <c r="E941" s="79"/>
      <c r="F941" s="79"/>
      <c r="G941" s="79"/>
      <c r="H941" s="79"/>
      <c r="I941" s="79"/>
      <c r="J941" s="79"/>
      <c r="K941" s="79"/>
      <c r="L941" s="79"/>
      <c r="M941" s="79"/>
      <c r="N941" s="79"/>
      <c r="O941" s="79"/>
      <c r="P941" s="79"/>
      <c r="Q941" s="79"/>
      <c r="R941" s="79"/>
      <c r="S941" s="79"/>
      <c r="T941" s="79"/>
      <c r="U941" s="79"/>
      <c r="V941" s="79"/>
      <c r="W941" s="79"/>
      <c r="X941" s="79"/>
      <c r="Y941" s="79"/>
      <c r="Z941" s="79"/>
    </row>
    <row r="942">
      <c r="A942" s="79"/>
      <c r="B942" s="79"/>
      <c r="C942" s="79"/>
      <c r="D942" s="79"/>
      <c r="E942" s="79"/>
      <c r="F942" s="79"/>
      <c r="G942" s="79"/>
      <c r="H942" s="79"/>
      <c r="I942" s="79"/>
      <c r="J942" s="79"/>
      <c r="K942" s="79"/>
      <c r="L942" s="79"/>
      <c r="M942" s="79"/>
      <c r="N942" s="79"/>
      <c r="O942" s="79"/>
      <c r="P942" s="79"/>
      <c r="Q942" s="79"/>
      <c r="R942" s="79"/>
      <c r="S942" s="79"/>
      <c r="T942" s="79"/>
      <c r="U942" s="79"/>
      <c r="V942" s="79"/>
      <c r="W942" s="79"/>
      <c r="X942" s="79"/>
      <c r="Y942" s="79"/>
      <c r="Z942" s="79"/>
    </row>
    <row r="943">
      <c r="A943" s="79"/>
      <c r="B943" s="79"/>
      <c r="C943" s="79"/>
      <c r="D943" s="79"/>
      <c r="E943" s="79"/>
      <c r="F943" s="79"/>
      <c r="G943" s="79"/>
      <c r="H943" s="79"/>
      <c r="I943" s="79"/>
      <c r="J943" s="79"/>
      <c r="K943" s="79"/>
      <c r="L943" s="79"/>
      <c r="M943" s="79"/>
      <c r="N943" s="79"/>
      <c r="O943" s="79"/>
      <c r="P943" s="79"/>
      <c r="Q943" s="79"/>
      <c r="R943" s="79"/>
      <c r="S943" s="79"/>
      <c r="T943" s="79"/>
      <c r="U943" s="79"/>
      <c r="V943" s="79"/>
      <c r="W943" s="79"/>
      <c r="X943" s="79"/>
      <c r="Y943" s="79"/>
      <c r="Z943" s="79"/>
    </row>
    <row r="944">
      <c r="A944" s="79"/>
      <c r="B944" s="79"/>
      <c r="C944" s="79"/>
      <c r="D944" s="79"/>
      <c r="E944" s="79"/>
      <c r="F944" s="79"/>
      <c r="G944" s="79"/>
      <c r="H944" s="79"/>
      <c r="I944" s="79"/>
      <c r="J944" s="79"/>
      <c r="K944" s="79"/>
      <c r="L944" s="79"/>
      <c r="M944" s="79"/>
      <c r="N944" s="79"/>
      <c r="O944" s="79"/>
      <c r="P944" s="79"/>
      <c r="Q944" s="79"/>
      <c r="R944" s="79"/>
      <c r="S944" s="79"/>
      <c r="T944" s="79"/>
      <c r="U944" s="79"/>
      <c r="V944" s="79"/>
      <c r="W944" s="79"/>
      <c r="X944" s="79"/>
      <c r="Y944" s="79"/>
      <c r="Z944" s="79"/>
    </row>
    <row r="945">
      <c r="A945" s="79"/>
      <c r="B945" s="79"/>
      <c r="C945" s="79"/>
      <c r="D945" s="79"/>
      <c r="E945" s="79"/>
      <c r="F945" s="79"/>
      <c r="G945" s="79"/>
      <c r="H945" s="79"/>
      <c r="I945" s="79"/>
      <c r="J945" s="79"/>
      <c r="K945" s="79"/>
      <c r="L945" s="79"/>
      <c r="M945" s="79"/>
      <c r="N945" s="79"/>
      <c r="O945" s="79"/>
      <c r="P945" s="79"/>
      <c r="Q945" s="79"/>
      <c r="R945" s="79"/>
      <c r="S945" s="79"/>
      <c r="T945" s="79"/>
      <c r="U945" s="79"/>
      <c r="V945" s="79"/>
      <c r="W945" s="79"/>
      <c r="X945" s="79"/>
      <c r="Y945" s="79"/>
      <c r="Z945" s="79"/>
    </row>
    <row r="946">
      <c r="A946" s="79"/>
      <c r="B946" s="79"/>
      <c r="C946" s="79"/>
      <c r="D946" s="79"/>
      <c r="E946" s="79"/>
      <c r="F946" s="79"/>
      <c r="G946" s="79"/>
      <c r="H946" s="79"/>
      <c r="I946" s="79"/>
      <c r="J946" s="79"/>
      <c r="K946" s="79"/>
      <c r="L946" s="79"/>
      <c r="M946" s="79"/>
      <c r="N946" s="79"/>
      <c r="O946" s="79"/>
      <c r="P946" s="79"/>
      <c r="Q946" s="79"/>
      <c r="R946" s="79"/>
      <c r="S946" s="79"/>
      <c r="T946" s="79"/>
      <c r="U946" s="79"/>
      <c r="V946" s="79"/>
      <c r="W946" s="79"/>
      <c r="X946" s="79"/>
      <c r="Y946" s="79"/>
      <c r="Z946" s="79"/>
    </row>
    <row r="947">
      <c r="A947" s="79"/>
      <c r="B947" s="79"/>
      <c r="C947" s="79"/>
      <c r="D947" s="79"/>
      <c r="E947" s="79"/>
      <c r="F947" s="79"/>
      <c r="G947" s="79"/>
      <c r="H947" s="79"/>
      <c r="I947" s="79"/>
      <c r="J947" s="79"/>
      <c r="K947" s="79"/>
      <c r="L947" s="79"/>
      <c r="M947" s="79"/>
      <c r="N947" s="79"/>
      <c r="O947" s="79"/>
      <c r="P947" s="79"/>
      <c r="Q947" s="79"/>
      <c r="R947" s="79"/>
      <c r="S947" s="79"/>
      <c r="T947" s="79"/>
      <c r="U947" s="79"/>
      <c r="V947" s="79"/>
      <c r="W947" s="79"/>
      <c r="X947" s="79"/>
      <c r="Y947" s="79"/>
      <c r="Z947" s="79"/>
    </row>
    <row r="948">
      <c r="A948" s="79"/>
      <c r="B948" s="79"/>
      <c r="C948" s="79"/>
      <c r="D948" s="79"/>
      <c r="E948" s="79"/>
      <c r="F948" s="79"/>
      <c r="G948" s="79"/>
      <c r="H948" s="79"/>
      <c r="I948" s="79"/>
      <c r="J948" s="79"/>
      <c r="K948" s="79"/>
      <c r="L948" s="79"/>
      <c r="M948" s="79"/>
      <c r="N948" s="79"/>
      <c r="O948" s="79"/>
      <c r="P948" s="79"/>
      <c r="Q948" s="79"/>
      <c r="R948" s="79"/>
      <c r="S948" s="79"/>
      <c r="T948" s="79"/>
      <c r="U948" s="79"/>
      <c r="V948" s="79"/>
      <c r="W948" s="79"/>
      <c r="X948" s="79"/>
      <c r="Y948" s="79"/>
      <c r="Z948" s="79"/>
    </row>
    <row r="949">
      <c r="A949" s="79"/>
      <c r="B949" s="79"/>
      <c r="C949" s="79"/>
      <c r="D949" s="79"/>
      <c r="E949" s="79"/>
      <c r="F949" s="79"/>
      <c r="G949" s="79"/>
      <c r="H949" s="79"/>
      <c r="I949" s="79"/>
      <c r="J949" s="79"/>
      <c r="K949" s="79"/>
      <c r="L949" s="79"/>
      <c r="M949" s="79"/>
      <c r="N949" s="79"/>
      <c r="O949" s="79"/>
      <c r="P949" s="79"/>
      <c r="Q949" s="79"/>
      <c r="R949" s="79"/>
      <c r="S949" s="79"/>
      <c r="T949" s="79"/>
      <c r="U949" s="79"/>
      <c r="V949" s="79"/>
      <c r="W949" s="79"/>
      <c r="X949" s="79"/>
      <c r="Y949" s="79"/>
      <c r="Z949" s="79"/>
    </row>
    <row r="950">
      <c r="A950" s="79"/>
      <c r="B950" s="79"/>
      <c r="C950" s="79"/>
      <c r="D950" s="79"/>
      <c r="E950" s="79"/>
      <c r="F950" s="79"/>
      <c r="G950" s="79"/>
      <c r="H950" s="79"/>
      <c r="I950" s="79"/>
      <c r="J950" s="79"/>
      <c r="K950" s="79"/>
      <c r="L950" s="79"/>
      <c r="M950" s="79"/>
      <c r="N950" s="79"/>
      <c r="O950" s="79"/>
      <c r="P950" s="79"/>
      <c r="Q950" s="79"/>
      <c r="R950" s="79"/>
      <c r="S950" s="79"/>
      <c r="T950" s="79"/>
      <c r="U950" s="79"/>
      <c r="V950" s="79"/>
      <c r="W950" s="79"/>
      <c r="X950" s="79"/>
      <c r="Y950" s="79"/>
      <c r="Z950" s="79"/>
    </row>
    <row r="951">
      <c r="A951" s="79"/>
      <c r="B951" s="79"/>
      <c r="C951" s="79"/>
      <c r="D951" s="79"/>
      <c r="E951" s="79"/>
      <c r="F951" s="79"/>
      <c r="G951" s="79"/>
      <c r="H951" s="79"/>
      <c r="I951" s="79"/>
      <c r="J951" s="79"/>
      <c r="K951" s="79"/>
      <c r="L951" s="79"/>
      <c r="M951" s="79"/>
      <c r="N951" s="79"/>
      <c r="O951" s="79"/>
      <c r="P951" s="79"/>
      <c r="Q951" s="79"/>
      <c r="R951" s="79"/>
      <c r="S951" s="79"/>
      <c r="T951" s="79"/>
      <c r="U951" s="79"/>
      <c r="V951" s="79"/>
      <c r="W951" s="79"/>
      <c r="X951" s="79"/>
      <c r="Y951" s="79"/>
      <c r="Z951" s="79"/>
    </row>
    <row r="952">
      <c r="A952" s="79"/>
      <c r="B952" s="79"/>
      <c r="C952" s="79"/>
      <c r="D952" s="79"/>
      <c r="E952" s="79"/>
      <c r="F952" s="79"/>
      <c r="G952" s="79"/>
      <c r="H952" s="79"/>
      <c r="I952" s="79"/>
      <c r="J952" s="79"/>
      <c r="K952" s="79"/>
      <c r="L952" s="79"/>
      <c r="M952" s="79"/>
      <c r="N952" s="79"/>
      <c r="O952" s="79"/>
      <c r="P952" s="79"/>
      <c r="Q952" s="79"/>
      <c r="R952" s="79"/>
      <c r="S952" s="79"/>
      <c r="T952" s="79"/>
      <c r="U952" s="79"/>
      <c r="V952" s="79"/>
      <c r="W952" s="79"/>
      <c r="X952" s="79"/>
      <c r="Y952" s="79"/>
      <c r="Z952" s="79"/>
    </row>
    <row r="953">
      <c r="A953" s="79"/>
      <c r="B953" s="79"/>
      <c r="C953" s="79"/>
      <c r="D953" s="79"/>
      <c r="E953" s="79"/>
      <c r="F953" s="79"/>
      <c r="G953" s="79"/>
      <c r="H953" s="79"/>
      <c r="I953" s="79"/>
      <c r="J953" s="79"/>
      <c r="K953" s="79"/>
      <c r="L953" s="79"/>
      <c r="M953" s="79"/>
      <c r="N953" s="79"/>
      <c r="O953" s="79"/>
      <c r="P953" s="79"/>
      <c r="Q953" s="79"/>
      <c r="R953" s="79"/>
      <c r="S953" s="79"/>
      <c r="T953" s="79"/>
      <c r="U953" s="79"/>
      <c r="V953" s="79"/>
      <c r="W953" s="79"/>
      <c r="X953" s="79"/>
      <c r="Y953" s="79"/>
      <c r="Z953" s="79"/>
    </row>
    <row r="954">
      <c r="A954" s="79"/>
      <c r="B954" s="79"/>
      <c r="C954" s="79"/>
      <c r="D954" s="79"/>
      <c r="E954" s="79"/>
      <c r="F954" s="79"/>
      <c r="G954" s="79"/>
      <c r="H954" s="79"/>
      <c r="I954" s="79"/>
      <c r="J954" s="79"/>
      <c r="K954" s="79"/>
      <c r="L954" s="79"/>
      <c r="M954" s="79"/>
      <c r="N954" s="79"/>
      <c r="O954" s="79"/>
      <c r="P954" s="79"/>
      <c r="Q954" s="79"/>
      <c r="R954" s="79"/>
      <c r="S954" s="79"/>
      <c r="T954" s="79"/>
      <c r="U954" s="79"/>
      <c r="V954" s="79"/>
      <c r="W954" s="79"/>
      <c r="X954" s="79"/>
      <c r="Y954" s="79"/>
      <c r="Z954" s="79"/>
    </row>
    <row r="955">
      <c r="A955" s="79"/>
      <c r="B955" s="79"/>
      <c r="C955" s="79"/>
      <c r="D955" s="79"/>
      <c r="E955" s="79"/>
      <c r="F955" s="79"/>
      <c r="G955" s="79"/>
      <c r="H955" s="79"/>
      <c r="I955" s="79"/>
      <c r="J955" s="79"/>
      <c r="K955" s="79"/>
      <c r="L955" s="79"/>
      <c r="M955" s="79"/>
      <c r="N955" s="79"/>
      <c r="O955" s="79"/>
      <c r="P955" s="79"/>
      <c r="Q955" s="79"/>
      <c r="R955" s="79"/>
      <c r="S955" s="79"/>
      <c r="T955" s="79"/>
      <c r="U955" s="79"/>
      <c r="V955" s="79"/>
      <c r="W955" s="79"/>
      <c r="X955" s="79"/>
      <c r="Y955" s="79"/>
      <c r="Z955" s="79"/>
    </row>
    <row r="956">
      <c r="A956" s="79"/>
      <c r="B956" s="79"/>
      <c r="C956" s="79"/>
      <c r="D956" s="79"/>
      <c r="E956" s="79"/>
      <c r="F956" s="79"/>
      <c r="G956" s="79"/>
      <c r="H956" s="79"/>
      <c r="I956" s="79"/>
      <c r="J956" s="79"/>
      <c r="K956" s="79"/>
      <c r="L956" s="79"/>
      <c r="M956" s="79"/>
      <c r="N956" s="79"/>
      <c r="O956" s="79"/>
      <c r="P956" s="79"/>
      <c r="Q956" s="79"/>
      <c r="R956" s="79"/>
      <c r="S956" s="79"/>
      <c r="T956" s="79"/>
      <c r="U956" s="79"/>
      <c r="V956" s="79"/>
      <c r="W956" s="79"/>
      <c r="X956" s="79"/>
      <c r="Y956" s="79"/>
      <c r="Z956" s="79"/>
    </row>
    <row r="957">
      <c r="A957" s="79"/>
      <c r="B957" s="79"/>
      <c r="C957" s="79"/>
      <c r="D957" s="79"/>
      <c r="E957" s="79"/>
      <c r="F957" s="79"/>
      <c r="G957" s="79"/>
      <c r="H957" s="79"/>
      <c r="I957" s="79"/>
      <c r="J957" s="79"/>
      <c r="K957" s="79"/>
      <c r="L957" s="79"/>
      <c r="M957" s="79"/>
      <c r="N957" s="79"/>
      <c r="O957" s="79"/>
      <c r="P957" s="79"/>
      <c r="Q957" s="79"/>
      <c r="R957" s="79"/>
      <c r="S957" s="79"/>
      <c r="T957" s="79"/>
      <c r="U957" s="79"/>
      <c r="V957" s="79"/>
      <c r="W957" s="79"/>
      <c r="X957" s="79"/>
      <c r="Y957" s="79"/>
      <c r="Z957" s="79"/>
    </row>
    <row r="958">
      <c r="A958" s="79"/>
      <c r="B958" s="79"/>
      <c r="C958" s="79"/>
      <c r="D958" s="79"/>
      <c r="E958" s="79"/>
      <c r="F958" s="79"/>
      <c r="G958" s="79"/>
      <c r="H958" s="79"/>
      <c r="I958" s="79"/>
      <c r="J958" s="79"/>
      <c r="K958" s="79"/>
      <c r="L958" s="79"/>
      <c r="M958" s="79"/>
      <c r="N958" s="79"/>
      <c r="O958" s="79"/>
      <c r="P958" s="79"/>
      <c r="Q958" s="79"/>
      <c r="R958" s="79"/>
      <c r="S958" s="79"/>
      <c r="T958" s="79"/>
      <c r="U958" s="79"/>
      <c r="V958" s="79"/>
      <c r="W958" s="79"/>
      <c r="X958" s="79"/>
      <c r="Y958" s="79"/>
      <c r="Z958" s="79"/>
    </row>
    <row r="959">
      <c r="A959" s="79"/>
      <c r="B959" s="79"/>
      <c r="C959" s="79"/>
      <c r="D959" s="79"/>
      <c r="E959" s="79"/>
      <c r="F959" s="79"/>
      <c r="G959" s="79"/>
      <c r="H959" s="79"/>
      <c r="I959" s="79"/>
      <c r="J959" s="79"/>
      <c r="K959" s="79"/>
      <c r="L959" s="79"/>
      <c r="M959" s="79"/>
      <c r="N959" s="79"/>
      <c r="O959" s="79"/>
      <c r="P959" s="79"/>
      <c r="Q959" s="79"/>
      <c r="R959" s="79"/>
      <c r="S959" s="79"/>
      <c r="T959" s="79"/>
      <c r="U959" s="79"/>
      <c r="V959" s="79"/>
      <c r="W959" s="79"/>
      <c r="X959" s="79"/>
      <c r="Y959" s="79"/>
      <c r="Z959" s="79"/>
    </row>
    <row r="960">
      <c r="A960" s="79"/>
      <c r="B960" s="79"/>
      <c r="C960" s="79"/>
      <c r="D960" s="79"/>
      <c r="E960" s="79"/>
      <c r="F960" s="79"/>
      <c r="G960" s="79"/>
      <c r="H960" s="79"/>
      <c r="I960" s="79"/>
      <c r="J960" s="79"/>
      <c r="K960" s="79"/>
      <c r="L960" s="79"/>
      <c r="M960" s="79"/>
      <c r="N960" s="79"/>
      <c r="O960" s="79"/>
      <c r="P960" s="79"/>
      <c r="Q960" s="79"/>
      <c r="R960" s="79"/>
      <c r="S960" s="79"/>
      <c r="T960" s="79"/>
      <c r="U960" s="79"/>
      <c r="V960" s="79"/>
      <c r="W960" s="79"/>
      <c r="X960" s="79"/>
      <c r="Y960" s="79"/>
      <c r="Z960" s="79"/>
    </row>
    <row r="961">
      <c r="A961" s="79"/>
      <c r="B961" s="79"/>
      <c r="C961" s="79"/>
      <c r="D961" s="79"/>
      <c r="E961" s="79"/>
      <c r="F961" s="79"/>
      <c r="G961" s="79"/>
      <c r="H961" s="79"/>
      <c r="I961" s="79"/>
      <c r="J961" s="79"/>
      <c r="K961" s="79"/>
      <c r="L961" s="79"/>
      <c r="M961" s="79"/>
      <c r="N961" s="79"/>
      <c r="O961" s="79"/>
      <c r="P961" s="79"/>
      <c r="Q961" s="79"/>
      <c r="R961" s="79"/>
      <c r="S961" s="79"/>
      <c r="T961" s="79"/>
      <c r="U961" s="79"/>
      <c r="V961" s="79"/>
      <c r="W961" s="79"/>
      <c r="X961" s="79"/>
      <c r="Y961" s="79"/>
      <c r="Z961" s="79"/>
    </row>
    <row r="962">
      <c r="A962" s="79"/>
      <c r="B962" s="79"/>
      <c r="C962" s="79"/>
      <c r="D962" s="79"/>
      <c r="E962" s="79"/>
      <c r="F962" s="79"/>
      <c r="G962" s="79"/>
      <c r="H962" s="79"/>
      <c r="I962" s="79"/>
      <c r="J962" s="79"/>
      <c r="K962" s="79"/>
      <c r="L962" s="79"/>
      <c r="M962" s="79"/>
      <c r="N962" s="79"/>
      <c r="O962" s="79"/>
      <c r="P962" s="79"/>
      <c r="Q962" s="79"/>
      <c r="R962" s="79"/>
      <c r="S962" s="79"/>
      <c r="T962" s="79"/>
      <c r="U962" s="79"/>
      <c r="V962" s="79"/>
      <c r="W962" s="79"/>
      <c r="X962" s="79"/>
      <c r="Y962" s="79"/>
      <c r="Z962" s="79"/>
    </row>
    <row r="963">
      <c r="A963" s="79"/>
      <c r="B963" s="79"/>
      <c r="C963" s="79"/>
      <c r="D963" s="79"/>
      <c r="E963" s="79"/>
      <c r="F963" s="79"/>
      <c r="G963" s="79"/>
      <c r="H963" s="79"/>
      <c r="I963" s="79"/>
      <c r="J963" s="79"/>
      <c r="K963" s="79"/>
      <c r="L963" s="79"/>
      <c r="M963" s="79"/>
      <c r="N963" s="79"/>
      <c r="O963" s="79"/>
      <c r="P963" s="79"/>
      <c r="Q963" s="79"/>
      <c r="R963" s="79"/>
      <c r="S963" s="79"/>
      <c r="T963" s="79"/>
      <c r="U963" s="79"/>
      <c r="V963" s="79"/>
      <c r="W963" s="79"/>
      <c r="X963" s="79"/>
      <c r="Y963" s="79"/>
      <c r="Z963" s="79"/>
    </row>
    <row r="964">
      <c r="A964" s="79"/>
      <c r="B964" s="79"/>
      <c r="C964" s="79"/>
      <c r="D964" s="79"/>
      <c r="E964" s="79"/>
      <c r="F964" s="79"/>
      <c r="G964" s="79"/>
      <c r="H964" s="79"/>
      <c r="I964" s="79"/>
      <c r="J964" s="79"/>
      <c r="K964" s="79"/>
      <c r="L964" s="79"/>
      <c r="M964" s="79"/>
      <c r="N964" s="79"/>
      <c r="O964" s="79"/>
      <c r="P964" s="79"/>
      <c r="Q964" s="79"/>
      <c r="R964" s="79"/>
      <c r="S964" s="79"/>
      <c r="T964" s="79"/>
      <c r="U964" s="79"/>
      <c r="V964" s="79"/>
      <c r="W964" s="79"/>
      <c r="X964" s="79"/>
      <c r="Y964" s="79"/>
      <c r="Z964" s="79"/>
    </row>
    <row r="965">
      <c r="A965" s="79"/>
      <c r="B965" s="79"/>
      <c r="C965" s="79"/>
      <c r="D965" s="79"/>
      <c r="E965" s="79"/>
      <c r="F965" s="79"/>
      <c r="G965" s="79"/>
      <c r="H965" s="79"/>
      <c r="I965" s="79"/>
      <c r="J965" s="79"/>
      <c r="K965" s="79"/>
      <c r="L965" s="79"/>
      <c r="M965" s="79"/>
      <c r="N965" s="79"/>
      <c r="O965" s="79"/>
      <c r="P965" s="79"/>
      <c r="Q965" s="79"/>
      <c r="R965" s="79"/>
      <c r="S965" s="79"/>
      <c r="T965" s="79"/>
      <c r="U965" s="79"/>
      <c r="V965" s="79"/>
      <c r="W965" s="79"/>
      <c r="X965" s="79"/>
      <c r="Y965" s="79"/>
      <c r="Z965" s="79"/>
    </row>
    <row r="966">
      <c r="A966" s="79"/>
      <c r="B966" s="79"/>
      <c r="C966" s="79"/>
      <c r="D966" s="79"/>
      <c r="E966" s="79"/>
      <c r="F966" s="79"/>
      <c r="G966" s="79"/>
      <c r="H966" s="79"/>
      <c r="I966" s="79"/>
      <c r="J966" s="79"/>
      <c r="K966" s="79"/>
      <c r="L966" s="79"/>
      <c r="M966" s="79"/>
      <c r="N966" s="79"/>
      <c r="O966" s="79"/>
      <c r="P966" s="79"/>
      <c r="Q966" s="79"/>
      <c r="R966" s="79"/>
      <c r="S966" s="79"/>
      <c r="T966" s="79"/>
      <c r="U966" s="79"/>
      <c r="V966" s="79"/>
      <c r="W966" s="79"/>
      <c r="X966" s="79"/>
      <c r="Y966" s="79"/>
      <c r="Z966" s="79"/>
    </row>
    <row r="967">
      <c r="A967" s="79"/>
      <c r="B967" s="79"/>
      <c r="C967" s="79"/>
      <c r="D967" s="79"/>
      <c r="E967" s="79"/>
      <c r="F967" s="79"/>
      <c r="G967" s="79"/>
      <c r="H967" s="79"/>
      <c r="I967" s="79"/>
      <c r="J967" s="79"/>
      <c r="K967" s="79"/>
      <c r="L967" s="79"/>
      <c r="M967" s="79"/>
      <c r="N967" s="79"/>
      <c r="O967" s="79"/>
      <c r="P967" s="79"/>
      <c r="Q967" s="79"/>
      <c r="R967" s="79"/>
      <c r="S967" s="79"/>
      <c r="T967" s="79"/>
      <c r="U967" s="79"/>
      <c r="V967" s="79"/>
      <c r="W967" s="79"/>
      <c r="X967" s="79"/>
      <c r="Y967" s="79"/>
      <c r="Z967" s="79"/>
    </row>
    <row r="968">
      <c r="A968" s="79"/>
      <c r="B968" s="79"/>
      <c r="C968" s="79"/>
      <c r="D968" s="79"/>
      <c r="E968" s="79"/>
      <c r="F968" s="79"/>
      <c r="G968" s="79"/>
      <c r="H968" s="79"/>
      <c r="I968" s="79"/>
      <c r="J968" s="79"/>
      <c r="K968" s="79"/>
      <c r="L968" s="79"/>
      <c r="M968" s="79"/>
      <c r="N968" s="79"/>
      <c r="O968" s="79"/>
      <c r="P968" s="79"/>
      <c r="Q968" s="79"/>
      <c r="R968" s="79"/>
      <c r="S968" s="79"/>
      <c r="T968" s="79"/>
      <c r="U968" s="79"/>
      <c r="V968" s="79"/>
      <c r="W968" s="79"/>
      <c r="X968" s="79"/>
      <c r="Y968" s="79"/>
      <c r="Z968" s="79"/>
    </row>
    <row r="969">
      <c r="A969" s="79"/>
      <c r="B969" s="79"/>
      <c r="C969" s="79"/>
      <c r="D969" s="79"/>
      <c r="E969" s="79"/>
      <c r="F969" s="79"/>
      <c r="G969" s="79"/>
      <c r="H969" s="79"/>
      <c r="I969" s="79"/>
      <c r="J969" s="79"/>
      <c r="K969" s="79"/>
      <c r="L969" s="79"/>
      <c r="M969" s="79"/>
      <c r="N969" s="79"/>
      <c r="O969" s="79"/>
      <c r="P969" s="79"/>
      <c r="Q969" s="79"/>
      <c r="R969" s="79"/>
      <c r="S969" s="79"/>
      <c r="T969" s="79"/>
      <c r="U969" s="79"/>
      <c r="V969" s="79"/>
      <c r="W969" s="79"/>
      <c r="X969" s="79"/>
      <c r="Y969" s="79"/>
      <c r="Z969" s="79"/>
    </row>
    <row r="970">
      <c r="A970" s="79"/>
      <c r="B970" s="79"/>
      <c r="C970" s="79"/>
      <c r="D970" s="79"/>
      <c r="E970" s="79"/>
      <c r="F970" s="79"/>
      <c r="G970" s="79"/>
      <c r="H970" s="79"/>
      <c r="I970" s="79"/>
      <c r="J970" s="79"/>
      <c r="K970" s="79"/>
      <c r="L970" s="79"/>
      <c r="M970" s="79"/>
      <c r="N970" s="79"/>
      <c r="O970" s="79"/>
      <c r="P970" s="79"/>
      <c r="Q970" s="79"/>
      <c r="R970" s="79"/>
      <c r="S970" s="79"/>
      <c r="T970" s="79"/>
      <c r="U970" s="79"/>
      <c r="V970" s="79"/>
      <c r="W970" s="79"/>
      <c r="X970" s="79"/>
      <c r="Y970" s="79"/>
      <c r="Z970" s="79"/>
    </row>
    <row r="971">
      <c r="A971" s="79"/>
      <c r="B971" s="79"/>
      <c r="C971" s="79"/>
      <c r="D971" s="79"/>
      <c r="E971" s="79"/>
      <c r="F971" s="79"/>
      <c r="G971" s="79"/>
      <c r="H971" s="79"/>
      <c r="I971" s="79"/>
      <c r="J971" s="79"/>
      <c r="K971" s="79"/>
      <c r="L971" s="79"/>
      <c r="M971" s="79"/>
      <c r="N971" s="79"/>
      <c r="O971" s="79"/>
      <c r="P971" s="79"/>
      <c r="Q971" s="79"/>
      <c r="R971" s="79"/>
      <c r="S971" s="79"/>
      <c r="T971" s="79"/>
      <c r="U971" s="79"/>
      <c r="V971" s="79"/>
      <c r="W971" s="79"/>
      <c r="X971" s="79"/>
      <c r="Y971" s="79"/>
      <c r="Z971" s="79"/>
    </row>
    <row r="972">
      <c r="A972" s="79"/>
      <c r="B972" s="79"/>
      <c r="C972" s="79"/>
      <c r="D972" s="79"/>
      <c r="E972" s="79"/>
      <c r="F972" s="79"/>
      <c r="G972" s="79"/>
      <c r="H972" s="79"/>
      <c r="I972" s="79"/>
      <c r="J972" s="79"/>
      <c r="K972" s="79"/>
      <c r="L972" s="79"/>
      <c r="M972" s="79"/>
      <c r="N972" s="79"/>
      <c r="O972" s="79"/>
      <c r="P972" s="79"/>
      <c r="Q972" s="79"/>
      <c r="R972" s="79"/>
      <c r="S972" s="79"/>
      <c r="T972" s="79"/>
      <c r="U972" s="79"/>
      <c r="V972" s="79"/>
      <c r="W972" s="79"/>
      <c r="X972" s="79"/>
      <c r="Y972" s="79"/>
      <c r="Z972" s="79"/>
    </row>
    <row r="973">
      <c r="A973" s="79"/>
      <c r="B973" s="79"/>
      <c r="C973" s="79"/>
      <c r="D973" s="79"/>
      <c r="E973" s="79"/>
      <c r="F973" s="79"/>
      <c r="G973" s="79"/>
      <c r="H973" s="79"/>
      <c r="I973" s="79"/>
      <c r="J973" s="79"/>
      <c r="K973" s="79"/>
      <c r="L973" s="79"/>
      <c r="M973" s="79"/>
      <c r="N973" s="79"/>
      <c r="O973" s="79"/>
      <c r="P973" s="79"/>
      <c r="Q973" s="79"/>
      <c r="R973" s="79"/>
      <c r="S973" s="79"/>
      <c r="T973" s="79"/>
      <c r="U973" s="79"/>
      <c r="V973" s="79"/>
      <c r="W973" s="79"/>
      <c r="X973" s="79"/>
      <c r="Y973" s="79"/>
      <c r="Z973" s="79"/>
    </row>
    <row r="974">
      <c r="A974" s="79"/>
      <c r="B974" s="79"/>
      <c r="C974" s="79"/>
      <c r="D974" s="79"/>
      <c r="E974" s="79"/>
      <c r="F974" s="79"/>
      <c r="G974" s="79"/>
      <c r="H974" s="79"/>
      <c r="I974" s="79"/>
      <c r="J974" s="79"/>
      <c r="K974" s="79"/>
      <c r="L974" s="79"/>
      <c r="M974" s="79"/>
      <c r="N974" s="79"/>
      <c r="O974" s="79"/>
      <c r="P974" s="79"/>
      <c r="Q974" s="79"/>
      <c r="R974" s="79"/>
      <c r="S974" s="79"/>
      <c r="T974" s="79"/>
      <c r="U974" s="79"/>
      <c r="V974" s="79"/>
      <c r="W974" s="79"/>
      <c r="X974" s="79"/>
      <c r="Y974" s="79"/>
      <c r="Z974" s="79"/>
    </row>
    <row r="975">
      <c r="A975" s="79"/>
      <c r="B975" s="79"/>
      <c r="C975" s="79"/>
      <c r="D975" s="79"/>
      <c r="E975" s="79"/>
      <c r="F975" s="79"/>
      <c r="G975" s="79"/>
      <c r="H975" s="79"/>
      <c r="I975" s="79"/>
      <c r="J975" s="79"/>
      <c r="K975" s="79"/>
      <c r="L975" s="79"/>
      <c r="M975" s="79"/>
      <c r="N975" s="79"/>
      <c r="O975" s="79"/>
      <c r="P975" s="79"/>
      <c r="Q975" s="79"/>
      <c r="R975" s="79"/>
      <c r="S975" s="79"/>
      <c r="T975" s="79"/>
      <c r="U975" s="79"/>
      <c r="V975" s="79"/>
      <c r="W975" s="79"/>
      <c r="X975" s="79"/>
      <c r="Y975" s="79"/>
      <c r="Z975" s="79"/>
    </row>
    <row r="976">
      <c r="A976" s="79"/>
      <c r="B976" s="79"/>
      <c r="C976" s="79"/>
      <c r="D976" s="79"/>
      <c r="E976" s="79"/>
      <c r="F976" s="79"/>
      <c r="G976" s="79"/>
      <c r="H976" s="79"/>
      <c r="I976" s="79"/>
      <c r="J976" s="79"/>
      <c r="K976" s="79"/>
      <c r="L976" s="79"/>
      <c r="M976" s="79"/>
      <c r="N976" s="79"/>
      <c r="O976" s="79"/>
      <c r="P976" s="79"/>
      <c r="Q976" s="79"/>
      <c r="R976" s="79"/>
      <c r="S976" s="79"/>
      <c r="T976" s="79"/>
      <c r="U976" s="79"/>
      <c r="V976" s="79"/>
      <c r="W976" s="79"/>
      <c r="X976" s="79"/>
      <c r="Y976" s="79"/>
      <c r="Z976" s="79"/>
    </row>
    <row r="977">
      <c r="A977" s="79"/>
      <c r="B977" s="79"/>
      <c r="C977" s="79"/>
      <c r="D977" s="79"/>
      <c r="E977" s="79"/>
      <c r="F977" s="79"/>
      <c r="G977" s="79"/>
      <c r="H977" s="79"/>
      <c r="I977" s="79"/>
      <c r="J977" s="79"/>
      <c r="K977" s="79"/>
      <c r="L977" s="79"/>
      <c r="M977" s="79"/>
      <c r="N977" s="79"/>
      <c r="O977" s="79"/>
      <c r="P977" s="79"/>
      <c r="Q977" s="79"/>
      <c r="R977" s="79"/>
      <c r="S977" s="79"/>
      <c r="T977" s="79"/>
      <c r="U977" s="79"/>
      <c r="V977" s="79"/>
      <c r="W977" s="79"/>
      <c r="X977" s="79"/>
      <c r="Y977" s="79"/>
      <c r="Z977" s="79"/>
    </row>
    <row r="978">
      <c r="A978" s="79"/>
      <c r="B978" s="79"/>
      <c r="C978" s="79"/>
      <c r="D978" s="79"/>
      <c r="E978" s="79"/>
      <c r="F978" s="79"/>
      <c r="G978" s="79"/>
      <c r="H978" s="79"/>
      <c r="I978" s="79"/>
      <c r="J978" s="79"/>
      <c r="K978" s="79"/>
      <c r="L978" s="79"/>
      <c r="M978" s="79"/>
      <c r="N978" s="79"/>
      <c r="O978" s="79"/>
      <c r="P978" s="79"/>
      <c r="Q978" s="79"/>
      <c r="R978" s="79"/>
      <c r="S978" s="79"/>
      <c r="T978" s="79"/>
      <c r="U978" s="79"/>
      <c r="V978" s="79"/>
      <c r="W978" s="79"/>
      <c r="X978" s="79"/>
      <c r="Y978" s="79"/>
      <c r="Z978" s="79"/>
    </row>
    <row r="979">
      <c r="A979" s="79"/>
      <c r="B979" s="79"/>
      <c r="C979" s="79"/>
      <c r="D979" s="79"/>
      <c r="E979" s="79"/>
      <c r="F979" s="79"/>
      <c r="G979" s="79"/>
      <c r="H979" s="79"/>
      <c r="I979" s="79"/>
      <c r="J979" s="79"/>
      <c r="K979" s="79"/>
      <c r="L979" s="79"/>
      <c r="M979" s="79"/>
      <c r="N979" s="79"/>
      <c r="O979" s="79"/>
      <c r="P979" s="79"/>
      <c r="Q979" s="79"/>
      <c r="R979" s="79"/>
      <c r="S979" s="79"/>
      <c r="T979" s="79"/>
      <c r="U979" s="79"/>
      <c r="V979" s="79"/>
      <c r="W979" s="79"/>
      <c r="X979" s="79"/>
      <c r="Y979" s="79"/>
      <c r="Z979" s="79"/>
    </row>
    <row r="980">
      <c r="A980" s="79"/>
      <c r="B980" s="79"/>
      <c r="C980" s="79"/>
      <c r="D980" s="79"/>
      <c r="E980" s="79"/>
      <c r="F980" s="79"/>
      <c r="G980" s="79"/>
      <c r="H980" s="79"/>
      <c r="I980" s="79"/>
      <c r="J980" s="79"/>
      <c r="K980" s="79"/>
      <c r="L980" s="79"/>
      <c r="M980" s="79"/>
      <c r="N980" s="79"/>
      <c r="O980" s="79"/>
      <c r="P980" s="79"/>
      <c r="Q980" s="79"/>
      <c r="R980" s="79"/>
      <c r="S980" s="79"/>
      <c r="T980" s="79"/>
      <c r="U980" s="79"/>
      <c r="V980" s="79"/>
      <c r="W980" s="79"/>
      <c r="X980" s="79"/>
      <c r="Y980" s="79"/>
      <c r="Z980" s="79"/>
    </row>
    <row r="981">
      <c r="A981" s="79"/>
      <c r="B981" s="79"/>
      <c r="C981" s="79"/>
      <c r="D981" s="79"/>
      <c r="E981" s="79"/>
      <c r="F981" s="79"/>
      <c r="G981" s="79"/>
      <c r="H981" s="79"/>
      <c r="I981" s="79"/>
      <c r="J981" s="79"/>
      <c r="K981" s="79"/>
      <c r="L981" s="79"/>
      <c r="M981" s="79"/>
      <c r="N981" s="79"/>
      <c r="O981" s="79"/>
      <c r="P981" s="79"/>
      <c r="Q981" s="79"/>
      <c r="R981" s="79"/>
      <c r="S981" s="79"/>
      <c r="T981" s="79"/>
      <c r="U981" s="79"/>
      <c r="V981" s="79"/>
      <c r="W981" s="79"/>
      <c r="X981" s="79"/>
      <c r="Y981" s="79"/>
      <c r="Z981" s="79"/>
    </row>
    <row r="982">
      <c r="A982" s="79"/>
      <c r="B982" s="79"/>
      <c r="C982" s="79"/>
      <c r="D982" s="79"/>
      <c r="E982" s="79"/>
      <c r="F982" s="79"/>
      <c r="G982" s="79"/>
      <c r="H982" s="79"/>
      <c r="I982" s="79"/>
      <c r="J982" s="79"/>
      <c r="K982" s="79"/>
      <c r="L982" s="79"/>
      <c r="M982" s="79"/>
      <c r="N982" s="79"/>
      <c r="O982" s="79"/>
      <c r="P982" s="79"/>
      <c r="Q982" s="79"/>
      <c r="R982" s="79"/>
      <c r="S982" s="79"/>
      <c r="T982" s="79"/>
      <c r="U982" s="79"/>
      <c r="V982" s="79"/>
      <c r="W982" s="79"/>
      <c r="X982" s="79"/>
      <c r="Y982" s="79"/>
      <c r="Z982" s="79"/>
    </row>
    <row r="983">
      <c r="A983" s="79"/>
      <c r="B983" s="79"/>
      <c r="C983" s="79"/>
      <c r="D983" s="79"/>
      <c r="E983" s="79"/>
      <c r="F983" s="79"/>
      <c r="G983" s="79"/>
      <c r="H983" s="79"/>
      <c r="I983" s="79"/>
      <c r="J983" s="79"/>
      <c r="K983" s="79"/>
      <c r="L983" s="79"/>
      <c r="M983" s="79"/>
      <c r="N983" s="79"/>
      <c r="O983" s="79"/>
      <c r="P983" s="79"/>
      <c r="Q983" s="79"/>
      <c r="R983" s="79"/>
      <c r="S983" s="79"/>
      <c r="T983" s="79"/>
      <c r="U983" s="79"/>
      <c r="V983" s="79"/>
      <c r="W983" s="79"/>
      <c r="X983" s="79"/>
      <c r="Y983" s="79"/>
      <c r="Z983" s="79"/>
    </row>
    <row r="984">
      <c r="A984" s="79"/>
      <c r="B984" s="79"/>
      <c r="C984" s="79"/>
      <c r="D984" s="79"/>
      <c r="E984" s="79"/>
      <c r="F984" s="79"/>
      <c r="G984" s="79"/>
      <c r="H984" s="79"/>
      <c r="I984" s="79"/>
      <c r="J984" s="79"/>
      <c r="K984" s="79"/>
      <c r="L984" s="79"/>
      <c r="M984" s="79"/>
      <c r="N984" s="79"/>
      <c r="O984" s="79"/>
      <c r="P984" s="79"/>
      <c r="Q984" s="79"/>
      <c r="R984" s="79"/>
      <c r="S984" s="79"/>
      <c r="T984" s="79"/>
      <c r="U984" s="79"/>
      <c r="V984" s="79"/>
      <c r="W984" s="79"/>
      <c r="X984" s="79"/>
      <c r="Y984" s="79"/>
      <c r="Z984" s="79"/>
    </row>
    <row r="985">
      <c r="A985" s="79"/>
      <c r="B985" s="79"/>
      <c r="C985" s="79"/>
      <c r="D985" s="79"/>
      <c r="E985" s="79"/>
      <c r="F985" s="79"/>
      <c r="G985" s="79"/>
      <c r="H985" s="79"/>
      <c r="I985" s="79"/>
      <c r="J985" s="79"/>
      <c r="K985" s="79"/>
      <c r="L985" s="79"/>
      <c r="M985" s="79"/>
      <c r="N985" s="79"/>
      <c r="O985" s="79"/>
      <c r="P985" s="79"/>
      <c r="Q985" s="79"/>
      <c r="R985" s="79"/>
      <c r="S985" s="79"/>
      <c r="T985" s="79"/>
      <c r="U985" s="79"/>
      <c r="V985" s="79"/>
      <c r="W985" s="79"/>
      <c r="X985" s="79"/>
      <c r="Y985" s="79"/>
      <c r="Z985" s="79"/>
    </row>
    <row r="986">
      <c r="A986" s="79"/>
      <c r="B986" s="79"/>
      <c r="C986" s="79"/>
      <c r="D986" s="79"/>
      <c r="E986" s="79"/>
      <c r="F986" s="79"/>
      <c r="G986" s="79"/>
      <c r="H986" s="79"/>
      <c r="I986" s="79"/>
      <c r="J986" s="79"/>
      <c r="K986" s="79"/>
      <c r="L986" s="79"/>
      <c r="M986" s="79"/>
      <c r="N986" s="79"/>
      <c r="O986" s="79"/>
      <c r="P986" s="79"/>
      <c r="Q986" s="79"/>
      <c r="R986" s="79"/>
      <c r="S986" s="79"/>
      <c r="T986" s="79"/>
      <c r="U986" s="79"/>
      <c r="V986" s="79"/>
      <c r="W986" s="79"/>
      <c r="X986" s="79"/>
      <c r="Y986" s="79"/>
      <c r="Z986" s="79"/>
    </row>
    <row r="987">
      <c r="A987" s="79"/>
      <c r="B987" s="79"/>
      <c r="C987" s="79"/>
      <c r="D987" s="79"/>
      <c r="E987" s="79"/>
      <c r="F987" s="79"/>
      <c r="G987" s="79"/>
      <c r="H987" s="79"/>
      <c r="I987" s="79"/>
      <c r="J987" s="79"/>
      <c r="K987" s="79"/>
      <c r="L987" s="79"/>
      <c r="M987" s="79"/>
      <c r="N987" s="79"/>
      <c r="O987" s="79"/>
      <c r="P987" s="79"/>
      <c r="Q987" s="79"/>
      <c r="R987" s="79"/>
      <c r="S987" s="79"/>
      <c r="T987" s="79"/>
      <c r="U987" s="79"/>
      <c r="V987" s="79"/>
      <c r="W987" s="79"/>
      <c r="X987" s="79"/>
      <c r="Y987" s="79"/>
      <c r="Z987" s="79"/>
    </row>
    <row r="988">
      <c r="A988" s="79"/>
      <c r="B988" s="79"/>
      <c r="C988" s="79"/>
      <c r="D988" s="79"/>
      <c r="E988" s="79"/>
      <c r="F988" s="79"/>
      <c r="G988" s="79"/>
      <c r="H988" s="79"/>
      <c r="I988" s="79"/>
      <c r="J988" s="79"/>
      <c r="K988" s="79"/>
      <c r="L988" s="79"/>
      <c r="M988" s="79"/>
      <c r="N988" s="79"/>
      <c r="O988" s="79"/>
      <c r="P988" s="79"/>
      <c r="Q988" s="79"/>
      <c r="R988" s="79"/>
      <c r="S988" s="79"/>
      <c r="T988" s="79"/>
      <c r="U988" s="79"/>
      <c r="V988" s="79"/>
      <c r="W988" s="79"/>
      <c r="X988" s="79"/>
      <c r="Y988" s="79"/>
      <c r="Z988" s="79"/>
    </row>
    <row r="989">
      <c r="A989" s="79"/>
      <c r="B989" s="79"/>
      <c r="C989" s="79"/>
      <c r="D989" s="79"/>
      <c r="E989" s="79"/>
      <c r="F989" s="79"/>
      <c r="G989" s="79"/>
      <c r="H989" s="79"/>
      <c r="I989" s="79"/>
      <c r="J989" s="79"/>
      <c r="K989" s="79"/>
      <c r="L989" s="79"/>
      <c r="M989" s="79"/>
      <c r="N989" s="79"/>
      <c r="O989" s="79"/>
      <c r="P989" s="79"/>
      <c r="Q989" s="79"/>
      <c r="R989" s="79"/>
      <c r="S989" s="79"/>
      <c r="T989" s="79"/>
      <c r="U989" s="79"/>
      <c r="V989" s="79"/>
      <c r="W989" s="79"/>
      <c r="X989" s="79"/>
      <c r="Y989" s="79"/>
      <c r="Z989" s="79"/>
    </row>
    <row r="990">
      <c r="A990" s="79"/>
      <c r="B990" s="79"/>
      <c r="C990" s="79"/>
      <c r="D990" s="79"/>
      <c r="E990" s="79"/>
      <c r="F990" s="79"/>
      <c r="G990" s="79"/>
      <c r="H990" s="79"/>
      <c r="I990" s="79"/>
      <c r="J990" s="79"/>
      <c r="K990" s="79"/>
      <c r="L990" s="79"/>
      <c r="M990" s="79"/>
      <c r="N990" s="79"/>
      <c r="O990" s="79"/>
      <c r="P990" s="79"/>
      <c r="Q990" s="79"/>
      <c r="R990" s="79"/>
      <c r="S990" s="79"/>
      <c r="T990" s="79"/>
      <c r="U990" s="79"/>
      <c r="V990" s="79"/>
      <c r="W990" s="79"/>
      <c r="X990" s="79"/>
      <c r="Y990" s="79"/>
      <c r="Z990" s="79"/>
    </row>
    <row r="991">
      <c r="A991" s="79"/>
      <c r="B991" s="79"/>
      <c r="C991" s="79"/>
      <c r="D991" s="79"/>
      <c r="E991" s="79"/>
      <c r="F991" s="79"/>
      <c r="G991" s="79"/>
      <c r="H991" s="79"/>
      <c r="I991" s="79"/>
      <c r="J991" s="79"/>
      <c r="K991" s="79"/>
      <c r="L991" s="79"/>
      <c r="M991" s="79"/>
      <c r="N991" s="79"/>
      <c r="O991" s="79"/>
      <c r="P991" s="79"/>
      <c r="Q991" s="79"/>
      <c r="R991" s="79"/>
      <c r="S991" s="79"/>
      <c r="T991" s="79"/>
      <c r="U991" s="79"/>
      <c r="V991" s="79"/>
      <c r="W991" s="79"/>
      <c r="X991" s="79"/>
      <c r="Y991" s="79"/>
      <c r="Z991" s="79"/>
    </row>
    <row r="992">
      <c r="A992" s="79"/>
      <c r="B992" s="79"/>
      <c r="C992" s="79"/>
      <c r="D992" s="79"/>
      <c r="E992" s="79"/>
      <c r="F992" s="79"/>
      <c r="G992" s="79"/>
      <c r="H992" s="79"/>
      <c r="I992" s="79"/>
      <c r="J992" s="79"/>
      <c r="K992" s="79"/>
      <c r="L992" s="79"/>
      <c r="M992" s="79"/>
      <c r="N992" s="79"/>
      <c r="O992" s="79"/>
      <c r="P992" s="79"/>
      <c r="Q992" s="79"/>
      <c r="R992" s="79"/>
      <c r="S992" s="79"/>
      <c r="T992" s="79"/>
      <c r="U992" s="79"/>
      <c r="V992" s="79"/>
      <c r="W992" s="79"/>
      <c r="X992" s="79"/>
      <c r="Y992" s="79"/>
      <c r="Z992" s="79"/>
    </row>
    <row r="993">
      <c r="A993" s="79"/>
      <c r="B993" s="79"/>
      <c r="C993" s="79"/>
      <c r="D993" s="79"/>
      <c r="E993" s="79"/>
      <c r="F993" s="79"/>
      <c r="G993" s="79"/>
      <c r="H993" s="79"/>
      <c r="I993" s="79"/>
      <c r="J993" s="79"/>
      <c r="K993" s="79"/>
      <c r="L993" s="79"/>
      <c r="M993" s="79"/>
      <c r="N993" s="79"/>
      <c r="O993" s="79"/>
      <c r="P993" s="79"/>
      <c r="Q993" s="79"/>
      <c r="R993" s="79"/>
      <c r="S993" s="79"/>
      <c r="T993" s="79"/>
      <c r="U993" s="79"/>
      <c r="V993" s="79"/>
      <c r="W993" s="79"/>
      <c r="X993" s="79"/>
      <c r="Y993" s="79"/>
      <c r="Z993" s="79"/>
    </row>
    <row r="994">
      <c r="A994" s="79"/>
      <c r="B994" s="79"/>
      <c r="C994" s="79"/>
      <c r="D994" s="79"/>
      <c r="E994" s="79"/>
      <c r="F994" s="79"/>
      <c r="G994" s="79"/>
      <c r="H994" s="79"/>
      <c r="I994" s="79"/>
      <c r="J994" s="79"/>
      <c r="K994" s="79"/>
      <c r="L994" s="79"/>
      <c r="M994" s="79"/>
      <c r="N994" s="79"/>
      <c r="O994" s="79"/>
      <c r="P994" s="79"/>
      <c r="Q994" s="79"/>
      <c r="R994" s="79"/>
      <c r="S994" s="79"/>
      <c r="T994" s="79"/>
      <c r="U994" s="79"/>
      <c r="V994" s="79"/>
      <c r="W994" s="79"/>
      <c r="X994" s="79"/>
      <c r="Y994" s="79"/>
      <c r="Z994" s="79"/>
    </row>
    <row r="995">
      <c r="A995" s="79"/>
      <c r="B995" s="79"/>
      <c r="C995" s="79"/>
      <c r="D995" s="79"/>
      <c r="E995" s="79"/>
      <c r="F995" s="79"/>
      <c r="G995" s="79"/>
      <c r="H995" s="79"/>
      <c r="I995" s="79"/>
      <c r="J995" s="79"/>
      <c r="K995" s="79"/>
      <c r="L995" s="79"/>
      <c r="M995" s="79"/>
      <c r="N995" s="79"/>
      <c r="O995" s="79"/>
      <c r="P995" s="79"/>
      <c r="Q995" s="79"/>
      <c r="R995" s="79"/>
      <c r="S995" s="79"/>
      <c r="T995" s="79"/>
      <c r="U995" s="79"/>
      <c r="V995" s="79"/>
      <c r="W995" s="79"/>
      <c r="X995" s="79"/>
      <c r="Y995" s="79"/>
      <c r="Z995" s="79"/>
    </row>
    <row r="996">
      <c r="A996" s="79"/>
      <c r="B996" s="79"/>
      <c r="C996" s="79"/>
      <c r="D996" s="79"/>
      <c r="E996" s="79"/>
      <c r="F996" s="79"/>
      <c r="G996" s="79"/>
      <c r="H996" s="79"/>
      <c r="I996" s="79"/>
      <c r="J996" s="79"/>
      <c r="K996" s="79"/>
      <c r="L996" s="79"/>
      <c r="M996" s="79"/>
      <c r="N996" s="79"/>
      <c r="O996" s="79"/>
      <c r="P996" s="79"/>
      <c r="Q996" s="79"/>
      <c r="R996" s="79"/>
      <c r="S996" s="79"/>
      <c r="T996" s="79"/>
      <c r="U996" s="79"/>
      <c r="V996" s="79"/>
      <c r="W996" s="79"/>
      <c r="X996" s="79"/>
      <c r="Y996" s="79"/>
      <c r="Z996" s="79"/>
    </row>
    <row r="997">
      <c r="A997" s="79"/>
      <c r="B997" s="79"/>
      <c r="C997" s="79"/>
      <c r="D997" s="79"/>
      <c r="E997" s="79"/>
      <c r="F997" s="79"/>
      <c r="G997" s="79"/>
      <c r="H997" s="79"/>
      <c r="I997" s="79"/>
      <c r="J997" s="79"/>
      <c r="K997" s="79"/>
      <c r="L997" s="79"/>
      <c r="M997" s="79"/>
      <c r="N997" s="79"/>
      <c r="O997" s="79"/>
      <c r="P997" s="79"/>
      <c r="Q997" s="79"/>
      <c r="R997" s="79"/>
      <c r="S997" s="79"/>
      <c r="T997" s="79"/>
      <c r="U997" s="79"/>
      <c r="V997" s="79"/>
      <c r="W997" s="79"/>
      <c r="X997" s="79"/>
      <c r="Y997" s="79"/>
      <c r="Z997" s="79"/>
    </row>
    <row r="998">
      <c r="A998" s="79"/>
      <c r="B998" s="79"/>
      <c r="C998" s="79"/>
      <c r="D998" s="79"/>
      <c r="E998" s="79"/>
      <c r="F998" s="79"/>
      <c r="G998" s="79"/>
      <c r="H998" s="79"/>
      <c r="I998" s="79"/>
      <c r="J998" s="79"/>
      <c r="K998" s="79"/>
      <c r="L998" s="79"/>
      <c r="M998" s="79"/>
      <c r="N998" s="79"/>
      <c r="O998" s="79"/>
      <c r="P998" s="79"/>
      <c r="Q998" s="79"/>
      <c r="R998" s="79"/>
      <c r="S998" s="79"/>
      <c r="T998" s="79"/>
      <c r="U998" s="79"/>
      <c r="V998" s="79"/>
      <c r="W998" s="79"/>
      <c r="X998" s="79"/>
      <c r="Y998" s="79"/>
      <c r="Z998" s="79"/>
    </row>
    <row r="999">
      <c r="A999" s="79"/>
      <c r="B999" s="79"/>
      <c r="C999" s="79"/>
      <c r="D999" s="79"/>
      <c r="E999" s="79"/>
      <c r="F999" s="79"/>
      <c r="G999" s="79"/>
      <c r="H999" s="79"/>
      <c r="I999" s="79"/>
      <c r="J999" s="79"/>
      <c r="K999" s="79"/>
      <c r="L999" s="79"/>
      <c r="M999" s="79"/>
      <c r="N999" s="79"/>
      <c r="O999" s="79"/>
      <c r="P999" s="79"/>
      <c r="Q999" s="79"/>
      <c r="R999" s="79"/>
      <c r="S999" s="79"/>
      <c r="T999" s="79"/>
      <c r="U999" s="79"/>
      <c r="V999" s="79"/>
      <c r="W999" s="79"/>
      <c r="X999" s="79"/>
      <c r="Y999" s="79"/>
      <c r="Z999" s="79"/>
    </row>
    <row r="1000">
      <c r="A1000" s="79"/>
      <c r="B1000" s="79"/>
      <c r="C1000" s="79"/>
      <c r="D1000" s="79"/>
      <c r="E1000" s="79"/>
      <c r="F1000" s="79"/>
      <c r="G1000" s="79"/>
      <c r="H1000" s="79"/>
      <c r="I1000" s="79"/>
      <c r="J1000" s="79"/>
      <c r="K1000" s="79"/>
      <c r="L1000" s="79"/>
      <c r="M1000" s="79"/>
      <c r="N1000" s="79"/>
      <c r="O1000" s="79"/>
      <c r="P1000" s="79"/>
      <c r="Q1000" s="79"/>
      <c r="R1000" s="79"/>
      <c r="S1000" s="79"/>
      <c r="T1000" s="79"/>
      <c r="U1000" s="79"/>
      <c r="V1000" s="79"/>
      <c r="W1000" s="79"/>
      <c r="X1000" s="79"/>
      <c r="Y1000" s="79"/>
      <c r="Z1000" s="79"/>
    </row>
    <row r="1001">
      <c r="A1001" s="79"/>
      <c r="B1001" s="79"/>
      <c r="C1001" s="79"/>
      <c r="D1001" s="79"/>
      <c r="E1001" s="79"/>
      <c r="F1001" s="79"/>
      <c r="G1001" s="79"/>
      <c r="H1001" s="79"/>
      <c r="I1001" s="79"/>
      <c r="J1001" s="79"/>
      <c r="K1001" s="79"/>
      <c r="L1001" s="79"/>
      <c r="M1001" s="79"/>
      <c r="N1001" s="79"/>
      <c r="O1001" s="79"/>
      <c r="P1001" s="79"/>
      <c r="Q1001" s="79"/>
      <c r="R1001" s="79"/>
      <c r="S1001" s="79"/>
      <c r="T1001" s="79"/>
      <c r="U1001" s="79"/>
      <c r="V1001" s="79"/>
      <c r="W1001" s="79"/>
      <c r="X1001" s="79"/>
      <c r="Y1001" s="79"/>
      <c r="Z1001" s="79"/>
    </row>
    <row r="1002">
      <c r="A1002" s="79"/>
      <c r="B1002" s="79"/>
      <c r="C1002" s="79"/>
      <c r="D1002" s="79"/>
      <c r="E1002" s="79"/>
      <c r="F1002" s="79"/>
      <c r="G1002" s="79"/>
      <c r="H1002" s="79"/>
      <c r="I1002" s="79"/>
      <c r="J1002" s="79"/>
      <c r="K1002" s="79"/>
      <c r="L1002" s="79"/>
      <c r="M1002" s="79"/>
      <c r="N1002" s="79"/>
      <c r="O1002" s="79"/>
      <c r="P1002" s="79"/>
      <c r="Q1002" s="79"/>
      <c r="R1002" s="79"/>
      <c r="S1002" s="79"/>
      <c r="T1002" s="79"/>
      <c r="U1002" s="79"/>
      <c r="V1002" s="79"/>
      <c r="W1002" s="79"/>
      <c r="X1002" s="79"/>
      <c r="Y1002" s="79"/>
      <c r="Z1002" s="79"/>
    </row>
    <row r="1003">
      <c r="A1003" s="79"/>
      <c r="B1003" s="79"/>
      <c r="C1003" s="79"/>
      <c r="D1003" s="79"/>
      <c r="E1003" s="79"/>
      <c r="F1003" s="79"/>
      <c r="G1003" s="79"/>
      <c r="H1003" s="79"/>
      <c r="I1003" s="79"/>
      <c r="J1003" s="79"/>
      <c r="K1003" s="79"/>
      <c r="L1003" s="79"/>
      <c r="M1003" s="79"/>
      <c r="N1003" s="79"/>
      <c r="O1003" s="79"/>
      <c r="P1003" s="79"/>
      <c r="Q1003" s="79"/>
      <c r="R1003" s="79"/>
      <c r="S1003" s="79"/>
      <c r="T1003" s="79"/>
      <c r="U1003" s="79"/>
      <c r="V1003" s="79"/>
      <c r="W1003" s="79"/>
      <c r="X1003" s="79"/>
      <c r="Y1003" s="79"/>
      <c r="Z1003" s="79"/>
    </row>
    <row r="1004">
      <c r="A1004" s="79"/>
      <c r="B1004" s="79"/>
      <c r="C1004" s="79"/>
      <c r="D1004" s="79"/>
      <c r="E1004" s="79"/>
      <c r="F1004" s="79"/>
      <c r="G1004" s="79"/>
      <c r="H1004" s="79"/>
      <c r="I1004" s="79"/>
      <c r="J1004" s="79"/>
      <c r="K1004" s="79"/>
      <c r="L1004" s="79"/>
      <c r="M1004" s="79"/>
      <c r="N1004" s="79"/>
      <c r="O1004" s="79"/>
      <c r="P1004" s="79"/>
      <c r="Q1004" s="79"/>
      <c r="R1004" s="79"/>
      <c r="S1004" s="79"/>
      <c r="T1004" s="79"/>
      <c r="U1004" s="79"/>
      <c r="V1004" s="79"/>
      <c r="W1004" s="79"/>
      <c r="X1004" s="79"/>
      <c r="Y1004" s="79"/>
      <c r="Z1004" s="79"/>
    </row>
    <row r="1005">
      <c r="A1005" s="79"/>
      <c r="B1005" s="79"/>
      <c r="C1005" s="79"/>
      <c r="D1005" s="79"/>
      <c r="E1005" s="79"/>
      <c r="F1005" s="79"/>
      <c r="G1005" s="79"/>
      <c r="H1005" s="79"/>
      <c r="I1005" s="79"/>
      <c r="J1005" s="79"/>
      <c r="K1005" s="79"/>
      <c r="L1005" s="79"/>
      <c r="M1005" s="79"/>
      <c r="N1005" s="79"/>
      <c r="O1005" s="79"/>
      <c r="P1005" s="79"/>
      <c r="Q1005" s="79"/>
      <c r="R1005" s="79"/>
      <c r="S1005" s="79"/>
      <c r="T1005" s="79"/>
      <c r="U1005" s="79"/>
      <c r="V1005" s="79"/>
      <c r="W1005" s="79"/>
      <c r="X1005" s="79"/>
      <c r="Y1005" s="79"/>
      <c r="Z1005" s="79"/>
    </row>
    <row r="1006">
      <c r="A1006" s="79"/>
      <c r="B1006" s="79"/>
      <c r="C1006" s="79"/>
      <c r="D1006" s="79"/>
      <c r="E1006" s="79"/>
      <c r="F1006" s="79"/>
      <c r="G1006" s="79"/>
      <c r="H1006" s="79"/>
      <c r="I1006" s="79"/>
      <c r="J1006" s="79"/>
      <c r="K1006" s="79"/>
      <c r="L1006" s="79"/>
      <c r="M1006" s="79"/>
      <c r="N1006" s="79"/>
      <c r="O1006" s="79"/>
      <c r="P1006" s="79"/>
      <c r="Q1006" s="79"/>
      <c r="R1006" s="79"/>
      <c r="S1006" s="79"/>
      <c r="T1006" s="79"/>
      <c r="U1006" s="79"/>
      <c r="V1006" s="79"/>
      <c r="W1006" s="79"/>
      <c r="X1006" s="79"/>
      <c r="Y1006" s="79"/>
      <c r="Z1006" s="79"/>
    </row>
    <row r="1007">
      <c r="A1007" s="79"/>
      <c r="B1007" s="79"/>
      <c r="C1007" s="79"/>
      <c r="D1007" s="79"/>
      <c r="E1007" s="79"/>
      <c r="F1007" s="79"/>
      <c r="G1007" s="79"/>
      <c r="H1007" s="79"/>
      <c r="I1007" s="79"/>
      <c r="J1007" s="79"/>
      <c r="K1007" s="79"/>
      <c r="L1007" s="79"/>
      <c r="M1007" s="79"/>
      <c r="N1007" s="79"/>
      <c r="O1007" s="79"/>
      <c r="P1007" s="79"/>
      <c r="Q1007" s="79"/>
      <c r="R1007" s="79"/>
      <c r="S1007" s="79"/>
      <c r="T1007" s="79"/>
      <c r="U1007" s="79"/>
      <c r="V1007" s="79"/>
      <c r="W1007" s="79"/>
      <c r="X1007" s="79"/>
      <c r="Y1007" s="79"/>
      <c r="Z1007" s="79"/>
    </row>
    <row r="1008">
      <c r="A1008" s="79"/>
      <c r="B1008" s="79"/>
      <c r="C1008" s="79"/>
      <c r="D1008" s="79"/>
      <c r="E1008" s="79"/>
      <c r="F1008" s="79"/>
      <c r="G1008" s="79"/>
      <c r="H1008" s="79"/>
      <c r="I1008" s="79"/>
      <c r="J1008" s="79"/>
      <c r="K1008" s="79"/>
      <c r="L1008" s="79"/>
      <c r="M1008" s="79"/>
      <c r="N1008" s="79"/>
      <c r="O1008" s="79"/>
      <c r="P1008" s="79"/>
      <c r="Q1008" s="79"/>
      <c r="R1008" s="79"/>
      <c r="S1008" s="79"/>
      <c r="T1008" s="79"/>
      <c r="U1008" s="79"/>
      <c r="V1008" s="79"/>
      <c r="W1008" s="79"/>
      <c r="X1008" s="79"/>
      <c r="Y1008" s="79"/>
      <c r="Z1008" s="79"/>
    </row>
    <row r="1009">
      <c r="A1009" s="79"/>
      <c r="B1009" s="79"/>
      <c r="C1009" s="79"/>
      <c r="D1009" s="79"/>
      <c r="E1009" s="79"/>
      <c r="F1009" s="79"/>
      <c r="G1009" s="79"/>
      <c r="H1009" s="79"/>
      <c r="I1009" s="79"/>
      <c r="J1009" s="79"/>
      <c r="K1009" s="79"/>
      <c r="L1009" s="79"/>
      <c r="M1009" s="79"/>
      <c r="N1009" s="79"/>
      <c r="O1009" s="79"/>
      <c r="P1009" s="79"/>
      <c r="Q1009" s="79"/>
      <c r="R1009" s="79"/>
      <c r="S1009" s="79"/>
      <c r="T1009" s="79"/>
      <c r="U1009" s="79"/>
      <c r="V1009" s="79"/>
      <c r="W1009" s="79"/>
      <c r="X1009" s="79"/>
      <c r="Y1009" s="79"/>
      <c r="Z1009" s="79"/>
    </row>
    <row r="1010">
      <c r="A1010" s="79"/>
      <c r="B1010" s="79"/>
      <c r="C1010" s="79"/>
      <c r="D1010" s="79"/>
      <c r="E1010" s="79"/>
      <c r="F1010" s="79"/>
      <c r="G1010" s="79"/>
      <c r="H1010" s="79"/>
      <c r="I1010" s="79"/>
      <c r="J1010" s="79"/>
      <c r="K1010" s="79"/>
      <c r="L1010" s="79"/>
      <c r="M1010" s="79"/>
      <c r="N1010" s="79"/>
      <c r="O1010" s="79"/>
      <c r="P1010" s="79"/>
      <c r="Q1010" s="79"/>
      <c r="R1010" s="79"/>
      <c r="S1010" s="79"/>
      <c r="T1010" s="79"/>
      <c r="U1010" s="79"/>
      <c r="V1010" s="79"/>
      <c r="W1010" s="79"/>
      <c r="X1010" s="79"/>
      <c r="Y1010" s="79"/>
      <c r="Z1010" s="79"/>
    </row>
    <row r="1011">
      <c r="A1011" s="79"/>
      <c r="B1011" s="79"/>
      <c r="C1011" s="79"/>
      <c r="D1011" s="79"/>
      <c r="E1011" s="79"/>
      <c r="F1011" s="79"/>
      <c r="G1011" s="79"/>
      <c r="H1011" s="79"/>
      <c r="I1011" s="79"/>
      <c r="J1011" s="79"/>
      <c r="K1011" s="79"/>
      <c r="L1011" s="79"/>
      <c r="M1011" s="79"/>
      <c r="N1011" s="79"/>
      <c r="O1011" s="79"/>
      <c r="P1011" s="79"/>
      <c r="Q1011" s="79"/>
      <c r="R1011" s="79"/>
      <c r="S1011" s="79"/>
      <c r="T1011" s="79"/>
      <c r="U1011" s="79"/>
      <c r="V1011" s="79"/>
      <c r="W1011" s="79"/>
      <c r="X1011" s="79"/>
      <c r="Y1011" s="79"/>
      <c r="Z1011" s="79"/>
    </row>
    <row r="1012">
      <c r="A1012" s="79"/>
      <c r="B1012" s="79"/>
      <c r="C1012" s="79"/>
      <c r="D1012" s="79"/>
      <c r="E1012" s="79"/>
      <c r="F1012" s="79"/>
      <c r="G1012" s="79"/>
      <c r="H1012" s="79"/>
      <c r="I1012" s="79"/>
      <c r="J1012" s="79"/>
      <c r="K1012" s="79"/>
      <c r="L1012" s="79"/>
      <c r="M1012" s="79"/>
      <c r="N1012" s="79"/>
      <c r="O1012" s="79"/>
      <c r="P1012" s="79"/>
      <c r="Q1012" s="79"/>
      <c r="R1012" s="79"/>
      <c r="S1012" s="79"/>
      <c r="T1012" s="79"/>
      <c r="U1012" s="79"/>
      <c r="V1012" s="79"/>
      <c r="W1012" s="79"/>
      <c r="X1012" s="79"/>
      <c r="Y1012" s="79"/>
      <c r="Z1012" s="79"/>
    </row>
    <row r="1013">
      <c r="A1013" s="79"/>
      <c r="B1013" s="79"/>
      <c r="C1013" s="79"/>
      <c r="D1013" s="79"/>
      <c r="E1013" s="79"/>
      <c r="F1013" s="79"/>
      <c r="G1013" s="79"/>
      <c r="H1013" s="79"/>
      <c r="I1013" s="79"/>
      <c r="J1013" s="79"/>
      <c r="K1013" s="79"/>
      <c r="L1013" s="79"/>
      <c r="M1013" s="79"/>
      <c r="N1013" s="79"/>
      <c r="O1013" s="79"/>
      <c r="P1013" s="79"/>
      <c r="Q1013" s="79"/>
      <c r="R1013" s="79"/>
      <c r="S1013" s="79"/>
      <c r="T1013" s="79"/>
      <c r="U1013" s="79"/>
      <c r="V1013" s="79"/>
      <c r="W1013" s="79"/>
      <c r="X1013" s="79"/>
      <c r="Y1013" s="79"/>
      <c r="Z1013" s="79"/>
    </row>
    <row r="1014">
      <c r="A1014" s="79"/>
      <c r="B1014" s="79"/>
      <c r="C1014" s="79"/>
      <c r="D1014" s="79"/>
      <c r="E1014" s="79"/>
      <c r="F1014" s="79"/>
      <c r="G1014" s="79"/>
      <c r="H1014" s="79"/>
      <c r="I1014" s="79"/>
      <c r="J1014" s="79"/>
      <c r="K1014" s="79"/>
      <c r="L1014" s="79"/>
      <c r="M1014" s="79"/>
      <c r="N1014" s="79"/>
      <c r="O1014" s="79"/>
      <c r="P1014" s="79"/>
      <c r="Q1014" s="79"/>
      <c r="R1014" s="79"/>
      <c r="S1014" s="79"/>
      <c r="T1014" s="79"/>
      <c r="U1014" s="79"/>
      <c r="V1014" s="79"/>
      <c r="W1014" s="79"/>
      <c r="X1014" s="79"/>
      <c r="Y1014" s="79"/>
      <c r="Z1014" s="79"/>
    </row>
    <row r="1015">
      <c r="A1015" s="79"/>
      <c r="B1015" s="79"/>
      <c r="C1015" s="79"/>
      <c r="D1015" s="79"/>
      <c r="E1015" s="79"/>
      <c r="F1015" s="79"/>
      <c r="G1015" s="79"/>
      <c r="H1015" s="79"/>
      <c r="I1015" s="79"/>
      <c r="J1015" s="79"/>
      <c r="K1015" s="79"/>
      <c r="L1015" s="79"/>
      <c r="M1015" s="79"/>
      <c r="N1015" s="79"/>
      <c r="O1015" s="79"/>
      <c r="P1015" s="79"/>
      <c r="Q1015" s="79"/>
      <c r="R1015" s="79"/>
      <c r="S1015" s="79"/>
      <c r="T1015" s="79"/>
      <c r="U1015" s="79"/>
      <c r="V1015" s="79"/>
      <c r="W1015" s="79"/>
      <c r="X1015" s="79"/>
      <c r="Y1015" s="79"/>
      <c r="Z1015" s="79"/>
    </row>
    <row r="1016">
      <c r="A1016" s="79"/>
      <c r="B1016" s="79"/>
      <c r="C1016" s="79"/>
      <c r="D1016" s="79"/>
      <c r="E1016" s="79"/>
      <c r="F1016" s="79"/>
      <c r="G1016" s="79"/>
      <c r="H1016" s="79"/>
      <c r="I1016" s="79"/>
      <c r="J1016" s="79"/>
      <c r="K1016" s="79"/>
      <c r="L1016" s="79"/>
      <c r="M1016" s="79"/>
      <c r="N1016" s="79"/>
      <c r="O1016" s="79"/>
      <c r="P1016" s="79"/>
      <c r="Q1016" s="79"/>
      <c r="R1016" s="79"/>
      <c r="S1016" s="79"/>
      <c r="T1016" s="79"/>
      <c r="U1016" s="79"/>
      <c r="V1016" s="79"/>
      <c r="W1016" s="79"/>
      <c r="X1016" s="79"/>
      <c r="Y1016" s="79"/>
      <c r="Z1016" s="79"/>
    </row>
    <row r="1017">
      <c r="A1017" s="79"/>
      <c r="B1017" s="79"/>
      <c r="C1017" s="79"/>
      <c r="D1017" s="79"/>
      <c r="E1017" s="79"/>
      <c r="F1017" s="79"/>
      <c r="G1017" s="79"/>
      <c r="H1017" s="79"/>
      <c r="I1017" s="79"/>
      <c r="J1017" s="79"/>
      <c r="K1017" s="79"/>
      <c r="L1017" s="79"/>
      <c r="M1017" s="79"/>
      <c r="N1017" s="79"/>
      <c r="O1017" s="79"/>
      <c r="P1017" s="79"/>
      <c r="Q1017" s="79"/>
      <c r="R1017" s="79"/>
      <c r="S1017" s="79"/>
      <c r="T1017" s="79"/>
      <c r="U1017" s="79"/>
      <c r="V1017" s="79"/>
      <c r="W1017" s="79"/>
      <c r="X1017" s="79"/>
      <c r="Y1017" s="79"/>
      <c r="Z1017" s="79"/>
    </row>
    <row r="1018">
      <c r="A1018" s="79"/>
      <c r="B1018" s="79"/>
      <c r="C1018" s="79"/>
      <c r="D1018" s="79"/>
      <c r="E1018" s="79"/>
      <c r="F1018" s="79"/>
      <c r="G1018" s="79"/>
      <c r="H1018" s="79"/>
      <c r="I1018" s="79"/>
      <c r="J1018" s="79"/>
      <c r="K1018" s="79"/>
      <c r="L1018" s="79"/>
      <c r="M1018" s="79"/>
      <c r="N1018" s="79"/>
      <c r="O1018" s="79"/>
      <c r="P1018" s="79"/>
      <c r="Q1018" s="79"/>
      <c r="R1018" s="79"/>
      <c r="S1018" s="79"/>
      <c r="T1018" s="79"/>
      <c r="U1018" s="79"/>
      <c r="V1018" s="79"/>
      <c r="W1018" s="79"/>
      <c r="X1018" s="79"/>
      <c r="Y1018" s="79"/>
      <c r="Z1018" s="79"/>
    </row>
    <row r="1019">
      <c r="A1019" s="79"/>
      <c r="B1019" s="79"/>
      <c r="C1019" s="79"/>
      <c r="D1019" s="79"/>
      <c r="E1019" s="79"/>
      <c r="F1019" s="79"/>
      <c r="G1019" s="79"/>
      <c r="H1019" s="79"/>
      <c r="I1019" s="79"/>
      <c r="J1019" s="79"/>
      <c r="K1019" s="79"/>
      <c r="L1019" s="79"/>
      <c r="M1019" s="79"/>
      <c r="N1019" s="79"/>
      <c r="O1019" s="79"/>
      <c r="P1019" s="79"/>
      <c r="Q1019" s="79"/>
      <c r="R1019" s="79"/>
      <c r="S1019" s="79"/>
      <c r="T1019" s="79"/>
      <c r="U1019" s="79"/>
      <c r="V1019" s="79"/>
      <c r="W1019" s="79"/>
      <c r="X1019" s="79"/>
      <c r="Y1019" s="79"/>
      <c r="Z1019" s="79"/>
    </row>
    <row r="1020">
      <c r="A1020" s="79"/>
      <c r="B1020" s="79"/>
      <c r="C1020" s="79"/>
      <c r="D1020" s="79"/>
      <c r="E1020" s="79"/>
      <c r="F1020" s="79"/>
      <c r="G1020" s="79"/>
      <c r="H1020" s="79"/>
      <c r="I1020" s="79"/>
      <c r="J1020" s="79"/>
      <c r="K1020" s="79"/>
      <c r="L1020" s="79"/>
      <c r="M1020" s="79"/>
      <c r="N1020" s="79"/>
      <c r="O1020" s="79"/>
      <c r="P1020" s="79"/>
      <c r="Q1020" s="79"/>
      <c r="R1020" s="79"/>
      <c r="S1020" s="79"/>
      <c r="T1020" s="79"/>
      <c r="U1020" s="79"/>
      <c r="V1020" s="79"/>
      <c r="W1020" s="79"/>
      <c r="X1020" s="79"/>
      <c r="Y1020" s="79"/>
      <c r="Z1020" s="79"/>
    </row>
    <row r="1021">
      <c r="A1021" s="79"/>
      <c r="B1021" s="79"/>
      <c r="C1021" s="79"/>
      <c r="D1021" s="79"/>
      <c r="E1021" s="79"/>
      <c r="F1021" s="79"/>
      <c r="G1021" s="79"/>
      <c r="H1021" s="79"/>
      <c r="I1021" s="79"/>
      <c r="J1021" s="79"/>
      <c r="K1021" s="79"/>
      <c r="L1021" s="79"/>
      <c r="M1021" s="79"/>
      <c r="N1021" s="79"/>
      <c r="O1021" s="79"/>
      <c r="P1021" s="79"/>
      <c r="Q1021" s="79"/>
      <c r="R1021" s="79"/>
      <c r="S1021" s="79"/>
      <c r="T1021" s="79"/>
      <c r="U1021" s="79"/>
      <c r="V1021" s="79"/>
      <c r="W1021" s="79"/>
      <c r="X1021" s="79"/>
      <c r="Y1021" s="79"/>
      <c r="Z1021" s="79"/>
    </row>
    <row r="1022">
      <c r="A1022" s="79"/>
      <c r="B1022" s="79"/>
      <c r="C1022" s="79"/>
      <c r="D1022" s="79"/>
      <c r="E1022" s="79"/>
      <c r="F1022" s="79"/>
      <c r="G1022" s="79"/>
      <c r="H1022" s="79"/>
      <c r="I1022" s="79"/>
      <c r="J1022" s="79"/>
      <c r="K1022" s="79"/>
      <c r="L1022" s="79"/>
      <c r="M1022" s="79"/>
      <c r="N1022" s="79"/>
      <c r="O1022" s="79"/>
      <c r="P1022" s="79"/>
      <c r="Q1022" s="79"/>
      <c r="R1022" s="79"/>
      <c r="S1022" s="79"/>
      <c r="T1022" s="79"/>
      <c r="U1022" s="79"/>
      <c r="V1022" s="79"/>
      <c r="W1022" s="79"/>
      <c r="X1022" s="79"/>
      <c r="Y1022" s="79"/>
      <c r="Z1022" s="79"/>
    </row>
    <row r="1023">
      <c r="A1023" s="79"/>
      <c r="B1023" s="79"/>
      <c r="C1023" s="79"/>
      <c r="D1023" s="79"/>
      <c r="E1023" s="79"/>
      <c r="F1023" s="79"/>
      <c r="G1023" s="79"/>
      <c r="H1023" s="79"/>
      <c r="I1023" s="79"/>
      <c r="J1023" s="79"/>
      <c r="K1023" s="79"/>
      <c r="L1023" s="79"/>
      <c r="M1023" s="79"/>
      <c r="N1023" s="79"/>
      <c r="O1023" s="79"/>
      <c r="P1023" s="79"/>
      <c r="Q1023" s="79"/>
      <c r="R1023" s="79"/>
      <c r="S1023" s="79"/>
      <c r="T1023" s="79"/>
      <c r="U1023" s="79"/>
      <c r="V1023" s="79"/>
      <c r="W1023" s="79"/>
      <c r="X1023" s="79"/>
      <c r="Y1023" s="79"/>
      <c r="Z1023" s="79"/>
    </row>
    <row r="1024">
      <c r="A1024" s="79"/>
      <c r="B1024" s="79"/>
      <c r="C1024" s="79"/>
      <c r="D1024" s="79"/>
      <c r="E1024" s="79"/>
      <c r="F1024" s="79"/>
      <c r="G1024" s="79"/>
      <c r="H1024" s="79"/>
      <c r="I1024" s="79"/>
      <c r="J1024" s="79"/>
      <c r="K1024" s="79"/>
      <c r="L1024" s="79"/>
      <c r="M1024" s="79"/>
      <c r="N1024" s="79"/>
      <c r="O1024" s="79"/>
      <c r="P1024" s="79"/>
      <c r="Q1024" s="79"/>
      <c r="R1024" s="79"/>
      <c r="S1024" s="79"/>
      <c r="T1024" s="79"/>
      <c r="U1024" s="79"/>
      <c r="V1024" s="79"/>
      <c r="W1024" s="79"/>
      <c r="X1024" s="79"/>
      <c r="Y1024" s="79"/>
      <c r="Z1024" s="79"/>
    </row>
    <row r="1025">
      <c r="A1025" s="79"/>
      <c r="B1025" s="79"/>
      <c r="C1025" s="79"/>
      <c r="D1025" s="79"/>
      <c r="E1025" s="79"/>
      <c r="F1025" s="79"/>
      <c r="G1025" s="79"/>
      <c r="H1025" s="79"/>
      <c r="I1025" s="79"/>
      <c r="J1025" s="79"/>
      <c r="K1025" s="79"/>
      <c r="L1025" s="79"/>
      <c r="M1025" s="79"/>
      <c r="N1025" s="79"/>
      <c r="O1025" s="79"/>
      <c r="P1025" s="79"/>
      <c r="Q1025" s="79"/>
      <c r="R1025" s="79"/>
      <c r="S1025" s="79"/>
      <c r="T1025" s="79"/>
      <c r="U1025" s="79"/>
      <c r="V1025" s="79"/>
      <c r="W1025" s="79"/>
      <c r="X1025" s="79"/>
      <c r="Y1025" s="79"/>
      <c r="Z1025" s="79"/>
    </row>
    <row r="1026">
      <c r="A1026" s="79"/>
      <c r="B1026" s="79"/>
      <c r="C1026" s="79"/>
      <c r="D1026" s="79"/>
      <c r="E1026" s="79"/>
      <c r="F1026" s="79"/>
      <c r="G1026" s="79"/>
      <c r="H1026" s="79"/>
      <c r="I1026" s="79"/>
      <c r="J1026" s="79"/>
      <c r="K1026" s="79"/>
      <c r="L1026" s="79"/>
      <c r="M1026" s="79"/>
      <c r="N1026" s="79"/>
      <c r="O1026" s="79"/>
      <c r="P1026" s="79"/>
      <c r="Q1026" s="79"/>
      <c r="R1026" s="79"/>
      <c r="S1026" s="79"/>
      <c r="T1026" s="79"/>
      <c r="U1026" s="79"/>
      <c r="V1026" s="79"/>
      <c r="W1026" s="79"/>
      <c r="X1026" s="79"/>
      <c r="Y1026" s="79"/>
      <c r="Z1026" s="79"/>
    </row>
    <row r="1027">
      <c r="A1027" s="79"/>
      <c r="B1027" s="79"/>
      <c r="C1027" s="79"/>
      <c r="D1027" s="79"/>
      <c r="E1027" s="79"/>
      <c r="F1027" s="79"/>
      <c r="G1027" s="79"/>
      <c r="H1027" s="79"/>
      <c r="I1027" s="79"/>
      <c r="J1027" s="79"/>
      <c r="K1027" s="79"/>
      <c r="L1027" s="79"/>
      <c r="M1027" s="79"/>
      <c r="N1027" s="79"/>
      <c r="O1027" s="79"/>
      <c r="P1027" s="79"/>
      <c r="Q1027" s="79"/>
      <c r="R1027" s="79"/>
      <c r="S1027" s="79"/>
      <c r="T1027" s="79"/>
      <c r="U1027" s="79"/>
      <c r="V1027" s="79"/>
      <c r="W1027" s="79"/>
      <c r="X1027" s="79"/>
      <c r="Y1027" s="79"/>
      <c r="Z1027" s="79"/>
    </row>
    <row r="1028">
      <c r="A1028" s="79"/>
      <c r="B1028" s="79"/>
      <c r="C1028" s="79"/>
      <c r="D1028" s="79"/>
      <c r="E1028" s="79"/>
      <c r="F1028" s="79"/>
      <c r="G1028" s="79"/>
      <c r="H1028" s="79"/>
      <c r="I1028" s="79"/>
      <c r="J1028" s="79"/>
      <c r="K1028" s="79"/>
      <c r="L1028" s="79"/>
      <c r="M1028" s="79"/>
      <c r="N1028" s="79"/>
      <c r="O1028" s="79"/>
      <c r="P1028" s="79"/>
      <c r="Q1028" s="79"/>
      <c r="R1028" s="79"/>
      <c r="S1028" s="79"/>
      <c r="T1028" s="79"/>
      <c r="U1028" s="79"/>
      <c r="V1028" s="79"/>
      <c r="W1028" s="79"/>
      <c r="X1028" s="79"/>
      <c r="Y1028" s="79"/>
      <c r="Z1028" s="79"/>
    </row>
  </sheetData>
  <drawing r:id="rId1"/>
</worksheet>
</file>