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66925"/>
  <mc:AlternateContent xmlns:mc="http://schemas.openxmlformats.org/markup-compatibility/2006">
    <mc:Choice Requires="x15">
      <x15ac:absPath xmlns:x15ac="http://schemas.microsoft.com/office/spreadsheetml/2010/11/ac" url="/Users/giseleobara/Downloads/"/>
    </mc:Choice>
  </mc:AlternateContent>
  <xr:revisionPtr revIDLastSave="0" documentId="13_ncr:1_{D2E810D1-F806-2B4C-B31C-A63161DCAD11}" xr6:coauthVersionLast="47" xr6:coauthVersionMax="47" xr10:uidLastSave="{00000000-0000-0000-0000-000000000000}"/>
  <bookViews>
    <workbookView xWindow="1440" yWindow="940" windowWidth="19740" windowHeight="15340" xr2:uid="{00000000-000D-0000-FFFF-FFFF00000000}"/>
  </bookViews>
  <sheets>
    <sheet name="Brasil ToC" sheetId="6" r:id="rId1"/>
    <sheet name="Outreach MBOs" sheetId="2" r:id="rId2"/>
    <sheet name="Ecuador" sheetId="7" state="hidden" r:id="rId3"/>
    <sheet name="Infos" sheetId="4"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 i="2" l="1"/>
  <c r="N19" i="2"/>
  <c r="N18" i="2"/>
  <c r="K20" i="2"/>
  <c r="K19" i="2"/>
  <c r="K18" i="2"/>
  <c r="L16" i="2"/>
  <c r="L15" i="2"/>
  <c r="L13" i="2"/>
  <c r="L5" i="2"/>
  <c r="L12" i="2"/>
  <c r="O15" i="2"/>
  <c r="O16" i="2" s="1"/>
  <c r="N16" i="2"/>
  <c r="N5" i="2"/>
  <c r="N12" i="2"/>
  <c r="O14" i="2"/>
  <c r="N13" i="2"/>
  <c r="M16" i="2"/>
  <c r="C16" i="2"/>
  <c r="R13" i="2"/>
  <c r="R14" i="2"/>
  <c r="R16"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Gisele Obara</author>
  </authors>
  <commentList>
    <comment ref="L15" authorId="0" shapeId="0" xr:uid="{905E9346-A3FA-6A49-889C-951C29CA2ED1}">
      <text>
        <r>
          <rPr>
            <sz val="10"/>
            <color rgb="FF000000"/>
            <rFont val="Tahoma"/>
            <family val="2"/>
          </rPr>
          <t xml:space="preserve">Considering 
</t>
        </r>
        <r>
          <rPr>
            <sz val="10"/>
            <color rgb="FF000000"/>
            <rFont val="Tahoma"/>
            <family val="2"/>
          </rPr>
          <t xml:space="preserve">230 cooperatives x 1 president + 1 woman + 1 youngster
</t>
        </r>
      </text>
    </comment>
  </commentList>
</comments>
</file>

<file path=xl/sharedStrings.xml><?xml version="1.0" encoding="utf-8"?>
<sst xmlns="http://schemas.openxmlformats.org/spreadsheetml/2006/main" count="215" uniqueCount="196">
  <si>
    <t>BRAZIL PROGRAMME 2027-2031</t>
  </si>
  <si>
    <t>Strategic Level</t>
  </si>
  <si>
    <t>Tactical Level</t>
  </si>
  <si>
    <t>Operational Level</t>
  </si>
  <si>
    <t>Impacts at medium and long term</t>
  </si>
  <si>
    <t>THEORY OF CHANGE 2027-2031</t>
  </si>
  <si>
    <t>Details of Outputs Indicators</t>
  </si>
  <si>
    <t>Programatic Programme 2027-2031</t>
  </si>
  <si>
    <t>Impacts and effects of the programme</t>
  </si>
  <si>
    <t>A. Programme Outcome:</t>
  </si>
  <si>
    <t>3 Ps</t>
  </si>
  <si>
    <t>Programme Outcomes indicators (RESULTS-MBO level)</t>
  </si>
  <si>
    <t>B. Outputs</t>
  </si>
  <si>
    <t>Outputs indicators
(EFFECTS/IMPACTS-Individual level)</t>
  </si>
  <si>
    <t>Description</t>
  </si>
  <si>
    <t>Unit of measurement</t>
  </si>
  <si>
    <t>MBO-partners</t>
  </si>
  <si>
    <t>Specific objectives</t>
  </si>
  <si>
    <t>OS/ID capacities</t>
  </si>
  <si>
    <t>Main type of activities</t>
  </si>
  <si>
    <t>At MBO level</t>
  </si>
  <si>
    <t>At individual level</t>
  </si>
  <si>
    <t xml:space="preserve">Trias and MBOs partners are better equipped to fulfil their role as agents of change and contribute to a more inclusive, sustainable, and resilient entrepreneurial ecosystem in Brazil.
</t>
  </si>
  <si>
    <t>Economic</t>
  </si>
  <si>
    <t>POI 1. % Annual rural-urban MBOs revenues based on differentiated market(s) accessed and/or services</t>
  </si>
  <si>
    <t>O1. MBOs enhance members’ market access by promoting higher-quality, differentiated, and value‑added products/services, contributing to sustainable and competitive businesses</t>
  </si>
  <si>
    <t xml:space="preserve">OI 1.1 Number of MBOs members trained in technical workshops, training and seminars delivered to MBO members that strengthen capacities in business development, innovation and access to new economies
</t>
  </si>
  <si>
    <t>Annual number of MBOs members trained in technical workshops, training and seminars delivered to MBO members that strengthen capacities in business development (product quality, compliance and standards, due dilligence, EUDR), innovation (added value, R&amp;D on new products/services, AI and digitalisation) and access to new economies (especially bioeconomy and circular economy).</t>
  </si>
  <si>
    <t>Unit (Quant.)</t>
  </si>
  <si>
    <t>UNICAFES PA, UNICAFES RO</t>
  </si>
  <si>
    <r>
      <rPr>
        <u/>
        <sz val="9"/>
        <color theme="1"/>
        <rFont val="Roboto"/>
      </rPr>
      <t xml:space="preserve">Market Access, Quality Enhancement, and Value Addition
</t>
    </r>
    <r>
      <rPr>
        <sz val="9"/>
        <color theme="1"/>
        <rFont val="Roboto"/>
      </rPr>
      <t>SO1 MBOs enhance members’ market access by promoting sustainable, innovative and resilient businesses in new economies</t>
    </r>
  </si>
  <si>
    <r>
      <t>1.</t>
    </r>
    <r>
      <rPr>
        <sz val="7"/>
        <color theme="1"/>
        <rFont val="Times New Roman"/>
        <family val="1"/>
      </rPr>
      <t xml:space="preserve">   </t>
    </r>
    <r>
      <rPr>
        <sz val="9"/>
        <color theme="1"/>
        <rFont val="Roboto"/>
      </rPr>
      <t>Business development &amp; access to market
2.   Services delivered
4.   L&amp;A and network</t>
    </r>
  </si>
  <si>
    <t>A1.1 Advancing in public markets (PNAE, PAA) - MBOs involved: UNICAFES Pará
A1.2 PES or/and carbon services/technical assistance - MBOs involved: UNICAFES Rondônia &amp; UNICAFES Pará
A1.3 Training for new CSA - CSA Brasil
A1.4 Blended finance and innovative mechanisms - All MBOs</t>
  </si>
  <si>
    <t>MBOs are recognised as sustainable commercial service platforms, with greater financial autonomy and negotiation capacity in differentiated markets (national and international). Increased own revenue of MBOs from commercialisation, certification, and consultancy services.</t>
  </si>
  <si>
    <t>Members (FFEs and NFEs) have increased and more stable annual household income, with access to fair markets and long-term contracts. Reduced dependence on intermediaries and greater bargaining power. Women and young farmers and waste pickers access niche markets with higher added value (certified, organic, compliant products).</t>
  </si>
  <si>
    <t>OI 1.2 Number of MBOs members unlocking differentiated markets on new economies</t>
  </si>
  <si>
    <t>Annual number of MBOs members unlocking differentiated markets on new economies (especially bioeconomy and circular economy).</t>
  </si>
  <si>
    <t>UNICAFES PA, UNICAFES RO, CSA Brasil, UNICATADORES</t>
  </si>
  <si>
    <t>Climate</t>
  </si>
  <si>
    <t>POI 2. % of family entrepreneurs adopting sustainable and resilient practices in their production systems or work environments</t>
  </si>
  <si>
    <t>O2. MBOs strengthen their members’ climate resilience by promoting the adoption of sustainable climate practices, effective risk management strategies, and influencing the stakeholders ecosystem.</t>
  </si>
  <si>
    <t>OI 2.1 Number of MBO members that have implemented climate risk management systems integrated into their businesses, including sustainable practices and climate adaptation measures.</t>
  </si>
  <si>
    <t>Annual number of MBO members that have implemented climate risk management systems integrated into their businesses, including sustainable practices and climate adaptation measures.</t>
  </si>
  <si>
    <r>
      <rPr>
        <u/>
        <sz val="9"/>
        <color theme="1"/>
        <rFont val="Roboto"/>
      </rPr>
      <t>Enhanced Climate Resilience and Adaptive Capacity</t>
    </r>
    <r>
      <rPr>
        <sz val="9"/>
        <color theme="1"/>
        <rFont val="Roboto"/>
      </rPr>
      <t xml:space="preserve">
SO2 MBOs strengthen their members’ climate resilience by promoting the adoption of sustainable practices, climate adaptation measures, and effective risk management strategies.
</t>
    </r>
  </si>
  <si>
    <r>
      <t>2.</t>
    </r>
    <r>
      <rPr>
        <sz val="7"/>
        <color theme="1"/>
        <rFont val="Times New Roman"/>
        <family val="1"/>
      </rPr>
      <t xml:space="preserve">   </t>
    </r>
    <r>
      <rPr>
        <sz val="9"/>
        <color theme="1"/>
        <rFont val="Roboto"/>
      </rPr>
      <t>Services delivered
5.   Climate
4.   L&amp;A and network</t>
    </r>
  </si>
  <si>
    <t>A2.1 Training and development on climate tool (BR I+II) - MBOs involved: All MBOs
A2.2 Climate awareness &amp; pilot on PES, carbon market, etc - MBOs involved: UNICAFES Pará
A2.3 Institutional Climate agenda, AI mapping - MBOs involved: UNICATADORES
A2.4 Complementary projects &amp; sinergies &amp; fundraising - MBOs involved: All MBOs</t>
  </si>
  <si>
    <t>MBOs institutionalise climate risk management in their strategic plans and member services. They develop environmental monitoring systems and access to climate finance (PES, carbon markets). They become local references in climate adaptation and sustainable bioeconomy.</t>
  </si>
  <si>
    <t>Members adopt climate-resilient agricultural and waste management practices (agroforestry, agroecological systems, low-carbon recycling). Reduced productive losses caused by extreme climate events (droughts, floods). Access to alternative income sources through PES and carbon credits. Improved food security and environmental quality in the territory.</t>
  </si>
  <si>
    <t>OI 2.2 Number of climate schemes and/or subsidies within MBOs that provide financial or in-kind compensation to members for adopting sustainable and climate-resilient practices.</t>
  </si>
  <si>
    <t>Annual number of climate schemes and/or subsidisies (Payment for Environmental Services - PES, carbon market pilots, blended finances, biodiversity offsets, stewardhip programmes) within MBOs, providing financial incentives to members for adopting sustainable and climate-resilient practices</t>
  </si>
  <si>
    <t>Inclusion</t>
  </si>
  <si>
    <t>POI 3. % of women and young people (18-30 years) occupying decision-making positions and actively participating in the MBOs governance</t>
  </si>
  <si>
    <t>O3. MBOs strengthen economic inclusion and the leadership of women and young people as catalysts within the organization and the wider ecosystem through capacity building, effective participation, and expanded access to sustainable economic opportunities.</t>
  </si>
  <si>
    <t>OI 3.1 Number of women, young people and EUE certified in inclusion &amp; leadership strategies delivered by the MBOs to strengthen their capacities in leadership, business succession and governance.</t>
  </si>
  <si>
    <t>Annual number of women, young people and EUE (entrepreneurial and underprivileged entrepreneurs) certified in inclusion &amp; leadership strategies delivered by the MBOs to strengthen their capacities in leadership, business succession and governance.</t>
  </si>
  <si>
    <t>UNICAFES PA, UNICATADORES</t>
  </si>
  <si>
    <r>
      <rPr>
        <u/>
        <sz val="9"/>
        <color theme="1"/>
        <rFont val="Roboto"/>
      </rPr>
      <t xml:space="preserve">Shifted power relations, shared ownership, and reduced dependency 
</t>
    </r>
    <r>
      <rPr>
        <sz val="9"/>
        <color theme="1"/>
        <rFont val="Roboto"/>
      </rPr>
      <t>SO3 MBOs strengthen economic inclusion and the leadership of women and young people as catalysts within the organization and the wider ecosystem through capacity building, effective participation, and expanded access to sustainable economic opportunities.</t>
    </r>
  </si>
  <si>
    <r>
      <t>3.</t>
    </r>
    <r>
      <rPr>
        <sz val="7"/>
        <color theme="1"/>
        <rFont val="Times New Roman"/>
        <family val="1"/>
      </rPr>
      <t xml:space="preserve">   </t>
    </r>
    <r>
      <rPr>
        <sz val="9"/>
        <color theme="1"/>
        <rFont val="Roboto"/>
      </rPr>
      <t>Inclusion
4.   L&amp;A and network
6. Governance &amp; leadership</t>
    </r>
  </si>
  <si>
    <t>A3.1 Youth &amp; women new leadership programme &amp; inclusion strategies - MBOs involved: UNICATADORES
A3.2 Inclusion strategies &amp; training &amp; innovation Bioeconomy ecosystem - MBOs involved: UNICAFES Pará
A3.3 L&amp;A strategies toward government - MBOs involved: UNICATADORES
A3.4 Complementary projects &amp; sinergies &amp; fundraising - MBOs involved: All MBOs</t>
  </si>
  <si>
    <t>MBOs have consolidated inclusive governance, with quotas and effective participation mechanisms for women and youth at all decision-making levels. MBOs are recognised as defenders of the rights of marginalised groups (waste pickers, women farmers, urban and rural producers) and influence public policies (PNAE, PAA, PNRS).</t>
  </si>
  <si>
    <t>Women and young people hold leadership positions in MBOs and the entrepreneurial ecosystem, with effective decision-making power. Increased self-esteem, economic autonomy, and civic participation of historically excluded groups. Reduction of gender and age discrimination in cooperatives and value chains. Improved decent working conditions for waste pickers, urban and rural producers.</t>
  </si>
  <si>
    <t>OI 3.2 Number of active stakeholders ecosystem, strategic alliances, and partnerships promoting the economic inclusion and leadership of women, young people, and EUE within MBOs decision making processes</t>
  </si>
  <si>
    <t>Annual number of active stakeholders ecosystem, strategic alliances, and partnerships promoting the economic inclusion and leadership of women, young people, and EUE within MBOs decision making processes</t>
  </si>
  <si>
    <t>Rationale behind the Theory of change</t>
  </si>
  <si>
    <t>Information from MBOs - DGD/Trias Programme 2027-2031</t>
  </si>
  <si>
    <t>#</t>
  </si>
  <si>
    <t>Name</t>
  </si>
  <si>
    <t># members &amp; intervention</t>
  </si>
  <si>
    <t>MBOs staff</t>
  </si>
  <si>
    <r>
      <t xml:space="preserve">Direct beneficiaries
</t>
    </r>
    <r>
      <rPr>
        <b/>
        <sz val="8"/>
        <color theme="1"/>
        <rFont val="Calibri (Corpo)"/>
      </rPr>
      <t>(supported by programme)</t>
    </r>
  </si>
  <si>
    <t># Final beneficiaries
(# people member)</t>
  </si>
  <si>
    <r>
      <t xml:space="preserve">Indirect beneficiaries
</t>
    </r>
    <r>
      <rPr>
        <b/>
        <sz val="8"/>
        <color theme="1"/>
        <rFont val="Calibri (Corpo)"/>
      </rPr>
      <t>(# people per  family)</t>
    </r>
  </si>
  <si>
    <t>Complementary projects</t>
  </si>
  <si>
    <t>Total MBO members</t>
  </si>
  <si>
    <t>Level</t>
  </si>
  <si>
    <t>States</t>
  </si>
  <si>
    <t># cities</t>
  </si>
  <si>
    <t>HQ Address</t>
  </si>
  <si>
    <t>Latitude &amp; Longitude</t>
  </si>
  <si>
    <t>Total</t>
  </si>
  <si>
    <t>FFEs</t>
  </si>
  <si>
    <t>NFEs</t>
  </si>
  <si>
    <t>% women</t>
  </si>
  <si>
    <t>% youth</t>
  </si>
  <si>
    <t>Type</t>
  </si>
  <si>
    <t># complementary projects</t>
  </si>
  <si>
    <t>Donor name</t>
  </si>
  <si>
    <t>R$ Amount</t>
  </si>
  <si>
    <t>Period</t>
  </si>
  <si>
    <t>Coop member beneficiated</t>
  </si>
  <si>
    <t>Core business</t>
  </si>
  <si>
    <t>Main chains/services</t>
  </si>
  <si>
    <t>Unicafes Pará</t>
  </si>
  <si>
    <t>cooperatives</t>
  </si>
  <si>
    <t>2nd level</t>
  </si>
  <si>
    <t>Pará</t>
  </si>
  <si>
    <t>Gurupá, Medicilândia, Altamira, Mojuí dos Campos, Parauapebas, Novo Repartimento, Santarém, Pacajá, Brasil Novo</t>
  </si>
  <si>
    <t>Altamira</t>
  </si>
  <si>
    <t>Terra mesa II</t>
  </si>
  <si>
    <t>CAA e Unicafes MG</t>
  </si>
  <si>
    <t>3 cooperatives (transição agroecológica) </t>
  </si>
  <si>
    <t>Family farming</t>
  </si>
  <si>
    <t>Coffee, cocoa, xxx</t>
  </si>
  <si>
    <t>Sescoop </t>
  </si>
  <si>
    <t>Forte Mais Gestão </t>
  </si>
  <si>
    <t>Coopera Mais</t>
  </si>
  <si>
    <t>20 cooperatives (10 Unicafes+10 Unicopas)</t>
  </si>
  <si>
    <t>Ementa Airton </t>
  </si>
  <si>
    <t>Conexsus +Caixa - programa Eu acredito</t>
  </si>
  <si>
    <t>TNC</t>
  </si>
  <si>
    <t>Unicafes Rondônia</t>
  </si>
  <si>
    <t>cooperatives
(plus 1 credit coop)</t>
  </si>
  <si>
    <t>Rondônia</t>
  </si>
  <si>
    <t>20 cities + Concentration on: Cacoal, Ariquemes, Mirante da Serra, Ji-Paraná, Urupá, Ministro Andreazza, Rolim de Moura, and Corumbiara.</t>
  </si>
  <si>
    <t>Ji-Paraná</t>
  </si>
  <si>
    <t>CSA Brasil</t>
  </si>
  <si>
    <t xml:space="preserve">CSA units
</t>
  </si>
  <si>
    <t>Third level</t>
  </si>
  <si>
    <t>19 states</t>
  </si>
  <si>
    <t>?</t>
  </si>
  <si>
    <t>Bauru</t>
  </si>
  <si>
    <t>Instituto Mahle</t>
  </si>
  <si>
    <t>Peri-urban</t>
  </si>
  <si>
    <t>VP</t>
  </si>
  <si>
    <t>Unicatadores</t>
  </si>
  <si>
    <t xml:space="preserve">cooperatives
</t>
  </si>
  <si>
    <t>26 states</t>
  </si>
  <si>
    <t>São Paulo</t>
  </si>
  <si>
    <t>Recycling</t>
  </si>
  <si>
    <t>Main output</t>
  </si>
  <si>
    <t>EQUADOR</t>
  </si>
  <si>
    <t>Trias y sus socios están mejor preparados para desempeñar su papel como agentes de cambio en la sociedad, contribuyendo a un ecosistema emprendedor más inclusivo2, sostenible y resiliente.</t>
  </si>
  <si>
    <r>
      <t>Outputs (</t>
    </r>
    <r>
      <rPr>
        <b/>
        <sz val="9"/>
        <color rgb="FFFF0000"/>
        <rFont val="Roboto"/>
      </rPr>
      <t>Resultados</t>
    </r>
    <r>
      <rPr>
        <b/>
        <sz val="9"/>
        <color theme="1"/>
        <rFont val="Roboto"/>
      </rPr>
      <t>)</t>
    </r>
  </si>
  <si>
    <r>
      <t>Outputs indicators (</t>
    </r>
    <r>
      <rPr>
        <b/>
        <sz val="9"/>
        <color rgb="FFFF0000"/>
        <rFont val="Roboto"/>
      </rPr>
      <t>indicadores de resultado</t>
    </r>
    <r>
      <rPr>
        <b/>
        <sz val="9"/>
        <color theme="1"/>
        <rFont val="Roboto"/>
      </rPr>
      <t>)</t>
    </r>
  </si>
  <si>
    <r>
      <t>Intermediated outcomes (</t>
    </r>
    <r>
      <rPr>
        <b/>
        <sz val="9"/>
        <color rgb="FFFF0000"/>
        <rFont val="Roboto"/>
      </rPr>
      <t>efeitos</t>
    </r>
    <r>
      <rPr>
        <b/>
        <sz val="9"/>
        <color theme="1"/>
        <rFont val="Roboto"/>
      </rPr>
      <t>)</t>
    </r>
  </si>
  <si>
    <t>Producto / output 1</t>
  </si>
  <si>
    <t>(resultado) Calidad, diferenciación y estándares de productos generados por emprendedores familiares organizados mejorados fortaleciendo el acceso a mercados locales e internacionales.</t>
  </si>
  <si>
    <t>Número de programas de formación implementados orientados a mejorar capacidades en calidad, estándares, trazabilidad y acceso a mercados en las OBM</t>
  </si>
  <si>
    <t>Número de servicios de comercialización y acceso a mercados operativos en las OBM, que integran criterios de calidad, trazabilidad y cumplimiento de estándares</t>
  </si>
  <si>
    <t>Volumen y valor de productos (cacao, leche y productos de economía circular) comercializados por las OBM en mercados diferenciados bajo estándares de calidad y sostenibilidad</t>
  </si>
  <si>
    <t>Output 1 (desarollo de negócios, diferenciación y acceso a mercados), las actividades se centran en dos ejes: programas estructurados de formación orientados a la toma de decisiones y desarrollo de servicios de comercialización operativos. Los programas integran gestión empresarial, estándares (EUDR, orgánico), trazabilidad y herramientas digitales, combinados con metodologías como ERI y LEATRA y acompañamiento estratégico. En paralelo, se fortalecen centros de acopio, contratos comerciales y mecanismos de comercialización colectiva. Estas actividades permiten que las OBM pasen de vender productos a competir en mercados diferenciados, lo que se refleja en el incremento del volumen y valor comercializado y en la implementación de decisiones estratégicas.
En el Output 2 (resiliencia climática), el programa implementa sistemas de gestión de riesgos climáticos mediante metodologías como Building Resilience. Estas actividades incluyen análisis participativo de riesgos, planes de adaptación e integración de criterios climáticos en la gestión organizativa. A nivel de finca, se promueven prácticas como agroforestería en cacao, diversificación productiva y conservación de agua. El resultado es la adopción efectiva de prácticas por productores y la expansión de hectáreas bajo sistemas sostenibles, evidenciando una transformación real del sistema productivo.
En el Output 3 (inclusión y liderazgo), las actividades se orientan a cambiar las reglas de gobernanza organizativa. Se institucionalizan mecanismos como comités y reformas estatutarias, se fortalecen capacidades de mujeres y jóvenes, y se promueve su participación en plataformas de articulación con actores del ecosistema. Estas acciones generan condiciones para que mujeres y jóvenes no solo participen, sino que influyan en decisiones, lo que se refleja en su presencia en cargos de decisión y en la capacidad de las OBM para generar acciones de incidencia con resultados concretos.
La contribución al outcome es directa: el 
Output 1 impulsa resultados económicos, el 
Output 2 reduce vulnerabilidad y transforma sistemas productivos, y el 
Output 3 modifica estructuras de poder y posiciona a las OBM en el ecosistema. En conjunto, estos outputs permiten que las organizaciones no solo mejoren su desempeño, sino que actúen como agentes de cambio.
El programa moviliza recursos técnicos (metodologías Trias), humanos (equipos OBM y especialistas), financieros (fondos DGD y cofinanciamiento) y relacionales (alianzas estratégicas). Trias actúa como facilitador, asegurando que estos recursos se traduzcan en resultados verificables.</t>
  </si>
  <si>
    <t>Producto / output 2</t>
  </si>
  <si>
    <t>(clima) Resiliencia climática de las fincas de pequeños productores /emprendimientos organizados fortalecidas mediante la implementación de prácticas sostenibles de adaptación y gestión de riesgos.</t>
  </si>
  <si>
    <t>Número de organizaciones basadas en miembros (OBM) que implementan sistemas funcionales de gestión de riesgos climáticos integrados en su gestión y servicios</t>
  </si>
  <si>
    <t>Número de decisiones estratégicas implementadas por las OBM que generan cambios verificables en su gestión, servicios o acceso a mercados</t>
  </si>
  <si>
    <t>Producto / output 3</t>
  </si>
  <si>
    <t xml:space="preserve">(inclusão) Inclusión económica y el liderazgo de mujeres y jóvenes en OBM fortalecidos mediante el desarrollo de capacidades, espacios de participación efectiva y articulación con actores del ecosistema. </t>
  </si>
  <si>
    <t>Número de mecanismos de inclusión y participación (estatutos, cuotas, comités) formalmente institucionalizados y operativos en las OBM</t>
  </si>
  <si>
    <t>Número de plataformas de articulación y alianzas funcionales activas que promueven la inclusión económica y participación de mujeres y jóvenes</t>
  </si>
  <si>
    <t>Número de hectáreas bajo sistemas productivos sostenibles y resilientes implementados por productores vinculados a las OBM</t>
  </si>
  <si>
    <t>Número de emprendedores que implementan prácticas sostenibles y resilientes en sus sistemas productivos</t>
  </si>
  <si>
    <t>Porcentaje de mujeres y jóvenes que ocupan cargos de decisión y participan activamente en procesos de toma de decisiones dentro de las OBM</t>
  </si>
  <si>
    <t>Número de acciones de incidencia lideradas por las OBM que resultan en cambios verificables en políticas, financiamiento o acuerdos del ecosistema</t>
  </si>
  <si>
    <t>DGD Non JSF objectives</t>
  </si>
  <si>
    <t>SPIDER capacities</t>
  </si>
  <si>
    <t>Programme outcome - BRAZIL</t>
  </si>
  <si>
    <t>Outcome indicator</t>
  </si>
  <si>
    <t>Programme Outputs</t>
  </si>
  <si>
    <t>At member level</t>
  </si>
  <si>
    <t>Objective 1: To strengthen inclusive and democratic governance, with gender parity and youth inclusive participation in decision-making processes</t>
  </si>
  <si>
    <t>3. Inclusion of women, youth, vulnerable groups
2. Lobby &amp; Advocacy</t>
  </si>
  <si>
    <t>Trias and MBOs partners are better equipped to fulfil their role as agents of change and contribute to a more inclusive, sustainable, and resilient entrepreneurial ecosystem in Brazil.</t>
  </si>
  <si>
    <t>MBOs strengthen their members' access to local and international markets, with higher-quality, differentiated products that meet relevant standards</t>
  </si>
  <si>
    <r>
      <t>1.</t>
    </r>
    <r>
      <rPr>
        <sz val="7"/>
        <color rgb="FF000000"/>
        <rFont val="Times New Roman"/>
        <family val="1"/>
      </rPr>
      <t> </t>
    </r>
    <r>
      <rPr>
        <sz val="10"/>
        <color rgb="FF000000"/>
        <rFont val="Roboto"/>
      </rPr>
      <t>Diversification of sustainable products and services provided to the rural-urban MBOs members</t>
    </r>
  </si>
  <si>
    <r>
      <t>1.</t>
    </r>
    <r>
      <rPr>
        <sz val="7"/>
        <color rgb="FF000000"/>
        <rFont val="Times New Roman"/>
        <family val="1"/>
      </rPr>
      <t xml:space="preserve"> </t>
    </r>
    <r>
      <rPr>
        <sz val="10"/>
        <color rgb="FF000000"/>
        <rFont val="Roboto"/>
      </rPr>
      <t>MBO members' businesses are linked to buyers and other market channels</t>
    </r>
  </si>
  <si>
    <t>Objective 2: To promote inclusive sustainable economies towards inequalities and disparities reductions, by fostering the social, solidarity, innovation and climate resilience</t>
  </si>
  <si>
    <t>1. Business development &amp; access to markets</t>
  </si>
  <si>
    <t>MBOs strengthen their members' climate resilience through the implementation of sustainable practices, adaptation measures and risk management</t>
  </si>
  <si>
    <r>
      <t>2.</t>
    </r>
    <r>
      <rPr>
        <sz val="7"/>
        <color rgb="FF000000"/>
        <rFont val="Times New Roman"/>
        <family val="1"/>
      </rPr>
      <t> </t>
    </r>
    <r>
      <rPr>
        <sz val="10"/>
        <color rgb="FF000000"/>
        <rFont val="Roboto"/>
      </rPr>
      <t>Rural-urban MBOs have developed environmental and climate change plans, policies and strategies and implements</t>
    </r>
  </si>
  <si>
    <t>2. Members are benefiting from changes in the MBO in terms of behaviour, practices, relationships or inclusive policies resulting from inclusive processes</t>
  </si>
  <si>
    <t>Objective 3: To reinforce the stakeholder ecosystem joining effort among the resilience and sustainable Amazon biocorridor biodiversity</t>
  </si>
  <si>
    <t>6. Services delivered &amp; Financial health
4. Climate change &amp; environmental sustainability</t>
  </si>
  <si>
    <t>Economic inclusion and the leadership of women and young people as catalysts within MBOs and the ecosystem are strengthened through capacity building, effective participation and access to economic opportunities</t>
  </si>
  <si>
    <r>
      <t>3.</t>
    </r>
    <r>
      <rPr>
        <sz val="7"/>
        <color rgb="FF000000"/>
        <rFont val="Times New Roman"/>
        <family val="1"/>
      </rPr>
      <t> </t>
    </r>
    <r>
      <rPr>
        <sz val="10"/>
        <color rgb="FF000000"/>
        <rFont val="Roboto"/>
      </rPr>
      <t>Rural-urban MBOs amplifies the key stakeholders ecosystem and diversifying complementary initiatives</t>
    </r>
  </si>
  <si>
    <t>Objective 4: To develop strategic skills to reduce the structural gaps, guaranteeing a more inclusive, equitable and digitally connected, and that it promotes social innovation, decent work and sustainability</t>
  </si>
  <si>
    <t>5. Governance &amp; leadership &amp; network</t>
  </si>
  <si>
    <t>A: Increased awareness of key individuals</t>
  </si>
  <si>
    <r>
      <t>v</t>
    </r>
    <r>
      <rPr>
        <sz val="7"/>
        <color rgb="FFC00000"/>
        <rFont val="Times New Roman"/>
        <family val="1"/>
      </rPr>
      <t xml:space="preserve">  </t>
    </r>
    <r>
      <rPr>
        <b/>
        <sz val="10"/>
        <color rgb="FFC00000"/>
        <rFont val="Roboto"/>
      </rPr>
      <t>Gender and social inclusion Area.</t>
    </r>
    <r>
      <rPr>
        <sz val="10"/>
        <color rgb="FFC00000"/>
        <rFont val="Roboto"/>
      </rPr>
      <t xml:space="preserve"> </t>
    </r>
    <r>
      <rPr>
        <b/>
        <sz val="10"/>
        <color rgb="FFC00000"/>
        <rFont val="Roboto"/>
      </rPr>
      <t>Objective:</t>
    </r>
    <r>
      <rPr>
        <sz val="10"/>
        <color rgb="FFC00000"/>
        <rFont val="Roboto"/>
      </rPr>
      <t xml:space="preserve"> Key individuals understand structural barriers faced by women, youth, waste pickers, and rural‑urban producers, and recognize the need for inclusive policies. </t>
    </r>
    <r>
      <rPr>
        <b/>
        <sz val="10"/>
        <color rgb="FFC00000"/>
        <rFont val="Roboto"/>
      </rPr>
      <t>MBOs:</t>
    </r>
    <r>
      <rPr>
        <sz val="10"/>
        <color rgb="FFC00000"/>
        <rFont val="Roboto"/>
      </rPr>
      <t xml:space="preserve"> All 4 MBOs. </t>
    </r>
    <r>
      <rPr>
        <b/>
        <sz val="10"/>
        <color rgb="FFC00000"/>
        <rFont val="Roboto"/>
      </rPr>
      <t>Individuals:</t>
    </r>
    <r>
      <rPr>
        <sz val="10"/>
        <color rgb="FFC00000"/>
        <rFont val="Roboto"/>
      </rPr>
      <t xml:space="preserve"> Board members, committee chairs, staff responsible for membership services.</t>
    </r>
  </si>
  <si>
    <t>Business development &amp; access to markets</t>
  </si>
  <si>
    <r>
      <t>v</t>
    </r>
    <r>
      <rPr>
        <sz val="7"/>
        <color rgb="FFC00000"/>
        <rFont val="Times New Roman"/>
        <family val="1"/>
      </rPr>
      <t xml:space="preserve">  </t>
    </r>
    <r>
      <rPr>
        <b/>
        <sz val="10"/>
        <color rgb="FFC00000"/>
        <rFont val="Roboto"/>
      </rPr>
      <t>Climate justice Area.</t>
    </r>
    <r>
      <rPr>
        <sz val="10"/>
        <color rgb="FFC00000"/>
        <rFont val="Roboto"/>
      </rPr>
      <t xml:space="preserve"> </t>
    </r>
    <r>
      <rPr>
        <b/>
        <sz val="10"/>
        <color rgb="FFC00000"/>
        <rFont val="Roboto"/>
      </rPr>
      <t>Objective:</t>
    </r>
    <r>
      <rPr>
        <sz val="10"/>
        <color rgb="FFC00000"/>
        <rFont val="Roboto"/>
      </rPr>
      <t xml:space="preserve"> Key individuals understand the disproportionate impacts of climate change on vulnerable groups (Amazonian farmers, waste pickers, rural‑urban CSA producers) and the importance of just transition strategies. </t>
    </r>
    <r>
      <rPr>
        <b/>
        <sz val="10"/>
        <color rgb="FFC00000"/>
        <rFont val="Roboto"/>
      </rPr>
      <t>MBOs:</t>
    </r>
    <r>
      <rPr>
        <sz val="10"/>
        <color rgb="FFC00000"/>
        <rFont val="Roboto"/>
      </rPr>
      <t xml:space="preserve"> All 4 MBOs.</t>
    </r>
  </si>
  <si>
    <t>Lobby &amp; Advocacy</t>
  </si>
  <si>
    <r>
      <t>Individuals:</t>
    </r>
    <r>
      <rPr>
        <sz val="10"/>
        <color rgb="FFC00000"/>
        <rFont val="Roboto"/>
      </rPr>
      <t xml:space="preserve"> Technical staff, facilitators, environmental committee members.</t>
    </r>
  </si>
  <si>
    <t>Inclusion of women, youth, vulnerable groups</t>
  </si>
  <si>
    <r>
      <t>v</t>
    </r>
    <r>
      <rPr>
        <sz val="7"/>
        <color rgb="FFC00000"/>
        <rFont val="Times New Roman"/>
        <family val="1"/>
      </rPr>
      <t xml:space="preserve">  </t>
    </r>
    <r>
      <rPr>
        <b/>
        <sz val="10"/>
        <color rgb="FFC00000"/>
        <rFont val="Roboto"/>
      </rPr>
      <t>MBO role as change agent Area.</t>
    </r>
    <r>
      <rPr>
        <sz val="10"/>
        <color rgb="FFC00000"/>
        <rFont val="Roboto"/>
      </rPr>
      <t xml:space="preserve"> </t>
    </r>
    <r>
      <rPr>
        <b/>
        <sz val="10"/>
        <color rgb="FFC00000"/>
        <rFont val="Roboto"/>
      </rPr>
      <t>Objective:</t>
    </r>
    <r>
      <rPr>
        <sz val="10"/>
        <color rgb="FFC00000"/>
        <rFont val="Roboto"/>
      </rPr>
      <t xml:space="preserve"> Key individuals recognize the potential of their MBO to influence public policies (PNAE, PAA, PNPS), negotiate with private sector, and advocate for systemic change. </t>
    </r>
    <r>
      <rPr>
        <b/>
        <sz val="10"/>
        <color rgb="FFC00000"/>
        <rFont val="Roboto"/>
      </rPr>
      <t>MBOs:</t>
    </r>
    <r>
      <rPr>
        <sz val="10"/>
        <color rgb="FFC00000"/>
        <rFont val="Roboto"/>
      </rPr>
      <t xml:space="preserve"> All 4 MBOs. </t>
    </r>
    <r>
      <rPr>
        <b/>
        <sz val="10"/>
        <color rgb="FFC00000"/>
        <rFont val="Roboto"/>
      </rPr>
      <t>Individuals:</t>
    </r>
    <r>
      <rPr>
        <sz val="10"/>
        <color rgb="FFC00000"/>
        <rFont val="Roboto"/>
      </rPr>
      <t xml:space="preserve"> Board members, advocacy committee, executive secretaries.</t>
    </r>
  </si>
  <si>
    <t>Climate change &amp; environmental sustainability</t>
  </si>
  <si>
    <r>
      <t>v</t>
    </r>
    <r>
      <rPr>
        <sz val="7"/>
        <color rgb="FFC00000"/>
        <rFont val="Times New Roman"/>
        <family val="1"/>
      </rPr>
      <t xml:space="preserve">  </t>
    </r>
    <r>
      <rPr>
        <b/>
        <sz val="10"/>
        <color rgb="FFC00000"/>
        <rFont val="Roboto"/>
      </rPr>
      <t>Market and regulatory environment Area.</t>
    </r>
    <r>
      <rPr>
        <sz val="10"/>
        <color rgb="FFC00000"/>
        <rFont val="Roboto"/>
      </rPr>
      <t xml:space="preserve"> </t>
    </r>
    <r>
      <rPr>
        <b/>
        <sz val="10"/>
        <color rgb="FFC00000"/>
        <rFont val="Roboto"/>
      </rPr>
      <t>Objective:</t>
    </r>
    <r>
      <rPr>
        <sz val="10"/>
        <color rgb="FFC00000"/>
        <rFont val="Roboto"/>
      </rPr>
      <t xml:space="preserve"> Key individuals understand EU deforestation regulation (EUDR) requirements, certification processes (organic, fair trade), and market differentiation opportunities for Amazonian products. </t>
    </r>
    <r>
      <rPr>
        <b/>
        <sz val="10"/>
        <color rgb="FFC00000"/>
        <rFont val="Roboto"/>
      </rPr>
      <t>MBOs:</t>
    </r>
    <r>
      <rPr>
        <sz val="10"/>
        <color rgb="FFC00000"/>
        <rFont val="Roboto"/>
      </rPr>
      <t xml:space="preserve"> All 4 MBOs. </t>
    </r>
    <r>
      <rPr>
        <b/>
        <sz val="10"/>
        <color rgb="FFC00000"/>
        <rFont val="Roboto"/>
      </rPr>
      <t>Individuals:</t>
    </r>
    <r>
      <rPr>
        <sz val="10"/>
        <color rgb="FFC00000"/>
        <rFont val="Roboto"/>
      </rPr>
      <t xml:space="preserve"> Commercial staff, quality control officers, traceability technicians.</t>
    </r>
  </si>
  <si>
    <t>Governance &amp; leadership &amp; network</t>
  </si>
  <si>
    <t>Output objective 2: Improved ability (skills, knowledge, confidence) of key individuals</t>
  </si>
  <si>
    <t>Services delivered &amp; Financial health</t>
  </si>
  <si>
    <r>
      <t>v</t>
    </r>
    <r>
      <rPr>
        <sz val="7"/>
        <color rgb="FFC00000"/>
        <rFont val="Times New Roman"/>
        <family val="1"/>
      </rPr>
      <t xml:space="preserve">  </t>
    </r>
    <r>
      <rPr>
        <b/>
        <sz val="10"/>
        <color rgb="FFC00000"/>
        <rFont val="Roboto"/>
      </rPr>
      <t>Business and market access Area.</t>
    </r>
    <r>
      <rPr>
        <sz val="10"/>
        <color rgb="FFC00000"/>
        <rFont val="Roboto"/>
      </rPr>
      <t xml:space="preserve"> </t>
    </r>
    <r>
      <rPr>
        <b/>
        <sz val="10"/>
        <color rgb="FFC00000"/>
        <rFont val="Roboto"/>
      </rPr>
      <t>Objective:</t>
    </r>
    <r>
      <rPr>
        <sz val="10"/>
        <color rgb="FFC00000"/>
        <rFont val="Roboto"/>
      </rPr>
      <t xml:space="preserve"> Key individuals acquire skills in collective negotiation, quality control, traceability systems (EUDR), and market intelligence. </t>
    </r>
    <r>
      <rPr>
        <b/>
        <sz val="10"/>
        <color rgb="FFC00000"/>
        <rFont val="Roboto"/>
      </rPr>
      <t>MBOs:</t>
    </r>
    <r>
      <rPr>
        <sz val="10"/>
        <color rgb="FFC00000"/>
        <rFont val="Roboto"/>
      </rPr>
      <t xml:space="preserve"> All 4 MBOs. </t>
    </r>
    <r>
      <rPr>
        <b/>
        <sz val="10"/>
        <color rgb="FFC00000"/>
        <rFont val="Roboto"/>
      </rPr>
      <t>Individuals:</t>
    </r>
    <r>
      <rPr>
        <sz val="10"/>
        <color rgb="FFC00000"/>
        <rFont val="Roboto"/>
      </rPr>
      <t xml:space="preserve"> Commercial staff, cooperative managers, quality officers. </t>
    </r>
    <r>
      <rPr>
        <b/>
        <sz val="10"/>
        <color rgb="FFC00000"/>
        <rFont val="Roboto"/>
      </rPr>
      <t>Illustrative indicator:</t>
    </r>
    <r>
      <rPr>
        <sz val="10"/>
        <color rgb="FFC00000"/>
        <rFont val="Roboto"/>
      </rPr>
      <t xml:space="preserve"> Number of key individuals completing training in traceability and quality management.</t>
    </r>
  </si>
  <si>
    <r>
      <t>v</t>
    </r>
    <r>
      <rPr>
        <sz val="7"/>
        <color rgb="FFC00000"/>
        <rFont val="Times New Roman"/>
        <family val="1"/>
      </rPr>
      <t xml:space="preserve">  </t>
    </r>
    <r>
      <rPr>
        <b/>
        <sz val="10"/>
        <color rgb="FFC00000"/>
        <rFont val="Roboto"/>
      </rPr>
      <t>Climate resilience Area.</t>
    </r>
    <r>
      <rPr>
        <sz val="10"/>
        <color rgb="FFC00000"/>
        <rFont val="Roboto"/>
      </rPr>
      <t xml:space="preserve"> </t>
    </r>
    <r>
      <rPr>
        <b/>
        <sz val="10"/>
        <color rgb="FFC00000"/>
        <rFont val="Roboto"/>
      </rPr>
      <t>Objective:</t>
    </r>
    <r>
      <rPr>
        <sz val="10"/>
        <color rgb="FFC00000"/>
        <rFont val="Roboto"/>
      </rPr>
      <t xml:space="preserve"> Key individuals acquire skills in climate risk assessment (building resilience), adaptation planning, and access to climate finance (PES, carbon markets).</t>
    </r>
  </si>
  <si>
    <r>
      <t>MBOs:</t>
    </r>
    <r>
      <rPr>
        <sz val="10"/>
        <color rgb="FFC00000"/>
        <rFont val="Roboto"/>
      </rPr>
      <t xml:space="preserve"> All. </t>
    </r>
    <r>
      <rPr>
        <b/>
        <sz val="10"/>
        <color rgb="FFC00000"/>
        <rFont val="Roboto"/>
      </rPr>
      <t>Individuals:</t>
    </r>
    <r>
      <rPr>
        <sz val="10"/>
        <color rgb="FFC00000"/>
        <rFont val="Roboto"/>
      </rPr>
      <t xml:space="preserve"> Technical staff, environmental committee members, facilitators. </t>
    </r>
    <r>
      <rPr>
        <b/>
        <sz val="10"/>
        <color rgb="FFC00000"/>
        <rFont val="Roboto"/>
      </rPr>
      <t>Illustrative indicator:</t>
    </r>
    <r>
      <rPr>
        <sz val="10"/>
        <color rgb="FFC00000"/>
        <rFont val="Roboto"/>
      </rPr>
      <t xml:space="preserve"> Number of key individuals certified in Building Resilience methodology.</t>
    </r>
  </si>
  <si>
    <r>
      <t>v</t>
    </r>
    <r>
      <rPr>
        <sz val="7"/>
        <color rgb="FFC00000"/>
        <rFont val="Times New Roman"/>
        <family val="1"/>
      </rPr>
      <t xml:space="preserve">  </t>
    </r>
    <r>
      <rPr>
        <b/>
        <sz val="10"/>
        <color rgb="FFC00000"/>
        <rFont val="Roboto"/>
      </rPr>
      <t>Inclusive governance and leadership Area.</t>
    </r>
    <r>
      <rPr>
        <sz val="10"/>
        <color rgb="FFC00000"/>
        <rFont val="Roboto"/>
      </rPr>
      <t xml:space="preserve"> </t>
    </r>
    <r>
      <rPr>
        <b/>
        <sz val="10"/>
        <color rgb="FFC00000"/>
        <rFont val="Roboto"/>
      </rPr>
      <t>Objective:</t>
    </r>
    <r>
      <rPr>
        <sz val="10"/>
        <color rgb="FFC00000"/>
        <rFont val="Roboto"/>
      </rPr>
      <t xml:space="preserve"> Key individuals acquire skills in inclusive governance practices (statutes, leadership roles for women and youth, and conflict resolution). </t>
    </r>
    <r>
      <rPr>
        <b/>
        <sz val="10"/>
        <color rgb="FFC00000"/>
        <rFont val="Roboto"/>
      </rPr>
      <t>MBOs:</t>
    </r>
    <r>
      <rPr>
        <sz val="10"/>
        <color rgb="FFC00000"/>
        <rFont val="Roboto"/>
      </rPr>
      <t xml:space="preserve"> All 4 MBOs. </t>
    </r>
    <r>
      <rPr>
        <b/>
        <sz val="10"/>
        <color rgb="FFC00000"/>
        <rFont val="Roboto"/>
      </rPr>
      <t>Individuals:</t>
    </r>
    <r>
      <rPr>
        <sz val="10"/>
        <color rgb="FFC00000"/>
        <rFont val="Roboto"/>
      </rPr>
      <t xml:space="preserve"> Board members, committee chairs, youth/women representatives.</t>
    </r>
  </si>
  <si>
    <r>
      <t>Illustrative indicator:</t>
    </r>
    <r>
      <rPr>
        <sz val="10"/>
        <color rgb="FFC00000"/>
        <rFont val="Roboto"/>
      </rPr>
      <t xml:space="preserve"> % of key individuals reporting increased confidence to influence decisions (SPIDER survey).</t>
    </r>
  </si>
  <si>
    <r>
      <t>v</t>
    </r>
    <r>
      <rPr>
        <sz val="7"/>
        <color rgb="FFC00000"/>
        <rFont val="Times New Roman"/>
        <family val="1"/>
      </rPr>
      <t xml:space="preserve">  </t>
    </r>
    <r>
      <rPr>
        <b/>
        <sz val="10"/>
        <color rgb="FFC00000"/>
        <rFont val="Roboto"/>
      </rPr>
      <t>Advocacy and networking Area.</t>
    </r>
    <r>
      <rPr>
        <sz val="10"/>
        <color rgb="FFC00000"/>
        <rFont val="Roboto"/>
      </rPr>
      <t xml:space="preserve"> </t>
    </r>
    <r>
      <rPr>
        <b/>
        <sz val="10"/>
        <color rgb="FFC00000"/>
        <rFont val="Roboto"/>
      </rPr>
      <t>Objective:</t>
    </r>
    <r>
      <rPr>
        <sz val="10"/>
        <color rgb="FFC00000"/>
        <rFont val="Roboto"/>
      </rPr>
      <t xml:space="preserve"> Key individuals acquire skills in policy dialogue, multi‑stakeholder platforms (PNAE, PAA, PNPS), and strategic alliance building. </t>
    </r>
    <r>
      <rPr>
        <b/>
        <sz val="10"/>
        <color rgb="FFC00000"/>
        <rFont val="Roboto"/>
      </rPr>
      <t>MBOs:</t>
    </r>
    <r>
      <rPr>
        <sz val="10"/>
        <color rgb="FFC00000"/>
        <rFont val="Roboto"/>
      </rPr>
      <t xml:space="preserve"> All 4 MBOs. </t>
    </r>
    <r>
      <rPr>
        <b/>
        <sz val="10"/>
        <color rgb="FFC00000"/>
        <rFont val="Roboto"/>
      </rPr>
      <t>Individuals:</t>
    </r>
    <r>
      <rPr>
        <sz val="10"/>
        <color rgb="FFC00000"/>
        <rFont val="Roboto"/>
      </rPr>
      <t xml:space="preserve"> Advocacy committee members, executive secretaries, board members. </t>
    </r>
    <r>
      <rPr>
        <b/>
        <sz val="10"/>
        <color rgb="FFC00000"/>
        <rFont val="Roboto"/>
      </rPr>
      <t>Illustrative indicator:</t>
    </r>
    <r>
      <rPr>
        <sz val="10"/>
        <color rgb="FFC00000"/>
        <rFont val="Roboto"/>
      </rPr>
      <t xml:space="preserve"> Number of individuals participating in advocacy forums/platforms.</t>
    </r>
  </si>
  <si>
    <r>
      <t>v</t>
    </r>
    <r>
      <rPr>
        <sz val="7"/>
        <color rgb="FFC00000"/>
        <rFont val="Times New Roman"/>
        <family val="1"/>
      </rPr>
      <t xml:space="preserve">  </t>
    </r>
    <r>
      <rPr>
        <b/>
        <sz val="10"/>
        <color rgb="FFC00000"/>
        <rFont val="Roboto"/>
      </rPr>
      <t>Digital and data literacy Area.</t>
    </r>
    <r>
      <rPr>
        <sz val="10"/>
        <color rgb="FFC00000"/>
        <rFont val="Roboto"/>
      </rPr>
      <t xml:space="preserve"> </t>
    </r>
    <r>
      <rPr>
        <b/>
        <sz val="10"/>
        <color rgb="FFC00000"/>
        <rFont val="Roboto"/>
      </rPr>
      <t>Objective:</t>
    </r>
    <r>
      <rPr>
        <sz val="10"/>
        <color rgb="FFC00000"/>
        <rFont val="Roboto"/>
      </rPr>
      <t xml:space="preserve"> Key individuals acquire skills in digital tools (traceability, AI mapping, data management) relevant to their MBO’s activities. </t>
    </r>
    <r>
      <rPr>
        <b/>
        <sz val="10"/>
        <color rgb="FFC00000"/>
        <rFont val="Roboto"/>
      </rPr>
      <t>MBOs:</t>
    </r>
    <r>
      <rPr>
        <sz val="10"/>
        <color rgb="FFC00000"/>
        <rFont val="Roboto"/>
      </rPr>
      <t xml:space="preserve"> UNICATORES, UNICAFES (PA, RO), CSA Brasil. </t>
    </r>
    <r>
      <rPr>
        <b/>
        <sz val="10"/>
        <color rgb="FFC00000"/>
        <rFont val="Roboto"/>
      </rPr>
      <t>Individuals:</t>
    </r>
    <r>
      <rPr>
        <sz val="10"/>
        <color rgb="FFC00000"/>
        <rFont val="Roboto"/>
      </rPr>
      <t xml:space="preserve"> Technical staff, traceability officers, leaders. </t>
    </r>
    <r>
      <rPr>
        <b/>
        <sz val="10"/>
        <color rgb="FFC00000"/>
        <rFont val="Roboto"/>
      </rPr>
      <t>Illustrative indicator:</t>
    </r>
    <r>
      <rPr>
        <sz val="10"/>
        <color rgb="FFC00000"/>
        <rFont val="Roboto"/>
      </rPr>
      <t xml:space="preserve"> Number of key individuals completing digital/AI literacy training.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</si>
</sst>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43" formatCode="_-* #,##0.00_-;\-* #,##0.00_-;_-* &quot;-&quot;??_-;_-@_-"/>
    <numFmt numFmtId="164" formatCode="_-* #,##0_-;\-* #,##0_-;_-* &quot;-&quot;??_-;_-@_-"/>
  </numFmts>
  <fonts count="27" x14ac:knownFonts="1">
    <font>
      <sz val="11"/>
      <color theme="1"/>
      <name val="Calibri"/>
      <family val="2"/>
      <scheme val="minor"/>
    </font>
    <font>
      <sz val="12"/>
      <color theme="1"/>
      <name val="Calibri"/>
      <family val="2"/>
      <scheme val="minor"/>
    </font>
    <font>
      <b/>
      <sz val="11"/>
      <color theme="1"/>
      <name val="Calibri"/>
      <family val="2"/>
      <scheme val="minor"/>
    </font>
    <font>
      <sz val="9.5"/>
      <name val="Helvetica Neue"/>
      <family val="2"/>
    </font>
    <font>
      <sz val="11"/>
      <color theme="1"/>
      <name val="Calibri"/>
      <family val="2"/>
      <scheme val="minor"/>
    </font>
    <font>
      <b/>
      <sz val="8"/>
      <color theme="1"/>
      <name val="Calibri (Corpo)"/>
    </font>
    <font>
      <sz val="10"/>
      <color theme="1"/>
      <name val="Roboto"/>
    </font>
    <font>
      <sz val="10"/>
      <color rgb="FF000000"/>
      <name val="Roboto"/>
    </font>
    <font>
      <sz val="7"/>
      <color rgb="FF000000"/>
      <name val="Times New Roman"/>
      <family val="1"/>
    </font>
    <font>
      <sz val="9"/>
      <color theme="1"/>
      <name val="Roboto"/>
    </font>
    <font>
      <sz val="9"/>
      <color theme="8"/>
      <name val="Roboto"/>
    </font>
    <font>
      <sz val="9"/>
      <color rgb="FF000000"/>
      <name val="Roboto"/>
    </font>
    <font>
      <sz val="9"/>
      <color theme="9"/>
      <name val="Roboto"/>
    </font>
    <font>
      <sz val="9"/>
      <color rgb="FF0070C0"/>
      <name val="Roboto"/>
    </font>
    <font>
      <b/>
      <sz val="9"/>
      <color theme="1"/>
      <name val="Roboto"/>
    </font>
    <font>
      <b/>
      <sz val="9"/>
      <color rgb="FFFF0000"/>
      <name val="Roboto"/>
    </font>
    <font>
      <b/>
      <sz val="9"/>
      <color theme="0"/>
      <name val="Roboto"/>
    </font>
    <font>
      <sz val="9"/>
      <color theme="0"/>
      <name val="Roboto"/>
    </font>
    <font>
      <b/>
      <sz val="14"/>
      <color theme="1"/>
      <name val="Calibri"/>
      <family val="2"/>
      <scheme val="minor"/>
    </font>
    <font>
      <sz val="10"/>
      <color rgb="FF000000"/>
      <name val="Tahoma"/>
      <family val="2"/>
    </font>
    <font>
      <u/>
      <sz val="9"/>
      <color theme="1"/>
      <name val="Roboto"/>
    </font>
    <font>
      <sz val="7"/>
      <color theme="1"/>
      <name val="Times New Roman"/>
      <family val="1"/>
    </font>
    <font>
      <u/>
      <sz val="10"/>
      <color rgb="FFC00000"/>
      <name val="Roboto"/>
    </font>
    <font>
      <sz val="10"/>
      <color rgb="FFC00000"/>
      <name val="Wingdings"/>
      <charset val="2"/>
    </font>
    <font>
      <sz val="7"/>
      <color rgb="FFC00000"/>
      <name val="Times New Roman"/>
      <family val="1"/>
    </font>
    <font>
      <b/>
      <sz val="10"/>
      <color rgb="FFC00000"/>
      <name val="Roboto"/>
    </font>
    <font>
      <sz val="10"/>
      <color rgb="FFC00000"/>
      <name val="Roboto"/>
    </font>
  </fonts>
  <fills count="9">
    <fill>
      <patternFill patternType="none"/>
    </fill>
    <fill>
      <patternFill patternType="gray125"/>
    </fill>
    <fill>
      <patternFill patternType="solid">
        <fgColor theme="7" tint="0.79998168889431442"/>
        <bgColor indexed="64"/>
      </patternFill>
    </fill>
    <fill>
      <patternFill patternType="solid">
        <fgColor theme="7"/>
        <bgColor indexed="64"/>
      </patternFill>
    </fill>
    <fill>
      <patternFill patternType="solid">
        <fgColor theme="7" tint="0.59999389629810485"/>
        <bgColor indexed="64"/>
      </patternFill>
    </fill>
    <fill>
      <patternFill patternType="solid">
        <fgColor theme="8" tint="-0.499984740745262"/>
        <bgColor indexed="64"/>
      </patternFill>
    </fill>
    <fill>
      <patternFill patternType="solid">
        <fgColor theme="8" tint="-0.249977111117893"/>
        <bgColor indexed="64"/>
      </patternFill>
    </fill>
    <fill>
      <patternFill patternType="solid">
        <fgColor rgb="FF002060"/>
        <bgColor indexed="64"/>
      </patternFill>
    </fill>
    <fill>
      <patternFill patternType="solid">
        <fgColor theme="8"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style="thin">
        <color indexed="64"/>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top/>
      <bottom/>
      <diagonal/>
    </border>
  </borders>
  <cellStyleXfs count="5">
    <xf numFmtId="0" fontId="0" fillId="0" borderId="0"/>
    <xf numFmtId="43" fontId="4" fillId="0" borderId="0" applyFont="0" applyFill="0" applyBorder="0" applyAlignment="0" applyProtection="0"/>
    <xf numFmtId="44" fontId="4" fillId="0" borderId="0" applyFont="0" applyFill="0" applyBorder="0" applyAlignment="0" applyProtection="0"/>
    <xf numFmtId="0" fontId="1" fillId="0" borderId="0"/>
    <xf numFmtId="9" fontId="4" fillId="0" borderId="0" applyFont="0" applyFill="0" applyBorder="0" applyAlignment="0" applyProtection="0"/>
  </cellStyleXfs>
  <cellXfs count="134">
    <xf numFmtId="0" fontId="0" fillId="0" borderId="0" xfId="0"/>
    <xf numFmtId="0" fontId="2" fillId="0" borderId="1" xfId="0" applyFont="1" applyBorder="1" applyAlignment="1">
      <alignment horizontal="center" vertical="center" wrapText="1"/>
    </xf>
    <xf numFmtId="0" fontId="0" fillId="0" borderId="0" xfId="0" applyAlignment="1">
      <alignment vertical="center" wrapText="1"/>
    </xf>
    <xf numFmtId="0" fontId="2" fillId="0" borderId="1" xfId="0" applyFont="1" applyBorder="1" applyAlignment="1">
      <alignment vertical="center" wrapText="1"/>
    </xf>
    <xf numFmtId="0" fontId="0" fillId="2" borderId="1" xfId="0" applyFill="1" applyBorder="1" applyAlignment="1">
      <alignment vertical="center" wrapText="1"/>
    </xf>
    <xf numFmtId="0" fontId="0" fillId="2" borderId="3" xfId="0" applyFill="1" applyBorder="1" applyAlignment="1">
      <alignment vertical="center" wrapText="1"/>
    </xf>
    <xf numFmtId="0" fontId="3" fillId="2" borderId="1" xfId="0" applyFont="1" applyFill="1" applyBorder="1" applyAlignment="1">
      <alignment vertical="center" wrapText="1"/>
    </xf>
    <xf numFmtId="0" fontId="2" fillId="0" borderId="3" xfId="0" applyFont="1" applyBorder="1" applyAlignment="1">
      <alignment horizontal="center" vertical="center" wrapText="1"/>
    </xf>
    <xf numFmtId="0" fontId="2" fillId="0" borderId="0" xfId="0" applyFont="1" applyAlignment="1">
      <alignment vertical="center"/>
    </xf>
    <xf numFmtId="0" fontId="0" fillId="0" borderId="1" xfId="0" applyBorder="1" applyAlignment="1">
      <alignment vertical="center" wrapText="1"/>
    </xf>
    <xf numFmtId="0" fontId="0" fillId="3" borderId="10" xfId="0" applyFill="1" applyBorder="1" applyAlignment="1">
      <alignment vertical="center" wrapText="1"/>
    </xf>
    <xf numFmtId="0" fontId="2" fillId="0" borderId="6" xfId="0" applyFont="1" applyBorder="1" applyAlignment="1">
      <alignment vertical="center" wrapText="1"/>
    </xf>
    <xf numFmtId="0" fontId="2" fillId="0" borderId="3" xfId="0" applyFont="1"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64" fontId="0" fillId="3" borderId="10" xfId="1" applyNumberFormat="1" applyFont="1" applyFill="1" applyBorder="1" applyAlignment="1">
      <alignment vertical="center" wrapText="1"/>
    </xf>
    <xf numFmtId="0" fontId="0" fillId="0" borderId="4" xfId="0" applyBorder="1" applyAlignment="1">
      <alignment horizontal="center" vertical="center" wrapText="1"/>
    </xf>
    <xf numFmtId="0" fontId="2" fillId="0" borderId="1" xfId="0" applyFont="1" applyBorder="1" applyAlignment="1">
      <alignment horizontal="left" vertical="center" wrapText="1"/>
    </xf>
    <xf numFmtId="0" fontId="0" fillId="0" borderId="0" xfId="0" applyAlignment="1">
      <alignment horizontal="center" vertical="center" wrapText="1"/>
    </xf>
    <xf numFmtId="44" fontId="0" fillId="2" borderId="1" xfId="2" applyFont="1" applyFill="1" applyBorder="1" applyAlignment="1">
      <alignment vertical="center" wrapText="1"/>
    </xf>
    <xf numFmtId="9" fontId="0" fillId="0" borderId="4" xfId="0" applyNumberFormat="1" applyBorder="1" applyAlignment="1">
      <alignment horizontal="center" vertical="center" wrapText="1"/>
    </xf>
    <xf numFmtId="0" fontId="0" fillId="0" borderId="4" xfId="0" applyBorder="1" applyAlignment="1">
      <alignment vertical="center" wrapText="1"/>
    </xf>
    <xf numFmtId="0" fontId="2" fillId="0" borderId="4" xfId="0" applyFont="1" applyBorder="1" applyAlignment="1">
      <alignment vertical="center" wrapText="1"/>
    </xf>
    <xf numFmtId="164" fontId="0" fillId="0" borderId="1" xfId="1" applyNumberFormat="1" applyFont="1" applyBorder="1" applyAlignment="1">
      <alignment vertical="center" wrapText="1"/>
    </xf>
    <xf numFmtId="164" fontId="0" fillId="2" borderId="1" xfId="1" applyNumberFormat="1" applyFont="1" applyFill="1" applyBorder="1" applyAlignment="1">
      <alignment vertical="center" wrapText="1"/>
    </xf>
    <xf numFmtId="9" fontId="0" fillId="0" borderId="1" xfId="0" applyNumberFormat="1" applyBorder="1" applyAlignment="1">
      <alignment horizontal="center" vertical="center" wrapText="1"/>
    </xf>
    <xf numFmtId="164" fontId="0" fillId="0" borderId="4" xfId="1" applyNumberFormat="1" applyFont="1" applyBorder="1" applyAlignment="1">
      <alignment vertical="center" wrapText="1"/>
    </xf>
    <xf numFmtId="164" fontId="0" fillId="2" borderId="9" xfId="1" applyNumberFormat="1" applyFont="1" applyFill="1" applyBorder="1" applyAlignment="1">
      <alignment vertical="center" wrapText="1"/>
    </xf>
    <xf numFmtId="164" fontId="0" fillId="2" borderId="8" xfId="1" applyNumberFormat="1" applyFont="1" applyFill="1" applyBorder="1" applyAlignment="1">
      <alignment vertical="center" wrapText="1"/>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164" fontId="0" fillId="2" borderId="4" xfId="1" applyNumberFormat="1" applyFont="1" applyFill="1" applyBorder="1" applyAlignment="1">
      <alignment vertical="center" wrapText="1"/>
    </xf>
    <xf numFmtId="164" fontId="0" fillId="2" borderId="2" xfId="1" applyNumberFormat="1" applyFont="1" applyFill="1" applyBorder="1" applyAlignment="1">
      <alignment vertical="center" wrapText="1"/>
    </xf>
    <xf numFmtId="164" fontId="0" fillId="4" borderId="20" xfId="1" applyNumberFormat="1" applyFont="1" applyFill="1" applyBorder="1" applyAlignment="1">
      <alignment vertical="center" wrapText="1"/>
    </xf>
    <xf numFmtId="0" fontId="2" fillId="4" borderId="20" xfId="0" applyFont="1" applyFill="1" applyBorder="1" applyAlignment="1">
      <alignment vertical="center" wrapText="1"/>
    </xf>
    <xf numFmtId="164" fontId="0" fillId="4" borderId="10" xfId="1" applyNumberFormat="1" applyFont="1" applyFill="1" applyBorder="1" applyAlignment="1">
      <alignment vertical="center" wrapText="1"/>
    </xf>
    <xf numFmtId="0" fontId="0" fillId="0" borderId="0" xfId="0" applyAlignment="1">
      <alignment vertical="top" wrapText="1"/>
    </xf>
    <xf numFmtId="0" fontId="2" fillId="0" borderId="0" xfId="0" applyFont="1" applyAlignment="1">
      <alignment vertical="top" wrapText="1"/>
    </xf>
    <xf numFmtId="0" fontId="6" fillId="0" borderId="1" xfId="0" applyFont="1" applyBorder="1" applyAlignment="1">
      <alignment horizontal="justify" vertical="center" wrapText="1"/>
    </xf>
    <xf numFmtId="0" fontId="2" fillId="0" borderId="0" xfId="0" applyFont="1" applyAlignment="1">
      <alignment vertical="center" wrapText="1"/>
    </xf>
    <xf numFmtId="0" fontId="0" fillId="0" borderId="0" xfId="0" applyAlignment="1">
      <alignmen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9" fillId="0" borderId="0" xfId="3" applyFont="1"/>
    <xf numFmtId="0" fontId="9" fillId="0" borderId="0" xfId="3" applyFont="1" applyAlignment="1">
      <alignment vertical="top"/>
    </xf>
    <xf numFmtId="0" fontId="9" fillId="0" borderId="0" xfId="3" applyFont="1" applyAlignment="1">
      <alignment vertical="top" wrapText="1"/>
    </xf>
    <xf numFmtId="0" fontId="10" fillId="0" borderId="1" xfId="3" applyFont="1" applyBorder="1" applyAlignment="1">
      <alignment vertical="top" wrapText="1"/>
    </xf>
    <xf numFmtId="0" fontId="12" fillId="0" borderId="1" xfId="3" applyFont="1" applyBorder="1" applyAlignment="1">
      <alignment vertical="top" wrapText="1"/>
    </xf>
    <xf numFmtId="0" fontId="13" fillId="0" borderId="1" xfId="3" applyFont="1" applyBorder="1" applyAlignment="1">
      <alignment vertical="top" wrapText="1"/>
    </xf>
    <xf numFmtId="0" fontId="14" fillId="0" borderId="0" xfId="3" applyFont="1" applyAlignment="1">
      <alignment vertical="top"/>
    </xf>
    <xf numFmtId="0" fontId="14" fillId="0" borderId="1" xfId="3" applyFont="1" applyBorder="1" applyAlignment="1">
      <alignment vertical="top"/>
    </xf>
    <xf numFmtId="0" fontId="11" fillId="0" borderId="1" xfId="3" applyFont="1" applyBorder="1" applyAlignment="1">
      <alignment vertical="top" wrapText="1"/>
    </xf>
    <xf numFmtId="0" fontId="9" fillId="0" borderId="0" xfId="3" applyFont="1" applyAlignment="1">
      <alignment horizontal="left" vertical="center" wrapText="1" indent="1"/>
    </xf>
    <xf numFmtId="0" fontId="9" fillId="0" borderId="1" xfId="3" applyFont="1" applyBorder="1" applyAlignment="1">
      <alignment horizontal="left" vertical="center" wrapText="1" indent="1"/>
    </xf>
    <xf numFmtId="0" fontId="9" fillId="0" borderId="1" xfId="3" applyFont="1" applyBorder="1" applyAlignment="1">
      <alignment vertical="center" wrapText="1"/>
    </xf>
    <xf numFmtId="0" fontId="10" fillId="0" borderId="1" xfId="3" applyFont="1" applyBorder="1" applyAlignment="1">
      <alignment horizontal="left" vertical="center" wrapText="1" indent="1"/>
    </xf>
    <xf numFmtId="0" fontId="9" fillId="0" borderId="1" xfId="3" applyFont="1" applyBorder="1" applyAlignment="1">
      <alignment vertical="top" wrapText="1"/>
    </xf>
    <xf numFmtId="0" fontId="12" fillId="0" borderId="1" xfId="3" applyFont="1" applyBorder="1" applyAlignment="1">
      <alignment horizontal="left" vertical="center" wrapText="1" indent="1"/>
    </xf>
    <xf numFmtId="0" fontId="13" fillId="0" borderId="1" xfId="3" applyFont="1" applyBorder="1" applyAlignment="1">
      <alignment horizontal="left" vertical="top" wrapText="1"/>
    </xf>
    <xf numFmtId="0" fontId="9" fillId="0" borderId="3" xfId="3" applyFont="1" applyBorder="1"/>
    <xf numFmtId="0" fontId="14" fillId="0" borderId="6" xfId="3" applyFont="1" applyBorder="1" applyAlignment="1">
      <alignment vertical="top"/>
    </xf>
    <xf numFmtId="0" fontId="14" fillId="0" borderId="0" xfId="3" applyFont="1" applyAlignment="1">
      <alignment vertical="center"/>
    </xf>
    <xf numFmtId="0" fontId="14" fillId="0" borderId="0" xfId="3" applyFont="1"/>
    <xf numFmtId="0" fontId="9" fillId="0" borderId="0" xfId="0" applyFont="1" applyAlignment="1">
      <alignment vertical="center" wrapText="1"/>
    </xf>
    <xf numFmtId="0" fontId="16" fillId="6" borderId="1" xfId="3" applyFont="1" applyFill="1" applyBorder="1" applyAlignment="1">
      <alignment vertical="top"/>
    </xf>
    <xf numFmtId="0" fontId="16" fillId="7" borderId="6" xfId="3" applyFont="1" applyFill="1" applyBorder="1" applyAlignment="1">
      <alignment vertical="top"/>
    </xf>
    <xf numFmtId="0" fontId="16" fillId="7" borderId="7" xfId="3" applyFont="1" applyFill="1" applyBorder="1" applyAlignment="1">
      <alignment vertical="top"/>
    </xf>
    <xf numFmtId="0" fontId="16" fillId="6" borderId="1" xfId="3" applyFont="1" applyFill="1" applyBorder="1" applyAlignment="1">
      <alignment vertical="center" wrapText="1"/>
    </xf>
    <xf numFmtId="0" fontId="9" fillId="0" borderId="1" xfId="3" applyFont="1" applyBorder="1" applyAlignment="1">
      <alignment horizontal="left" vertical="top" wrapText="1"/>
    </xf>
    <xf numFmtId="0" fontId="14" fillId="8" borderId="1" xfId="3" applyFont="1" applyFill="1" applyBorder="1" applyAlignment="1">
      <alignment vertical="center"/>
    </xf>
    <xf numFmtId="0" fontId="16" fillId="7" borderId="0" xfId="3" applyFont="1" applyFill="1" applyAlignment="1">
      <alignment vertical="center"/>
    </xf>
    <xf numFmtId="0" fontId="17" fillId="7" borderId="0" xfId="3" applyFont="1" applyFill="1"/>
    <xf numFmtId="0" fontId="18" fillId="0" borderId="0" xfId="0" applyFont="1"/>
    <xf numFmtId="0" fontId="16" fillId="7" borderId="1" xfId="3" applyFont="1" applyFill="1" applyBorder="1" applyAlignment="1">
      <alignment vertical="center"/>
    </xf>
    <xf numFmtId="0" fontId="16" fillId="7" borderId="0" xfId="3" applyFont="1" applyFill="1"/>
    <xf numFmtId="0" fontId="16" fillId="5" borderId="5" xfId="3" applyFont="1" applyFill="1" applyBorder="1" applyAlignment="1">
      <alignment vertical="top" wrapText="1"/>
    </xf>
    <xf numFmtId="0" fontId="16" fillId="6" borderId="6" xfId="3" applyFont="1" applyFill="1" applyBorder="1" applyAlignment="1">
      <alignment vertical="top" wrapText="1"/>
    </xf>
    <xf numFmtId="164" fontId="0" fillId="0" borderId="4" xfId="0" applyNumberFormat="1" applyBorder="1" applyAlignment="1">
      <alignment vertical="center" wrapText="1"/>
    </xf>
    <xf numFmtId="0" fontId="2" fillId="4" borderId="16" xfId="0" applyFont="1" applyFill="1" applyBorder="1" applyAlignment="1">
      <alignment vertical="center" wrapText="1"/>
    </xf>
    <xf numFmtId="0" fontId="2" fillId="4" borderId="10" xfId="0" applyFont="1" applyFill="1" applyBorder="1" applyAlignment="1">
      <alignment vertical="center" wrapText="1"/>
    </xf>
    <xf numFmtId="0" fontId="9" fillId="0" borderId="0" xfId="3" applyFont="1" applyAlignment="1">
      <alignment vertical="center" wrapText="1"/>
    </xf>
    <xf numFmtId="0" fontId="9" fillId="0" borderId="0" xfId="3" applyFont="1" applyAlignment="1">
      <alignment vertical="center"/>
    </xf>
    <xf numFmtId="0" fontId="9" fillId="0" borderId="24" xfId="3" applyFont="1" applyBorder="1" applyAlignment="1">
      <alignment vertical="top" wrapText="1"/>
    </xf>
    <xf numFmtId="164" fontId="0" fillId="0" borderId="0" xfId="0" applyNumberFormat="1" applyAlignment="1">
      <alignment vertical="center" wrapText="1"/>
    </xf>
    <xf numFmtId="9" fontId="0" fillId="0" borderId="0" xfId="0" applyNumberFormat="1" applyAlignment="1">
      <alignment vertical="center" wrapText="1"/>
    </xf>
    <xf numFmtId="9" fontId="0" fillId="0" borderId="0" xfId="4" applyFont="1" applyAlignment="1">
      <alignment vertical="center" wrapText="1"/>
    </xf>
    <xf numFmtId="0" fontId="22" fillId="0" borderId="0" xfId="0" applyFont="1" applyAlignment="1">
      <alignment horizontal="justify" vertical="center"/>
    </xf>
    <xf numFmtId="0" fontId="23" fillId="0" borderId="0" xfId="0" applyFont="1" applyAlignment="1">
      <alignment horizontal="justify" vertical="center"/>
    </xf>
    <xf numFmtId="0" fontId="25" fillId="0" borderId="0" xfId="0" applyFont="1" applyAlignment="1">
      <alignment horizontal="justify" vertical="center"/>
    </xf>
    <xf numFmtId="0" fontId="9" fillId="0" borderId="1" xfId="3" applyFont="1" applyBorder="1" applyAlignment="1">
      <alignment horizontal="left" vertical="top" wrapText="1"/>
    </xf>
    <xf numFmtId="0" fontId="14" fillId="0" borderId="4" xfId="3" applyFont="1" applyBorder="1" applyAlignment="1">
      <alignment horizontal="center" vertical="top" wrapText="1"/>
    </xf>
    <xf numFmtId="0" fontId="14" fillId="0" borderId="2" xfId="3" applyFont="1" applyBorder="1" applyAlignment="1">
      <alignment horizontal="center" vertical="top" wrapText="1"/>
    </xf>
    <xf numFmtId="0" fontId="14" fillId="0" borderId="5" xfId="3" applyFont="1" applyBorder="1" applyAlignment="1">
      <alignment horizontal="center" vertical="top" wrapText="1"/>
    </xf>
    <xf numFmtId="0" fontId="9" fillId="0" borderId="1" xfId="3" applyFont="1" applyBorder="1" applyAlignment="1">
      <alignment horizontal="center" vertical="center" textRotation="90" wrapText="1"/>
    </xf>
    <xf numFmtId="0" fontId="9" fillId="0" borderId="4" xfId="3" applyFont="1" applyBorder="1" applyAlignment="1">
      <alignment horizontal="left" vertical="top" wrapText="1"/>
    </xf>
    <xf numFmtId="0" fontId="9" fillId="0" borderId="5" xfId="3" applyFont="1" applyBorder="1" applyAlignment="1">
      <alignment horizontal="left" vertical="top" wrapText="1"/>
    </xf>
    <xf numFmtId="0" fontId="9" fillId="0" borderId="1" xfId="0" applyFont="1" applyBorder="1" applyAlignment="1">
      <alignment horizontal="left" vertical="top" wrapText="1"/>
    </xf>
    <xf numFmtId="0" fontId="9" fillId="0" borderId="14" xfId="0" applyFont="1" applyBorder="1" applyAlignment="1">
      <alignment horizontal="left" vertical="center" wrapText="1"/>
    </xf>
    <xf numFmtId="0" fontId="9" fillId="0" borderId="18" xfId="0" applyFont="1" applyBorder="1" applyAlignment="1">
      <alignment horizontal="left" vertical="center" wrapText="1"/>
    </xf>
    <xf numFmtId="0" fontId="9" fillId="0" borderId="4" xfId="0" applyFont="1" applyBorder="1" applyAlignment="1">
      <alignment horizontal="left" vertical="center" wrapText="1"/>
    </xf>
    <xf numFmtId="0" fontId="9" fillId="0" borderId="5" xfId="0" applyFont="1" applyBorder="1" applyAlignment="1">
      <alignment horizontal="left" vertical="center" wrapText="1"/>
    </xf>
    <xf numFmtId="0" fontId="0" fillId="2" borderId="4" xfId="0" applyFill="1" applyBorder="1" applyAlignment="1">
      <alignment horizontal="center"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0" fillId="2" borderId="4" xfId="0" applyFill="1" applyBorder="1" applyAlignment="1">
      <alignment horizontal="center" vertical="center"/>
    </xf>
    <xf numFmtId="0" fontId="0" fillId="2" borderId="2" xfId="0" applyFill="1" applyBorder="1" applyAlignment="1">
      <alignment horizontal="center" vertical="center"/>
    </xf>
    <xf numFmtId="0" fontId="2" fillId="3" borderId="15" xfId="0" applyFont="1" applyFill="1" applyBorder="1" applyAlignment="1">
      <alignment horizontal="center" vertical="center" wrapText="1"/>
    </xf>
    <xf numFmtId="0" fontId="2" fillId="3" borderId="16" xfId="0" applyFont="1" applyFill="1" applyBorder="1" applyAlignment="1">
      <alignment horizontal="center" vertical="center" wrapText="1"/>
    </xf>
    <xf numFmtId="0" fontId="0" fillId="2" borderId="22" xfId="0" applyFill="1" applyBorder="1" applyAlignment="1">
      <alignment horizontal="center" vertical="center" wrapText="1"/>
    </xf>
    <xf numFmtId="164" fontId="0" fillId="2" borderId="22" xfId="1" applyNumberFormat="1" applyFont="1" applyFill="1" applyBorder="1" applyAlignment="1">
      <alignment horizontal="center" vertical="center" wrapText="1"/>
    </xf>
    <xf numFmtId="164" fontId="0" fillId="2" borderId="2" xfId="1" applyNumberFormat="1" applyFont="1" applyFill="1" applyBorder="1" applyAlignment="1">
      <alignment horizontal="center" vertical="center" wrapText="1"/>
    </xf>
    <xf numFmtId="164" fontId="0" fillId="2" borderId="5" xfId="1" applyNumberFormat="1" applyFont="1" applyFill="1" applyBorder="1" applyAlignment="1">
      <alignment horizontal="center" vertical="center" wrapText="1"/>
    </xf>
    <xf numFmtId="9" fontId="0" fillId="2" borderId="4" xfId="0" applyNumberFormat="1" applyFill="1" applyBorder="1" applyAlignment="1">
      <alignment horizontal="center" vertical="center" wrapText="1"/>
    </xf>
    <xf numFmtId="9" fontId="0" fillId="2" borderId="2" xfId="0" applyNumberFormat="1" applyFill="1" applyBorder="1" applyAlignment="1">
      <alignment horizontal="center" vertical="center" wrapText="1"/>
    </xf>
    <xf numFmtId="164" fontId="0" fillId="2" borderId="22" xfId="0" applyNumberFormat="1" applyFill="1" applyBorder="1" applyAlignment="1">
      <alignment vertical="center" wrapText="1"/>
    </xf>
    <xf numFmtId="0" fontId="0" fillId="2" borderId="2" xfId="0" applyFill="1" applyBorder="1" applyAlignment="1">
      <alignment vertical="center" wrapText="1"/>
    </xf>
    <xf numFmtId="0" fontId="0" fillId="2" borderId="5" xfId="0" applyFill="1" applyBorder="1" applyAlignment="1">
      <alignment vertical="center" wrapText="1"/>
    </xf>
    <xf numFmtId="164" fontId="0" fillId="2" borderId="4" xfId="0" applyNumberFormat="1" applyFill="1" applyBorder="1" applyAlignment="1">
      <alignment vertical="center" wrapText="1"/>
    </xf>
    <xf numFmtId="0" fontId="2" fillId="2" borderId="4"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2" fillId="4" borderId="11" xfId="0" applyFont="1" applyFill="1" applyBorder="1" applyAlignment="1">
      <alignment horizontal="center" vertical="center" wrapText="1"/>
    </xf>
    <xf numFmtId="0" fontId="2" fillId="4" borderId="23" xfId="0" applyFont="1" applyFill="1" applyBorder="1" applyAlignment="1">
      <alignment horizontal="center" vertical="center" wrapText="1"/>
    </xf>
    <xf numFmtId="0" fontId="2" fillId="4" borderId="12" xfId="0" applyFont="1" applyFill="1" applyBorder="1" applyAlignment="1">
      <alignment horizontal="center" vertical="center" wrapText="1"/>
    </xf>
    <xf numFmtId="0" fontId="2" fillId="4" borderId="13"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7" xfId="0" applyFont="1" applyBorder="1" applyAlignment="1">
      <alignment horizontal="center" vertical="center" wrapText="1"/>
    </xf>
    <xf numFmtId="0" fontId="9" fillId="0" borderId="0" xfId="3" applyFont="1" applyAlignment="1">
      <alignment horizontal="left" vertical="top" wrapText="1"/>
    </xf>
    <xf numFmtId="0" fontId="0" fillId="0" borderId="1" xfId="0" applyBorder="1" applyAlignment="1">
      <alignment horizontal="left" vertical="center" wrapText="1"/>
    </xf>
  </cellXfs>
  <cellStyles count="5">
    <cellStyle name="Moeda" xfId="2" builtinId="4"/>
    <cellStyle name="Normal" xfId="0" builtinId="0"/>
    <cellStyle name="Normal 2" xfId="3" xr:uid="{309E3AE7-811A-9747-B8CC-F24CBD13AF40}"/>
    <cellStyle name="Porcentagem" xfId="4" builtinId="5"/>
    <cellStyle name="Vírgula" xfId="1" builtinId="3"/>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40640</xdr:colOff>
      <xdr:row>26</xdr:row>
      <xdr:rowOff>111761</xdr:rowOff>
    </xdr:from>
    <xdr:to>
      <xdr:col>7</xdr:col>
      <xdr:colOff>687542</xdr:colOff>
      <xdr:row>43</xdr:row>
      <xdr:rowOff>78016</xdr:rowOff>
    </xdr:to>
    <xdr:pic>
      <xdr:nvPicPr>
        <xdr:cNvPr id="3" name="Imagem 2" descr="Shows a template for a theory of change mapping inputs to activities to outputs. Outputs then lead to step changes outside of the organisation (known as intermediate outcomes) and finally the impact (the long term goal of the intervention).">
          <a:extLst>
            <a:ext uri="{FF2B5EF4-FFF2-40B4-BE49-F238E27FC236}">
              <a16:creationId xmlns:a16="http://schemas.microsoft.com/office/drawing/2014/main" id="{B13BA2A1-5531-1C6C-F1FC-8A74EE0A6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4871" y="8806376"/>
          <a:ext cx="6993743" cy="22913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00E85-D8E7-4247-8B6B-2291086E1E40}">
  <sheetPr>
    <tabColor rgb="FF0070C0"/>
  </sheetPr>
  <dimension ref="B1:Q26"/>
  <sheetViews>
    <sheetView showGridLines="0" tabSelected="1" zoomScale="133" zoomScaleNormal="130" workbookViewId="0">
      <selection activeCell="A7" sqref="A7:XFD7"/>
    </sheetView>
  </sheetViews>
  <sheetFormatPr baseColWidth="10" defaultColWidth="10.83203125" defaultRowHeight="11" x14ac:dyDescent="0.15"/>
  <cols>
    <col min="1" max="1" width="3.1640625" style="43" customWidth="1"/>
    <col min="2" max="2" width="13.5" style="44" customWidth="1"/>
    <col min="3" max="3" width="4.1640625" style="44" bestFit="1" customWidth="1"/>
    <col min="4" max="4" width="18" style="44" customWidth="1"/>
    <col min="5" max="5" width="18.1640625" style="44" customWidth="1"/>
    <col min="6" max="6" width="28.5" style="44" customWidth="1"/>
    <col min="7" max="7" width="1.1640625" style="44" customWidth="1"/>
    <col min="8" max="8" width="32.83203125" style="44" customWidth="1"/>
    <col min="9" max="9" width="7.33203125" style="44" customWidth="1"/>
    <col min="10" max="10" width="12.33203125" style="44" customWidth="1"/>
    <col min="11" max="11" width="1.6640625" style="44" customWidth="1"/>
    <col min="12" max="12" width="21" style="44" customWidth="1"/>
    <col min="13" max="13" width="11.1640625" style="43" customWidth="1"/>
    <col min="14" max="14" width="31" style="43" customWidth="1"/>
    <col min="15" max="15" width="2.1640625" style="43" customWidth="1"/>
    <col min="16" max="16" width="20.83203125" style="43" customWidth="1"/>
    <col min="17" max="17" width="25" style="43" customWidth="1"/>
    <col min="18" max="16384" width="10.83203125" style="43"/>
  </cols>
  <sheetData>
    <row r="1" spans="2:17" ht="19" x14ac:dyDescent="0.25">
      <c r="B1" s="72" t="s">
        <v>0</v>
      </c>
      <c r="C1" s="72"/>
      <c r="D1"/>
    </row>
    <row r="2" spans="2:17" x14ac:dyDescent="0.15">
      <c r="B2" s="49" t="s">
        <v>1</v>
      </c>
      <c r="C2" s="49"/>
      <c r="D2" s="49"/>
      <c r="H2" s="49" t="s">
        <v>2</v>
      </c>
      <c r="L2" s="49" t="s">
        <v>3</v>
      </c>
      <c r="P2" s="62" t="s">
        <v>4</v>
      </c>
    </row>
    <row r="3" spans="2:17" x14ac:dyDescent="0.15">
      <c r="B3" s="65" t="s">
        <v>5</v>
      </c>
      <c r="C3" s="66"/>
      <c r="D3" s="66"/>
      <c r="E3" s="66"/>
      <c r="F3" s="66"/>
      <c r="G3" s="49"/>
      <c r="H3" s="65" t="s">
        <v>6</v>
      </c>
      <c r="I3" s="66"/>
      <c r="J3" s="66"/>
      <c r="L3" s="70" t="s">
        <v>7</v>
      </c>
      <c r="M3" s="71"/>
      <c r="N3" s="71"/>
      <c r="P3" s="74" t="s">
        <v>8</v>
      </c>
      <c r="Q3" s="71"/>
    </row>
    <row r="4" spans="2:17" ht="36" x14ac:dyDescent="0.15">
      <c r="B4" s="75" t="s">
        <v>9</v>
      </c>
      <c r="C4" s="75" t="s">
        <v>10</v>
      </c>
      <c r="D4" s="75" t="s">
        <v>11</v>
      </c>
      <c r="E4" s="64" t="s">
        <v>12</v>
      </c>
      <c r="F4" s="76" t="s">
        <v>13</v>
      </c>
      <c r="G4" s="49"/>
      <c r="H4" s="67" t="s">
        <v>14</v>
      </c>
      <c r="I4" s="67" t="s">
        <v>15</v>
      </c>
      <c r="J4" s="67" t="s">
        <v>16</v>
      </c>
      <c r="K4" s="49"/>
      <c r="L4" s="69" t="s">
        <v>17</v>
      </c>
      <c r="M4" s="69" t="s">
        <v>18</v>
      </c>
      <c r="N4" s="69" t="s">
        <v>19</v>
      </c>
      <c r="P4" s="73" t="s">
        <v>20</v>
      </c>
      <c r="Q4" s="73" t="s">
        <v>21</v>
      </c>
    </row>
    <row r="5" spans="2:17" ht="104" customHeight="1" x14ac:dyDescent="0.15">
      <c r="B5" s="90" t="s">
        <v>22</v>
      </c>
      <c r="C5" s="93" t="s">
        <v>23</v>
      </c>
      <c r="D5" s="89" t="s">
        <v>24</v>
      </c>
      <c r="E5" s="89" t="s">
        <v>25</v>
      </c>
      <c r="F5" s="56" t="s">
        <v>26</v>
      </c>
      <c r="G5" s="45"/>
      <c r="H5" s="68" t="s">
        <v>27</v>
      </c>
      <c r="I5" s="68" t="s">
        <v>28</v>
      </c>
      <c r="J5" s="68" t="s">
        <v>29</v>
      </c>
      <c r="K5" s="80"/>
      <c r="L5" s="89" t="s">
        <v>30</v>
      </c>
      <c r="M5" s="96" t="s">
        <v>31</v>
      </c>
      <c r="N5" s="96" t="s">
        <v>32</v>
      </c>
      <c r="P5" s="97" t="s">
        <v>33</v>
      </c>
      <c r="Q5" s="99" t="s">
        <v>34</v>
      </c>
    </row>
    <row r="6" spans="2:17" ht="51" customHeight="1" x14ac:dyDescent="0.15">
      <c r="B6" s="91"/>
      <c r="C6" s="93"/>
      <c r="D6" s="89"/>
      <c r="E6" s="89"/>
      <c r="F6" s="56" t="s">
        <v>35</v>
      </c>
      <c r="G6" s="45"/>
      <c r="H6" s="68" t="s">
        <v>36</v>
      </c>
      <c r="I6" s="68" t="s">
        <v>28</v>
      </c>
      <c r="J6" s="68" t="s">
        <v>37</v>
      </c>
      <c r="K6" s="81"/>
      <c r="L6" s="89"/>
      <c r="M6" s="96"/>
      <c r="N6" s="96"/>
      <c r="P6" s="98"/>
      <c r="Q6" s="100"/>
    </row>
    <row r="7" spans="2:17" ht="86.25" customHeight="1" x14ac:dyDescent="0.15">
      <c r="B7" s="91"/>
      <c r="C7" s="93" t="s">
        <v>38</v>
      </c>
      <c r="D7" s="89" t="s">
        <v>39</v>
      </c>
      <c r="E7" s="89" t="s">
        <v>40</v>
      </c>
      <c r="F7" s="56" t="s">
        <v>41</v>
      </c>
      <c r="G7" s="82"/>
      <c r="H7" s="68" t="s">
        <v>42</v>
      </c>
      <c r="I7" s="68" t="s">
        <v>28</v>
      </c>
      <c r="J7" s="68" t="s">
        <v>37</v>
      </c>
      <c r="K7" s="80"/>
      <c r="L7" s="89" t="s">
        <v>43</v>
      </c>
      <c r="M7" s="96" t="s">
        <v>44</v>
      </c>
      <c r="N7" s="96" t="s">
        <v>45</v>
      </c>
      <c r="O7" s="63"/>
      <c r="P7" s="97" t="s">
        <v>46</v>
      </c>
      <c r="Q7" s="99" t="s">
        <v>47</v>
      </c>
    </row>
    <row r="8" spans="2:17" ht="96" customHeight="1" x14ac:dyDescent="0.15">
      <c r="B8" s="91"/>
      <c r="C8" s="93"/>
      <c r="D8" s="89"/>
      <c r="E8" s="89"/>
      <c r="F8" s="56" t="s">
        <v>48</v>
      </c>
      <c r="G8" s="82"/>
      <c r="H8" s="68" t="s">
        <v>49</v>
      </c>
      <c r="I8" s="68" t="s">
        <v>28</v>
      </c>
      <c r="J8" s="68" t="s">
        <v>37</v>
      </c>
      <c r="K8" s="80"/>
      <c r="L8" s="89"/>
      <c r="M8" s="96"/>
      <c r="N8" s="96"/>
      <c r="O8" s="63"/>
      <c r="P8" s="98"/>
      <c r="Q8" s="100"/>
    </row>
    <row r="9" spans="2:17" ht="72" customHeight="1" x14ac:dyDescent="0.15">
      <c r="B9" s="91"/>
      <c r="C9" s="93" t="s">
        <v>50</v>
      </c>
      <c r="D9" s="94" t="s">
        <v>51</v>
      </c>
      <c r="E9" s="89" t="s">
        <v>52</v>
      </c>
      <c r="F9" s="56" t="s">
        <v>53</v>
      </c>
      <c r="G9" s="45"/>
      <c r="H9" s="68" t="s">
        <v>54</v>
      </c>
      <c r="I9" s="68" t="s">
        <v>28</v>
      </c>
      <c r="J9" s="68" t="s">
        <v>55</v>
      </c>
      <c r="K9" s="81"/>
      <c r="L9" s="89" t="s">
        <v>56</v>
      </c>
      <c r="M9" s="96" t="s">
        <v>57</v>
      </c>
      <c r="N9" s="89" t="s">
        <v>58</v>
      </c>
      <c r="O9" s="63"/>
      <c r="P9" s="96" t="s">
        <v>59</v>
      </c>
      <c r="Q9" s="96" t="s">
        <v>60</v>
      </c>
    </row>
    <row r="10" spans="2:17" ht="75" customHeight="1" x14ac:dyDescent="0.15">
      <c r="B10" s="92"/>
      <c r="C10" s="93"/>
      <c r="D10" s="95"/>
      <c r="E10" s="89"/>
      <c r="F10" s="56" t="s">
        <v>61</v>
      </c>
      <c r="G10" s="45"/>
      <c r="H10" s="56" t="s">
        <v>62</v>
      </c>
      <c r="I10" s="68" t="s">
        <v>28</v>
      </c>
      <c r="J10" s="68" t="s">
        <v>37</v>
      </c>
      <c r="K10" s="81"/>
      <c r="L10" s="89"/>
      <c r="M10" s="96"/>
      <c r="N10" s="89"/>
      <c r="P10" s="96"/>
      <c r="Q10" s="96"/>
    </row>
    <row r="13" spans="2:17" ht="111.75" customHeight="1" x14ac:dyDescent="0.15">
      <c r="D13" s="45"/>
      <c r="E13" s="45"/>
      <c r="F13" s="45"/>
    </row>
    <row r="14" spans="2:17" x14ac:dyDescent="0.15">
      <c r="F14" s="45"/>
    </row>
    <row r="15" spans="2:17" ht="137.25" customHeight="1" x14ac:dyDescent="0.15">
      <c r="D15" s="45"/>
    </row>
    <row r="16" spans="2:17" x14ac:dyDescent="0.15">
      <c r="C16" s="62"/>
      <c r="D16" s="62"/>
    </row>
    <row r="17" spans="2:4" x14ac:dyDescent="0.15">
      <c r="B17" s="43"/>
      <c r="C17" s="43"/>
      <c r="D17" s="43"/>
    </row>
    <row r="26" spans="2:4" x14ac:dyDescent="0.15">
      <c r="B26" s="62" t="s">
        <v>63</v>
      </c>
    </row>
  </sheetData>
  <mergeCells count="25">
    <mergeCell ref="P7:P8"/>
    <mergeCell ref="Q7:Q8"/>
    <mergeCell ref="L9:L10"/>
    <mergeCell ref="M9:M10"/>
    <mergeCell ref="N9:N10"/>
    <mergeCell ref="L7:L8"/>
    <mergeCell ref="M7:M8"/>
    <mergeCell ref="N7:N8"/>
    <mergeCell ref="P9:P10"/>
    <mergeCell ref="Q9:Q10"/>
    <mergeCell ref="L5:L6"/>
    <mergeCell ref="M5:M6"/>
    <mergeCell ref="N5:N6"/>
    <mergeCell ref="P5:P6"/>
    <mergeCell ref="Q5:Q6"/>
    <mergeCell ref="E9:E10"/>
    <mergeCell ref="E5:E6"/>
    <mergeCell ref="B5:B10"/>
    <mergeCell ref="E7:E8"/>
    <mergeCell ref="D5:D6"/>
    <mergeCell ref="D7:D8"/>
    <mergeCell ref="C5:C6"/>
    <mergeCell ref="C7:C8"/>
    <mergeCell ref="C9:C10"/>
    <mergeCell ref="D9:D10"/>
  </mergeCells>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CBD-65DC-43EE-9E9C-B9D14DFA578F}">
  <sheetPr>
    <tabColor rgb="FF0070C0"/>
  </sheetPr>
  <dimension ref="A2:Z20"/>
  <sheetViews>
    <sheetView showGridLines="0" zoomScale="106" workbookViewId="0">
      <selection activeCell="L25" sqref="L25"/>
    </sheetView>
  </sheetViews>
  <sheetFormatPr baseColWidth="10" defaultColWidth="8.83203125" defaultRowHeight="15" x14ac:dyDescent="0.2"/>
  <cols>
    <col min="1" max="1" width="2.33203125" style="2" bestFit="1" customWidth="1"/>
    <col min="2" max="2" width="16.33203125" style="2" customWidth="1"/>
    <col min="3" max="3" width="4.1640625" style="2" bestFit="1" customWidth="1"/>
    <col min="4" max="4" width="13" style="18" bestFit="1" customWidth="1"/>
    <col min="5" max="5" width="9" style="2" bestFit="1" customWidth="1"/>
    <col min="6" max="6" width="8.5" style="2" bestFit="1" customWidth="1"/>
    <col min="7" max="7" width="6.6640625" style="2" bestFit="1" customWidth="1"/>
    <col min="8" max="8" width="23.33203125" style="2" customWidth="1"/>
    <col min="9" max="9" width="10" style="18" customWidth="1"/>
    <col min="10" max="10" width="9.33203125" style="2" bestFit="1" customWidth="1"/>
    <col min="11" max="11" width="7.1640625" style="2" customWidth="1"/>
    <col min="12" max="12" width="10.83203125" style="2" customWidth="1"/>
    <col min="13" max="13" width="7.33203125" style="2" bestFit="1" customWidth="1"/>
    <col min="14" max="15" width="7.33203125" style="2" customWidth="1"/>
    <col min="16" max="16" width="6.6640625" style="2" customWidth="1"/>
    <col min="17" max="17" width="6" style="2" customWidth="1"/>
    <col min="18" max="18" width="11" style="2" customWidth="1"/>
    <col min="19" max="19" width="5" style="2" bestFit="1" customWidth="1"/>
    <col min="20" max="20" width="23.33203125" style="2" customWidth="1"/>
    <col min="21" max="21" width="15.5" style="2" bestFit="1" customWidth="1"/>
    <col min="22" max="22" width="12.1640625" style="2" bestFit="1" customWidth="1"/>
    <col min="23" max="23" width="8.83203125" style="2"/>
    <col min="24" max="24" width="25.5" style="2" bestFit="1" customWidth="1"/>
    <col min="25" max="25" width="11.6640625" style="2" bestFit="1" customWidth="1"/>
    <col min="26" max="26" width="17.5" style="2" bestFit="1" customWidth="1"/>
    <col min="27" max="16384" width="8.83203125" style="2"/>
  </cols>
  <sheetData>
    <row r="2" spans="1:26" ht="16" thickBot="1" x14ac:dyDescent="0.25">
      <c r="B2" s="8" t="s">
        <v>64</v>
      </c>
    </row>
    <row r="3" spans="1:26" ht="33.75" customHeight="1" thickBot="1" x14ac:dyDescent="0.25">
      <c r="A3" s="123" t="s">
        <v>65</v>
      </c>
      <c r="B3" s="123" t="s">
        <v>66</v>
      </c>
      <c r="C3" s="129" t="s">
        <v>67</v>
      </c>
      <c r="D3" s="130"/>
      <c r="E3" s="131"/>
      <c r="F3" s="131"/>
      <c r="G3" s="131"/>
      <c r="H3" s="131"/>
      <c r="I3" s="131"/>
      <c r="J3" s="131"/>
      <c r="K3" s="108" t="s">
        <v>68</v>
      </c>
      <c r="L3" s="108" t="s">
        <v>69</v>
      </c>
      <c r="M3" s="125" t="s">
        <v>70</v>
      </c>
      <c r="N3" s="126"/>
      <c r="O3" s="126"/>
      <c r="P3" s="127"/>
      <c r="Q3" s="128"/>
      <c r="R3" s="108" t="s">
        <v>71</v>
      </c>
      <c r="S3" s="7"/>
      <c r="T3" s="123" t="s">
        <v>72</v>
      </c>
      <c r="U3" s="123"/>
      <c r="V3" s="123"/>
      <c r="W3" s="123"/>
      <c r="X3" s="123"/>
    </row>
    <row r="4" spans="1:26" ht="37" customHeight="1" thickBot="1" x14ac:dyDescent="0.25">
      <c r="A4" s="123"/>
      <c r="B4" s="124"/>
      <c r="C4" s="104" t="s">
        <v>73</v>
      </c>
      <c r="D4" s="105"/>
      <c r="E4" s="12" t="s">
        <v>74</v>
      </c>
      <c r="F4" s="3" t="s">
        <v>75</v>
      </c>
      <c r="G4" s="3" t="s">
        <v>76</v>
      </c>
      <c r="H4" s="3"/>
      <c r="I4" s="1" t="s">
        <v>77</v>
      </c>
      <c r="J4" s="11" t="s">
        <v>78</v>
      </c>
      <c r="K4" s="109"/>
      <c r="L4" s="109"/>
      <c r="M4" s="78" t="s">
        <v>79</v>
      </c>
      <c r="N4" s="34" t="s">
        <v>80</v>
      </c>
      <c r="O4" s="79" t="s">
        <v>81</v>
      </c>
      <c r="P4" s="29" t="s">
        <v>82</v>
      </c>
      <c r="Q4" s="30" t="s">
        <v>83</v>
      </c>
      <c r="R4" s="109"/>
      <c r="S4" s="12" t="s">
        <v>84</v>
      </c>
      <c r="T4" s="3" t="s">
        <v>85</v>
      </c>
      <c r="U4" s="3" t="s">
        <v>86</v>
      </c>
      <c r="V4" s="3" t="s">
        <v>87</v>
      </c>
      <c r="W4" s="3" t="s">
        <v>88</v>
      </c>
      <c r="X4" s="3" t="s">
        <v>89</v>
      </c>
      <c r="Y4" s="3" t="s">
        <v>90</v>
      </c>
      <c r="Z4" s="3" t="s">
        <v>91</v>
      </c>
    </row>
    <row r="5" spans="1:26" ht="32" x14ac:dyDescent="0.2">
      <c r="A5" s="101">
        <v>1</v>
      </c>
      <c r="B5" s="120" t="s">
        <v>92</v>
      </c>
      <c r="C5" s="102">
        <v>13</v>
      </c>
      <c r="D5" s="102" t="s">
        <v>93</v>
      </c>
      <c r="E5" s="101" t="s">
        <v>94</v>
      </c>
      <c r="F5" s="101" t="s">
        <v>95</v>
      </c>
      <c r="G5" s="101">
        <v>9</v>
      </c>
      <c r="H5" s="101" t="s">
        <v>96</v>
      </c>
      <c r="I5" s="110" t="s">
        <v>97</v>
      </c>
      <c r="J5" s="110"/>
      <c r="K5" s="110">
        <v>2</v>
      </c>
      <c r="L5" s="116">
        <f>M5</f>
        <v>1241</v>
      </c>
      <c r="M5" s="112">
        <v>1241</v>
      </c>
      <c r="N5" s="112">
        <f>M5</f>
        <v>1241</v>
      </c>
      <c r="O5" s="112">
        <v>0</v>
      </c>
      <c r="P5" s="114">
        <v>0.28999999999999998</v>
      </c>
      <c r="Q5" s="114">
        <v>0.15</v>
      </c>
      <c r="R5" s="111">
        <v>4500</v>
      </c>
      <c r="S5" s="101" t="s">
        <v>80</v>
      </c>
      <c r="T5" s="6" t="s">
        <v>98</v>
      </c>
      <c r="U5" s="4" t="s">
        <v>99</v>
      </c>
      <c r="V5" s="4"/>
      <c r="W5" s="4"/>
      <c r="X5" s="4" t="s">
        <v>100</v>
      </c>
      <c r="Y5" s="101" t="s">
        <v>101</v>
      </c>
      <c r="Z5" s="101" t="s">
        <v>102</v>
      </c>
    </row>
    <row r="6" spans="1:26" x14ac:dyDescent="0.2">
      <c r="A6" s="102"/>
      <c r="B6" s="121"/>
      <c r="C6" s="102"/>
      <c r="D6" s="102"/>
      <c r="E6" s="102"/>
      <c r="F6" s="102"/>
      <c r="G6" s="102"/>
      <c r="H6" s="102"/>
      <c r="I6" s="102"/>
      <c r="J6" s="102"/>
      <c r="K6" s="102"/>
      <c r="L6" s="117"/>
      <c r="M6" s="112"/>
      <c r="N6" s="112"/>
      <c r="O6" s="112"/>
      <c r="P6" s="102"/>
      <c r="Q6" s="102"/>
      <c r="R6" s="112"/>
      <c r="S6" s="102"/>
      <c r="T6" s="6" t="s">
        <v>103</v>
      </c>
      <c r="U6" s="4"/>
      <c r="V6" s="4"/>
      <c r="W6" s="4"/>
      <c r="X6" s="4"/>
      <c r="Y6" s="102"/>
      <c r="Z6" s="102"/>
    </row>
    <row r="7" spans="1:26" x14ac:dyDescent="0.2">
      <c r="A7" s="102"/>
      <c r="B7" s="121"/>
      <c r="C7" s="102"/>
      <c r="D7" s="102"/>
      <c r="E7" s="102"/>
      <c r="F7" s="102"/>
      <c r="G7" s="102"/>
      <c r="H7" s="102"/>
      <c r="I7" s="102"/>
      <c r="J7" s="102"/>
      <c r="K7" s="102"/>
      <c r="L7" s="117"/>
      <c r="M7" s="112"/>
      <c r="N7" s="112"/>
      <c r="O7" s="112"/>
      <c r="P7" s="102"/>
      <c r="Q7" s="102"/>
      <c r="R7" s="112"/>
      <c r="S7" s="102"/>
      <c r="T7" s="6" t="s">
        <v>104</v>
      </c>
      <c r="U7" s="4"/>
      <c r="V7" s="4"/>
      <c r="W7" s="4"/>
      <c r="X7" s="4"/>
      <c r="Y7" s="102"/>
      <c r="Z7" s="102"/>
    </row>
    <row r="8" spans="1:26" ht="32" x14ac:dyDescent="0.2">
      <c r="A8" s="102"/>
      <c r="B8" s="121"/>
      <c r="C8" s="102"/>
      <c r="D8" s="102"/>
      <c r="E8" s="102"/>
      <c r="F8" s="102"/>
      <c r="G8" s="102"/>
      <c r="H8" s="102"/>
      <c r="I8" s="102"/>
      <c r="J8" s="102"/>
      <c r="K8" s="102"/>
      <c r="L8" s="117"/>
      <c r="M8" s="112"/>
      <c r="N8" s="112"/>
      <c r="O8" s="112"/>
      <c r="P8" s="102"/>
      <c r="Q8" s="102"/>
      <c r="R8" s="112"/>
      <c r="S8" s="102"/>
      <c r="T8" s="6" t="s">
        <v>105</v>
      </c>
      <c r="U8" s="4"/>
      <c r="V8" s="4"/>
      <c r="W8" s="4"/>
      <c r="X8" s="4" t="s">
        <v>106</v>
      </c>
      <c r="Y8" s="102"/>
      <c r="Z8" s="102"/>
    </row>
    <row r="9" spans="1:26" x14ac:dyDescent="0.2">
      <c r="A9" s="102"/>
      <c r="B9" s="121"/>
      <c r="C9" s="102"/>
      <c r="D9" s="102"/>
      <c r="E9" s="102"/>
      <c r="F9" s="102"/>
      <c r="G9" s="102"/>
      <c r="H9" s="102"/>
      <c r="I9" s="102"/>
      <c r="J9" s="102"/>
      <c r="K9" s="102"/>
      <c r="L9" s="117"/>
      <c r="M9" s="112"/>
      <c r="N9" s="112"/>
      <c r="O9" s="112"/>
      <c r="P9" s="102"/>
      <c r="Q9" s="102"/>
      <c r="R9" s="112"/>
      <c r="S9" s="102"/>
      <c r="T9" s="6" t="s">
        <v>107</v>
      </c>
      <c r="U9" s="4"/>
      <c r="V9" s="4"/>
      <c r="W9" s="4"/>
      <c r="X9" s="4"/>
      <c r="Y9" s="102"/>
      <c r="Z9" s="102"/>
    </row>
    <row r="10" spans="1:26" ht="28" x14ac:dyDescent="0.2">
      <c r="A10" s="102"/>
      <c r="B10" s="121"/>
      <c r="C10" s="102"/>
      <c r="D10" s="102"/>
      <c r="E10" s="102"/>
      <c r="F10" s="102"/>
      <c r="G10" s="102"/>
      <c r="H10" s="102"/>
      <c r="I10" s="102"/>
      <c r="J10" s="102"/>
      <c r="K10" s="102"/>
      <c r="L10" s="117"/>
      <c r="M10" s="112"/>
      <c r="N10" s="112"/>
      <c r="O10" s="112"/>
      <c r="P10" s="102"/>
      <c r="Q10" s="102"/>
      <c r="R10" s="112"/>
      <c r="S10" s="102"/>
      <c r="T10" s="6" t="s">
        <v>108</v>
      </c>
      <c r="U10" s="4"/>
      <c r="V10" s="4"/>
      <c r="W10" s="4"/>
      <c r="X10" s="4"/>
      <c r="Y10" s="102"/>
      <c r="Z10" s="102"/>
    </row>
    <row r="11" spans="1:26" ht="16" x14ac:dyDescent="0.2">
      <c r="A11" s="103"/>
      <c r="B11" s="122"/>
      <c r="C11" s="103"/>
      <c r="D11" s="103"/>
      <c r="E11" s="103"/>
      <c r="F11" s="103"/>
      <c r="G11" s="103"/>
      <c r="H11" s="103"/>
      <c r="I11" s="103"/>
      <c r="J11" s="103"/>
      <c r="K11" s="103"/>
      <c r="L11" s="118"/>
      <c r="M11" s="113"/>
      <c r="N11" s="113"/>
      <c r="O11" s="113"/>
      <c r="P11" s="103"/>
      <c r="Q11" s="103"/>
      <c r="R11" s="113"/>
      <c r="S11" s="103"/>
      <c r="T11" s="5" t="s">
        <v>109</v>
      </c>
      <c r="U11" s="4"/>
      <c r="V11" s="19">
        <v>10000</v>
      </c>
      <c r="W11" s="4"/>
      <c r="X11" s="4"/>
      <c r="Y11" s="103"/>
      <c r="Z11" s="103"/>
    </row>
    <row r="12" spans="1:26" ht="80" x14ac:dyDescent="0.2">
      <c r="A12" s="21">
        <v>2</v>
      </c>
      <c r="B12" s="22" t="s">
        <v>110</v>
      </c>
      <c r="C12" s="16">
        <v>16</v>
      </c>
      <c r="D12" s="16" t="s">
        <v>111</v>
      </c>
      <c r="E12" s="16" t="s">
        <v>94</v>
      </c>
      <c r="F12" s="16" t="s">
        <v>112</v>
      </c>
      <c r="G12" s="16">
        <v>20</v>
      </c>
      <c r="H12" s="16" t="s">
        <v>113</v>
      </c>
      <c r="I12" s="16" t="s">
        <v>114</v>
      </c>
      <c r="J12" s="16"/>
      <c r="K12" s="16">
        <v>2</v>
      </c>
      <c r="L12" s="77">
        <f>M12</f>
        <v>1265</v>
      </c>
      <c r="M12" s="26">
        <v>1265</v>
      </c>
      <c r="N12" s="26">
        <f>M12</f>
        <v>1265</v>
      </c>
      <c r="O12" s="26">
        <v>0</v>
      </c>
      <c r="P12" s="20">
        <v>0.56000000000000005</v>
      </c>
      <c r="Q12" s="20">
        <v>0.3</v>
      </c>
      <c r="R12" s="23">
        <v>3765</v>
      </c>
      <c r="S12" s="9" t="s">
        <v>80</v>
      </c>
      <c r="T12" s="9"/>
      <c r="U12" s="9"/>
      <c r="V12" s="9"/>
      <c r="W12" s="9"/>
      <c r="X12" s="9"/>
      <c r="Y12" s="9"/>
      <c r="Z12" s="9"/>
    </row>
    <row r="13" spans="1:26" ht="16" x14ac:dyDescent="0.2">
      <c r="A13" s="101">
        <v>3</v>
      </c>
      <c r="B13" s="120" t="s">
        <v>115</v>
      </c>
      <c r="C13" s="101">
        <v>200</v>
      </c>
      <c r="D13" s="106" t="s">
        <v>116</v>
      </c>
      <c r="E13" s="101" t="s">
        <v>117</v>
      </c>
      <c r="F13" s="101" t="s">
        <v>118</v>
      </c>
      <c r="G13" s="101" t="s">
        <v>119</v>
      </c>
      <c r="H13" s="101"/>
      <c r="I13" s="101" t="s">
        <v>120</v>
      </c>
      <c r="J13" s="101"/>
      <c r="K13" s="101">
        <v>3</v>
      </c>
      <c r="L13" s="119">
        <f>M13</f>
        <v>540</v>
      </c>
      <c r="M13" s="27">
        <v>540</v>
      </c>
      <c r="N13" s="31">
        <f>M13</f>
        <v>540</v>
      </c>
      <c r="O13" s="31">
        <v>0</v>
      </c>
      <c r="P13" s="114">
        <v>0.7</v>
      </c>
      <c r="Q13" s="114">
        <v>0.3</v>
      </c>
      <c r="R13" s="24">
        <f>M13</f>
        <v>540</v>
      </c>
      <c r="S13" s="4" t="s">
        <v>80</v>
      </c>
      <c r="T13" s="4" t="s">
        <v>121</v>
      </c>
      <c r="U13" s="4"/>
      <c r="V13" s="4"/>
      <c r="W13" s="4"/>
      <c r="X13" s="4"/>
      <c r="Y13" s="101" t="s">
        <v>122</v>
      </c>
      <c r="Z13" s="101"/>
    </row>
    <row r="14" spans="1:26" ht="16" x14ac:dyDescent="0.2">
      <c r="A14" s="102"/>
      <c r="B14" s="121"/>
      <c r="C14" s="102"/>
      <c r="D14" s="107"/>
      <c r="E14" s="102"/>
      <c r="F14" s="102"/>
      <c r="G14" s="102"/>
      <c r="H14" s="103"/>
      <c r="I14" s="102"/>
      <c r="J14" s="102"/>
      <c r="K14" s="102"/>
      <c r="L14" s="117"/>
      <c r="M14" s="28">
        <v>3600</v>
      </c>
      <c r="N14" s="32">
        <v>0</v>
      </c>
      <c r="O14" s="32">
        <f>M14</f>
        <v>3600</v>
      </c>
      <c r="P14" s="115"/>
      <c r="Q14" s="115"/>
      <c r="R14" s="24">
        <f>M14*3</f>
        <v>10800</v>
      </c>
      <c r="S14" s="4" t="s">
        <v>81</v>
      </c>
      <c r="T14" s="4" t="s">
        <v>123</v>
      </c>
      <c r="U14" s="4"/>
      <c r="V14" s="4"/>
      <c r="W14" s="4"/>
      <c r="X14" s="4"/>
      <c r="Y14" s="102"/>
      <c r="Z14" s="102"/>
    </row>
    <row r="15" spans="1:26" ht="17" thickBot="1" x14ac:dyDescent="0.25">
      <c r="A15" s="9">
        <v>4</v>
      </c>
      <c r="B15" s="17" t="s">
        <v>124</v>
      </c>
      <c r="C15" s="13">
        <v>230</v>
      </c>
      <c r="D15" s="14" t="s">
        <v>125</v>
      </c>
      <c r="E15" s="13" t="s">
        <v>117</v>
      </c>
      <c r="F15" s="13" t="s">
        <v>126</v>
      </c>
      <c r="G15" s="13" t="s">
        <v>119</v>
      </c>
      <c r="H15" s="13" t="s">
        <v>119</v>
      </c>
      <c r="I15" s="13" t="s">
        <v>127</v>
      </c>
      <c r="J15" s="13"/>
      <c r="K15" s="13">
        <v>28</v>
      </c>
      <c r="L15" s="9">
        <f>(C15*3)</f>
        <v>690</v>
      </c>
      <c r="M15" s="23">
        <v>50000</v>
      </c>
      <c r="N15" s="26">
        <v>0</v>
      </c>
      <c r="O15" s="26">
        <f>M15</f>
        <v>50000</v>
      </c>
      <c r="P15" s="25">
        <v>0.6</v>
      </c>
      <c r="Q15" s="25">
        <v>0.2</v>
      </c>
      <c r="R15" s="23">
        <v>223000</v>
      </c>
      <c r="S15" s="9" t="s">
        <v>81</v>
      </c>
      <c r="T15" s="9"/>
      <c r="U15" s="9"/>
      <c r="V15" s="9"/>
      <c r="W15" s="9"/>
      <c r="X15" s="9"/>
      <c r="Y15" s="9" t="s">
        <v>128</v>
      </c>
      <c r="Z15" s="9"/>
    </row>
    <row r="16" spans="1:26" ht="16" thickBot="1" x14ac:dyDescent="0.25">
      <c r="C16" s="10">
        <f>SUM(C5:C15)</f>
        <v>459</v>
      </c>
      <c r="L16" s="15">
        <f>SUM(L5:L15)</f>
        <v>3736</v>
      </c>
      <c r="M16" s="33">
        <f>SUM(M5:M15)</f>
        <v>56646</v>
      </c>
      <c r="N16" s="33">
        <f>SUM(N5:N15)</f>
        <v>3046</v>
      </c>
      <c r="O16" s="35">
        <f>SUM(O5:O15)</f>
        <v>53600</v>
      </c>
      <c r="P16" s="84"/>
      <c r="R16" s="15">
        <f>SUM(R5:R15)</f>
        <v>242605</v>
      </c>
    </row>
    <row r="18" spans="11:14" x14ac:dyDescent="0.2">
      <c r="K18" s="83">
        <f>L16*L18</f>
        <v>1120.8</v>
      </c>
      <c r="L18" s="85">
        <v>0.3</v>
      </c>
      <c r="M18" s="85">
        <v>0.05</v>
      </c>
      <c r="N18" s="83">
        <f>L16*M18</f>
        <v>186.8</v>
      </c>
    </row>
    <row r="19" spans="11:14" x14ac:dyDescent="0.2">
      <c r="K19" s="83">
        <f>L16*L19</f>
        <v>1494.4</v>
      </c>
      <c r="L19" s="85">
        <v>0.4</v>
      </c>
      <c r="M19" s="85">
        <v>0.1</v>
      </c>
      <c r="N19" s="83">
        <f>L16*M19</f>
        <v>373.6</v>
      </c>
    </row>
    <row r="20" spans="11:14" x14ac:dyDescent="0.2">
      <c r="K20" s="83">
        <f>L16*L20</f>
        <v>1868</v>
      </c>
      <c r="L20" s="85">
        <v>0.5</v>
      </c>
      <c r="M20" s="85">
        <v>0.15</v>
      </c>
      <c r="N20" s="83">
        <f>L16*M20</f>
        <v>560.4</v>
      </c>
    </row>
  </sheetData>
  <mergeCells count="46">
    <mergeCell ref="T3:X3"/>
    <mergeCell ref="B3:B4"/>
    <mergeCell ref="M3:Q3"/>
    <mergeCell ref="A3:A4"/>
    <mergeCell ref="C3:J3"/>
    <mergeCell ref="L3:L4"/>
    <mergeCell ref="A5:A11"/>
    <mergeCell ref="B5:B11"/>
    <mergeCell ref="C5:C11"/>
    <mergeCell ref="E5:E11"/>
    <mergeCell ref="F5:F11"/>
    <mergeCell ref="Y5:Y11"/>
    <mergeCell ref="Z5:Z11"/>
    <mergeCell ref="S5:S11"/>
    <mergeCell ref="Q5:Q11"/>
    <mergeCell ref="P5:P11"/>
    <mergeCell ref="A13:A14"/>
    <mergeCell ref="B13:B14"/>
    <mergeCell ref="C13:C14"/>
    <mergeCell ref="E13:E14"/>
    <mergeCell ref="F13:F14"/>
    <mergeCell ref="Q13:Q14"/>
    <mergeCell ref="M5:M11"/>
    <mergeCell ref="G5:G11"/>
    <mergeCell ref="H13:H14"/>
    <mergeCell ref="H5:H11"/>
    <mergeCell ref="N5:N11"/>
    <mergeCell ref="O5:O11"/>
    <mergeCell ref="L5:L11"/>
    <mergeCell ref="L13:L14"/>
    <mergeCell ref="Y13:Y14"/>
    <mergeCell ref="Z13:Z14"/>
    <mergeCell ref="D5:D11"/>
    <mergeCell ref="C4:D4"/>
    <mergeCell ref="D13:D14"/>
    <mergeCell ref="K3:K4"/>
    <mergeCell ref="K13:K14"/>
    <mergeCell ref="K5:K11"/>
    <mergeCell ref="J5:J11"/>
    <mergeCell ref="G13:G14"/>
    <mergeCell ref="I13:I14"/>
    <mergeCell ref="J13:J14"/>
    <mergeCell ref="R3:R4"/>
    <mergeCell ref="I5:I11"/>
    <mergeCell ref="R5:R11"/>
    <mergeCell ref="P13:P1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5FFDD-62E4-DF4E-9E4A-EB241D3A37AB}">
  <dimension ref="B1:H23"/>
  <sheetViews>
    <sheetView showGridLines="0" zoomScale="125" workbookViewId="0">
      <selection activeCell="B1" sqref="B1"/>
    </sheetView>
  </sheetViews>
  <sheetFormatPr baseColWidth="10" defaultColWidth="10.83203125" defaultRowHeight="11" x14ac:dyDescent="0.15"/>
  <cols>
    <col min="1" max="1" width="3.1640625" style="43" customWidth="1"/>
    <col min="2" max="2" width="10.83203125" style="44" bestFit="1" customWidth="1"/>
    <col min="3" max="3" width="25.1640625" style="44" customWidth="1"/>
    <col min="4" max="4" width="23.83203125" style="44" customWidth="1"/>
    <col min="5" max="5" width="21.5" style="43" customWidth="1"/>
    <col min="6" max="6" width="30.83203125" style="44" customWidth="1"/>
    <col min="7" max="7" width="10.83203125" style="43"/>
    <col min="8" max="8" width="104.6640625" style="43" customWidth="1"/>
    <col min="9" max="16384" width="10.83203125" style="43"/>
  </cols>
  <sheetData>
    <row r="1" spans="2:8" x14ac:dyDescent="0.15">
      <c r="F1" s="44" t="s">
        <v>129</v>
      </c>
    </row>
    <row r="2" spans="2:8" ht="60" x14ac:dyDescent="0.15">
      <c r="B2" s="61" t="s">
        <v>130</v>
      </c>
      <c r="F2" s="45" t="s">
        <v>131</v>
      </c>
    </row>
    <row r="3" spans="2:8" x14ac:dyDescent="0.15">
      <c r="C3" s="50" t="s">
        <v>132</v>
      </c>
      <c r="D3" s="60" t="s">
        <v>133</v>
      </c>
      <c r="E3" s="59"/>
      <c r="F3" s="49" t="s">
        <v>134</v>
      </c>
    </row>
    <row r="4" spans="2:8" ht="84" x14ac:dyDescent="0.15">
      <c r="B4" s="51" t="s">
        <v>135</v>
      </c>
      <c r="C4" s="58" t="s">
        <v>136</v>
      </c>
      <c r="D4" s="56" t="s">
        <v>137</v>
      </c>
      <c r="E4" s="56" t="s">
        <v>138</v>
      </c>
      <c r="F4" s="48" t="s">
        <v>139</v>
      </c>
      <c r="H4" s="132" t="s">
        <v>140</v>
      </c>
    </row>
    <row r="5" spans="2:8" ht="84" x14ac:dyDescent="0.15">
      <c r="B5" s="51" t="s">
        <v>141</v>
      </c>
      <c r="C5" s="57" t="s">
        <v>142</v>
      </c>
      <c r="D5" s="56" t="s">
        <v>143</v>
      </c>
      <c r="E5" s="56"/>
      <c r="F5" s="48" t="s">
        <v>144</v>
      </c>
      <c r="H5" s="132"/>
    </row>
    <row r="6" spans="2:8" ht="84" x14ac:dyDescent="0.15">
      <c r="B6" s="51" t="s">
        <v>145</v>
      </c>
      <c r="C6" s="55" t="s">
        <v>146</v>
      </c>
      <c r="D6" s="54" t="s">
        <v>147</v>
      </c>
      <c r="E6" s="53" t="s">
        <v>148</v>
      </c>
      <c r="F6" s="47" t="s">
        <v>149</v>
      </c>
      <c r="H6" s="132"/>
    </row>
    <row r="7" spans="2:8" ht="36" x14ac:dyDescent="0.15">
      <c r="C7" s="52"/>
      <c r="F7" s="47" t="s">
        <v>150</v>
      </c>
      <c r="H7" s="132"/>
    </row>
    <row r="8" spans="2:8" ht="48" x14ac:dyDescent="0.15">
      <c r="F8" s="46" t="s">
        <v>151</v>
      </c>
      <c r="H8" s="132"/>
    </row>
    <row r="9" spans="2:8" ht="48" x14ac:dyDescent="0.15">
      <c r="F9" s="46" t="s">
        <v>152</v>
      </c>
      <c r="H9" s="132"/>
    </row>
    <row r="10" spans="2:8" x14ac:dyDescent="0.15">
      <c r="F10" s="51"/>
      <c r="H10" s="132"/>
    </row>
    <row r="11" spans="2:8" x14ac:dyDescent="0.15">
      <c r="F11" s="51"/>
      <c r="H11" s="132"/>
    </row>
    <row r="12" spans="2:8" x14ac:dyDescent="0.15">
      <c r="F12" s="51"/>
      <c r="H12" s="132"/>
    </row>
    <row r="13" spans="2:8" x14ac:dyDescent="0.15">
      <c r="F13" s="51"/>
      <c r="H13" s="132"/>
    </row>
    <row r="14" spans="2:8" x14ac:dyDescent="0.15">
      <c r="F14" s="51"/>
      <c r="H14" s="132"/>
    </row>
    <row r="15" spans="2:8" x14ac:dyDescent="0.15">
      <c r="H15" s="132"/>
    </row>
    <row r="16" spans="2:8" x14ac:dyDescent="0.15">
      <c r="H16" s="132"/>
    </row>
    <row r="17" spans="8:8" x14ac:dyDescent="0.15">
      <c r="H17" s="132"/>
    </row>
    <row r="18" spans="8:8" x14ac:dyDescent="0.15">
      <c r="H18" s="132"/>
    </row>
    <row r="19" spans="8:8" x14ac:dyDescent="0.15">
      <c r="H19" s="132"/>
    </row>
    <row r="20" spans="8:8" x14ac:dyDescent="0.15">
      <c r="H20" s="132"/>
    </row>
    <row r="21" spans="8:8" x14ac:dyDescent="0.15">
      <c r="H21" s="132"/>
    </row>
    <row r="22" spans="8:8" x14ac:dyDescent="0.15">
      <c r="H22" s="132"/>
    </row>
    <row r="23" spans="8:8" x14ac:dyDescent="0.15">
      <c r="H23" s="132"/>
    </row>
  </sheetData>
  <mergeCells count="1">
    <mergeCell ref="H4:H2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3BC5-BA67-104F-92A3-88DC15906554}">
  <dimension ref="B2:L22"/>
  <sheetViews>
    <sheetView showGridLines="0" topLeftCell="B12" workbookViewId="0">
      <selection activeCell="J9" sqref="J9:J22"/>
    </sheetView>
  </sheetViews>
  <sheetFormatPr baseColWidth="10" defaultColWidth="11.5" defaultRowHeight="15" x14ac:dyDescent="0.2"/>
  <cols>
    <col min="1" max="1" width="3.6640625" customWidth="1"/>
    <col min="2" max="2" width="40.33203125" customWidth="1"/>
    <col min="3" max="3" width="2" customWidth="1"/>
    <col min="4" max="4" width="30.5" style="36" customWidth="1"/>
    <col min="5" max="5" width="2.33203125" customWidth="1"/>
    <col min="6" max="6" width="14.33203125" customWidth="1"/>
    <col min="7" max="7" width="2.33203125" customWidth="1"/>
    <col min="8" max="8" width="21.6640625" customWidth="1"/>
    <col min="9" max="9" width="2" customWidth="1"/>
    <col min="10" max="10" width="30.6640625" customWidth="1"/>
    <col min="11" max="11" width="31" customWidth="1"/>
    <col min="12" max="12" width="26.6640625" customWidth="1"/>
  </cols>
  <sheetData>
    <row r="2" spans="2:12" ht="40" customHeight="1" x14ac:dyDescent="0.2">
      <c r="B2" s="8" t="s">
        <v>153</v>
      </c>
      <c r="C2" s="8"/>
      <c r="D2" s="39" t="s">
        <v>154</v>
      </c>
      <c r="F2" s="39" t="s">
        <v>155</v>
      </c>
      <c r="G2" s="40"/>
      <c r="H2" s="39" t="s">
        <v>156</v>
      </c>
      <c r="J2" s="39" t="s">
        <v>157</v>
      </c>
    </row>
    <row r="3" spans="2:12" ht="15" customHeight="1" x14ac:dyDescent="0.2">
      <c r="B3" s="8"/>
      <c r="C3" s="8"/>
      <c r="D3" s="39"/>
      <c r="F3" s="39"/>
      <c r="G3" s="40"/>
      <c r="H3" s="39"/>
      <c r="J3" s="39"/>
      <c r="K3" s="39" t="s">
        <v>20</v>
      </c>
      <c r="L3" s="39" t="s">
        <v>158</v>
      </c>
    </row>
    <row r="4" spans="2:12" ht="52" customHeight="1" x14ac:dyDescent="0.2">
      <c r="B4" s="38" t="s">
        <v>159</v>
      </c>
      <c r="D4" s="9" t="s">
        <v>160</v>
      </c>
      <c r="F4" s="133" t="s">
        <v>161</v>
      </c>
      <c r="J4" s="41" t="s">
        <v>162</v>
      </c>
      <c r="K4" s="41" t="s">
        <v>163</v>
      </c>
      <c r="L4" s="41" t="s">
        <v>164</v>
      </c>
    </row>
    <row r="5" spans="2:12" ht="65" x14ac:dyDescent="0.2">
      <c r="B5" s="38" t="s">
        <v>165</v>
      </c>
      <c r="D5" s="9" t="s">
        <v>166</v>
      </c>
      <c r="F5" s="133"/>
      <c r="J5" s="41" t="s">
        <v>167</v>
      </c>
      <c r="K5" s="41" t="s">
        <v>168</v>
      </c>
      <c r="L5" s="41" t="s">
        <v>169</v>
      </c>
    </row>
    <row r="6" spans="2:12" ht="78" x14ac:dyDescent="0.2">
      <c r="B6" s="38" t="s">
        <v>170</v>
      </c>
      <c r="D6" s="9" t="s">
        <v>171</v>
      </c>
      <c r="F6" s="133"/>
      <c r="J6" s="41" t="s">
        <v>172</v>
      </c>
      <c r="K6" s="41" t="s">
        <v>173</v>
      </c>
    </row>
    <row r="7" spans="2:12" ht="65" x14ac:dyDescent="0.2">
      <c r="B7" s="38" t="s">
        <v>174</v>
      </c>
      <c r="D7" s="9" t="s">
        <v>175</v>
      </c>
      <c r="F7" s="133"/>
      <c r="K7" s="42"/>
    </row>
    <row r="9" spans="2:12" ht="26" x14ac:dyDescent="0.2">
      <c r="J9" s="86" t="s">
        <v>176</v>
      </c>
    </row>
    <row r="10" spans="2:12" ht="118" x14ac:dyDescent="0.2">
      <c r="D10" s="37" t="s">
        <v>154</v>
      </c>
      <c r="J10" s="87" t="s">
        <v>177</v>
      </c>
    </row>
    <row r="11" spans="2:12" ht="105" x14ac:dyDescent="0.2">
      <c r="C11">
        <v>1</v>
      </c>
      <c r="D11" s="36" t="s">
        <v>178</v>
      </c>
      <c r="J11" s="87" t="s">
        <v>179</v>
      </c>
    </row>
    <row r="12" spans="2:12" ht="26" x14ac:dyDescent="0.2">
      <c r="C12">
        <v>2</v>
      </c>
      <c r="D12" s="36" t="s">
        <v>180</v>
      </c>
      <c r="J12" s="88" t="s">
        <v>181</v>
      </c>
    </row>
    <row r="13" spans="2:12" ht="118" x14ac:dyDescent="0.2">
      <c r="C13">
        <v>3</v>
      </c>
      <c r="D13" s="36" t="s">
        <v>182</v>
      </c>
      <c r="J13" s="87" t="s">
        <v>183</v>
      </c>
    </row>
    <row r="14" spans="2:12" ht="144" x14ac:dyDescent="0.2">
      <c r="C14">
        <v>4</v>
      </c>
      <c r="D14" s="36" t="s">
        <v>184</v>
      </c>
      <c r="J14" s="87" t="s">
        <v>185</v>
      </c>
    </row>
    <row r="15" spans="2:12" ht="39" x14ac:dyDescent="0.2">
      <c r="C15">
        <v>5</v>
      </c>
      <c r="D15" s="36" t="s">
        <v>186</v>
      </c>
      <c r="J15" s="86" t="s">
        <v>187</v>
      </c>
    </row>
    <row r="16" spans="2:12" ht="131" x14ac:dyDescent="0.2">
      <c r="C16">
        <v>6</v>
      </c>
      <c r="D16" s="36" t="s">
        <v>188</v>
      </c>
      <c r="J16" s="87" t="s">
        <v>189</v>
      </c>
    </row>
    <row r="17" spans="10:10" ht="66" x14ac:dyDescent="0.2">
      <c r="J17" s="87" t="s">
        <v>190</v>
      </c>
    </row>
    <row r="18" spans="10:10" ht="65" x14ac:dyDescent="0.2">
      <c r="J18" s="88" t="s">
        <v>191</v>
      </c>
    </row>
    <row r="19" spans="10:10" ht="118" x14ac:dyDescent="0.2">
      <c r="J19" s="87" t="s">
        <v>192</v>
      </c>
    </row>
    <row r="20" spans="10:10" ht="52" x14ac:dyDescent="0.2">
      <c r="J20" s="88" t="s">
        <v>193</v>
      </c>
    </row>
    <row r="21" spans="10:10" ht="144" x14ac:dyDescent="0.2">
      <c r="J21" s="87" t="s">
        <v>194</v>
      </c>
    </row>
    <row r="22" spans="10:10" ht="131" x14ac:dyDescent="0.2">
      <c r="J22" s="87" t="s">
        <v>195</v>
      </c>
    </row>
  </sheetData>
  <mergeCells count="1">
    <mergeCell ref="F4:F7"/>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982B88B6E8C74195AAC8071B2765F5" ma:contentTypeVersion="15" ma:contentTypeDescription="Create a new document." ma:contentTypeScope="" ma:versionID="9a4e6a488a7e052faae73fff76bbe304">
  <xsd:schema xmlns:xsd="http://www.w3.org/2001/XMLSchema" xmlns:xs="http://www.w3.org/2001/XMLSchema" xmlns:p="http://schemas.microsoft.com/office/2006/metadata/properties" xmlns:ns2="edfcc2dc-d78a-474a-b418-300f3f6e6e53" xmlns:ns3="e0f197c9-b711-4387-9849-d77c5961aaf8" targetNamespace="http://schemas.microsoft.com/office/2006/metadata/properties" ma:root="true" ma:fieldsID="aa1d0ac64a1742556d54d055ac76b289" ns2:_="" ns3:_="">
    <xsd:import namespace="edfcc2dc-d78a-474a-b418-300f3f6e6e53"/>
    <xsd:import namespace="e0f197c9-b711-4387-9849-d77c5961aa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anguage" minOccurs="0"/>
                <xsd:element ref="ns2:Time" minOccurs="0"/>
                <xsd:element ref="ns2:a5235b9270a44013a439d8860c8de33f" minOccurs="0"/>
                <xsd:element ref="ns3:TaxCatchAll" minOccurs="0"/>
                <xsd:element ref="ns2:Typeofmaterial" minOccurs="0"/>
                <xsd:element ref="ns2:MediaServiceGenerationTime" minOccurs="0"/>
                <xsd:element ref="ns2:MediaServiceEventHashCode" minOccurs="0"/>
                <xsd:element ref="ns2:MediaServiceDateTaken" minOccurs="0"/>
                <xsd:element ref="ns2:MediaLengthInSeconds" minOccurs="0"/>
                <xsd:element ref="ns2:h5fe6e8279904ff9a4e74411d6866a0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fcc2dc-d78a-474a-b418-300f3f6e6e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anguage" ma:index="11" nillable="true" ma:displayName="Language" ma:format="Dropdown" ma:internalName="Language">
      <xsd:simpleType>
        <xsd:restriction base="dms:Choice">
          <xsd:enumeration value="English"/>
          <xsd:enumeration value="Français"/>
          <xsd:enumeration value="Espagnol"/>
          <xsd:enumeration value="Nederlands"/>
        </xsd:restriction>
      </xsd:simpleType>
    </xsd:element>
    <xsd:element name="Time" ma:index="12" nillable="true" ma:displayName="Time" ma:format="DateTime" ma:internalName="Time">
      <xsd:simpleType>
        <xsd:restriction base="dms:DateTime"/>
      </xsd:simpleType>
    </xsd:element>
    <xsd:element name="a5235b9270a44013a439d8860c8de33f" ma:index="14" nillable="true" ma:taxonomy="true" ma:internalName="a5235b9270a44013a439d8860c8de33f" ma:taxonomyFieldName="Source_x0020__x0028_RCO_x0020_team_x0029_" ma:displayName="Source (RCO team)" ma:default="" ma:fieldId="{a5235b92-70a4-4013-a439-d8860c8de33f}" ma:taxonomyMulti="true" ma:sspId="ac6f471b-6093-426d-8cc2-2408cce2754b" ma:termSetId="85952675-7eb3-4cf4-b43b-97824be421f8" ma:anchorId="00000000-0000-0000-0000-000000000000" ma:open="false" ma:isKeyword="false">
      <xsd:complexType>
        <xsd:sequence>
          <xsd:element ref="pc:Terms" minOccurs="0" maxOccurs="1"/>
        </xsd:sequence>
      </xsd:complexType>
    </xsd:element>
    <xsd:element name="Typeofmaterial" ma:index="16" nillable="true" ma:displayName="Type of material" ma:format="Dropdown" ma:internalName="Typeofmaterial">
      <xsd:simpleType>
        <xsd:restriction base="dms:Choice">
          <xsd:enumeration value="Corporate guidance"/>
          <xsd:enumeration value="Inspirational material"/>
          <xsd:enumeration value="DGD Prog Concept Note_1st draft"/>
          <xsd:enumeration value="Feedback summaries"/>
          <xsd:enumeration value="Template"/>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h5fe6e8279904ff9a4e74411d6866a0d" ma:index="22" nillable="true" ma:taxonomy="true" ma:internalName="h5fe6e8279904ff9a4e74411d6866a0d" ma:taxonomyFieldName="Country" ma:displayName="Country" ma:default="" ma:fieldId="{15fe6e82-7990-4ff9-a4e7-4411d6866a0d}" ma:sspId="ac6f471b-6093-426d-8cc2-2408cce2754b" ma:termSetId="f4c99403-1d64-4ae4-8b6c-ec28820fda2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0f197c9-b711-4387-9849-d77c5961aaf8"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dd34403d-ff51-4405-9eb7-ceec4891db7f}" ma:internalName="TaxCatchAll" ma:showField="CatchAllData" ma:web="e0f197c9-b711-4387-9849-d77c5961aaf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0f197c9-b711-4387-9849-d77c5961aaf8" xsi:nil="true"/>
    <Language xmlns="edfcc2dc-d78a-474a-b418-300f3f6e6e53" xsi:nil="true"/>
    <h5fe6e8279904ff9a4e74411d6866a0d xmlns="edfcc2dc-d78a-474a-b418-300f3f6e6e53">
      <Terms xmlns="http://schemas.microsoft.com/office/infopath/2007/PartnerControls"/>
    </h5fe6e8279904ff9a4e74411d6866a0d>
    <a5235b9270a44013a439d8860c8de33f xmlns="edfcc2dc-d78a-474a-b418-300f3f6e6e53">
      <Terms xmlns="http://schemas.microsoft.com/office/infopath/2007/PartnerControls"/>
    </a5235b9270a44013a439d8860c8de33f>
    <Typeofmaterial xmlns="edfcc2dc-d78a-474a-b418-300f3f6e6e53" xsi:nil="true"/>
    <Time xmlns="edfcc2dc-d78a-474a-b418-300f3f6e6e53" xsi:nil="true"/>
  </documentManagement>
</p:properties>
</file>

<file path=customXml/itemProps1.xml><?xml version="1.0" encoding="utf-8"?>
<ds:datastoreItem xmlns:ds="http://schemas.openxmlformats.org/officeDocument/2006/customXml" ds:itemID="{5725E136-DE24-4153-8C72-470FD3DBA45D}">
  <ds:schemaRefs>
    <ds:schemaRef ds:uri="http://schemas.microsoft.com/sharepoint/v3/contenttype/forms"/>
  </ds:schemaRefs>
</ds:datastoreItem>
</file>

<file path=customXml/itemProps2.xml><?xml version="1.0" encoding="utf-8"?>
<ds:datastoreItem xmlns:ds="http://schemas.openxmlformats.org/officeDocument/2006/customXml" ds:itemID="{37D928C4-E269-4226-B143-C6005F6067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dfcc2dc-d78a-474a-b418-300f3f6e6e53"/>
    <ds:schemaRef ds:uri="e0f197c9-b711-4387-9849-d77c5961aa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151363C-7EA1-46F4-93DE-A3B3550ADF53}">
  <ds:schemaRefs>
    <ds:schemaRef ds:uri="http://schemas.microsoft.com/office/2006/metadata/properties"/>
    <ds:schemaRef ds:uri="http://schemas.microsoft.com/office/infopath/2007/PartnerControls"/>
    <ds:schemaRef ds:uri="e0f197c9-b711-4387-9849-d77c5961aaf8"/>
    <ds:schemaRef ds:uri="edfcc2dc-d78a-474a-b418-300f3f6e6e5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4</vt:i4>
      </vt:variant>
    </vt:vector>
  </HeadingPairs>
  <TitlesOfParts>
    <vt:vector size="4" baseType="lpstr">
      <vt:lpstr>Brasil ToC</vt:lpstr>
      <vt:lpstr>Outreach MBOs</vt:lpstr>
      <vt:lpstr>Ecuador</vt:lpstr>
      <vt:lpstr>Infos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Gisele Obara</cp:lastModifiedBy>
  <cp:revision/>
  <dcterms:created xsi:type="dcterms:W3CDTF">2026-04-20T12:35:22Z</dcterms:created>
  <dcterms:modified xsi:type="dcterms:W3CDTF">2026-05-15T15:01:45Z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0x01010079982B88B6E8C74195AAC8071B2765F5</vt:lpwstr>
  </property>
  <property fmtid="{D5CDD505-2E9C-101B-9397-08002B2CF9AE}" pid="3" name="MediaServiceImageTags">
    <vt:lpwstr/>
  </property>
  <property fmtid="{D5CDD505-2E9C-101B-9397-08002B2CF9AE}" pid="4" name="Source_x0020__x0028_RCO_x0020_team_x0029_">
    <vt:lpwstr/>
  </property>
  <property fmtid="{D5CDD505-2E9C-101B-9397-08002B2CF9AE}" pid="5" name="Country">
    <vt:lpwstr/>
  </property>
  <property fmtid="{D5CDD505-2E9C-101B-9397-08002B2CF9AE}" pid="6" name="Source (RCO team)">
    <vt:lpwstr/>
  </property>
</Properties>
</file>